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2EAC6641-B995-4070-B2C4-901B3BF31815}"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M87" i="11" l="1"/>
  <c r="BZ100" i="11"/>
  <c r="BZ101" i="11" s="1"/>
  <c r="BE87" i="11"/>
  <c r="CC87" i="11"/>
  <c r="BU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AX24" i="6"/>
  <c r="AV24" i="6"/>
  <c r="AN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AT3" i="10" l="1"/>
  <c r="BB3" i="10"/>
  <c r="BJ3" i="10"/>
  <c r="BR3" i="10"/>
  <c r="BZ3" i="10"/>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C26" i="12" s="1"/>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BZ32" i="9" s="1"/>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BX32" i="9" s="1"/>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C26" i="12" s="1"/>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13" i="12"/>
  <c r="BA13" i="12"/>
  <c r="CK18" i="12"/>
  <c r="AE13" i="12"/>
  <c r="X13" i="12"/>
  <c r="BL13" i="12"/>
  <c r="CJ13" i="12"/>
  <c r="Y26"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BO9" i="10" l="1"/>
  <c r="CC9" i="10"/>
  <c r="D11" i="13"/>
  <c r="D12" i="13" s="1"/>
  <c r="BQ32" i="9"/>
  <c r="CD32"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AD31" i="10" l="1"/>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33" i="6" l="1"/>
  <c r="BJ34" i="6" s="1"/>
  <c r="BJ23" i="10"/>
  <c r="BJ24" i="10" s="1"/>
  <c r="V33" i="6"/>
  <c r="V34" i="6" s="1"/>
  <c r="BR5" i="11"/>
  <c r="BJ50" i="10"/>
  <c r="AL13" i="1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D8" i="13"/>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<sst xmlns="http://schemas.openxmlformats.org/spreadsheetml/2006/main" count="1010" uniqueCount="752">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</sst>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2" fillId="41" borderId="16" xfId="1" applyNumberForma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0.89796196153766783</c:v>
                </c:pt>
                <c:pt idx="1">
                  <c:v>0.91225136600612233</c:v>
                </c:pt>
                <c:pt idx="2">
                  <c:v>0.92227894052748705</c:v>
                </c:pt>
                <c:pt idx="3">
                  <c:v>0.9259341285314433</c:v>
                </c:pt>
                <c:pt idx="4">
                  <c:v>0.92904940156858784</c:v>
                </c:pt>
                <c:pt idx="5">
                  <c:v>0.92272611717304409</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0.45094537252781386</c:v>
                </c:pt>
                <c:pt idx="1">
                  <c:v>0.4306517351277509</c:v>
                </c:pt>
                <c:pt idx="2">
                  <c:v>0.48024137831945934</c:v>
                </c:pt>
                <c:pt idx="3">
                  <c:v>0.49380612472153673</c:v>
                </c:pt>
                <c:pt idx="4">
                  <c:v>0.50223455765225022</c:v>
                </c:pt>
                <c:pt idx="5">
                  <c:v>0.51748258426232618</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0.61897086551080815</c:v>
                </c:pt>
                <c:pt idx="1">
                  <c:v>0.58739211551686454</c:v>
                </c:pt>
                <c:pt idx="2">
                  <c:v>0.65272134415170757</c:v>
                </c:pt>
                <c:pt idx="3">
                  <c:v>0.67486136781268102</c:v>
                </c:pt>
                <c:pt idx="4">
                  <c:v>0.68945412762596925</c:v>
                </c:pt>
                <c:pt idx="5">
                  <c:v>0.70687528935978883</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0.45177212579908871</c:v>
                </c:pt>
                <c:pt idx="1">
                  <c:v>0.43205095884592254</c:v>
                </c:pt>
                <c:pt idx="2">
                  <c:v>0.48244468980943178</c:v>
                </c:pt>
                <c:pt idx="3">
                  <c:v>0.49699101095545956</c:v>
                </c:pt>
                <c:pt idx="4">
                  <c:v>0.51263480040528941</c:v>
                </c:pt>
                <c:pt idx="5">
                  <c:v>0.52951128077095777</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0.61888558153389939</c:v>
                </c:pt>
                <c:pt idx="1">
                  <c:v>0.58640615423197362</c:v>
                </c:pt>
                <c:pt idx="2">
                  <c:v>0.65140490798976347</c:v>
                </c:pt>
                <c:pt idx="3">
                  <c:v>0.67450904783516852</c:v>
                </c:pt>
                <c:pt idx="4">
                  <c:v>0.68944006000501967</c:v>
                </c:pt>
                <c:pt idx="5">
                  <c:v>0.70684749109959866</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0.45169206588630778</c:v>
                </c:pt>
                <c:pt idx="1">
                  <c:v>0.43131356042330332</c:v>
                </c:pt>
                <c:pt idx="2">
                  <c:v>0.48157058362185717</c:v>
                </c:pt>
                <c:pt idx="3">
                  <c:v>0.49673671513353068</c:v>
                </c:pt>
                <c:pt idx="4">
                  <c:v>0.5126243406056179</c:v>
                </c:pt>
                <c:pt idx="5">
                  <c:v>0.52949045744811984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38740072142.599998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23957880957.110001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22001714961.34</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21882342437.330002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21432360425.970001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18700490469.16</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18614975850.473602</c:v>
                </c:pt>
                <c:pt idx="1">
                  <c:v>10689906103.712399</c:v>
                </c:pt>
                <c:pt idx="2">
                  <c:v>10429161161.726795</c:v>
                </c:pt>
                <c:pt idx="3">
                  <c:v>11259005475.030399</c:v>
                </c:pt>
                <c:pt idx="4">
                  <c:v>12320940628.3992</c:v>
                </c:pt>
                <c:pt idx="5">
                  <c:v>11171524600.32</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96019627475.080002</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75898542854.720001</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66234170421.290001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55311550841.120003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44129092273.260002</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35454036397.25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22,724,989,474.84 </c:v>
                </c:pt>
                <c:pt idx="5">
                  <c:v>21,614,145,955.47 </c:v>
                </c:pt>
                <c:pt idx="6">
                  <c:v>21,564,032,140.22 </c:v>
                </c:pt>
                <c:pt idx="7">
                  <c:v>21,547,653,404.44 </c:v>
                </c:pt>
                <c:pt idx="8">
                  <c:v>21,267,949,399.18 </c:v>
                </c:pt>
                <c:pt idx="9">
                  <c:v>20,232,592,117.09 </c:v>
                </c:pt>
                <c:pt idx="10">
                  <c:v>19,068,774,757.83 </c:v>
                </c:pt>
                <c:pt idx="11">
                  <c:v>18,311,646,536.52 </c:v>
                </c:pt>
                <c:pt idx="12">
                  <c:v>18,298,236,150.31 </c:v>
                </c:pt>
                <c:pt idx="13">
                  <c:v>16,656,795,222.92 </c:v>
                </c:pt>
                <c:pt idx="14">
                  <c:v>16,579,774,564.63 </c:v>
                </c:pt>
                <c:pt idx="15">
                  <c:v>15,583,608,259.01 </c:v>
                </c:pt>
                <c:pt idx="16">
                  <c:v>13,522,567,242.82 </c:v>
                </c:pt>
                <c:pt idx="17">
                  <c:v>9,433,590,713.10 </c:v>
                </c:pt>
                <c:pt idx="18">
                  <c:v>8,937,733,311.79 </c:v>
                </c:pt>
                <c:pt idx="19">
                  <c:v>9,046,122,215.52 </c:v>
                </c:pt>
                <c:pt idx="20">
                  <c:v>8,773,132,339.58 </c:v>
                </c:pt>
              </c:strCache>
            </c:strRef>
          </c:tx>
          <c:invertIfNegative val="0"/>
          <c:cat>
            <c:numRef>
              <c:f>投资和筹资活动现金流表!$E$12</c:f>
              <c:numCache>
                <c:formatCode>#,##0.00_ </c:formatCode>
                <c:ptCount val="1"/>
                <c:pt idx="0">
                  <c:v>22724989474.84</c:v>
                </c:pt>
              </c:numCache>
            </c:numRef>
          </c:cat>
          <c:val>
            <c:numRef>
              <c:f>投资和筹资活动现金流表!$E$12:$U$12</c:f>
              <c:numCache>
                <c:formatCode>#,##0.00_ </c:formatCode>
                <c:ptCount val="5"/>
                <c:pt idx="0">
                  <c:v>22724989474.84</c:v>
                </c:pt>
                <c:pt idx="1">
                  <c:v>21267949399.18</c:v>
                </c:pt>
                <c:pt idx="2">
                  <c:v>18298236150.310001</c:v>
                </c:pt>
                <c:pt idx="3">
                  <c:v>13522567242.82</c:v>
                </c:pt>
                <c:pt idx="4">
                  <c:v>8773132339.5799999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-1.8154878551507203E-4</c:v>
                </c:pt>
                <c:pt idx="1">
                  <c:v>3.9035973582484144E-3</c:v>
                </c:pt>
                <c:pt idx="2">
                  <c:v>6.5829747532228255E-2</c:v>
                </c:pt>
                <c:pt idx="3">
                  <c:v>0.26466265749798934</c:v>
                </c:pt>
                <c:pt idx="4">
                  <c:v>0.55173512066292707</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19.691574634773701</c:v>
                </c:pt>
                <c:pt idx="1">
                  <c:v>36.749840269244572</c:v>
                </c:pt>
                <c:pt idx="2">
                  <c:v>8.4943542672814765</c:v>
                </c:pt>
                <c:pt idx="3">
                  <c:v>2.8574949081304712</c:v>
                </c:pt>
                <c:pt idx="4">
                  <c:v>2.3410346780486413</c:v>
                </c:pt>
                <c:pt idx="5">
                  <c:v>2.8304404015528903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1125000742.45</c:v>
                </c:pt>
                <c:pt idx="1">
                  <c:v>1019086052.42</c:v>
                </c:pt>
                <c:pt idx="2">
                  <c:v>2052697543.9299998</c:v>
                </c:pt>
                <c:pt idx="3">
                  <c:v>4420838126.6599998</c:v>
                </c:pt>
                <c:pt idx="4">
                  <c:v>5405740026.2299995</c:v>
                </c:pt>
                <c:pt idx="5">
                  <c:v>4211821807.9099998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22153036084.130001</c:v>
                </c:pt>
                <c:pt idx="1">
                  <c:v>37451249647.050003</c:v>
                </c:pt>
                <c:pt idx="2">
                  <c:v>17436340141.720001</c:v>
                </c:pt>
                <c:pt idx="3">
                  <c:v>12632522436.6</c:v>
                </c:pt>
                <c:pt idx="4">
                  <c:v>12655024861.92</c:v>
                </c:pt>
                <c:pt idx="5">
                  <c:v>11921310609.25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-8899177880.7999992</c:v>
                </c:pt>
                <c:pt idx="1">
                  <c:v>-8334512252.2299995</c:v>
                </c:pt>
                <c:pt idx="2">
                  <c:v>-5588019638.6099997</c:v>
                </c:pt>
                <c:pt idx="3">
                  <c:v>-5041426729.3299999</c:v>
                </c:pt>
                <c:pt idx="4">
                  <c:v>-7385971074.4700003</c:v>
                </c:pt>
                <c:pt idx="5">
                  <c:v>-3914524622.8499999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-8519814475.1899996</c:v>
                </c:pt>
                <c:pt idx="1">
                  <c:v>-7735996623.8100004</c:v>
                </c:pt>
                <c:pt idx="2">
                  <c:v>-4995099252</c:v>
                </c:pt>
                <c:pt idx="3">
                  <c:v>-4506199320</c:v>
                </c:pt>
                <c:pt idx="4">
                  <c:v>-6658077420.2200003</c:v>
                </c:pt>
                <c:pt idx="5">
                  <c:v>-3757605460.23</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-24295568.66</c:v>
                </c:pt>
                <c:pt idx="1">
                  <c:v>-72011214.239999995</c:v>
                </c:pt>
                <c:pt idx="2">
                  <c:v>-124688106.33</c:v>
                </c:pt>
                <c:pt idx="3">
                  <c:v>41724836.540000007</c:v>
                </c:pt>
                <c:pt idx="4">
                  <c:v>-27383888.890000001</c:v>
                </c:pt>
                <c:pt idx="5">
                  <c:v>-132222.22</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67382607</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0</c:v>
                </c:pt>
                <c:pt idx="2">
                  <c:v>-35000000</c:v>
                </c:pt>
                <c:pt idx="3">
                  <c:v>10000000</c:v>
                </c:pt>
                <c:pt idx="4">
                  <c:v>0</c:v>
                </c:pt>
                <c:pt idx="5">
                  <c:v>-10000000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880974.99</c:v>
                </c:pt>
                <c:pt idx="1">
                  <c:v>37529578.909999996</c:v>
                </c:pt>
                <c:pt idx="2">
                  <c:v>41360986.93</c:v>
                </c:pt>
                <c:pt idx="3">
                  <c:v>10292572.550000001</c:v>
                </c:pt>
                <c:pt idx="4">
                  <c:v>0</c:v>
                </c:pt>
                <c:pt idx="5">
                  <c:v>132222.22</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23414593.670000002</c:v>
                </c:pt>
                <c:pt idx="1">
                  <c:v>34481635.329999998</c:v>
                </c:pt>
                <c:pt idx="2">
                  <c:v>27409447.399999999</c:v>
                </c:pt>
                <c:pt idx="3">
                  <c:v>77917681.909999996</c:v>
                </c:pt>
                <c:pt idx="4">
                  <c:v>27383888.890000001</c:v>
                </c:pt>
                <c:pt idx="5">
                  <c:v>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96019627475.080002</c:v>
                </c:pt>
                <c:pt idx="1">
                  <c:v>75898542854.720001</c:v>
                </c:pt>
                <c:pt idx="2">
                  <c:v>66234170421.290001</c:v>
                </c:pt>
                <c:pt idx="3">
                  <c:v>55311550841.119995</c:v>
                </c:pt>
                <c:pt idx="4">
                  <c:v>44129092273.259995</c:v>
                </c:pt>
                <c:pt idx="5">
                  <c:v>35454036397.25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106505655822.89</c:v>
                </c:pt>
                <c:pt idx="1">
                  <c:v>86321842822.179993</c:v>
                </c:pt>
                <c:pt idx="2">
                  <c:v>72229202167.820007</c:v>
                </c:pt>
                <c:pt idx="3">
                  <c:v>59345919232.220001</c:v>
                </c:pt>
                <c:pt idx="4">
                  <c:v>46929665261.690002</c:v>
                </c:pt>
                <c:pt idx="5">
                  <c:v>35454036397.25</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7.2128472510813904E-2</c:v>
                </c:pt>
                <c:pt idx="1">
                  <c:v>7.0696375635123127E-2</c:v>
                </c:pt>
                <c:pt idx="2">
                  <c:v>7.3580322897594252E-2</c:v>
                </c:pt>
                <c:pt idx="3">
                  <c:v>7.4750573592232986E-2</c:v>
                </c:pt>
                <c:pt idx="4">
                  <c:v>7.5225922924762573E-2</c:v>
                </c:pt>
                <c:pt idx="5">
                  <c:v>0.08</c:v>
                </c:pt>
                <c:pt idx="6">
                  <c:v>7.9999999999999988E-2</c:v>
                </c:pt>
                <c:pt idx="7">
                  <c:v>7.864920654170085E-2</c:v>
                </c:pt>
                <c:pt idx="8">
                  <c:v>7.9257773923000943E-2</c:v>
                </c:pt>
                <c:pt idx="9">
                  <c:v>0.08</c:v>
                </c:pt>
                <c:pt idx="10">
                  <c:v>7.9602343269350853E-2</c:v>
                </c:pt>
                <c:pt idx="11">
                  <c:v>7.9880602912159149E-2</c:v>
                </c:pt>
                <c:pt idx="12">
                  <c:v>7.927972887614386E-2</c:v>
                </c:pt>
                <c:pt idx="13">
                  <c:v>7.9388320893920061E-2</c:v>
                </c:pt>
                <c:pt idx="14">
                  <c:v>7.9644880550300806E-2</c:v>
                </c:pt>
                <c:pt idx="15">
                  <c:v>7.8202287466264689E-2</c:v>
                </c:pt>
                <c:pt idx="16">
                  <c:v>7.5346049007486884E-2</c:v>
                </c:pt>
                <c:pt idx="17">
                  <c:v>7.5732154235819624E-2</c:v>
                </c:pt>
                <c:pt idx="18">
                  <c:v>6.380956894982466E-2</c:v>
                </c:pt>
                <c:pt idx="19">
                  <c:v>4.1669618930693098E-2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0.31432597233703691</c:v>
                </c:pt>
                <c:pt idx="1">
                  <c:v>0.81633768981558341</c:v>
                </c:pt>
                <c:pt idx="2">
                  <c:v>0.32447909223970356</c:v>
                </c:pt>
                <c:pt idx="3">
                  <c:v>9.2967860075320333E-2</c:v>
                </c:pt>
                <c:pt idx="4">
                  <c:v>0.14021439986103212</c:v>
                </c:pt>
                <c:pt idx="5">
                  <c:v>0.20694530957267659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c:v>
                </c:pt>
                <c:pt idx="1">
                  <c:v>0</c:v>
                </c:pt>
                <c:pt idx="2">
                  <c:v>0</c:v>
                </c:pt>
                <c:pt idx="3">
                  <c:v>-1</c:v>
                </c:pt>
                <c:pt idx="4">
                  <c:v>0</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0.15682259478393284</c:v>
                </c:pt>
                <c:pt idx="1">
                  <c:v>-1.2440535098125545</c:v>
                </c:pt>
                <c:pt idx="2">
                  <c:v>5.9898251649523213E-2</c:v>
                </c:pt>
                <c:pt idx="3">
                  <c:v>0.64963960100407181</c:v>
                </c:pt>
                <c:pt idx="4">
                  <c:v>0.84495910184448575</c:v>
                </c:pt>
                <c:pt idx="5">
                  <c:v>-30.474638031901222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5.8968824917012774E-2</c:v>
                </c:pt>
                <c:pt idx="1">
                  <c:v>-0.18933267943213244</c:v>
                </c:pt>
                <c:pt idx="2">
                  <c:v>0.421586130846683</c:v>
                </c:pt>
                <c:pt idx="3">
                  <c:v>0.1945668794132886</c:v>
                </c:pt>
                <c:pt idx="4">
                  <c:v>0.19135287282852845</c:v>
                </c:pt>
                <c:pt idx="5">
                  <c:v>0.48650500686341713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7.176095214763327E-2</c:v>
                </c:pt>
                <c:pt idx="1">
                  <c:v>0.86343153976096143</c:v>
                </c:pt>
                <c:pt idx="2">
                  <c:v>1.1559262928520666</c:v>
                </c:pt>
                <c:pt idx="3">
                  <c:v>-0.23429442665843941</c:v>
                </c:pt>
                <c:pt idx="4">
                  <c:v>-0.10683871596459484</c:v>
                </c:pt>
                <c:pt idx="5">
                  <c:v>4.915319228085877E-3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-1.6121272947916116E-2</c:v>
                </c:pt>
                <c:pt idx="1">
                  <c:v>6.6626346799904881E-2</c:v>
                </c:pt>
                <c:pt idx="2">
                  <c:v>0.16702103986390313</c:v>
                </c:pt>
                <c:pt idx="3">
                  <c:v>0.36099357606423155</c:v>
                </c:pt>
                <c:pt idx="4">
                  <c:v>0.53433153917060705</c:v>
                </c:pt>
                <c:pt idx="5">
                  <c:v>0.24430393815525206</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-0.3209546633761699</c:v>
                </c:pt>
                <c:pt idx="1">
                  <c:v>0.25802008434507878</c:v>
                </c:pt>
                <c:pt idx="2">
                  <c:v>-0.64822557950761805</c:v>
                </c:pt>
                <c:pt idx="3">
                  <c:v>1.8453840951149139</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0.82786663156981499</c:v>
                </c:pt>
                <c:pt idx="1">
                  <c:v>0.77715788146835807</c:v>
                </c:pt>
                <c:pt idx="2">
                  <c:v>0.51135269168161079</c:v>
                </c:pt>
                <c:pt idx="3">
                  <c:v>0.46989129098197713</c:v>
                </c:pt>
                <c:pt idx="4">
                  <c:v>0.54366754667090933</c:v>
                </c:pt>
                <c:pt idx="5">
                  <c:v>0.63114429095372748</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c:v>
                </c:pt>
                <c:pt idx="1">
                  <c:v>0</c:v>
                </c:pt>
                <c:pt idx="2">
                  <c:v>0</c:v>
                </c:pt>
                <c:pt idx="3">
                  <c:v>0</c:v>
                </c:pt>
                <c:pt idx="4">
                  <c:v>8.5233934179907992E-5</c:v>
                </c:pt>
                <c:pt idx="5">
                  <c:v>1.1282213272365967E-4</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0.20936710582357251</c:v>
                </c:pt>
                <c:pt idx="1">
                  <c:v>0.26255412554731222</c:v>
                </c:pt>
                <c:pt idx="2">
                  <c:v>0.29418086814541528</c:v>
                </c:pt>
                <c:pt idx="3">
                  <c:v>0.30680165352337913</c:v>
                </c:pt>
                <c:pt idx="4">
                  <c:v>0.28506573972392824</c:v>
                </c:pt>
                <c:pt idx="5">
                  <c:v>0.245927776512812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1</c:v>
                </c:pt>
                <c:pt idx="1">
                  <c:v>1</c:v>
                </c:pt>
                <c:pt idx="2">
                  <c:v>1</c:v>
                </c:pt>
                <c:pt idx="3">
                  <c:v>1</c:v>
                </c:pt>
                <c:pt idx="4">
                  <c:v>1</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-21.228410195863475</c:v>
                </c:pt>
                <c:pt idx="1">
                  <c:v>-18.559787718992826</c:v>
                </c:pt>
                <c:pt idx="2">
                  <c:v>3.6275650054397475</c:v>
                </c:pt>
                <c:pt idx="3">
                  <c:v>3.0983589125274191</c:v>
                </c:pt>
                <c:pt idx="4">
                  <c:v>4.1725630516159118</c:v>
                </c:pt>
                <c:pt idx="5">
                  <c:v>6.1389791442954333</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88172478529.229996</c:v>
                </c:pt>
                <c:pt idx="1">
                  <c:v>67085700492.129997</c:v>
                </c:pt>
                <c:pt idx="2">
                  <c:v>36934596946.529999</c:v>
                </c:pt>
                <c:pt idx="3">
                  <c:v>27886130602.540001</c:v>
                </c:pt>
                <c:pt idx="4">
                  <c:v>25514135978.91</c:v>
                </c:pt>
                <c:pt idx="5">
                  <c:v>22376612663.389999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0</c:v>
                </c:pt>
                <c:pt idx="1">
                  <c:v>0</c:v>
                </c:pt>
                <c:pt idx="2">
                  <c:v>0</c:v>
                </c:pt>
                <c:pt idx="3">
                  <c:v>0</c:v>
                </c:pt>
                <c:pt idx="4">
                  <c:v>4000000</c:v>
                </c:pt>
                <c:pt idx="5">
                  <c:v>4000000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22298780913.480003</c:v>
                </c:pt>
                <c:pt idx="1">
                  <c:v>22664155957.809998</c:v>
                </c:pt>
                <c:pt idx="2">
                  <c:v>21248449399.18</c:v>
                </c:pt>
                <c:pt idx="3">
                  <c:v>18207426150.310001</c:v>
                </c:pt>
                <c:pt idx="4">
                  <c:v>13378039742.819998</c:v>
                </c:pt>
                <c:pt idx="5">
                  <c:v>8719132339.5799999</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106505655822.89</c:v>
                </c:pt>
                <c:pt idx="1">
                  <c:v>86321842822.179993</c:v>
                </c:pt>
                <c:pt idx="2">
                  <c:v>72229202167.820007</c:v>
                </c:pt>
                <c:pt idx="3">
                  <c:v>59345919232.220001</c:v>
                </c:pt>
                <c:pt idx="4">
                  <c:v>46929665261.690002</c:v>
                </c:pt>
                <c:pt idx="5">
                  <c:v>35454036397.25</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23414593.670000002</c:v>
                </c:pt>
                <c:pt idx="1">
                  <c:v>34481635.329999998</c:v>
                </c:pt>
                <c:pt idx="2">
                  <c:v>27409447.399999999</c:v>
                </c:pt>
                <c:pt idx="3">
                  <c:v>77917681.909999996</c:v>
                </c:pt>
                <c:pt idx="4">
                  <c:v>27383888.890000001</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88149063935.559998</c:v>
                </c:pt>
                <c:pt idx="1">
                  <c:v>67051218856.799988</c:v>
                </c:pt>
                <c:pt idx="2">
                  <c:v>36907187499.130013</c:v>
                </c:pt>
                <c:pt idx="3">
                  <c:v>27808212920.630001</c:v>
                </c:pt>
                <c:pt idx="4">
                  <c:v>25486752090.020004</c:v>
                </c:pt>
                <c:pt idx="5">
                  <c:v>22376612663.389999</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-88149063935.559998</c:v>
                </c:pt>
                <c:pt idx="1">
                  <c:v>-67051218856.799995</c:v>
                </c:pt>
                <c:pt idx="2">
                  <c:v>-36907187499.129997</c:v>
                </c:pt>
                <c:pt idx="3">
                  <c:v>-27808212920.630001</c:v>
                </c:pt>
                <c:pt idx="4">
                  <c:v>-25486752090.02</c:v>
                </c:pt>
                <c:pt idx="5">
                  <c:v>-22376612663.389999</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0.1020380384623322</c:v>
                </c:pt>
                <c:pt idx="1">
                  <c:v>8.7748633993877639E-2</c:v>
                </c:pt>
                <c:pt idx="2">
                  <c:v>7.7721059472512857E-2</c:v>
                </c:pt>
                <c:pt idx="3">
                  <c:v>7.4065871468556782E-2</c:v>
                </c:pt>
                <c:pt idx="4">
                  <c:v>7.0950598431412201E-2</c:v>
                </c:pt>
                <c:pt idx="5">
                  <c:v>7.727388282695602E-2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0.89796196153766783</c:v>
                </c:pt>
                <c:pt idx="1">
                  <c:v>0.91225136600612233</c:v>
                </c:pt>
                <c:pt idx="2">
                  <c:v>0.92227894052748705</c:v>
                </c:pt>
                <c:pt idx="3">
                  <c:v>0.9259341285314433</c:v>
                </c:pt>
                <c:pt idx="4">
                  <c:v>0.92904940156858784</c:v>
                </c:pt>
                <c:pt idx="5">
                  <c:v>0.92272611717304409</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0.14435800767975732</c:v>
                </c:pt>
                <c:pt idx="1">
                  <c:v>0.1674873789740548</c:v>
                </c:pt>
                <c:pt idx="2">
                  <c:v>0.10560975505423192</c:v>
                </c:pt>
                <c:pt idx="3">
                  <c:v>8.8332195764521421E-2</c:v>
                </c:pt>
                <c:pt idx="4">
                  <c:v>9.0251789050588727E-2</c:v>
                </c:pt>
                <c:pt idx="5">
                  <c:v>9.7244837025972725E-2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5.1291278614235221E-2</c:v>
                </c:pt>
                <c:pt idx="1">
                  <c:v>4.3256749636766789E-2</c:v>
                </c:pt>
                <c:pt idx="2">
                  <c:v>4.5467864247778898E-2</c:v>
                </c:pt>
                <c:pt idx="3">
                  <c:v>5.3041655852830959E-2</c:v>
                </c:pt>
                <c:pt idx="4">
                  <c:v>6.0091347967897453E-2</c:v>
                </c:pt>
                <c:pt idx="5">
                  <c:v>4.6287580064227611E-2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8.108409882434206E-2</c:v>
                </c:pt>
                <c:pt idx="1">
                  <c:v>0.10774456717657206</c:v>
                </c:pt>
                <c:pt idx="2">
                  <c:v>0.11674527477944184</c:v>
                </c:pt>
                <c:pt idx="3">
                  <c:v>0.10700282485530214</c:v>
                </c:pt>
                <c:pt idx="4">
                  <c:v>9.1674501332437042E-2</c:v>
                </c:pt>
                <c:pt idx="5">
                  <c:v>8.3317431753680921E-2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-1.3833733785819714E-4</c:v>
                </c:pt>
                <c:pt idx="1">
                  <c:v>3.1721053862260513E-4</c:v>
                </c:pt>
                <c:pt idx="2">
                  <c:v>-1.6543792919864222E-5</c:v>
                </c:pt>
                <c:pt idx="3">
                  <c:v>1.3705797793769712E-5</c:v>
                </c:pt>
                <c:pt idx="4">
                  <c:v>-6.4809688138192623E-5</c:v>
                </c:pt>
                <c:pt idx="5">
                  <c:v>1.1261465722399975E-4</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7.0151593648562152E-5</c:v>
                </c:pt>
                <c:pt idx="1">
                  <c:v>2.0251969076491887E-5</c:v>
                </c:pt>
                <c:pt idx="2">
                  <c:v>5.0008908066264638E-5</c:v>
                </c:pt>
                <c:pt idx="3">
                  <c:v>2.6336704955328646E-5</c:v>
                </c:pt>
                <c:pt idx="4">
                  <c:v>1.4067620949575066E-5</c:v>
                </c:pt>
                <c:pt idx="5">
                  <c:v>2.280031859402949E-5</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-3.4342620346539E-3</c:v>
                </c:pt>
                <c:pt idx="1">
                  <c:v>-7.9188592397592666E-3</c:v>
                </c:pt>
                <c:pt idx="2">
                  <c:v>-4.8156462388790483E-3</c:v>
                </c:pt>
                <c:pt idx="3">
                  <c:v>-6.9877529922764891E-3</c:v>
                </c:pt>
                <c:pt idx="4">
                  <c:v>-1.161589916293706E-2</c:v>
                </c:pt>
                <c:pt idx="5">
                  <c:v>-4.9233679232099665E-3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0.27323093733947101</c:v>
                </c:pt>
                <c:pt idx="1">
                  <c:v>0.31090729905533349</c:v>
                </c:pt>
                <c:pt idx="2">
                  <c:v>0.26304071295772002</c:v>
                </c:pt>
                <c:pt idx="3">
                  <c:v>0.24142896598312716</c:v>
                </c:pt>
                <c:pt idx="4">
                  <c:v>0.23035099712079754</c:v>
                </c:pt>
                <c:pt idx="5">
                  <c:v>0.22206189589648934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0.45094537252781386</c:v>
                </c:pt>
                <c:pt idx="1">
                  <c:v>0.4306517351277509</c:v>
                </c:pt>
                <c:pt idx="2">
                  <c:v>0.48024137831945934</c:v>
                </c:pt>
                <c:pt idx="3">
                  <c:v>0.49380612472153673</c:v>
                </c:pt>
                <c:pt idx="4">
                  <c:v>0.50223455765225022</c:v>
                </c:pt>
                <c:pt idx="5">
                  <c:v>0.51748258426232618</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0.99820934159638597</c:v>
                </c:pt>
                <c:pt idx="1">
                  <c:v>0.99678959421521218</c:v>
                </c:pt>
                <c:pt idx="2">
                  <c:v>0.99522857787997387</c:v>
                </c:pt>
                <c:pt idx="3">
                  <c:v>0.993581331728978</c:v>
                </c:pt>
                <c:pt idx="4">
                  <c:v>0.9797121796163335</c:v>
                </c:pt>
                <c:pt idx="5">
                  <c:v>0.97728339896532879</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1.7906584036140917E-3</c:v>
                </c:pt>
                <c:pt idx="1">
                  <c:v>3.2104057847878137E-3</c:v>
                </c:pt>
                <c:pt idx="2">
                  <c:v>4.7714221200262016E-3</c:v>
                </c:pt>
                <c:pt idx="3">
                  <c:v>6.4186682710220795E-3</c:v>
                </c:pt>
                <c:pt idx="4">
                  <c:v>2.028782038366644E-2</c:v>
                </c:pt>
                <c:pt idx="5">
                  <c:v>2.2716601034671269E-2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0.45169206588630778</c:v>
                </c:pt>
                <c:pt idx="1">
                  <c:v>0.43131356042330332</c:v>
                </c:pt>
                <c:pt idx="2">
                  <c:v>0.48157058362185717</c:v>
                </c:pt>
                <c:pt idx="3">
                  <c:v>0.49673671513353068</c:v>
                </c:pt>
                <c:pt idx="4">
                  <c:v>0.5126243406056179</c:v>
                </c:pt>
                <c:pt idx="5">
                  <c:v>0.52949045744811984</c:v>
                </c:pt>
                <c:pt idx="6">
                  <c:v>0.50259091322566629</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0.99820934159638597</c:v>
                </c:pt>
                <c:pt idx="1">
                  <c:v>0.99678959421521218</c:v>
                </c:pt>
                <c:pt idx="2">
                  <c:v>0.99522857787997387</c:v>
                </c:pt>
                <c:pt idx="3">
                  <c:v>0.993581331728978</c:v>
                </c:pt>
                <c:pt idx="4">
                  <c:v>0.9797121796163335</c:v>
                </c:pt>
                <c:pt idx="5">
                  <c:v>0.97728339896532879</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1.7906584036140917E-3</c:v>
                </c:pt>
                <c:pt idx="1">
                  <c:v>3.2104057847878137E-3</c:v>
                </c:pt>
                <c:pt idx="2">
                  <c:v>4.7714221200262016E-3</c:v>
                </c:pt>
                <c:pt idx="3">
                  <c:v>6.4186682710220795E-3</c:v>
                </c:pt>
                <c:pt idx="4">
                  <c:v>2.028782038366644E-2</c:v>
                </c:pt>
                <c:pt idx="5">
                  <c:v>2.2716601034671269E-2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1.377835075297984E-4</c:v>
                </c:pt>
                <c:pt idx="1">
                  <c:v>1.6785402099298574E-3</c:v>
                </c:pt>
                <c:pt idx="2">
                  <c:v>2.0168425220642439E-3</c:v>
                </c:pt>
                <c:pt idx="3">
                  <c:v>5.2206274401866981E-4</c:v>
                </c:pt>
                <c:pt idx="4">
                  <c:v>2.0403998447382499E-5</c:v>
                </c:pt>
                <c:pt idx="5">
                  <c:v>3.9325550926117003E-5</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58217861314.169998</c:v>
                </c:pt>
                <c:pt idx="1">
                  <c:v>38862189993.839996</c:v>
                </c:pt>
                <c:pt idx="2">
                  <c:v>32659583725.279999</c:v>
                </c:pt>
                <c:pt idx="3">
                  <c:v>31573928530.939999</c:v>
                </c:pt>
                <c:pt idx="4">
                  <c:v>30921801316.599998</c:v>
                </c:pt>
                <c:pt idx="5">
                  <c:v>26455335152.990002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5940436371.9700003</c:v>
                </c:pt>
                <c:pt idx="1">
                  <c:v>3410104085.9699998</c:v>
                </c:pt>
                <c:pt idx="2">
                  <c:v>2538337449.0599999</c:v>
                </c:pt>
                <c:pt idx="3">
                  <c:v>2338550532.3299999</c:v>
                </c:pt>
                <c:pt idx="4">
                  <c:v>2193920307.9899998</c:v>
                </c:pt>
                <c:pt idx="5">
                  <c:v>2044306468.76</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52277424942.199997</c:v>
                </c:pt>
                <c:pt idx="1">
                  <c:v>35452085907.869995</c:v>
                </c:pt>
                <c:pt idx="2">
                  <c:v>30121246276.219997</c:v>
                </c:pt>
                <c:pt idx="3">
                  <c:v>29235377998.610001</c:v>
                </c:pt>
                <c:pt idx="4">
                  <c:v>28727881008.610001</c:v>
                </c:pt>
                <c:pt idx="5">
                  <c:v>24411028684.230003</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5.4608774642700257E-4</c:v>
                </c:pt>
                <c:pt idx="1">
                  <c:v>8.1129438122829649E-4</c:v>
                </c:pt>
                <c:pt idx="2">
                  <c:v>1.9493172721138144E-3</c:v>
                </c:pt>
                <c:pt idx="3">
                  <c:v>3.6100596996857083E-3</c:v>
                </c:pt>
                <c:pt idx="4">
                  <c:v>1.2649433313947698E-2</c:v>
                </c:pt>
                <c:pt idx="5">
                  <c:v>1.4221240827486395E-2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-14.68070611575963</c:v>
                </c:pt>
                <c:pt idx="1">
                  <c:v>-11.336649796002753</c:v>
                </c:pt>
                <c:pt idx="2">
                  <c:v>2.325161712492942</c:v>
                </c:pt>
                <c:pt idx="3">
                  <c:v>2.3825131994458535</c:v>
                </c:pt>
                <c:pt idx="4">
                  <c:v>3.8491120406380666</c:v>
                </c:pt>
                <c:pt idx="5">
                  <c:v>6.0756924049095495</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2.6108091532024642</c:v>
                </c:pt>
                <c:pt idx="1">
                  <c:v>1.7146983133271374</c:v>
                </c:pt>
                <c:pt idx="2">
                  <c:v>1.5370337435794428</c:v>
                </c:pt>
                <c:pt idx="3">
                  <c:v>1.7341236630748282</c:v>
                </c:pt>
                <c:pt idx="4">
                  <c:v>2.3113850691911533</c:v>
                </c:pt>
                <c:pt idx="5">
                  <c:v>3.0341706172869438</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0.6602724828118588</c:v>
                </c:pt>
                <c:pt idx="1">
                  <c:v>0.57929170760315785</c:v>
                </c:pt>
                <c:pt idx="2">
                  <c:v>0.88425450459256638</c:v>
                </c:pt>
                <c:pt idx="3">
                  <c:v>1.1322448776046432</c:v>
                </c:pt>
                <c:pt idx="4">
                  <c:v>1.2119478136418171</c:v>
                </c:pt>
                <c:pt idx="5">
                  <c:v>1.1822761358457587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0</c:v>
                </c:pt>
                <c:pt idx="1">
                  <c:v>0</c:v>
                </c:pt>
                <c:pt idx="2">
                  <c:v>0</c:v>
                </c:pt>
                <c:pt idx="3">
                  <c:v>0</c:v>
                </c:pt>
                <c:pt idx="4">
                  <c:v>7730.4503291499996</c:v>
                </c:pt>
                <c:pt idx="5">
                  <c:v>6613.8337882475007</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2.6069336117741853</c:v>
                </c:pt>
                <c:pt idx="1">
                  <c:v>1.7101081625083399</c:v>
                </c:pt>
                <c:pt idx="2">
                  <c:v>1.5356244794591813</c:v>
                </c:pt>
                <c:pt idx="3">
                  <c:v>1.7255176002526935</c:v>
                </c:pt>
                <c:pt idx="4">
                  <c:v>2.2866812759254995</c:v>
                </c:pt>
                <c:pt idx="5">
                  <c:v>12.504655158491371</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3.8190430511890248</c:v>
                </c:pt>
                <c:pt idx="1">
                  <c:v>2.6888336600684966</c:v>
                </c:pt>
                <c:pt idx="2">
                  <c:v>2.8608722532858462</c:v>
                </c:pt>
                <c:pt idx="3">
                  <c:v>3.0430479610263252</c:v>
                </c:pt>
                <c:pt idx="4">
                  <c:v>3.62793254518997</c:v>
                </c:pt>
                <c:pt idx="5">
                  <c:v>3.8862994148964169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28.872107115176732</c:v>
                </c:pt>
                <c:pt idx="1">
                  <c:v>14.154455544907542</c:v>
                </c:pt>
                <c:pt idx="2">
                  <c:v>6.6718239369276588</c:v>
                </c:pt>
                <c:pt idx="3">
                  <c:v>9.2273552832245151</c:v>
                </c:pt>
                <c:pt idx="4">
                  <c:v>67.762183169197215</c:v>
                </c:pt>
                <c:pt idx="5">
                  <c:v>67.372548405928981</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16.832674193584744</c:v>
                </c:pt>
                <c:pt idx="1">
                  <c:v>11.003693111590771</c:v>
                </c:pt>
                <c:pt idx="2">
                  <c:v>9.116518136325249</c:v>
                </c:pt>
                <c:pt idx="3">
                  <c:v>8.8130742526657766</c:v>
                </c:pt>
                <c:pt idx="4">
                  <c:v>8.677835415185104</c:v>
                </c:pt>
                <c:pt idx="5">
                  <c:v>30.668731213423015</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-3.8901567969494133</c:v>
                </c:pt>
                <c:pt idx="1">
                  <c:v>-4.7375954721390805</c:v>
                </c:pt>
                <c:pt idx="2">
                  <c:v>94.188268771291249</c:v>
                </c:pt>
                <c:pt idx="3">
                  <c:v>-26.620059558701108</c:v>
                </c:pt>
                <c:pt idx="4">
                  <c:v>-8.1185245687095122</c:v>
                </c:pt>
                <c:pt idx="5">
                  <c:v>-4.5448831249061064</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0.27837270415224791</c:v>
                </c:pt>
                <c:pt idx="1">
                  <c:v>0.1765267577465493</c:v>
                </c:pt>
                <c:pt idx="2">
                  <c:v>0.15385886156456818</c:v>
                </c:pt>
                <c:pt idx="3">
                  <c:v>0.17439392275182733</c:v>
                </c:pt>
                <c:pt idx="4">
                  <c:v>0.20406152288490351</c:v>
                </c:pt>
                <c:pt idx="5">
                  <c:v>0.24260668759675261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60.692223987076154</c:v>
                </c:pt>
                <c:pt idx="1">
                  <c:v>-11.324522472392236</c:v>
                </c:pt>
                <c:pt idx="2">
                  <c:v>-1.8437608797232883</c:v>
                </c:pt>
                <c:pt idx="3">
                  <c:v>-0.75724049866626852</c:v>
                </c:pt>
                <c:pt idx="4">
                  <c:v>-0.58136957524505284</c:v>
                </c:pt>
                <c:pt idx="5">
                  <c:v>-0.78381877760839225</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1.9620512455399317</c:v>
                </c:pt>
                <c:pt idx="1">
                  <c:v>1.1828805675524885</c:v>
                </c:pt>
                <c:pt idx="2">
                  <c:v>0.60110863833553785</c:v>
                </c:pt>
                <c:pt idx="3">
                  <c:v>0.6729624188970702</c:v>
                </c:pt>
                <c:pt idx="4">
                  <c:v>0.97548586626635159</c:v>
                </c:pt>
                <c:pt idx="5">
                  <c:v>1.397935879586454</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0.61786250012888899</c:v>
                </c:pt>
                <c:pt idx="1">
                  <c:v>0.58550634847127037</c:v>
                </c:pt>
                <c:pt idx="2">
                  <c:v>0.64960693509200895</c:v>
                </c:pt>
                <c:pt idx="3">
                  <c:v>0.67052965656376318</c:v>
                </c:pt>
                <c:pt idx="4">
                  <c:v>0.67546660612191622</c:v>
                </c:pt>
                <c:pt idx="5">
                  <c:v>0.69081748543013477</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26296546048.480003</c:v>
                </c:pt>
                <c:pt idx="1">
                  <c:v>16761789532.09</c:v>
                </c:pt>
                <c:pt idx="2">
                  <c:v>15727894795.429996</c:v>
                </c:pt>
                <c:pt idx="3">
                  <c:v>15683929542.32</c:v>
                </c:pt>
                <c:pt idx="4">
                  <c:v>15851268010.26</c:v>
                </c:pt>
                <c:pt idx="5">
                  <c:v>14007847512.1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96019627475.080002</c:v>
                </c:pt>
                <c:pt idx="1">
                  <c:v>75898542854.720001</c:v>
                </c:pt>
                <c:pt idx="2">
                  <c:v>66234170421.290001</c:v>
                </c:pt>
                <c:pt idx="3">
                  <c:v>55311550841.119995</c:v>
                </c:pt>
                <c:pt idx="4">
                  <c:v>44129092273.259995</c:v>
                </c:pt>
                <c:pt idx="5">
                  <c:v>35454036397.25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58217861314.169998</c:v>
                </c:pt>
                <c:pt idx="1">
                  <c:v>38862189993.839996</c:v>
                </c:pt>
                <c:pt idx="2">
                  <c:v>32659583725.279999</c:v>
                </c:pt>
                <c:pt idx="3">
                  <c:v>31573928530.939999</c:v>
                </c:pt>
                <c:pt idx="4">
                  <c:v>30921801316.599998</c:v>
                </c:pt>
                <c:pt idx="5">
                  <c:v>26455335152.990002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35970633343.730003</c:v>
                </c:pt>
                <c:pt idx="1">
                  <c:v>22754058956.889999</c:v>
                </c:pt>
                <c:pt idx="2">
                  <c:v>21215892085.159996</c:v>
                </c:pt>
                <c:pt idx="3">
                  <c:v>21171255454.220001</c:v>
                </c:pt>
                <c:pt idx="4">
                  <c:v>20886644190.5</c:v>
                </c:pt>
                <c:pt idx="5">
                  <c:v>18275808106.600002</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0</c:v>
                </c:pt>
                <c:pt idx="1">
                  <c:v>0</c:v>
                </c:pt>
                <c:pt idx="2">
                  <c:v>0</c:v>
                </c:pt>
                <c:pt idx="3">
                  <c:v>0</c:v>
                </c:pt>
                <c:pt idx="4">
                  <c:v>4000000</c:v>
                </c:pt>
                <c:pt idx="5">
                  <c:v>4000000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股东权益回报率分析表!$A$68</c:f>
              <c:strCache>
                <c:ptCount val="1"/>
                <c:pt idx="0">
                  <c:v>存货</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股东权益回报率分析表!$B$68:$CK$68</c:f>
              <c:numCache>
                <c:formatCode>#,##0.00_ </c:formatCode>
                <c:ptCount val="35"/>
                <c:pt idx="0">
                  <c:v>22057481376.459999</c:v>
                </c:pt>
                <c:pt idx="1">
                  <c:v>20622251825.549999</c:v>
                </c:pt>
                <c:pt idx="2">
                  <c:v>18013297022.700001</c:v>
                </c:pt>
                <c:pt idx="3">
                  <c:v>14982364367.85</c:v>
                </c:pt>
                <c:pt idx="4">
                  <c:v>11836810239.030001</c:v>
                </c:pt>
                <c:pt idx="5">
                  <c:v>9665727593.4200001</c:v>
                </c:pt>
                <c:pt idx="6">
                  <c:v>7187117552.8599997</c:v>
                </c:pt>
                <c:pt idx="7">
                  <c:v>5574126083.4200001</c:v>
                </c:pt>
                <c:pt idx="8">
                  <c:v>4192246440.3600001</c:v>
                </c:pt>
                <c:pt idx="9">
                  <c:v>3114567813.3299999</c:v>
                </c:pt>
                <c:pt idx="10">
                  <c:v>2304818947.9200001</c:v>
                </c:pt>
                <c:pt idx="11">
                  <c:v>1974710283.3499999</c:v>
                </c:pt>
                <c:pt idx="12">
                  <c:v>1860549625.24</c:v>
                </c:pt>
                <c:pt idx="13">
                  <c:v>1693741195.1099999</c:v>
                </c:pt>
                <c:pt idx="14">
                  <c:v>1215006621.05</c:v>
                </c:pt>
                <c:pt idx="15">
                  <c:v>1076612588.52</c:v>
                </c:pt>
                <c:pt idx="16">
                  <c:v>786368826.80999994</c:v>
                </c:pt>
                <c:pt idx="17">
                  <c:v>512332818.61000001</c:v>
                </c:pt>
                <c:pt idx="18">
                  <c:v>423401102.17000002</c:v>
                </c:pt>
                <c:pt idx="19">
                  <c:v>316665851.52999997</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smooth val="0"/>
          <c:extLst>
            <c:ext xmlns:c16="http://schemas.microsoft.com/office/drawing/2014/chart" uri="{C3380CC4-5D6E-409C-BE32-E72D297353CC}">
              <c16:uniqueId val="{00000000-293F-49F2-A2A0-1BABABB09BF2}"/>
            </c:ext>
          </c:extLst>
        </c:ser>
        <c:dLbls>
          <c:showLegendKey val="0"/>
          <c:showVal val="0"/>
          <c:showCatName val="0"/>
          <c:showSerName val="0"/>
          <c:showPercent val="0"/>
          <c:showBubbleSize val="0"/>
        </c:dLbls>
        <c:marker val="1"/>
        <c:smooth val="0"/>
        <c:axId val="598789240"/>
        <c:axId val="598790200"/>
      </c:lineChart>
      <c:catAx>
        <c:axId val="598789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98790200"/>
        <c:crosses val="autoZero"/>
        <c:auto val="1"/>
        <c:lblAlgn val="ctr"/>
        <c:lblOffset val="100"/>
        <c:noMultiLvlLbl val="0"/>
      </c:catAx>
      <c:valAx>
        <c:axId val="598790200"/>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98789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0.90171319281011075</c:v>
                </c:pt>
                <c:pt idx="1">
                  <c:v>1.2986607631058005</c:v>
                </c:pt>
                <c:pt idx="2">
                  <c:v>0.94762061662085728</c:v>
                </c:pt>
                <c:pt idx="3">
                  <c:v>0.88567707462715783</c:v>
                </c:pt>
                <c:pt idx="4">
                  <c:v>0.91420896486158842</c:v>
                </c:pt>
                <c:pt idx="5">
                  <c:v>0.93408097945975643</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0.4379309238315427</c:v>
                </c:pt>
                <c:pt idx="1">
                  <c:v>0.44619849552870239</c:v>
                </c:pt>
                <c:pt idx="2">
                  <c:v>0.62677885098930086</c:v>
                </c:pt>
                <c:pt idx="3">
                  <c:v>0.57159433992406183</c:v>
                </c:pt>
                <c:pt idx="4">
                  <c:v>0.60241427387601931</c:v>
                </c:pt>
                <c:pt idx="5">
                  <c:v>0.65475146383297367</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0.84382633084804959</c:v>
                </c:pt>
                <c:pt idx="1">
                  <c:v>2.2377565730909654</c:v>
                </c:pt>
                <c:pt idx="2">
                  <c:v>1.1116936134845117</c:v>
                </c:pt>
                <c:pt idx="3">
                  <c:v>0.81022377796601219</c:v>
                </c:pt>
                <c:pt idx="4">
                  <c:v>0.81487618407215523</c:v>
                </c:pt>
                <c:pt idx="5">
                  <c:v>0.87079313689697502</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0.84243139929057309</c:v>
                </c:pt>
                <c:pt idx="1">
                  <c:v>2.234322867218359</c:v>
                </c:pt>
                <c:pt idx="2">
                  <c:v>1.1086251763832005</c:v>
                </c:pt>
                <c:pt idx="3">
                  <c:v>0.80544371246463597</c:v>
                </c:pt>
                <c:pt idx="4">
                  <c:v>0.79836041215938192</c:v>
                </c:pt>
                <c:pt idx="5">
                  <c:v>0.8510451444415249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-0.42382693496532298</c:v>
                </c:pt>
                <c:pt idx="1">
                  <c:v>1.2004584443693647</c:v>
                </c:pt>
                <c:pt idx="2">
                  <c:v>0.40699845471075047</c:v>
                </c:pt>
                <c:pt idx="3">
                  <c:v>-2.4939677698575614E-2</c:v>
                </c:pt>
                <c:pt idx="4">
                  <c:v>5.2977486387744389E-2</c:v>
                </c:pt>
                <c:pt idx="5">
                  <c:v>0.17131323684810629</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22153036084.130001</c:v>
                </c:pt>
                <c:pt idx="1">
                  <c:v>37451249647.050003</c:v>
                </c:pt>
                <c:pt idx="2">
                  <c:v>17436340141.720001</c:v>
                </c:pt>
                <c:pt idx="3">
                  <c:v>12632522436.6</c:v>
                </c:pt>
                <c:pt idx="4">
                  <c:v>12655024861.92</c:v>
                </c:pt>
                <c:pt idx="5">
                  <c:v>11921310609.25</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26253075158.090992</c:v>
                </c:pt>
                <c:pt idx="1">
                  <c:v>16736069551.711514</c:v>
                </c:pt>
                <c:pt idx="2">
                  <c:v>15684483503.568249</c:v>
                </c:pt>
                <c:pt idx="3">
                  <c:v>15591399290.098244</c:v>
                </c:pt>
                <c:pt idx="4">
                  <c:v>15529997206.053368</c:v>
                </c:pt>
                <c:pt idx="5">
                  <c:v>13690175202.495228</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26296546048.480003</c:v>
                </c:pt>
                <c:pt idx="1">
                  <c:v>16761789532.09</c:v>
                </c:pt>
                <c:pt idx="2">
                  <c:v>15727894795.429996</c:v>
                </c:pt>
                <c:pt idx="3">
                  <c:v>15683929542.32</c:v>
                </c:pt>
                <c:pt idx="4">
                  <c:v>15851268010.26</c:v>
                </c:pt>
                <c:pt idx="5">
                  <c:v>14007847512.1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11" Type="http://schemas.openxmlformats.org/officeDocument/2006/relationships/chart" Target="../charts/chart37.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image" Target="../media/image1.png"/><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175260</xdr:colOff>
      <xdr:row>58</xdr:row>
      <xdr:rowOff>144780</xdr:rowOff>
    </xdr:from>
    <xdr:to>
      <xdr:col>32</xdr:col>
      <xdr:colOff>666750</xdr:colOff>
      <xdr:row>72</xdr:row>
      <xdr:rowOff>121920</xdr:rowOff>
    </xdr:to>
    <xdr:graphicFrame macro="">
      <xdr:nvGraphicFramePr>
        <xdr:cNvPr id="6" name="图表 5">
          <a:extLst>
            <a:ext uri="{FF2B5EF4-FFF2-40B4-BE49-F238E27FC236}">
              <a16:creationId xmlns:a16="http://schemas.microsoft.com/office/drawing/2014/main" id="{B4EEC7A9-63C9-4E95-8155-E3C59806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167151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814745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V85"/>
  <sheetViews>
    <sheetView workbookViewId="0">
      <selection activeCell="Y25" sqref="Y25"/>
    </sheetView>
  </sheetViews>
  <sheetFormatPr defaultRowHeight="14.4" x14ac:dyDescent="0.25"/>
  <cols>
    <col min="1" max="1" width="35.88671875" style="188" bestFit="1" customWidth="1"/>
    <col min="2" max="4" width="12.77734375" style="188" hidden="1" customWidth="1"/>
    <col min="5" max="5" width="12.77734375" style="188" bestFit="1" customWidth="1"/>
    <col min="6" max="7" width="12.77734375" style="188" hidden="1" customWidth="1"/>
    <col min="8" max="8" width="13.88671875" style="188" hidden="1" customWidth="1"/>
    <col min="9" max="9" width="13.88671875" style="188" bestFit="1" customWidth="1"/>
    <col min="10" max="10" width="12.77734375" style="188" hidden="1" customWidth="1"/>
    <col min="11" max="11" width="13.88671875" style="188" hidden="1" customWidth="1"/>
    <col min="12" max="12" width="12.77734375" style="188" hidden="1" customWidth="1"/>
    <col min="13" max="13" width="13.88671875" style="188" bestFit="1" customWidth="1"/>
    <col min="14" max="16" width="13.88671875" style="188" hidden="1" customWidth="1"/>
    <col min="17" max="17" width="12.77734375" style="188" bestFit="1" customWidth="1"/>
    <col min="18" max="20" width="12.77734375" style="188" hidden="1" customWidth="1"/>
    <col min="21" max="21" width="12.777343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60" width="12.77734375" style="188" hidden="1" customWidth="1"/>
    <col min="61" max="61" width="12.77734375" style="188" bestFit="1" customWidth="1"/>
    <col min="62" max="64" width="12.77734375" style="188" hidden="1" customWidth="1"/>
    <col min="65" max="65" width="12.77734375" style="188" bestFit="1" customWidth="1"/>
    <col min="66" max="68" width="12.77734375" style="188" hidden="1" customWidth="1"/>
    <col min="69" max="69" width="12.77734375" style="188" bestFit="1" customWidth="1"/>
    <col min="70" max="70" width="12.77734375" style="188" hidden="1" customWidth="1"/>
    <col min="71" max="73" width="12.77734375" style="188" bestFit="1" customWidth="1"/>
    <col min="74" max="74" width="9.5546875" style="188" hidden="1" customWidth="1"/>
    <col min="75" max="16384" width="8.88671875" style="188"/>
  </cols>
  <sheetData>
    <row r="1" spans="1:74" x14ac:dyDescent="0.25">
      <c r="A1" s="188">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19991231</v>
      </c>
      <c r="BU1" s="188">
        <v>19981231</v>
      </c>
      <c r="BV1" s="188">
        <v>19700101</v>
      </c>
    </row>
    <row r="2" spans="1:74"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row>
    <row r="3" spans="1:74" x14ac:dyDescent="0.25">
      <c r="A3" s="188" t="s">
        <v>107</v>
      </c>
    </row>
    <row r="4" spans="1:74" x14ac:dyDescent="0.25">
      <c r="A4" s="188" t="s">
        <v>108</v>
      </c>
      <c r="B4" s="188">
        <v>100750857255.34</v>
      </c>
      <c r="C4" s="188">
        <v>83660170568.710007</v>
      </c>
      <c r="D4" s="188">
        <v>87211373700.729996</v>
      </c>
      <c r="E4" s="188">
        <v>87868869913.339996</v>
      </c>
      <c r="F4" s="188">
        <v>80964678997.119995</v>
      </c>
      <c r="G4" s="188">
        <v>73635347053.149994</v>
      </c>
      <c r="H4" s="188">
        <v>72708333794.740005</v>
      </c>
      <c r="I4" s="188">
        <v>66854962118.220001</v>
      </c>
      <c r="J4" s="188">
        <v>61999742903.470001</v>
      </c>
      <c r="K4" s="188">
        <v>47528057097.449997</v>
      </c>
      <c r="L4" s="188">
        <v>43775736151.699997</v>
      </c>
      <c r="M4" s="188">
        <v>36800749895.059998</v>
      </c>
      <c r="N4" s="188">
        <v>30536117619.709999</v>
      </c>
      <c r="O4" s="188">
        <v>30236504717.380001</v>
      </c>
      <c r="P4" s="188">
        <v>28420683403.889999</v>
      </c>
      <c r="Q4" s="188">
        <v>27710717680.209999</v>
      </c>
      <c r="R4" s="188">
        <v>22795906975.310001</v>
      </c>
      <c r="S4" s="188">
        <v>21095077301.209999</v>
      </c>
      <c r="T4" s="188">
        <v>23364071644.09</v>
      </c>
      <c r="U4" s="188">
        <v>25185009331.68</v>
      </c>
      <c r="V4" s="188">
        <v>22011372945.09</v>
      </c>
      <c r="W4" s="188">
        <v>18274962102.509998</v>
      </c>
      <c r="X4" s="188">
        <v>21735234696.970001</v>
      </c>
      <c r="Y4" s="188">
        <v>22061999850.169998</v>
      </c>
      <c r="Z4" s="188">
        <v>18690032974.060001</v>
      </c>
      <c r="AA4" s="188">
        <v>20981859110.759998</v>
      </c>
      <c r="AB4" s="188">
        <v>18851427038.66</v>
      </c>
      <c r="AC4" s="188">
        <v>18254690162.040001</v>
      </c>
      <c r="AD4" s="188">
        <v>18288326258.07</v>
      </c>
      <c r="AE4" s="188">
        <v>17291687378.52</v>
      </c>
      <c r="AF4" s="188">
        <v>15998489422.76</v>
      </c>
      <c r="AG4" s="188">
        <v>12888393889.290001</v>
      </c>
      <c r="AH4" s="188">
        <v>11026669577.42</v>
      </c>
      <c r="AI4" s="188">
        <v>10268861587.440001</v>
      </c>
      <c r="AJ4" s="188">
        <v>9980435183.5699997</v>
      </c>
      <c r="AK4" s="188">
        <v>9743152155.2399998</v>
      </c>
      <c r="AL4" s="188">
        <v>7895280562.8000002</v>
      </c>
      <c r="AM4" s="188">
        <v>7795808371.21</v>
      </c>
      <c r="AN4" s="188">
        <v>7662321131.3000002</v>
      </c>
      <c r="AO4" s="188">
        <v>8093721891.1599998</v>
      </c>
      <c r="AP4" s="188">
        <v>6402015794.54</v>
      </c>
      <c r="AQ4" s="188">
        <v>5065871830.8000002</v>
      </c>
      <c r="AR4" s="188">
        <v>5564443319.29</v>
      </c>
      <c r="AS4" s="188">
        <v>4722706300.0200005</v>
      </c>
      <c r="AT4" s="188">
        <v>4753385536.3500004</v>
      </c>
      <c r="AU4" s="188">
        <v>4809865056.1599998</v>
      </c>
      <c r="AV4" s="188">
        <v>4655485481.29</v>
      </c>
      <c r="AW4" s="188">
        <v>4463098038.6400003</v>
      </c>
      <c r="AX4" s="188">
        <v>4083907788.3400002</v>
      </c>
      <c r="AY4" s="188">
        <v>3419099920.6599998</v>
      </c>
      <c r="AZ4" s="188">
        <v>3975708186.8800001</v>
      </c>
      <c r="BA4" s="188">
        <v>3891989433.5300002</v>
      </c>
      <c r="BB4" s="188">
        <v>3217007276.75</v>
      </c>
      <c r="BC4" s="188">
        <v>3065214770.1900001</v>
      </c>
      <c r="BD4" s="188">
        <v>3024925341.3800001</v>
      </c>
      <c r="BE4" s="188">
        <v>2898327418.8499999</v>
      </c>
      <c r="BF4" s="188">
        <v>2419288966.46</v>
      </c>
      <c r="BG4" s="188">
        <v>2172790156.5900002</v>
      </c>
      <c r="BH4" s="188">
        <v>2091330580.1099999</v>
      </c>
      <c r="BI4" s="188">
        <v>2340047386.8499999</v>
      </c>
      <c r="BJ4" s="188">
        <v>1868792963.71</v>
      </c>
      <c r="BK4" s="188">
        <v>1536249315.6400001</v>
      </c>
      <c r="BL4" s="188">
        <v>1684957738.5599999</v>
      </c>
      <c r="BM4" s="188">
        <v>1780307690.6400001</v>
      </c>
      <c r="BN4" s="188">
        <v>1677224920.04</v>
      </c>
      <c r="BO4" s="188">
        <v>1513800289.8299999</v>
      </c>
      <c r="BP4" s="188">
        <v>1877929846.0899999</v>
      </c>
      <c r="BQ4" s="188">
        <v>1956436570.0999999</v>
      </c>
      <c r="BR4" s="188">
        <v>336439213.5</v>
      </c>
      <c r="BS4" s="188">
        <v>460983583.45999998</v>
      </c>
      <c r="BT4" s="188">
        <v>198390615.12</v>
      </c>
      <c r="BU4" s="188">
        <v>124765368.73999999</v>
      </c>
      <c r="BV4" s="188">
        <v>0</v>
      </c>
    </row>
    <row r="5" spans="1:74" x14ac:dyDescent="0.25">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v>0</v>
      </c>
      <c r="BI5" s="188">
        <v>0</v>
      </c>
      <c r="BJ5" s="188">
        <v>0</v>
      </c>
      <c r="BK5" s="188">
        <v>0</v>
      </c>
      <c r="BL5" s="188">
        <v>0</v>
      </c>
      <c r="BM5" s="188">
        <v>0</v>
      </c>
      <c r="BN5" s="188">
        <v>0</v>
      </c>
      <c r="BO5" s="188">
        <v>0</v>
      </c>
      <c r="BP5" s="188">
        <v>0</v>
      </c>
      <c r="BQ5" s="188">
        <v>0</v>
      </c>
      <c r="BR5" s="188">
        <v>0</v>
      </c>
      <c r="BS5" s="188">
        <v>0</v>
      </c>
      <c r="BT5" s="188">
        <v>0</v>
      </c>
      <c r="BU5" s="188">
        <v>0</v>
      </c>
      <c r="BV5" s="188">
        <v>0</v>
      </c>
    </row>
    <row r="6" spans="1:74"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v>0</v>
      </c>
      <c r="BU6" s="188">
        <v>0</v>
      </c>
      <c r="BV6" s="188">
        <v>0</v>
      </c>
    </row>
    <row r="7" spans="1:74" x14ac:dyDescent="0.25">
      <c r="A7" s="188" t="s">
        <v>111</v>
      </c>
      <c r="B7" s="188">
        <v>620590547</v>
      </c>
      <c r="C7" s="188">
        <v>690294516.89999998</v>
      </c>
      <c r="D7" s="188">
        <v>798746524.89999998</v>
      </c>
      <c r="E7" s="188">
        <v>1221706039</v>
      </c>
      <c r="F7" s="188">
        <v>1829625354</v>
      </c>
      <c r="G7" s="188">
        <v>1698067207.28</v>
      </c>
      <c r="H7" s="188">
        <v>1176901568.28</v>
      </c>
      <c r="I7" s="188">
        <v>817627172</v>
      </c>
      <c r="J7" s="188">
        <v>1138138783.0999999</v>
      </c>
      <c r="K7" s="188">
        <v>6561484493.6400003</v>
      </c>
      <c r="L7" s="188">
        <v>4678118906.46</v>
      </c>
      <c r="M7" s="188">
        <v>8578935406.8199997</v>
      </c>
      <c r="N7" s="188">
        <v>8291402262.2299995</v>
      </c>
      <c r="O7" s="188">
        <v>3954874737.4899998</v>
      </c>
      <c r="P7" s="188">
        <v>2808126680.46</v>
      </c>
      <c r="Q7" s="188">
        <v>1847838617.8299999</v>
      </c>
      <c r="R7" s="188">
        <v>1158808485.0999999</v>
      </c>
      <c r="S7" s="188">
        <v>299692582.10000002</v>
      </c>
      <c r="T7" s="188">
        <v>287246643</v>
      </c>
      <c r="U7" s="188">
        <v>296084005</v>
      </c>
      <c r="V7" s="188">
        <v>196272614</v>
      </c>
      <c r="W7" s="188">
        <v>159151909</v>
      </c>
      <c r="X7" s="188">
        <v>70770220.780000001</v>
      </c>
      <c r="Y7" s="188">
        <v>204079117.80000001</v>
      </c>
      <c r="Z7" s="188">
        <v>348529803.5</v>
      </c>
      <c r="AA7" s="188">
        <v>221512122.5</v>
      </c>
      <c r="AB7" s="188">
        <v>231498512.5</v>
      </c>
      <c r="AC7" s="188">
        <v>252101396.08000001</v>
      </c>
      <c r="AD7" s="188">
        <v>296850744.07999998</v>
      </c>
      <c r="AE7" s="188">
        <v>216485295.28</v>
      </c>
      <c r="AF7" s="188">
        <v>175868596.69999999</v>
      </c>
      <c r="AG7" s="188">
        <v>204811101.19999999</v>
      </c>
      <c r="AH7" s="188">
        <v>271163836.5</v>
      </c>
      <c r="AI7" s="188">
        <v>179851211.30000001</v>
      </c>
      <c r="AJ7" s="188">
        <v>302156251.19999999</v>
      </c>
      <c r="AK7" s="188">
        <v>380760283.19999999</v>
      </c>
      <c r="AL7" s="188">
        <v>275946452.80000001</v>
      </c>
      <c r="AM7" s="188">
        <v>157290474.40000001</v>
      </c>
      <c r="AN7" s="188">
        <v>176104343.59999999</v>
      </c>
      <c r="AO7" s="188">
        <v>170612609</v>
      </c>
      <c r="AP7" s="188">
        <v>90608212.799999997</v>
      </c>
      <c r="AQ7" s="188">
        <v>94821890.799999997</v>
      </c>
      <c r="AR7" s="188">
        <v>82127468.400000006</v>
      </c>
      <c r="AS7" s="188">
        <v>101046224</v>
      </c>
      <c r="AT7" s="188">
        <v>146604935.58000001</v>
      </c>
      <c r="AU7" s="188">
        <v>179337941.80000001</v>
      </c>
      <c r="AV7" s="188">
        <v>195159382.47</v>
      </c>
      <c r="AW7" s="188">
        <v>185653838.47</v>
      </c>
      <c r="AX7" s="188">
        <v>232808366.58000001</v>
      </c>
      <c r="AY7" s="188">
        <v>113565011.8</v>
      </c>
      <c r="AZ7" s="188">
        <v>72016701.799999997</v>
      </c>
      <c r="BA7" s="188">
        <v>159665200.08000001</v>
      </c>
      <c r="BB7" s="188">
        <v>142698346.08000001</v>
      </c>
      <c r="BC7" s="188">
        <v>99986019.079999998</v>
      </c>
      <c r="BD7" s="188">
        <v>129762839.45</v>
      </c>
      <c r="BE7" s="188">
        <v>115374909.92</v>
      </c>
      <c r="BF7" s="188">
        <v>128441126.8</v>
      </c>
      <c r="BG7" s="188">
        <v>62807660.799999997</v>
      </c>
      <c r="BH7" s="188">
        <v>54118710</v>
      </c>
      <c r="BI7" s="188">
        <v>46540363.600000001</v>
      </c>
      <c r="BJ7" s="188">
        <v>71795352.799999997</v>
      </c>
      <c r="BK7" s="188">
        <v>20242382</v>
      </c>
      <c r="BL7" s="188">
        <v>5500000</v>
      </c>
      <c r="BM7" s="188">
        <v>37016763.100000001</v>
      </c>
      <c r="BN7" s="188">
        <v>6167260</v>
      </c>
      <c r="BO7" s="188">
        <v>46470610</v>
      </c>
      <c r="BP7" s="188">
        <v>16681000</v>
      </c>
      <c r="BQ7" s="188">
        <v>11740000</v>
      </c>
      <c r="BR7" s="188">
        <v>31154620</v>
      </c>
      <c r="BS7" s="188">
        <v>2500000</v>
      </c>
      <c r="BT7" s="188">
        <v>13412198</v>
      </c>
      <c r="BU7" s="188">
        <v>0</v>
      </c>
      <c r="BV7" s="188">
        <v>0</v>
      </c>
    </row>
    <row r="8" spans="1:74" x14ac:dyDescent="0.25">
      <c r="A8" s="188" t="s">
        <v>112</v>
      </c>
      <c r="B8" s="188">
        <v>0</v>
      </c>
      <c r="C8" s="188">
        <v>0</v>
      </c>
      <c r="D8" s="188">
        <v>0</v>
      </c>
      <c r="E8" s="188">
        <v>0</v>
      </c>
      <c r="F8" s="188">
        <v>0</v>
      </c>
      <c r="G8" s="188">
        <v>0</v>
      </c>
      <c r="H8" s="188">
        <v>0</v>
      </c>
      <c r="I8" s="188">
        <v>0</v>
      </c>
      <c r="J8" s="188">
        <v>8502001.1999999993</v>
      </c>
      <c r="K8" s="188">
        <v>1044639.8</v>
      </c>
      <c r="L8" s="188">
        <v>230768.89</v>
      </c>
      <c r="M8" s="188">
        <v>230768.89</v>
      </c>
      <c r="N8" s="188">
        <v>3824472.83</v>
      </c>
      <c r="O8" s="188">
        <v>366443.99</v>
      </c>
      <c r="P8" s="188">
        <v>491086.99</v>
      </c>
      <c r="Q8" s="188">
        <v>4306161.24</v>
      </c>
      <c r="R8" s="188">
        <v>2220278.9900000002</v>
      </c>
      <c r="S8" s="188">
        <v>2220278.9900000002</v>
      </c>
      <c r="T8" s="188">
        <v>2676414.79</v>
      </c>
      <c r="U8" s="188">
        <v>927222.79</v>
      </c>
      <c r="V8" s="188">
        <v>927270.79</v>
      </c>
      <c r="W8" s="188">
        <v>927222.79</v>
      </c>
      <c r="X8" s="188">
        <v>1344597.39</v>
      </c>
      <c r="Y8" s="188">
        <v>17818147.27</v>
      </c>
      <c r="Z8" s="188">
        <v>1853461.74</v>
      </c>
      <c r="AA8" s="188">
        <v>1985526.74</v>
      </c>
      <c r="AB8" s="188">
        <v>2056894.08</v>
      </c>
      <c r="AC8" s="188">
        <v>2225396.48</v>
      </c>
      <c r="AD8" s="188">
        <v>2119216.6800000002</v>
      </c>
      <c r="AE8" s="188">
        <v>2298535.27</v>
      </c>
      <c r="AF8" s="188">
        <v>997308.9</v>
      </c>
      <c r="AG8" s="188">
        <v>1254599.9099999999</v>
      </c>
      <c r="AH8" s="188">
        <v>28003199.84</v>
      </c>
      <c r="AI8" s="188">
        <v>28759555.530000001</v>
      </c>
      <c r="AJ8" s="188">
        <v>31070214.280000001</v>
      </c>
      <c r="AK8" s="188">
        <v>21386314.280000001</v>
      </c>
      <c r="AL8" s="188">
        <v>41565282.450000003</v>
      </c>
      <c r="AM8" s="188">
        <v>39875502.539999999</v>
      </c>
      <c r="AN8" s="188">
        <v>56118460.450000003</v>
      </c>
      <c r="AO8" s="188">
        <v>34825094.840000004</v>
      </c>
      <c r="AP8" s="188">
        <v>47344076.619999997</v>
      </c>
      <c r="AQ8" s="188">
        <v>47820451.060000002</v>
      </c>
      <c r="AR8" s="188">
        <v>77785411.650000006</v>
      </c>
      <c r="AS8" s="188">
        <v>46407153.340000004</v>
      </c>
      <c r="AT8" s="188">
        <v>68786878.849999994</v>
      </c>
      <c r="AU8" s="188">
        <v>65189432.07</v>
      </c>
      <c r="AV8" s="188">
        <v>103831215.66</v>
      </c>
      <c r="AW8" s="188">
        <v>67438863.700000003</v>
      </c>
      <c r="AX8" s="188">
        <v>78798820.950000003</v>
      </c>
      <c r="AY8" s="188">
        <v>68909631.170000002</v>
      </c>
      <c r="AZ8" s="188">
        <v>61221809.439999998</v>
      </c>
      <c r="BA8" s="188">
        <v>43685990.329999998</v>
      </c>
      <c r="BB8" s="188">
        <v>40672843.719999999</v>
      </c>
      <c r="BC8" s="188">
        <v>45101032.82</v>
      </c>
      <c r="BD8" s="188">
        <v>28773108.710000001</v>
      </c>
      <c r="BE8" s="188">
        <v>31277360.66</v>
      </c>
      <c r="BF8" s="188">
        <v>42938727.75</v>
      </c>
      <c r="BG8" s="188">
        <v>29019562.670000002</v>
      </c>
      <c r="BH8" s="188">
        <v>22935426.949999999</v>
      </c>
      <c r="BI8" s="188">
        <v>27486075.27</v>
      </c>
      <c r="BJ8" s="188">
        <v>30028932.350000001</v>
      </c>
      <c r="BK8" s="188">
        <v>32813851.629999999</v>
      </c>
      <c r="BL8" s="188">
        <v>59698287.530000001</v>
      </c>
      <c r="BM8" s="188">
        <v>42735776.909999996</v>
      </c>
      <c r="BN8" s="188">
        <v>69269778.560000002</v>
      </c>
      <c r="BO8" s="188">
        <v>41917386.700000003</v>
      </c>
      <c r="BP8" s="188">
        <v>67909035.709999993</v>
      </c>
      <c r="BQ8" s="188">
        <v>46700450.369999997</v>
      </c>
      <c r="BR8" s="188">
        <v>45485831.93</v>
      </c>
      <c r="BS8" s="188">
        <v>47884805.68</v>
      </c>
      <c r="BT8" s="188">
        <v>58760152.619999997</v>
      </c>
      <c r="BU8" s="188">
        <v>29350910</v>
      </c>
      <c r="BV8" s="188">
        <v>0</v>
      </c>
    </row>
    <row r="9" spans="1:74" x14ac:dyDescent="0.25">
      <c r="A9" s="188" t="s">
        <v>113</v>
      </c>
      <c r="B9" s="188">
        <v>1121079958.8099999</v>
      </c>
      <c r="C9" s="188">
        <v>818855540.60000002</v>
      </c>
      <c r="D9" s="188">
        <v>756802769.07000005</v>
      </c>
      <c r="E9" s="188">
        <v>790807322.07000005</v>
      </c>
      <c r="F9" s="188">
        <v>801295419.16999996</v>
      </c>
      <c r="G9" s="188">
        <v>984578688.41999996</v>
      </c>
      <c r="H9" s="188">
        <v>861069103.00999999</v>
      </c>
      <c r="I9" s="188">
        <v>1046100696.92</v>
      </c>
      <c r="J9" s="188">
        <v>1323120682.97</v>
      </c>
      <c r="K9" s="188">
        <v>1281379954.6099999</v>
      </c>
      <c r="L9" s="188">
        <v>1523446788.5599999</v>
      </c>
      <c r="M9" s="188">
        <v>1477734859.9000001</v>
      </c>
      <c r="N9" s="188">
        <v>1888387087.9400001</v>
      </c>
      <c r="O9" s="188">
        <v>2556244726.21</v>
      </c>
      <c r="P9" s="188">
        <v>3399221186.7399998</v>
      </c>
      <c r="Q9" s="188">
        <v>2864210404.2800002</v>
      </c>
      <c r="R9" s="188">
        <v>4397548540.9899998</v>
      </c>
      <c r="S9" s="188">
        <v>3864638855.5</v>
      </c>
      <c r="T9" s="188">
        <v>3882463942.29</v>
      </c>
      <c r="U9" s="188">
        <v>4304579299.6800003</v>
      </c>
      <c r="V9" s="188">
        <v>6514401257.1300001</v>
      </c>
      <c r="W9" s="188">
        <v>5560921770.1099997</v>
      </c>
      <c r="X9" s="188">
        <v>4682606669.5</v>
      </c>
      <c r="Y9" s="188">
        <v>3872870407.8899999</v>
      </c>
      <c r="Z9" s="188">
        <v>3967252707.7800002</v>
      </c>
      <c r="AA9" s="188">
        <v>3010108854.5900002</v>
      </c>
      <c r="AB9" s="188">
        <v>2326144239.71</v>
      </c>
      <c r="AC9" s="188">
        <v>1861027424.03</v>
      </c>
      <c r="AD9" s="188">
        <v>1911544400.1300001</v>
      </c>
      <c r="AE9" s="188">
        <v>1861395541.03</v>
      </c>
      <c r="AF9" s="188">
        <v>1609203876.23</v>
      </c>
      <c r="AG9" s="188">
        <v>1529868837.52</v>
      </c>
      <c r="AH9" s="188">
        <v>1696132652.8099999</v>
      </c>
      <c r="AI9" s="188">
        <v>1491650205.1199999</v>
      </c>
      <c r="AJ9" s="188">
        <v>1450038504.22</v>
      </c>
      <c r="AK9" s="188">
        <v>1203126087.1600001</v>
      </c>
      <c r="AL9" s="188">
        <v>1140280815.6900001</v>
      </c>
      <c r="AM9" s="188">
        <v>896708844.5</v>
      </c>
      <c r="AN9" s="188">
        <v>715183784.33000004</v>
      </c>
      <c r="AO9" s="188">
        <v>741638536.34000003</v>
      </c>
      <c r="AP9" s="188">
        <v>29936840.23</v>
      </c>
      <c r="AQ9" s="188">
        <v>6728563.8700000001</v>
      </c>
      <c r="AR9" s="188">
        <v>2194804.11</v>
      </c>
      <c r="AS9" s="188">
        <v>6825624.6200000001</v>
      </c>
      <c r="AT9" s="188">
        <v>4056810.58</v>
      </c>
      <c r="AU9" s="188">
        <v>629243.94999999995</v>
      </c>
      <c r="AV9" s="188">
        <v>5226084.2699999996</v>
      </c>
      <c r="AW9" s="188">
        <v>4242010.29</v>
      </c>
      <c r="AX9" s="188">
        <v>29101123.609999999</v>
      </c>
      <c r="AY9" s="188">
        <v>15830509.640000001</v>
      </c>
      <c r="AZ9" s="188">
        <v>5682241.0099999998</v>
      </c>
      <c r="BA9" s="188">
        <v>12385914.41</v>
      </c>
      <c r="BB9" s="188">
        <v>8885528.6099999994</v>
      </c>
      <c r="BC9" s="188">
        <v>10016746.35</v>
      </c>
      <c r="BD9" s="188">
        <v>7780206.7999999998</v>
      </c>
      <c r="BE9" s="188">
        <v>4744646.4000000004</v>
      </c>
      <c r="BF9" s="188">
        <v>7209175.5800000001</v>
      </c>
      <c r="BG9" s="188">
        <v>9198150.3399999999</v>
      </c>
      <c r="BH9" s="188">
        <v>11433268.529999999</v>
      </c>
      <c r="BI9" s="188">
        <v>6176790.79</v>
      </c>
      <c r="BJ9" s="188">
        <v>5424392.3799999999</v>
      </c>
      <c r="BK9" s="188">
        <v>3096295.69</v>
      </c>
      <c r="BL9" s="188">
        <v>31437389.690000001</v>
      </c>
      <c r="BM9" s="188">
        <v>6120132.5</v>
      </c>
      <c r="BN9" s="188">
        <v>4912526.1100000003</v>
      </c>
      <c r="BO9" s="188">
        <v>3978615.9</v>
      </c>
      <c r="BP9" s="188">
        <v>6243525.0999999996</v>
      </c>
      <c r="BQ9" s="188">
        <v>3011768.4</v>
      </c>
      <c r="BR9" s="188">
        <v>2365520.34</v>
      </c>
      <c r="BS9" s="188">
        <v>15247081.699999999</v>
      </c>
      <c r="BT9" s="188">
        <v>8745548.2400000002</v>
      </c>
      <c r="BU9" s="188">
        <v>10516948.130000001</v>
      </c>
      <c r="BV9" s="188">
        <v>0</v>
      </c>
    </row>
    <row r="10" spans="1:74" x14ac:dyDescent="0.25">
      <c r="A10" s="188" t="s">
        <v>114</v>
      </c>
      <c r="B10" s="188">
        <v>382283378.07999998</v>
      </c>
      <c r="C10" s="188">
        <v>381568388.93000001</v>
      </c>
      <c r="D10" s="188">
        <v>832616980.51999998</v>
      </c>
      <c r="E10" s="188">
        <v>241458615.88999999</v>
      </c>
      <c r="F10" s="188">
        <v>242686627.52000001</v>
      </c>
      <c r="G10" s="188">
        <v>156890931.40000001</v>
      </c>
      <c r="H10" s="188">
        <v>239223538.55000001</v>
      </c>
      <c r="I10" s="188">
        <v>140904856.88</v>
      </c>
      <c r="J10" s="188">
        <v>125442817.73</v>
      </c>
      <c r="K10" s="188">
        <v>80171834.959999993</v>
      </c>
      <c r="L10" s="188">
        <v>133573079.36</v>
      </c>
      <c r="M10" s="188">
        <v>85347051.469999999</v>
      </c>
      <c r="N10" s="188">
        <v>136725651.16999999</v>
      </c>
      <c r="O10" s="188">
        <v>136529732.49000001</v>
      </c>
      <c r="P10" s="188">
        <v>117630548.84</v>
      </c>
      <c r="Q10" s="188">
        <v>80602922.329999998</v>
      </c>
      <c r="R10" s="188">
        <v>35968733.609999999</v>
      </c>
      <c r="S10" s="188">
        <v>40227055.549999997</v>
      </c>
      <c r="T10" s="188">
        <v>69911833.340000004</v>
      </c>
      <c r="U10" s="188">
        <v>188599147.22999999</v>
      </c>
      <c r="V10" s="188">
        <v>291069085.54000002</v>
      </c>
      <c r="W10" s="188">
        <v>237708837.44</v>
      </c>
      <c r="X10" s="188">
        <v>169802147.38</v>
      </c>
      <c r="Y10" s="188">
        <v>264612813.22</v>
      </c>
      <c r="Z10" s="188">
        <v>265954783.11000001</v>
      </c>
      <c r="AA10" s="188">
        <v>213786369.86000001</v>
      </c>
      <c r="AB10" s="188">
        <v>154585967.41999999</v>
      </c>
      <c r="AC10" s="188">
        <v>225182760.05000001</v>
      </c>
      <c r="AD10" s="188">
        <v>176109284.02000001</v>
      </c>
      <c r="AE10" s="188">
        <v>127606199.03</v>
      </c>
      <c r="AF10" s="188">
        <v>39447517.810000002</v>
      </c>
      <c r="AG10" s="188">
        <v>42728425.340000004</v>
      </c>
      <c r="AH10" s="188">
        <v>76696541.090000004</v>
      </c>
      <c r="AI10" s="188">
        <v>49443756.840000004</v>
      </c>
      <c r="AJ10" s="188">
        <v>183700</v>
      </c>
      <c r="AK10" s="188">
        <v>1912600</v>
      </c>
      <c r="AL10" s="188">
        <v>1675275</v>
      </c>
      <c r="AM10" s="188">
        <v>1437950</v>
      </c>
      <c r="AN10" s="188">
        <v>3084625</v>
      </c>
      <c r="AO10" s="188">
        <v>2783550</v>
      </c>
      <c r="AP10" s="188">
        <v>2482475</v>
      </c>
      <c r="AQ10" s="188">
        <v>2181400</v>
      </c>
      <c r="AR10" s="188">
        <v>1880325</v>
      </c>
      <c r="AS10" s="188">
        <v>3584400</v>
      </c>
      <c r="AT10" s="188">
        <v>2629400</v>
      </c>
      <c r="AU10" s="188">
        <v>2629400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c r="BT10" s="188">
        <v>0</v>
      </c>
      <c r="BU10" s="188">
        <v>0</v>
      </c>
      <c r="BV10" s="188">
        <v>0</v>
      </c>
    </row>
    <row r="11" spans="1:74" x14ac:dyDescent="0.2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10118265.609999999</v>
      </c>
      <c r="BI11" s="188">
        <v>0</v>
      </c>
      <c r="BJ11" s="188">
        <v>0</v>
      </c>
      <c r="BK11" s="188">
        <v>0</v>
      </c>
      <c r="BL11" s="188">
        <v>0</v>
      </c>
      <c r="BM11" s="188">
        <v>0</v>
      </c>
      <c r="BN11" s="188">
        <v>0</v>
      </c>
      <c r="BO11" s="188">
        <v>0</v>
      </c>
      <c r="BP11" s="188">
        <v>0</v>
      </c>
      <c r="BQ11" s="188">
        <v>0</v>
      </c>
      <c r="BR11" s="188">
        <v>0</v>
      </c>
      <c r="BS11" s="188">
        <v>0</v>
      </c>
      <c r="BT11" s="188">
        <v>0</v>
      </c>
      <c r="BU11" s="188">
        <v>0</v>
      </c>
      <c r="BV11" s="188">
        <v>0</v>
      </c>
    </row>
    <row r="12" spans="1:74" x14ac:dyDescent="0.25">
      <c r="A12" s="188" t="s">
        <v>116</v>
      </c>
      <c r="B12" s="188">
        <v>450243280.27999997</v>
      </c>
      <c r="C12" s="188">
        <v>68065410.060000002</v>
      </c>
      <c r="D12" s="188">
        <v>41794738.229999997</v>
      </c>
      <c r="E12" s="188">
        <v>31323463.350000001</v>
      </c>
      <c r="F12" s="188">
        <v>58475466.270000003</v>
      </c>
      <c r="G12" s="188">
        <v>48447614.909999996</v>
      </c>
      <c r="H12" s="188">
        <v>121467406.43000001</v>
      </c>
      <c r="I12" s="188">
        <v>77227565.370000005</v>
      </c>
      <c r="J12" s="188">
        <v>125415641.23</v>
      </c>
      <c r="K12" s="188">
        <v>56402587.5</v>
      </c>
      <c r="L12" s="188">
        <v>64872644.270000003</v>
      </c>
      <c r="M12" s="188">
        <v>48219018.75</v>
      </c>
      <c r="N12" s="188">
        <v>59819918.299999997</v>
      </c>
      <c r="O12" s="188">
        <v>71376458.319999993</v>
      </c>
      <c r="P12" s="188">
        <v>88011586.519999996</v>
      </c>
      <c r="Q12" s="188">
        <v>80888920.579999998</v>
      </c>
      <c r="R12" s="188">
        <v>145347841.69999999</v>
      </c>
      <c r="S12" s="188">
        <v>95846344.879999995</v>
      </c>
      <c r="T12" s="188">
        <v>141988112.84999999</v>
      </c>
      <c r="U12" s="188">
        <v>119574188.81999999</v>
      </c>
      <c r="V12" s="188">
        <v>140614152.96000001</v>
      </c>
      <c r="W12" s="188">
        <v>110283776.33</v>
      </c>
      <c r="X12" s="188">
        <v>111065467.06</v>
      </c>
      <c r="Y12" s="188">
        <v>137968684.11000001</v>
      </c>
      <c r="Z12" s="188">
        <v>324914133.94</v>
      </c>
      <c r="AA12" s="188">
        <v>221192977.41999999</v>
      </c>
      <c r="AB12" s="188">
        <v>88895233</v>
      </c>
      <c r="AC12" s="188">
        <v>47287488.890000001</v>
      </c>
      <c r="AD12" s="188">
        <v>79529417.680000007</v>
      </c>
      <c r="AE12" s="188">
        <v>54398087.07</v>
      </c>
      <c r="AF12" s="188">
        <v>101048054.41</v>
      </c>
      <c r="AG12" s="188">
        <v>59101891.630000003</v>
      </c>
      <c r="AH12" s="188">
        <v>65611949.079999998</v>
      </c>
      <c r="AI12" s="188">
        <v>69410894.239999995</v>
      </c>
      <c r="AJ12" s="188">
        <v>91758741.030000001</v>
      </c>
      <c r="AK12" s="188">
        <v>96001483.150000006</v>
      </c>
      <c r="AL12" s="188">
        <v>84784967.439999998</v>
      </c>
      <c r="AM12" s="188">
        <v>69470701.019999996</v>
      </c>
      <c r="AN12" s="188">
        <v>61047011.649999999</v>
      </c>
      <c r="AO12" s="188">
        <v>82601388.170000002</v>
      </c>
      <c r="AP12" s="188">
        <v>89917156.879999995</v>
      </c>
      <c r="AQ12" s="188">
        <v>89092773.840000004</v>
      </c>
      <c r="AR12" s="188">
        <v>101816908.19</v>
      </c>
      <c r="AS12" s="188">
        <v>86114253.519999996</v>
      </c>
      <c r="AT12" s="188">
        <v>31805579.48</v>
      </c>
      <c r="AU12" s="188">
        <v>96256039.760000005</v>
      </c>
      <c r="AV12" s="188">
        <v>69985881.109999999</v>
      </c>
      <c r="AW12" s="188">
        <v>55431205.840000004</v>
      </c>
      <c r="AX12" s="188">
        <v>45825294.799999997</v>
      </c>
      <c r="AY12" s="188">
        <v>59586527.93</v>
      </c>
      <c r="AZ12" s="188">
        <v>66722558.240000002</v>
      </c>
      <c r="BA12" s="188">
        <v>51244124.020000003</v>
      </c>
      <c r="BB12" s="188">
        <v>71144267.859999999</v>
      </c>
      <c r="BC12" s="188">
        <v>55856617.920000002</v>
      </c>
      <c r="BD12" s="188">
        <v>51292931.18</v>
      </c>
      <c r="BE12" s="188">
        <v>29172976.859999999</v>
      </c>
      <c r="BF12" s="188">
        <v>48728659.770000003</v>
      </c>
      <c r="BG12" s="188">
        <v>47259374.100000001</v>
      </c>
      <c r="BH12" s="188">
        <v>49557977.350000001</v>
      </c>
      <c r="BI12" s="188">
        <v>119865787.90000001</v>
      </c>
      <c r="BJ12" s="188">
        <v>100482020.20999999</v>
      </c>
      <c r="BK12" s="188">
        <v>39505064.740000002</v>
      </c>
      <c r="BL12" s="188">
        <v>41010360.689999998</v>
      </c>
      <c r="BM12" s="188">
        <v>45195662.659999996</v>
      </c>
      <c r="BN12" s="188">
        <v>47097802.979999997</v>
      </c>
      <c r="BO12" s="188">
        <v>39558251.939999998</v>
      </c>
      <c r="BP12" s="188">
        <v>28157899.100000001</v>
      </c>
      <c r="BQ12" s="188">
        <v>33320706.809999999</v>
      </c>
      <c r="BR12" s="188">
        <v>12899599</v>
      </c>
      <c r="BS12" s="188">
        <v>9792294.1199999992</v>
      </c>
      <c r="BT12" s="188">
        <v>16920539.600000001</v>
      </c>
      <c r="BU12" s="188">
        <v>43237967.210000001</v>
      </c>
      <c r="BV12" s="188">
        <v>0</v>
      </c>
    </row>
    <row r="13" spans="1:74"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row>
    <row r="14" spans="1:74" x14ac:dyDescent="0.25">
      <c r="A14" s="188" t="s">
        <v>118</v>
      </c>
      <c r="B14" s="188">
        <v>21862256652.91</v>
      </c>
      <c r="C14" s="188">
        <v>22087351503.610001</v>
      </c>
      <c r="D14" s="188">
        <v>22026303941.34</v>
      </c>
      <c r="E14" s="188">
        <v>22057481376.459999</v>
      </c>
      <c r="F14" s="188">
        <v>20871002103.490002</v>
      </c>
      <c r="G14" s="188">
        <v>20850310407.040001</v>
      </c>
      <c r="H14" s="188">
        <v>20760473514.599998</v>
      </c>
      <c r="I14" s="188">
        <v>20622251825.549999</v>
      </c>
      <c r="J14" s="188">
        <v>18782523499.959999</v>
      </c>
      <c r="K14" s="188">
        <v>18444926424.66</v>
      </c>
      <c r="L14" s="188">
        <v>18537817778.200001</v>
      </c>
      <c r="M14" s="188">
        <v>18013297022.700001</v>
      </c>
      <c r="N14" s="188">
        <v>16381165059.870001</v>
      </c>
      <c r="O14" s="188">
        <v>16284072631.219999</v>
      </c>
      <c r="P14" s="188">
        <v>15619209608.459999</v>
      </c>
      <c r="Q14" s="188">
        <v>14982364367.85</v>
      </c>
      <c r="R14" s="188">
        <v>13454959038.030001</v>
      </c>
      <c r="S14" s="188">
        <v>13240654522.65</v>
      </c>
      <c r="T14" s="188">
        <v>12697658854.74</v>
      </c>
      <c r="U14" s="188">
        <v>11836810239.030001</v>
      </c>
      <c r="V14" s="188">
        <v>10686189842.1</v>
      </c>
      <c r="W14" s="188">
        <v>10339021451.719999</v>
      </c>
      <c r="X14" s="188">
        <v>10085273971.49</v>
      </c>
      <c r="Y14" s="188">
        <v>9665727593.4200001</v>
      </c>
      <c r="Z14" s="188">
        <v>7887354887.0600004</v>
      </c>
      <c r="AA14" s="188">
        <v>7773834492.6700001</v>
      </c>
      <c r="AB14" s="188">
        <v>7578019306.96</v>
      </c>
      <c r="AC14" s="188">
        <v>7187117552.8599997</v>
      </c>
      <c r="AD14" s="188">
        <v>6232185752.04</v>
      </c>
      <c r="AE14" s="188">
        <v>5915613288.3299999</v>
      </c>
      <c r="AF14" s="188">
        <v>5831734652.0799999</v>
      </c>
      <c r="AG14" s="188">
        <v>5574126083.4200001</v>
      </c>
      <c r="AH14" s="188">
        <v>4791428914.6599998</v>
      </c>
      <c r="AI14" s="188">
        <v>4495328930.5799999</v>
      </c>
      <c r="AJ14" s="188">
        <v>4350958976.0299997</v>
      </c>
      <c r="AK14" s="188">
        <v>4192246440.3600001</v>
      </c>
      <c r="AL14" s="188">
        <v>3405325024.77</v>
      </c>
      <c r="AM14" s="188">
        <v>3256220582.6500001</v>
      </c>
      <c r="AN14" s="188">
        <v>3222966302.98</v>
      </c>
      <c r="AO14" s="188">
        <v>3114567813.3299999</v>
      </c>
      <c r="AP14" s="188">
        <v>2588105778.73</v>
      </c>
      <c r="AQ14" s="188">
        <v>2443474684.3400002</v>
      </c>
      <c r="AR14" s="188">
        <v>2388248473.75</v>
      </c>
      <c r="AS14" s="188">
        <v>2304818947.9200001</v>
      </c>
      <c r="AT14" s="188">
        <v>2100782615.3299999</v>
      </c>
      <c r="AU14" s="188">
        <v>2120021426.0999999</v>
      </c>
      <c r="AV14" s="188">
        <v>2008331715.46</v>
      </c>
      <c r="AW14" s="188">
        <v>1974710283.3499999</v>
      </c>
      <c r="AX14" s="188">
        <v>1883507683.55</v>
      </c>
      <c r="AY14" s="188">
        <v>1855279898.3099999</v>
      </c>
      <c r="AZ14" s="188">
        <v>1800160745.1700001</v>
      </c>
      <c r="BA14" s="188">
        <v>1860549625.24</v>
      </c>
      <c r="BB14" s="188">
        <v>1684279669.8499999</v>
      </c>
      <c r="BC14" s="188">
        <v>1668181460.46</v>
      </c>
      <c r="BD14" s="188">
        <v>1640412382.3499999</v>
      </c>
      <c r="BE14" s="188">
        <v>1693741195.1099999</v>
      </c>
      <c r="BF14" s="188">
        <v>1516497795.8499999</v>
      </c>
      <c r="BG14" s="188">
        <v>1318555940.24</v>
      </c>
      <c r="BH14" s="188">
        <v>1279320067.02</v>
      </c>
      <c r="BI14" s="188">
        <v>1215006621.05</v>
      </c>
      <c r="BJ14" s="188">
        <v>1215900105.02</v>
      </c>
      <c r="BK14" s="188">
        <v>1203247938.1400001</v>
      </c>
      <c r="BL14" s="188">
        <v>1045879054.34</v>
      </c>
      <c r="BM14" s="188">
        <v>1076612588.52</v>
      </c>
      <c r="BN14" s="188">
        <v>1021098759.08</v>
      </c>
      <c r="BO14" s="188">
        <v>1011422579.27</v>
      </c>
      <c r="BP14" s="188">
        <v>819827003.17999995</v>
      </c>
      <c r="BQ14" s="188">
        <v>786368826.80999994</v>
      </c>
      <c r="BR14" s="188">
        <v>575547814.27999997</v>
      </c>
      <c r="BS14" s="188">
        <v>512332818.61000001</v>
      </c>
      <c r="BT14" s="188">
        <v>423401102.17000002</v>
      </c>
      <c r="BU14" s="188">
        <v>316665851.52999997</v>
      </c>
      <c r="BV14" s="188">
        <v>0</v>
      </c>
    </row>
    <row r="15" spans="1:74"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x14ac:dyDescent="0.25">
      <c r="A16" s="188" t="s">
        <v>120</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17000000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0</v>
      </c>
      <c r="AX17" s="188">
        <v>2089751.57</v>
      </c>
      <c r="AY17" s="188">
        <v>4163123.12</v>
      </c>
      <c r="AZ17" s="188">
        <v>5885590.2699999996</v>
      </c>
      <c r="BA17" s="188">
        <v>0</v>
      </c>
      <c r="BB17" s="188">
        <v>7270021.3700000001</v>
      </c>
      <c r="BC17" s="188">
        <v>3257900.75</v>
      </c>
      <c r="BD17" s="188">
        <v>3505403.97</v>
      </c>
      <c r="BE17" s="188">
        <v>0</v>
      </c>
      <c r="BF17" s="188">
        <v>2013868.9</v>
      </c>
      <c r="BG17" s="188">
        <v>2681671.19</v>
      </c>
      <c r="BH17" s="188">
        <v>3789523.18</v>
      </c>
      <c r="BI17" s="188">
        <v>651300.25</v>
      </c>
      <c r="BJ17" s="188">
        <v>5092386.79</v>
      </c>
      <c r="BK17" s="188">
        <v>9154338.6400000006</v>
      </c>
      <c r="BL17" s="188">
        <v>13216290.49</v>
      </c>
      <c r="BM17" s="188">
        <v>0</v>
      </c>
      <c r="BN17" s="188">
        <v>2059993.64</v>
      </c>
      <c r="BO17" s="188">
        <v>6241285.9699999997</v>
      </c>
      <c r="BP17" s="188">
        <v>12574337.18</v>
      </c>
      <c r="BQ17" s="188">
        <v>23350685.800000001</v>
      </c>
      <c r="BR17" s="188">
        <v>0</v>
      </c>
      <c r="BS17" s="188">
        <v>19421406.149999999</v>
      </c>
      <c r="BT17" s="188">
        <v>3757667.96</v>
      </c>
      <c r="BU17" s="188">
        <v>0</v>
      </c>
      <c r="BV17" s="188">
        <v>0</v>
      </c>
    </row>
    <row r="18" spans="1:74"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445348.75</v>
      </c>
      <c r="BC18" s="188">
        <v>424850.36</v>
      </c>
      <c r="BD18" s="188">
        <v>0</v>
      </c>
      <c r="BE18" s="188">
        <v>0</v>
      </c>
      <c r="BF18" s="188">
        <v>0</v>
      </c>
      <c r="BG18" s="188">
        <v>0</v>
      </c>
      <c r="BH18" s="188">
        <v>0</v>
      </c>
      <c r="BI18" s="188">
        <v>0</v>
      </c>
      <c r="BJ18" s="188">
        <v>0</v>
      </c>
      <c r="BK18" s="188">
        <v>0</v>
      </c>
      <c r="BL18" s="188">
        <v>0</v>
      </c>
      <c r="BM18" s="188">
        <v>0</v>
      </c>
      <c r="BN18" s="188">
        <v>0</v>
      </c>
      <c r="BO18" s="188">
        <v>0</v>
      </c>
      <c r="BP18" s="188">
        <v>0</v>
      </c>
      <c r="BQ18" s="188">
        <v>0</v>
      </c>
      <c r="BR18" s="188">
        <v>0</v>
      </c>
      <c r="BS18" s="188">
        <v>0</v>
      </c>
      <c r="BT18" s="188">
        <v>22679.23</v>
      </c>
      <c r="BU18" s="188">
        <v>0</v>
      </c>
      <c r="BV18" s="188">
        <v>0</v>
      </c>
    </row>
    <row r="19" spans="1:74" x14ac:dyDescent="0.25">
      <c r="A19" s="188" t="s">
        <v>123</v>
      </c>
      <c r="B19" s="188">
        <v>25871272.989999998</v>
      </c>
      <c r="C19" s="188">
        <v>32598221.52</v>
      </c>
      <c r="D19" s="188">
        <v>16247363.82</v>
      </c>
      <c r="E19" s="188">
        <v>37539231.490000002</v>
      </c>
      <c r="F19" s="188">
        <v>35530822.630000003</v>
      </c>
      <c r="G19" s="188">
        <v>24148290.789999999</v>
      </c>
      <c r="H19" s="188">
        <v>21954140.710000001</v>
      </c>
      <c r="I19" s="188">
        <v>231474570.63</v>
      </c>
      <c r="J19" s="188">
        <v>0</v>
      </c>
      <c r="K19" s="188">
        <v>0</v>
      </c>
      <c r="L19" s="188">
        <v>0</v>
      </c>
      <c r="M19" s="188">
        <v>0</v>
      </c>
      <c r="N19" s="188">
        <v>0</v>
      </c>
      <c r="O19" s="188">
        <v>0</v>
      </c>
      <c r="P19" s="188">
        <v>0</v>
      </c>
      <c r="Q19" s="188">
        <v>0</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25315.56</v>
      </c>
      <c r="AQ19" s="188">
        <v>25315.56</v>
      </c>
      <c r="AR19" s="188">
        <v>41315.56</v>
      </c>
      <c r="AS19" s="188">
        <v>0</v>
      </c>
      <c r="AT19" s="188">
        <v>7770.58</v>
      </c>
      <c r="AU19" s="188">
        <v>3604.78</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10897017</v>
      </c>
      <c r="BS19" s="188">
        <v>0</v>
      </c>
      <c r="BT19" s="188">
        <v>0</v>
      </c>
      <c r="BU19" s="188">
        <v>0</v>
      </c>
      <c r="BV19" s="188">
        <v>0</v>
      </c>
    </row>
    <row r="20" spans="1:74" x14ac:dyDescent="0.25">
      <c r="A20" s="188" t="s">
        <v>124</v>
      </c>
      <c r="B20" s="188">
        <v>124830898967.33</v>
      </c>
      <c r="C20" s="188">
        <v>107738904150.33</v>
      </c>
      <c r="D20" s="188">
        <v>111781386018.61</v>
      </c>
      <c r="E20" s="188">
        <v>112249185961.60001</v>
      </c>
      <c r="F20" s="188">
        <v>104803294790.2</v>
      </c>
      <c r="G20" s="188">
        <v>97397790192.990005</v>
      </c>
      <c r="H20" s="188">
        <v>95889423066.320007</v>
      </c>
      <c r="I20" s="188">
        <v>90180548805.570007</v>
      </c>
      <c r="J20" s="188">
        <v>83502886329.660004</v>
      </c>
      <c r="K20" s="188">
        <v>73953467032.619995</v>
      </c>
      <c r="L20" s="188">
        <v>69113796117.440002</v>
      </c>
      <c r="M20" s="188">
        <v>65004514023.589996</v>
      </c>
      <c r="N20" s="188">
        <v>57297442072.050003</v>
      </c>
      <c r="O20" s="188">
        <v>53239969447.099998</v>
      </c>
      <c r="P20" s="188">
        <v>50453374101.900002</v>
      </c>
      <c r="Q20" s="188">
        <v>47570929074.32</v>
      </c>
      <c r="R20" s="188">
        <v>41990759893.730003</v>
      </c>
      <c r="S20" s="188">
        <v>38638356940.879997</v>
      </c>
      <c r="T20" s="188">
        <v>40446017445.099998</v>
      </c>
      <c r="U20" s="188">
        <v>41931583434.230003</v>
      </c>
      <c r="V20" s="188">
        <v>39840847167.610001</v>
      </c>
      <c r="W20" s="188">
        <v>34682977069.900002</v>
      </c>
      <c r="X20" s="188">
        <v>36856097770.57</v>
      </c>
      <c r="Y20" s="188">
        <v>36225076613.879997</v>
      </c>
      <c r="Z20" s="188">
        <v>31485892751.189999</v>
      </c>
      <c r="AA20" s="188">
        <v>32424279454.540001</v>
      </c>
      <c r="AB20" s="188">
        <v>29232627192.330002</v>
      </c>
      <c r="AC20" s="188">
        <v>27829632180.43</v>
      </c>
      <c r="AD20" s="188">
        <v>26986665072.700001</v>
      </c>
      <c r="AE20" s="188">
        <v>25469484324.529999</v>
      </c>
      <c r="AF20" s="188">
        <v>23756789428.889999</v>
      </c>
      <c r="AG20" s="188">
        <v>20300284828.310001</v>
      </c>
      <c r="AH20" s="188">
        <v>17955706671.400002</v>
      </c>
      <c r="AI20" s="188">
        <v>16583306141.049999</v>
      </c>
      <c r="AJ20" s="188">
        <v>16206601570.33</v>
      </c>
      <c r="AK20" s="188">
        <v>15655585363.389999</v>
      </c>
      <c r="AL20" s="188">
        <v>12844858380.950001</v>
      </c>
      <c r="AM20" s="188">
        <v>12216812426.32</v>
      </c>
      <c r="AN20" s="188">
        <v>11896825659.309999</v>
      </c>
      <c r="AO20" s="188">
        <v>12240750882.84</v>
      </c>
      <c r="AP20" s="188">
        <v>9250435650.3600006</v>
      </c>
      <c r="AQ20" s="188">
        <v>7750016910.2700005</v>
      </c>
      <c r="AR20" s="188">
        <v>8218538025.9499998</v>
      </c>
      <c r="AS20" s="188">
        <v>7271502903.4200001</v>
      </c>
      <c r="AT20" s="188">
        <v>7108059526.75</v>
      </c>
      <c r="AU20" s="188">
        <v>7273932144.6199999</v>
      </c>
      <c r="AV20" s="188">
        <v>7038019760.2600002</v>
      </c>
      <c r="AW20" s="188">
        <v>6750574240.29</v>
      </c>
      <c r="AX20" s="188">
        <v>6356038829.3999996</v>
      </c>
      <c r="AY20" s="188">
        <v>5536434622.6300001</v>
      </c>
      <c r="AZ20" s="188">
        <v>5987397832.8100004</v>
      </c>
      <c r="BA20" s="188">
        <v>6019520287.6099997</v>
      </c>
      <c r="BB20" s="188">
        <v>5172403302.9899998</v>
      </c>
      <c r="BC20" s="188">
        <v>4948039397.9300003</v>
      </c>
      <c r="BD20" s="188">
        <v>4886452213.8400002</v>
      </c>
      <c r="BE20" s="188">
        <v>4772638507.8000002</v>
      </c>
      <c r="BF20" s="188">
        <v>4165118321.1100001</v>
      </c>
      <c r="BG20" s="188">
        <v>3642312515.9299998</v>
      </c>
      <c r="BH20" s="188">
        <v>3522858526.96</v>
      </c>
      <c r="BI20" s="188">
        <v>3756029033.9200001</v>
      </c>
      <c r="BJ20" s="188">
        <v>3300783898.4000001</v>
      </c>
      <c r="BK20" s="188">
        <v>2847576931.6199999</v>
      </c>
      <c r="BL20" s="188">
        <v>2883969536.4000001</v>
      </c>
      <c r="BM20" s="188">
        <v>2991256359.4699998</v>
      </c>
      <c r="BN20" s="188">
        <v>2836827322.8200002</v>
      </c>
      <c r="BO20" s="188">
        <v>2672385302.02</v>
      </c>
      <c r="BP20" s="188">
        <v>2838318928.77</v>
      </c>
      <c r="BQ20" s="188">
        <v>2869925290.6999998</v>
      </c>
      <c r="BR20" s="188">
        <v>1011105602.63</v>
      </c>
      <c r="BS20" s="188">
        <v>1069969911.36</v>
      </c>
      <c r="BT20" s="188">
        <v>720079304.47000003</v>
      </c>
      <c r="BU20" s="188">
        <v>520907601.75</v>
      </c>
      <c r="BV20" s="188">
        <v>0</v>
      </c>
    </row>
    <row r="21" spans="1:74" x14ac:dyDescent="0.25">
      <c r="A21" s="188" t="s">
        <v>125</v>
      </c>
    </row>
    <row r="22" spans="1:74" x14ac:dyDescent="0.25">
      <c r="A22" s="188" t="s">
        <v>126</v>
      </c>
      <c r="B22" s="188">
        <v>42900000</v>
      </c>
      <c r="C22" s="188">
        <v>42900000</v>
      </c>
      <c r="D22" s="188">
        <v>25593750</v>
      </c>
      <c r="E22" s="188">
        <v>33150000</v>
      </c>
      <c r="F22" s="188">
        <v>29250000</v>
      </c>
      <c r="G22" s="188">
        <v>224250000</v>
      </c>
      <c r="H22" s="188">
        <v>242701246.38</v>
      </c>
      <c r="I22" s="188">
        <v>60833517.030000001</v>
      </c>
      <c r="J22" s="188">
        <v>169872720.99000001</v>
      </c>
      <c r="K22" s="188">
        <v>171638439.88999999</v>
      </c>
      <c r="L22" s="188">
        <v>136500000</v>
      </c>
      <c r="M22" s="188">
        <v>19500000</v>
      </c>
      <c r="N22" s="188">
        <v>21060000</v>
      </c>
      <c r="O22" s="188">
        <v>30810000</v>
      </c>
      <c r="P22" s="188">
        <v>30810000</v>
      </c>
      <c r="Q22" s="188">
        <v>30810000</v>
      </c>
      <c r="R22" s="188">
        <v>9850000</v>
      </c>
      <c r="S22" s="188">
        <v>0</v>
      </c>
      <c r="T22" s="188">
        <v>16596250</v>
      </c>
      <c r="U22" s="188">
        <v>90527500</v>
      </c>
      <c r="V22" s="188">
        <v>24750000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v>0</v>
      </c>
      <c r="BV22" s="188">
        <v>0</v>
      </c>
    </row>
    <row r="23" spans="1:74" x14ac:dyDescent="0.25">
      <c r="A23" s="188" t="s">
        <v>127</v>
      </c>
      <c r="B23" s="188">
        <v>29000000</v>
      </c>
      <c r="C23" s="188">
        <v>29000000</v>
      </c>
      <c r="D23" s="188">
        <v>29000000</v>
      </c>
      <c r="E23" s="188">
        <v>29000000</v>
      </c>
      <c r="F23" s="188">
        <v>29000000</v>
      </c>
      <c r="G23" s="188">
        <v>29000000</v>
      </c>
      <c r="H23" s="188">
        <v>29000000</v>
      </c>
      <c r="I23" s="188">
        <v>29000000</v>
      </c>
      <c r="J23" s="188">
        <v>29000000</v>
      </c>
      <c r="K23" s="188">
        <v>29000000</v>
      </c>
      <c r="L23" s="188">
        <v>29000000</v>
      </c>
      <c r="M23" s="188">
        <v>29000000</v>
      </c>
      <c r="N23" s="188">
        <v>29000000</v>
      </c>
      <c r="O23" s="188">
        <v>29000000</v>
      </c>
      <c r="P23" s="188">
        <v>4000000</v>
      </c>
      <c r="Q23" s="188">
        <v>4000000</v>
      </c>
      <c r="R23" s="188">
        <v>4000000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c r="BS23" s="188">
        <v>0</v>
      </c>
      <c r="BT23" s="188">
        <v>0</v>
      </c>
      <c r="BU23" s="188">
        <v>0</v>
      </c>
      <c r="BV23" s="188">
        <v>0</v>
      </c>
    </row>
    <row r="24" spans="1:74"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50000000</v>
      </c>
      <c r="P24" s="188">
        <v>50000000</v>
      </c>
      <c r="Q24" s="188">
        <v>60000000</v>
      </c>
      <c r="R24" s="188">
        <v>65000000</v>
      </c>
      <c r="S24" s="188">
        <v>65000000</v>
      </c>
      <c r="T24" s="188">
        <v>50000000</v>
      </c>
      <c r="U24" s="188">
        <v>50000000</v>
      </c>
      <c r="V24" s="188">
        <v>50000000</v>
      </c>
      <c r="W24" s="188">
        <v>50000000</v>
      </c>
      <c r="X24" s="188">
        <v>50000000</v>
      </c>
      <c r="Y24" s="188">
        <v>50000000</v>
      </c>
      <c r="Z24" s="188">
        <v>50000000</v>
      </c>
      <c r="AA24" s="188">
        <v>50000000</v>
      </c>
      <c r="AB24" s="188">
        <v>50000000</v>
      </c>
      <c r="AC24" s="188">
        <v>60000000</v>
      </c>
      <c r="AD24" s="188">
        <v>60000000</v>
      </c>
      <c r="AE24" s="188">
        <v>60000000</v>
      </c>
      <c r="AF24" s="188">
        <v>60000000</v>
      </c>
      <c r="AG24" s="188">
        <v>60000000</v>
      </c>
      <c r="AH24" s="188">
        <v>60000000</v>
      </c>
      <c r="AI24" s="188">
        <v>60000000</v>
      </c>
      <c r="AJ24" s="188">
        <v>10000000</v>
      </c>
      <c r="AK24" s="188">
        <v>10000000</v>
      </c>
      <c r="AL24" s="188">
        <v>27000000</v>
      </c>
      <c r="AM24" s="188">
        <v>27000000</v>
      </c>
      <c r="AN24" s="188">
        <v>52000000</v>
      </c>
      <c r="AO24" s="188">
        <v>42000000</v>
      </c>
      <c r="AP24" s="188">
        <v>37000000</v>
      </c>
      <c r="AQ24" s="188">
        <v>37000000</v>
      </c>
      <c r="AR24" s="188">
        <v>37000000</v>
      </c>
      <c r="AS24" s="188">
        <v>58000000</v>
      </c>
      <c r="AT24" s="188">
        <v>58000000</v>
      </c>
      <c r="AU24" s="188">
        <v>58000000</v>
      </c>
      <c r="AV24" s="188">
        <v>59769450</v>
      </c>
      <c r="AW24" s="188">
        <v>42769450</v>
      </c>
      <c r="AX24" s="188">
        <v>0</v>
      </c>
      <c r="AY24" s="188">
        <v>0</v>
      </c>
      <c r="AZ24" s="188">
        <v>0</v>
      </c>
      <c r="BA24" s="188">
        <v>0</v>
      </c>
      <c r="BB24" s="188">
        <v>0</v>
      </c>
      <c r="BC24" s="188">
        <v>0</v>
      </c>
      <c r="BD24" s="188">
        <v>0</v>
      </c>
      <c r="BE24" s="188">
        <v>0</v>
      </c>
      <c r="BF24" s="188">
        <v>0</v>
      </c>
      <c r="BG24" s="188">
        <v>0</v>
      </c>
      <c r="BH24" s="188">
        <v>0</v>
      </c>
      <c r="BI24" s="188">
        <v>0</v>
      </c>
      <c r="BJ24" s="188">
        <v>0</v>
      </c>
      <c r="BK24" s="188">
        <v>0</v>
      </c>
      <c r="BL24" s="188">
        <v>0</v>
      </c>
      <c r="BM24" s="188">
        <v>0</v>
      </c>
      <c r="BN24" s="188">
        <v>0</v>
      </c>
      <c r="BO24" s="188">
        <v>0</v>
      </c>
      <c r="BP24" s="188">
        <v>0</v>
      </c>
      <c r="BQ24" s="188">
        <v>0</v>
      </c>
      <c r="BR24" s="188">
        <v>0</v>
      </c>
      <c r="BS24" s="188">
        <v>0</v>
      </c>
      <c r="BT24" s="188">
        <v>0</v>
      </c>
      <c r="BU24" s="188">
        <v>0</v>
      </c>
      <c r="BV24" s="188">
        <v>0</v>
      </c>
    </row>
    <row r="25" spans="1:74" x14ac:dyDescent="0.25">
      <c r="A25" s="188" t="s">
        <v>129</v>
      </c>
      <c r="B25" s="188">
        <v>0</v>
      </c>
      <c r="C25" s="188">
        <v>0</v>
      </c>
      <c r="D25" s="188">
        <v>0</v>
      </c>
      <c r="E25" s="188">
        <v>0</v>
      </c>
      <c r="F25" s="188">
        <v>0</v>
      </c>
      <c r="G25" s="188">
        <v>0</v>
      </c>
      <c r="H25" s="188">
        <v>0</v>
      </c>
      <c r="I25" s="188">
        <v>0</v>
      </c>
      <c r="J25" s="188">
        <v>0</v>
      </c>
      <c r="K25" s="188">
        <v>0</v>
      </c>
      <c r="L25" s="188">
        <v>0</v>
      </c>
      <c r="M25" s="188">
        <v>0</v>
      </c>
      <c r="N25" s="188">
        <v>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c r="BH25" s="188">
        <v>0</v>
      </c>
      <c r="BI25" s="188">
        <v>0</v>
      </c>
      <c r="BJ25" s="188">
        <v>0</v>
      </c>
      <c r="BK25" s="188">
        <v>0</v>
      </c>
      <c r="BL25" s="188">
        <v>0</v>
      </c>
      <c r="BM25" s="188">
        <v>0</v>
      </c>
      <c r="BN25" s="188">
        <v>0</v>
      </c>
      <c r="BO25" s="188">
        <v>0</v>
      </c>
      <c r="BP25" s="188">
        <v>0</v>
      </c>
      <c r="BQ25" s="188">
        <v>0</v>
      </c>
      <c r="BR25" s="188">
        <v>0</v>
      </c>
      <c r="BS25" s="188">
        <v>0</v>
      </c>
      <c r="BT25" s="188">
        <v>0</v>
      </c>
      <c r="BU25" s="188">
        <v>0</v>
      </c>
      <c r="BV25" s="188">
        <v>0</v>
      </c>
    </row>
    <row r="26" spans="1:74" x14ac:dyDescent="0.25">
      <c r="A26" s="188" t="s">
        <v>130</v>
      </c>
      <c r="B26" s="188">
        <v>0</v>
      </c>
      <c r="C26" s="188">
        <v>0</v>
      </c>
      <c r="D26" s="188">
        <v>0</v>
      </c>
      <c r="E26" s="188">
        <v>0</v>
      </c>
      <c r="F26" s="188">
        <v>0</v>
      </c>
      <c r="G26" s="188">
        <v>0</v>
      </c>
      <c r="H26" s="188">
        <v>0</v>
      </c>
      <c r="I26" s="188">
        <v>0</v>
      </c>
      <c r="J26" s="188">
        <v>0</v>
      </c>
      <c r="K26" s="188">
        <v>0</v>
      </c>
      <c r="L26" s="188">
        <v>0</v>
      </c>
      <c r="M26" s="188">
        <v>0</v>
      </c>
      <c r="N26" s="188">
        <v>0</v>
      </c>
      <c r="O26" s="188">
        <v>0</v>
      </c>
      <c r="P26" s="188">
        <v>0</v>
      </c>
      <c r="Q26" s="188">
        <v>0</v>
      </c>
      <c r="R26" s="188">
        <v>2750000</v>
      </c>
      <c r="S26" s="188">
        <v>6750000</v>
      </c>
      <c r="T26" s="188">
        <v>6750000</v>
      </c>
      <c r="U26" s="188">
        <v>4000000</v>
      </c>
      <c r="V26" s="188">
        <v>4000000</v>
      </c>
      <c r="W26" s="188">
        <v>4000000</v>
      </c>
      <c r="X26" s="188">
        <v>4000000</v>
      </c>
      <c r="Y26" s="188">
        <v>4000000</v>
      </c>
      <c r="Z26" s="188">
        <v>4000000</v>
      </c>
      <c r="AA26" s="188">
        <v>4000000</v>
      </c>
      <c r="AB26" s="188">
        <v>4000000</v>
      </c>
      <c r="AC26" s="188">
        <v>4000000</v>
      </c>
      <c r="AD26" s="188">
        <v>4000000</v>
      </c>
      <c r="AE26" s="188">
        <v>4000000</v>
      </c>
      <c r="AF26" s="188">
        <v>4000000</v>
      </c>
      <c r="AG26" s="188">
        <v>4000000</v>
      </c>
      <c r="AH26" s="188">
        <v>4000000</v>
      </c>
      <c r="AI26" s="188">
        <v>4000000</v>
      </c>
      <c r="AJ26" s="188">
        <v>4000000</v>
      </c>
      <c r="AK26" s="188">
        <v>4000000</v>
      </c>
      <c r="AL26" s="188">
        <v>4000000</v>
      </c>
      <c r="AM26" s="188">
        <v>4000000</v>
      </c>
      <c r="AN26" s="188">
        <v>4000000</v>
      </c>
      <c r="AO26" s="188">
        <v>4000000</v>
      </c>
      <c r="AP26" s="188">
        <v>4000000</v>
      </c>
      <c r="AQ26" s="188">
        <v>4000000</v>
      </c>
      <c r="AR26" s="188">
        <v>4000000</v>
      </c>
      <c r="AS26" s="188">
        <v>4000000</v>
      </c>
      <c r="AT26" s="188">
        <v>4000000</v>
      </c>
      <c r="AU26" s="188">
        <v>4000000</v>
      </c>
      <c r="AV26" s="188">
        <v>4000000</v>
      </c>
      <c r="AW26" s="188">
        <v>11486496.289999999</v>
      </c>
      <c r="AX26" s="188">
        <v>10767452.710000001</v>
      </c>
      <c r="AY26" s="188">
        <v>10387452.699999999</v>
      </c>
      <c r="AZ26" s="188">
        <v>10243017.33</v>
      </c>
      <c r="BA26" s="188">
        <v>10243017.33</v>
      </c>
      <c r="BB26" s="188">
        <v>9838781.9600000009</v>
      </c>
      <c r="BC26" s="188">
        <v>9838781.9600000009</v>
      </c>
      <c r="BD26" s="188">
        <v>9627405.1300000008</v>
      </c>
      <c r="BE26" s="188">
        <v>9815063.7300000004</v>
      </c>
      <c r="BF26" s="188">
        <v>4000000</v>
      </c>
      <c r="BG26" s="188">
        <v>4000000</v>
      </c>
      <c r="BH26" s="188">
        <v>4000000</v>
      </c>
      <c r="BI26" s="188">
        <v>4000000</v>
      </c>
      <c r="BJ26" s="188">
        <v>4000000</v>
      </c>
      <c r="BK26" s="188">
        <v>4000000</v>
      </c>
      <c r="BL26" s="188">
        <v>4000000</v>
      </c>
      <c r="BM26" s="188">
        <v>4000000</v>
      </c>
      <c r="BN26" s="188">
        <v>4000000</v>
      </c>
      <c r="BO26" s="188">
        <v>4000000</v>
      </c>
      <c r="BP26" s="188">
        <v>0</v>
      </c>
      <c r="BQ26" s="188">
        <v>0</v>
      </c>
      <c r="BR26" s="188">
        <v>0</v>
      </c>
      <c r="BS26" s="188">
        <v>0</v>
      </c>
      <c r="BT26" s="188">
        <v>0</v>
      </c>
      <c r="BU26" s="188">
        <v>0</v>
      </c>
      <c r="BV26" s="188">
        <v>0</v>
      </c>
    </row>
    <row r="27" spans="1:74" x14ac:dyDescent="0.25">
      <c r="A27" s="188" t="s">
        <v>131</v>
      </c>
      <c r="B27" s="188">
        <v>0</v>
      </c>
      <c r="C27" s="188">
        <v>0</v>
      </c>
      <c r="D27" s="188">
        <v>0</v>
      </c>
      <c r="E27" s="188">
        <v>0</v>
      </c>
      <c r="F27" s="188">
        <v>0</v>
      </c>
      <c r="G27" s="188">
        <v>0</v>
      </c>
      <c r="H27" s="188">
        <v>0</v>
      </c>
      <c r="I27" s="188">
        <v>0</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v>0</v>
      </c>
      <c r="BU27" s="188">
        <v>0</v>
      </c>
      <c r="BV27" s="188">
        <v>0</v>
      </c>
    </row>
    <row r="28" spans="1:74" x14ac:dyDescent="0.25">
      <c r="A28" s="188" t="s">
        <v>132</v>
      </c>
      <c r="B28" s="188">
        <v>14812649901.59</v>
      </c>
      <c r="C28" s="188">
        <v>14906697070.370001</v>
      </c>
      <c r="D28" s="188">
        <v>15179337572.51</v>
      </c>
      <c r="E28" s="188">
        <v>15244096632.02</v>
      </c>
      <c r="F28" s="188">
        <v>14851183242.59</v>
      </c>
      <c r="G28" s="188">
        <v>15035615814.030001</v>
      </c>
      <c r="H28" s="188">
        <v>15197596002.52</v>
      </c>
      <c r="I28" s="188">
        <v>14453177439.34</v>
      </c>
      <c r="J28" s="188">
        <v>11249022570.67</v>
      </c>
      <c r="K28" s="188">
        <v>11357781630.610001</v>
      </c>
      <c r="L28" s="188">
        <v>11485879409.51</v>
      </c>
      <c r="M28" s="188">
        <v>11415953189.719999</v>
      </c>
      <c r="N28" s="188">
        <v>10891205189.389999</v>
      </c>
      <c r="O28" s="188">
        <v>10376471791.040001</v>
      </c>
      <c r="P28" s="188">
        <v>10438792823.57</v>
      </c>
      <c r="Q28" s="188">
        <v>10375757771.59</v>
      </c>
      <c r="R28" s="188">
        <v>9003408249.8600006</v>
      </c>
      <c r="S28" s="188">
        <v>8917854215.1200008</v>
      </c>
      <c r="T28" s="188">
        <v>8768403594.1200008</v>
      </c>
      <c r="U28" s="188">
        <v>8523256960.1099997</v>
      </c>
      <c r="V28" s="188">
        <v>7165765337.1599998</v>
      </c>
      <c r="W28" s="188">
        <v>7047000358.4200001</v>
      </c>
      <c r="X28" s="188">
        <v>6984113447.4300003</v>
      </c>
      <c r="Y28" s="188">
        <v>6807333231.0900002</v>
      </c>
      <c r="Z28" s="188">
        <v>5838430602.0500002</v>
      </c>
      <c r="AA28" s="188">
        <v>5698697789.6599998</v>
      </c>
      <c r="AB28" s="188">
        <v>5489821741.0500002</v>
      </c>
      <c r="AC28" s="188">
        <v>5426012349.6099997</v>
      </c>
      <c r="AD28" s="188">
        <v>4703882763.3800001</v>
      </c>
      <c r="AE28" s="188">
        <v>4268588603.6599998</v>
      </c>
      <c r="AF28" s="188">
        <v>4218762324.3099999</v>
      </c>
      <c r="AG28" s="188">
        <v>4191851111.9699998</v>
      </c>
      <c r="AH28" s="188">
        <v>3754654673.6300001</v>
      </c>
      <c r="AI28" s="188">
        <v>3731222904.1199999</v>
      </c>
      <c r="AJ28" s="188">
        <v>3223949711.6999998</v>
      </c>
      <c r="AK28" s="188">
        <v>3168725156.29</v>
      </c>
      <c r="AL28" s="188">
        <v>2420836029.8800001</v>
      </c>
      <c r="AM28" s="188">
        <v>2285285756.6500001</v>
      </c>
      <c r="AN28" s="188">
        <v>2247266187.8000002</v>
      </c>
      <c r="AO28" s="188">
        <v>2190171911.8899999</v>
      </c>
      <c r="AP28" s="188">
        <v>1962510407.21</v>
      </c>
      <c r="AQ28" s="188">
        <v>1946505196.6800001</v>
      </c>
      <c r="AR28" s="188">
        <v>1869754284.6900001</v>
      </c>
      <c r="AS28" s="188">
        <v>1826983364.3599999</v>
      </c>
      <c r="AT28" s="188">
        <v>1435078966.8699999</v>
      </c>
      <c r="AU28" s="188">
        <v>1431615294.0599999</v>
      </c>
      <c r="AV28" s="188">
        <v>1317726492.5999999</v>
      </c>
      <c r="AW28" s="188">
        <v>1222202623.3</v>
      </c>
      <c r="AX28" s="188">
        <v>1018003338.64</v>
      </c>
      <c r="AY28" s="188">
        <v>1030973670.35</v>
      </c>
      <c r="AZ28" s="188">
        <v>1019701197.52</v>
      </c>
      <c r="BA28" s="188">
        <v>981382035.5</v>
      </c>
      <c r="BB28" s="188">
        <v>744749773.96000004</v>
      </c>
      <c r="BC28" s="188">
        <v>704628195.86000001</v>
      </c>
      <c r="BD28" s="188">
        <v>718609837.72000003</v>
      </c>
      <c r="BE28" s="188">
        <v>715522677.41999996</v>
      </c>
      <c r="BF28" s="188">
        <v>650253702.34000003</v>
      </c>
      <c r="BG28" s="188">
        <v>651728272.55999994</v>
      </c>
      <c r="BH28" s="188">
        <v>644654996.78999996</v>
      </c>
      <c r="BI28" s="188">
        <v>440813831.82999998</v>
      </c>
      <c r="BJ28" s="188">
        <v>436222878.81</v>
      </c>
      <c r="BK28" s="188">
        <v>445032882.23000002</v>
      </c>
      <c r="BL28" s="188">
        <v>453833289.69999999</v>
      </c>
      <c r="BM28" s="188">
        <v>470098687.69</v>
      </c>
      <c r="BN28" s="188">
        <v>447507946.97000003</v>
      </c>
      <c r="BO28" s="188">
        <v>452942750.17000002</v>
      </c>
      <c r="BP28" s="188">
        <v>409558858.49000001</v>
      </c>
      <c r="BQ28" s="188">
        <v>414239895.73000002</v>
      </c>
      <c r="BR28" s="188">
        <v>177835639.06999999</v>
      </c>
      <c r="BS28" s="188">
        <v>180320389.09</v>
      </c>
      <c r="BT28" s="188">
        <v>184936865.90000001</v>
      </c>
      <c r="BU28" s="188">
        <v>213023445.34999999</v>
      </c>
      <c r="BV28" s="188">
        <v>0</v>
      </c>
    </row>
    <row r="29" spans="1:74" x14ac:dyDescent="0.25">
      <c r="A29" s="188" t="s">
        <v>133</v>
      </c>
      <c r="B29" s="188">
        <v>2351418276.5300002</v>
      </c>
      <c r="C29" s="188">
        <v>2320642541.0100002</v>
      </c>
      <c r="D29" s="188">
        <v>2377082563.9499998</v>
      </c>
      <c r="E29" s="188">
        <v>2016405005.77</v>
      </c>
      <c r="F29" s="188">
        <v>2393782465.27</v>
      </c>
      <c r="G29" s="188">
        <v>2191037165.1399999</v>
      </c>
      <c r="H29" s="188">
        <v>2082556665.8099999</v>
      </c>
      <c r="I29" s="188">
        <v>2745579995.6799998</v>
      </c>
      <c r="J29" s="188">
        <v>5549022900.4099998</v>
      </c>
      <c r="K29" s="188">
        <v>5372267342.3199997</v>
      </c>
      <c r="L29" s="188">
        <v>5277866268.5</v>
      </c>
      <c r="M29" s="188">
        <v>4895150716.5100002</v>
      </c>
      <c r="N29" s="188">
        <v>4746332449.54</v>
      </c>
      <c r="O29" s="188">
        <v>4446804735.3000002</v>
      </c>
      <c r="P29" s="188">
        <v>3480877159.5599999</v>
      </c>
      <c r="Q29" s="188">
        <v>3421774448.02</v>
      </c>
      <c r="R29" s="188">
        <v>3051662444.0799999</v>
      </c>
      <c r="S29" s="188">
        <v>2921492322.6199999</v>
      </c>
      <c r="T29" s="188">
        <v>2241975574.71</v>
      </c>
      <c r="U29" s="188">
        <v>456328292.13</v>
      </c>
      <c r="V29" s="188">
        <v>508298207</v>
      </c>
      <c r="W29" s="188">
        <v>500633130.51999998</v>
      </c>
      <c r="X29" s="188">
        <v>477739596.64999998</v>
      </c>
      <c r="Y29" s="188">
        <v>392672323.94999999</v>
      </c>
      <c r="Z29" s="188">
        <v>357930180.56</v>
      </c>
      <c r="AA29" s="188">
        <v>331098306.48000002</v>
      </c>
      <c r="AB29" s="188">
        <v>316656062.33999997</v>
      </c>
      <c r="AC29" s="188">
        <v>251446326.43000001</v>
      </c>
      <c r="AD29" s="188">
        <v>293041026.48000002</v>
      </c>
      <c r="AE29" s="188">
        <v>341962470.41000003</v>
      </c>
      <c r="AF29" s="188">
        <v>312224946.49000001</v>
      </c>
      <c r="AG29" s="188">
        <v>263458445.09999999</v>
      </c>
      <c r="AH29" s="188">
        <v>267427752.28999999</v>
      </c>
      <c r="AI29" s="188">
        <v>277632965.17000002</v>
      </c>
      <c r="AJ29" s="188">
        <v>270471465.01999998</v>
      </c>
      <c r="AK29" s="188">
        <v>193956334.38999999</v>
      </c>
      <c r="AL29" s="188">
        <v>811284321.63999999</v>
      </c>
      <c r="AM29" s="188">
        <v>819595902.76999998</v>
      </c>
      <c r="AN29" s="188">
        <v>673327881.15999997</v>
      </c>
      <c r="AO29" s="188">
        <v>582860996.70000005</v>
      </c>
      <c r="AP29" s="188">
        <v>1314894893.3699999</v>
      </c>
      <c r="AQ29" s="188">
        <v>1197950992.3099999</v>
      </c>
      <c r="AR29" s="188">
        <v>1043792132.59</v>
      </c>
      <c r="AS29" s="188">
        <v>994453165.72000003</v>
      </c>
      <c r="AT29" s="188">
        <v>1207096398.72</v>
      </c>
      <c r="AU29" s="188">
        <v>1074086870.21</v>
      </c>
      <c r="AV29" s="188">
        <v>1073527595.41</v>
      </c>
      <c r="AW29" s="188">
        <v>1179883698.02</v>
      </c>
      <c r="AX29" s="188">
        <v>1208808413.78</v>
      </c>
      <c r="AY29" s="188">
        <v>1042924430.55</v>
      </c>
      <c r="AZ29" s="188">
        <v>943031845.61000001</v>
      </c>
      <c r="BA29" s="188">
        <v>909890443.63</v>
      </c>
      <c r="BB29" s="188">
        <v>974012522.40999997</v>
      </c>
      <c r="BC29" s="188">
        <v>929053724.75</v>
      </c>
      <c r="BD29" s="188">
        <v>849288036.95000005</v>
      </c>
      <c r="BE29" s="188">
        <v>776047024.87</v>
      </c>
      <c r="BF29" s="188">
        <v>733384383.46000004</v>
      </c>
      <c r="BG29" s="188">
        <v>675660352.38999999</v>
      </c>
      <c r="BH29" s="188">
        <v>637644833.05999994</v>
      </c>
      <c r="BI29" s="188">
        <v>721652502.10000002</v>
      </c>
      <c r="BJ29" s="188">
        <v>697188715.02999997</v>
      </c>
      <c r="BK29" s="188">
        <v>617706515.54999995</v>
      </c>
      <c r="BL29" s="188">
        <v>536385132.75</v>
      </c>
      <c r="BM29" s="188">
        <v>442903497.32999998</v>
      </c>
      <c r="BN29" s="188">
        <v>389477083.10000002</v>
      </c>
      <c r="BO29" s="188">
        <v>273149253.39999998</v>
      </c>
      <c r="BP29" s="188">
        <v>184181516.44999999</v>
      </c>
      <c r="BQ29" s="188">
        <v>162048784.65000001</v>
      </c>
      <c r="BR29" s="188">
        <v>0</v>
      </c>
      <c r="BS29" s="188">
        <v>5776136.6299999999</v>
      </c>
      <c r="BT29" s="188">
        <v>25290</v>
      </c>
      <c r="BU29" s="188">
        <v>0</v>
      </c>
      <c r="BV29" s="188">
        <v>0</v>
      </c>
    </row>
    <row r="30" spans="1:74" x14ac:dyDescent="0.25">
      <c r="A30" s="188" t="s">
        <v>134</v>
      </c>
      <c r="B30" s="188">
        <v>0</v>
      </c>
      <c r="C30" s="188">
        <v>0</v>
      </c>
      <c r="D30" s="188">
        <v>0</v>
      </c>
      <c r="E30" s="188">
        <v>0</v>
      </c>
      <c r="F30" s="188">
        <v>0</v>
      </c>
      <c r="G30" s="188">
        <v>0</v>
      </c>
      <c r="H30" s="188">
        <v>0</v>
      </c>
      <c r="I30" s="188">
        <v>0</v>
      </c>
      <c r="J30" s="188">
        <v>269870.82</v>
      </c>
      <c r="K30" s="188">
        <v>269870.82</v>
      </c>
      <c r="L30" s="188">
        <v>260855.92</v>
      </c>
      <c r="M30" s="188">
        <v>260855.92</v>
      </c>
      <c r="N30" s="188">
        <v>260855.92</v>
      </c>
      <c r="O30" s="188">
        <v>260855.92</v>
      </c>
      <c r="P30" s="188">
        <v>260855.92</v>
      </c>
      <c r="Q30" s="188">
        <v>260855.92</v>
      </c>
      <c r="R30" s="188">
        <v>1224766.1499999999</v>
      </c>
      <c r="S30" s="188">
        <v>1224766.1499999999</v>
      </c>
      <c r="T30" s="188">
        <v>1725110.46</v>
      </c>
      <c r="U30" s="188">
        <v>1725110.46</v>
      </c>
      <c r="V30" s="188">
        <v>2676942.59</v>
      </c>
      <c r="W30" s="188">
        <v>2676942.59</v>
      </c>
      <c r="X30" s="188">
        <v>2676942.59</v>
      </c>
      <c r="Y30" s="188">
        <v>2676942.59</v>
      </c>
      <c r="Z30" s="188">
        <v>2090289.79</v>
      </c>
      <c r="AA30" s="188">
        <v>2090289.79</v>
      </c>
      <c r="AB30" s="188">
        <v>17063746.940000001</v>
      </c>
      <c r="AC30" s="188">
        <v>4918294.6399999997</v>
      </c>
      <c r="AD30" s="188">
        <v>9193593.0800000001</v>
      </c>
      <c r="AE30" s="188">
        <v>8457630.3800000008</v>
      </c>
      <c r="AF30" s="188">
        <v>13359601.050000001</v>
      </c>
      <c r="AG30" s="188">
        <v>18528802.460000001</v>
      </c>
      <c r="AH30" s="188">
        <v>29764562.68</v>
      </c>
      <c r="AI30" s="188">
        <v>28534493.73</v>
      </c>
      <c r="AJ30" s="188">
        <v>34573760.18</v>
      </c>
      <c r="AK30" s="188">
        <v>24915041.530000001</v>
      </c>
      <c r="AL30" s="188">
        <v>58066303.960000001</v>
      </c>
      <c r="AM30" s="188">
        <v>48241829.450000003</v>
      </c>
      <c r="AN30" s="188">
        <v>76212689.329999998</v>
      </c>
      <c r="AO30" s="188">
        <v>62368950.890000001</v>
      </c>
      <c r="AP30" s="188">
        <v>86238644.049999997</v>
      </c>
      <c r="AQ30" s="188">
        <v>20951751.210000001</v>
      </c>
      <c r="AR30" s="188">
        <v>49874189.399999999</v>
      </c>
      <c r="AS30" s="188">
        <v>11931427.66</v>
      </c>
      <c r="AT30" s="188">
        <v>54999356.25</v>
      </c>
      <c r="AU30" s="188">
        <v>23465945.789999999</v>
      </c>
      <c r="AV30" s="188">
        <v>15359723.76</v>
      </c>
      <c r="AW30" s="188">
        <v>47444702.520000003</v>
      </c>
      <c r="AX30" s="188">
        <v>81705306.280000001</v>
      </c>
      <c r="AY30" s="188">
        <v>49288779.32</v>
      </c>
      <c r="AZ30" s="188">
        <v>27434478.82</v>
      </c>
      <c r="BA30" s="188">
        <v>19108529.359999999</v>
      </c>
      <c r="BB30" s="188">
        <v>60212675.93</v>
      </c>
      <c r="BC30" s="188">
        <v>45532107.710000001</v>
      </c>
      <c r="BD30" s="188">
        <v>20256459.23</v>
      </c>
      <c r="BE30" s="188">
        <v>10991173.91</v>
      </c>
      <c r="BF30" s="188">
        <v>20644752.170000002</v>
      </c>
      <c r="BG30" s="188">
        <v>17528075.469999999</v>
      </c>
      <c r="BH30" s="188">
        <v>0</v>
      </c>
      <c r="BI30" s="188">
        <v>0</v>
      </c>
      <c r="BJ30" s="188">
        <v>0</v>
      </c>
      <c r="BK30" s="188">
        <v>0</v>
      </c>
      <c r="BL30" s="188">
        <v>0</v>
      </c>
      <c r="BM30" s="188">
        <v>0</v>
      </c>
      <c r="BN30" s="188">
        <v>0</v>
      </c>
      <c r="BO30" s="188">
        <v>0</v>
      </c>
      <c r="BP30" s="188">
        <v>0</v>
      </c>
      <c r="BQ30" s="188">
        <v>0</v>
      </c>
      <c r="BR30" s="188">
        <v>0</v>
      </c>
      <c r="BS30" s="188">
        <v>0</v>
      </c>
      <c r="BT30" s="188">
        <v>0</v>
      </c>
      <c r="BU30" s="188">
        <v>0</v>
      </c>
      <c r="BV30" s="188">
        <v>0</v>
      </c>
    </row>
    <row r="31" spans="1:74" x14ac:dyDescent="0.25">
      <c r="A31" s="188" t="s">
        <v>135</v>
      </c>
      <c r="B31" s="188">
        <v>0</v>
      </c>
      <c r="C31" s="188">
        <v>0</v>
      </c>
      <c r="D31" s="188">
        <v>0</v>
      </c>
      <c r="E31" s="188">
        <v>0</v>
      </c>
      <c r="F31" s="188">
        <v>0</v>
      </c>
      <c r="G31" s="188">
        <v>0</v>
      </c>
      <c r="H31" s="188">
        <v>0</v>
      </c>
      <c r="I31" s="188">
        <v>0</v>
      </c>
      <c r="J31" s="188">
        <v>1792981.04</v>
      </c>
      <c r="K31" s="188">
        <v>1792981.04</v>
      </c>
      <c r="L31" s="188">
        <v>1792981.04</v>
      </c>
      <c r="M31" s="188">
        <v>682594.04</v>
      </c>
      <c r="N31" s="188">
        <v>682594.04</v>
      </c>
      <c r="O31" s="188">
        <v>0</v>
      </c>
      <c r="P31" s="188">
        <v>0</v>
      </c>
      <c r="Q31" s="188">
        <v>0</v>
      </c>
      <c r="R31" s="188">
        <v>836478.5</v>
      </c>
      <c r="S31" s="188">
        <v>260558.5</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494592.89</v>
      </c>
      <c r="AK31" s="188">
        <v>0</v>
      </c>
      <c r="AL31" s="188">
        <v>0</v>
      </c>
      <c r="AM31" s="188">
        <v>0</v>
      </c>
      <c r="AN31" s="188">
        <v>0</v>
      </c>
      <c r="AO31" s="188">
        <v>0</v>
      </c>
      <c r="AP31" s="188">
        <v>0</v>
      </c>
      <c r="AQ31" s="188">
        <v>0</v>
      </c>
      <c r="AR31" s="188">
        <v>164317.37</v>
      </c>
      <c r="AS31" s="188">
        <v>0</v>
      </c>
      <c r="AT31" s="188">
        <v>456645.64</v>
      </c>
      <c r="AU31" s="188">
        <v>0</v>
      </c>
      <c r="AV31" s="188">
        <v>35490</v>
      </c>
      <c r="AW31" s="188">
        <v>0</v>
      </c>
      <c r="AX31" s="188">
        <v>140744.01</v>
      </c>
      <c r="AY31" s="188">
        <v>122591.96</v>
      </c>
      <c r="AZ31" s="188">
        <v>15676.67</v>
      </c>
      <c r="BA31" s="188">
        <v>0</v>
      </c>
      <c r="BB31" s="188">
        <v>13066.32</v>
      </c>
      <c r="BC31" s="188">
        <v>0</v>
      </c>
      <c r="BD31" s="188">
        <v>0</v>
      </c>
      <c r="BE31" s="188">
        <v>0</v>
      </c>
      <c r="BF31" s="188">
        <v>144779.23000000001</v>
      </c>
      <c r="BG31" s="188">
        <v>144779.23000000001</v>
      </c>
      <c r="BH31" s="188">
        <v>117684.47</v>
      </c>
      <c r="BI31" s="188">
        <v>6730</v>
      </c>
      <c r="BJ31" s="188">
        <v>6730</v>
      </c>
      <c r="BK31" s="188">
        <v>6730</v>
      </c>
      <c r="BL31" s="188">
        <v>0</v>
      </c>
      <c r="BM31" s="188">
        <v>0</v>
      </c>
      <c r="BN31" s="188">
        <v>0</v>
      </c>
      <c r="BO31" s="188">
        <v>0</v>
      </c>
      <c r="BP31" s="188">
        <v>0</v>
      </c>
      <c r="BQ31" s="188">
        <v>0</v>
      </c>
      <c r="BR31" s="188">
        <v>0</v>
      </c>
      <c r="BS31" s="188">
        <v>449993.46</v>
      </c>
      <c r="BT31" s="188">
        <v>0</v>
      </c>
      <c r="BU31" s="188">
        <v>0</v>
      </c>
      <c r="BV31" s="188">
        <v>0</v>
      </c>
    </row>
    <row r="32" spans="1:74"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c r="BH32" s="188">
        <v>0</v>
      </c>
      <c r="BI32" s="188">
        <v>0</v>
      </c>
      <c r="BJ32" s="188">
        <v>0</v>
      </c>
      <c r="BK32" s="188">
        <v>0</v>
      </c>
      <c r="BL32" s="188">
        <v>0</v>
      </c>
      <c r="BM32" s="188">
        <v>0</v>
      </c>
      <c r="BN32" s="188">
        <v>0</v>
      </c>
      <c r="BO32" s="188">
        <v>0</v>
      </c>
      <c r="BP32" s="188">
        <v>0</v>
      </c>
      <c r="BQ32" s="188">
        <v>0</v>
      </c>
      <c r="BR32" s="188">
        <v>0</v>
      </c>
      <c r="BS32" s="188">
        <v>0</v>
      </c>
      <c r="BT32" s="188">
        <v>0</v>
      </c>
      <c r="BU32" s="188">
        <v>0</v>
      </c>
      <c r="BV32" s="188">
        <v>0</v>
      </c>
    </row>
    <row r="33" spans="1:74"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c r="BH33" s="188">
        <v>0</v>
      </c>
      <c r="BI33" s="188">
        <v>0</v>
      </c>
      <c r="BJ33" s="188">
        <v>0</v>
      </c>
      <c r="BK33" s="188">
        <v>0</v>
      </c>
      <c r="BL33" s="188">
        <v>0</v>
      </c>
      <c r="BM33" s="188">
        <v>0</v>
      </c>
      <c r="BN33" s="188">
        <v>0</v>
      </c>
      <c r="BO33" s="188">
        <v>0</v>
      </c>
      <c r="BP33" s="188">
        <v>0</v>
      </c>
      <c r="BQ33" s="188">
        <v>0</v>
      </c>
      <c r="BR33" s="188">
        <v>0</v>
      </c>
      <c r="BS33" s="188">
        <v>0</v>
      </c>
      <c r="BT33" s="188">
        <v>0</v>
      </c>
      <c r="BU33" s="188">
        <v>0</v>
      </c>
      <c r="BV33" s="188">
        <v>0</v>
      </c>
    </row>
    <row r="34" spans="1:74"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c r="BH34" s="188">
        <v>0</v>
      </c>
      <c r="BI34" s="188">
        <v>0</v>
      </c>
      <c r="BJ34" s="188">
        <v>0</v>
      </c>
      <c r="BK34" s="188">
        <v>0</v>
      </c>
      <c r="BL34" s="188">
        <v>0</v>
      </c>
      <c r="BM34" s="188">
        <v>0</v>
      </c>
      <c r="BN34" s="188">
        <v>0</v>
      </c>
      <c r="BO34" s="188">
        <v>0</v>
      </c>
      <c r="BP34" s="188">
        <v>0</v>
      </c>
      <c r="BQ34" s="188">
        <v>0</v>
      </c>
      <c r="BR34" s="188">
        <v>0</v>
      </c>
      <c r="BS34" s="188">
        <v>0</v>
      </c>
      <c r="BT34" s="188">
        <v>0</v>
      </c>
      <c r="BU34" s="188">
        <v>0</v>
      </c>
      <c r="BV34" s="188">
        <v>0</v>
      </c>
    </row>
    <row r="35" spans="1:74" x14ac:dyDescent="0.25">
      <c r="A35" s="188" t="s">
        <v>139</v>
      </c>
      <c r="B35" s="188">
        <v>3468289232.1799998</v>
      </c>
      <c r="C35" s="188">
        <v>3487751876.7600002</v>
      </c>
      <c r="D35" s="188">
        <v>3437446976.0999999</v>
      </c>
      <c r="E35" s="188">
        <v>3458622239.3800001</v>
      </c>
      <c r="F35" s="188">
        <v>3473785664.3499999</v>
      </c>
      <c r="G35" s="188">
        <v>3486620572.5500002</v>
      </c>
      <c r="H35" s="188">
        <v>3506692179.8400002</v>
      </c>
      <c r="I35" s="188">
        <v>3531740625.5999999</v>
      </c>
      <c r="J35" s="188">
        <v>3551889907.73</v>
      </c>
      <c r="K35" s="188">
        <v>3572114511.04</v>
      </c>
      <c r="L35" s="188">
        <v>3562139114.3499999</v>
      </c>
      <c r="M35" s="188">
        <v>3582462431.04</v>
      </c>
      <c r="N35" s="188">
        <v>3603081357.7800002</v>
      </c>
      <c r="O35" s="188">
        <v>3612750116.1100001</v>
      </c>
      <c r="P35" s="188">
        <v>3562868314.6999998</v>
      </c>
      <c r="Q35" s="188">
        <v>3582623682.2399998</v>
      </c>
      <c r="R35" s="188">
        <v>3565626838.7800002</v>
      </c>
      <c r="S35" s="188">
        <v>3700019421.5900002</v>
      </c>
      <c r="T35" s="188">
        <v>3686129714.0799999</v>
      </c>
      <c r="U35" s="188">
        <v>3563308110.5100002</v>
      </c>
      <c r="V35" s="188">
        <v>1041613845.3099999</v>
      </c>
      <c r="W35" s="188">
        <v>1022370760.39</v>
      </c>
      <c r="X35" s="188">
        <v>950991339.07000005</v>
      </c>
      <c r="Y35" s="188">
        <v>862615899.20000005</v>
      </c>
      <c r="Z35" s="188">
        <v>803234798.05999994</v>
      </c>
      <c r="AA35" s="188">
        <v>807769533.46000004</v>
      </c>
      <c r="AB35" s="188">
        <v>805843181.95000005</v>
      </c>
      <c r="AC35" s="188">
        <v>808425512.33000004</v>
      </c>
      <c r="AD35" s="188">
        <v>464193004.38999999</v>
      </c>
      <c r="AE35" s="188">
        <v>465496995.37</v>
      </c>
      <c r="AF35" s="188">
        <v>467473261.33999997</v>
      </c>
      <c r="AG35" s="188">
        <v>452317235.72000003</v>
      </c>
      <c r="AH35" s="188">
        <v>460772956.60000002</v>
      </c>
      <c r="AI35" s="188">
        <v>463868158.93000001</v>
      </c>
      <c r="AJ35" s="188">
        <v>462690687.36000001</v>
      </c>
      <c r="AK35" s="188">
        <v>465550825.17000002</v>
      </c>
      <c r="AL35" s="188">
        <v>466854656.80000001</v>
      </c>
      <c r="AM35" s="188">
        <v>473613977</v>
      </c>
      <c r="AN35" s="188">
        <v>476520713.93000001</v>
      </c>
      <c r="AO35" s="188">
        <v>445207595.72000003</v>
      </c>
      <c r="AP35" s="188">
        <v>257618015.97</v>
      </c>
      <c r="AQ35" s="188">
        <v>259113847.75999999</v>
      </c>
      <c r="AR35" s="188">
        <v>247652499.97999999</v>
      </c>
      <c r="AS35" s="188">
        <v>249274093.40000001</v>
      </c>
      <c r="AT35" s="188">
        <v>252846793.83000001</v>
      </c>
      <c r="AU35" s="188">
        <v>254479095.53999999</v>
      </c>
      <c r="AV35" s="188">
        <v>255348897.25</v>
      </c>
      <c r="AW35" s="188">
        <v>66093918.659999996</v>
      </c>
      <c r="AX35" s="188">
        <v>66853374.939999998</v>
      </c>
      <c r="AY35" s="188">
        <v>69018445.219999999</v>
      </c>
      <c r="AZ35" s="188">
        <v>56933580.289999999</v>
      </c>
      <c r="BA35" s="188">
        <v>57074911.579999998</v>
      </c>
      <c r="BB35" s="188">
        <v>57229688</v>
      </c>
      <c r="BC35" s="188">
        <v>39766396</v>
      </c>
      <c r="BD35" s="188">
        <v>37656999.829999998</v>
      </c>
      <c r="BE35" s="188">
        <v>37699499.840000004</v>
      </c>
      <c r="BF35" s="188">
        <v>128704.85</v>
      </c>
      <c r="BG35" s="188">
        <v>171204.86</v>
      </c>
      <c r="BH35" s="188">
        <v>213704.87</v>
      </c>
      <c r="BI35" s="188">
        <v>256204.88</v>
      </c>
      <c r="BJ35" s="188">
        <v>297499.89</v>
      </c>
      <c r="BK35" s="188">
        <v>339999.9</v>
      </c>
      <c r="BL35" s="188">
        <v>382499.91</v>
      </c>
      <c r="BM35" s="188">
        <v>424999.92</v>
      </c>
      <c r="BN35" s="188">
        <v>467499.93</v>
      </c>
      <c r="BO35" s="188">
        <v>509999.94</v>
      </c>
      <c r="BP35" s="188">
        <v>552499.94999999995</v>
      </c>
      <c r="BQ35" s="188">
        <v>594999.96</v>
      </c>
      <c r="BR35" s="188">
        <v>679999.98</v>
      </c>
      <c r="BS35" s="188">
        <v>765000</v>
      </c>
      <c r="BT35" s="188">
        <v>935000</v>
      </c>
      <c r="BU35" s="188">
        <v>0</v>
      </c>
      <c r="BV35" s="188">
        <v>0</v>
      </c>
    </row>
    <row r="36" spans="1:74"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0</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c r="BH36" s="188">
        <v>0</v>
      </c>
      <c r="BI36" s="188">
        <v>0</v>
      </c>
      <c r="BJ36" s="188">
        <v>0</v>
      </c>
      <c r="BK36" s="188">
        <v>0</v>
      </c>
      <c r="BL36" s="188">
        <v>0</v>
      </c>
      <c r="BM36" s="188">
        <v>0</v>
      </c>
      <c r="BN36" s="188">
        <v>0</v>
      </c>
      <c r="BO36" s="188">
        <v>0</v>
      </c>
      <c r="BP36" s="188">
        <v>0</v>
      </c>
      <c r="BQ36" s="188">
        <v>0</v>
      </c>
      <c r="BR36" s="188">
        <v>0</v>
      </c>
      <c r="BS36" s="188">
        <v>0</v>
      </c>
      <c r="BT36" s="188">
        <v>0</v>
      </c>
      <c r="BU36" s="188">
        <v>0</v>
      </c>
      <c r="BV36" s="188">
        <v>0</v>
      </c>
    </row>
    <row r="37" spans="1:74" x14ac:dyDescent="0.25">
      <c r="A37" s="188" t="s">
        <v>141</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0</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c r="BL37" s="188">
        <v>0</v>
      </c>
      <c r="BM37" s="188">
        <v>0</v>
      </c>
      <c r="BN37" s="188">
        <v>0</v>
      </c>
      <c r="BO37" s="188">
        <v>0</v>
      </c>
      <c r="BP37" s="188">
        <v>0</v>
      </c>
      <c r="BQ37" s="188">
        <v>0</v>
      </c>
      <c r="BR37" s="188">
        <v>0</v>
      </c>
      <c r="BS37" s="188">
        <v>0</v>
      </c>
      <c r="BT37" s="188">
        <v>0</v>
      </c>
      <c r="BU37" s="188">
        <v>0</v>
      </c>
      <c r="BV37" s="188">
        <v>0</v>
      </c>
    </row>
    <row r="38" spans="1:74" x14ac:dyDescent="0.25">
      <c r="A38" s="188" t="s">
        <v>142</v>
      </c>
      <c r="B38" s="188">
        <v>170268035.13</v>
      </c>
      <c r="C38" s="188">
        <v>172798581.59999999</v>
      </c>
      <c r="D38" s="188">
        <v>175329128.06999999</v>
      </c>
      <c r="E38" s="188">
        <v>177859674.53999999</v>
      </c>
      <c r="F38" s="188">
        <v>180381853.66999999</v>
      </c>
      <c r="G38" s="188">
        <v>182978339.78</v>
      </c>
      <c r="H38" s="188">
        <v>185603910.53</v>
      </c>
      <c r="I38" s="188">
        <v>188118776.50999999</v>
      </c>
      <c r="J38" s="188">
        <v>190287366.19999999</v>
      </c>
      <c r="K38" s="188">
        <v>192922015.68000001</v>
      </c>
      <c r="L38" s="188">
        <v>195934362.53999999</v>
      </c>
      <c r="M38" s="188">
        <v>198603537.81</v>
      </c>
      <c r="N38" s="188">
        <v>202031249.06</v>
      </c>
      <c r="O38" s="188">
        <v>2963228.01</v>
      </c>
      <c r="P38" s="188">
        <v>4437945.83</v>
      </c>
      <c r="Q38" s="188">
        <v>5408286.8300000001</v>
      </c>
      <c r="R38" s="188">
        <v>5917951.8899999997</v>
      </c>
      <c r="S38" s="188">
        <v>6799810.7400000002</v>
      </c>
      <c r="T38" s="188">
        <v>7196207.0800000001</v>
      </c>
      <c r="U38" s="188">
        <v>8048744.96</v>
      </c>
      <c r="V38" s="188">
        <v>8736497.5999999996</v>
      </c>
      <c r="W38" s="188">
        <v>8234551.5099999998</v>
      </c>
      <c r="X38" s="188">
        <v>9205790.4700000007</v>
      </c>
      <c r="Y38" s="188">
        <v>10177029.43</v>
      </c>
      <c r="Z38" s="188">
        <v>11148268.390000001</v>
      </c>
      <c r="AA38" s="188">
        <v>11885526.800000001</v>
      </c>
      <c r="AB38" s="188">
        <v>12845444.119999999</v>
      </c>
      <c r="AC38" s="188">
        <v>13805361.439999999</v>
      </c>
      <c r="AD38" s="188">
        <v>16893673.399999999</v>
      </c>
      <c r="AE38" s="188">
        <v>17838414.5</v>
      </c>
      <c r="AF38" s="188">
        <v>18202831.82</v>
      </c>
      <c r="AG38" s="188">
        <v>18701578.16</v>
      </c>
      <c r="AH38" s="188">
        <v>19768820.690000001</v>
      </c>
      <c r="AI38" s="188">
        <v>18891838.010000002</v>
      </c>
      <c r="AJ38" s="188">
        <v>20112027.370000001</v>
      </c>
      <c r="AK38" s="188">
        <v>21469624.809999999</v>
      </c>
      <c r="AL38" s="188">
        <v>3152879.4</v>
      </c>
      <c r="AM38" s="188">
        <v>5462382.6500000004</v>
      </c>
      <c r="AN38" s="188">
        <v>7803175.4299999997</v>
      </c>
      <c r="AO38" s="188">
        <v>10146520.77</v>
      </c>
      <c r="AP38" s="188">
        <v>8582962.8599999994</v>
      </c>
      <c r="AQ38" s="188">
        <v>11461634.75</v>
      </c>
      <c r="AR38" s="188">
        <v>13941111.949999999</v>
      </c>
      <c r="AS38" s="188">
        <v>12477325.460000001</v>
      </c>
      <c r="AT38" s="188">
        <v>36691360.520000003</v>
      </c>
      <c r="AU38" s="188">
        <v>70552699.730000004</v>
      </c>
      <c r="AV38" s="188">
        <v>68191994.959999993</v>
      </c>
      <c r="AW38" s="188">
        <v>68459874.909999996</v>
      </c>
      <c r="AX38" s="188">
        <v>64111146.829999998</v>
      </c>
      <c r="AY38" s="188">
        <v>60712606.950000003</v>
      </c>
      <c r="AZ38" s="188">
        <v>58279125.240000002</v>
      </c>
      <c r="BA38" s="188">
        <v>60377239.579999998</v>
      </c>
      <c r="BB38" s="188">
        <v>58900390.140000001</v>
      </c>
      <c r="BC38" s="188">
        <v>52057433.049999997</v>
      </c>
      <c r="BD38" s="188">
        <v>49971049.43</v>
      </c>
      <c r="BE38" s="188">
        <v>50939036</v>
      </c>
      <c r="BF38" s="188">
        <v>55014337.399999999</v>
      </c>
      <c r="BG38" s="188">
        <v>49561075.75</v>
      </c>
      <c r="BH38" s="188">
        <v>45668919.369999997</v>
      </c>
      <c r="BI38" s="188">
        <v>33607508.119999997</v>
      </c>
      <c r="BJ38" s="188">
        <v>28195069.550000001</v>
      </c>
      <c r="BK38" s="188">
        <v>25847208.399999999</v>
      </c>
      <c r="BL38" s="188">
        <v>25173397.5</v>
      </c>
      <c r="BM38" s="188">
        <v>22221522.309999999</v>
      </c>
      <c r="BN38" s="188">
        <v>18148500.66</v>
      </c>
      <c r="BO38" s="188">
        <v>18219423.449999999</v>
      </c>
      <c r="BP38" s="188">
        <v>16908806.059999999</v>
      </c>
      <c r="BQ38" s="188">
        <v>16579763.939999999</v>
      </c>
      <c r="BR38" s="188">
        <v>16168889.27</v>
      </c>
      <c r="BS38" s="188">
        <v>11574814.359999999</v>
      </c>
      <c r="BT38" s="188">
        <v>8442496.9499999993</v>
      </c>
      <c r="BU38" s="188">
        <v>7917934.4500000002</v>
      </c>
      <c r="BV38" s="188">
        <v>0</v>
      </c>
    </row>
    <row r="39" spans="1:74" x14ac:dyDescent="0.25">
      <c r="A39" s="188" t="s">
        <v>143</v>
      </c>
      <c r="B39" s="188">
        <v>1442247963.4000001</v>
      </c>
      <c r="C39" s="188">
        <v>1216138278.1400001</v>
      </c>
      <c r="D39" s="188">
        <v>1399765939.0599999</v>
      </c>
      <c r="E39" s="188">
        <v>1401797361.77</v>
      </c>
      <c r="F39" s="188">
        <v>2019358117.1199999</v>
      </c>
      <c r="G39" s="188">
        <v>1835447883.46</v>
      </c>
      <c r="H39" s="188">
        <v>1845145948.6800001</v>
      </c>
      <c r="I39" s="188">
        <v>1745539120.6800001</v>
      </c>
      <c r="J39" s="188">
        <v>901987637.61000001</v>
      </c>
      <c r="K39" s="188">
        <v>895245348.82000005</v>
      </c>
      <c r="L39" s="188">
        <v>887280412.58000004</v>
      </c>
      <c r="M39" s="188">
        <v>1155336074.1400001</v>
      </c>
      <c r="N39" s="188">
        <v>767938421.36000001</v>
      </c>
      <c r="O39" s="188">
        <v>548714031.45000005</v>
      </c>
      <c r="P39" s="188">
        <v>743599436.94000006</v>
      </c>
      <c r="Q39" s="188">
        <v>821601105.71000004</v>
      </c>
      <c r="R39" s="188">
        <v>950518493.65999997</v>
      </c>
      <c r="S39" s="188">
        <v>960373469.90999997</v>
      </c>
      <c r="T39" s="188">
        <v>804831808.55999994</v>
      </c>
      <c r="U39" s="188">
        <v>825372524.64999998</v>
      </c>
      <c r="V39" s="188">
        <v>627749883.44000006</v>
      </c>
      <c r="W39" s="188">
        <v>302817568.36000001</v>
      </c>
      <c r="X39" s="188">
        <v>567395099.30999994</v>
      </c>
      <c r="Y39" s="188">
        <v>643656913.32000005</v>
      </c>
      <c r="Z39" s="188">
        <v>282149572.67000002</v>
      </c>
      <c r="AA39" s="188">
        <v>381631064.63</v>
      </c>
      <c r="AB39" s="188">
        <v>478727366.87</v>
      </c>
      <c r="AC39" s="188">
        <v>502628950.52999997</v>
      </c>
      <c r="AD39" s="188">
        <v>356389121.89999998</v>
      </c>
      <c r="AE39" s="188">
        <v>284320662.57999998</v>
      </c>
      <c r="AF39" s="188">
        <v>310887789.67000002</v>
      </c>
      <c r="AG39" s="188">
        <v>278437938.97000003</v>
      </c>
      <c r="AH39" s="188">
        <v>257933326.34999999</v>
      </c>
      <c r="AI39" s="188">
        <v>166372214.52000001</v>
      </c>
      <c r="AJ39" s="188">
        <v>197205662.94</v>
      </c>
      <c r="AK39" s="188">
        <v>225420802.13999999</v>
      </c>
      <c r="AL39" s="188">
        <v>101887756.67</v>
      </c>
      <c r="AM39" s="188">
        <v>93737740.640000001</v>
      </c>
      <c r="AN39" s="188">
        <v>191547177.25</v>
      </c>
      <c r="AO39" s="188">
        <v>176680977.53999999</v>
      </c>
      <c r="AP39" s="188">
        <v>68169347.540000007</v>
      </c>
      <c r="AQ39" s="188">
        <v>49096749.719999999</v>
      </c>
      <c r="AR39" s="188">
        <v>72160364.549999997</v>
      </c>
      <c r="AS39" s="188">
        <v>52849560.43</v>
      </c>
      <c r="AT39" s="188">
        <v>36966481.409999996</v>
      </c>
      <c r="AU39" s="188">
        <v>36799639.740000002</v>
      </c>
      <c r="AV39" s="188">
        <v>51325209.009999998</v>
      </c>
      <c r="AW39" s="188">
        <v>0</v>
      </c>
      <c r="AX39" s="188">
        <v>0</v>
      </c>
      <c r="AY39" s="188">
        <v>0</v>
      </c>
      <c r="AZ39" s="188">
        <v>0</v>
      </c>
      <c r="BA39" s="188">
        <v>0</v>
      </c>
      <c r="BB39" s="188">
        <v>0</v>
      </c>
      <c r="BC39" s="188">
        <v>0</v>
      </c>
      <c r="BD39" s="188">
        <v>0</v>
      </c>
      <c r="BE39" s="188">
        <v>0</v>
      </c>
      <c r="BF39" s="188">
        <v>0</v>
      </c>
      <c r="BG39" s="188">
        <v>0</v>
      </c>
      <c r="BH39" s="188">
        <v>0</v>
      </c>
      <c r="BI39" s="188">
        <v>0</v>
      </c>
      <c r="BJ39" s="188">
        <v>0</v>
      </c>
      <c r="BK39" s="188">
        <v>0</v>
      </c>
      <c r="BL39" s="188">
        <v>0</v>
      </c>
      <c r="BM39" s="188">
        <v>0</v>
      </c>
      <c r="BN39" s="188">
        <v>0</v>
      </c>
      <c r="BO39" s="188">
        <v>0</v>
      </c>
      <c r="BP39" s="188">
        <v>0</v>
      </c>
      <c r="BQ39" s="188">
        <v>0</v>
      </c>
      <c r="BR39" s="188">
        <v>0</v>
      </c>
      <c r="BS39" s="188">
        <v>0</v>
      </c>
      <c r="BT39" s="188">
        <v>0</v>
      </c>
      <c r="BU39" s="188">
        <v>0</v>
      </c>
      <c r="BV39" s="188">
        <v>0</v>
      </c>
    </row>
    <row r="40" spans="1:74" x14ac:dyDescent="0.25">
      <c r="A40" s="188" t="s">
        <v>144</v>
      </c>
      <c r="B40" s="188">
        <v>0</v>
      </c>
      <c r="C40" s="188">
        <v>0</v>
      </c>
      <c r="D40" s="188">
        <v>0</v>
      </c>
      <c r="E40" s="188">
        <v>0</v>
      </c>
      <c r="F40" s="188">
        <v>0</v>
      </c>
      <c r="G40" s="188">
        <v>0</v>
      </c>
      <c r="H40" s="188">
        <v>0</v>
      </c>
      <c r="I40" s="188">
        <v>0</v>
      </c>
      <c r="J40" s="188">
        <v>0</v>
      </c>
      <c r="K40" s="188">
        <v>0</v>
      </c>
      <c r="L40" s="188">
        <v>0</v>
      </c>
      <c r="M40" s="188">
        <v>0</v>
      </c>
      <c r="N40" s="188">
        <v>0</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0</v>
      </c>
      <c r="BP40" s="188">
        <v>0</v>
      </c>
      <c r="BQ40" s="188">
        <v>0</v>
      </c>
      <c r="BR40" s="188">
        <v>0</v>
      </c>
      <c r="BS40" s="188">
        <v>0</v>
      </c>
      <c r="BT40" s="188">
        <v>0</v>
      </c>
      <c r="BU40" s="188">
        <v>0</v>
      </c>
      <c r="BV40" s="188">
        <v>0</v>
      </c>
    </row>
    <row r="41" spans="1:74" x14ac:dyDescent="0.25">
      <c r="A41" s="188" t="s">
        <v>145</v>
      </c>
      <c r="B41" s="188">
        <v>22316773408.830002</v>
      </c>
      <c r="C41" s="188">
        <v>22175928347.880001</v>
      </c>
      <c r="D41" s="188">
        <v>22623555929.689999</v>
      </c>
      <c r="E41" s="188">
        <v>22360930913.48</v>
      </c>
      <c r="F41" s="188">
        <v>22976741343</v>
      </c>
      <c r="G41" s="188">
        <v>22984949774.959999</v>
      </c>
      <c r="H41" s="188">
        <v>23089295953.759998</v>
      </c>
      <c r="I41" s="188">
        <v>22753989474.84</v>
      </c>
      <c r="J41" s="188">
        <v>21643145955.470001</v>
      </c>
      <c r="K41" s="188">
        <v>21593032140.220001</v>
      </c>
      <c r="L41" s="188">
        <v>21576653404.439999</v>
      </c>
      <c r="M41" s="188">
        <v>21296949399.18</v>
      </c>
      <c r="N41" s="188">
        <v>20261592117.09</v>
      </c>
      <c r="O41" s="188">
        <v>19097774757.830002</v>
      </c>
      <c r="P41" s="188">
        <v>18315646536.52</v>
      </c>
      <c r="Q41" s="188">
        <v>18302236150.310001</v>
      </c>
      <c r="R41" s="188">
        <v>16660795222.92</v>
      </c>
      <c r="S41" s="188">
        <v>16579774564.629999</v>
      </c>
      <c r="T41" s="188">
        <v>15583608259.01</v>
      </c>
      <c r="U41" s="188">
        <v>13522567242.82</v>
      </c>
      <c r="V41" s="188">
        <v>9433590713.1000004</v>
      </c>
      <c r="W41" s="188">
        <v>8937733311.7900009</v>
      </c>
      <c r="X41" s="188">
        <v>9046122215.5200005</v>
      </c>
      <c r="Y41" s="188">
        <v>8773132339.5799999</v>
      </c>
      <c r="Z41" s="188">
        <v>7348983711.5200005</v>
      </c>
      <c r="AA41" s="188">
        <v>7287172510.8199997</v>
      </c>
      <c r="AB41" s="188">
        <v>7174957543.2700005</v>
      </c>
      <c r="AC41" s="188">
        <v>7071236794.9799995</v>
      </c>
      <c r="AD41" s="188">
        <v>5907593182.6300001</v>
      </c>
      <c r="AE41" s="188">
        <v>5450664776.8999996</v>
      </c>
      <c r="AF41" s="188">
        <v>5404910754.6800003</v>
      </c>
      <c r="AG41" s="188">
        <v>5287295112.3800001</v>
      </c>
      <c r="AH41" s="188">
        <v>4854322092.2399998</v>
      </c>
      <c r="AI41" s="188">
        <v>4750522574.4799995</v>
      </c>
      <c r="AJ41" s="188">
        <v>4223497907.46</v>
      </c>
      <c r="AK41" s="188">
        <v>4114037784.3299999</v>
      </c>
      <c r="AL41" s="188">
        <v>3893081948.3499999</v>
      </c>
      <c r="AM41" s="188">
        <v>3756937589.1599998</v>
      </c>
      <c r="AN41" s="188">
        <v>3728677824.9000001</v>
      </c>
      <c r="AO41" s="188">
        <v>3513436953.5100002</v>
      </c>
      <c r="AP41" s="188">
        <v>3739014271</v>
      </c>
      <c r="AQ41" s="188">
        <v>3526080172.4299998</v>
      </c>
      <c r="AR41" s="188">
        <v>3338338900.5300002</v>
      </c>
      <c r="AS41" s="188">
        <v>3209968937.0300002</v>
      </c>
      <c r="AT41" s="188">
        <v>3086136003.2399998</v>
      </c>
      <c r="AU41" s="188">
        <v>2952999545.0700002</v>
      </c>
      <c r="AV41" s="188">
        <v>2845284852.9899998</v>
      </c>
      <c r="AW41" s="188">
        <v>2638340763.6999998</v>
      </c>
      <c r="AX41" s="188">
        <v>2450389777.1900001</v>
      </c>
      <c r="AY41" s="188">
        <v>2263427977.0500002</v>
      </c>
      <c r="AZ41" s="188">
        <v>2115638921.48</v>
      </c>
      <c r="BA41" s="188">
        <v>2038076176.98</v>
      </c>
      <c r="BB41" s="188">
        <v>1904956898.72</v>
      </c>
      <c r="BC41" s="188">
        <v>1780876639.3299999</v>
      </c>
      <c r="BD41" s="188">
        <v>1685409788.29</v>
      </c>
      <c r="BE41" s="188">
        <v>1601014475.77</v>
      </c>
      <c r="BF41" s="188">
        <v>1463570659.45</v>
      </c>
      <c r="BG41" s="188">
        <v>1398793760.26</v>
      </c>
      <c r="BH41" s="188">
        <v>1332300138.5599999</v>
      </c>
      <c r="BI41" s="188">
        <v>1200336776.9300001</v>
      </c>
      <c r="BJ41" s="188">
        <v>1165910893.28</v>
      </c>
      <c r="BK41" s="188">
        <v>1092933336.0799999</v>
      </c>
      <c r="BL41" s="188">
        <v>1019774319.86</v>
      </c>
      <c r="BM41" s="188">
        <v>939648707.25</v>
      </c>
      <c r="BN41" s="188">
        <v>859601030.65999997</v>
      </c>
      <c r="BO41" s="188">
        <v>748821426.96000004</v>
      </c>
      <c r="BP41" s="188">
        <v>611201680.95000005</v>
      </c>
      <c r="BQ41" s="188">
        <v>593463444.27999997</v>
      </c>
      <c r="BR41" s="188">
        <v>203349614.99000001</v>
      </c>
      <c r="BS41" s="188">
        <v>198886333.53999999</v>
      </c>
      <c r="BT41" s="188">
        <v>194977652.84999999</v>
      </c>
      <c r="BU41" s="188">
        <v>220941379.80000001</v>
      </c>
      <c r="BV41" s="188">
        <v>0</v>
      </c>
    </row>
    <row r="42" spans="1:74" x14ac:dyDescent="0.25">
      <c r="A42" s="188" t="s">
        <v>146</v>
      </c>
      <c r="B42" s="188">
        <v>147147672376.16</v>
      </c>
      <c r="C42" s="188">
        <v>129914832498.21001</v>
      </c>
      <c r="D42" s="188">
        <v>134404941948.3</v>
      </c>
      <c r="E42" s="188">
        <v>134610116875.08</v>
      </c>
      <c r="F42" s="188">
        <v>127780036133.2</v>
      </c>
      <c r="G42" s="188">
        <v>120382739967.95</v>
      </c>
      <c r="H42" s="188">
        <v>118978719020.08</v>
      </c>
      <c r="I42" s="188">
        <v>112934538280.41</v>
      </c>
      <c r="J42" s="188">
        <v>105146032285.13</v>
      </c>
      <c r="K42" s="188">
        <v>95546499172.839996</v>
      </c>
      <c r="L42" s="188">
        <v>90690449521.880005</v>
      </c>
      <c r="M42" s="188">
        <v>86301463422.770004</v>
      </c>
      <c r="N42" s="188">
        <v>77559034189.139999</v>
      </c>
      <c r="O42" s="188">
        <v>72337744204.929993</v>
      </c>
      <c r="P42" s="188">
        <v>68769020638.419998</v>
      </c>
      <c r="Q42" s="188">
        <v>65873165224.629997</v>
      </c>
      <c r="R42" s="188">
        <v>58651555116.650002</v>
      </c>
      <c r="S42" s="188">
        <v>55218131505.510002</v>
      </c>
      <c r="T42" s="188">
        <v>56029625704.110001</v>
      </c>
      <c r="U42" s="188">
        <v>55454150677.050003</v>
      </c>
      <c r="V42" s="188">
        <v>49274437880.709999</v>
      </c>
      <c r="W42" s="188">
        <v>43620710381.690002</v>
      </c>
      <c r="X42" s="188">
        <v>45902219986.089996</v>
      </c>
      <c r="Y42" s="188">
        <v>44998208953.459999</v>
      </c>
      <c r="Z42" s="188">
        <v>38834876462.709999</v>
      </c>
      <c r="AA42" s="188">
        <v>39711451965.360001</v>
      </c>
      <c r="AB42" s="188">
        <v>36407584735.599998</v>
      </c>
      <c r="AC42" s="188">
        <v>34900868975.410004</v>
      </c>
      <c r="AD42" s="188">
        <v>32894258255.330002</v>
      </c>
      <c r="AE42" s="188">
        <v>30920149101.43</v>
      </c>
      <c r="AF42" s="188">
        <v>29161700183.57</v>
      </c>
      <c r="AG42" s="188">
        <v>25587579940.689999</v>
      </c>
      <c r="AH42" s="188">
        <v>22810028763.639999</v>
      </c>
      <c r="AI42" s="188">
        <v>21333828715.529999</v>
      </c>
      <c r="AJ42" s="188">
        <v>20430099477.790001</v>
      </c>
      <c r="AK42" s="188">
        <v>19769623147.720001</v>
      </c>
      <c r="AL42" s="188">
        <v>16737940329.299999</v>
      </c>
      <c r="AM42" s="188">
        <v>15973750015.48</v>
      </c>
      <c r="AN42" s="188">
        <v>15625503484.209999</v>
      </c>
      <c r="AO42" s="188">
        <v>15754187836.35</v>
      </c>
      <c r="AP42" s="188">
        <v>12989449921.360001</v>
      </c>
      <c r="AQ42" s="188">
        <v>11276097082.700001</v>
      </c>
      <c r="AR42" s="188">
        <v>11556876926.48</v>
      </c>
      <c r="AS42" s="188">
        <v>10481471840.450001</v>
      </c>
      <c r="AT42" s="188">
        <v>10194195529.99</v>
      </c>
      <c r="AU42" s="188">
        <v>10226931689.690001</v>
      </c>
      <c r="AV42" s="188">
        <v>9883304613.25</v>
      </c>
      <c r="AW42" s="188">
        <v>9388915003.9899998</v>
      </c>
      <c r="AX42" s="188">
        <v>8806428606.5900002</v>
      </c>
      <c r="AY42" s="188">
        <v>7799862599.6800003</v>
      </c>
      <c r="AZ42" s="188">
        <v>8103036754.29</v>
      </c>
      <c r="BA42" s="188">
        <v>8057596464.5900002</v>
      </c>
      <c r="BB42" s="188">
        <v>7077360201.71</v>
      </c>
      <c r="BC42" s="188">
        <v>6728916037.2600002</v>
      </c>
      <c r="BD42" s="188">
        <v>6571862002.1300001</v>
      </c>
      <c r="BE42" s="188">
        <v>6373652983.5699997</v>
      </c>
      <c r="BF42" s="188">
        <v>5628688980.5600004</v>
      </c>
      <c r="BG42" s="188">
        <v>5041106276.1899996</v>
      </c>
      <c r="BH42" s="188">
        <v>4855158665.5200005</v>
      </c>
      <c r="BI42" s="188">
        <v>4956365810.8500004</v>
      </c>
      <c r="BJ42" s="188">
        <v>4466694791.6800003</v>
      </c>
      <c r="BK42" s="188">
        <v>3940510267.6999998</v>
      </c>
      <c r="BL42" s="188">
        <v>3903743856.2600002</v>
      </c>
      <c r="BM42" s="188">
        <v>3930905066.7199998</v>
      </c>
      <c r="BN42" s="188">
        <v>3696428353.48</v>
      </c>
      <c r="BO42" s="188">
        <v>3421206728.98</v>
      </c>
      <c r="BP42" s="188">
        <v>3449520609.7199998</v>
      </c>
      <c r="BQ42" s="188">
        <v>3463388734.98</v>
      </c>
      <c r="BR42" s="188">
        <v>1214455217.6199999</v>
      </c>
      <c r="BS42" s="188">
        <v>1268856244.9000001</v>
      </c>
      <c r="BT42" s="188">
        <v>915056957.32000005</v>
      </c>
      <c r="BU42" s="188">
        <v>741848981.54999995</v>
      </c>
      <c r="BV42" s="188">
        <v>0</v>
      </c>
    </row>
    <row r="43" spans="1:74" x14ac:dyDescent="0.25">
      <c r="A43" s="188" t="s">
        <v>147</v>
      </c>
    </row>
    <row r="44" spans="1:74" x14ac:dyDescent="0.25">
      <c r="A44" s="188" t="s">
        <v>148</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62552484</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v>0</v>
      </c>
      <c r="BI44" s="188">
        <v>0</v>
      </c>
      <c r="BJ44" s="188">
        <v>0</v>
      </c>
      <c r="BK44" s="188">
        <v>0</v>
      </c>
      <c r="BL44" s="188">
        <v>0</v>
      </c>
      <c r="BM44" s="188">
        <v>0</v>
      </c>
      <c r="BN44" s="188">
        <v>0</v>
      </c>
      <c r="BO44" s="188">
        <v>0</v>
      </c>
      <c r="BP44" s="188">
        <v>0</v>
      </c>
      <c r="BQ44" s="188">
        <v>0</v>
      </c>
      <c r="BR44" s="188">
        <v>109000000</v>
      </c>
      <c r="BS44" s="188">
        <v>129000000</v>
      </c>
      <c r="BT44" s="188">
        <v>117100000</v>
      </c>
      <c r="BU44" s="188">
        <v>147000000</v>
      </c>
      <c r="BV44" s="188">
        <v>0</v>
      </c>
    </row>
    <row r="45" spans="1:74"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c r="BT45" s="188">
        <v>0</v>
      </c>
      <c r="BU45" s="188">
        <v>0</v>
      </c>
      <c r="BV45" s="188">
        <v>0</v>
      </c>
    </row>
    <row r="46" spans="1:74" x14ac:dyDescent="0.25">
      <c r="A46" s="188" t="s">
        <v>150</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0</v>
      </c>
      <c r="BB46" s="188">
        <v>0</v>
      </c>
      <c r="BC46" s="188">
        <v>0</v>
      </c>
      <c r="BD46" s="188">
        <v>0</v>
      </c>
      <c r="BE46" s="188">
        <v>0</v>
      </c>
      <c r="BF46" s="188">
        <v>0</v>
      </c>
      <c r="BG46" s="188">
        <v>0</v>
      </c>
      <c r="BH46" s="188">
        <v>0</v>
      </c>
      <c r="BI46" s="188">
        <v>0</v>
      </c>
      <c r="BJ46" s="188">
        <v>0</v>
      </c>
      <c r="BK46" s="188">
        <v>0</v>
      </c>
      <c r="BL46" s="188">
        <v>0</v>
      </c>
      <c r="BM46" s="188">
        <v>0</v>
      </c>
      <c r="BN46" s="188">
        <v>0</v>
      </c>
      <c r="BO46" s="188">
        <v>0</v>
      </c>
      <c r="BP46" s="188">
        <v>0</v>
      </c>
      <c r="BQ46" s="188">
        <v>0</v>
      </c>
      <c r="BR46" s="188">
        <v>0</v>
      </c>
      <c r="BS46" s="188">
        <v>0</v>
      </c>
      <c r="BT46" s="188">
        <v>0</v>
      </c>
      <c r="BU46" s="188">
        <v>0</v>
      </c>
      <c r="BV46" s="188">
        <v>0</v>
      </c>
    </row>
    <row r="47" spans="1:74" x14ac:dyDescent="0.25">
      <c r="A47" s="188" t="s">
        <v>151</v>
      </c>
      <c r="B47" s="188">
        <v>0</v>
      </c>
      <c r="C47" s="188">
        <v>1168934463.4000001</v>
      </c>
      <c r="D47" s="188">
        <v>1020239721.89</v>
      </c>
      <c r="E47" s="188">
        <v>992055910.47000003</v>
      </c>
      <c r="F47" s="188">
        <v>1087911405.1900001</v>
      </c>
      <c r="G47" s="188">
        <v>1064431609.1799999</v>
      </c>
      <c r="H47" s="188">
        <v>1061686903.5</v>
      </c>
      <c r="I47" s="188">
        <v>1040608203.1799999</v>
      </c>
      <c r="J47" s="188">
        <v>196762048.31999999</v>
      </c>
      <c r="K47" s="188">
        <v>287201701.54000002</v>
      </c>
      <c r="L47" s="188">
        <v>527287333.60000002</v>
      </c>
      <c r="M47" s="188">
        <v>880976072.09000003</v>
      </c>
      <c r="N47" s="188">
        <v>316757090.77999997</v>
      </c>
      <c r="O47" s="188">
        <v>563904100.65999997</v>
      </c>
      <c r="P47" s="188">
        <v>280348676.61000001</v>
      </c>
      <c r="Q47" s="188">
        <v>707534647.53999996</v>
      </c>
      <c r="R47" s="188">
        <v>254046624.27000001</v>
      </c>
      <c r="S47" s="188">
        <v>300447845.04000002</v>
      </c>
      <c r="T47" s="188">
        <v>179958598.31</v>
      </c>
      <c r="U47" s="188">
        <v>284748288.88999999</v>
      </c>
      <c r="V47" s="188">
        <v>295246227.42000002</v>
      </c>
      <c r="W47" s="188">
        <v>154945158.11000001</v>
      </c>
      <c r="X47" s="188">
        <v>228373243.58000001</v>
      </c>
      <c r="Y47" s="188">
        <v>345280977.68000001</v>
      </c>
      <c r="Z47" s="188">
        <v>192020463.81999999</v>
      </c>
      <c r="AA47" s="188">
        <v>177403043.46000001</v>
      </c>
      <c r="AB47" s="188">
        <v>227653182.72</v>
      </c>
      <c r="AC47" s="188">
        <v>172343585.06</v>
      </c>
      <c r="AD47" s="188">
        <v>256736972.69</v>
      </c>
      <c r="AE47" s="188">
        <v>103561187.98</v>
      </c>
      <c r="AF47" s="188">
        <v>105625766.65000001</v>
      </c>
      <c r="AG47" s="188">
        <v>232013104.28</v>
      </c>
      <c r="AH47" s="188">
        <v>141223975.25</v>
      </c>
      <c r="AI47" s="188">
        <v>86036869.109999999</v>
      </c>
      <c r="AJ47" s="188">
        <v>68881978.819999993</v>
      </c>
      <c r="AK47" s="188">
        <v>139121352.44999999</v>
      </c>
      <c r="AL47" s="188">
        <v>88587110.959999993</v>
      </c>
      <c r="AM47" s="188">
        <v>59902501.899999999</v>
      </c>
      <c r="AN47" s="188">
        <v>56283240.369999997</v>
      </c>
      <c r="AO47" s="188">
        <v>121289073.56999999</v>
      </c>
      <c r="AP47" s="188">
        <v>121894425.3</v>
      </c>
      <c r="AQ47" s="188">
        <v>74163740.540000007</v>
      </c>
      <c r="AR47" s="188">
        <v>67839733.090000004</v>
      </c>
      <c r="AS47" s="188">
        <v>59681964.5</v>
      </c>
      <c r="AT47" s="188">
        <v>58157974.630000003</v>
      </c>
      <c r="AU47" s="188">
        <v>69880889.480000004</v>
      </c>
      <c r="AV47" s="188">
        <v>62111408.07</v>
      </c>
      <c r="AW47" s="188">
        <v>40813549.990000002</v>
      </c>
      <c r="AX47" s="188">
        <v>74371691.400000006</v>
      </c>
      <c r="AY47" s="188">
        <v>21723602.780000001</v>
      </c>
      <c r="AZ47" s="188">
        <v>44681505.439999998</v>
      </c>
      <c r="BA47" s="188">
        <v>30329177.02</v>
      </c>
      <c r="BB47" s="188">
        <v>21384556.039999999</v>
      </c>
      <c r="BC47" s="188">
        <v>1663140.34</v>
      </c>
      <c r="BD47" s="188">
        <v>37176128.240000002</v>
      </c>
      <c r="BE47" s="188">
        <v>35782831.799999997</v>
      </c>
      <c r="BF47" s="188">
        <v>29554677.23</v>
      </c>
      <c r="BG47" s="188">
        <v>25711328.100000001</v>
      </c>
      <c r="BH47" s="188">
        <v>18026442.379999999</v>
      </c>
      <c r="BI47" s="188">
        <v>40004706.009999998</v>
      </c>
      <c r="BJ47" s="188">
        <v>45095250.130000003</v>
      </c>
      <c r="BK47" s="188">
        <v>30349687.07</v>
      </c>
      <c r="BL47" s="188">
        <v>92997296.129999995</v>
      </c>
      <c r="BM47" s="188">
        <v>24208759.649999999</v>
      </c>
      <c r="BN47" s="188">
        <v>46612121.450000003</v>
      </c>
      <c r="BO47" s="188">
        <v>22218060.289999999</v>
      </c>
      <c r="BP47" s="188">
        <v>23806561.09</v>
      </c>
      <c r="BQ47" s="188">
        <v>10084988.039999999</v>
      </c>
      <c r="BR47" s="188">
        <v>31911863.66</v>
      </c>
      <c r="BS47" s="188">
        <v>29849878.670000002</v>
      </c>
      <c r="BT47" s="188">
        <v>30919891.949999999</v>
      </c>
      <c r="BU47" s="188">
        <v>25626956.390000001</v>
      </c>
      <c r="BV47" s="188">
        <v>0</v>
      </c>
    </row>
    <row r="48" spans="1:74" x14ac:dyDescent="0.25">
      <c r="A48" s="188" t="s">
        <v>152</v>
      </c>
      <c r="B48" s="188">
        <v>11167533769.620001</v>
      </c>
      <c r="C48" s="188">
        <v>9940315208.2800007</v>
      </c>
      <c r="D48" s="188">
        <v>13172068428.440001</v>
      </c>
      <c r="E48" s="188">
        <v>14429106902.379999</v>
      </c>
      <c r="F48" s="188">
        <v>17471599148.5</v>
      </c>
      <c r="G48" s="188">
        <v>17780462402.41</v>
      </c>
      <c r="H48" s="188">
        <v>18987716266.919998</v>
      </c>
      <c r="I48" s="188">
        <v>17541082237.009998</v>
      </c>
      <c r="J48" s="188">
        <v>17393113994.450001</v>
      </c>
      <c r="K48" s="188">
        <v>11481462347.1</v>
      </c>
      <c r="L48" s="188">
        <v>8544531234.9899998</v>
      </c>
      <c r="M48" s="188">
        <v>8261582073.04</v>
      </c>
      <c r="N48" s="188">
        <v>5605690314.3900003</v>
      </c>
      <c r="O48" s="188">
        <v>2336532250.0799999</v>
      </c>
      <c r="P48" s="188">
        <v>2791357240.5900002</v>
      </c>
      <c r="Q48" s="188">
        <v>1476233096.0899999</v>
      </c>
      <c r="R48" s="188">
        <v>863078519.53999996</v>
      </c>
      <c r="S48" s="188">
        <v>544093908.05999994</v>
      </c>
      <c r="T48" s="188">
        <v>1620934562.9400001</v>
      </c>
      <c r="U48" s="188">
        <v>3045113586.0999999</v>
      </c>
      <c r="V48" s="188">
        <v>1942323729.47</v>
      </c>
      <c r="W48" s="188">
        <v>834909649.15999997</v>
      </c>
      <c r="X48" s="188">
        <v>2866551653.98</v>
      </c>
      <c r="Y48" s="188">
        <v>5091386269.5500002</v>
      </c>
      <c r="Z48" s="188">
        <v>3747235013.6199999</v>
      </c>
      <c r="AA48" s="188">
        <v>4045101878.2199998</v>
      </c>
      <c r="AB48" s="188">
        <v>5771602337.29</v>
      </c>
      <c r="AC48" s="188">
        <v>7026648776.8000002</v>
      </c>
      <c r="AD48" s="188">
        <v>6818054223.3400002</v>
      </c>
      <c r="AE48" s="188">
        <v>4934943749.8800001</v>
      </c>
      <c r="AF48" s="188">
        <v>6343640233.4899998</v>
      </c>
      <c r="AG48" s="188">
        <v>4738570750.1599998</v>
      </c>
      <c r="AH48" s="188">
        <v>3261960544.9899998</v>
      </c>
      <c r="AI48" s="188">
        <v>1967772191.1500001</v>
      </c>
      <c r="AJ48" s="188">
        <v>3061744018.5999999</v>
      </c>
      <c r="AK48" s="188">
        <v>3516423880.1999998</v>
      </c>
      <c r="AL48" s="188">
        <v>1291979488.28</v>
      </c>
      <c r="AM48" s="188">
        <v>656278377.95000005</v>
      </c>
      <c r="AN48" s="188">
        <v>1843123125.75</v>
      </c>
      <c r="AO48" s="188">
        <v>2936266375.0999999</v>
      </c>
      <c r="AP48" s="188">
        <v>936307045.5</v>
      </c>
      <c r="AQ48" s="188">
        <v>294309661.06</v>
      </c>
      <c r="AR48" s="188">
        <v>1299238882.0799999</v>
      </c>
      <c r="AS48" s="188">
        <v>1125288196.26</v>
      </c>
      <c r="AT48" s="188">
        <v>2225691510.1700001</v>
      </c>
      <c r="AU48" s="188">
        <v>2442383982.6399999</v>
      </c>
      <c r="AV48" s="188">
        <v>2288687475.4299998</v>
      </c>
      <c r="AW48" s="188">
        <v>2136139561.53</v>
      </c>
      <c r="AX48" s="188">
        <v>2376011815.6199999</v>
      </c>
      <c r="AY48" s="188">
        <v>1930943022.1900001</v>
      </c>
      <c r="AZ48" s="188">
        <v>1497531229.96</v>
      </c>
      <c r="BA48" s="188">
        <v>1543198286.97</v>
      </c>
      <c r="BB48" s="188">
        <v>1432522801.74</v>
      </c>
      <c r="BC48" s="188">
        <v>1142634233.98</v>
      </c>
      <c r="BD48" s="188">
        <v>975658209.26999998</v>
      </c>
      <c r="BE48" s="188">
        <v>1036893726.13</v>
      </c>
      <c r="BF48" s="188">
        <v>940904599.92999995</v>
      </c>
      <c r="BG48" s="188">
        <v>689015516.62</v>
      </c>
      <c r="BH48" s="188">
        <v>559029622.73000002</v>
      </c>
      <c r="BI48" s="188">
        <v>745368392.5</v>
      </c>
      <c r="BJ48" s="188">
        <v>740386373.70000005</v>
      </c>
      <c r="BK48" s="188">
        <v>405099682.74000001</v>
      </c>
      <c r="BL48" s="188">
        <v>163378923.87</v>
      </c>
      <c r="BM48" s="188">
        <v>452516762.87</v>
      </c>
      <c r="BN48" s="188">
        <v>319415404.31999999</v>
      </c>
      <c r="BO48" s="188">
        <v>230405955.47</v>
      </c>
      <c r="BP48" s="188">
        <v>167693673.66999999</v>
      </c>
      <c r="BQ48" s="188">
        <v>306147007.76999998</v>
      </c>
      <c r="BR48" s="188">
        <v>60338220.450000003</v>
      </c>
      <c r="BS48" s="188">
        <v>385340199.56</v>
      </c>
      <c r="BT48" s="188">
        <v>86012360.840000004</v>
      </c>
      <c r="BU48" s="188">
        <v>93845099.560000002</v>
      </c>
      <c r="BV48" s="188">
        <v>0</v>
      </c>
    </row>
    <row r="49" spans="1:74"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c r="BH49" s="188">
        <v>0</v>
      </c>
      <c r="BI49" s="188">
        <v>0</v>
      </c>
      <c r="BJ49" s="188">
        <v>0</v>
      </c>
      <c r="BK49" s="188">
        <v>0</v>
      </c>
      <c r="BL49" s="188">
        <v>0</v>
      </c>
      <c r="BM49" s="188">
        <v>0</v>
      </c>
      <c r="BN49" s="188">
        <v>0</v>
      </c>
      <c r="BO49" s="188">
        <v>0</v>
      </c>
      <c r="BP49" s="188">
        <v>0</v>
      </c>
      <c r="BQ49" s="188">
        <v>0</v>
      </c>
      <c r="BR49" s="188">
        <v>0</v>
      </c>
      <c r="BS49" s="188">
        <v>0</v>
      </c>
      <c r="BT49" s="188">
        <v>0</v>
      </c>
      <c r="BU49" s="188">
        <v>0</v>
      </c>
      <c r="BV49" s="188">
        <v>0</v>
      </c>
    </row>
    <row r="50" spans="1:74" x14ac:dyDescent="0.25">
      <c r="A50" s="188" t="s">
        <v>154</v>
      </c>
      <c r="B50" s="188">
        <v>548714026.45000005</v>
      </c>
      <c r="C50" s="188">
        <v>505809848.75999999</v>
      </c>
      <c r="D50" s="188">
        <v>335223076.5</v>
      </c>
      <c r="E50" s="188">
        <v>1901644193.6400001</v>
      </c>
      <c r="F50" s="188">
        <v>438813137.86000001</v>
      </c>
      <c r="G50" s="188">
        <v>412607384.94</v>
      </c>
      <c r="H50" s="188">
        <v>428985472.00999999</v>
      </c>
      <c r="I50" s="188">
        <v>1628507252.03</v>
      </c>
      <c r="J50" s="188">
        <v>425171258.81999999</v>
      </c>
      <c r="K50" s="188">
        <v>426673790.70999998</v>
      </c>
      <c r="L50" s="188">
        <v>468031934.29000002</v>
      </c>
      <c r="M50" s="188">
        <v>975477747.05999994</v>
      </c>
      <c r="N50" s="188">
        <v>330010898.12</v>
      </c>
      <c r="O50" s="188">
        <v>272740804.58999997</v>
      </c>
      <c r="P50" s="188">
        <v>314852542.08999997</v>
      </c>
      <c r="Q50" s="188">
        <v>988643842.55999994</v>
      </c>
      <c r="R50" s="188">
        <v>229074380.43000001</v>
      </c>
      <c r="S50" s="188">
        <v>206743735.74000001</v>
      </c>
      <c r="T50" s="188">
        <v>246301793.31999999</v>
      </c>
      <c r="U50" s="188">
        <v>260284491.74000001</v>
      </c>
      <c r="V50" s="188">
        <v>234790816.41</v>
      </c>
      <c r="W50" s="188">
        <v>237704671.96000001</v>
      </c>
      <c r="X50" s="188">
        <v>243914542.02000001</v>
      </c>
      <c r="Y50" s="188">
        <v>269657755.57999998</v>
      </c>
      <c r="Z50" s="188">
        <v>230251781.13</v>
      </c>
      <c r="AA50" s="188">
        <v>209540857.96000001</v>
      </c>
      <c r="AB50" s="188">
        <v>239894196.91999999</v>
      </c>
      <c r="AC50" s="188">
        <v>577522908.05999994</v>
      </c>
      <c r="AD50" s="188">
        <v>224194887.56999999</v>
      </c>
      <c r="AE50" s="188">
        <v>236869502</v>
      </c>
      <c r="AF50" s="188">
        <v>315369564.19</v>
      </c>
      <c r="AG50" s="188">
        <v>500258690.69</v>
      </c>
      <c r="AH50" s="188">
        <v>228822513.61000001</v>
      </c>
      <c r="AI50" s="188">
        <v>219342568.91999999</v>
      </c>
      <c r="AJ50" s="188">
        <v>221876918.46000001</v>
      </c>
      <c r="AK50" s="188">
        <v>463948636.85000002</v>
      </c>
      <c r="AL50" s="188">
        <v>85504323.519999996</v>
      </c>
      <c r="AM50" s="188">
        <v>81161284.650000006</v>
      </c>
      <c r="AN50" s="188">
        <v>94590770.930000007</v>
      </c>
      <c r="AO50" s="188">
        <v>361007478.76999998</v>
      </c>
      <c r="AP50" s="188">
        <v>27515257.91</v>
      </c>
      <c r="AQ50" s="188">
        <v>25823194.859999999</v>
      </c>
      <c r="AR50" s="188">
        <v>595973.82999999996</v>
      </c>
      <c r="AS50" s="188">
        <v>54596365.240000002</v>
      </c>
      <c r="AT50" s="188">
        <v>59665279.289999999</v>
      </c>
      <c r="AU50" s="188">
        <v>55185885.549999997</v>
      </c>
      <c r="AV50" s="188">
        <v>32087669.52</v>
      </c>
      <c r="AW50" s="188">
        <v>97946613.019999996</v>
      </c>
      <c r="AX50" s="188">
        <v>61323495.32</v>
      </c>
      <c r="AY50" s="188">
        <v>55493188.909999996</v>
      </c>
      <c r="AZ50" s="188">
        <v>51631572.920000002</v>
      </c>
      <c r="BA50" s="188">
        <v>94549201.409999996</v>
      </c>
      <c r="BB50" s="188">
        <v>41176966.369999997</v>
      </c>
      <c r="BC50" s="188">
        <v>41989017.979999997</v>
      </c>
      <c r="BD50" s="188">
        <v>38014868.420000002</v>
      </c>
      <c r="BE50" s="188">
        <v>62895093.140000001</v>
      </c>
      <c r="BF50" s="188">
        <v>33756781.299999997</v>
      </c>
      <c r="BG50" s="188">
        <v>32351576.68</v>
      </c>
      <c r="BH50" s="188">
        <v>56944253.479999997</v>
      </c>
      <c r="BI50" s="188">
        <v>55513753.5</v>
      </c>
      <c r="BJ50" s="188">
        <v>49277141.649999999</v>
      </c>
      <c r="BK50" s="188">
        <v>47550824.859999999</v>
      </c>
      <c r="BL50" s="188">
        <v>45728489.82</v>
      </c>
      <c r="BM50" s="188">
        <v>61785500.240000002</v>
      </c>
      <c r="BN50" s="188">
        <v>26779980.550000001</v>
      </c>
      <c r="BO50" s="188">
        <v>10786313.76</v>
      </c>
      <c r="BP50" s="188">
        <v>19273924.690000001</v>
      </c>
      <c r="BQ50" s="188">
        <v>19823059.32</v>
      </c>
      <c r="BR50" s="188">
        <v>0</v>
      </c>
      <c r="BS50" s="188">
        <v>6706990.0999999996</v>
      </c>
      <c r="BT50" s="188">
        <v>890294.04</v>
      </c>
      <c r="BU50" s="188">
        <v>0</v>
      </c>
      <c r="BV50" s="188">
        <v>0</v>
      </c>
    </row>
    <row r="51" spans="1:74" x14ac:dyDescent="0.25">
      <c r="A51" s="188" t="s">
        <v>155</v>
      </c>
      <c r="B51" s="188">
        <v>5025353546.0500002</v>
      </c>
      <c r="C51" s="188">
        <v>1712995353.28</v>
      </c>
      <c r="D51" s="188">
        <v>2384919698.71</v>
      </c>
      <c r="E51" s="188">
        <v>7726135741.8999996</v>
      </c>
      <c r="F51" s="188">
        <v>5369883309.7799997</v>
      </c>
      <c r="G51" s="188">
        <v>1942909140.98</v>
      </c>
      <c r="H51" s="188">
        <v>2972481741.98</v>
      </c>
      <c r="I51" s="188">
        <v>4272289194.5700002</v>
      </c>
      <c r="J51" s="188">
        <v>1940334705.9000001</v>
      </c>
      <c r="K51" s="188">
        <v>1839062337.4400001</v>
      </c>
      <c r="L51" s="188">
        <v>1872491613.95</v>
      </c>
      <c r="M51" s="188">
        <v>2515516156.8299999</v>
      </c>
      <c r="N51" s="188">
        <v>1747481864.04</v>
      </c>
      <c r="O51" s="188">
        <v>1160203414.3900001</v>
      </c>
      <c r="P51" s="188">
        <v>1394870953.3499999</v>
      </c>
      <c r="Q51" s="188">
        <v>2105178165.8699999</v>
      </c>
      <c r="R51" s="188">
        <v>1739406024.6199999</v>
      </c>
      <c r="S51" s="188">
        <v>2044133978.8</v>
      </c>
      <c r="T51" s="188">
        <v>2154365485.9000001</v>
      </c>
      <c r="U51" s="188">
        <v>3311880890.4899998</v>
      </c>
      <c r="V51" s="188">
        <v>2412250959.0700002</v>
      </c>
      <c r="W51" s="188">
        <v>1605568712.3900001</v>
      </c>
      <c r="X51" s="188">
        <v>1777802419.79</v>
      </c>
      <c r="Y51" s="188">
        <v>2430093461.3800001</v>
      </c>
      <c r="Z51" s="188">
        <v>1343260348.4100001</v>
      </c>
      <c r="AA51" s="188">
        <v>1533917683.5599999</v>
      </c>
      <c r="AB51" s="188">
        <v>759279831.04999995</v>
      </c>
      <c r="AC51" s="188">
        <v>788080887.25</v>
      </c>
      <c r="AD51" s="188">
        <v>1426862877.28</v>
      </c>
      <c r="AE51" s="188">
        <v>996570725.11000001</v>
      </c>
      <c r="AF51" s="188">
        <v>707250314.51999998</v>
      </c>
      <c r="AG51" s="188">
        <v>419882954.10000002</v>
      </c>
      <c r="AH51" s="188">
        <v>480477504.12</v>
      </c>
      <c r="AI51" s="188">
        <v>333972453.07999998</v>
      </c>
      <c r="AJ51" s="188">
        <v>351232906.33999997</v>
      </c>
      <c r="AK51" s="188">
        <v>140524984.34</v>
      </c>
      <c r="AL51" s="188">
        <v>361096981.97000003</v>
      </c>
      <c r="AM51" s="188">
        <v>317344605.56999999</v>
      </c>
      <c r="AN51" s="188">
        <v>256948214.31999999</v>
      </c>
      <c r="AO51" s="188">
        <v>256300257.22999999</v>
      </c>
      <c r="AP51" s="188">
        <v>338517455.50999999</v>
      </c>
      <c r="AQ51" s="188">
        <v>274146541.99000001</v>
      </c>
      <c r="AR51" s="188">
        <v>223988069.66999999</v>
      </c>
      <c r="AS51" s="188">
        <v>407747376.14999998</v>
      </c>
      <c r="AT51" s="188">
        <v>444610409.02999997</v>
      </c>
      <c r="AU51" s="188">
        <v>302508705.35000002</v>
      </c>
      <c r="AV51" s="188">
        <v>580497443.63999999</v>
      </c>
      <c r="AW51" s="188">
        <v>799888744.17999995</v>
      </c>
      <c r="AX51" s="188">
        <v>579933248.23000002</v>
      </c>
      <c r="AY51" s="188">
        <v>518046187.67000002</v>
      </c>
      <c r="AZ51" s="188">
        <v>650983556.03999996</v>
      </c>
      <c r="BA51" s="188">
        <v>910874634.37</v>
      </c>
      <c r="BB51" s="188">
        <v>571081576.00999999</v>
      </c>
      <c r="BC51" s="188">
        <v>488276213.82999998</v>
      </c>
      <c r="BD51" s="188">
        <v>572520719.29999995</v>
      </c>
      <c r="BE51" s="188">
        <v>592839376.00999999</v>
      </c>
      <c r="BF51" s="188">
        <v>267592270.5</v>
      </c>
      <c r="BG51" s="188">
        <v>201851940.25</v>
      </c>
      <c r="BH51" s="188">
        <v>207579844.30000001</v>
      </c>
      <c r="BI51" s="188">
        <v>415165509.57999998</v>
      </c>
      <c r="BJ51" s="188">
        <v>148931189.75999999</v>
      </c>
      <c r="BK51" s="188">
        <v>107864087.18000001</v>
      </c>
      <c r="BL51" s="188">
        <v>280379277.95999998</v>
      </c>
      <c r="BM51" s="188">
        <v>320854102.24000001</v>
      </c>
      <c r="BN51" s="188">
        <v>185026778.38</v>
      </c>
      <c r="BO51" s="188">
        <v>105457534.38</v>
      </c>
      <c r="BP51" s="188">
        <v>201581710.71000001</v>
      </c>
      <c r="BQ51" s="188">
        <v>237655974.44</v>
      </c>
      <c r="BR51" s="188">
        <v>218621799.30000001</v>
      </c>
      <c r="BS51" s="188">
        <v>163768961.56</v>
      </c>
      <c r="BT51" s="188">
        <v>279994490.42000002</v>
      </c>
      <c r="BU51" s="188">
        <v>157969304.36000001</v>
      </c>
      <c r="BV51" s="188">
        <v>0</v>
      </c>
    </row>
    <row r="52" spans="1:74" x14ac:dyDescent="0.25">
      <c r="A52" s="188" t="s">
        <v>156</v>
      </c>
      <c r="B52" s="188">
        <v>33820916.549999997</v>
      </c>
      <c r="C52" s="188">
        <v>30777833.539999999</v>
      </c>
      <c r="D52" s="188">
        <v>14307389.24</v>
      </c>
      <c r="E52" s="188">
        <v>23414593.670000002</v>
      </c>
      <c r="F52" s="188">
        <v>24740964.149999999</v>
      </c>
      <c r="G52" s="188">
        <v>39370998.079999998</v>
      </c>
      <c r="H52" s="188">
        <v>39606282.75</v>
      </c>
      <c r="I52" s="188">
        <v>34481635.329999998</v>
      </c>
      <c r="J52" s="188">
        <v>21599948.09</v>
      </c>
      <c r="K52" s="188">
        <v>46904631.719999999</v>
      </c>
      <c r="L52" s="188">
        <v>40428159.979999997</v>
      </c>
      <c r="M52" s="188">
        <v>27409447.399999999</v>
      </c>
      <c r="N52" s="188">
        <v>15831375.970000001</v>
      </c>
      <c r="O52" s="188">
        <v>33124441.800000001</v>
      </c>
      <c r="P52" s="188">
        <v>23734467.609999999</v>
      </c>
      <c r="Q52" s="188">
        <v>15365197.91</v>
      </c>
      <c r="R52" s="188">
        <v>7473820.4900000002</v>
      </c>
      <c r="S52" s="188">
        <v>33684820.810000002</v>
      </c>
      <c r="T52" s="188">
        <v>24308411.109999999</v>
      </c>
      <c r="U52" s="188">
        <v>27383888.890000001</v>
      </c>
      <c r="V52" s="188">
        <v>13514111.109999999</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0</v>
      </c>
      <c r="AY52" s="188">
        <v>0</v>
      </c>
      <c r="AZ52" s="188">
        <v>0</v>
      </c>
      <c r="BA52" s="188">
        <v>0</v>
      </c>
      <c r="BB52" s="188">
        <v>0</v>
      </c>
      <c r="BC52" s="188">
        <v>0</v>
      </c>
      <c r="BD52" s="188">
        <v>0</v>
      </c>
      <c r="BE52" s="188">
        <v>0</v>
      </c>
      <c r="BF52" s="188">
        <v>0</v>
      </c>
      <c r="BG52" s="188">
        <v>0</v>
      </c>
      <c r="BH52" s="188">
        <v>0</v>
      </c>
      <c r="BI52" s="188">
        <v>0</v>
      </c>
      <c r="BJ52" s="188">
        <v>0</v>
      </c>
      <c r="BK52" s="188">
        <v>0</v>
      </c>
      <c r="BL52" s="188">
        <v>0</v>
      </c>
      <c r="BM52" s="188">
        <v>0</v>
      </c>
      <c r="BN52" s="188">
        <v>0</v>
      </c>
      <c r="BO52" s="188">
        <v>0</v>
      </c>
      <c r="BP52" s="188">
        <v>0</v>
      </c>
      <c r="BQ52" s="188">
        <v>0</v>
      </c>
      <c r="BR52" s="188">
        <v>0</v>
      </c>
      <c r="BS52" s="188">
        <v>0</v>
      </c>
      <c r="BT52" s="188">
        <v>0</v>
      </c>
      <c r="BU52" s="188">
        <v>0</v>
      </c>
      <c r="BV52" s="188">
        <v>0</v>
      </c>
    </row>
    <row r="53" spans="1:74" x14ac:dyDescent="0.25">
      <c r="A53" s="188" t="s">
        <v>157</v>
      </c>
      <c r="B53" s="188">
        <v>0</v>
      </c>
      <c r="C53" s="188">
        <v>2580473549.23</v>
      </c>
      <c r="D53" s="188">
        <v>0</v>
      </c>
      <c r="E53" s="188">
        <v>0</v>
      </c>
      <c r="F53" s="188">
        <v>0</v>
      </c>
      <c r="G53" s="188">
        <v>8529177880.8000002</v>
      </c>
      <c r="H53" s="188">
        <v>0</v>
      </c>
      <c r="I53" s="188">
        <v>0</v>
      </c>
      <c r="J53" s="188">
        <v>0</v>
      </c>
      <c r="K53" s="188">
        <v>4977430129.3599997</v>
      </c>
      <c r="L53" s="188">
        <v>0</v>
      </c>
      <c r="M53" s="188">
        <v>0</v>
      </c>
      <c r="N53" s="188">
        <v>0</v>
      </c>
      <c r="O53" s="188">
        <v>0</v>
      </c>
      <c r="P53" s="188">
        <v>0</v>
      </c>
      <c r="Q53" s="188">
        <v>0</v>
      </c>
      <c r="R53" s="188">
        <v>0</v>
      </c>
      <c r="S53" s="188">
        <v>0</v>
      </c>
      <c r="T53" s="188">
        <v>564392547.62</v>
      </c>
      <c r="U53" s="188">
        <v>0</v>
      </c>
      <c r="V53" s="188">
        <v>0</v>
      </c>
      <c r="W53" s="188">
        <v>429516584.81999999</v>
      </c>
      <c r="X53" s="188">
        <v>629516584.82000005</v>
      </c>
      <c r="Y53" s="188">
        <v>0</v>
      </c>
      <c r="Z53" s="188">
        <v>195688455.97999999</v>
      </c>
      <c r="AA53" s="188">
        <v>4233765263.5700002</v>
      </c>
      <c r="AB53" s="188">
        <v>2250000</v>
      </c>
      <c r="AC53" s="188">
        <v>0</v>
      </c>
      <c r="AD53" s="188">
        <v>225593890.94999999</v>
      </c>
      <c r="AE53" s="188">
        <v>2269077517.96</v>
      </c>
      <c r="AF53" s="188">
        <v>318584196.29000002</v>
      </c>
      <c r="AG53" s="188">
        <v>318584196.29000002</v>
      </c>
      <c r="AH53" s="188">
        <v>220246678.33000001</v>
      </c>
      <c r="AI53" s="188">
        <v>1186664698.0599999</v>
      </c>
      <c r="AJ53" s="188">
        <v>0</v>
      </c>
      <c r="AK53" s="188">
        <v>137207662.62</v>
      </c>
      <c r="AL53" s="188">
        <v>0</v>
      </c>
      <c r="AM53" s="188">
        <v>1058642428.87</v>
      </c>
      <c r="AN53" s="188">
        <v>172451384.72999999</v>
      </c>
      <c r="AO53" s="188">
        <v>0</v>
      </c>
      <c r="AP53" s="188">
        <v>115386977.67</v>
      </c>
      <c r="AQ53" s="188">
        <v>118186308.62</v>
      </c>
      <c r="AR53" s="188">
        <v>41806958.039999999</v>
      </c>
      <c r="AS53" s="188">
        <v>41806958.039999999</v>
      </c>
      <c r="AT53" s="188">
        <v>41806958.039999999</v>
      </c>
      <c r="AU53" s="188">
        <v>722871772.95000005</v>
      </c>
      <c r="AV53" s="188">
        <v>722688505.62</v>
      </c>
      <c r="AW53" s="188">
        <v>0</v>
      </c>
      <c r="AX53" s="188">
        <v>545065.19999999995</v>
      </c>
      <c r="AY53" s="188">
        <v>0</v>
      </c>
      <c r="AZ53" s="188">
        <v>42665714.490000002</v>
      </c>
      <c r="BA53" s="188">
        <v>37181810</v>
      </c>
      <c r="BB53" s="188">
        <v>0</v>
      </c>
      <c r="BC53" s="188">
        <v>0</v>
      </c>
      <c r="BD53" s="188">
        <v>0</v>
      </c>
      <c r="BE53" s="188">
        <v>17440859.68</v>
      </c>
      <c r="BF53" s="188">
        <v>17652617.600000001</v>
      </c>
      <c r="BG53" s="188">
        <v>17864375.52</v>
      </c>
      <c r="BH53" s="188">
        <v>27982641.129999999</v>
      </c>
      <c r="BI53" s="188">
        <v>1212795.3600000001</v>
      </c>
      <c r="BJ53" s="188">
        <v>1212795.3600000001</v>
      </c>
      <c r="BK53" s="188">
        <v>55577521.600000001</v>
      </c>
      <c r="BL53" s="188">
        <v>55577521.600000001</v>
      </c>
      <c r="BM53" s="188">
        <v>55577521.600000001</v>
      </c>
      <c r="BN53" s="188">
        <v>97601152.799999997</v>
      </c>
      <c r="BO53" s="188">
        <v>155488801.46000001</v>
      </c>
      <c r="BP53" s="188">
        <v>155488801.46000001</v>
      </c>
      <c r="BQ53" s="188">
        <v>165107825.69999999</v>
      </c>
      <c r="BR53" s="188">
        <v>106865617.66</v>
      </c>
      <c r="BS53" s="188">
        <v>5617043.5599999996</v>
      </c>
      <c r="BT53" s="188">
        <v>0</v>
      </c>
      <c r="BU53" s="188">
        <v>0</v>
      </c>
      <c r="BV53" s="188">
        <v>0</v>
      </c>
    </row>
    <row r="54" spans="1:74" x14ac:dyDescent="0.25">
      <c r="A54" s="188" t="s">
        <v>158</v>
      </c>
      <c r="B54" s="188">
        <v>4618218558.0200005</v>
      </c>
      <c r="C54" s="188">
        <v>4459746711.6800003</v>
      </c>
      <c r="D54" s="188">
        <v>3660293060.71</v>
      </c>
      <c r="E54" s="188">
        <v>3039948303.8000002</v>
      </c>
      <c r="F54" s="188">
        <v>3092024975.4400001</v>
      </c>
      <c r="G54" s="188">
        <v>2745801694.9200001</v>
      </c>
      <c r="H54" s="188">
        <v>2473356946.23</v>
      </c>
      <c r="I54" s="188">
        <v>1724638571.4400001</v>
      </c>
      <c r="J54" s="188">
        <v>1388858403.96</v>
      </c>
      <c r="K54" s="188">
        <v>1439340879.6400001</v>
      </c>
      <c r="L54" s="188">
        <v>1322204243.4400001</v>
      </c>
      <c r="M54" s="188">
        <v>1423139205.9300001</v>
      </c>
      <c r="N54" s="188">
        <v>1240211431.3299999</v>
      </c>
      <c r="O54" s="188">
        <v>1242727741.6400001</v>
      </c>
      <c r="P54" s="188">
        <v>1181440647.8800001</v>
      </c>
      <c r="Q54" s="188">
        <v>1231886240.3499999</v>
      </c>
      <c r="R54" s="188">
        <v>1121122683.4000001</v>
      </c>
      <c r="S54" s="188">
        <v>1297059321.48</v>
      </c>
      <c r="T54" s="188">
        <v>1297181405.1400001</v>
      </c>
      <c r="U54" s="188">
        <v>1604688158.1400001</v>
      </c>
      <c r="V54" s="188">
        <v>1325343399.9000001</v>
      </c>
      <c r="W54" s="188">
        <v>1339057191.5599999</v>
      </c>
      <c r="X54" s="188">
        <v>1542658486.48</v>
      </c>
      <c r="Y54" s="188">
        <v>1389984092.02</v>
      </c>
      <c r="Z54" s="188">
        <v>1117084930.97</v>
      </c>
      <c r="AA54" s="188">
        <v>1089178004.96</v>
      </c>
      <c r="AB54" s="188">
        <v>858514785.59000003</v>
      </c>
      <c r="AC54" s="188">
        <v>916123206.95000005</v>
      </c>
      <c r="AD54" s="188">
        <v>839515287.22000003</v>
      </c>
      <c r="AE54" s="188">
        <v>814640531.35000002</v>
      </c>
      <c r="AF54" s="188">
        <v>820549084.16999996</v>
      </c>
      <c r="AG54" s="188">
        <v>818880550.54999995</v>
      </c>
      <c r="AH54" s="188">
        <v>745527353.89999998</v>
      </c>
      <c r="AI54" s="188">
        <v>792826638.99000001</v>
      </c>
      <c r="AJ54" s="188">
        <v>720415463.54999995</v>
      </c>
      <c r="AK54" s="188">
        <v>710831237.04999995</v>
      </c>
      <c r="AL54" s="188">
        <v>685092693.53999996</v>
      </c>
      <c r="AM54" s="188">
        <v>623444447.46000004</v>
      </c>
      <c r="AN54" s="188">
        <v>584099269.07000005</v>
      </c>
      <c r="AO54" s="188">
        <v>575906355.73000002</v>
      </c>
      <c r="AP54" s="188">
        <v>642824025.63</v>
      </c>
      <c r="AQ54" s="188">
        <v>634832659.15999997</v>
      </c>
      <c r="AR54" s="188">
        <v>637466044.74000001</v>
      </c>
      <c r="AS54" s="188">
        <v>423495209.81999999</v>
      </c>
      <c r="AT54" s="188">
        <v>411364074.5</v>
      </c>
      <c r="AU54" s="188">
        <v>414688558.23000002</v>
      </c>
      <c r="AV54" s="188">
        <v>308664076.18000001</v>
      </c>
      <c r="AW54" s="188">
        <v>310137150.24000001</v>
      </c>
      <c r="AX54" s="188">
        <v>240631371.05000001</v>
      </c>
      <c r="AY54" s="188">
        <v>208860858.97</v>
      </c>
      <c r="AZ54" s="188">
        <v>178052630.78</v>
      </c>
      <c r="BA54" s="188">
        <v>269348761.11000001</v>
      </c>
      <c r="BB54" s="188">
        <v>188286286.91999999</v>
      </c>
      <c r="BC54" s="188">
        <v>320008573.99000001</v>
      </c>
      <c r="BD54" s="188">
        <v>275403561.31999999</v>
      </c>
      <c r="BE54" s="188">
        <v>396044896.51999998</v>
      </c>
      <c r="BF54" s="188">
        <v>325601208.31999999</v>
      </c>
      <c r="BG54" s="188">
        <v>199590239.62</v>
      </c>
      <c r="BH54" s="188">
        <v>200822198.28</v>
      </c>
      <c r="BI54" s="188">
        <v>213109026.88999999</v>
      </c>
      <c r="BJ54" s="188">
        <v>173188379.44999999</v>
      </c>
      <c r="BK54" s="188">
        <v>139850240.44999999</v>
      </c>
      <c r="BL54" s="188">
        <v>135595654.83000001</v>
      </c>
      <c r="BM54" s="188">
        <v>127453900</v>
      </c>
      <c r="BN54" s="188">
        <v>101540468.89</v>
      </c>
      <c r="BO54" s="188">
        <v>81084064.260000005</v>
      </c>
      <c r="BP54" s="188">
        <v>88203915.760000005</v>
      </c>
      <c r="BQ54" s="188">
        <v>176692131.93000001</v>
      </c>
      <c r="BR54" s="188">
        <v>61064695.939999998</v>
      </c>
      <c r="BS54" s="188">
        <v>105580857.90000001</v>
      </c>
      <c r="BT54" s="188">
        <v>59024931.399999999</v>
      </c>
      <c r="BU54" s="188">
        <v>18613175.010000002</v>
      </c>
      <c r="BV54" s="188">
        <v>0</v>
      </c>
    </row>
    <row r="55" spans="1:74"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126932.01</v>
      </c>
      <c r="AX55" s="188">
        <v>54545315.979999997</v>
      </c>
      <c r="AY55" s="188">
        <v>3475830.49</v>
      </c>
      <c r="AZ55" s="188">
        <v>46087349.149999999</v>
      </c>
      <c r="BA55" s="188">
        <v>1305119.69</v>
      </c>
      <c r="BB55" s="188">
        <v>53688595.810000002</v>
      </c>
      <c r="BC55" s="188">
        <v>40775668.579999998</v>
      </c>
      <c r="BD55" s="188">
        <v>63003991.93</v>
      </c>
      <c r="BE55" s="188">
        <v>7450299.3799999999</v>
      </c>
      <c r="BF55" s="188">
        <v>105209502.48999999</v>
      </c>
      <c r="BG55" s="188">
        <v>53387181.340000004</v>
      </c>
      <c r="BH55" s="188">
        <v>49856432.439999998</v>
      </c>
      <c r="BI55" s="188">
        <v>5224656.87</v>
      </c>
      <c r="BJ55" s="188">
        <v>75262903.829999998</v>
      </c>
      <c r="BK55" s="188">
        <v>27956929.609999999</v>
      </c>
      <c r="BL55" s="188">
        <v>23863647.309999999</v>
      </c>
      <c r="BM55" s="188">
        <v>3548598.58</v>
      </c>
      <c r="BN55" s="188">
        <v>57419281.799999997</v>
      </c>
      <c r="BO55" s="188">
        <v>29882599.23</v>
      </c>
      <c r="BP55" s="188">
        <v>36635399.289999999</v>
      </c>
      <c r="BQ55" s="188">
        <v>233559.23</v>
      </c>
      <c r="BR55" s="188">
        <v>19256032.09</v>
      </c>
      <c r="BS55" s="188">
        <v>8163.87</v>
      </c>
      <c r="BT55" s="188">
        <v>36647.61</v>
      </c>
      <c r="BU55" s="188">
        <v>0</v>
      </c>
      <c r="BV55" s="188">
        <v>0</v>
      </c>
    </row>
    <row r="56" spans="1:74"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row>
    <row r="57" spans="1:74"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row>
    <row r="58" spans="1:74" x14ac:dyDescent="0.25">
      <c r="A58" s="188" t="s">
        <v>162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c r="BJ58" s="188">
        <v>0</v>
      </c>
      <c r="BK58" s="188">
        <v>0</v>
      </c>
      <c r="BL58" s="188">
        <v>0</v>
      </c>
      <c r="BM58" s="188">
        <v>0</v>
      </c>
      <c r="BN58" s="188">
        <v>0</v>
      </c>
      <c r="BO58" s="188">
        <v>0</v>
      </c>
      <c r="BP58" s="188">
        <v>0</v>
      </c>
      <c r="BQ58" s="188">
        <v>0</v>
      </c>
      <c r="BR58" s="188">
        <v>0</v>
      </c>
      <c r="BS58" s="188">
        <v>0</v>
      </c>
      <c r="BT58" s="188">
        <v>57360000</v>
      </c>
      <c r="BU58" s="188">
        <v>0</v>
      </c>
      <c r="BV58" s="188">
        <v>0</v>
      </c>
    </row>
    <row r="59" spans="1:74" x14ac:dyDescent="0.25">
      <c r="A59" s="188" t="s">
        <v>163</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191241.2</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c r="BT59" s="188">
        <v>0</v>
      </c>
      <c r="BU59" s="188">
        <v>0</v>
      </c>
      <c r="BV59" s="188">
        <v>0</v>
      </c>
    </row>
    <row r="60" spans="1:74" x14ac:dyDescent="0.25">
      <c r="A60" s="188" t="s">
        <v>164</v>
      </c>
      <c r="B60" s="188">
        <v>40975040327.230003</v>
      </c>
      <c r="C60" s="188">
        <v>33394787927.630001</v>
      </c>
      <c r="D60" s="188">
        <v>29239690792.919998</v>
      </c>
      <c r="E60" s="188">
        <v>38574919400</v>
      </c>
      <c r="F60" s="188">
        <v>39383620859.07</v>
      </c>
      <c r="G60" s="188">
        <v>41303919297.489998</v>
      </c>
      <c r="H60" s="188">
        <v>36509261704.5</v>
      </c>
      <c r="I60" s="188">
        <v>37020425425.690002</v>
      </c>
      <c r="J60" s="188">
        <v>33846958824.060001</v>
      </c>
      <c r="K60" s="188">
        <v>28177767489.459999</v>
      </c>
      <c r="L60" s="188">
        <v>19733620532.259998</v>
      </c>
      <c r="M60" s="188">
        <v>20051723001.48</v>
      </c>
      <c r="N60" s="188">
        <v>15622421631.059999</v>
      </c>
      <c r="O60" s="188">
        <v>8658192015.3899994</v>
      </c>
      <c r="P60" s="188">
        <v>8821102511.4599991</v>
      </c>
      <c r="Q60" s="188">
        <v>10543844383.51</v>
      </c>
      <c r="R60" s="188">
        <v>8292456545.1400003</v>
      </c>
      <c r="S60" s="188">
        <v>8576184624.29</v>
      </c>
      <c r="T60" s="188">
        <v>8558284059.4799995</v>
      </c>
      <c r="U60" s="188">
        <v>11307288403.790001</v>
      </c>
      <c r="V60" s="188">
        <v>9436300178.5200005</v>
      </c>
      <c r="W60" s="188">
        <v>7823833198.1700001</v>
      </c>
      <c r="X60" s="188">
        <v>7288816930.6700001</v>
      </c>
      <c r="Y60" s="188">
        <v>9526402556.2099991</v>
      </c>
      <c r="Z60" s="188">
        <v>6825540993.9300003</v>
      </c>
      <c r="AA60" s="188">
        <v>11288906731.73</v>
      </c>
      <c r="AB60" s="188">
        <v>7859194333.5699997</v>
      </c>
      <c r="AC60" s="188">
        <v>9480719364.1200008</v>
      </c>
      <c r="AD60" s="188">
        <v>9790958139.0499992</v>
      </c>
      <c r="AE60" s="188">
        <v>9355663214.2800007</v>
      </c>
      <c r="AF60" s="188">
        <v>8611019159.3099995</v>
      </c>
      <c r="AG60" s="188">
        <v>7028190246.0699997</v>
      </c>
      <c r="AH60" s="188">
        <v>5078258570.1999998</v>
      </c>
      <c r="AI60" s="188">
        <v>4586615419.3100004</v>
      </c>
      <c r="AJ60" s="188">
        <v>4424151285.7700005</v>
      </c>
      <c r="AK60" s="188">
        <v>5108057753.5100002</v>
      </c>
      <c r="AL60" s="188">
        <v>2512260598.27</v>
      </c>
      <c r="AM60" s="188">
        <v>2796773646.4000001</v>
      </c>
      <c r="AN60" s="188">
        <v>3007496005.1700001</v>
      </c>
      <c r="AO60" s="188">
        <v>4250769540.4000001</v>
      </c>
      <c r="AP60" s="188">
        <v>2182445187.52</v>
      </c>
      <c r="AQ60" s="188">
        <v>1421462106.23</v>
      </c>
      <c r="AR60" s="188">
        <v>2270935661.4499998</v>
      </c>
      <c r="AS60" s="188">
        <v>2112616070.01</v>
      </c>
      <c r="AT60" s="188">
        <v>3241296205.6599998</v>
      </c>
      <c r="AU60" s="188">
        <v>4007519794.1999998</v>
      </c>
      <c r="AV60" s="188">
        <v>3994927819.6599998</v>
      </c>
      <c r="AW60" s="188">
        <v>3393886354.5599999</v>
      </c>
      <c r="AX60" s="188">
        <v>3391384178.48</v>
      </c>
      <c r="AY60" s="188">
        <v>2741388243.54</v>
      </c>
      <c r="AZ60" s="188">
        <v>2514741182.5500002</v>
      </c>
      <c r="BA60" s="188">
        <v>2895201383.0700002</v>
      </c>
      <c r="BB60" s="188">
        <v>2311856854.6799998</v>
      </c>
      <c r="BC60" s="188">
        <v>2037078706.51</v>
      </c>
      <c r="BD60" s="188">
        <v>1970912838.1400001</v>
      </c>
      <c r="BE60" s="188">
        <v>2156645236.8400002</v>
      </c>
      <c r="BF60" s="188">
        <v>1727914614.4300001</v>
      </c>
      <c r="BG60" s="188">
        <v>1223660980.51</v>
      </c>
      <c r="BH60" s="188">
        <v>1127064171.48</v>
      </c>
      <c r="BI60" s="188">
        <v>1485541719.9200001</v>
      </c>
      <c r="BJ60" s="188">
        <v>1235178166.3399999</v>
      </c>
      <c r="BK60" s="188">
        <v>815737095.15999997</v>
      </c>
      <c r="BL60" s="188">
        <v>803271179.95000005</v>
      </c>
      <c r="BM60" s="188">
        <v>1055556072.14</v>
      </c>
      <c r="BN60" s="188">
        <v>838624003.00999999</v>
      </c>
      <c r="BO60" s="188">
        <v>637153988.20000005</v>
      </c>
      <c r="BP60" s="188">
        <v>698058233.12</v>
      </c>
      <c r="BQ60" s="188">
        <v>925757031.16999996</v>
      </c>
      <c r="BR60" s="188">
        <v>642491805.84000003</v>
      </c>
      <c r="BS60" s="188">
        <v>825076621.86000001</v>
      </c>
      <c r="BT60" s="188">
        <v>629695102.09000003</v>
      </c>
      <c r="BU60" s="188">
        <v>447397453.56999999</v>
      </c>
      <c r="BV60" s="188">
        <v>0</v>
      </c>
    </row>
    <row r="61" spans="1:74" x14ac:dyDescent="0.25">
      <c r="A61" s="188" t="s">
        <v>165</v>
      </c>
    </row>
    <row r="62" spans="1:74" x14ac:dyDescent="0.25">
      <c r="A62" s="188" t="s">
        <v>166</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300000</v>
      </c>
      <c r="BF62" s="188">
        <v>0</v>
      </c>
      <c r="BG62" s="188">
        <v>0</v>
      </c>
      <c r="BH62" s="188">
        <v>0</v>
      </c>
      <c r="BI62" s="188">
        <v>0</v>
      </c>
      <c r="BJ62" s="188">
        <v>0</v>
      </c>
      <c r="BK62" s="188">
        <v>0</v>
      </c>
      <c r="BL62" s="188">
        <v>0</v>
      </c>
      <c r="BM62" s="188">
        <v>0</v>
      </c>
      <c r="BN62" s="188">
        <v>0</v>
      </c>
      <c r="BO62" s="188">
        <v>0</v>
      </c>
      <c r="BP62" s="188">
        <v>0</v>
      </c>
      <c r="BQ62" s="188">
        <v>0</v>
      </c>
      <c r="BR62" s="188">
        <v>0</v>
      </c>
      <c r="BS62" s="188">
        <v>0</v>
      </c>
      <c r="BT62" s="188">
        <v>0</v>
      </c>
      <c r="BU62" s="188">
        <v>60360000</v>
      </c>
      <c r="BV62" s="188">
        <v>0</v>
      </c>
    </row>
    <row r="63" spans="1:74" x14ac:dyDescent="0.25">
      <c r="A63" s="188" t="s">
        <v>167</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v>0</v>
      </c>
      <c r="BM63" s="188">
        <v>0</v>
      </c>
      <c r="BN63" s="188">
        <v>0</v>
      </c>
      <c r="BO63" s="188">
        <v>0</v>
      </c>
      <c r="BP63" s="188">
        <v>0</v>
      </c>
      <c r="BQ63" s="188">
        <v>0</v>
      </c>
      <c r="BR63" s="188">
        <v>0</v>
      </c>
      <c r="BS63" s="188">
        <v>0</v>
      </c>
      <c r="BT63" s="188">
        <v>0</v>
      </c>
      <c r="BU63" s="188">
        <v>0</v>
      </c>
      <c r="BV63" s="188">
        <v>0</v>
      </c>
    </row>
    <row r="64" spans="1:74" x14ac:dyDescent="0.25">
      <c r="A64" s="188" t="s">
        <v>168</v>
      </c>
      <c r="B64" s="188">
        <v>15570000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v>0</v>
      </c>
      <c r="BM64" s="188">
        <v>0</v>
      </c>
      <c r="BN64" s="188">
        <v>0</v>
      </c>
      <c r="BO64" s="188">
        <v>0</v>
      </c>
      <c r="BP64" s="188">
        <v>0</v>
      </c>
      <c r="BQ64" s="188">
        <v>0</v>
      </c>
      <c r="BR64" s="188">
        <v>0</v>
      </c>
      <c r="BS64" s="188">
        <v>0</v>
      </c>
      <c r="BT64" s="188">
        <v>0</v>
      </c>
      <c r="BU64" s="188">
        <v>0</v>
      </c>
      <c r="BV64" s="188">
        <v>0</v>
      </c>
    </row>
    <row r="65" spans="1:74" x14ac:dyDescent="0.25">
      <c r="A65" s="188" t="s">
        <v>169</v>
      </c>
      <c r="B65" s="188">
        <v>0</v>
      </c>
      <c r="C65" s="188">
        <v>0</v>
      </c>
      <c r="D65" s="188">
        <v>0</v>
      </c>
      <c r="E65" s="188">
        <v>0</v>
      </c>
      <c r="F65" s="188">
        <v>0</v>
      </c>
      <c r="G65" s="188">
        <v>0</v>
      </c>
      <c r="H65" s="188">
        <v>0</v>
      </c>
      <c r="I65" s="188">
        <v>0</v>
      </c>
      <c r="J65" s="188">
        <v>0</v>
      </c>
      <c r="K65" s="188">
        <v>0</v>
      </c>
      <c r="L65" s="188">
        <v>0</v>
      </c>
      <c r="M65" s="188">
        <v>0</v>
      </c>
      <c r="N65" s="188">
        <v>0</v>
      </c>
      <c r="O65" s="188">
        <v>0</v>
      </c>
      <c r="P65" s="188">
        <v>0</v>
      </c>
      <c r="Q65" s="188">
        <v>0</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c r="BH65" s="188">
        <v>0</v>
      </c>
      <c r="BI65" s="188">
        <v>0</v>
      </c>
      <c r="BJ65" s="188">
        <v>0</v>
      </c>
      <c r="BK65" s="188">
        <v>0</v>
      </c>
      <c r="BL65" s="188">
        <v>0</v>
      </c>
      <c r="BM65" s="188">
        <v>0</v>
      </c>
      <c r="BN65" s="188">
        <v>0</v>
      </c>
      <c r="BO65" s="188">
        <v>0</v>
      </c>
      <c r="BP65" s="188">
        <v>0</v>
      </c>
      <c r="BQ65" s="188">
        <v>0</v>
      </c>
      <c r="BR65" s="188">
        <v>0</v>
      </c>
      <c r="BS65" s="188">
        <v>0</v>
      </c>
      <c r="BT65" s="188">
        <v>0</v>
      </c>
      <c r="BU65" s="188">
        <v>0</v>
      </c>
      <c r="BV65" s="188">
        <v>0</v>
      </c>
    </row>
    <row r="66" spans="1:74" x14ac:dyDescent="0.25">
      <c r="A66" s="188" t="s">
        <v>170</v>
      </c>
      <c r="B66" s="188">
        <v>0</v>
      </c>
      <c r="C66" s="188">
        <v>15570000</v>
      </c>
      <c r="D66" s="188">
        <v>15570000</v>
      </c>
      <c r="E66" s="188">
        <v>15570000</v>
      </c>
      <c r="F66" s="188">
        <v>15570000</v>
      </c>
      <c r="G66" s="188">
        <v>15570000</v>
      </c>
      <c r="H66" s="188">
        <v>15570000</v>
      </c>
      <c r="I66" s="188">
        <v>15570000</v>
      </c>
      <c r="J66" s="188">
        <v>15570000</v>
      </c>
      <c r="K66" s="188">
        <v>15570000</v>
      </c>
      <c r="L66" s="188">
        <v>15570000</v>
      </c>
      <c r="M66" s="188">
        <v>15570000</v>
      </c>
      <c r="N66" s="188">
        <v>17770000</v>
      </c>
      <c r="O66" s="188">
        <v>17770000</v>
      </c>
      <c r="P66" s="188">
        <v>17770000</v>
      </c>
      <c r="Q66" s="188">
        <v>17770000</v>
      </c>
      <c r="R66" s="188">
        <v>17770000</v>
      </c>
      <c r="S66" s="188">
        <v>17770000</v>
      </c>
      <c r="T66" s="188">
        <v>17770000</v>
      </c>
      <c r="U66" s="188">
        <v>17770000</v>
      </c>
      <c r="V66" s="188">
        <v>17770000</v>
      </c>
      <c r="W66" s="188">
        <v>17770000</v>
      </c>
      <c r="X66" s="188">
        <v>17770000</v>
      </c>
      <c r="Y66" s="188">
        <v>17770000</v>
      </c>
      <c r="Z66" s="188">
        <v>17770000</v>
      </c>
      <c r="AA66" s="188">
        <v>17770000</v>
      </c>
      <c r="AB66" s="188">
        <v>17770000</v>
      </c>
      <c r="AC66" s="188">
        <v>16770000</v>
      </c>
      <c r="AD66" s="188">
        <v>19530000</v>
      </c>
      <c r="AE66" s="188">
        <v>19530000</v>
      </c>
      <c r="AF66" s="188">
        <v>10000000</v>
      </c>
      <c r="AG66" s="188">
        <v>10000000</v>
      </c>
      <c r="AH66" s="188">
        <v>10000000</v>
      </c>
      <c r="AI66" s="188">
        <v>10000000</v>
      </c>
      <c r="AJ66" s="188">
        <v>10000000</v>
      </c>
      <c r="AK66" s="188">
        <v>10000000</v>
      </c>
      <c r="AL66" s="188">
        <v>10000000</v>
      </c>
      <c r="AM66" s="188">
        <v>10000000</v>
      </c>
      <c r="AN66" s="188">
        <v>10000000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300000</v>
      </c>
      <c r="BE66" s="188">
        <v>0</v>
      </c>
      <c r="BF66" s="188">
        <v>300000</v>
      </c>
      <c r="BG66" s="188">
        <v>300000</v>
      </c>
      <c r="BH66" s="188">
        <v>300000</v>
      </c>
      <c r="BI66" s="188">
        <v>300000</v>
      </c>
      <c r="BJ66" s="188">
        <v>0</v>
      </c>
      <c r="BK66" s="188">
        <v>0</v>
      </c>
      <c r="BL66" s="188">
        <v>0</v>
      </c>
      <c r="BM66" s="188">
        <v>0</v>
      </c>
      <c r="BN66" s="188">
        <v>0</v>
      </c>
      <c r="BO66" s="188">
        <v>0</v>
      </c>
      <c r="BP66" s="188">
        <v>0</v>
      </c>
      <c r="BQ66" s="188">
        <v>0</v>
      </c>
      <c r="BR66" s="188">
        <v>0</v>
      </c>
      <c r="BS66" s="188">
        <v>0</v>
      </c>
      <c r="BT66" s="188">
        <v>0</v>
      </c>
      <c r="BU66" s="188">
        <v>0</v>
      </c>
      <c r="BV66" s="188">
        <v>0</v>
      </c>
    </row>
    <row r="67" spans="1:74" x14ac:dyDescent="0.25">
      <c r="A67" s="188" t="s">
        <v>171</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c r="BS67" s="188">
        <v>0</v>
      </c>
      <c r="BT67" s="188">
        <v>0</v>
      </c>
      <c r="BU67" s="188">
        <v>0</v>
      </c>
      <c r="BV67" s="188">
        <v>0</v>
      </c>
    </row>
    <row r="68" spans="1:74" x14ac:dyDescent="0.25">
      <c r="A68" s="188" t="s">
        <v>172</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0</v>
      </c>
      <c r="BB68" s="188">
        <v>0</v>
      </c>
      <c r="BC68" s="188">
        <v>0</v>
      </c>
      <c r="BD68" s="188">
        <v>0</v>
      </c>
      <c r="BE68" s="188">
        <v>0</v>
      </c>
      <c r="BF68" s="188">
        <v>0</v>
      </c>
      <c r="BG68" s="188">
        <v>0</v>
      </c>
      <c r="BH68" s="188">
        <v>0</v>
      </c>
      <c r="BI68" s="188">
        <v>0</v>
      </c>
      <c r="BJ68" s="188">
        <v>0</v>
      </c>
      <c r="BK68" s="188">
        <v>0</v>
      </c>
      <c r="BL68" s="188">
        <v>0</v>
      </c>
      <c r="BM68" s="188">
        <v>0</v>
      </c>
      <c r="BN68" s="188">
        <v>0</v>
      </c>
      <c r="BO68" s="188">
        <v>0</v>
      </c>
      <c r="BP68" s="188">
        <v>0</v>
      </c>
      <c r="BQ68" s="188">
        <v>0</v>
      </c>
      <c r="BR68" s="188">
        <v>0</v>
      </c>
      <c r="BS68" s="188">
        <v>0</v>
      </c>
      <c r="BT68" s="188">
        <v>0</v>
      </c>
      <c r="BU68" s="188">
        <v>0</v>
      </c>
      <c r="BV68" s="188">
        <v>0</v>
      </c>
    </row>
    <row r="69" spans="1:74" x14ac:dyDescent="0.25">
      <c r="A69" s="188" t="s">
        <v>173</v>
      </c>
      <c r="B69" s="188">
        <v>0</v>
      </c>
      <c r="C69" s="188">
        <v>0</v>
      </c>
      <c r="D69" s="188">
        <v>0</v>
      </c>
      <c r="E69" s="188">
        <v>0</v>
      </c>
      <c r="F69" s="188">
        <v>0</v>
      </c>
      <c r="G69" s="188">
        <v>0</v>
      </c>
      <c r="H69" s="188">
        <v>0</v>
      </c>
      <c r="I69" s="188">
        <v>0</v>
      </c>
      <c r="J69" s="188">
        <v>0</v>
      </c>
      <c r="K69" s="188">
        <v>0</v>
      </c>
      <c r="L69" s="188">
        <v>0</v>
      </c>
      <c r="M69" s="188">
        <v>0</v>
      </c>
      <c r="N69" s="188">
        <v>0</v>
      </c>
      <c r="O69" s="188">
        <v>0</v>
      </c>
      <c r="P69" s="188">
        <v>0</v>
      </c>
      <c r="Q69" s="188">
        <v>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c r="BH69" s="188">
        <v>0</v>
      </c>
      <c r="BI69" s="188">
        <v>0</v>
      </c>
      <c r="BJ69" s="188">
        <v>0</v>
      </c>
      <c r="BK69" s="188">
        <v>0</v>
      </c>
      <c r="BL69" s="188">
        <v>0</v>
      </c>
      <c r="BM69" s="188">
        <v>0</v>
      </c>
      <c r="BN69" s="188">
        <v>0</v>
      </c>
      <c r="BO69" s="188">
        <v>0</v>
      </c>
      <c r="BP69" s="188">
        <v>0</v>
      </c>
      <c r="BQ69" s="188">
        <v>0</v>
      </c>
      <c r="BR69" s="188">
        <v>0</v>
      </c>
      <c r="BS69" s="188">
        <v>0</v>
      </c>
      <c r="BT69" s="188">
        <v>0</v>
      </c>
      <c r="BU69" s="188">
        <v>0</v>
      </c>
      <c r="BV69" s="188">
        <v>0</v>
      </c>
    </row>
    <row r="70" spans="1:74" x14ac:dyDescent="0.25">
      <c r="A70" s="188" t="s">
        <v>174</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0</v>
      </c>
      <c r="BR70" s="188">
        <v>0</v>
      </c>
      <c r="BS70" s="188">
        <v>0</v>
      </c>
      <c r="BT70" s="188">
        <v>0</v>
      </c>
      <c r="BU70" s="188">
        <v>0</v>
      </c>
      <c r="BV70" s="188">
        <v>0</v>
      </c>
    </row>
    <row r="71" spans="1:74" x14ac:dyDescent="0.25">
      <c r="A71" s="188" t="s">
        <v>175</v>
      </c>
      <c r="B71" s="188">
        <v>15570000</v>
      </c>
      <c r="C71" s="188">
        <v>15570000</v>
      </c>
      <c r="D71" s="188">
        <v>15570000</v>
      </c>
      <c r="E71" s="188">
        <v>15570000</v>
      </c>
      <c r="F71" s="188">
        <v>15570000</v>
      </c>
      <c r="G71" s="188">
        <v>15570000</v>
      </c>
      <c r="H71" s="188">
        <v>15570000</v>
      </c>
      <c r="I71" s="188">
        <v>15570000</v>
      </c>
      <c r="J71" s="188">
        <v>15570000</v>
      </c>
      <c r="K71" s="188">
        <v>15570000</v>
      </c>
      <c r="L71" s="188">
        <v>15570000</v>
      </c>
      <c r="M71" s="188">
        <v>15570000</v>
      </c>
      <c r="N71" s="188">
        <v>17770000</v>
      </c>
      <c r="O71" s="188">
        <v>17770000</v>
      </c>
      <c r="P71" s="188">
        <v>17770000</v>
      </c>
      <c r="Q71" s="188">
        <v>17770000</v>
      </c>
      <c r="R71" s="188">
        <v>17770000</v>
      </c>
      <c r="S71" s="188">
        <v>17770000</v>
      </c>
      <c r="T71" s="188">
        <v>17770000</v>
      </c>
      <c r="U71" s="188">
        <v>17770000</v>
      </c>
      <c r="V71" s="188">
        <v>17770000</v>
      </c>
      <c r="W71" s="188">
        <v>17770000</v>
      </c>
      <c r="X71" s="188">
        <v>17770000</v>
      </c>
      <c r="Y71" s="188">
        <v>17770000</v>
      </c>
      <c r="Z71" s="188">
        <v>17770000</v>
      </c>
      <c r="AA71" s="188">
        <v>17770000</v>
      </c>
      <c r="AB71" s="188">
        <v>17770000</v>
      </c>
      <c r="AC71" s="188">
        <v>16770000</v>
      </c>
      <c r="AD71" s="188">
        <v>19530000</v>
      </c>
      <c r="AE71" s="188">
        <v>19530000</v>
      </c>
      <c r="AF71" s="188">
        <v>10000000</v>
      </c>
      <c r="AG71" s="188">
        <v>10000000</v>
      </c>
      <c r="AH71" s="188">
        <v>10000000</v>
      </c>
      <c r="AI71" s="188">
        <v>10000000</v>
      </c>
      <c r="AJ71" s="188">
        <v>10000000</v>
      </c>
      <c r="AK71" s="188">
        <v>10000000</v>
      </c>
      <c r="AL71" s="188">
        <v>10000000</v>
      </c>
      <c r="AM71" s="188">
        <v>10000000</v>
      </c>
      <c r="AN71" s="188">
        <v>10000000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300000</v>
      </c>
      <c r="BE71" s="188">
        <v>300000</v>
      </c>
      <c r="BF71" s="188">
        <v>300000</v>
      </c>
      <c r="BG71" s="188">
        <v>300000</v>
      </c>
      <c r="BH71" s="188">
        <v>300000</v>
      </c>
      <c r="BI71" s="188">
        <v>300000</v>
      </c>
      <c r="BJ71" s="188">
        <v>0</v>
      </c>
      <c r="BK71" s="188">
        <v>0</v>
      </c>
      <c r="BL71" s="188">
        <v>0</v>
      </c>
      <c r="BM71" s="188">
        <v>0</v>
      </c>
      <c r="BN71" s="188">
        <v>0</v>
      </c>
      <c r="BO71" s="188">
        <v>0</v>
      </c>
      <c r="BP71" s="188">
        <v>0</v>
      </c>
      <c r="BQ71" s="188">
        <v>0</v>
      </c>
      <c r="BR71" s="188">
        <v>0</v>
      </c>
      <c r="BS71" s="188">
        <v>0</v>
      </c>
      <c r="BT71" s="188">
        <v>0</v>
      </c>
      <c r="BU71" s="188">
        <v>60360000</v>
      </c>
      <c r="BV71" s="188">
        <v>0</v>
      </c>
    </row>
    <row r="72" spans="1:74" x14ac:dyDescent="0.25">
      <c r="A72" s="188" t="s">
        <v>176</v>
      </c>
      <c r="B72" s="188">
        <v>40990610327.230003</v>
      </c>
      <c r="C72" s="188">
        <v>33410357927.630001</v>
      </c>
      <c r="D72" s="188">
        <v>29255260792.919998</v>
      </c>
      <c r="E72" s="188">
        <v>38590489400</v>
      </c>
      <c r="F72" s="188">
        <v>39399190859.07</v>
      </c>
      <c r="G72" s="188">
        <v>41319489297.489998</v>
      </c>
      <c r="H72" s="188">
        <v>36524831704.5</v>
      </c>
      <c r="I72" s="188">
        <v>37035995425.690002</v>
      </c>
      <c r="J72" s="188">
        <v>33862528824.060001</v>
      </c>
      <c r="K72" s="188">
        <v>28193337489.459999</v>
      </c>
      <c r="L72" s="188">
        <v>19749190532.259998</v>
      </c>
      <c r="M72" s="188">
        <v>20067293001.48</v>
      </c>
      <c r="N72" s="188">
        <v>15640191631.059999</v>
      </c>
      <c r="O72" s="188">
        <v>8675962015.3899994</v>
      </c>
      <c r="P72" s="188">
        <v>8838872511.4599991</v>
      </c>
      <c r="Q72" s="188">
        <v>10561614383.51</v>
      </c>
      <c r="R72" s="188">
        <v>8310226545.1400003</v>
      </c>
      <c r="S72" s="188">
        <v>8593954624.2900009</v>
      </c>
      <c r="T72" s="188">
        <v>8576054059.4799995</v>
      </c>
      <c r="U72" s="188">
        <v>11325058403.790001</v>
      </c>
      <c r="V72" s="188">
        <v>9454070178.5200005</v>
      </c>
      <c r="W72" s="188">
        <v>7841603198.1700001</v>
      </c>
      <c r="X72" s="188">
        <v>7306586930.6700001</v>
      </c>
      <c r="Y72" s="188">
        <v>9544172556.2099991</v>
      </c>
      <c r="Z72" s="188">
        <v>6843310993.9300003</v>
      </c>
      <c r="AA72" s="188">
        <v>11306676731.73</v>
      </c>
      <c r="AB72" s="188">
        <v>7876964333.5699997</v>
      </c>
      <c r="AC72" s="188">
        <v>9497489364.1200008</v>
      </c>
      <c r="AD72" s="188">
        <v>9810488139.0499992</v>
      </c>
      <c r="AE72" s="188">
        <v>9375193214.2800007</v>
      </c>
      <c r="AF72" s="188">
        <v>8621019159.3099995</v>
      </c>
      <c r="AG72" s="188">
        <v>7038190246.0699997</v>
      </c>
      <c r="AH72" s="188">
        <v>5088258570.1999998</v>
      </c>
      <c r="AI72" s="188">
        <v>4596615419.3100004</v>
      </c>
      <c r="AJ72" s="188">
        <v>4434151285.7700005</v>
      </c>
      <c r="AK72" s="188">
        <v>5118057753.5100002</v>
      </c>
      <c r="AL72" s="188">
        <v>2522260598.27</v>
      </c>
      <c r="AM72" s="188">
        <v>2806773646.4000001</v>
      </c>
      <c r="AN72" s="188">
        <v>3017496005.1700001</v>
      </c>
      <c r="AO72" s="188">
        <v>4250769540.4000001</v>
      </c>
      <c r="AP72" s="188">
        <v>2182445187.52</v>
      </c>
      <c r="AQ72" s="188">
        <v>1421462106.23</v>
      </c>
      <c r="AR72" s="188">
        <v>2270935661.4499998</v>
      </c>
      <c r="AS72" s="188">
        <v>2112616070.01</v>
      </c>
      <c r="AT72" s="188">
        <v>3241296205.6599998</v>
      </c>
      <c r="AU72" s="188">
        <v>4007519794.1999998</v>
      </c>
      <c r="AV72" s="188">
        <v>3994927819.6599998</v>
      </c>
      <c r="AW72" s="188">
        <v>3393886354.5599999</v>
      </c>
      <c r="AX72" s="188">
        <v>3391384178.48</v>
      </c>
      <c r="AY72" s="188">
        <v>2741388243.54</v>
      </c>
      <c r="AZ72" s="188">
        <v>2514741182.5500002</v>
      </c>
      <c r="BA72" s="188">
        <v>2895201383.0700002</v>
      </c>
      <c r="BB72" s="188">
        <v>2311856854.6799998</v>
      </c>
      <c r="BC72" s="188">
        <v>2037078706.51</v>
      </c>
      <c r="BD72" s="188">
        <v>1971212838.1400001</v>
      </c>
      <c r="BE72" s="188">
        <v>2156945236.8400002</v>
      </c>
      <c r="BF72" s="188">
        <v>1728214614.4300001</v>
      </c>
      <c r="BG72" s="188">
        <v>1223960980.51</v>
      </c>
      <c r="BH72" s="188">
        <v>1127364171.48</v>
      </c>
      <c r="BI72" s="188">
        <v>1485841719.9200001</v>
      </c>
      <c r="BJ72" s="188">
        <v>1235178166.3399999</v>
      </c>
      <c r="BK72" s="188">
        <v>815737095.15999997</v>
      </c>
      <c r="BL72" s="188">
        <v>803271179.95000005</v>
      </c>
      <c r="BM72" s="188">
        <v>1055556072.14</v>
      </c>
      <c r="BN72" s="188">
        <v>838624003.00999999</v>
      </c>
      <c r="BO72" s="188">
        <v>637153988.20000005</v>
      </c>
      <c r="BP72" s="188">
        <v>698058233.12</v>
      </c>
      <c r="BQ72" s="188">
        <v>925757031.16999996</v>
      </c>
      <c r="BR72" s="188">
        <v>642491805.84000003</v>
      </c>
      <c r="BS72" s="188">
        <v>825076621.86000001</v>
      </c>
      <c r="BT72" s="188">
        <v>629695102.09000003</v>
      </c>
      <c r="BU72" s="188">
        <v>507757453.56999999</v>
      </c>
      <c r="BV72" s="188">
        <v>0</v>
      </c>
    </row>
    <row r="73" spans="1:74" x14ac:dyDescent="0.25">
      <c r="A73" s="188" t="s">
        <v>177</v>
      </c>
    </row>
    <row r="74" spans="1:74" x14ac:dyDescent="0.25">
      <c r="A74" s="188" t="s">
        <v>178</v>
      </c>
      <c r="B74" s="188">
        <v>1256197800</v>
      </c>
      <c r="C74" s="188">
        <v>1256197800</v>
      </c>
      <c r="D74" s="188">
        <v>1256197800</v>
      </c>
      <c r="E74" s="188">
        <v>1256197800</v>
      </c>
      <c r="F74" s="188">
        <v>1256197800</v>
      </c>
      <c r="G74" s="188">
        <v>1256197800</v>
      </c>
      <c r="H74" s="188">
        <v>1256197800</v>
      </c>
      <c r="I74" s="188">
        <v>1256197800</v>
      </c>
      <c r="J74" s="188">
        <v>1256197800</v>
      </c>
      <c r="K74" s="188">
        <v>1256197800</v>
      </c>
      <c r="L74" s="188">
        <v>1256197800</v>
      </c>
      <c r="M74" s="188">
        <v>1256197800</v>
      </c>
      <c r="N74" s="188">
        <v>1256197800</v>
      </c>
      <c r="O74" s="188">
        <v>1141998000</v>
      </c>
      <c r="P74" s="188">
        <v>1141998000</v>
      </c>
      <c r="Q74" s="188">
        <v>1141998000</v>
      </c>
      <c r="R74" s="188">
        <v>1141998000</v>
      </c>
      <c r="S74" s="188">
        <v>1141998000</v>
      </c>
      <c r="T74" s="188">
        <v>1038180000</v>
      </c>
      <c r="U74" s="188">
        <v>1038180000</v>
      </c>
      <c r="V74" s="188">
        <v>1038180000</v>
      </c>
      <c r="W74" s="188">
        <v>1038180000</v>
      </c>
      <c r="X74" s="188">
        <v>1038180000</v>
      </c>
      <c r="Y74" s="188">
        <v>1038180000</v>
      </c>
      <c r="Z74" s="188">
        <v>1038180000</v>
      </c>
      <c r="AA74" s="188">
        <v>1038180000</v>
      </c>
      <c r="AB74" s="188">
        <v>1038180000</v>
      </c>
      <c r="AC74" s="188">
        <v>1038180000</v>
      </c>
      <c r="AD74" s="188">
        <v>1038180000</v>
      </c>
      <c r="AE74" s="188">
        <v>943800000</v>
      </c>
      <c r="AF74" s="188">
        <v>943800000</v>
      </c>
      <c r="AG74" s="188">
        <v>943800000</v>
      </c>
      <c r="AH74" s="188">
        <v>943800000</v>
      </c>
      <c r="AI74" s="188">
        <v>943800000</v>
      </c>
      <c r="AJ74" s="188">
        <v>943800000</v>
      </c>
      <c r="AK74" s="188">
        <v>943800000</v>
      </c>
      <c r="AL74" s="188">
        <v>943800000</v>
      </c>
      <c r="AM74" s="188">
        <v>943800000</v>
      </c>
      <c r="AN74" s="188">
        <v>943800000</v>
      </c>
      <c r="AO74" s="188">
        <v>943800000</v>
      </c>
      <c r="AP74" s="188">
        <v>943800000</v>
      </c>
      <c r="AQ74" s="188">
        <v>943800000</v>
      </c>
      <c r="AR74" s="188">
        <v>943800000</v>
      </c>
      <c r="AS74" s="188">
        <v>943800000</v>
      </c>
      <c r="AT74" s="188">
        <v>943800000</v>
      </c>
      <c r="AU74" s="188">
        <v>943800000</v>
      </c>
      <c r="AV74" s="188">
        <v>943800000</v>
      </c>
      <c r="AW74" s="188">
        <v>943800000</v>
      </c>
      <c r="AX74" s="188">
        <v>943800000</v>
      </c>
      <c r="AY74" s="188">
        <v>943800000</v>
      </c>
      <c r="AZ74" s="188">
        <v>471900000</v>
      </c>
      <c r="BA74" s="188">
        <v>471900000</v>
      </c>
      <c r="BB74" s="188">
        <v>471900000</v>
      </c>
      <c r="BC74" s="188">
        <v>393250000</v>
      </c>
      <c r="BD74" s="188">
        <v>393250000</v>
      </c>
      <c r="BE74" s="188">
        <v>393250000</v>
      </c>
      <c r="BF74" s="188">
        <v>393250000</v>
      </c>
      <c r="BG74" s="188">
        <v>275000000</v>
      </c>
      <c r="BH74" s="188">
        <v>275000000</v>
      </c>
      <c r="BI74" s="188">
        <v>275000000</v>
      </c>
      <c r="BJ74" s="188">
        <v>275000000</v>
      </c>
      <c r="BK74" s="188">
        <v>275000000</v>
      </c>
      <c r="BL74" s="188">
        <v>275000000</v>
      </c>
      <c r="BM74" s="188">
        <v>275000000</v>
      </c>
      <c r="BN74" s="188">
        <v>250000000</v>
      </c>
      <c r="BO74" s="188">
        <v>250000000</v>
      </c>
      <c r="BP74" s="188">
        <v>250000000</v>
      </c>
      <c r="BQ74" s="188">
        <v>250000000</v>
      </c>
      <c r="BR74" s="188">
        <v>185000000</v>
      </c>
      <c r="BS74" s="188">
        <v>185000000</v>
      </c>
      <c r="BT74" s="188">
        <v>185000000</v>
      </c>
      <c r="BU74" s="188">
        <v>0</v>
      </c>
      <c r="BV74" s="188">
        <v>0</v>
      </c>
    </row>
    <row r="75" spans="1:74" x14ac:dyDescent="0.25">
      <c r="A75" s="188" t="s">
        <v>179</v>
      </c>
      <c r="B75" s="188">
        <v>1374964415.72</v>
      </c>
      <c r="C75" s="188">
        <v>1374964415.72</v>
      </c>
      <c r="D75" s="188">
        <v>1374964415.72</v>
      </c>
      <c r="E75" s="188">
        <v>1374964415.72</v>
      </c>
      <c r="F75" s="188">
        <v>1374964415.72</v>
      </c>
      <c r="G75" s="188">
        <v>1374964415.72</v>
      </c>
      <c r="H75" s="188">
        <v>1374964415.72</v>
      </c>
      <c r="I75" s="188">
        <v>1374964415.72</v>
      </c>
      <c r="J75" s="188">
        <v>1374964415.72</v>
      </c>
      <c r="K75" s="188">
        <v>1374964415.72</v>
      </c>
      <c r="L75" s="188">
        <v>1374964415.72</v>
      </c>
      <c r="M75" s="188">
        <v>1374964415.72</v>
      </c>
      <c r="N75" s="188">
        <v>1374964415.72</v>
      </c>
      <c r="O75" s="188">
        <v>1374964415.72</v>
      </c>
      <c r="P75" s="188">
        <v>1374964415.72</v>
      </c>
      <c r="Q75" s="188">
        <v>1374964415.72</v>
      </c>
      <c r="R75" s="188">
        <v>1374964415.72</v>
      </c>
      <c r="S75" s="188">
        <v>1374964415.72</v>
      </c>
      <c r="T75" s="188">
        <v>1374964415.72</v>
      </c>
      <c r="U75" s="188">
        <v>1374964415.72</v>
      </c>
      <c r="V75" s="188">
        <v>1374964415.72</v>
      </c>
      <c r="W75" s="188">
        <v>1374964415.72</v>
      </c>
      <c r="X75" s="188">
        <v>1374964415.72</v>
      </c>
      <c r="Y75" s="188">
        <v>1374964415.72</v>
      </c>
      <c r="Z75" s="188">
        <v>1374964415.72</v>
      </c>
      <c r="AA75" s="188">
        <v>1374964415.72</v>
      </c>
      <c r="AB75" s="188">
        <v>1374964415.72</v>
      </c>
      <c r="AC75" s="188">
        <v>1374964415.72</v>
      </c>
      <c r="AD75" s="188">
        <v>1374964415.72</v>
      </c>
      <c r="AE75" s="188">
        <v>1374964415.72</v>
      </c>
      <c r="AF75" s="188">
        <v>1374964415.72</v>
      </c>
      <c r="AG75" s="188">
        <v>1374964415.72</v>
      </c>
      <c r="AH75" s="188">
        <v>1374964415.72</v>
      </c>
      <c r="AI75" s="188">
        <v>1374964415.72</v>
      </c>
      <c r="AJ75" s="188">
        <v>1374964415.72</v>
      </c>
      <c r="AK75" s="188">
        <v>1374964415.72</v>
      </c>
      <c r="AL75" s="188">
        <v>1374964415.72</v>
      </c>
      <c r="AM75" s="188">
        <v>1374964415.72</v>
      </c>
      <c r="AN75" s="188">
        <v>1374964415.72</v>
      </c>
      <c r="AO75" s="188">
        <v>1374964415.72</v>
      </c>
      <c r="AP75" s="188">
        <v>1375111415.72</v>
      </c>
      <c r="AQ75" s="188">
        <v>1375001165.72</v>
      </c>
      <c r="AR75" s="188">
        <v>1375001165.72</v>
      </c>
      <c r="AS75" s="188">
        <v>1374964415.72</v>
      </c>
      <c r="AT75" s="188">
        <v>1374898755.72</v>
      </c>
      <c r="AU75" s="188">
        <v>1374878083.6099999</v>
      </c>
      <c r="AV75" s="188">
        <v>1374779593.6099999</v>
      </c>
      <c r="AW75" s="188">
        <v>1374449260.6099999</v>
      </c>
      <c r="AX75" s="188">
        <v>1374750770.6099999</v>
      </c>
      <c r="AY75" s="188">
        <v>1374285110.6099999</v>
      </c>
      <c r="AZ75" s="188">
        <v>1846185110.6099999</v>
      </c>
      <c r="BA75" s="188">
        <v>1846119450.6099999</v>
      </c>
      <c r="BB75" s="188">
        <v>1845673790.6099999</v>
      </c>
      <c r="BC75" s="188">
        <v>1924023790.6099999</v>
      </c>
      <c r="BD75" s="188">
        <v>1923937320.54</v>
      </c>
      <c r="BE75" s="188">
        <v>1923937320.54</v>
      </c>
      <c r="BF75" s="188">
        <v>1923800640.54</v>
      </c>
      <c r="BG75" s="188">
        <v>2014484980.54</v>
      </c>
      <c r="BH75" s="188">
        <v>2014484980.54</v>
      </c>
      <c r="BI75" s="188">
        <v>2014484980.54</v>
      </c>
      <c r="BJ75" s="188">
        <v>2014419320.54</v>
      </c>
      <c r="BK75" s="188">
        <v>2014386490.54</v>
      </c>
      <c r="BL75" s="188">
        <v>2014320830.54</v>
      </c>
      <c r="BM75" s="188">
        <v>2014320830.54</v>
      </c>
      <c r="BN75" s="188">
        <v>2039255170.54</v>
      </c>
      <c r="BO75" s="188">
        <v>2039255170.54</v>
      </c>
      <c r="BP75" s="188">
        <v>2039221850.54</v>
      </c>
      <c r="BQ75" s="188">
        <v>2039189510.54</v>
      </c>
      <c r="BR75" s="188">
        <v>89470324.019999996</v>
      </c>
      <c r="BS75" s="188">
        <v>88432681.620000005</v>
      </c>
      <c r="BT75" s="188">
        <v>88432681.620000005</v>
      </c>
      <c r="BU75" s="188">
        <v>0</v>
      </c>
      <c r="BV75" s="188">
        <v>0</v>
      </c>
    </row>
    <row r="76" spans="1:74" x14ac:dyDescent="0.25">
      <c r="A76" s="188" t="s">
        <v>180</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0</v>
      </c>
      <c r="BU76" s="188">
        <v>0</v>
      </c>
      <c r="BV76" s="188">
        <v>0</v>
      </c>
    </row>
    <row r="77" spans="1:74" x14ac:dyDescent="0.25">
      <c r="A77" s="188" t="s">
        <v>181</v>
      </c>
      <c r="B77" s="188">
        <v>-5928801.1399999997</v>
      </c>
      <c r="C77" s="188">
        <v>-8513766.4199999999</v>
      </c>
      <c r="D77" s="188">
        <v>-7883649.3899999997</v>
      </c>
      <c r="E77" s="188">
        <v>-7401576.4000000004</v>
      </c>
      <c r="F77" s="188">
        <v>-7229608.1600000001</v>
      </c>
      <c r="G77" s="188">
        <v>-7793841.0499999998</v>
      </c>
      <c r="H77" s="188">
        <v>-10729839.77</v>
      </c>
      <c r="I77" s="188">
        <v>-11240841.560000001</v>
      </c>
      <c r="J77" s="188">
        <v>-9828907.2300000004</v>
      </c>
      <c r="K77" s="188">
        <v>-10741866.18</v>
      </c>
      <c r="L77" s="188">
        <v>-9516873.0800000001</v>
      </c>
      <c r="M77" s="188">
        <v>-13034075.470000001</v>
      </c>
      <c r="N77" s="188">
        <v>-12472326.27</v>
      </c>
      <c r="O77" s="188">
        <v>-14908204.18</v>
      </c>
      <c r="P77" s="188">
        <v>-10342175.050000001</v>
      </c>
      <c r="Q77" s="188">
        <v>-619043.99</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v>0</v>
      </c>
      <c r="BU77" s="188">
        <v>0</v>
      </c>
      <c r="BV77" s="188">
        <v>0</v>
      </c>
    </row>
    <row r="78" spans="1:74"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c r="BH78" s="188">
        <v>0</v>
      </c>
      <c r="BI78" s="188">
        <v>0</v>
      </c>
      <c r="BJ78" s="188">
        <v>0</v>
      </c>
      <c r="BK78" s="188">
        <v>0</v>
      </c>
      <c r="BL78" s="188">
        <v>0</v>
      </c>
      <c r="BM78" s="188">
        <v>0</v>
      </c>
      <c r="BN78" s="188">
        <v>0</v>
      </c>
      <c r="BO78" s="188">
        <v>0</v>
      </c>
      <c r="BP78" s="188">
        <v>0</v>
      </c>
      <c r="BQ78" s="188">
        <v>0</v>
      </c>
      <c r="BR78" s="188">
        <v>0</v>
      </c>
      <c r="BS78" s="188">
        <v>0</v>
      </c>
      <c r="BT78" s="188">
        <v>0</v>
      </c>
      <c r="BU78" s="188">
        <v>0</v>
      </c>
      <c r="BV78" s="188">
        <v>0</v>
      </c>
    </row>
    <row r="79" spans="1:74" x14ac:dyDescent="0.25">
      <c r="A79" s="188" t="s">
        <v>183</v>
      </c>
      <c r="B79" s="188">
        <v>13297348655.709999</v>
      </c>
      <c r="C79" s="188">
        <v>13297348655.709999</v>
      </c>
      <c r="D79" s="188">
        <v>8215595509.6899996</v>
      </c>
      <c r="E79" s="188">
        <v>8215595509.6899996</v>
      </c>
      <c r="F79" s="188">
        <v>8032437263.1199999</v>
      </c>
      <c r="G79" s="188">
        <v>8032437263.1199999</v>
      </c>
      <c r="H79" s="188">
        <v>7135649963.1199999</v>
      </c>
      <c r="I79" s="188">
        <v>7135649963.1199999</v>
      </c>
      <c r="J79" s="188">
        <v>7083825670.9399996</v>
      </c>
      <c r="K79" s="188">
        <v>7083825670.9399996</v>
      </c>
      <c r="L79" s="188">
        <v>6210524497.54</v>
      </c>
      <c r="M79" s="188">
        <v>6210524497.54</v>
      </c>
      <c r="N79" s="188">
        <v>5249407234.6199999</v>
      </c>
      <c r="O79" s="188">
        <v>5249407234.6199999</v>
      </c>
      <c r="P79" s="188">
        <v>5249407234.6199999</v>
      </c>
      <c r="Q79" s="188">
        <v>5249407234.6199999</v>
      </c>
      <c r="R79" s="188">
        <v>5276552448.5200005</v>
      </c>
      <c r="S79" s="188">
        <v>5276552448.5200005</v>
      </c>
      <c r="T79" s="188">
        <v>4220803927.1799998</v>
      </c>
      <c r="U79" s="188">
        <v>4220803927.1799998</v>
      </c>
      <c r="V79" s="188">
        <v>4221669105.9299998</v>
      </c>
      <c r="W79" s="188">
        <v>4221669105.9299998</v>
      </c>
      <c r="X79" s="188">
        <v>3036434460.46</v>
      </c>
      <c r="Y79" s="188">
        <v>3036434460.46</v>
      </c>
      <c r="Z79" s="188">
        <v>3038678758.3000002</v>
      </c>
      <c r="AA79" s="188">
        <v>3038678758.3000002</v>
      </c>
      <c r="AB79" s="188">
        <v>2640916373.3499999</v>
      </c>
      <c r="AC79" s="188">
        <v>2640916373.3499999</v>
      </c>
      <c r="AD79" s="188">
        <v>2206854637.2199998</v>
      </c>
      <c r="AE79" s="188">
        <v>2206854637.2199998</v>
      </c>
      <c r="AF79" s="188">
        <v>2176754189.4699998</v>
      </c>
      <c r="AG79" s="188">
        <v>2176754189.4699998</v>
      </c>
      <c r="AH79" s="188">
        <v>1702957797.0999999</v>
      </c>
      <c r="AI79" s="188">
        <v>1702957797.0999999</v>
      </c>
      <c r="AJ79" s="188">
        <v>1585666147.4000001</v>
      </c>
      <c r="AK79" s="188">
        <v>1585666147.4000001</v>
      </c>
      <c r="AL79" s="188">
        <v>1344191389.0599999</v>
      </c>
      <c r="AM79" s="188">
        <v>1344191389.0599999</v>
      </c>
      <c r="AN79" s="188">
        <v>1001133829.72</v>
      </c>
      <c r="AO79" s="188">
        <v>1001133829.72</v>
      </c>
      <c r="AP79" s="188">
        <v>996505519.39999998</v>
      </c>
      <c r="AQ79" s="188">
        <v>996505519.39999998</v>
      </c>
      <c r="AR79" s="188">
        <v>838320965.63</v>
      </c>
      <c r="AS79" s="188">
        <v>838320965.63</v>
      </c>
      <c r="AT79" s="188">
        <v>1264879718.52</v>
      </c>
      <c r="AU79" s="188">
        <v>1264879718.52</v>
      </c>
      <c r="AV79" s="188">
        <v>1254272843.9200001</v>
      </c>
      <c r="AW79" s="188">
        <v>1253305422.0599999</v>
      </c>
      <c r="AX79" s="188">
        <v>967252340.82000005</v>
      </c>
      <c r="AY79" s="188">
        <v>967252340.82000005</v>
      </c>
      <c r="AZ79" s="188">
        <v>967252340.82000005</v>
      </c>
      <c r="BA79" s="188">
        <v>967252340.82000005</v>
      </c>
      <c r="BB79" s="188">
        <v>648560928.29999995</v>
      </c>
      <c r="BC79" s="188">
        <v>648560928.29999995</v>
      </c>
      <c r="BD79" s="188">
        <v>648560928.29999995</v>
      </c>
      <c r="BE79" s="188">
        <v>648560928.29999995</v>
      </c>
      <c r="BF79" s="188">
        <v>424392525.00999999</v>
      </c>
      <c r="BG79" s="188">
        <v>424392525.00999999</v>
      </c>
      <c r="BH79" s="188">
        <v>424392525.00999999</v>
      </c>
      <c r="BI79" s="188">
        <v>424392228.41000003</v>
      </c>
      <c r="BJ79" s="188">
        <v>341468411.01999998</v>
      </c>
      <c r="BK79" s="188">
        <v>341440996.33999997</v>
      </c>
      <c r="BL79" s="188">
        <v>275280085.31999999</v>
      </c>
      <c r="BM79" s="188">
        <v>275280085.31999999</v>
      </c>
      <c r="BN79" s="188">
        <v>227558468.19</v>
      </c>
      <c r="BO79" s="188">
        <v>227558468.19</v>
      </c>
      <c r="BP79" s="188">
        <v>163612517.12</v>
      </c>
      <c r="BQ79" s="188">
        <v>163612517.12</v>
      </c>
      <c r="BR79" s="188">
        <v>114734706.56</v>
      </c>
      <c r="BS79" s="188">
        <v>63435431.119999997</v>
      </c>
      <c r="BT79" s="188">
        <v>6166053.1900000004</v>
      </c>
      <c r="BU79" s="188">
        <v>0</v>
      </c>
      <c r="BV79" s="188">
        <v>0</v>
      </c>
    </row>
    <row r="80" spans="1:74" x14ac:dyDescent="0.25">
      <c r="A80" s="188" t="s">
        <v>184</v>
      </c>
      <c r="B80" s="188">
        <v>600859229.62</v>
      </c>
      <c r="C80" s="188">
        <v>600859229.62</v>
      </c>
      <c r="D80" s="188">
        <v>600859229.62</v>
      </c>
      <c r="E80" s="188">
        <v>600859229.62</v>
      </c>
      <c r="F80" s="188">
        <v>420758409.36000001</v>
      </c>
      <c r="G80" s="188">
        <v>420758409.36000001</v>
      </c>
      <c r="H80" s="188">
        <v>420758409.36000001</v>
      </c>
      <c r="I80" s="188">
        <v>420758409.36000001</v>
      </c>
      <c r="J80" s="188">
        <v>218361303.43000001</v>
      </c>
      <c r="K80" s="188">
        <v>218361303.43000001</v>
      </c>
      <c r="L80" s="188">
        <v>218361303.43000001</v>
      </c>
      <c r="M80" s="188">
        <v>218361303.43000001</v>
      </c>
      <c r="N80" s="188">
        <v>134294502.37</v>
      </c>
      <c r="O80" s="188">
        <v>134294502.37</v>
      </c>
      <c r="P80" s="188">
        <v>98594502.370000005</v>
      </c>
      <c r="Q80" s="188">
        <v>98594502.370000005</v>
      </c>
      <c r="R80" s="188">
        <v>28596286.27</v>
      </c>
      <c r="S80" s="188">
        <v>28596286.27</v>
      </c>
      <c r="T80" s="188">
        <v>13296286.27</v>
      </c>
      <c r="U80" s="188">
        <v>13296286.27</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c r="BH80" s="188">
        <v>0</v>
      </c>
      <c r="BI80" s="188">
        <v>0</v>
      </c>
      <c r="BJ80" s="188">
        <v>0</v>
      </c>
      <c r="BK80" s="188">
        <v>0</v>
      </c>
      <c r="BL80" s="188">
        <v>0</v>
      </c>
      <c r="BM80" s="188">
        <v>0</v>
      </c>
      <c r="BN80" s="188">
        <v>0</v>
      </c>
      <c r="BO80" s="188">
        <v>0</v>
      </c>
      <c r="BP80" s="188">
        <v>0</v>
      </c>
      <c r="BQ80" s="188">
        <v>0</v>
      </c>
      <c r="BR80" s="188">
        <v>0</v>
      </c>
      <c r="BS80" s="188">
        <v>0</v>
      </c>
      <c r="BT80" s="188">
        <v>0</v>
      </c>
      <c r="BU80" s="188">
        <v>0</v>
      </c>
      <c r="BV80" s="188">
        <v>0</v>
      </c>
    </row>
    <row r="81" spans="1:74" x14ac:dyDescent="0.25">
      <c r="A81" s="188" t="s">
        <v>185</v>
      </c>
      <c r="B81" s="188">
        <v>85846187413.809998</v>
      </c>
      <c r="C81" s="188">
        <v>76876820476.139999</v>
      </c>
      <c r="D81" s="188">
        <v>88518214128.529999</v>
      </c>
      <c r="E81" s="188">
        <v>80011307450.330002</v>
      </c>
      <c r="F81" s="188">
        <v>73279053245.520004</v>
      </c>
      <c r="G81" s="188">
        <v>64546067191.129997</v>
      </c>
      <c r="H81" s="188">
        <v>68840927360.740005</v>
      </c>
      <c r="I81" s="188">
        <v>62717808036.610001</v>
      </c>
      <c r="J81" s="188">
        <v>58719244464.699997</v>
      </c>
      <c r="K81" s="188">
        <v>55056303838.580002</v>
      </c>
      <c r="L81" s="188">
        <v>59768236093.089996</v>
      </c>
      <c r="M81" s="188">
        <v>54878964497.769997</v>
      </c>
      <c r="N81" s="188">
        <v>51845696029.080002</v>
      </c>
      <c r="O81" s="188">
        <v>53418589613.540001</v>
      </c>
      <c r="P81" s="188">
        <v>49930959058.260002</v>
      </c>
      <c r="Q81" s="188">
        <v>45566057337.370003</v>
      </c>
      <c r="R81" s="188">
        <v>40918438890.050003</v>
      </c>
      <c r="S81" s="188">
        <v>37454963518.709999</v>
      </c>
      <c r="T81" s="188">
        <v>39640361782.25</v>
      </c>
      <c r="U81" s="188">
        <v>35974971858.639999</v>
      </c>
      <c r="V81" s="188">
        <v>31915957705.959999</v>
      </c>
      <c r="W81" s="188">
        <v>28098707911.970001</v>
      </c>
      <c r="X81" s="188">
        <v>32293173381.169998</v>
      </c>
      <c r="Y81" s="188">
        <v>28700075247.5</v>
      </c>
      <c r="Z81" s="188">
        <v>25807560553.650002</v>
      </c>
      <c r="AA81" s="188">
        <v>22385472933.189999</v>
      </c>
      <c r="AB81" s="188">
        <v>22906334977.689999</v>
      </c>
      <c r="AC81" s="188">
        <v>19937119181.959999</v>
      </c>
      <c r="AD81" s="188">
        <v>18177119652.080002</v>
      </c>
      <c r="AE81" s="188">
        <v>16609592149.389999</v>
      </c>
      <c r="AF81" s="188">
        <v>15787250430.540001</v>
      </c>
      <c r="AG81" s="188">
        <v>13903255455.610001</v>
      </c>
      <c r="AH81" s="188">
        <v>13500031622.98</v>
      </c>
      <c r="AI81" s="188">
        <v>12425614934.950001</v>
      </c>
      <c r="AJ81" s="188">
        <v>11827214855.1</v>
      </c>
      <c r="AK81" s="188">
        <v>10561552279.690001</v>
      </c>
      <c r="AL81" s="188">
        <v>10277532334.969999</v>
      </c>
      <c r="AM81" s="188">
        <v>9280857397.3999996</v>
      </c>
      <c r="AN81" s="188">
        <v>9141680742.6900005</v>
      </c>
      <c r="AO81" s="188">
        <v>7924671271.0299997</v>
      </c>
      <c r="AP81" s="188">
        <v>7274577877.2399998</v>
      </c>
      <c r="AQ81" s="188">
        <v>6369380098.8400002</v>
      </c>
      <c r="AR81" s="188">
        <v>5950374457.8599997</v>
      </c>
      <c r="AS81" s="188">
        <v>5077020374.5799999</v>
      </c>
      <c r="AT81" s="188">
        <v>3291064389.6399999</v>
      </c>
      <c r="AU81" s="188">
        <v>2550293482.9499998</v>
      </c>
      <c r="AV81" s="188">
        <v>2247683074.8000002</v>
      </c>
      <c r="AW81" s="188">
        <v>1664790770.9100001</v>
      </c>
      <c r="AX81" s="188">
        <v>2058380373.47</v>
      </c>
      <c r="AY81" s="188">
        <v>1712637291.5699999</v>
      </c>
      <c r="AZ81" s="188">
        <v>2114646547.6199999</v>
      </c>
      <c r="BA81" s="188">
        <v>1665055777.74</v>
      </c>
      <c r="BB81" s="188">
        <v>1708963307.54</v>
      </c>
      <c r="BC81" s="188">
        <v>1487562486.74</v>
      </c>
      <c r="BD81" s="188">
        <v>1375914951.6300001</v>
      </c>
      <c r="BE81" s="188">
        <v>1006775560.89</v>
      </c>
      <c r="BF81" s="188">
        <v>1122584115.97</v>
      </c>
      <c r="BG81" s="188">
        <v>983599159.49000001</v>
      </c>
      <c r="BH81" s="188">
        <v>899399260.28999996</v>
      </c>
      <c r="BI81" s="188">
        <v>634515263.59000003</v>
      </c>
      <c r="BJ81" s="188">
        <v>575940966.96000004</v>
      </c>
      <c r="BK81" s="188">
        <v>474604497.82999998</v>
      </c>
      <c r="BL81" s="188">
        <v>505853609.79000002</v>
      </c>
      <c r="BM81" s="188">
        <v>288244590.30000001</v>
      </c>
      <c r="BN81" s="188">
        <v>323418256.06999999</v>
      </c>
      <c r="BO81" s="188">
        <v>252443665.06</v>
      </c>
      <c r="BP81" s="188">
        <v>284561899.63</v>
      </c>
      <c r="BQ81" s="188">
        <v>78113637.140000001</v>
      </c>
      <c r="BR81" s="188">
        <v>172340372.66</v>
      </c>
      <c r="BS81" s="188">
        <v>105552620.23</v>
      </c>
      <c r="BT81" s="188">
        <v>5763120.4199999999</v>
      </c>
      <c r="BU81" s="188">
        <v>0</v>
      </c>
      <c r="BV81" s="188">
        <v>0</v>
      </c>
    </row>
    <row r="82" spans="1:74" x14ac:dyDescent="0.25">
      <c r="A82" s="188" t="s">
        <v>186</v>
      </c>
      <c r="B82" s="188">
        <v>102369628713.72</v>
      </c>
      <c r="C82" s="188">
        <v>93397676810.770004</v>
      </c>
      <c r="D82" s="188">
        <v>99957947434.169998</v>
      </c>
      <c r="E82" s="188">
        <v>91451522828.960007</v>
      </c>
      <c r="F82" s="188">
        <v>84356181525.559998</v>
      </c>
      <c r="G82" s="188">
        <v>75622631238.279999</v>
      </c>
      <c r="H82" s="188">
        <v>79017768109.169998</v>
      </c>
      <c r="I82" s="188">
        <v>72894137783.25</v>
      </c>
      <c r="J82" s="188">
        <v>68642764747.559998</v>
      </c>
      <c r="K82" s="188">
        <v>64978911162.489998</v>
      </c>
      <c r="L82" s="188">
        <v>68818767236.699997</v>
      </c>
      <c r="M82" s="188">
        <v>63925978438.989998</v>
      </c>
      <c r="N82" s="188">
        <v>59848087655.519997</v>
      </c>
      <c r="O82" s="188">
        <v>61304345562.07</v>
      </c>
      <c r="P82" s="188">
        <v>57785581035.919998</v>
      </c>
      <c r="Q82" s="188">
        <v>53430402446.089996</v>
      </c>
      <c r="R82" s="188">
        <v>48740550040.559998</v>
      </c>
      <c r="S82" s="188">
        <v>45277074669.220001</v>
      </c>
      <c r="T82" s="188">
        <v>46287606411.419998</v>
      </c>
      <c r="U82" s="188">
        <v>42622216487.809998</v>
      </c>
      <c r="V82" s="188">
        <v>38550771227.610001</v>
      </c>
      <c r="W82" s="188">
        <v>34733521433.620003</v>
      </c>
      <c r="X82" s="188">
        <v>37742752257.349998</v>
      </c>
      <c r="Y82" s="188">
        <v>34149654123.68</v>
      </c>
      <c r="Z82" s="188">
        <v>31259383727.669998</v>
      </c>
      <c r="AA82" s="188">
        <v>27837296107.209999</v>
      </c>
      <c r="AB82" s="188">
        <v>27960395766.759998</v>
      </c>
      <c r="AC82" s="188">
        <v>24991179971.029999</v>
      </c>
      <c r="AD82" s="188">
        <v>22797118705.02</v>
      </c>
      <c r="AE82" s="188">
        <v>21135211202.330002</v>
      </c>
      <c r="AF82" s="188">
        <v>20282769035.73</v>
      </c>
      <c r="AG82" s="188">
        <v>18398774060.799999</v>
      </c>
      <c r="AH82" s="188">
        <v>17521753835.799999</v>
      </c>
      <c r="AI82" s="188">
        <v>16447337147.77</v>
      </c>
      <c r="AJ82" s="188">
        <v>15731645418.219999</v>
      </c>
      <c r="AK82" s="188">
        <v>14465982842.809999</v>
      </c>
      <c r="AL82" s="188">
        <v>13940488139.75</v>
      </c>
      <c r="AM82" s="188">
        <v>12943813202.18</v>
      </c>
      <c r="AN82" s="188">
        <v>12461578988.129999</v>
      </c>
      <c r="AO82" s="188">
        <v>11244569516.469999</v>
      </c>
      <c r="AP82" s="188">
        <v>10589994812.360001</v>
      </c>
      <c r="AQ82" s="188">
        <v>9684686783.9599991</v>
      </c>
      <c r="AR82" s="188">
        <v>9107496589.2099991</v>
      </c>
      <c r="AS82" s="188">
        <v>8234105755.9300003</v>
      </c>
      <c r="AT82" s="188">
        <v>6874642863.8800001</v>
      </c>
      <c r="AU82" s="188">
        <v>6133851285.0799999</v>
      </c>
      <c r="AV82" s="188">
        <v>5820535512.3299999</v>
      </c>
      <c r="AW82" s="188">
        <v>5897005453.5799999</v>
      </c>
      <c r="AX82" s="188">
        <v>5344183484.8999996</v>
      </c>
      <c r="AY82" s="188">
        <v>5001822019.8000002</v>
      </c>
      <c r="AZ82" s="188">
        <v>5541553999.0500002</v>
      </c>
      <c r="BA82" s="188">
        <v>5091897569.1700001</v>
      </c>
      <c r="BB82" s="188">
        <v>4713459586.4499998</v>
      </c>
      <c r="BC82" s="188">
        <v>4650022205.6499996</v>
      </c>
      <c r="BD82" s="188">
        <v>4538288200.4700003</v>
      </c>
      <c r="BE82" s="188">
        <v>4169148809.73</v>
      </c>
      <c r="BF82" s="188">
        <v>3864027281.52</v>
      </c>
      <c r="BG82" s="188">
        <v>3788226665.04</v>
      </c>
      <c r="BH82" s="188">
        <v>3704026765.8400002</v>
      </c>
      <c r="BI82" s="188">
        <v>3439142472.54</v>
      </c>
      <c r="BJ82" s="188">
        <v>3206828698.52</v>
      </c>
      <c r="BK82" s="188">
        <v>3105431984.71</v>
      </c>
      <c r="BL82" s="188">
        <v>3070454525.6500001</v>
      </c>
      <c r="BM82" s="188">
        <v>2852230484.27</v>
      </c>
      <c r="BN82" s="188">
        <v>2840231894.8000002</v>
      </c>
      <c r="BO82" s="188">
        <v>2769257303.79</v>
      </c>
      <c r="BP82" s="188">
        <v>2737396267.29</v>
      </c>
      <c r="BQ82" s="188">
        <v>2530915664.8000002</v>
      </c>
      <c r="BR82" s="188">
        <v>561545403.24000001</v>
      </c>
      <c r="BS82" s="188">
        <v>442420732.97000003</v>
      </c>
      <c r="BT82" s="188">
        <v>285361855.23000002</v>
      </c>
      <c r="BU82" s="188">
        <v>234091527.97999999</v>
      </c>
      <c r="BV82" s="188">
        <v>0</v>
      </c>
    </row>
    <row r="83" spans="1:74" x14ac:dyDescent="0.25">
      <c r="A83" s="188" t="s">
        <v>187</v>
      </c>
      <c r="B83" s="188">
        <v>3787433335.21</v>
      </c>
      <c r="C83" s="188">
        <v>3106797759.8099999</v>
      </c>
      <c r="D83" s="188">
        <v>5191733721.21</v>
      </c>
      <c r="E83" s="188">
        <v>4568104646.1199999</v>
      </c>
      <c r="F83" s="188">
        <v>4024663748.5700002</v>
      </c>
      <c r="G83" s="188">
        <v>3440619432.1799998</v>
      </c>
      <c r="H83" s="188">
        <v>3436119206.4099998</v>
      </c>
      <c r="I83" s="188">
        <v>3004405071.4699998</v>
      </c>
      <c r="J83" s="188">
        <v>2640738713.5100002</v>
      </c>
      <c r="K83" s="188">
        <v>2374250520.8899999</v>
      </c>
      <c r="L83" s="188">
        <v>2122491752.9200001</v>
      </c>
      <c r="M83" s="188">
        <v>2308191982.3000002</v>
      </c>
      <c r="N83" s="188">
        <v>2070754902.5599999</v>
      </c>
      <c r="O83" s="188">
        <v>2357436627.4699998</v>
      </c>
      <c r="P83" s="188">
        <v>2144567091.04</v>
      </c>
      <c r="Q83" s="188">
        <v>1881148395.03</v>
      </c>
      <c r="R83" s="188">
        <v>1600778530.95</v>
      </c>
      <c r="S83" s="188">
        <v>1347102212</v>
      </c>
      <c r="T83" s="188">
        <v>1165965233.21</v>
      </c>
      <c r="U83" s="188">
        <v>1506875785.45</v>
      </c>
      <c r="V83" s="188">
        <v>1269596474.5799999</v>
      </c>
      <c r="W83" s="188">
        <v>1045585749.9</v>
      </c>
      <c r="X83" s="188">
        <v>852880798.07000005</v>
      </c>
      <c r="Y83" s="188">
        <v>1304382273.5699999</v>
      </c>
      <c r="Z83" s="188">
        <v>732181741.11000001</v>
      </c>
      <c r="AA83" s="188">
        <v>567479126.41999996</v>
      </c>
      <c r="AB83" s="188">
        <v>570224635.26999998</v>
      </c>
      <c r="AC83" s="188">
        <v>412199640.25999999</v>
      </c>
      <c r="AD83" s="188">
        <v>286651411.25999999</v>
      </c>
      <c r="AE83" s="188">
        <v>409744684.81999999</v>
      </c>
      <c r="AF83" s="188">
        <v>257911988.53</v>
      </c>
      <c r="AG83" s="188">
        <v>150615633.81999999</v>
      </c>
      <c r="AH83" s="188">
        <v>200016357.63999999</v>
      </c>
      <c r="AI83" s="188">
        <v>289876148.44999999</v>
      </c>
      <c r="AJ83" s="188">
        <v>264302773.80000001</v>
      </c>
      <c r="AK83" s="188">
        <v>185582551.40000001</v>
      </c>
      <c r="AL83" s="188">
        <v>275191591.27999997</v>
      </c>
      <c r="AM83" s="188">
        <v>223163166.90000001</v>
      </c>
      <c r="AN83" s="188">
        <v>146428490.91</v>
      </c>
      <c r="AO83" s="188">
        <v>258848779.47999999</v>
      </c>
      <c r="AP83" s="188">
        <v>217009921.47999999</v>
      </c>
      <c r="AQ83" s="188">
        <v>169948192.50999999</v>
      </c>
      <c r="AR83" s="188">
        <v>178444675.81999999</v>
      </c>
      <c r="AS83" s="188">
        <v>134750014.50999999</v>
      </c>
      <c r="AT83" s="188">
        <v>78256460.450000003</v>
      </c>
      <c r="AU83" s="188">
        <v>85560610.409999996</v>
      </c>
      <c r="AV83" s="188">
        <v>67841281.260000005</v>
      </c>
      <c r="AW83" s="188">
        <v>98023195.849999994</v>
      </c>
      <c r="AX83" s="188">
        <v>70860943.209999993</v>
      </c>
      <c r="AY83" s="188">
        <v>56652336.340000004</v>
      </c>
      <c r="AZ83" s="188">
        <v>46741572.689999998</v>
      </c>
      <c r="BA83" s="188">
        <v>70497512.349999994</v>
      </c>
      <c r="BB83" s="188">
        <v>52043760.579999998</v>
      </c>
      <c r="BC83" s="188">
        <v>41815125.100000001</v>
      </c>
      <c r="BD83" s="188">
        <v>62360963.520000003</v>
      </c>
      <c r="BE83" s="188">
        <v>47558937</v>
      </c>
      <c r="BF83" s="188">
        <v>36447084.609999999</v>
      </c>
      <c r="BG83" s="188">
        <v>28918630.640000001</v>
      </c>
      <c r="BH83" s="188">
        <v>23767728.199999999</v>
      </c>
      <c r="BI83" s="188">
        <v>31381618.390000001</v>
      </c>
      <c r="BJ83" s="188">
        <v>24687926.82</v>
      </c>
      <c r="BK83" s="188">
        <v>19341187.829999998</v>
      </c>
      <c r="BL83" s="188">
        <v>30018150.66</v>
      </c>
      <c r="BM83" s="188">
        <v>22503488.420000002</v>
      </c>
      <c r="BN83" s="188">
        <v>17572455.670000002</v>
      </c>
      <c r="BO83" s="188">
        <v>14795436.99</v>
      </c>
      <c r="BP83" s="188">
        <v>14066109.310000001</v>
      </c>
      <c r="BQ83" s="188">
        <v>6716039.0099999998</v>
      </c>
      <c r="BR83" s="188">
        <v>0</v>
      </c>
      <c r="BS83" s="188">
        <v>1358890.07</v>
      </c>
      <c r="BT83" s="188">
        <v>0</v>
      </c>
      <c r="BU83" s="188">
        <v>0</v>
      </c>
      <c r="BV83" s="188">
        <v>0</v>
      </c>
    </row>
    <row r="84" spans="1:74" x14ac:dyDescent="0.25">
      <c r="A84" s="188" t="s">
        <v>188</v>
      </c>
      <c r="B84" s="188">
        <v>106157062048.92999</v>
      </c>
      <c r="C84" s="188">
        <v>96504474570.580002</v>
      </c>
      <c r="D84" s="188">
        <v>105149681155.38</v>
      </c>
      <c r="E84" s="188">
        <v>96019627475.080002</v>
      </c>
      <c r="F84" s="188">
        <v>88380845274.130005</v>
      </c>
      <c r="G84" s="188">
        <v>79063250670.460007</v>
      </c>
      <c r="H84" s="188">
        <v>82453887315.580002</v>
      </c>
      <c r="I84" s="188">
        <v>75898542854.720001</v>
      </c>
      <c r="J84" s="188">
        <v>71283503461.070007</v>
      </c>
      <c r="K84" s="188">
        <v>67353161683.379997</v>
      </c>
      <c r="L84" s="188">
        <v>70941258989.619995</v>
      </c>
      <c r="M84" s="188">
        <v>66234170421.290001</v>
      </c>
      <c r="N84" s="188">
        <v>61918842558.080002</v>
      </c>
      <c r="O84" s="188">
        <v>63661782189.540001</v>
      </c>
      <c r="P84" s="188">
        <v>59930148126.959999</v>
      </c>
      <c r="Q84" s="188">
        <v>55311550841.120003</v>
      </c>
      <c r="R84" s="188">
        <v>50341328571.510002</v>
      </c>
      <c r="S84" s="188">
        <v>46624176881.220001</v>
      </c>
      <c r="T84" s="188">
        <v>47453571644.629997</v>
      </c>
      <c r="U84" s="188">
        <v>44129092273.260002</v>
      </c>
      <c r="V84" s="188">
        <v>39820367702.190002</v>
      </c>
      <c r="W84" s="188">
        <v>35779107183.519997</v>
      </c>
      <c r="X84" s="188">
        <v>38595633055.419998</v>
      </c>
      <c r="Y84" s="188">
        <v>35454036397.25</v>
      </c>
      <c r="Z84" s="188">
        <v>31991565468.779999</v>
      </c>
      <c r="AA84" s="188">
        <v>28404775233.630001</v>
      </c>
      <c r="AB84" s="188">
        <v>28530620402.029999</v>
      </c>
      <c r="AC84" s="188">
        <v>25403379611.290001</v>
      </c>
      <c r="AD84" s="188">
        <v>23083770116.279999</v>
      </c>
      <c r="AE84" s="188">
        <v>21544955887.150002</v>
      </c>
      <c r="AF84" s="188">
        <v>20540681024.259998</v>
      </c>
      <c r="AG84" s="188">
        <v>18549389694.619999</v>
      </c>
      <c r="AH84" s="188">
        <v>17721770193.439999</v>
      </c>
      <c r="AI84" s="188">
        <v>16737213296.219999</v>
      </c>
      <c r="AJ84" s="188">
        <v>15995948192.02</v>
      </c>
      <c r="AK84" s="188">
        <v>14651565394.209999</v>
      </c>
      <c r="AL84" s="188">
        <v>14215679731.030001</v>
      </c>
      <c r="AM84" s="188">
        <v>13166976369.08</v>
      </c>
      <c r="AN84" s="188">
        <v>12608007479.040001</v>
      </c>
      <c r="AO84" s="188">
        <v>11503418295.950001</v>
      </c>
      <c r="AP84" s="188">
        <v>10807004733.84</v>
      </c>
      <c r="AQ84" s="188">
        <v>9854634976.4699993</v>
      </c>
      <c r="AR84" s="188">
        <v>9285941265.0300007</v>
      </c>
      <c r="AS84" s="188">
        <v>8368855770.4399996</v>
      </c>
      <c r="AT84" s="188">
        <v>6952899324.3299999</v>
      </c>
      <c r="AU84" s="188">
        <v>6219411895.4899998</v>
      </c>
      <c r="AV84" s="188">
        <v>5888376793.5900002</v>
      </c>
      <c r="AW84" s="188">
        <v>5995028649.4300003</v>
      </c>
      <c r="AX84" s="188">
        <v>5415044428.1099997</v>
      </c>
      <c r="AY84" s="188">
        <v>5058474356.1400003</v>
      </c>
      <c r="AZ84" s="188">
        <v>5588295571.7399998</v>
      </c>
      <c r="BA84" s="188">
        <v>5162395081.5200005</v>
      </c>
      <c r="BB84" s="188">
        <v>4765503347.0299997</v>
      </c>
      <c r="BC84" s="188">
        <v>4691837330.75</v>
      </c>
      <c r="BD84" s="188">
        <v>4600649163.9899998</v>
      </c>
      <c r="BE84" s="188">
        <v>4216707746.73</v>
      </c>
      <c r="BF84" s="188">
        <v>3900474366.1300001</v>
      </c>
      <c r="BG84" s="188">
        <v>3817145295.6799998</v>
      </c>
      <c r="BH84" s="188">
        <v>3727794494.04</v>
      </c>
      <c r="BI84" s="188">
        <v>3470524090.9299998</v>
      </c>
      <c r="BJ84" s="188">
        <v>3231516625.3400002</v>
      </c>
      <c r="BK84" s="188">
        <v>3124773172.54</v>
      </c>
      <c r="BL84" s="188">
        <v>3100472676.3099999</v>
      </c>
      <c r="BM84" s="188">
        <v>2874733972.6900001</v>
      </c>
      <c r="BN84" s="188">
        <v>2857804350.4699998</v>
      </c>
      <c r="BO84" s="188">
        <v>2784052740.7800002</v>
      </c>
      <c r="BP84" s="188">
        <v>2751462376.5999999</v>
      </c>
      <c r="BQ84" s="188">
        <v>2537631703.8099999</v>
      </c>
      <c r="BR84" s="188">
        <v>561545403.24000001</v>
      </c>
      <c r="BS84" s="188">
        <v>443779623.04000002</v>
      </c>
      <c r="BT84" s="188">
        <v>285361855.23000002</v>
      </c>
      <c r="BU84" s="188">
        <v>234091527.97999999</v>
      </c>
      <c r="BV84" s="188">
        <v>0</v>
      </c>
    </row>
    <row r="85" spans="1:74" x14ac:dyDescent="0.25">
      <c r="A85" s="188" t="s">
        <v>189</v>
      </c>
      <c r="B85" s="188">
        <v>147147672376.16</v>
      </c>
      <c r="C85" s="188">
        <v>129914832498.21001</v>
      </c>
      <c r="D85" s="188">
        <v>134404941948.3</v>
      </c>
      <c r="E85" s="188">
        <v>134610116875.08</v>
      </c>
      <c r="F85" s="188">
        <v>127780036133.2</v>
      </c>
      <c r="G85" s="188">
        <v>120382739967.95</v>
      </c>
      <c r="H85" s="188">
        <v>118978719020.08</v>
      </c>
      <c r="I85" s="188">
        <v>112934538280.41</v>
      </c>
      <c r="J85" s="188">
        <v>105146032285.13</v>
      </c>
      <c r="K85" s="188">
        <v>95546499172.839996</v>
      </c>
      <c r="L85" s="188">
        <v>90690449521.880005</v>
      </c>
      <c r="M85" s="188">
        <v>86301463422.770004</v>
      </c>
      <c r="N85" s="188">
        <v>77559034189.139999</v>
      </c>
      <c r="O85" s="188">
        <v>72337744204.929993</v>
      </c>
      <c r="P85" s="188">
        <v>68769020638.419998</v>
      </c>
      <c r="Q85" s="188">
        <v>65873165224.629997</v>
      </c>
      <c r="R85" s="188">
        <v>58651555116.650002</v>
      </c>
      <c r="S85" s="188">
        <v>55218131505.510002</v>
      </c>
      <c r="T85" s="188">
        <v>56029625704.110001</v>
      </c>
      <c r="U85" s="188">
        <v>55454150677.050003</v>
      </c>
      <c r="V85" s="188">
        <v>49274437880.709999</v>
      </c>
      <c r="W85" s="188">
        <v>43620710381.690002</v>
      </c>
      <c r="X85" s="188">
        <v>45902219986.089996</v>
      </c>
      <c r="Y85" s="188">
        <v>44998208953.459999</v>
      </c>
      <c r="Z85" s="188">
        <v>38834876462.709999</v>
      </c>
      <c r="AA85" s="188">
        <v>39711451965.360001</v>
      </c>
      <c r="AB85" s="188">
        <v>36407584735.599998</v>
      </c>
      <c r="AC85" s="188">
        <v>34900868975.410004</v>
      </c>
      <c r="AD85" s="188">
        <v>32894258255.330002</v>
      </c>
      <c r="AE85" s="188">
        <v>30920149101.43</v>
      </c>
      <c r="AF85" s="188">
        <v>29161700183.57</v>
      </c>
      <c r="AG85" s="188">
        <v>25587579940.689999</v>
      </c>
      <c r="AH85" s="188">
        <v>22810028763.639999</v>
      </c>
      <c r="AI85" s="188">
        <v>21333828715.529999</v>
      </c>
      <c r="AJ85" s="188">
        <v>20430099477.790001</v>
      </c>
      <c r="AK85" s="188">
        <v>19769623147.720001</v>
      </c>
      <c r="AL85" s="188">
        <v>16737940329.299999</v>
      </c>
      <c r="AM85" s="188">
        <v>15973750015.48</v>
      </c>
      <c r="AN85" s="188">
        <v>15625503484.209999</v>
      </c>
      <c r="AO85" s="188">
        <v>15754187836.35</v>
      </c>
      <c r="AP85" s="188">
        <v>12989449921.360001</v>
      </c>
      <c r="AQ85" s="188">
        <v>11276097082.700001</v>
      </c>
      <c r="AR85" s="188">
        <v>11556876926.48</v>
      </c>
      <c r="AS85" s="188">
        <v>10481471840.450001</v>
      </c>
      <c r="AT85" s="188">
        <v>10194195529.99</v>
      </c>
      <c r="AU85" s="188">
        <v>10226931689.690001</v>
      </c>
      <c r="AV85" s="188">
        <v>9883304613.25</v>
      </c>
      <c r="AW85" s="188">
        <v>9388915003.9899998</v>
      </c>
      <c r="AX85" s="188">
        <v>8806428606.5900002</v>
      </c>
      <c r="AY85" s="188">
        <v>7799862599.6800003</v>
      </c>
      <c r="AZ85" s="188">
        <v>8103036754.29</v>
      </c>
      <c r="BA85" s="188">
        <v>8057596464.5900002</v>
      </c>
      <c r="BB85" s="188">
        <v>7077360201.71</v>
      </c>
      <c r="BC85" s="188">
        <v>6728916037.2600002</v>
      </c>
      <c r="BD85" s="188">
        <v>6571862002.1300001</v>
      </c>
      <c r="BE85" s="188">
        <v>6373652983.5699997</v>
      </c>
      <c r="BF85" s="188">
        <v>5628688980.5600004</v>
      </c>
      <c r="BG85" s="188">
        <v>5041106276.1899996</v>
      </c>
      <c r="BH85" s="188">
        <v>4855158665.5200005</v>
      </c>
      <c r="BI85" s="188">
        <v>4956365810.8500004</v>
      </c>
      <c r="BJ85" s="188">
        <v>4466694791.6800003</v>
      </c>
      <c r="BK85" s="188">
        <v>3940510267.6999998</v>
      </c>
      <c r="BL85" s="188">
        <v>3903743856.2600002</v>
      </c>
      <c r="BM85" s="188">
        <v>3930905066.7199998</v>
      </c>
      <c r="BN85" s="188">
        <v>3696428353.48</v>
      </c>
      <c r="BO85" s="188">
        <v>3421206728.98</v>
      </c>
      <c r="BP85" s="188">
        <v>3449520609.7199998</v>
      </c>
      <c r="BQ85" s="188">
        <v>3463388734.98</v>
      </c>
      <c r="BR85" s="188">
        <v>1214455217.6199999</v>
      </c>
      <c r="BS85" s="188">
        <v>1268856244.9000001</v>
      </c>
      <c r="BT85" s="188">
        <v>915056957.32000005</v>
      </c>
      <c r="BU85" s="188">
        <v>741848981.54999995</v>
      </c>
      <c r="BV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V31"/>
  <sheetViews>
    <sheetView workbookViewId="0">
      <selection activeCell="A2" sqref="A2"/>
    </sheetView>
  </sheetViews>
  <sheetFormatPr defaultRowHeight="14.4" x14ac:dyDescent="0.25"/>
  <cols>
    <col min="1" max="1" width="39.109375" style="188" bestFit="1" customWidth="1"/>
    <col min="2" max="4" width="12.77734375" style="188" hidden="1" customWidth="1"/>
    <col min="5" max="5" width="13.88671875" style="188" bestFit="1" customWidth="1"/>
    <col min="6" max="8" width="13.88671875" style="188" hidden="1" customWidth="1"/>
    <col min="9" max="9" width="13.88671875" style="188" bestFit="1" customWidth="1"/>
    <col min="10" max="12" width="12.77734375" style="188" hidden="1" customWidth="1"/>
    <col min="13" max="13" width="13.88671875" style="188" bestFit="1" customWidth="1"/>
    <col min="14" max="16" width="13.88671875" style="188" hidden="1" customWidth="1"/>
    <col min="17" max="17" width="13.88671875" style="188" bestFit="1" customWidth="1"/>
    <col min="18" max="20" width="13.88671875" style="188" hidden="1" customWidth="1"/>
    <col min="21" max="21" width="13.88671875" style="188" bestFit="1" customWidth="1"/>
    <col min="22" max="24" width="13.88671875" style="188" hidden="1" customWidth="1"/>
    <col min="25" max="25" width="13.88671875" style="188" bestFit="1" customWidth="1"/>
    <col min="26" max="28" width="13.88671875" style="188" hidden="1" customWidth="1"/>
    <col min="29" max="29" width="13.88671875" style="188" bestFit="1" customWidth="1"/>
    <col min="30" max="32" width="13.88671875" style="188" hidden="1" customWidth="1"/>
    <col min="33" max="33" width="13.88671875" style="188" bestFit="1" customWidth="1"/>
    <col min="34" max="36" width="13.88671875" style="188" hidden="1" customWidth="1"/>
    <col min="37" max="37" width="13.88671875" style="188" bestFit="1" customWidth="1"/>
    <col min="38" max="40" width="13.88671875" style="188" hidden="1" customWidth="1"/>
    <col min="41" max="41" width="13.88671875" style="188" bestFit="1" customWidth="1"/>
    <col min="42" max="44" width="13.88671875" style="188" hidden="1" customWidth="1"/>
    <col min="45" max="45" width="13.88671875" style="188" bestFit="1" customWidth="1"/>
    <col min="46" max="48" width="13.88671875" style="188" hidden="1" customWidth="1"/>
    <col min="49" max="49" width="13.88671875" style="188" bestFit="1" customWidth="1"/>
    <col min="50" max="50" width="13.88671875" style="188" hidden="1" customWidth="1"/>
    <col min="51" max="52" width="12.77734375" style="188" hidden="1" customWidth="1"/>
    <col min="53" max="53" width="13.88671875" style="188" bestFit="1" customWidth="1"/>
    <col min="54" max="54" width="13.88671875" style="188" hidden="1" customWidth="1"/>
    <col min="55" max="56" width="12.77734375" style="188" hidden="1" customWidth="1"/>
    <col min="57" max="57" width="13.88671875" style="188" bestFit="1" customWidth="1"/>
    <col min="58" max="58" width="13.88671875" style="188" hidden="1" customWidth="1"/>
    <col min="59" max="60" width="12.77734375" style="188" hidden="1" customWidth="1"/>
    <col min="61" max="61" width="13.88671875" style="188" bestFit="1" customWidth="1"/>
    <col min="62" max="62" width="13.88671875" style="188" hidden="1" customWidth="1"/>
    <col min="63" max="64" width="12.77734375" style="188" hidden="1" customWidth="1"/>
    <col min="65" max="65" width="13.88671875" style="188" bestFit="1" customWidth="1"/>
    <col min="66" max="67" width="13.88671875" style="188" hidden="1" customWidth="1"/>
    <col min="68" max="68" width="12.77734375" style="188" hidden="1" customWidth="1"/>
    <col min="69" max="69" width="12.77734375" style="188" bestFit="1" customWidth="1"/>
    <col min="70" max="70" width="12.77734375" style="188" hidden="1" customWidth="1"/>
    <col min="71" max="73" width="12.77734375" style="188" bestFit="1" customWidth="1"/>
    <col min="74" max="74" width="9.5546875" style="188" hidden="1" customWidth="1"/>
    <col min="75" max="16384" width="8.88671875" style="188"/>
  </cols>
  <sheetData>
    <row r="1" spans="1:74" x14ac:dyDescent="0.25">
      <c r="A1" s="188">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19991231</v>
      </c>
      <c r="BU1" s="188">
        <v>19981231</v>
      </c>
      <c r="BV1" s="188">
        <v>19700101</v>
      </c>
    </row>
    <row r="2" spans="1:74"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c r="BR2" s="188" t="s">
        <v>106</v>
      </c>
      <c r="BS2" s="188" t="s">
        <v>106</v>
      </c>
      <c r="BT2" s="188" t="s">
        <v>106</v>
      </c>
      <c r="BU2" s="188" t="s">
        <v>106</v>
      </c>
    </row>
    <row r="3" spans="1:74" x14ac:dyDescent="0.25">
      <c r="A3" s="188" t="s">
        <v>190</v>
      </c>
      <c r="B3" s="188">
        <v>54969266451.419998</v>
      </c>
      <c r="C3" s="188">
        <v>35251464783.330002</v>
      </c>
      <c r="D3" s="188">
        <v>18395256845.959999</v>
      </c>
      <c r="E3" s="188">
        <v>61062756866.160004</v>
      </c>
      <c r="F3" s="188">
        <v>44487374571.440002</v>
      </c>
      <c r="G3" s="188">
        <v>25493896745.029999</v>
      </c>
      <c r="H3" s="188">
        <v>13913411369.299999</v>
      </c>
      <c r="I3" s="188">
        <v>40155084412.93</v>
      </c>
      <c r="J3" s="188">
        <v>27532735151.02</v>
      </c>
      <c r="K3" s="188">
        <v>18737617091.82</v>
      </c>
      <c r="L3" s="188">
        <v>10250867583.690001</v>
      </c>
      <c r="M3" s="188">
        <v>33446859045.580002</v>
      </c>
      <c r="N3" s="188">
        <v>23734319250.48</v>
      </c>
      <c r="O3" s="188">
        <v>16185651569.469999</v>
      </c>
      <c r="P3" s="188">
        <v>8760367928.2199993</v>
      </c>
      <c r="Q3" s="188">
        <v>32217213741.080002</v>
      </c>
      <c r="R3" s="188">
        <v>22173257722.32</v>
      </c>
      <c r="S3" s="188">
        <v>14615639258.110001</v>
      </c>
      <c r="T3" s="188">
        <v>7581739634.1400003</v>
      </c>
      <c r="U3" s="188">
        <v>31070596222.23</v>
      </c>
      <c r="V3" s="188">
        <v>22002381371.16</v>
      </c>
      <c r="W3" s="188">
        <v>14137431736.59</v>
      </c>
      <c r="X3" s="188">
        <v>7165785851.6099997</v>
      </c>
      <c r="Y3" s="188">
        <v>26455335152.990002</v>
      </c>
      <c r="Z3" s="188">
        <v>19931438600.48</v>
      </c>
      <c r="AA3" s="188">
        <v>13264437836.41</v>
      </c>
      <c r="AB3" s="188">
        <v>6015967741.6199999</v>
      </c>
      <c r="AC3" s="188">
        <v>18402355207.299999</v>
      </c>
      <c r="AD3" s="188">
        <v>13642075480.07</v>
      </c>
      <c r="AE3" s="188">
        <v>9825823427.0799999</v>
      </c>
      <c r="AF3" s="188">
        <v>4220589097.9400001</v>
      </c>
      <c r="AG3" s="188">
        <v>11633283740.18</v>
      </c>
      <c r="AH3" s="188">
        <v>9327577784.1200008</v>
      </c>
      <c r="AI3" s="188">
        <v>6587266362.7799997</v>
      </c>
      <c r="AJ3" s="188">
        <v>3039906100.4099998</v>
      </c>
      <c r="AK3" s="188">
        <v>9669999065.3899994</v>
      </c>
      <c r="AL3" s="188">
        <v>7807202385.7799997</v>
      </c>
      <c r="AM3" s="188">
        <v>5546006031.29</v>
      </c>
      <c r="AN3" s="188">
        <v>2512537167.1999998</v>
      </c>
      <c r="AO3" s="188">
        <v>8241685564.1099997</v>
      </c>
      <c r="AP3" s="188">
        <v>6486517281.0100002</v>
      </c>
      <c r="AQ3" s="188">
        <v>4619717309.6000004</v>
      </c>
      <c r="AR3" s="188">
        <v>1993496395.46</v>
      </c>
      <c r="AS3" s="188">
        <v>7237430747.1199999</v>
      </c>
      <c r="AT3" s="188">
        <v>4458382249.2600002</v>
      </c>
      <c r="AU3" s="188">
        <v>2629088876.4200001</v>
      </c>
      <c r="AV3" s="188">
        <v>1587538095.6800001</v>
      </c>
      <c r="AW3" s="188">
        <v>4896582817.0200005</v>
      </c>
      <c r="AX3" s="188">
        <v>3249824937.8800001</v>
      </c>
      <c r="AY3" s="188">
        <v>2029466570.98</v>
      </c>
      <c r="AZ3" s="188">
        <v>1354500055.8699999</v>
      </c>
      <c r="BA3" s="188">
        <v>3930564202.5700002</v>
      </c>
      <c r="BB3" s="188">
        <v>2580364529.21</v>
      </c>
      <c r="BC3" s="188">
        <v>1686177749</v>
      </c>
      <c r="BD3" s="188">
        <v>1144018545.8399999</v>
      </c>
      <c r="BE3" s="188">
        <v>3009795402.3400002</v>
      </c>
      <c r="BF3" s="188">
        <v>2070521111.48</v>
      </c>
      <c r="BG3" s="188">
        <v>1314118558.0899999</v>
      </c>
      <c r="BH3" s="188">
        <v>853431905.86000001</v>
      </c>
      <c r="BI3" s="188">
        <v>2402101953.8600001</v>
      </c>
      <c r="BJ3" s="188">
        <v>1554532689.3499999</v>
      </c>
      <c r="BK3" s="188">
        <v>1010782352.89</v>
      </c>
      <c r="BL3" s="188">
        <v>735224645.91999996</v>
      </c>
      <c r="BM3" s="188">
        <v>1838129976.3399999</v>
      </c>
      <c r="BN3" s="188">
        <v>1366363003.04</v>
      </c>
      <c r="BO3" s="188">
        <v>956401891.61000001</v>
      </c>
      <c r="BP3" s="188">
        <v>718793418.69000006</v>
      </c>
      <c r="BQ3" s="188">
        <v>1619202408.97</v>
      </c>
      <c r="BR3" s="188">
        <v>874826252.94000006</v>
      </c>
      <c r="BS3" s="188">
        <v>1113019554.9100001</v>
      </c>
      <c r="BT3" s="188">
        <v>891237329.50999999</v>
      </c>
      <c r="BU3" s="188">
        <v>629217329.19000006</v>
      </c>
      <c r="BV3" s="188">
        <v>0</v>
      </c>
    </row>
    <row r="4" spans="1:74" x14ac:dyDescent="0.25">
      <c r="A4" s="188" t="s">
        <v>191</v>
      </c>
      <c r="B4" s="188">
        <v>52241669986.010002</v>
      </c>
      <c r="C4" s="188">
        <v>33396709893.110001</v>
      </c>
      <c r="D4" s="188">
        <v>17466166384.959999</v>
      </c>
      <c r="E4" s="188">
        <v>58217861314.169998</v>
      </c>
      <c r="F4" s="188">
        <v>42450467500.010002</v>
      </c>
      <c r="G4" s="188">
        <v>24190030218.959999</v>
      </c>
      <c r="H4" s="188">
        <v>13308639084.870001</v>
      </c>
      <c r="I4" s="188">
        <v>38862189993.839996</v>
      </c>
      <c r="J4" s="188">
        <v>26631884032.43</v>
      </c>
      <c r="K4" s="188">
        <v>18173234673.439999</v>
      </c>
      <c r="L4" s="188">
        <v>9988753730.9699993</v>
      </c>
      <c r="M4" s="188">
        <v>32659583725.279999</v>
      </c>
      <c r="N4" s="188">
        <v>23148688960.889999</v>
      </c>
      <c r="O4" s="188">
        <v>15778647465.950001</v>
      </c>
      <c r="P4" s="188">
        <v>8544273436</v>
      </c>
      <c r="Q4" s="188">
        <v>31573928530.939999</v>
      </c>
      <c r="R4" s="188">
        <v>21718189167.610001</v>
      </c>
      <c r="S4" s="188">
        <v>14321628403.09</v>
      </c>
      <c r="T4" s="188">
        <v>7449825750.6400003</v>
      </c>
      <c r="U4" s="188">
        <v>30921801316.599998</v>
      </c>
      <c r="V4" s="188">
        <v>21935713045.240002</v>
      </c>
      <c r="W4" s="188">
        <v>14127867191.110001</v>
      </c>
      <c r="X4" s="188">
        <v>7165785851.6099997</v>
      </c>
      <c r="Y4" s="188">
        <v>26455335152.990002</v>
      </c>
      <c r="Z4" s="188">
        <v>19931438600.48</v>
      </c>
      <c r="AA4" s="188">
        <v>13264437836.41</v>
      </c>
      <c r="AB4" s="188">
        <v>6015967741.6199999</v>
      </c>
      <c r="AC4" s="188">
        <v>18402355207.299999</v>
      </c>
      <c r="AD4" s="188">
        <v>13642075480.07</v>
      </c>
      <c r="AE4" s="188">
        <v>9825823427.0799999</v>
      </c>
      <c r="AF4" s="188">
        <v>4220589097.9400001</v>
      </c>
      <c r="AG4" s="188">
        <v>11633283740.18</v>
      </c>
      <c r="AH4" s="188">
        <v>9327577784.1200008</v>
      </c>
      <c r="AI4" s="188">
        <v>6587266362.7799997</v>
      </c>
      <c r="AJ4" s="188">
        <v>3039906100.4099998</v>
      </c>
      <c r="AK4" s="188">
        <v>9669999065.3899994</v>
      </c>
      <c r="AL4" s="188">
        <v>7807202385.7799997</v>
      </c>
      <c r="AM4" s="188">
        <v>5546006031.29</v>
      </c>
      <c r="AN4" s="188">
        <v>2512537167.1999998</v>
      </c>
      <c r="AO4" s="188">
        <v>8241685564.1099997</v>
      </c>
      <c r="AP4" s="188">
        <v>6486517281.0100002</v>
      </c>
      <c r="AQ4" s="188">
        <v>4619717309.6000004</v>
      </c>
      <c r="AR4" s="188">
        <v>1993496395.46</v>
      </c>
      <c r="AS4" s="188">
        <v>7237430747.1199999</v>
      </c>
      <c r="AT4" s="188">
        <v>4458382249.2600002</v>
      </c>
      <c r="AU4" s="188">
        <v>2629088876.4200001</v>
      </c>
      <c r="AV4" s="188">
        <v>1587538095.6800001</v>
      </c>
      <c r="AW4" s="188">
        <v>4896186901.21</v>
      </c>
      <c r="AX4" s="188">
        <v>3249453246.71</v>
      </c>
      <c r="AY4" s="188">
        <v>2029461983.6600001</v>
      </c>
      <c r="AZ4" s="188">
        <v>1354498050.1700001</v>
      </c>
      <c r="BA4" s="188">
        <v>3930515237.6100001</v>
      </c>
      <c r="BB4" s="188">
        <v>2580318873.25</v>
      </c>
      <c r="BC4" s="188">
        <v>1686144341.9100001</v>
      </c>
      <c r="BD4" s="188">
        <v>1144017320.6199999</v>
      </c>
      <c r="BE4" s="188">
        <v>3009793519.9200001</v>
      </c>
      <c r="BF4" s="188">
        <v>2070438172.6500001</v>
      </c>
      <c r="BG4" s="188">
        <v>1314109209.0599999</v>
      </c>
      <c r="BH4" s="188">
        <v>853431905.86000001</v>
      </c>
      <c r="BI4" s="188">
        <v>2401017934.9299998</v>
      </c>
      <c r="BJ4" s="188">
        <v>1552744360.0999999</v>
      </c>
      <c r="BK4" s="188">
        <v>1009047565.48</v>
      </c>
      <c r="BL4" s="188">
        <v>733889255.88999999</v>
      </c>
      <c r="BM4" s="188">
        <v>1834898294.9000001</v>
      </c>
      <c r="BN4" s="188">
        <v>1363886224.3199999</v>
      </c>
      <c r="BO4" s="188">
        <v>955654212.62</v>
      </c>
      <c r="BP4" s="188">
        <v>718014858.52999997</v>
      </c>
      <c r="BQ4" s="188">
        <v>1618046660.3099999</v>
      </c>
      <c r="BR4" s="188">
        <v>873863478.94000006</v>
      </c>
      <c r="BS4" s="188">
        <v>1114000813.26</v>
      </c>
      <c r="BT4" s="188">
        <v>890858185.63999999</v>
      </c>
      <c r="BU4" s="188">
        <v>628184433.19000006</v>
      </c>
      <c r="BV4" s="188">
        <v>0</v>
      </c>
    </row>
    <row r="5" spans="1:74" x14ac:dyDescent="0.25">
      <c r="A5" s="188" t="s">
        <v>192</v>
      </c>
      <c r="B5" s="188">
        <v>19131347223.82</v>
      </c>
      <c r="C5" s="188">
        <v>12371568962.83</v>
      </c>
      <c r="D5" s="188">
        <v>6217578453</v>
      </c>
      <c r="E5" s="188">
        <v>22122749332.709999</v>
      </c>
      <c r="F5" s="188">
        <v>15850431186.09</v>
      </c>
      <c r="G5" s="188">
        <v>9370126828.7600002</v>
      </c>
      <c r="H5" s="188">
        <v>5123258606.7399998</v>
      </c>
      <c r="I5" s="188">
        <v>15889459243.51</v>
      </c>
      <c r="J5" s="188">
        <v>9383156947.5900002</v>
      </c>
      <c r="K5" s="188">
        <v>5977493622.96</v>
      </c>
      <c r="L5" s="188">
        <v>3048304476.48</v>
      </c>
      <c r="M5" s="188">
        <v>11291736359.610001</v>
      </c>
      <c r="N5" s="188">
        <v>7443208922.79</v>
      </c>
      <c r="O5" s="188">
        <v>5037379854.4300003</v>
      </c>
      <c r="P5" s="188">
        <v>2556368078.3499999</v>
      </c>
      <c r="Q5" s="188">
        <v>10117335755.93</v>
      </c>
      <c r="R5" s="188">
        <v>6859822984.0200005</v>
      </c>
      <c r="S5" s="188">
        <v>4367672274.0100002</v>
      </c>
      <c r="T5" s="188">
        <v>2261820069.27</v>
      </c>
      <c r="U5" s="188">
        <v>9282061270.2299995</v>
      </c>
      <c r="V5" s="188">
        <v>5992181828.3199997</v>
      </c>
      <c r="W5" s="188">
        <v>3742695315.77</v>
      </c>
      <c r="X5" s="188">
        <v>1795606131.46</v>
      </c>
      <c r="Y5" s="188">
        <v>7627698585.3400002</v>
      </c>
      <c r="Z5" s="188">
        <v>5247248428.4499998</v>
      </c>
      <c r="AA5" s="188">
        <v>3467852031.9499998</v>
      </c>
      <c r="AB5" s="188">
        <v>1843049067.4200001</v>
      </c>
      <c r="AC5" s="188">
        <v>6069573782.2200003</v>
      </c>
      <c r="AD5" s="188">
        <v>4362971847.4799995</v>
      </c>
      <c r="AE5" s="188">
        <v>2939426779.3699999</v>
      </c>
      <c r="AF5" s="188">
        <v>1568403990.9100001</v>
      </c>
      <c r="AG5" s="188">
        <v>4472846560.6800003</v>
      </c>
      <c r="AH5" s="188">
        <v>3430445852.0700002</v>
      </c>
      <c r="AI5" s="188">
        <v>2206793433.0700002</v>
      </c>
      <c r="AJ5" s="188">
        <v>1244335755.22</v>
      </c>
      <c r="AK5" s="188">
        <v>3595688001.9299998</v>
      </c>
      <c r="AL5" s="188">
        <v>2502215363.9200001</v>
      </c>
      <c r="AM5" s="188">
        <v>1641794409.3099999</v>
      </c>
      <c r="AN5" s="188">
        <v>808026701.87</v>
      </c>
      <c r="AO5" s="188">
        <v>2852622959.0799999</v>
      </c>
      <c r="AP5" s="188">
        <v>2076192706.6099999</v>
      </c>
      <c r="AQ5" s="188">
        <v>1476314722.5</v>
      </c>
      <c r="AR5" s="188">
        <v>771928092.57000005</v>
      </c>
      <c r="AS5" s="188">
        <v>2713904695.3200002</v>
      </c>
      <c r="AT5" s="188">
        <v>1953519114.49</v>
      </c>
      <c r="AU5" s="188">
        <v>1271054831.25</v>
      </c>
      <c r="AV5" s="188">
        <v>714477088.75</v>
      </c>
      <c r="AW5" s="188">
        <v>2412793064.1199999</v>
      </c>
      <c r="AX5" s="188">
        <v>1683702222.4400001</v>
      </c>
      <c r="AY5" s="188">
        <v>1058460717.46</v>
      </c>
      <c r="AZ5" s="188">
        <v>682393094.84000003</v>
      </c>
      <c r="BA5" s="188">
        <v>2011711744.99</v>
      </c>
      <c r="BB5" s="188">
        <v>1430921127.71</v>
      </c>
      <c r="BC5" s="188">
        <v>930599121.27999997</v>
      </c>
      <c r="BD5" s="188">
        <v>586333588.5</v>
      </c>
      <c r="BE5" s="188">
        <v>1522003410.22</v>
      </c>
      <c r="BF5" s="188">
        <v>1194828205.0599999</v>
      </c>
      <c r="BG5" s="188">
        <v>744429218.26999998</v>
      </c>
      <c r="BH5" s="188">
        <v>452275167.64999998</v>
      </c>
      <c r="BI5" s="188">
        <v>1426663549.6199999</v>
      </c>
      <c r="BJ5" s="188">
        <v>959777511.91999996</v>
      </c>
      <c r="BK5" s="188">
        <v>600118358.62</v>
      </c>
      <c r="BL5" s="188">
        <v>393885303.58999997</v>
      </c>
      <c r="BM5" s="188">
        <v>1189004748.9400001</v>
      </c>
      <c r="BN5" s="188">
        <v>838206793.95000005</v>
      </c>
      <c r="BO5" s="188">
        <v>554560479.52999997</v>
      </c>
      <c r="BP5" s="188">
        <v>380838519.86000001</v>
      </c>
      <c r="BQ5" s="188">
        <v>1009060743.0599999</v>
      </c>
      <c r="BR5" s="188">
        <v>501272650.85000002</v>
      </c>
      <c r="BS5" s="188">
        <v>667263204.63999999</v>
      </c>
      <c r="BT5" s="188">
        <v>537589581.33000004</v>
      </c>
      <c r="BU5" s="188">
        <v>410251605.47000003</v>
      </c>
      <c r="BV5" s="188">
        <v>0</v>
      </c>
    </row>
    <row r="6" spans="1:74" x14ac:dyDescent="0.25">
      <c r="A6" s="188" t="s">
        <v>193</v>
      </c>
      <c r="B6" s="188">
        <v>4637055449.21</v>
      </c>
      <c r="C6" s="188">
        <v>3025025121.3800001</v>
      </c>
      <c r="D6" s="188">
        <v>1518592897.51</v>
      </c>
      <c r="E6" s="188">
        <v>5940436371.9700003</v>
      </c>
      <c r="F6" s="188">
        <v>4273438303.5</v>
      </c>
      <c r="G6" s="188">
        <v>2511228414.9099998</v>
      </c>
      <c r="H6" s="188">
        <v>1176997676.0699999</v>
      </c>
      <c r="I6" s="188">
        <v>3410104085.9699998</v>
      </c>
      <c r="J6" s="188">
        <v>2225398682.8200002</v>
      </c>
      <c r="K6" s="188">
        <v>1475407709.24</v>
      </c>
      <c r="L6" s="188">
        <v>765002011.76999998</v>
      </c>
      <c r="M6" s="188">
        <v>2538337449.0599999</v>
      </c>
      <c r="N6" s="188">
        <v>1747047687.23</v>
      </c>
      <c r="O6" s="188">
        <v>1165878006.3299999</v>
      </c>
      <c r="P6" s="188">
        <v>579796944.51999998</v>
      </c>
      <c r="Q6" s="188">
        <v>2338550532.3299999</v>
      </c>
      <c r="R6" s="188">
        <v>1593307325.6800001</v>
      </c>
      <c r="S6" s="188">
        <v>987543281.35000002</v>
      </c>
      <c r="T6" s="188">
        <v>506935182.39999998</v>
      </c>
      <c r="U6" s="188">
        <v>2193920307.9899998</v>
      </c>
      <c r="V6" s="188">
        <v>1440864963.8099999</v>
      </c>
      <c r="W6" s="188">
        <v>932566677.01999998</v>
      </c>
      <c r="X6" s="188">
        <v>481121235.63999999</v>
      </c>
      <c r="Y6" s="188">
        <v>2044306468.76</v>
      </c>
      <c r="Z6" s="188">
        <v>1628876041.8800001</v>
      </c>
      <c r="AA6" s="188">
        <v>1059645343.97</v>
      </c>
      <c r="AB6" s="188">
        <v>482055429.18000001</v>
      </c>
      <c r="AC6" s="188">
        <v>1551233976.0599999</v>
      </c>
      <c r="AD6" s="188">
        <v>1155847115.6800001</v>
      </c>
      <c r="AE6" s="188">
        <v>845072449.14999998</v>
      </c>
      <c r="AF6" s="188">
        <v>392063100.98000002</v>
      </c>
      <c r="AG6" s="188">
        <v>1052931591.61</v>
      </c>
      <c r="AH6" s="188">
        <v>821295137.52999997</v>
      </c>
      <c r="AI6" s="188">
        <v>569190230.52999997</v>
      </c>
      <c r="AJ6" s="188">
        <v>295386812.48000002</v>
      </c>
      <c r="AK6" s="188">
        <v>950672855.26999998</v>
      </c>
      <c r="AL6" s="188">
        <v>743207551.34000003</v>
      </c>
      <c r="AM6" s="188">
        <v>531620176.31999999</v>
      </c>
      <c r="AN6" s="188">
        <v>251448334.91999999</v>
      </c>
      <c r="AO6" s="188">
        <v>799713319.24000001</v>
      </c>
      <c r="AP6" s="188">
        <v>614940094.35000002</v>
      </c>
      <c r="AQ6" s="188">
        <v>442054720.19</v>
      </c>
      <c r="AR6" s="188">
        <v>200810712.08000001</v>
      </c>
      <c r="AS6" s="188">
        <v>871643568.33000004</v>
      </c>
      <c r="AT6" s="188">
        <v>662636478.87</v>
      </c>
      <c r="AU6" s="188">
        <v>389216762.31</v>
      </c>
      <c r="AV6" s="188">
        <v>237704974.13</v>
      </c>
      <c r="AW6" s="188">
        <v>791179840.49000001</v>
      </c>
      <c r="AX6" s="188">
        <v>536197408.26999998</v>
      </c>
      <c r="AY6" s="188">
        <v>342467207.13999999</v>
      </c>
      <c r="AZ6" s="188">
        <v>227552584.91999999</v>
      </c>
      <c r="BA6" s="188">
        <v>687106816.67999995</v>
      </c>
      <c r="BB6" s="188">
        <v>450496529.88</v>
      </c>
      <c r="BC6" s="188">
        <v>294128874.10000002</v>
      </c>
      <c r="BD6" s="188">
        <v>196715027.49000001</v>
      </c>
      <c r="BE6" s="188">
        <v>535056248.94999999</v>
      </c>
      <c r="BF6" s="188">
        <v>367934435.61000001</v>
      </c>
      <c r="BG6" s="188">
        <v>229941422.72</v>
      </c>
      <c r="BH6" s="188">
        <v>151243768.25</v>
      </c>
      <c r="BI6" s="188">
        <v>477388129.86000001</v>
      </c>
      <c r="BJ6" s="188">
        <v>302733307.68000001</v>
      </c>
      <c r="BK6" s="188">
        <v>196938828.78999999</v>
      </c>
      <c r="BL6" s="188">
        <v>136080903.15000001</v>
      </c>
      <c r="BM6" s="188">
        <v>340556444.79000002</v>
      </c>
      <c r="BN6" s="188">
        <v>230795750.63</v>
      </c>
      <c r="BO6" s="188">
        <v>158368542.33000001</v>
      </c>
      <c r="BP6" s="188">
        <v>115551849.97</v>
      </c>
      <c r="BQ6" s="188">
        <v>287538468.11000001</v>
      </c>
      <c r="BR6" s="188">
        <v>146483164.84999999</v>
      </c>
      <c r="BS6" s="188">
        <v>196863443.99000001</v>
      </c>
      <c r="BT6" s="188">
        <v>129133236.27</v>
      </c>
      <c r="BU6" s="188">
        <v>76725369.980000004</v>
      </c>
      <c r="BV6" s="188">
        <v>0</v>
      </c>
    </row>
    <row r="7" spans="1:74" x14ac:dyDescent="0.25">
      <c r="A7" s="188" t="s">
        <v>194</v>
      </c>
      <c r="B7" s="188">
        <v>7855685465.0699997</v>
      </c>
      <c r="C7" s="188">
        <v>4639999858.6700001</v>
      </c>
      <c r="D7" s="188">
        <v>2525570612.4699998</v>
      </c>
      <c r="E7" s="188">
        <v>8404214470.6899996</v>
      </c>
      <c r="F7" s="188">
        <v>6423976199.8900003</v>
      </c>
      <c r="G7" s="188">
        <v>3419416545.5</v>
      </c>
      <c r="H7" s="188">
        <v>1973301671.9300001</v>
      </c>
      <c r="I7" s="188">
        <v>6508926343.2600002</v>
      </c>
      <c r="J7" s="188">
        <v>3623883800.0500002</v>
      </c>
      <c r="K7" s="188">
        <v>2205658604.8699999</v>
      </c>
      <c r="L7" s="188">
        <v>1180622899.52</v>
      </c>
      <c r="M7" s="188">
        <v>3449170637.4000001</v>
      </c>
      <c r="N7" s="188">
        <v>2171605445.23</v>
      </c>
      <c r="O7" s="188">
        <v>1443140055.8199999</v>
      </c>
      <c r="P7" s="188">
        <v>806537815.96000004</v>
      </c>
      <c r="Q7" s="188">
        <v>2788994436.0500002</v>
      </c>
      <c r="R7" s="188">
        <v>2004308881.3199999</v>
      </c>
      <c r="S7" s="188">
        <v>1265321917.52</v>
      </c>
      <c r="T7" s="188">
        <v>704741188.09000003</v>
      </c>
      <c r="U7" s="188">
        <v>2790747889.4899998</v>
      </c>
      <c r="V7" s="188">
        <v>1972678618.54</v>
      </c>
      <c r="W7" s="188">
        <v>1099186549.1099999</v>
      </c>
      <c r="X7" s="188">
        <v>586532904</v>
      </c>
      <c r="Y7" s="188">
        <v>2572644755.4200001</v>
      </c>
      <c r="Z7" s="188">
        <v>1784696541.1800001</v>
      </c>
      <c r="AA7" s="188">
        <v>1356209475.46</v>
      </c>
      <c r="AB7" s="188">
        <v>808353307.79999995</v>
      </c>
      <c r="AC7" s="188">
        <v>2477391798.0100002</v>
      </c>
      <c r="AD7" s="188">
        <v>1931440577.01</v>
      </c>
      <c r="AE7" s="188">
        <v>1277257264.3</v>
      </c>
      <c r="AF7" s="188">
        <v>708575156.14999998</v>
      </c>
      <c r="AG7" s="188">
        <v>1577013104.9000001</v>
      </c>
      <c r="AH7" s="188">
        <v>1409893974.9300001</v>
      </c>
      <c r="AI7" s="188">
        <v>858980338.08000004</v>
      </c>
      <c r="AJ7" s="188">
        <v>540768518.44000006</v>
      </c>
      <c r="AK7" s="188">
        <v>940508549.65999997</v>
      </c>
      <c r="AL7" s="188">
        <v>676193009.49000001</v>
      </c>
      <c r="AM7" s="188">
        <v>418028504.85000002</v>
      </c>
      <c r="AN7" s="188">
        <v>234708691.38999999</v>
      </c>
      <c r="AO7" s="188">
        <v>681761604.71000004</v>
      </c>
      <c r="AP7" s="188">
        <v>533718466.75999999</v>
      </c>
      <c r="AQ7" s="188">
        <v>370471947.33999997</v>
      </c>
      <c r="AR7" s="188">
        <v>198645627.71000001</v>
      </c>
      <c r="AS7" s="188">
        <v>604078928.40999997</v>
      </c>
      <c r="AT7" s="188">
        <v>412234460.64999998</v>
      </c>
      <c r="AU7" s="188">
        <v>291887086.48000002</v>
      </c>
      <c r="AV7" s="188">
        <v>191506723.52000001</v>
      </c>
      <c r="AW7" s="188">
        <v>574699589.65999997</v>
      </c>
      <c r="AX7" s="188">
        <v>422145286.06</v>
      </c>
      <c r="AY7" s="188">
        <v>297988718.55000001</v>
      </c>
      <c r="AZ7" s="188">
        <v>178317665.44</v>
      </c>
      <c r="BA7" s="188">
        <v>530245028.45999998</v>
      </c>
      <c r="BB7" s="188">
        <v>406925341.75999999</v>
      </c>
      <c r="BC7" s="188">
        <v>265598185.91999999</v>
      </c>
      <c r="BD7" s="188">
        <v>165915935.69999999</v>
      </c>
      <c r="BE7" s="188">
        <v>324855608.17000002</v>
      </c>
      <c r="BF7" s="188">
        <v>320394935.06999999</v>
      </c>
      <c r="BG7" s="188">
        <v>198084137.61000001</v>
      </c>
      <c r="BH7" s="188">
        <v>119817149.3</v>
      </c>
      <c r="BI7" s="188">
        <v>308189009.56</v>
      </c>
      <c r="BJ7" s="188">
        <v>268206392.63</v>
      </c>
      <c r="BK7" s="188">
        <v>161846133.84999999</v>
      </c>
      <c r="BL7" s="188">
        <v>121107780.34</v>
      </c>
      <c r="BM7" s="188">
        <v>320026615.94999999</v>
      </c>
      <c r="BN7" s="188">
        <v>228116802.27000001</v>
      </c>
      <c r="BO7" s="188">
        <v>160878207.99000001</v>
      </c>
      <c r="BP7" s="188">
        <v>124848157.48</v>
      </c>
      <c r="BQ7" s="188">
        <v>317884849.44</v>
      </c>
      <c r="BR7" s="188">
        <v>161749763</v>
      </c>
      <c r="BS7" s="188">
        <v>199224062.88</v>
      </c>
      <c r="BT7" s="188">
        <v>172867651.11000001</v>
      </c>
      <c r="BU7" s="188">
        <v>119074532.43000001</v>
      </c>
      <c r="BV7" s="188">
        <v>0</v>
      </c>
    </row>
    <row r="8" spans="1:74" x14ac:dyDescent="0.25">
      <c r="A8" s="188" t="s">
        <v>195</v>
      </c>
      <c r="B8" s="188">
        <v>2845576568.3000002</v>
      </c>
      <c r="C8" s="188">
        <v>2199587993.3600001</v>
      </c>
      <c r="D8" s="188">
        <v>945090499.20000005</v>
      </c>
      <c r="E8" s="188">
        <v>2986068544.9899998</v>
      </c>
      <c r="F8" s="188">
        <v>1977910933.9000001</v>
      </c>
      <c r="G8" s="188">
        <v>1378870495.3199999</v>
      </c>
      <c r="H8" s="188">
        <v>852434090.09000003</v>
      </c>
      <c r="I8" s="188">
        <v>1681052022.9000001</v>
      </c>
      <c r="J8" s="188">
        <v>655110282.33000004</v>
      </c>
      <c r="K8" s="188">
        <v>387421652.44999999</v>
      </c>
      <c r="L8" s="188">
        <v>170385412.55000001</v>
      </c>
      <c r="M8" s="188">
        <v>1484961519.21</v>
      </c>
      <c r="N8" s="188">
        <v>935401479.02999997</v>
      </c>
      <c r="O8" s="188">
        <v>592014002.75</v>
      </c>
      <c r="P8" s="188">
        <v>242599825.81999999</v>
      </c>
      <c r="Q8" s="188">
        <v>1674733451.0599999</v>
      </c>
      <c r="R8" s="188">
        <v>976711335.94000006</v>
      </c>
      <c r="S8" s="188">
        <v>646806094.26999998</v>
      </c>
      <c r="T8" s="188">
        <v>329145907.60000002</v>
      </c>
      <c r="U8" s="188">
        <v>1858132722.71</v>
      </c>
      <c r="V8" s="188">
        <v>1165549963.0799999</v>
      </c>
      <c r="W8" s="188">
        <v>799796571.35000002</v>
      </c>
      <c r="X8" s="188">
        <v>284030284.32999998</v>
      </c>
      <c r="Y8" s="188">
        <v>1224553444.02</v>
      </c>
      <c r="Z8" s="188">
        <v>842051124.48000002</v>
      </c>
      <c r="AA8" s="188">
        <v>406579445.95999998</v>
      </c>
      <c r="AB8" s="188">
        <v>190131949.47</v>
      </c>
      <c r="AC8" s="188">
        <v>720327727.88999999</v>
      </c>
      <c r="AD8" s="188">
        <v>493777287.81999999</v>
      </c>
      <c r="AE8" s="188">
        <v>324597983.18000001</v>
      </c>
      <c r="AF8" s="188">
        <v>167210185.33000001</v>
      </c>
      <c r="AG8" s="188">
        <v>676531662.09000003</v>
      </c>
      <c r="AH8" s="188">
        <v>482572956.68000001</v>
      </c>
      <c r="AI8" s="188">
        <v>314756689.20999998</v>
      </c>
      <c r="AJ8" s="188">
        <v>144719684.59</v>
      </c>
      <c r="AK8" s="188">
        <v>621284334.75</v>
      </c>
      <c r="AL8" s="188">
        <v>439653539.35000002</v>
      </c>
      <c r="AM8" s="188">
        <v>315584024.69999999</v>
      </c>
      <c r="AN8" s="188">
        <v>180649086.71000001</v>
      </c>
      <c r="AO8" s="188">
        <v>532024659.80000001</v>
      </c>
      <c r="AP8" s="188">
        <v>455051645.88999999</v>
      </c>
      <c r="AQ8" s="188">
        <v>341612858.30000001</v>
      </c>
      <c r="AR8" s="188">
        <v>243703730.18000001</v>
      </c>
      <c r="AS8" s="188">
        <v>560385186.98000002</v>
      </c>
      <c r="AT8" s="188">
        <v>439695589.05000001</v>
      </c>
      <c r="AU8" s="188">
        <v>343733134.56999999</v>
      </c>
      <c r="AV8" s="188">
        <v>212477800.28999999</v>
      </c>
      <c r="AW8" s="188">
        <v>579353831.58000004</v>
      </c>
      <c r="AX8" s="188">
        <v>483225031.23000002</v>
      </c>
      <c r="AY8" s="188">
        <v>269828737.06999999</v>
      </c>
      <c r="AZ8" s="188">
        <v>197589630.34999999</v>
      </c>
      <c r="BA8" s="188">
        <v>475939394.32999998</v>
      </c>
      <c r="BB8" s="188">
        <v>371220561.92000002</v>
      </c>
      <c r="BC8" s="188">
        <v>236478908.59</v>
      </c>
      <c r="BD8" s="188">
        <v>153658444.72</v>
      </c>
      <c r="BE8" s="188">
        <v>376522300.75</v>
      </c>
      <c r="BF8" s="188">
        <v>338181343.52999997</v>
      </c>
      <c r="BG8" s="188">
        <v>199936560.31</v>
      </c>
      <c r="BH8" s="188">
        <v>139760649.13999999</v>
      </c>
      <c r="BI8" s="188">
        <v>365256375.5</v>
      </c>
      <c r="BJ8" s="188">
        <v>247758788.18000001</v>
      </c>
      <c r="BK8" s="188">
        <v>148471350.83000001</v>
      </c>
      <c r="BL8" s="188">
        <v>99955921.620000005</v>
      </c>
      <c r="BM8" s="188">
        <v>308176458.60000002</v>
      </c>
      <c r="BN8" s="188">
        <v>240365513.08000001</v>
      </c>
      <c r="BO8" s="188">
        <v>167320806.24000001</v>
      </c>
      <c r="BP8" s="188">
        <v>103935965.36</v>
      </c>
      <c r="BQ8" s="188">
        <v>228319500.78</v>
      </c>
      <c r="BR8" s="188">
        <v>117289100</v>
      </c>
      <c r="BS8" s="188">
        <v>134826000.83000001</v>
      </c>
      <c r="BT8" s="188">
        <v>101900556.98</v>
      </c>
      <c r="BU8" s="188">
        <v>56426807.149999999</v>
      </c>
      <c r="BV8" s="188">
        <v>0</v>
      </c>
    </row>
    <row r="9" spans="1:74" x14ac:dyDescent="0.25">
      <c r="A9" s="188" t="s">
        <v>196</v>
      </c>
      <c r="B9" s="188">
        <v>3684290694.1900001</v>
      </c>
      <c r="C9" s="188">
        <v>2460415497.4000001</v>
      </c>
      <c r="D9" s="188">
        <v>1204204773.6500001</v>
      </c>
      <c r="E9" s="188">
        <v>4720542820.1400003</v>
      </c>
      <c r="F9" s="188">
        <v>3115038946.7600002</v>
      </c>
      <c r="G9" s="188">
        <v>2032246237.8800001</v>
      </c>
      <c r="H9" s="188">
        <v>1122230514.3299999</v>
      </c>
      <c r="I9" s="188">
        <v>4187189840.4200001</v>
      </c>
      <c r="J9" s="188">
        <v>2786104248.79</v>
      </c>
      <c r="K9" s="188">
        <v>1859591870.3199999</v>
      </c>
      <c r="L9" s="188">
        <v>905013030.88</v>
      </c>
      <c r="M9" s="188">
        <v>3812852076.1900001</v>
      </c>
      <c r="N9" s="188">
        <v>2592580782.23</v>
      </c>
      <c r="O9" s="188">
        <v>1827131652.26</v>
      </c>
      <c r="P9" s="188">
        <v>919920409</v>
      </c>
      <c r="Q9" s="188">
        <v>3378499544.5900002</v>
      </c>
      <c r="R9" s="188">
        <v>2336957697.6399999</v>
      </c>
      <c r="S9" s="188">
        <v>1492808431.3399999</v>
      </c>
      <c r="T9" s="188">
        <v>730947216.88</v>
      </c>
      <c r="U9" s="188">
        <v>2834740716</v>
      </c>
      <c r="V9" s="188">
        <v>1743433452.3800001</v>
      </c>
      <c r="W9" s="188">
        <v>1151877819.8900001</v>
      </c>
      <c r="X9" s="188">
        <v>558440922.01999998</v>
      </c>
      <c r="Y9" s="188">
        <v>2204190581.1300001</v>
      </c>
      <c r="Z9" s="188">
        <v>1288134049.01</v>
      </c>
      <c r="AA9" s="188">
        <v>831662727.75</v>
      </c>
      <c r="AB9" s="188">
        <v>459827167.05000001</v>
      </c>
      <c r="AC9" s="188">
        <v>1673872427.75</v>
      </c>
      <c r="AD9" s="188">
        <v>1001317983.5599999</v>
      </c>
      <c r="AE9" s="188">
        <v>642955797.35000002</v>
      </c>
      <c r="AF9" s="188">
        <v>354029240.72000003</v>
      </c>
      <c r="AG9" s="188">
        <v>1346014202.04</v>
      </c>
      <c r="AH9" s="188">
        <v>851216571.00999999</v>
      </c>
      <c r="AI9" s="188">
        <v>560864374.54999995</v>
      </c>
      <c r="AJ9" s="188">
        <v>309690750.82999998</v>
      </c>
      <c r="AK9" s="188">
        <v>1217158463.04</v>
      </c>
      <c r="AL9" s="188">
        <v>733148103.42999995</v>
      </c>
      <c r="AM9" s="188">
        <v>463903828.94999999</v>
      </c>
      <c r="AN9" s="188">
        <v>222527985.93000001</v>
      </c>
      <c r="AO9" s="188">
        <v>941174062.44000006</v>
      </c>
      <c r="AP9" s="188">
        <v>536075599.36000001</v>
      </c>
      <c r="AQ9" s="188">
        <v>369708813.51999998</v>
      </c>
      <c r="AR9" s="188">
        <v>168448490.52000001</v>
      </c>
      <c r="AS9" s="188">
        <v>723155575.20000005</v>
      </c>
      <c r="AT9" s="188">
        <v>475793089.54000002</v>
      </c>
      <c r="AU9" s="188">
        <v>277866482.92000002</v>
      </c>
      <c r="AV9" s="188">
        <v>99539514.049999997</v>
      </c>
      <c r="AW9" s="188">
        <v>492828170.27999997</v>
      </c>
      <c r="AX9" s="188">
        <v>256603509.80000001</v>
      </c>
      <c r="AY9" s="188">
        <v>154874288.83000001</v>
      </c>
      <c r="AZ9" s="188">
        <v>81752353.340000004</v>
      </c>
      <c r="BA9" s="188">
        <v>350685099.47000003</v>
      </c>
      <c r="BB9" s="188">
        <v>216504598.13</v>
      </c>
      <c r="BC9" s="188">
        <v>142501033.12</v>
      </c>
      <c r="BD9" s="188">
        <v>73791104.609999999</v>
      </c>
      <c r="BE9" s="188">
        <v>311563047.88999999</v>
      </c>
      <c r="BF9" s="188">
        <v>190624537.22999999</v>
      </c>
      <c r="BG9" s="188">
        <v>126425959.59999999</v>
      </c>
      <c r="BH9" s="188">
        <v>48201023.189999998</v>
      </c>
      <c r="BI9" s="188">
        <v>291880260.69</v>
      </c>
      <c r="BJ9" s="188">
        <v>153324035.58000001</v>
      </c>
      <c r="BK9" s="188">
        <v>97233132.640000001</v>
      </c>
      <c r="BL9" s="188">
        <v>38951847.950000003</v>
      </c>
      <c r="BM9" s="188">
        <v>237706731.47</v>
      </c>
      <c r="BN9" s="188">
        <v>154188146.5</v>
      </c>
      <c r="BO9" s="188">
        <v>79903159.849999994</v>
      </c>
      <c r="BP9" s="188">
        <v>39164507.240000002</v>
      </c>
      <c r="BQ9" s="188">
        <v>181060278.22</v>
      </c>
      <c r="BR9" s="188">
        <v>74414401</v>
      </c>
      <c r="BS9" s="188">
        <v>129669631.27</v>
      </c>
      <c r="BT9" s="188">
        <v>122410821.54000001</v>
      </c>
      <c r="BU9" s="188">
        <v>116104124.14</v>
      </c>
      <c r="BV9" s="188">
        <v>0</v>
      </c>
    </row>
    <row r="10" spans="1:74" x14ac:dyDescent="0.25">
      <c r="A10" s="188" t="s">
        <v>197</v>
      </c>
      <c r="B10" s="188">
        <v>-4384064.29</v>
      </c>
      <c r="C10" s="188">
        <v>-4224584.95</v>
      </c>
      <c r="D10" s="188">
        <v>-3460582.58</v>
      </c>
      <c r="E10" s="188">
        <v>-55722346.189999998</v>
      </c>
      <c r="F10" s="188">
        <v>-39273204.75</v>
      </c>
      <c r="G10" s="188">
        <v>-37505205.880000003</v>
      </c>
      <c r="H10" s="188">
        <v>-29494286.280000001</v>
      </c>
      <c r="I10" s="188">
        <v>-33175188.52</v>
      </c>
      <c r="J10" s="188">
        <v>-1302024</v>
      </c>
      <c r="K10" s="188">
        <v>-12226120.6</v>
      </c>
      <c r="L10" s="188">
        <v>-3031403.42</v>
      </c>
      <c r="M10" s="188">
        <v>-67266800.969999999</v>
      </c>
      <c r="N10" s="188">
        <v>-52132054.299999997</v>
      </c>
      <c r="O10" s="188">
        <v>-18995600.109999999</v>
      </c>
      <c r="P10" s="188">
        <v>-6472977.6600000001</v>
      </c>
      <c r="Q10" s="188">
        <v>-123168793.84</v>
      </c>
      <c r="R10" s="188">
        <v>-95772137.579999998</v>
      </c>
      <c r="S10" s="188">
        <v>-53889235.740000002</v>
      </c>
      <c r="T10" s="188">
        <v>-24123220.32</v>
      </c>
      <c r="U10" s="188">
        <v>-429074364.68000001</v>
      </c>
      <c r="V10" s="188">
        <v>-343826830.68000001</v>
      </c>
      <c r="W10" s="188">
        <v>-238790533.41</v>
      </c>
      <c r="X10" s="188">
        <v>-114519214.53</v>
      </c>
      <c r="Y10" s="188">
        <v>-420975922.49000001</v>
      </c>
      <c r="Z10" s="188">
        <v>-297465187.51999998</v>
      </c>
      <c r="AA10" s="188">
        <v>-187200820.61000001</v>
      </c>
      <c r="AB10" s="188">
        <v>-97318786.079999998</v>
      </c>
      <c r="AC10" s="188">
        <v>-350751496.92000002</v>
      </c>
      <c r="AD10" s="188">
        <v>-217813505.31999999</v>
      </c>
      <c r="AE10" s="188">
        <v>-148888545.19</v>
      </c>
      <c r="AF10" s="188">
        <v>-53473692.270000003</v>
      </c>
      <c r="AG10" s="188">
        <v>-176577024.91</v>
      </c>
      <c r="AH10" s="188">
        <v>-137330593.52000001</v>
      </c>
      <c r="AI10" s="188">
        <v>-99774773.510000005</v>
      </c>
      <c r="AJ10" s="188">
        <v>-46248011.119999997</v>
      </c>
      <c r="AK10" s="188">
        <v>-133636115.78</v>
      </c>
      <c r="AL10" s="188">
        <v>-90429443.689999998</v>
      </c>
      <c r="AM10" s="188">
        <v>-87784729.510000005</v>
      </c>
      <c r="AN10" s="188">
        <v>-81307397.079999998</v>
      </c>
      <c r="AO10" s="188">
        <v>-102500765.33</v>
      </c>
      <c r="AP10" s="188">
        <v>-62182025.009999998</v>
      </c>
      <c r="AQ10" s="188">
        <v>-46122542.109999999</v>
      </c>
      <c r="AR10" s="188">
        <v>-39680467.920000002</v>
      </c>
      <c r="AS10" s="188">
        <v>-44743824.950000003</v>
      </c>
      <c r="AT10" s="188">
        <v>-38158017.710000001</v>
      </c>
      <c r="AU10" s="188">
        <v>-32966149.120000001</v>
      </c>
      <c r="AV10" s="188">
        <v>-26751923.239999998</v>
      </c>
      <c r="AW10" s="188">
        <v>-25268367.890000001</v>
      </c>
      <c r="AX10" s="188">
        <v>-14469012.92</v>
      </c>
      <c r="AY10" s="188">
        <v>-6698234.1299999999</v>
      </c>
      <c r="AZ10" s="188">
        <v>-2819139.21</v>
      </c>
      <c r="BA10" s="188">
        <v>-32264593.949999999</v>
      </c>
      <c r="BB10" s="188">
        <v>-14225903.98</v>
      </c>
      <c r="BC10" s="188">
        <v>-8107880.4500000002</v>
      </c>
      <c r="BD10" s="188">
        <v>-3746924.02</v>
      </c>
      <c r="BE10" s="188">
        <v>-25993795.539999999</v>
      </c>
      <c r="BF10" s="188">
        <v>-22307046.379999999</v>
      </c>
      <c r="BG10" s="188">
        <v>-9958861.9700000007</v>
      </c>
      <c r="BH10" s="188">
        <v>-6747422.2300000004</v>
      </c>
      <c r="BI10" s="188">
        <v>-16050225.99</v>
      </c>
      <c r="BJ10" s="188">
        <v>-12245012.15</v>
      </c>
      <c r="BK10" s="188">
        <v>-4371087.49</v>
      </c>
      <c r="BL10" s="188">
        <v>-2211149.4700000002</v>
      </c>
      <c r="BM10" s="188">
        <v>-17461501.870000001</v>
      </c>
      <c r="BN10" s="188">
        <v>-15259418.529999999</v>
      </c>
      <c r="BO10" s="188">
        <v>-11910236.880000001</v>
      </c>
      <c r="BP10" s="188">
        <v>-2661960.19</v>
      </c>
      <c r="BQ10" s="188">
        <v>-5742353.4900000002</v>
      </c>
      <c r="BR10" s="188">
        <v>1336222</v>
      </c>
      <c r="BS10" s="188">
        <v>6680065.6699999999</v>
      </c>
      <c r="BT10" s="188">
        <v>11277315.43</v>
      </c>
      <c r="BU10" s="188">
        <v>41920771.770000003</v>
      </c>
      <c r="BV10" s="188">
        <v>0</v>
      </c>
    </row>
    <row r="11" spans="1:74" x14ac:dyDescent="0.25">
      <c r="A11" s="188" t="s">
        <v>198</v>
      </c>
      <c r="B11" s="188">
        <v>1221263.23</v>
      </c>
      <c r="C11" s="188">
        <v>1221263.23</v>
      </c>
      <c r="D11" s="188">
        <v>2280412.48</v>
      </c>
      <c r="E11" s="188">
        <v>-8053703.9500000002</v>
      </c>
      <c r="F11" s="188">
        <v>-8205173.0300000003</v>
      </c>
      <c r="G11" s="188">
        <v>-3205173.03</v>
      </c>
      <c r="H11" s="188">
        <v>-5356392.4000000004</v>
      </c>
      <c r="I11" s="188">
        <v>12327496.220000001</v>
      </c>
      <c r="J11" s="188">
        <v>5491060.0800000001</v>
      </c>
      <c r="K11" s="188">
        <v>5536334.9299999997</v>
      </c>
      <c r="L11" s="188">
        <v>2979616.96</v>
      </c>
      <c r="M11" s="188">
        <v>-540313.39</v>
      </c>
      <c r="N11" s="188">
        <v>150533.28</v>
      </c>
      <c r="O11" s="188">
        <v>404373.28</v>
      </c>
      <c r="P11" s="188">
        <v>-200793.38</v>
      </c>
      <c r="Q11" s="188">
        <v>432745.88</v>
      </c>
      <c r="R11" s="188">
        <v>393295.23</v>
      </c>
      <c r="S11" s="188">
        <v>243295.23</v>
      </c>
      <c r="T11" s="188">
        <v>-760608.59</v>
      </c>
      <c r="U11" s="188">
        <v>-2004032.3</v>
      </c>
      <c r="V11" s="188">
        <v>-1818342.1</v>
      </c>
      <c r="W11" s="188">
        <v>-2068342.1</v>
      </c>
      <c r="X11" s="188">
        <v>0</v>
      </c>
      <c r="Y11" s="188">
        <v>2979258.5</v>
      </c>
      <c r="Z11" s="188">
        <v>955859.42</v>
      </c>
      <c r="AA11" s="188">
        <v>955859.42</v>
      </c>
      <c r="AB11" s="188">
        <v>0</v>
      </c>
      <c r="AC11" s="188">
        <v>-2500650.5699999998</v>
      </c>
      <c r="AD11" s="188">
        <v>-1597611.27</v>
      </c>
      <c r="AE11" s="188">
        <v>-1568169.42</v>
      </c>
      <c r="AF11" s="188">
        <v>0</v>
      </c>
      <c r="AG11" s="188">
        <v>-3066975.05</v>
      </c>
      <c r="AH11" s="188">
        <v>2797805.44</v>
      </c>
      <c r="AI11" s="188">
        <v>2776574.21</v>
      </c>
      <c r="AJ11" s="188">
        <v>18000</v>
      </c>
      <c r="AK11" s="188">
        <v>-300085.01</v>
      </c>
      <c r="AL11" s="188">
        <v>442604</v>
      </c>
      <c r="AM11" s="188">
        <v>442604</v>
      </c>
      <c r="AN11" s="188">
        <v>0</v>
      </c>
      <c r="AO11" s="188">
        <v>450078.22</v>
      </c>
      <c r="AP11" s="188">
        <v>-1411074.74</v>
      </c>
      <c r="AQ11" s="188">
        <v>-1411074.74</v>
      </c>
      <c r="AR11" s="188">
        <v>0</v>
      </c>
      <c r="AS11" s="188">
        <v>-614738.65</v>
      </c>
      <c r="AT11" s="188">
        <v>1317514.0900000001</v>
      </c>
      <c r="AU11" s="188">
        <v>1317514.0900000001</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0</v>
      </c>
      <c r="BU11" s="188">
        <v>0</v>
      </c>
      <c r="BV11" s="188">
        <v>0</v>
      </c>
    </row>
    <row r="12" spans="1:74" x14ac:dyDescent="0.25">
      <c r="A12" s="188" t="s">
        <v>199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v>0</v>
      </c>
      <c r="BU12" s="188">
        <v>0</v>
      </c>
      <c r="BV12" s="188">
        <v>0</v>
      </c>
    </row>
    <row r="13" spans="1:74" x14ac:dyDescent="0.25">
      <c r="A13" s="188" t="s">
        <v>200</v>
      </c>
      <c r="B13" s="188">
        <v>0</v>
      </c>
      <c r="C13" s="188">
        <v>0</v>
      </c>
      <c r="D13" s="188">
        <v>0</v>
      </c>
      <c r="E13" s="188">
        <v>0</v>
      </c>
      <c r="F13" s="188">
        <v>0</v>
      </c>
      <c r="G13" s="188">
        <v>0</v>
      </c>
      <c r="H13" s="188">
        <v>0</v>
      </c>
      <c r="I13" s="188">
        <v>0</v>
      </c>
      <c r="J13" s="188">
        <v>0</v>
      </c>
      <c r="K13" s="188">
        <v>0</v>
      </c>
      <c r="L13" s="188">
        <v>0</v>
      </c>
      <c r="M13" s="188">
        <v>3869276.9</v>
      </c>
      <c r="N13" s="188">
        <v>3868919.86</v>
      </c>
      <c r="O13" s="188">
        <v>3342169.86</v>
      </c>
      <c r="P13" s="188">
        <v>332169.86</v>
      </c>
      <c r="Q13" s="188">
        <v>3095265.75</v>
      </c>
      <c r="R13" s="188">
        <v>3010000</v>
      </c>
      <c r="S13" s="188">
        <v>3010000</v>
      </c>
      <c r="T13" s="188">
        <v>0</v>
      </c>
      <c r="U13" s="188">
        <v>3010000</v>
      </c>
      <c r="V13" s="188">
        <v>3010000</v>
      </c>
      <c r="W13" s="188">
        <v>3010000</v>
      </c>
      <c r="X13" s="188">
        <v>0</v>
      </c>
      <c r="Y13" s="188">
        <v>3103250</v>
      </c>
      <c r="Z13" s="188">
        <v>3103250</v>
      </c>
      <c r="AA13" s="188">
        <v>3103250</v>
      </c>
      <c r="AB13" s="188">
        <v>93250</v>
      </c>
      <c r="AC13" s="188">
        <v>3383000</v>
      </c>
      <c r="AD13" s="188">
        <v>3289750</v>
      </c>
      <c r="AE13" s="188">
        <v>3196500</v>
      </c>
      <c r="AF13" s="188">
        <v>93250</v>
      </c>
      <c r="AG13" s="188">
        <v>469050</v>
      </c>
      <c r="AH13" s="188">
        <v>375800</v>
      </c>
      <c r="AI13" s="188">
        <v>282550</v>
      </c>
      <c r="AJ13" s="188">
        <v>0</v>
      </c>
      <c r="AK13" s="188">
        <v>1209447.26</v>
      </c>
      <c r="AL13" s="188">
        <v>972122.26</v>
      </c>
      <c r="AM13" s="188">
        <v>734797.26</v>
      </c>
      <c r="AN13" s="188">
        <v>301075</v>
      </c>
      <c r="AO13" s="188">
        <v>1322250</v>
      </c>
      <c r="AP13" s="188">
        <v>1021175</v>
      </c>
      <c r="AQ13" s="188">
        <v>720100</v>
      </c>
      <c r="AR13" s="188">
        <v>419025</v>
      </c>
      <c r="AS13" s="188">
        <v>1814950</v>
      </c>
      <c r="AT13" s="188">
        <v>859950</v>
      </c>
      <c r="AU13" s="188">
        <v>859950</v>
      </c>
      <c r="AV13" s="188">
        <v>0</v>
      </c>
      <c r="AW13" s="188">
        <v>3012928.94</v>
      </c>
      <c r="AX13" s="188">
        <v>144435.35999999999</v>
      </c>
      <c r="AY13" s="188">
        <v>144435.35999999999</v>
      </c>
      <c r="AZ13" s="188">
        <v>0</v>
      </c>
      <c r="BA13" s="188">
        <v>427953.6</v>
      </c>
      <c r="BB13" s="188">
        <v>23718.23</v>
      </c>
      <c r="BC13" s="188">
        <v>23718.23</v>
      </c>
      <c r="BD13" s="188">
        <v>-187658.6</v>
      </c>
      <c r="BE13" s="188">
        <v>315063.71000000002</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row>
    <row r="14" spans="1:74" x14ac:dyDescent="0.25">
      <c r="A14" s="188" t="s">
        <v>201</v>
      </c>
      <c r="B14" s="188">
        <v>0</v>
      </c>
      <c r="C14" s="188">
        <v>0</v>
      </c>
      <c r="D14" s="188">
        <v>0</v>
      </c>
      <c r="E14" s="188">
        <v>0</v>
      </c>
      <c r="F14" s="188">
        <v>0</v>
      </c>
      <c r="G14" s="188">
        <v>0</v>
      </c>
      <c r="H14" s="188">
        <v>0</v>
      </c>
      <c r="I14" s="188">
        <v>0</v>
      </c>
      <c r="J14" s="188">
        <v>0</v>
      </c>
      <c r="K14" s="188">
        <v>0</v>
      </c>
      <c r="L14" s="188">
        <v>0</v>
      </c>
      <c r="M14" s="188">
        <v>0</v>
      </c>
      <c r="N14" s="188">
        <v>0</v>
      </c>
      <c r="O14" s="188">
        <v>0</v>
      </c>
      <c r="P14" s="188">
        <v>0</v>
      </c>
      <c r="Q14" s="188">
        <v>0</v>
      </c>
      <c r="R14" s="188">
        <v>0</v>
      </c>
      <c r="S14" s="188">
        <v>0</v>
      </c>
      <c r="T14" s="188">
        <v>0</v>
      </c>
      <c r="U14" s="188">
        <v>0</v>
      </c>
      <c r="V14" s="188">
        <v>0</v>
      </c>
      <c r="W14" s="188">
        <v>0</v>
      </c>
      <c r="X14" s="188">
        <v>0</v>
      </c>
      <c r="Y14" s="188">
        <v>0</v>
      </c>
      <c r="Z14" s="188">
        <v>0</v>
      </c>
      <c r="AA14" s="188">
        <v>0</v>
      </c>
      <c r="AB14" s="188">
        <v>0</v>
      </c>
      <c r="AC14" s="188">
        <v>0</v>
      </c>
      <c r="AD14" s="188">
        <v>0</v>
      </c>
      <c r="AE14" s="188">
        <v>0</v>
      </c>
      <c r="AF14" s="188">
        <v>0</v>
      </c>
      <c r="AG14" s="188">
        <v>0</v>
      </c>
      <c r="AH14" s="188">
        <v>0</v>
      </c>
      <c r="AI14" s="188">
        <v>0</v>
      </c>
      <c r="AJ14" s="188">
        <v>0</v>
      </c>
      <c r="AK14" s="188">
        <v>0</v>
      </c>
      <c r="AL14" s="188">
        <v>0</v>
      </c>
      <c r="AM14" s="188">
        <v>0</v>
      </c>
      <c r="AN14" s="188">
        <v>0</v>
      </c>
      <c r="AO14" s="188">
        <v>0</v>
      </c>
      <c r="AP14" s="188">
        <v>0</v>
      </c>
      <c r="AQ14" s="188">
        <v>0</v>
      </c>
      <c r="AR14" s="188">
        <v>0</v>
      </c>
      <c r="AS14" s="188">
        <v>0</v>
      </c>
      <c r="AT14" s="188">
        <v>0</v>
      </c>
      <c r="AU14" s="188">
        <v>0</v>
      </c>
      <c r="AV14" s="188">
        <v>0</v>
      </c>
      <c r="AW14" s="188">
        <v>0</v>
      </c>
      <c r="AX14" s="188">
        <v>0</v>
      </c>
      <c r="AY14" s="188">
        <v>0</v>
      </c>
      <c r="AZ14" s="188">
        <v>0</v>
      </c>
      <c r="BA14" s="188">
        <v>0</v>
      </c>
      <c r="BB14" s="188">
        <v>0</v>
      </c>
      <c r="BC14" s="188">
        <v>0</v>
      </c>
      <c r="BD14" s="188">
        <v>0</v>
      </c>
      <c r="BE14" s="188">
        <v>0</v>
      </c>
      <c r="BF14" s="188">
        <v>0</v>
      </c>
      <c r="BG14" s="188">
        <v>0</v>
      </c>
      <c r="BH14" s="188">
        <v>0</v>
      </c>
      <c r="BI14" s="188">
        <v>0</v>
      </c>
      <c r="BJ14" s="188">
        <v>0</v>
      </c>
      <c r="BK14" s="188">
        <v>0</v>
      </c>
      <c r="BL14" s="188">
        <v>0</v>
      </c>
      <c r="BM14" s="188">
        <v>0</v>
      </c>
      <c r="BN14" s="188">
        <v>0</v>
      </c>
      <c r="BO14" s="188">
        <v>0</v>
      </c>
      <c r="BP14" s="188">
        <v>0</v>
      </c>
      <c r="BQ14" s="188">
        <v>0</v>
      </c>
      <c r="BR14" s="188">
        <v>0</v>
      </c>
      <c r="BS14" s="188">
        <v>0</v>
      </c>
      <c r="BT14" s="188">
        <v>0</v>
      </c>
      <c r="BU14" s="188">
        <v>0</v>
      </c>
      <c r="BV14" s="188">
        <v>0</v>
      </c>
    </row>
    <row r="15" spans="1:74"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x14ac:dyDescent="0.25">
      <c r="A16" s="188" t="s">
        <v>203</v>
      </c>
      <c r="B16" s="188">
        <v>35837919227.599998</v>
      </c>
      <c r="C16" s="188">
        <v>22879895820.5</v>
      </c>
      <c r="D16" s="188">
        <v>12177678392.959999</v>
      </c>
      <c r="E16" s="188">
        <v>38940007533.449997</v>
      </c>
      <c r="F16" s="188">
        <v>28636943385.349998</v>
      </c>
      <c r="G16" s="188">
        <v>16123769916.27</v>
      </c>
      <c r="H16" s="188">
        <v>8790152762.5599995</v>
      </c>
      <c r="I16" s="188">
        <v>24265625169.419998</v>
      </c>
      <c r="J16" s="188">
        <v>18149578203.43</v>
      </c>
      <c r="K16" s="188">
        <v>12760123468.860001</v>
      </c>
      <c r="L16" s="188">
        <v>7202563107.21</v>
      </c>
      <c r="M16" s="188">
        <v>22158991962.869999</v>
      </c>
      <c r="N16" s="188">
        <v>16294979247.549999</v>
      </c>
      <c r="O16" s="188">
        <v>11151613884.9</v>
      </c>
      <c r="P16" s="188">
        <v>6204332019.7299995</v>
      </c>
      <c r="Q16" s="188">
        <v>22102973250.900002</v>
      </c>
      <c r="R16" s="188">
        <v>15316444738.299999</v>
      </c>
      <c r="S16" s="188">
        <v>10250976984.1</v>
      </c>
      <c r="T16" s="188">
        <v>5319919564.8699999</v>
      </c>
      <c r="U16" s="188">
        <v>21791544952</v>
      </c>
      <c r="V16" s="188">
        <v>16013209542.84</v>
      </c>
      <c r="W16" s="188">
        <v>10397746420.82</v>
      </c>
      <c r="X16" s="188">
        <v>5370179720.1499996</v>
      </c>
      <c r="Y16" s="188">
        <v>18830739817.650002</v>
      </c>
      <c r="Z16" s="188">
        <v>14687293422.030001</v>
      </c>
      <c r="AA16" s="188">
        <v>9799689054.4599991</v>
      </c>
      <c r="AB16" s="188">
        <v>4173011924.1999998</v>
      </c>
      <c r="AC16" s="188">
        <v>12336164425.08</v>
      </c>
      <c r="AD16" s="188">
        <v>9282393382.5900002</v>
      </c>
      <c r="AE16" s="188">
        <v>6889593147.71</v>
      </c>
      <c r="AF16" s="188">
        <v>2652278357.0300002</v>
      </c>
      <c r="AG16" s="188">
        <v>7160906229.5</v>
      </c>
      <c r="AH16" s="188">
        <v>5897507732.0500002</v>
      </c>
      <c r="AI16" s="188">
        <v>4380755479.71</v>
      </c>
      <c r="AJ16" s="188">
        <v>1795570345.1900001</v>
      </c>
      <c r="AK16" s="188">
        <v>6075520510.7200003</v>
      </c>
      <c r="AL16" s="188">
        <v>5305959144.1199999</v>
      </c>
      <c r="AM16" s="188">
        <v>3904946419.2399998</v>
      </c>
      <c r="AN16" s="188">
        <v>1704811540.3299999</v>
      </c>
      <c r="AO16" s="188">
        <v>5390384855.0299997</v>
      </c>
      <c r="AP16" s="188">
        <v>4411345749.3999996</v>
      </c>
      <c r="AQ16" s="188">
        <v>3144122687.0999999</v>
      </c>
      <c r="AR16" s="188">
        <v>1221987327.8900001</v>
      </c>
      <c r="AS16" s="188">
        <v>4525341001.8000002</v>
      </c>
      <c r="AT16" s="188">
        <v>2505723084.77</v>
      </c>
      <c r="AU16" s="188">
        <v>1358893995.1700001</v>
      </c>
      <c r="AV16" s="188">
        <v>873061006.92999995</v>
      </c>
      <c r="AW16" s="188">
        <v>2487229192.3899999</v>
      </c>
      <c r="AX16" s="188">
        <v>1566323386.3499999</v>
      </c>
      <c r="AY16" s="188">
        <v>971206524.42999995</v>
      </c>
      <c r="AZ16" s="188">
        <v>672106961.02999997</v>
      </c>
      <c r="BA16" s="188">
        <v>1919280411.1800001</v>
      </c>
      <c r="BB16" s="188">
        <v>1149467119.73</v>
      </c>
      <c r="BC16" s="188">
        <v>755602345.95000005</v>
      </c>
      <c r="BD16" s="188">
        <v>557497298.74000001</v>
      </c>
      <c r="BE16" s="188">
        <v>1488107055.8299999</v>
      </c>
      <c r="BF16" s="188">
        <v>875692906.41999996</v>
      </c>
      <c r="BG16" s="188">
        <v>569689339.82000005</v>
      </c>
      <c r="BH16" s="188">
        <v>401156738.20999998</v>
      </c>
      <c r="BI16" s="188">
        <v>976039792.24000001</v>
      </c>
      <c r="BJ16" s="188">
        <v>595356565.42999995</v>
      </c>
      <c r="BK16" s="188">
        <v>410663994.26999998</v>
      </c>
      <c r="BL16" s="188">
        <v>341339342.32999998</v>
      </c>
      <c r="BM16" s="188">
        <v>649243161.39999998</v>
      </c>
      <c r="BN16" s="188">
        <v>528274143.08999997</v>
      </c>
      <c r="BO16" s="188">
        <v>401841412.07999998</v>
      </c>
      <c r="BP16" s="188">
        <v>337954898.82999998</v>
      </c>
      <c r="BQ16" s="188">
        <v>610210332.90999997</v>
      </c>
      <c r="BR16" s="188">
        <v>373553610.48000002</v>
      </c>
      <c r="BS16" s="188">
        <v>445788139.26999998</v>
      </c>
      <c r="BT16" s="188">
        <v>353647748.18000001</v>
      </c>
      <c r="BU16" s="188">
        <v>218965723.72</v>
      </c>
      <c r="BV16" s="188">
        <v>0</v>
      </c>
    </row>
    <row r="17" spans="1:74" x14ac:dyDescent="0.25">
      <c r="A17" s="188" t="s">
        <v>204</v>
      </c>
      <c r="B17" s="188">
        <v>10719272.189999999</v>
      </c>
      <c r="C17" s="188">
        <v>6714437.7000000002</v>
      </c>
      <c r="D17" s="188">
        <v>2230584.69</v>
      </c>
      <c r="E17" s="188">
        <v>12201990.51</v>
      </c>
      <c r="F17" s="188">
        <v>9775757.8599999994</v>
      </c>
      <c r="G17" s="188">
        <v>5597183.8300000001</v>
      </c>
      <c r="H17" s="188">
        <v>1770099.69</v>
      </c>
      <c r="I17" s="188">
        <v>8553926.0600000005</v>
      </c>
      <c r="J17" s="188">
        <v>8262314.4500000002</v>
      </c>
      <c r="K17" s="188">
        <v>5374865.2699999996</v>
      </c>
      <c r="L17" s="188">
        <v>4199647.6100000003</v>
      </c>
      <c r="M17" s="188">
        <v>4823183.32</v>
      </c>
      <c r="N17" s="188">
        <v>1151762.29</v>
      </c>
      <c r="O17" s="188">
        <v>712903.58</v>
      </c>
      <c r="P17" s="188">
        <v>499998</v>
      </c>
      <c r="Q17" s="188">
        <v>6562552.1799999997</v>
      </c>
      <c r="R17" s="188">
        <v>2509405.6</v>
      </c>
      <c r="S17" s="188">
        <v>631082.29</v>
      </c>
      <c r="T17" s="188">
        <v>573210.01</v>
      </c>
      <c r="U17" s="188">
        <v>32763249.140000001</v>
      </c>
      <c r="V17" s="188">
        <v>27712057.190000001</v>
      </c>
      <c r="W17" s="188">
        <v>181985.22</v>
      </c>
      <c r="X17" s="188">
        <v>33313.199999999997</v>
      </c>
      <c r="Y17" s="188">
        <v>6756532.1900000004</v>
      </c>
      <c r="Z17" s="188">
        <v>4670917.43</v>
      </c>
      <c r="AA17" s="188">
        <v>2194791.12</v>
      </c>
      <c r="AB17" s="188">
        <v>1955371.81</v>
      </c>
      <c r="AC17" s="188">
        <v>7181584.54</v>
      </c>
      <c r="AD17" s="188">
        <v>4953462.93</v>
      </c>
      <c r="AE17" s="188">
        <v>2992008.57</v>
      </c>
      <c r="AF17" s="188">
        <v>1979084</v>
      </c>
      <c r="AG17" s="188">
        <v>5307144.91</v>
      </c>
      <c r="AH17" s="188">
        <v>1971014.48</v>
      </c>
      <c r="AI17" s="188">
        <v>398410.98</v>
      </c>
      <c r="AJ17" s="188">
        <v>10325.86</v>
      </c>
      <c r="AK17" s="188">
        <v>6247977</v>
      </c>
      <c r="AL17" s="188">
        <v>494320</v>
      </c>
      <c r="AM17" s="188">
        <v>1861620</v>
      </c>
      <c r="AN17" s="188">
        <v>1231620</v>
      </c>
      <c r="AO17" s="188">
        <v>6282035.79</v>
      </c>
      <c r="AP17" s="188">
        <v>2381385.59</v>
      </c>
      <c r="AQ17" s="188">
        <v>1164514.5900000001</v>
      </c>
      <c r="AR17" s="188">
        <v>570450</v>
      </c>
      <c r="AS17" s="188">
        <v>2917186.44</v>
      </c>
      <c r="AT17" s="188">
        <v>2650052.83</v>
      </c>
      <c r="AU17" s="188">
        <v>2337708.1800000002</v>
      </c>
      <c r="AV17" s="188">
        <v>1118127.8899999999</v>
      </c>
      <c r="AW17" s="188">
        <v>1149619.55</v>
      </c>
      <c r="AX17" s="188">
        <v>1004708.55</v>
      </c>
      <c r="AY17" s="188">
        <v>859384.55</v>
      </c>
      <c r="AZ17" s="188">
        <v>328675</v>
      </c>
      <c r="BA17" s="188">
        <v>1762887.9</v>
      </c>
      <c r="BB17" s="188">
        <v>1313389.2</v>
      </c>
      <c r="BC17" s="188">
        <v>1198053.82</v>
      </c>
      <c r="BD17" s="188">
        <v>11500</v>
      </c>
      <c r="BE17" s="188">
        <v>3601893.97</v>
      </c>
      <c r="BF17" s="188">
        <v>213199.97</v>
      </c>
      <c r="BG17" s="188">
        <v>35584.97</v>
      </c>
      <c r="BH17" s="188">
        <v>14874.97</v>
      </c>
      <c r="BI17" s="188">
        <v>1392334.71</v>
      </c>
      <c r="BJ17" s="188">
        <v>1064414.71</v>
      </c>
      <c r="BK17" s="188">
        <v>582293.07999999996</v>
      </c>
      <c r="BL17" s="188">
        <v>111556.08</v>
      </c>
      <c r="BM17" s="188">
        <v>137822</v>
      </c>
      <c r="BN17" s="188">
        <v>68602</v>
      </c>
      <c r="BO17" s="188">
        <v>55202</v>
      </c>
      <c r="BP17" s="188">
        <v>50170</v>
      </c>
      <c r="BQ17" s="188">
        <v>72208.039999999994</v>
      </c>
      <c r="BR17" s="188">
        <v>51586.44</v>
      </c>
      <c r="BS17" s="188">
        <v>17635.96</v>
      </c>
      <c r="BT17" s="188">
        <v>1500</v>
      </c>
      <c r="BU17" s="188">
        <v>0</v>
      </c>
      <c r="BV17" s="188">
        <v>0</v>
      </c>
    </row>
    <row r="18" spans="1:74" x14ac:dyDescent="0.25">
      <c r="A18" s="188" t="s">
        <v>205</v>
      </c>
      <c r="B18" s="188">
        <v>271320093.51999998</v>
      </c>
      <c r="C18" s="188">
        <v>166643463.81999999</v>
      </c>
      <c r="D18" s="188">
        <v>7376224.0700000003</v>
      </c>
      <c r="E18" s="188">
        <v>212137381.36000001</v>
      </c>
      <c r="F18" s="188">
        <v>153881485.16999999</v>
      </c>
      <c r="G18" s="188">
        <v>45837582.100000001</v>
      </c>
      <c r="H18" s="188">
        <v>36882434.299999997</v>
      </c>
      <c r="I18" s="188">
        <v>316298138.37</v>
      </c>
      <c r="J18" s="188">
        <v>119855695.88</v>
      </c>
      <c r="K18" s="188">
        <v>213054.89</v>
      </c>
      <c r="L18" s="188">
        <v>27219.7</v>
      </c>
      <c r="M18" s="188">
        <v>162100184.84999999</v>
      </c>
      <c r="N18" s="188">
        <v>133901458.09</v>
      </c>
      <c r="O18" s="188">
        <v>2893260.58</v>
      </c>
      <c r="P18" s="188">
        <v>2815794.51</v>
      </c>
      <c r="Q18" s="188">
        <v>227193365.75</v>
      </c>
      <c r="R18" s="188">
        <v>139757580</v>
      </c>
      <c r="S18" s="188">
        <v>28429120.030000001</v>
      </c>
      <c r="T18" s="188">
        <v>8142669.9199999999</v>
      </c>
      <c r="U18" s="188">
        <v>391947775.17000002</v>
      </c>
      <c r="V18" s="188">
        <v>373534440.38</v>
      </c>
      <c r="W18" s="188">
        <v>272522239.94</v>
      </c>
      <c r="X18" s="188">
        <v>252324805.13</v>
      </c>
      <c r="Y18" s="188">
        <v>137005880.68000001</v>
      </c>
      <c r="Z18" s="188">
        <v>106707683.45999999</v>
      </c>
      <c r="AA18" s="188">
        <v>1707664.91</v>
      </c>
      <c r="AB18" s="188">
        <v>38335.06</v>
      </c>
      <c r="AC18" s="188">
        <v>8685535.8200000003</v>
      </c>
      <c r="AD18" s="188">
        <v>7792593.8099999996</v>
      </c>
      <c r="AE18" s="188">
        <v>5238266.28</v>
      </c>
      <c r="AF18" s="188">
        <v>151384.31</v>
      </c>
      <c r="AG18" s="188">
        <v>3796643.04</v>
      </c>
      <c r="AH18" s="188">
        <v>3694392.17</v>
      </c>
      <c r="AI18" s="188">
        <v>3637581.92</v>
      </c>
      <c r="AJ18" s="188">
        <v>2800000</v>
      </c>
      <c r="AK18" s="188">
        <v>1228603.08</v>
      </c>
      <c r="AL18" s="188">
        <v>1086603.01</v>
      </c>
      <c r="AM18" s="188">
        <v>1008880.69</v>
      </c>
      <c r="AN18" s="188">
        <v>1000000</v>
      </c>
      <c r="AO18" s="188">
        <v>11366252.66</v>
      </c>
      <c r="AP18" s="188">
        <v>9836215.3900000006</v>
      </c>
      <c r="AQ18" s="188">
        <v>9762890.1999999993</v>
      </c>
      <c r="AR18" s="188">
        <v>0</v>
      </c>
      <c r="AS18" s="188">
        <v>6233172.3099999996</v>
      </c>
      <c r="AT18" s="188">
        <v>326370.88</v>
      </c>
      <c r="AU18" s="188">
        <v>171352.52</v>
      </c>
      <c r="AV18" s="188">
        <v>10726.5</v>
      </c>
      <c r="AW18" s="188">
        <v>191818.51</v>
      </c>
      <c r="AX18" s="188">
        <v>51074.5</v>
      </c>
      <c r="AY18" s="188">
        <v>1074.5</v>
      </c>
      <c r="AZ18" s="188">
        <v>1074.5</v>
      </c>
      <c r="BA18" s="188">
        <v>796935.44</v>
      </c>
      <c r="BB18" s="188">
        <v>350</v>
      </c>
      <c r="BC18" s="188">
        <v>350</v>
      </c>
      <c r="BD18" s="188">
        <v>0</v>
      </c>
      <c r="BE18" s="188">
        <v>1036434.99</v>
      </c>
      <c r="BF18" s="188">
        <v>52400</v>
      </c>
      <c r="BG18" s="188">
        <v>2400</v>
      </c>
      <c r="BH18" s="188">
        <v>1400</v>
      </c>
      <c r="BI18" s="188">
        <v>137513.69</v>
      </c>
      <c r="BJ18" s="188">
        <v>131823.35999999999</v>
      </c>
      <c r="BK18" s="188">
        <v>9905.66</v>
      </c>
      <c r="BL18" s="188">
        <v>8355.66</v>
      </c>
      <c r="BM18" s="188">
        <v>10611.88</v>
      </c>
      <c r="BN18" s="188">
        <v>10611.88</v>
      </c>
      <c r="BO18" s="188">
        <v>10611.88</v>
      </c>
      <c r="BP18" s="188">
        <v>211.88</v>
      </c>
      <c r="BQ18" s="188">
        <v>3004334.7</v>
      </c>
      <c r="BR18" s="188">
        <v>612996.92000000004</v>
      </c>
      <c r="BS18" s="188">
        <v>960375.1</v>
      </c>
      <c r="BT18" s="188">
        <v>56614.31</v>
      </c>
      <c r="BU18" s="188">
        <v>0</v>
      </c>
      <c r="BV18" s="188">
        <v>0</v>
      </c>
    </row>
    <row r="19" spans="1:74" x14ac:dyDescent="0.25">
      <c r="A19" s="188" t="s">
        <v>206</v>
      </c>
      <c r="B19" s="188">
        <v>0</v>
      </c>
      <c r="C19" s="188">
        <v>0</v>
      </c>
      <c r="D19" s="188">
        <v>0</v>
      </c>
      <c r="E19" s="188">
        <v>0</v>
      </c>
      <c r="F19" s="188">
        <v>2096268.03</v>
      </c>
      <c r="G19" s="188">
        <v>115399.49</v>
      </c>
      <c r="H19" s="188">
        <v>69414.600000000006</v>
      </c>
      <c r="I19" s="188">
        <v>1960971.07</v>
      </c>
      <c r="J19" s="188">
        <v>50154.5</v>
      </c>
      <c r="K19" s="188">
        <v>32754.9</v>
      </c>
      <c r="L19" s="188">
        <v>26600</v>
      </c>
      <c r="M19" s="188">
        <v>188439.42</v>
      </c>
      <c r="N19" s="188">
        <v>38842.93</v>
      </c>
      <c r="O19" s="188">
        <v>38842.93</v>
      </c>
      <c r="P19" s="188">
        <v>15764.6</v>
      </c>
      <c r="Q19" s="188">
        <v>86754481.230000004</v>
      </c>
      <c r="R19" s="188">
        <v>5839433.6799999997</v>
      </c>
      <c r="S19" s="188">
        <v>5830794.7999999998</v>
      </c>
      <c r="T19" s="188">
        <v>0</v>
      </c>
      <c r="U19" s="188">
        <v>8997287.1699999999</v>
      </c>
      <c r="V19" s="188">
        <v>175182.81</v>
      </c>
      <c r="W19" s="188">
        <v>175182.81</v>
      </c>
      <c r="X19" s="188">
        <v>0</v>
      </c>
      <c r="Y19" s="188">
        <v>0</v>
      </c>
      <c r="Z19" s="188">
        <v>0</v>
      </c>
      <c r="AA19" s="188">
        <v>84152.4</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c r="BS19" s="188">
        <v>0</v>
      </c>
      <c r="BT19" s="188">
        <v>0</v>
      </c>
      <c r="BU19" s="188">
        <v>0</v>
      </c>
      <c r="BV19" s="188">
        <v>0</v>
      </c>
    </row>
    <row r="20" spans="1:74" x14ac:dyDescent="0.25">
      <c r="A20" s="188" t="s">
        <v>207</v>
      </c>
      <c r="B20" s="188">
        <v>35577318406.269997</v>
      </c>
      <c r="C20" s="188">
        <v>22719966794.380001</v>
      </c>
      <c r="D20" s="188">
        <v>12172532753.58</v>
      </c>
      <c r="E20" s="188">
        <v>38740072142.599998</v>
      </c>
      <c r="F20" s="188">
        <v>28492837658.040001</v>
      </c>
      <c r="G20" s="188">
        <v>16083529518</v>
      </c>
      <c r="H20" s="188">
        <v>8755040427.9500008</v>
      </c>
      <c r="I20" s="188">
        <v>23957880957.110001</v>
      </c>
      <c r="J20" s="188">
        <v>18037984822</v>
      </c>
      <c r="K20" s="188">
        <v>12765285279.24</v>
      </c>
      <c r="L20" s="188">
        <v>7206735535.1199999</v>
      </c>
      <c r="M20" s="188">
        <v>22001714961.34</v>
      </c>
      <c r="N20" s="188">
        <v>16162229551.75</v>
      </c>
      <c r="O20" s="188">
        <v>11149433527.9</v>
      </c>
      <c r="P20" s="188">
        <v>6202016223.2200003</v>
      </c>
      <c r="Q20" s="188">
        <v>21882342437.330002</v>
      </c>
      <c r="R20" s="188">
        <v>15179196563.9</v>
      </c>
      <c r="S20" s="188">
        <v>10223178946.360001</v>
      </c>
      <c r="T20" s="188">
        <v>5312350104.96</v>
      </c>
      <c r="U20" s="188">
        <v>21432360425.970001</v>
      </c>
      <c r="V20" s="188">
        <v>15667387159.65</v>
      </c>
      <c r="W20" s="188">
        <v>10125406166.1</v>
      </c>
      <c r="X20" s="188">
        <v>5117888228.2200003</v>
      </c>
      <c r="Y20" s="188">
        <v>18700490469.16</v>
      </c>
      <c r="Z20" s="188">
        <v>14585256656</v>
      </c>
      <c r="AA20" s="188">
        <v>9800176180.6700001</v>
      </c>
      <c r="AB20" s="188">
        <v>4174928960.9499998</v>
      </c>
      <c r="AC20" s="188">
        <v>12334660473.799999</v>
      </c>
      <c r="AD20" s="188">
        <v>9279554251.7099991</v>
      </c>
      <c r="AE20" s="188">
        <v>6887346890</v>
      </c>
      <c r="AF20" s="188">
        <v>2654106056.7199998</v>
      </c>
      <c r="AG20" s="188">
        <v>7162416731.3699999</v>
      </c>
      <c r="AH20" s="188">
        <v>5895784354.3599997</v>
      </c>
      <c r="AI20" s="188">
        <v>4377516308.7700005</v>
      </c>
      <c r="AJ20" s="188">
        <v>1792780671.05</v>
      </c>
      <c r="AK20" s="188">
        <v>6080539884.6400003</v>
      </c>
      <c r="AL20" s="188">
        <v>5305366861.1099997</v>
      </c>
      <c r="AM20" s="188">
        <v>3905799158.5500002</v>
      </c>
      <c r="AN20" s="188">
        <v>1705043160.3299999</v>
      </c>
      <c r="AO20" s="188">
        <v>5385300638.1599998</v>
      </c>
      <c r="AP20" s="188">
        <v>4403890919.6000004</v>
      </c>
      <c r="AQ20" s="188">
        <v>3135524311.4899998</v>
      </c>
      <c r="AR20" s="188">
        <v>1222557777.8900001</v>
      </c>
      <c r="AS20" s="188">
        <v>4522025015.9300003</v>
      </c>
      <c r="AT20" s="188">
        <v>2508046766.7199998</v>
      </c>
      <c r="AU20" s="188">
        <v>1361060350.8299999</v>
      </c>
      <c r="AV20" s="188">
        <v>874168408.32000005</v>
      </c>
      <c r="AW20" s="188">
        <v>2488186993.4299998</v>
      </c>
      <c r="AX20" s="188">
        <v>1567277020.4000001</v>
      </c>
      <c r="AY20" s="188">
        <v>972064834.48000002</v>
      </c>
      <c r="AZ20" s="188">
        <v>672434561.52999997</v>
      </c>
      <c r="BA20" s="188">
        <v>1920246363.6400001</v>
      </c>
      <c r="BB20" s="188">
        <v>1150780158.9300001</v>
      </c>
      <c r="BC20" s="188">
        <v>756800049.76999998</v>
      </c>
      <c r="BD20" s="188">
        <v>557508798.74000001</v>
      </c>
      <c r="BE20" s="188">
        <v>1490672514.8099999</v>
      </c>
      <c r="BF20" s="188">
        <v>875853706.38999999</v>
      </c>
      <c r="BG20" s="188">
        <v>569722524.78999996</v>
      </c>
      <c r="BH20" s="188">
        <v>401170213.18000001</v>
      </c>
      <c r="BI20" s="188">
        <v>977294613.25999999</v>
      </c>
      <c r="BJ20" s="188">
        <v>596289156.77999997</v>
      </c>
      <c r="BK20" s="188">
        <v>411236381.69</v>
      </c>
      <c r="BL20" s="188">
        <v>341442542.75</v>
      </c>
      <c r="BM20" s="188">
        <v>649370371.51999998</v>
      </c>
      <c r="BN20" s="188">
        <v>528332133.20999998</v>
      </c>
      <c r="BO20" s="188">
        <v>401886002.19999999</v>
      </c>
      <c r="BP20" s="188">
        <v>338004856.94999999</v>
      </c>
      <c r="BQ20" s="188">
        <v>607278206.25</v>
      </c>
      <c r="BR20" s="188">
        <v>372992200</v>
      </c>
      <c r="BS20" s="188">
        <v>444845400.13</v>
      </c>
      <c r="BT20" s="188">
        <v>353592633.87</v>
      </c>
      <c r="BU20" s="188">
        <v>218965723.72</v>
      </c>
      <c r="BV20" s="188">
        <v>0</v>
      </c>
    </row>
    <row r="21" spans="1:74" x14ac:dyDescent="0.25">
      <c r="A21" s="188" t="s">
        <v>208</v>
      </c>
      <c r="B21" s="188">
        <v>9005963447.6000004</v>
      </c>
      <c r="C21" s="188">
        <v>5798614348.8000002</v>
      </c>
      <c r="D21" s="188">
        <v>3041997000.2800002</v>
      </c>
      <c r="E21" s="188">
        <v>9733648906.6000004</v>
      </c>
      <c r="F21" s="188">
        <v>7131368591.2299995</v>
      </c>
      <c r="G21" s="188">
        <v>4039090821.9699998</v>
      </c>
      <c r="H21" s="188">
        <v>2210206968.8800001</v>
      </c>
      <c r="I21" s="188">
        <v>6027237847.2299995</v>
      </c>
      <c r="J21" s="188">
        <v>4707793040.1099997</v>
      </c>
      <c r="K21" s="188">
        <v>3388082316.0900002</v>
      </c>
      <c r="L21" s="188">
        <v>1994656882.6400001</v>
      </c>
      <c r="M21" s="188">
        <v>5546718336.1199999</v>
      </c>
      <c r="N21" s="188">
        <v>4035440224.8800001</v>
      </c>
      <c r="O21" s="188">
        <v>2784913019.29</v>
      </c>
      <c r="P21" s="188">
        <v>1573695806.3099999</v>
      </c>
      <c r="Q21" s="188">
        <v>5612970927.5</v>
      </c>
      <c r="R21" s="188">
        <v>3803506856.02</v>
      </c>
      <c r="S21" s="188">
        <v>2558640928.77</v>
      </c>
      <c r="T21" s="188">
        <v>1359416643.96</v>
      </c>
      <c r="U21" s="188">
        <v>5467460544.9200001</v>
      </c>
      <c r="V21" s="188">
        <v>4005211849.6700001</v>
      </c>
      <c r="W21" s="188">
        <v>2504491374.79</v>
      </c>
      <c r="X21" s="188">
        <v>1344524985.23</v>
      </c>
      <c r="Y21" s="188">
        <v>4692039766.9899998</v>
      </c>
      <c r="Z21" s="188">
        <v>3647276882.3000002</v>
      </c>
      <c r="AA21" s="188">
        <v>2451236642.1199999</v>
      </c>
      <c r="AB21" s="188">
        <v>1045438170.21</v>
      </c>
      <c r="AC21" s="188">
        <v>3084336666.1799998</v>
      </c>
      <c r="AD21" s="188">
        <v>2348839939.0999999</v>
      </c>
      <c r="AE21" s="188">
        <v>1721040697.47</v>
      </c>
      <c r="AF21" s="188">
        <v>662814727.08000004</v>
      </c>
      <c r="AG21" s="188">
        <v>1822655234.4000001</v>
      </c>
      <c r="AH21" s="188">
        <v>1484679876.53</v>
      </c>
      <c r="AI21" s="188">
        <v>1102953708.7</v>
      </c>
      <c r="AJ21" s="188">
        <v>448397873.24000001</v>
      </c>
      <c r="AK21" s="188">
        <v>1527650940.6400001</v>
      </c>
      <c r="AL21" s="188">
        <v>1325571242.9100001</v>
      </c>
      <c r="AM21" s="188">
        <v>976956902.29999995</v>
      </c>
      <c r="AN21" s="188">
        <v>426202592.50999999</v>
      </c>
      <c r="AO21" s="188">
        <v>1384541295.05</v>
      </c>
      <c r="AP21" s="188">
        <v>1099692138.5999999</v>
      </c>
      <c r="AQ21" s="188">
        <v>783585037.86000001</v>
      </c>
      <c r="AR21" s="188">
        <v>305509033.30000001</v>
      </c>
      <c r="AS21" s="188">
        <v>1555972506.98</v>
      </c>
      <c r="AT21" s="188">
        <v>838824810.53999996</v>
      </c>
      <c r="AU21" s="188">
        <v>467112109.42000002</v>
      </c>
      <c r="AV21" s="188">
        <v>312727702.22000003</v>
      </c>
      <c r="AW21" s="188">
        <v>913878754.97000003</v>
      </c>
      <c r="AX21" s="188">
        <v>573234513.25999999</v>
      </c>
      <c r="AY21" s="188">
        <v>337994016.10000002</v>
      </c>
      <c r="AZ21" s="188">
        <v>203934016.81999999</v>
      </c>
      <c r="BA21" s="188">
        <v>751124237.92999995</v>
      </c>
      <c r="BB21" s="188">
        <v>416147739.11000001</v>
      </c>
      <c r="BC21" s="188">
        <v>254095014.83000001</v>
      </c>
      <c r="BD21" s="188">
        <v>173567381.47999999</v>
      </c>
      <c r="BE21" s="188">
        <v>636500339.35000002</v>
      </c>
      <c r="BF21" s="188">
        <v>337778231.50999999</v>
      </c>
      <c r="BG21" s="188">
        <v>205660460.36000001</v>
      </c>
      <c r="BH21" s="188">
        <v>129839421.97</v>
      </c>
      <c r="BI21" s="188">
        <v>368541117.19999999</v>
      </c>
      <c r="BJ21" s="188">
        <v>226477466.31</v>
      </c>
      <c r="BK21" s="188">
        <v>148750335.91</v>
      </c>
      <c r="BL21" s="188">
        <v>116318861.01000001</v>
      </c>
      <c r="BM21" s="188">
        <v>256784400.75</v>
      </c>
      <c r="BN21" s="188">
        <v>208225146.55000001</v>
      </c>
      <c r="BO21" s="188">
        <v>155530625.22999999</v>
      </c>
      <c r="BP21" s="188">
        <v>124206524.16</v>
      </c>
      <c r="BQ21" s="188">
        <v>264912397.47999999</v>
      </c>
      <c r="BR21" s="188">
        <v>142925129</v>
      </c>
      <c r="BS21" s="188">
        <v>189560588.75</v>
      </c>
      <c r="BT21" s="188">
        <v>137902505.22</v>
      </c>
      <c r="BU21" s="188">
        <v>72074304.109999999</v>
      </c>
      <c r="BV21" s="188">
        <v>0</v>
      </c>
    </row>
    <row r="22" spans="1:74" x14ac:dyDescent="0.25">
      <c r="A22" s="188" t="s">
        <v>209</v>
      </c>
      <c r="B22" s="188">
        <v>26571354958.669998</v>
      </c>
      <c r="C22" s="188">
        <v>16921352445.58</v>
      </c>
      <c r="D22" s="188">
        <v>9130535753.2999992</v>
      </c>
      <c r="E22" s="188">
        <v>29006423236</v>
      </c>
      <c r="F22" s="188">
        <v>21361469066.810001</v>
      </c>
      <c r="G22" s="188">
        <v>12044438696.030001</v>
      </c>
      <c r="H22" s="188">
        <v>6544833459.0699997</v>
      </c>
      <c r="I22" s="188">
        <v>17930643109.880001</v>
      </c>
      <c r="J22" s="188">
        <v>13330191781.889999</v>
      </c>
      <c r="K22" s="188">
        <v>9377202963.1499996</v>
      </c>
      <c r="L22" s="188">
        <v>5212078652.4799995</v>
      </c>
      <c r="M22" s="188">
        <v>16454996625.219999</v>
      </c>
      <c r="N22" s="188">
        <v>12126789326.870001</v>
      </c>
      <c r="O22" s="188">
        <v>8364520508.6099997</v>
      </c>
      <c r="P22" s="188">
        <v>4628320416.9099998</v>
      </c>
      <c r="Q22" s="188">
        <v>16269371509.83</v>
      </c>
      <c r="R22" s="188">
        <v>11375689707.879999</v>
      </c>
      <c r="S22" s="188">
        <v>7664538017.5900002</v>
      </c>
      <c r="T22" s="188">
        <v>3952933461</v>
      </c>
      <c r="U22" s="188">
        <v>15964899881.049999</v>
      </c>
      <c r="V22" s="188">
        <v>11662175309.98</v>
      </c>
      <c r="W22" s="188">
        <v>7620914791.3100004</v>
      </c>
      <c r="X22" s="188">
        <v>3773363242.9899998</v>
      </c>
      <c r="Y22" s="188">
        <v>14008450702.17</v>
      </c>
      <c r="Z22" s="188">
        <v>10937979773.700001</v>
      </c>
      <c r="AA22" s="188">
        <v>7348939538.5500002</v>
      </c>
      <c r="AB22" s="188">
        <v>3129490790.7399998</v>
      </c>
      <c r="AC22" s="188">
        <v>9250323807.6200008</v>
      </c>
      <c r="AD22" s="188">
        <v>6930714312.6099997</v>
      </c>
      <c r="AE22" s="188">
        <v>5166306192.5299997</v>
      </c>
      <c r="AF22" s="188">
        <v>1991291329.6400001</v>
      </c>
      <c r="AG22" s="188">
        <v>5339761496.9700003</v>
      </c>
      <c r="AH22" s="188">
        <v>4411104477.8299999</v>
      </c>
      <c r="AI22" s="188">
        <v>3274562600.0700002</v>
      </c>
      <c r="AJ22" s="188">
        <v>1344382797.8099999</v>
      </c>
      <c r="AK22" s="188">
        <v>4552888944</v>
      </c>
      <c r="AL22" s="188">
        <v>3979795618.1999998</v>
      </c>
      <c r="AM22" s="188">
        <v>2928842256.25</v>
      </c>
      <c r="AN22" s="188">
        <v>1278840567.8199999</v>
      </c>
      <c r="AO22" s="188">
        <v>4000759343.1100001</v>
      </c>
      <c r="AP22" s="188">
        <v>3304198781</v>
      </c>
      <c r="AQ22" s="188">
        <v>2351939273.6300001</v>
      </c>
      <c r="AR22" s="188">
        <v>917048744.59000003</v>
      </c>
      <c r="AS22" s="188">
        <v>2966052508.9499998</v>
      </c>
      <c r="AT22" s="188">
        <v>1669221956.1800001</v>
      </c>
      <c r="AU22" s="188">
        <v>893948241.40999997</v>
      </c>
      <c r="AV22" s="188">
        <v>561440706.10000002</v>
      </c>
      <c r="AW22" s="188">
        <v>1574308238.46</v>
      </c>
      <c r="AX22" s="188">
        <v>994042507.13999999</v>
      </c>
      <c r="AY22" s="188">
        <v>634070818.38</v>
      </c>
      <c r="AZ22" s="188">
        <v>468500544.70999998</v>
      </c>
      <c r="BA22" s="188">
        <v>1169122125.71</v>
      </c>
      <c r="BB22" s="188">
        <v>734632419.82000005</v>
      </c>
      <c r="BC22" s="188">
        <v>502705034.94</v>
      </c>
      <c r="BD22" s="188">
        <v>383941417.25999999</v>
      </c>
      <c r="BE22" s="188">
        <v>854172175.46000004</v>
      </c>
      <c r="BF22" s="188">
        <v>538075474.88</v>
      </c>
      <c r="BG22" s="188">
        <v>364062064.43000001</v>
      </c>
      <c r="BH22" s="188">
        <v>271330791.20999998</v>
      </c>
      <c r="BI22" s="188">
        <v>608753496.05999994</v>
      </c>
      <c r="BJ22" s="188">
        <v>369811690.47000003</v>
      </c>
      <c r="BK22" s="188">
        <v>262486045.78</v>
      </c>
      <c r="BL22" s="188">
        <v>225123681.74000001</v>
      </c>
      <c r="BM22" s="188">
        <v>392585970.76999998</v>
      </c>
      <c r="BN22" s="188">
        <v>320106986.66000003</v>
      </c>
      <c r="BO22" s="188">
        <v>246355376.97</v>
      </c>
      <c r="BP22" s="188">
        <v>213798332.78999999</v>
      </c>
      <c r="BQ22" s="188">
        <v>342365808.76999998</v>
      </c>
      <c r="BR22" s="188">
        <v>230067061.15000001</v>
      </c>
      <c r="BS22" s="188">
        <v>255284811.38</v>
      </c>
      <c r="BT22" s="188">
        <v>215690128.65000001</v>
      </c>
      <c r="BU22" s="188">
        <v>146891419.61000001</v>
      </c>
      <c r="BV22" s="188">
        <v>0</v>
      </c>
    </row>
    <row r="23" spans="1:74" x14ac:dyDescent="0.25">
      <c r="A23" s="188" t="s">
        <v>210</v>
      </c>
      <c r="B23" s="188">
        <v>24733552720.330002</v>
      </c>
      <c r="C23" s="188">
        <v>15764185782.66</v>
      </c>
      <c r="D23" s="188">
        <v>8506906678.1999998</v>
      </c>
      <c r="E23" s="188">
        <v>27079360255.740002</v>
      </c>
      <c r="F23" s="188">
        <v>19983846984.099998</v>
      </c>
      <c r="G23" s="188">
        <v>11250860929.709999</v>
      </c>
      <c r="H23" s="188">
        <v>6123119324.1300001</v>
      </c>
      <c r="I23" s="188">
        <v>16718362734.16</v>
      </c>
      <c r="J23" s="188">
        <v>12465577764.139999</v>
      </c>
      <c r="K23" s="188">
        <v>8802637138.0200005</v>
      </c>
      <c r="L23" s="188">
        <v>4889271595.3199997</v>
      </c>
      <c r="M23" s="188">
        <v>15503090276.379999</v>
      </c>
      <c r="N23" s="188">
        <v>11424637743.709999</v>
      </c>
      <c r="O23" s="188">
        <v>7888232276.1700001</v>
      </c>
      <c r="P23" s="188">
        <v>4364901720.8900003</v>
      </c>
      <c r="Q23" s="188">
        <v>15349804322.27</v>
      </c>
      <c r="R23" s="188">
        <v>10693329220.860001</v>
      </c>
      <c r="S23" s="188">
        <v>7229853849.5200005</v>
      </c>
      <c r="T23" s="188">
        <v>3699386271.7199998</v>
      </c>
      <c r="U23" s="188">
        <v>15136639784.35</v>
      </c>
      <c r="V23" s="188">
        <v>11070194524.15</v>
      </c>
      <c r="W23" s="188">
        <v>7247944730.1599998</v>
      </c>
      <c r="X23" s="188">
        <v>3593098133.6700001</v>
      </c>
      <c r="Y23" s="188">
        <v>13308079612.879999</v>
      </c>
      <c r="Z23" s="188">
        <v>10420059216.870001</v>
      </c>
      <c r="AA23" s="188">
        <v>6995721596.4099998</v>
      </c>
      <c r="AB23" s="188">
        <v>2969215795.73</v>
      </c>
      <c r="AC23" s="188">
        <v>8763145910.2299995</v>
      </c>
      <c r="AD23" s="188">
        <v>6569084644.2200003</v>
      </c>
      <c r="AE23" s="188">
        <v>4907177141.5299997</v>
      </c>
      <c r="AF23" s="188">
        <v>1883994974.9300001</v>
      </c>
      <c r="AG23" s="188">
        <v>5051194218.2600002</v>
      </c>
      <c r="AH23" s="188">
        <v>4174173993.2600002</v>
      </c>
      <c r="AI23" s="188">
        <v>3099757305.23</v>
      </c>
      <c r="AJ23" s="188">
        <v>1265662575.4100001</v>
      </c>
      <c r="AK23" s="188">
        <v>4312446124.7299995</v>
      </c>
      <c r="AL23" s="188">
        <v>3786951421.6700001</v>
      </c>
      <c r="AM23" s="188">
        <v>2790276484.0999999</v>
      </c>
      <c r="AN23" s="188">
        <v>1217009471.6600001</v>
      </c>
      <c r="AO23" s="188">
        <v>3799480558.5100002</v>
      </c>
      <c r="AP23" s="188">
        <v>3144758854.4000001</v>
      </c>
      <c r="AQ23" s="188">
        <v>2239561076</v>
      </c>
      <c r="AR23" s="188">
        <v>873354083.27999997</v>
      </c>
      <c r="AS23" s="188">
        <v>2830831594.3600001</v>
      </c>
      <c r="AT23" s="188">
        <v>1590494595.6500001</v>
      </c>
      <c r="AU23" s="188">
        <v>849723688.96000004</v>
      </c>
      <c r="AV23" s="188">
        <v>536077463.36000001</v>
      </c>
      <c r="AW23" s="188">
        <v>1504116840.49</v>
      </c>
      <c r="AX23" s="188">
        <v>950993361.80999994</v>
      </c>
      <c r="AY23" s="188">
        <v>605250279.90999997</v>
      </c>
      <c r="AZ23" s="188">
        <v>449590769.88</v>
      </c>
      <c r="BA23" s="188">
        <v>1118541629.3699999</v>
      </c>
      <c r="BB23" s="188">
        <v>702485675.25</v>
      </c>
      <c r="BC23" s="188">
        <v>480786925.85000002</v>
      </c>
      <c r="BD23" s="188">
        <v>369139390.74000001</v>
      </c>
      <c r="BE23" s="188">
        <v>820553997.19000006</v>
      </c>
      <c r="BF23" s="188">
        <v>515569148.98000002</v>
      </c>
      <c r="BG23" s="188">
        <v>349084192.5</v>
      </c>
      <c r="BH23" s="188">
        <v>261503821.72</v>
      </c>
      <c r="BI23" s="188">
        <v>586747838.26999998</v>
      </c>
      <c r="BJ23" s="188">
        <v>354499724.25</v>
      </c>
      <c r="BK23" s="188">
        <v>252520818.55000001</v>
      </c>
      <c r="BL23" s="188">
        <v>217609019.5</v>
      </c>
      <c r="BM23" s="188">
        <v>376798521.36000001</v>
      </c>
      <c r="BN23" s="188">
        <v>309250570</v>
      </c>
      <c r="BO23" s="188">
        <v>238275978.99000001</v>
      </c>
      <c r="BP23" s="188">
        <v>206448262.49000001</v>
      </c>
      <c r="BQ23" s="188">
        <v>328290723.13999999</v>
      </c>
      <c r="BR23" s="188">
        <v>223407942.66999999</v>
      </c>
      <c r="BS23" s="188">
        <v>249558877.77000001</v>
      </c>
      <c r="BT23" s="188">
        <v>215690128.65000001</v>
      </c>
      <c r="BU23" s="188">
        <v>146891419.61000001</v>
      </c>
      <c r="BV23" s="188">
        <v>0</v>
      </c>
    </row>
    <row r="24" spans="1:74" x14ac:dyDescent="0.25">
      <c r="A24" s="188" t="s">
        <v>211</v>
      </c>
      <c r="B24" s="188">
        <v>1837802238.3399999</v>
      </c>
      <c r="C24" s="188">
        <v>1157166662.9200001</v>
      </c>
      <c r="D24" s="188">
        <v>623629075.10000002</v>
      </c>
      <c r="E24" s="188">
        <v>1927062980.26</v>
      </c>
      <c r="F24" s="188">
        <v>1377622082.71</v>
      </c>
      <c r="G24" s="188">
        <v>793577766.32000005</v>
      </c>
      <c r="H24" s="188">
        <v>421714134.94</v>
      </c>
      <c r="I24" s="188">
        <v>1212280375.72</v>
      </c>
      <c r="J24" s="188">
        <v>864614017.75</v>
      </c>
      <c r="K24" s="188">
        <v>574565825.13</v>
      </c>
      <c r="L24" s="188">
        <v>322807057.16000003</v>
      </c>
      <c r="M24" s="188">
        <v>951906348.84000003</v>
      </c>
      <c r="N24" s="188">
        <v>702151583.15999997</v>
      </c>
      <c r="O24" s="188">
        <v>476288232.44</v>
      </c>
      <c r="P24" s="188">
        <v>263418696.02000001</v>
      </c>
      <c r="Q24" s="188">
        <v>919567187.55999994</v>
      </c>
      <c r="R24" s="188">
        <v>682360487.01999998</v>
      </c>
      <c r="S24" s="188">
        <v>434684168.06999999</v>
      </c>
      <c r="T24" s="188">
        <v>253547189.28</v>
      </c>
      <c r="U24" s="188">
        <v>828260096.70000005</v>
      </c>
      <c r="V24" s="188">
        <v>591980785.83000004</v>
      </c>
      <c r="W24" s="188">
        <v>372970061.14999998</v>
      </c>
      <c r="X24" s="188">
        <v>180265109.31999999</v>
      </c>
      <c r="Y24" s="188">
        <v>700371089.28999996</v>
      </c>
      <c r="Z24" s="188">
        <v>517920556.82999998</v>
      </c>
      <c r="AA24" s="188">
        <v>353217942.13999999</v>
      </c>
      <c r="AB24" s="188">
        <v>160274995.00999999</v>
      </c>
      <c r="AC24" s="188">
        <v>487177897.38999999</v>
      </c>
      <c r="AD24" s="188">
        <v>361629668.38999999</v>
      </c>
      <c r="AE24" s="188">
        <v>259129051</v>
      </c>
      <c r="AF24" s="188">
        <v>107296354.70999999</v>
      </c>
      <c r="AG24" s="188">
        <v>288567278.70999998</v>
      </c>
      <c r="AH24" s="188">
        <v>236930484.56999999</v>
      </c>
      <c r="AI24" s="188">
        <v>174805294.84</v>
      </c>
      <c r="AJ24" s="188">
        <v>78720222.400000006</v>
      </c>
      <c r="AK24" s="188">
        <v>240442819.27000001</v>
      </c>
      <c r="AL24" s="188">
        <v>192844196.53</v>
      </c>
      <c r="AM24" s="188">
        <v>138565772.15000001</v>
      </c>
      <c r="AN24" s="188">
        <v>61831096.159999996</v>
      </c>
      <c r="AO24" s="188">
        <v>201278784.59999999</v>
      </c>
      <c r="AP24" s="188">
        <v>159439926.59999999</v>
      </c>
      <c r="AQ24" s="188">
        <v>112378197.63</v>
      </c>
      <c r="AR24" s="188">
        <v>43694661.310000002</v>
      </c>
      <c r="AS24" s="188">
        <v>135220914.59</v>
      </c>
      <c r="AT24" s="188">
        <v>78727360.530000001</v>
      </c>
      <c r="AU24" s="188">
        <v>44224552.450000003</v>
      </c>
      <c r="AV24" s="188">
        <v>25363242.739999998</v>
      </c>
      <c r="AW24" s="188">
        <v>70191397.969999999</v>
      </c>
      <c r="AX24" s="188">
        <v>43049145.329999998</v>
      </c>
      <c r="AY24" s="188">
        <v>28820538.469999999</v>
      </c>
      <c r="AZ24" s="188">
        <v>18909774.829999998</v>
      </c>
      <c r="BA24" s="188">
        <v>50580496.340000004</v>
      </c>
      <c r="BB24" s="188">
        <v>32146744.57</v>
      </c>
      <c r="BC24" s="188">
        <v>21918109.09</v>
      </c>
      <c r="BD24" s="188">
        <v>14802026.52</v>
      </c>
      <c r="BE24" s="188">
        <v>33618178.270000003</v>
      </c>
      <c r="BF24" s="188">
        <v>22506325.899999999</v>
      </c>
      <c r="BG24" s="188">
        <v>14977871.93</v>
      </c>
      <c r="BH24" s="188">
        <v>9826969.4900000002</v>
      </c>
      <c r="BI24" s="188">
        <v>22005657.789999999</v>
      </c>
      <c r="BJ24" s="188">
        <v>15311966.220000001</v>
      </c>
      <c r="BK24" s="188">
        <v>9965227.2300000004</v>
      </c>
      <c r="BL24" s="188">
        <v>7514662.2400000002</v>
      </c>
      <c r="BM24" s="188">
        <v>15787449.41</v>
      </c>
      <c r="BN24" s="188">
        <v>10856416.66</v>
      </c>
      <c r="BO24" s="188">
        <v>8079397.9800000004</v>
      </c>
      <c r="BP24" s="188">
        <v>7350070.2999999998</v>
      </c>
      <c r="BQ24" s="188">
        <v>14075085.630000001</v>
      </c>
      <c r="BR24" s="188">
        <v>6659118.4800000004</v>
      </c>
      <c r="BS24" s="188">
        <v>5725933.6100000003</v>
      </c>
      <c r="BT24" s="188">
        <v>0</v>
      </c>
      <c r="BU24" s="188">
        <v>0</v>
      </c>
      <c r="BV24" s="188">
        <v>0</v>
      </c>
    </row>
    <row r="25" spans="1:74" x14ac:dyDescent="0.25">
      <c r="A25" s="188" t="s">
        <v>212</v>
      </c>
    </row>
    <row r="26" spans="1:74" x14ac:dyDescent="0.25">
      <c r="A26" s="188" t="s">
        <v>213</v>
      </c>
      <c r="B26" s="188">
        <v>19.690000000000001</v>
      </c>
      <c r="C26" s="188">
        <v>12.55</v>
      </c>
      <c r="D26" s="188">
        <v>6.77</v>
      </c>
      <c r="E26" s="188">
        <v>21.56</v>
      </c>
      <c r="F26" s="188">
        <v>15.91</v>
      </c>
      <c r="G26" s="188">
        <v>8.9600000000000009</v>
      </c>
      <c r="H26" s="188">
        <v>4.87</v>
      </c>
      <c r="I26" s="188">
        <v>13.31</v>
      </c>
      <c r="J26" s="188">
        <v>9.92</v>
      </c>
      <c r="K26" s="188">
        <v>7.01</v>
      </c>
      <c r="L26" s="188">
        <v>3.89</v>
      </c>
      <c r="M26" s="188">
        <v>12.34</v>
      </c>
      <c r="N26" s="188">
        <v>9.09</v>
      </c>
      <c r="O26" s="188">
        <v>6.91</v>
      </c>
      <c r="P26" s="188">
        <v>3.82</v>
      </c>
      <c r="Q26" s="188">
        <v>13.44</v>
      </c>
      <c r="R26" s="188">
        <v>9.36</v>
      </c>
      <c r="S26" s="188">
        <v>6.33</v>
      </c>
      <c r="T26" s="188">
        <v>3.56</v>
      </c>
      <c r="U26" s="188">
        <v>14.58</v>
      </c>
      <c r="V26" s="188">
        <v>10.66</v>
      </c>
      <c r="W26" s="188">
        <v>6.98</v>
      </c>
      <c r="X26" s="188">
        <v>3.46</v>
      </c>
      <c r="Y26" s="188">
        <v>12.82</v>
      </c>
      <c r="Z26" s="188">
        <v>10.039999999999999</v>
      </c>
      <c r="AA26" s="188">
        <v>6.74</v>
      </c>
      <c r="AB26" s="188">
        <v>2.86</v>
      </c>
      <c r="AC26" s="188">
        <v>8.44</v>
      </c>
      <c r="AD26" s="188">
        <v>6.33</v>
      </c>
      <c r="AE26" s="188">
        <v>5.2</v>
      </c>
      <c r="AF26" s="188">
        <v>2</v>
      </c>
      <c r="AG26" s="188">
        <v>5.35</v>
      </c>
      <c r="AH26" s="188">
        <v>4.42</v>
      </c>
      <c r="AI26" s="188">
        <v>3.28</v>
      </c>
      <c r="AJ26" s="188">
        <v>1.34</v>
      </c>
      <c r="AK26" s="188">
        <v>4.57</v>
      </c>
      <c r="AL26" s="188">
        <v>4.01</v>
      </c>
      <c r="AM26" s="188">
        <v>2.96</v>
      </c>
      <c r="AN26" s="188">
        <v>1.29</v>
      </c>
      <c r="AO26" s="188">
        <v>4.03</v>
      </c>
      <c r="AP26" s="188">
        <v>3.33</v>
      </c>
      <c r="AQ26" s="188">
        <v>2.37</v>
      </c>
      <c r="AR26" s="188">
        <v>0.93</v>
      </c>
      <c r="AS26" s="188">
        <v>3</v>
      </c>
      <c r="AT26" s="188">
        <v>1.69</v>
      </c>
      <c r="AU26" s="188">
        <v>0.9</v>
      </c>
      <c r="AV26" s="188">
        <v>0.56999999999999995</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v>0</v>
      </c>
      <c r="BV26" s="188">
        <v>0</v>
      </c>
    </row>
    <row r="27" spans="1:74" x14ac:dyDescent="0.25">
      <c r="A27" s="188" t="s">
        <v>214</v>
      </c>
      <c r="B27" s="188">
        <v>19.690000000000001</v>
      </c>
      <c r="C27" s="188">
        <v>12.55</v>
      </c>
      <c r="D27" s="188">
        <v>6.77</v>
      </c>
      <c r="E27" s="188">
        <v>21.56</v>
      </c>
      <c r="F27" s="188">
        <v>15.91</v>
      </c>
      <c r="G27" s="188">
        <v>8.9600000000000009</v>
      </c>
      <c r="H27" s="188">
        <v>4.87</v>
      </c>
      <c r="I27" s="188">
        <v>13.31</v>
      </c>
      <c r="J27" s="188">
        <v>9.92</v>
      </c>
      <c r="K27" s="188">
        <v>7.01</v>
      </c>
      <c r="L27" s="188">
        <v>3.89</v>
      </c>
      <c r="M27" s="188">
        <v>12.34</v>
      </c>
      <c r="N27" s="188">
        <v>9.09</v>
      </c>
      <c r="O27" s="188">
        <v>6.91</v>
      </c>
      <c r="P27" s="188">
        <v>3.82</v>
      </c>
      <c r="Q27" s="188">
        <v>13.44</v>
      </c>
      <c r="R27" s="188">
        <v>9.36</v>
      </c>
      <c r="S27" s="188">
        <v>6.33</v>
      </c>
      <c r="T27" s="188">
        <v>3.56</v>
      </c>
      <c r="U27" s="188">
        <v>14.58</v>
      </c>
      <c r="V27" s="188">
        <v>10.66</v>
      </c>
      <c r="W27" s="188">
        <v>6.98</v>
      </c>
      <c r="X27" s="188">
        <v>3.46</v>
      </c>
      <c r="Y27" s="188">
        <v>12.82</v>
      </c>
      <c r="Z27" s="188">
        <v>10.039999999999999</v>
      </c>
      <c r="AA27" s="188">
        <v>6.74</v>
      </c>
      <c r="AB27" s="188">
        <v>2.86</v>
      </c>
      <c r="AC27" s="188">
        <v>8.44</v>
      </c>
      <c r="AD27" s="188">
        <v>6.33</v>
      </c>
      <c r="AE27" s="188">
        <v>5.2</v>
      </c>
      <c r="AF27" s="188">
        <v>2</v>
      </c>
      <c r="AG27" s="188">
        <v>5.35</v>
      </c>
      <c r="AH27" s="188">
        <v>4.42</v>
      </c>
      <c r="AI27" s="188">
        <v>3.28</v>
      </c>
      <c r="AJ27" s="188">
        <v>1.34</v>
      </c>
      <c r="AK27" s="188">
        <v>4.57</v>
      </c>
      <c r="AL27" s="188">
        <v>4.01</v>
      </c>
      <c r="AM27" s="188">
        <v>2.96</v>
      </c>
      <c r="AN27" s="188">
        <v>0</v>
      </c>
      <c r="AO27" s="188">
        <v>4.03</v>
      </c>
      <c r="AP27" s="188">
        <v>3.33</v>
      </c>
      <c r="AQ27" s="188">
        <v>2.37</v>
      </c>
      <c r="AR27" s="188">
        <v>0</v>
      </c>
      <c r="AS27" s="188">
        <v>3</v>
      </c>
      <c r="AT27" s="188">
        <v>1.69</v>
      </c>
      <c r="AU27" s="188">
        <v>0.9</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0</v>
      </c>
      <c r="BS27" s="188">
        <v>0</v>
      </c>
      <c r="BT27" s="188">
        <v>0</v>
      </c>
      <c r="BU27" s="188">
        <v>0</v>
      </c>
      <c r="BV27" s="188">
        <v>0</v>
      </c>
    </row>
    <row r="28" spans="1:74" x14ac:dyDescent="0.25">
      <c r="A28" s="188" t="s">
        <v>215</v>
      </c>
      <c r="B28" s="188">
        <v>1472775.26</v>
      </c>
      <c r="C28" s="188">
        <v>-1112190.02</v>
      </c>
      <c r="D28" s="188">
        <v>-482072.99</v>
      </c>
      <c r="E28" s="188">
        <v>3839265.16</v>
      </c>
      <c r="F28" s="188">
        <v>4011233.4</v>
      </c>
      <c r="G28" s="188">
        <v>3447000.51</v>
      </c>
      <c r="H28" s="188">
        <v>511001.79</v>
      </c>
      <c r="I28" s="188">
        <v>1793233.91</v>
      </c>
      <c r="J28" s="188">
        <v>3205168.24</v>
      </c>
      <c r="K28" s="188">
        <v>2292209.29</v>
      </c>
      <c r="L28" s="188">
        <v>3517202.39</v>
      </c>
      <c r="M28" s="188">
        <v>-12415031.48</v>
      </c>
      <c r="N28" s="188">
        <v>-11853282.279999999</v>
      </c>
      <c r="O28" s="188">
        <v>-14289160.189999999</v>
      </c>
      <c r="P28" s="188">
        <v>-10342175.050000001</v>
      </c>
      <c r="Q28" s="188">
        <v>-619043.99</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v>0</v>
      </c>
      <c r="BU28" s="188">
        <v>0</v>
      </c>
      <c r="BV28" s="188">
        <v>0</v>
      </c>
    </row>
    <row r="29" spans="1:74" x14ac:dyDescent="0.25">
      <c r="A29" s="188" t="s">
        <v>216</v>
      </c>
      <c r="B29" s="188">
        <v>26572827733.93</v>
      </c>
      <c r="C29" s="188">
        <v>16920240255.559999</v>
      </c>
      <c r="D29" s="188">
        <v>9130053680.3099995</v>
      </c>
      <c r="E29" s="188">
        <v>29010262501.16</v>
      </c>
      <c r="F29" s="188">
        <v>21365480300.209999</v>
      </c>
      <c r="G29" s="188">
        <v>12047885696.540001</v>
      </c>
      <c r="H29" s="188">
        <v>6545344460.8599997</v>
      </c>
      <c r="I29" s="188">
        <v>17932436343.790001</v>
      </c>
      <c r="J29" s="188">
        <v>13333396950.129999</v>
      </c>
      <c r="K29" s="188">
        <v>9379495172.4400005</v>
      </c>
      <c r="L29" s="188">
        <v>5215595854.8699999</v>
      </c>
      <c r="M29" s="188">
        <v>16442581593.74</v>
      </c>
      <c r="N29" s="188">
        <v>12114936044.59</v>
      </c>
      <c r="O29" s="188">
        <v>8350231348.4200001</v>
      </c>
      <c r="P29" s="188">
        <v>4617978241.8599997</v>
      </c>
      <c r="Q29" s="188">
        <v>16268752465.84</v>
      </c>
      <c r="R29" s="188">
        <v>11375689707.879999</v>
      </c>
      <c r="S29" s="188">
        <v>7664538017.5900002</v>
      </c>
      <c r="T29" s="188">
        <v>3952933461</v>
      </c>
      <c r="U29" s="188">
        <v>15964899881.049999</v>
      </c>
      <c r="V29" s="188">
        <v>11662175309.98</v>
      </c>
      <c r="W29" s="188">
        <v>7620914791.3100004</v>
      </c>
      <c r="X29" s="188">
        <v>3773363242.9899998</v>
      </c>
      <c r="Y29" s="188">
        <v>14008450702.17</v>
      </c>
      <c r="Z29" s="188">
        <v>10937979773.700001</v>
      </c>
      <c r="AA29" s="188">
        <v>7348939538.5500002</v>
      </c>
      <c r="AB29" s="188">
        <v>3129490790.7399998</v>
      </c>
      <c r="AC29" s="188">
        <v>9250323807.6200008</v>
      </c>
      <c r="AD29" s="188">
        <v>6930714312.6099997</v>
      </c>
      <c r="AE29" s="188">
        <v>5166306192.5299997</v>
      </c>
      <c r="AF29" s="188">
        <v>1991291329.6400001</v>
      </c>
      <c r="AG29" s="188">
        <v>0</v>
      </c>
      <c r="AH29" s="188">
        <v>0</v>
      </c>
      <c r="AI29" s="188">
        <v>0</v>
      </c>
      <c r="AJ29" s="188">
        <v>1344382797.8099999</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c r="BV29" s="188">
        <v>0</v>
      </c>
    </row>
    <row r="30" spans="1:74" x14ac:dyDescent="0.25">
      <c r="A30" s="188" t="s">
        <v>217</v>
      </c>
      <c r="B30" s="188">
        <v>24735025495.59</v>
      </c>
      <c r="C30" s="188">
        <v>15763073592.639999</v>
      </c>
      <c r="D30" s="188">
        <v>8506424605.21</v>
      </c>
      <c r="E30" s="188">
        <v>27083199520.900002</v>
      </c>
      <c r="F30" s="188">
        <v>19987858217.5</v>
      </c>
      <c r="G30" s="188">
        <v>11254307930.219999</v>
      </c>
      <c r="H30" s="188">
        <v>6123630325.9200001</v>
      </c>
      <c r="I30" s="188">
        <v>16720155968.07</v>
      </c>
      <c r="J30" s="188">
        <v>12468782932.379999</v>
      </c>
      <c r="K30" s="188">
        <v>8804929347.3099995</v>
      </c>
      <c r="L30" s="188">
        <v>4892788797.71</v>
      </c>
      <c r="M30" s="188">
        <v>15490675244.9</v>
      </c>
      <c r="N30" s="188">
        <v>11412784461.43</v>
      </c>
      <c r="O30" s="188">
        <v>7873943115.9799995</v>
      </c>
      <c r="P30" s="188">
        <v>4354559545.8400002</v>
      </c>
      <c r="Q30" s="188">
        <v>15349185278.280001</v>
      </c>
      <c r="R30" s="188">
        <v>10693329220.860001</v>
      </c>
      <c r="S30" s="188">
        <v>7229853849.5200005</v>
      </c>
      <c r="T30" s="188">
        <v>3699386271.7199998</v>
      </c>
      <c r="U30" s="188">
        <v>15136639784.35</v>
      </c>
      <c r="V30" s="188">
        <v>11070194524.15</v>
      </c>
      <c r="W30" s="188">
        <v>7247944730.1599998</v>
      </c>
      <c r="X30" s="188">
        <v>3593098133.6700001</v>
      </c>
      <c r="Y30" s="188">
        <v>13308079612.879999</v>
      </c>
      <c r="Z30" s="188">
        <v>10420059216.870001</v>
      </c>
      <c r="AA30" s="188">
        <v>6995721596.4099998</v>
      </c>
      <c r="AB30" s="188">
        <v>2969215795.73</v>
      </c>
      <c r="AC30" s="188">
        <v>8763145910.2299995</v>
      </c>
      <c r="AD30" s="188">
        <v>6569084644.2200003</v>
      </c>
      <c r="AE30" s="188">
        <v>4907177141.5299997</v>
      </c>
      <c r="AF30" s="188">
        <v>1883994974.9300001</v>
      </c>
      <c r="AG30" s="188">
        <v>0</v>
      </c>
      <c r="AH30" s="188">
        <v>0</v>
      </c>
      <c r="AI30" s="188">
        <v>0</v>
      </c>
      <c r="AJ30" s="188">
        <v>1265662575.4100001</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c r="BO30" s="188">
        <v>0</v>
      </c>
      <c r="BP30" s="188">
        <v>0</v>
      </c>
      <c r="BQ30" s="188">
        <v>0</v>
      </c>
      <c r="BR30" s="188">
        <v>0</v>
      </c>
      <c r="BS30" s="188">
        <v>0</v>
      </c>
      <c r="BT30" s="188">
        <v>0</v>
      </c>
      <c r="BU30" s="188">
        <v>0</v>
      </c>
      <c r="BV30" s="188">
        <v>0</v>
      </c>
    </row>
    <row r="31" spans="1:74" x14ac:dyDescent="0.25">
      <c r="A31" s="188" t="s">
        <v>218</v>
      </c>
      <c r="B31" s="188">
        <v>1837802238.3399999</v>
      </c>
      <c r="C31" s="188">
        <v>1157166662.9200001</v>
      </c>
      <c r="D31" s="188">
        <v>623629075.10000002</v>
      </c>
      <c r="E31" s="188">
        <v>1927062980.26</v>
      </c>
      <c r="F31" s="188">
        <v>1377622082.71</v>
      </c>
      <c r="G31" s="188">
        <v>793577766.32000005</v>
      </c>
      <c r="H31" s="188">
        <v>421714134.94</v>
      </c>
      <c r="I31" s="188">
        <v>1212280375.72</v>
      </c>
      <c r="J31" s="188">
        <v>864614017.75</v>
      </c>
      <c r="K31" s="188">
        <v>574565825.13</v>
      </c>
      <c r="L31" s="188">
        <v>322807057.16000003</v>
      </c>
      <c r="M31" s="188">
        <v>951906348.84000003</v>
      </c>
      <c r="N31" s="188">
        <v>702151583.15999997</v>
      </c>
      <c r="O31" s="188">
        <v>476288232.44</v>
      </c>
      <c r="P31" s="188">
        <v>263418696.02000001</v>
      </c>
      <c r="Q31" s="188">
        <v>919567187.55999994</v>
      </c>
      <c r="R31" s="188">
        <v>682360487.01999998</v>
      </c>
      <c r="S31" s="188">
        <v>434684168.06999999</v>
      </c>
      <c r="T31" s="188">
        <v>253547189.28</v>
      </c>
      <c r="U31" s="188">
        <v>828260096.70000005</v>
      </c>
      <c r="V31" s="188">
        <v>591980785.83000004</v>
      </c>
      <c r="W31" s="188">
        <v>372970061.14999998</v>
      </c>
      <c r="X31" s="188">
        <v>180265109.31999999</v>
      </c>
      <c r="Y31" s="188">
        <v>700371089.28999996</v>
      </c>
      <c r="Z31" s="188">
        <v>517920556.82999998</v>
      </c>
      <c r="AA31" s="188">
        <v>353217942.13999999</v>
      </c>
      <c r="AB31" s="188">
        <v>160274995.00999999</v>
      </c>
      <c r="AC31" s="188">
        <v>487177897.38999999</v>
      </c>
      <c r="AD31" s="188">
        <v>361629668.38999999</v>
      </c>
      <c r="AE31" s="188">
        <v>259129051</v>
      </c>
      <c r="AF31" s="188">
        <v>107296354.70999999</v>
      </c>
      <c r="AG31" s="188">
        <v>0</v>
      </c>
      <c r="AH31" s="188">
        <v>0</v>
      </c>
      <c r="AI31" s="188">
        <v>0</v>
      </c>
      <c r="AJ31" s="188">
        <v>78720222.400000006</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c r="BS31" s="188">
        <v>0</v>
      </c>
      <c r="BT31" s="188">
        <v>0</v>
      </c>
      <c r="BU31" s="188">
        <v>0</v>
      </c>
      <c r="BV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R77"/>
  <sheetViews>
    <sheetView workbookViewId="0">
      <selection activeCell="A31" sqref="A31"/>
    </sheetView>
  </sheetViews>
  <sheetFormatPr defaultRowHeight="14.4" x14ac:dyDescent="0.25"/>
  <cols>
    <col min="1" max="1" width="57.77734375" style="188" bestFit="1" customWidth="1"/>
    <col min="2" max="4" width="13.88671875" style="188" hidden="1" customWidth="1"/>
    <col min="5" max="5" width="12.777343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6" width="13.88671875" style="188" hidden="1" customWidth="1"/>
    <col min="17" max="17" width="12.77734375" style="188" bestFit="1" customWidth="1"/>
    <col min="18" max="18" width="12.77734375" style="188" hidden="1" customWidth="1"/>
    <col min="19" max="19" width="13.88671875" style="188" hidden="1" customWidth="1"/>
    <col min="20" max="20" width="12.77734375" style="188" hidden="1" customWidth="1"/>
    <col min="21" max="21" width="13.88671875" style="188" bestFit="1" customWidth="1"/>
    <col min="22" max="22" width="12.77734375" style="188" hidden="1" customWidth="1"/>
    <col min="23" max="24" width="13.88671875" style="188" hidden="1" customWidth="1"/>
    <col min="25" max="25" width="13.88671875" style="188" bestFit="1" customWidth="1"/>
    <col min="26" max="26" width="12.77734375" style="188" hidden="1" customWidth="1"/>
    <col min="27" max="28" width="13.88671875" style="188" hidden="1" customWidth="1"/>
    <col min="29" max="29" width="13.88671875" style="188" bestFit="1" customWidth="1"/>
    <col min="30" max="30" width="12.77734375" style="188" hidden="1" customWidth="1"/>
    <col min="31" max="32" width="13.88671875" style="188" hidden="1" customWidth="1"/>
    <col min="33" max="33" width="13.88671875" style="188" bestFit="1" customWidth="1"/>
    <col min="34" max="34" width="12.77734375" style="188" hidden="1" customWidth="1"/>
    <col min="35" max="36" width="13.88671875" style="188" hidden="1" customWidth="1"/>
    <col min="37" max="37" width="13.88671875" style="188" bestFit="1" customWidth="1"/>
    <col min="38" max="40" width="13.88671875" style="188" hidden="1" customWidth="1"/>
    <col min="41" max="41" width="13.88671875" style="188" bestFit="1" customWidth="1"/>
    <col min="42" max="44" width="13.88671875" style="188" hidden="1" customWidth="1"/>
    <col min="45" max="45" width="13.88671875" style="188" bestFit="1" customWidth="1"/>
    <col min="46" max="48" width="13.88671875" style="188" hidden="1" customWidth="1"/>
    <col min="49" max="49" width="13.88671875" style="188" bestFit="1" customWidth="1"/>
    <col min="50" max="52" width="13.88671875" style="188" hidden="1" customWidth="1"/>
    <col min="53" max="53" width="13.88671875" style="188" bestFit="1" customWidth="1"/>
    <col min="54" max="56" width="13.88671875" style="188" hidden="1" customWidth="1"/>
    <col min="57" max="57" width="13.88671875" style="188" bestFit="1" customWidth="1"/>
    <col min="58" max="60" width="13.88671875" style="188" hidden="1" customWidth="1"/>
    <col min="61" max="61" width="13.88671875" style="188" bestFit="1" customWidth="1"/>
    <col min="62" max="64" width="13.88671875" style="188" hidden="1" customWidth="1"/>
    <col min="65" max="65" width="13.88671875" style="188" bestFit="1" customWidth="1"/>
    <col min="66" max="66" width="13.88671875" style="188" hidden="1" customWidth="1"/>
    <col min="67" max="67" width="13.88671875" style="188" bestFit="1" customWidth="1"/>
    <col min="68" max="68" width="13.88671875" style="188" hidden="1" customWidth="1"/>
    <col min="69" max="69" width="13.88671875" style="188" bestFit="1" customWidth="1"/>
    <col min="70" max="70" width="9.5546875" style="188" hidden="1" customWidth="1"/>
    <col min="71" max="16384" width="8.88671875" style="188"/>
  </cols>
  <sheetData>
    <row r="1" spans="1:70" x14ac:dyDescent="0.25">
      <c r="A1" s="188">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20020630</v>
      </c>
      <c r="BO1" s="188">
        <v>20011231</v>
      </c>
      <c r="BP1" s="188">
        <v>20010630</v>
      </c>
      <c r="BQ1" s="188">
        <v>20001231</v>
      </c>
      <c r="BR1" s="188">
        <v>19700101</v>
      </c>
    </row>
    <row r="2" spans="1:70"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c r="BJ2" s="188" t="s">
        <v>106</v>
      </c>
      <c r="BK2" s="188" t="s">
        <v>106</v>
      </c>
      <c r="BL2" s="188" t="s">
        <v>106</v>
      </c>
      <c r="BM2" s="188" t="s">
        <v>106</v>
      </c>
      <c r="BN2" s="188" t="s">
        <v>106</v>
      </c>
      <c r="BO2" s="188" t="s">
        <v>106</v>
      </c>
      <c r="BP2" s="188" t="s">
        <v>106</v>
      </c>
      <c r="BQ2" s="188" t="s">
        <v>106</v>
      </c>
    </row>
    <row r="3" spans="1:70" x14ac:dyDescent="0.25">
      <c r="A3" s="188" t="s">
        <v>219</v>
      </c>
    </row>
    <row r="4" spans="1:70" x14ac:dyDescent="0.25">
      <c r="A4" s="188" t="s">
        <v>220</v>
      </c>
      <c r="B4" s="188">
        <v>57619330306.410004</v>
      </c>
      <c r="C4" s="188">
        <v>34611486701.830002</v>
      </c>
      <c r="D4" s="188">
        <v>19366093290.610001</v>
      </c>
      <c r="E4" s="188">
        <v>64421479343.019997</v>
      </c>
      <c r="F4" s="188">
        <v>48901003501.120003</v>
      </c>
      <c r="G4" s="188">
        <v>28152402920.57</v>
      </c>
      <c r="H4" s="188">
        <v>17391210439.619999</v>
      </c>
      <c r="I4" s="188">
        <v>61012964102.540001</v>
      </c>
      <c r="J4" s="188">
        <v>46386049733.349998</v>
      </c>
      <c r="K4" s="188">
        <v>25749880783.759998</v>
      </c>
      <c r="L4" s="188">
        <v>15490821766.280001</v>
      </c>
      <c r="M4" s="188">
        <v>37083071835.580002</v>
      </c>
      <c r="N4" s="188">
        <v>24477232865.84</v>
      </c>
      <c r="O4" s="188">
        <v>16984694704.92</v>
      </c>
      <c r="P4" s="188">
        <v>10255492585.92</v>
      </c>
      <c r="Q4" s="188">
        <v>33384835714.040001</v>
      </c>
      <c r="R4" s="188">
        <v>22043789017.419998</v>
      </c>
      <c r="S4" s="188">
        <v>14058517766.440001</v>
      </c>
      <c r="T4" s="188">
        <v>7238091747.4399996</v>
      </c>
      <c r="U4" s="188">
        <v>33233870603.650002</v>
      </c>
      <c r="V4" s="188">
        <v>22279996954.57</v>
      </c>
      <c r="W4" s="188">
        <v>11959656578.26</v>
      </c>
      <c r="X4" s="188">
        <v>6160758035.21</v>
      </c>
      <c r="Y4" s="188">
        <v>28912367684.82</v>
      </c>
      <c r="Z4" s="188">
        <v>19826920342.040001</v>
      </c>
      <c r="AA4" s="188">
        <v>12535721525.74</v>
      </c>
      <c r="AB4" s="188">
        <v>5766087219.6000004</v>
      </c>
      <c r="AC4" s="188">
        <v>23659131281.080002</v>
      </c>
      <c r="AD4" s="188">
        <v>18023629691.34</v>
      </c>
      <c r="AE4" s="188">
        <v>11546468176.969999</v>
      </c>
      <c r="AF4" s="188">
        <v>6544163647.0900002</v>
      </c>
      <c r="AG4" s="188">
        <v>14938581885.610001</v>
      </c>
      <c r="AH4" s="188">
        <v>10738917455.57</v>
      </c>
      <c r="AI4" s="188">
        <v>6360486576.4200001</v>
      </c>
      <c r="AJ4" s="188">
        <v>3073704697.75</v>
      </c>
      <c r="AK4" s="188">
        <v>11756243820.83</v>
      </c>
      <c r="AL4" s="188">
        <v>7459722509.0600004</v>
      </c>
      <c r="AM4" s="188">
        <v>4198651823.5999999</v>
      </c>
      <c r="AN4" s="188">
        <v>1870765265.03</v>
      </c>
      <c r="AO4" s="188">
        <v>11275230701.85</v>
      </c>
      <c r="AP4" s="188">
        <v>7405857676.6300001</v>
      </c>
      <c r="AQ4" s="188">
        <v>4568988857.1400003</v>
      </c>
      <c r="AR4" s="188">
        <v>2560048958.8000002</v>
      </c>
      <c r="AS4" s="188">
        <v>7437754281.3400002</v>
      </c>
      <c r="AT4" s="188">
        <v>5298220603.1099997</v>
      </c>
      <c r="AU4" s="188">
        <v>3382733993.4099998</v>
      </c>
      <c r="AV4" s="188">
        <v>1961548939.6600001</v>
      </c>
      <c r="AW4" s="188">
        <v>6140872490.1000004</v>
      </c>
      <c r="AX4" s="188">
        <v>4457700568.5299997</v>
      </c>
      <c r="AY4" s="188">
        <v>2736888169.0799999</v>
      </c>
      <c r="AZ4" s="188">
        <v>1609268366.9400001</v>
      </c>
      <c r="BA4" s="188">
        <v>4976668595.3400002</v>
      </c>
      <c r="BB4" s="188">
        <v>3318894379.77</v>
      </c>
      <c r="BC4" s="188">
        <v>2076306245.0999999</v>
      </c>
      <c r="BD4" s="188">
        <v>1260553705.1400001</v>
      </c>
      <c r="BE4" s="188">
        <v>3646470061.6100001</v>
      </c>
      <c r="BF4" s="188">
        <v>2471054635.8499999</v>
      </c>
      <c r="BG4" s="188">
        <v>1459948868.5</v>
      </c>
      <c r="BH4" s="188">
        <v>825380774.65999997</v>
      </c>
      <c r="BI4" s="188">
        <v>3057788375.3499999</v>
      </c>
      <c r="BJ4" s="188">
        <v>2080861242.0599999</v>
      </c>
      <c r="BK4" s="188">
        <v>1153018889.1400001</v>
      </c>
      <c r="BL4" s="188">
        <v>627432958.78999996</v>
      </c>
      <c r="BM4" s="188">
        <v>2288635492.04</v>
      </c>
      <c r="BN4" s="188">
        <v>1020056872.8</v>
      </c>
      <c r="BO4" s="188">
        <v>1800399443.0899999</v>
      </c>
      <c r="BP4" s="188">
        <v>0</v>
      </c>
      <c r="BQ4" s="188">
        <v>1322877029.52</v>
      </c>
      <c r="BR4" s="188">
        <v>0</v>
      </c>
    </row>
    <row r="5" spans="1:70" x14ac:dyDescent="0.25">
      <c r="A5" s="188" t="s">
        <v>221</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181031.15</v>
      </c>
      <c r="AH5" s="188">
        <v>181031.15</v>
      </c>
      <c r="AI5" s="188">
        <v>181031.15</v>
      </c>
      <c r="AJ5" s="188">
        <v>0</v>
      </c>
      <c r="AK5" s="188">
        <v>0</v>
      </c>
      <c r="AL5" s="188">
        <v>0</v>
      </c>
      <c r="AM5" s="188">
        <v>0</v>
      </c>
      <c r="AN5" s="188">
        <v>0</v>
      </c>
      <c r="AO5" s="188">
        <v>0</v>
      </c>
      <c r="AP5" s="188">
        <v>0</v>
      </c>
      <c r="AQ5" s="188">
        <v>0</v>
      </c>
      <c r="AR5" s="188">
        <v>0</v>
      </c>
      <c r="AS5" s="188">
        <v>0</v>
      </c>
      <c r="AT5" s="188">
        <v>2952037.45</v>
      </c>
      <c r="AU5" s="188">
        <v>2952037.45</v>
      </c>
      <c r="AV5" s="188">
        <v>0</v>
      </c>
      <c r="AW5" s="188">
        <v>0</v>
      </c>
      <c r="AX5" s="188">
        <v>0</v>
      </c>
      <c r="AY5" s="188">
        <v>56235.55</v>
      </c>
      <c r="AZ5" s="188">
        <v>0</v>
      </c>
      <c r="BA5" s="188">
        <v>50557133.43</v>
      </c>
      <c r="BB5" s="188">
        <v>528725.1</v>
      </c>
      <c r="BC5" s="188">
        <v>528725.1</v>
      </c>
      <c r="BD5" s="188">
        <v>455943.93</v>
      </c>
      <c r="BE5" s="188">
        <v>123262072.51000001</v>
      </c>
      <c r="BF5" s="188">
        <v>0</v>
      </c>
      <c r="BG5" s="188">
        <v>347141.04</v>
      </c>
      <c r="BH5" s="188">
        <v>0</v>
      </c>
      <c r="BI5" s="188">
        <v>81417405.400000006</v>
      </c>
      <c r="BJ5" s="188">
        <v>601388</v>
      </c>
      <c r="BK5" s="188">
        <v>0</v>
      </c>
      <c r="BL5" s="188">
        <v>0</v>
      </c>
      <c r="BM5" s="188">
        <v>7215268.8899999997</v>
      </c>
      <c r="BN5" s="188">
        <v>0</v>
      </c>
      <c r="BO5" s="188">
        <v>1846053.69</v>
      </c>
      <c r="BP5" s="188">
        <v>0</v>
      </c>
      <c r="BQ5" s="188">
        <v>4926551.74</v>
      </c>
      <c r="BR5" s="188">
        <v>0</v>
      </c>
    </row>
    <row r="6" spans="1:70" x14ac:dyDescent="0.25">
      <c r="A6" s="188" t="s">
        <v>222</v>
      </c>
      <c r="B6" s="188">
        <v>594104103.41999996</v>
      </c>
      <c r="C6" s="188">
        <v>488566388.94999999</v>
      </c>
      <c r="D6" s="188">
        <v>507166841.00999999</v>
      </c>
      <c r="E6" s="188">
        <v>542162210.47000003</v>
      </c>
      <c r="F6" s="188">
        <v>579053392.16999996</v>
      </c>
      <c r="G6" s="188">
        <v>433271070.20999998</v>
      </c>
      <c r="H6" s="188">
        <v>259991440.63999999</v>
      </c>
      <c r="I6" s="188">
        <v>189142723.94999999</v>
      </c>
      <c r="J6" s="188">
        <v>50756687.759999998</v>
      </c>
      <c r="K6" s="188">
        <v>39694537.32</v>
      </c>
      <c r="L6" s="188">
        <v>25710726.48</v>
      </c>
      <c r="M6" s="188">
        <v>153647241.24000001</v>
      </c>
      <c r="N6" s="188">
        <v>136593409.72999999</v>
      </c>
      <c r="O6" s="188">
        <v>62292291.899999999</v>
      </c>
      <c r="P6" s="188">
        <v>25840896.539999999</v>
      </c>
      <c r="Q6" s="188">
        <v>299729378.89999998</v>
      </c>
      <c r="R6" s="188">
        <v>322155092.51999998</v>
      </c>
      <c r="S6" s="188">
        <v>242413972.09</v>
      </c>
      <c r="T6" s="188">
        <v>195234095.18000001</v>
      </c>
      <c r="U6" s="188">
        <v>585366816.42999995</v>
      </c>
      <c r="V6" s="188">
        <v>392051047.05000001</v>
      </c>
      <c r="W6" s="188">
        <v>282354566.61000001</v>
      </c>
      <c r="X6" s="188">
        <v>216075840.44</v>
      </c>
      <c r="Y6" s="188">
        <v>387671188.50999999</v>
      </c>
      <c r="Z6" s="188">
        <v>267190340.16999999</v>
      </c>
      <c r="AA6" s="188">
        <v>191533473.06999999</v>
      </c>
      <c r="AB6" s="188">
        <v>168499391.15000001</v>
      </c>
      <c r="AC6" s="188">
        <v>181674213.03999999</v>
      </c>
      <c r="AD6" s="188">
        <v>97912339.329999998</v>
      </c>
      <c r="AE6" s="188">
        <v>76591966.849999994</v>
      </c>
      <c r="AF6" s="188">
        <v>58272718.18</v>
      </c>
      <c r="AG6" s="188">
        <v>138196684.25999999</v>
      </c>
      <c r="AH6" s="188">
        <v>64032956.75</v>
      </c>
      <c r="AI6" s="188">
        <v>51762648.520000003</v>
      </c>
      <c r="AJ6" s="188">
        <v>48194874.82</v>
      </c>
      <c r="AK6" s="188">
        <v>185888008.21000001</v>
      </c>
      <c r="AL6" s="188">
        <v>106560447.36</v>
      </c>
      <c r="AM6" s="188">
        <v>103692193.19</v>
      </c>
      <c r="AN6" s="188">
        <v>93036877.430000007</v>
      </c>
      <c r="AO6" s="188">
        <v>242355759.12</v>
      </c>
      <c r="AP6" s="188">
        <v>211905093.25999999</v>
      </c>
      <c r="AQ6" s="188">
        <v>191274102.34</v>
      </c>
      <c r="AR6" s="188">
        <v>170134056.72999999</v>
      </c>
      <c r="AS6" s="188">
        <v>95684682.109999999</v>
      </c>
      <c r="AT6" s="188">
        <v>48906293.119999997</v>
      </c>
      <c r="AU6" s="188">
        <v>48316812.990000002</v>
      </c>
      <c r="AV6" s="188">
        <v>36324558.93</v>
      </c>
      <c r="AW6" s="188">
        <v>41497583.009999998</v>
      </c>
      <c r="AX6" s="188">
        <v>26227246.149999999</v>
      </c>
      <c r="AY6" s="188">
        <v>37415664.25</v>
      </c>
      <c r="AZ6" s="188">
        <v>3211361.84</v>
      </c>
      <c r="BA6" s="188">
        <v>16087755.58</v>
      </c>
      <c r="BB6" s="188">
        <v>17871918.030000001</v>
      </c>
      <c r="BC6" s="188">
        <v>15031118.34</v>
      </c>
      <c r="BD6" s="188">
        <v>8576634.9299999997</v>
      </c>
      <c r="BE6" s="188">
        <v>47576179.270000003</v>
      </c>
      <c r="BF6" s="188">
        <v>24243813.719999999</v>
      </c>
      <c r="BG6" s="188">
        <v>13482072.140000001</v>
      </c>
      <c r="BH6" s="188">
        <v>7883619.9000000004</v>
      </c>
      <c r="BI6" s="188">
        <v>44909156.740000002</v>
      </c>
      <c r="BJ6" s="188">
        <v>30213826.34</v>
      </c>
      <c r="BK6" s="188">
        <v>8787961.4399999995</v>
      </c>
      <c r="BL6" s="188">
        <v>1706571.35</v>
      </c>
      <c r="BM6" s="188">
        <v>32433164.170000002</v>
      </c>
      <c r="BN6" s="188">
        <v>11238690.5</v>
      </c>
      <c r="BO6" s="188">
        <v>44381149.119999997</v>
      </c>
      <c r="BP6" s="188">
        <v>0</v>
      </c>
      <c r="BQ6" s="188">
        <v>2896894.07</v>
      </c>
      <c r="BR6" s="188">
        <v>0</v>
      </c>
    </row>
    <row r="7" spans="1:70" x14ac:dyDescent="0.25">
      <c r="A7" s="188" t="s">
        <v>223</v>
      </c>
      <c r="B7" s="188">
        <v>69026599068.860001</v>
      </c>
      <c r="C7" s="188">
        <v>39344654686.239998</v>
      </c>
      <c r="D7" s="188">
        <v>18402183755.91</v>
      </c>
      <c r="E7" s="188">
        <v>67369462511.809998</v>
      </c>
      <c r="F7" s="188">
        <v>52502357189.650002</v>
      </c>
      <c r="G7" s="188">
        <v>27854052400.880001</v>
      </c>
      <c r="H7" s="188">
        <v>17934651145.860001</v>
      </c>
      <c r="I7" s="188">
        <v>67279145637.93</v>
      </c>
      <c r="J7" s="188">
        <v>53826471257.830002</v>
      </c>
      <c r="K7" s="188">
        <v>28074194799.57</v>
      </c>
      <c r="L7" s="188">
        <v>16728239559.620001</v>
      </c>
      <c r="M7" s="188">
        <v>40013906850.050003</v>
      </c>
      <c r="N7" s="188">
        <v>27550982966.450001</v>
      </c>
      <c r="O7" s="188">
        <v>16514532644.24</v>
      </c>
      <c r="P7" s="188">
        <v>9358829309.7900009</v>
      </c>
      <c r="Q7" s="188">
        <v>35487849677.459999</v>
      </c>
      <c r="R7" s="188">
        <v>24118205746.119999</v>
      </c>
      <c r="S7" s="188">
        <v>15959643875.049999</v>
      </c>
      <c r="T7" s="188">
        <v>7224057720.6099997</v>
      </c>
      <c r="U7" s="188">
        <v>36713125003.019997</v>
      </c>
      <c r="V7" s="188">
        <v>25940485318.23</v>
      </c>
      <c r="W7" s="188">
        <v>15472570987.190001</v>
      </c>
      <c r="X7" s="188">
        <v>6376833875.6499996</v>
      </c>
      <c r="Y7" s="188">
        <v>29300038873.330002</v>
      </c>
      <c r="Z7" s="188">
        <v>20094110682.209999</v>
      </c>
      <c r="AA7" s="188">
        <v>12727254998.809999</v>
      </c>
      <c r="AB7" s="188">
        <v>5934586610.75</v>
      </c>
      <c r="AC7" s="188">
        <v>23840805494.119999</v>
      </c>
      <c r="AD7" s="188">
        <v>18121542030.669998</v>
      </c>
      <c r="AE7" s="188">
        <v>11623060143.82</v>
      </c>
      <c r="AF7" s="188">
        <v>6602436365.2700005</v>
      </c>
      <c r="AG7" s="188">
        <v>15076959601.02</v>
      </c>
      <c r="AH7" s="188">
        <v>10803131443.469999</v>
      </c>
      <c r="AI7" s="188">
        <v>6412430256.0900002</v>
      </c>
      <c r="AJ7" s="188">
        <v>3121899572.5700002</v>
      </c>
      <c r="AK7" s="188">
        <v>11942131829.040001</v>
      </c>
      <c r="AL7" s="188">
        <v>7566282956.4200001</v>
      </c>
      <c r="AM7" s="188">
        <v>4302344016.79</v>
      </c>
      <c r="AN7" s="188">
        <v>1963802142.46</v>
      </c>
      <c r="AO7" s="188">
        <v>11517586460.969999</v>
      </c>
      <c r="AP7" s="188">
        <v>7617762769.8900003</v>
      </c>
      <c r="AQ7" s="188">
        <v>4760262959.4799995</v>
      </c>
      <c r="AR7" s="188">
        <v>2730183015.5300002</v>
      </c>
      <c r="AS7" s="188">
        <v>7533438963.4499998</v>
      </c>
      <c r="AT7" s="188">
        <v>5350078933.6800003</v>
      </c>
      <c r="AU7" s="188">
        <v>3434002843.8499999</v>
      </c>
      <c r="AV7" s="188">
        <v>1997873498.5899999</v>
      </c>
      <c r="AW7" s="188">
        <v>6182370073.1099997</v>
      </c>
      <c r="AX7" s="188">
        <v>4483927814.6800003</v>
      </c>
      <c r="AY7" s="188">
        <v>2774360068.8800001</v>
      </c>
      <c r="AZ7" s="188">
        <v>1612479728.78</v>
      </c>
      <c r="BA7" s="188">
        <v>5043313484.3500004</v>
      </c>
      <c r="BB7" s="188">
        <v>3337295022.9000001</v>
      </c>
      <c r="BC7" s="188">
        <v>2091866088.54</v>
      </c>
      <c r="BD7" s="188">
        <v>1269586284</v>
      </c>
      <c r="BE7" s="188">
        <v>3817308313.3899999</v>
      </c>
      <c r="BF7" s="188">
        <v>2495298449.5700002</v>
      </c>
      <c r="BG7" s="188">
        <v>1473778081.6800001</v>
      </c>
      <c r="BH7" s="188">
        <v>833264394.55999994</v>
      </c>
      <c r="BI7" s="188">
        <v>3184114937.4899998</v>
      </c>
      <c r="BJ7" s="188">
        <v>2111676456.4000001</v>
      </c>
      <c r="BK7" s="188">
        <v>1161806850.5799999</v>
      </c>
      <c r="BL7" s="188">
        <v>629139530.13999999</v>
      </c>
      <c r="BM7" s="188">
        <v>2328283925.0999999</v>
      </c>
      <c r="BN7" s="188">
        <v>1031295563.3</v>
      </c>
      <c r="BO7" s="188">
        <v>1846626645.9000001</v>
      </c>
      <c r="BP7" s="188">
        <v>0</v>
      </c>
      <c r="BQ7" s="188">
        <v>1330700475.3299999</v>
      </c>
      <c r="BR7" s="188">
        <v>0</v>
      </c>
    </row>
    <row r="8" spans="1:70" x14ac:dyDescent="0.25">
      <c r="A8" s="188" t="s">
        <v>224</v>
      </c>
      <c r="B8" s="188">
        <v>3676356107.5500002</v>
      </c>
      <c r="C8" s="188">
        <v>2276635677.3499999</v>
      </c>
      <c r="D8" s="188">
        <v>1341387609.24</v>
      </c>
      <c r="E8" s="188">
        <v>4875768504.1599998</v>
      </c>
      <c r="F8" s="188">
        <v>3385873042.9299998</v>
      </c>
      <c r="G8" s="188">
        <v>2145743960.98</v>
      </c>
      <c r="H8" s="188">
        <v>1339616768.4300001</v>
      </c>
      <c r="I8" s="188">
        <v>2773020403.27</v>
      </c>
      <c r="J8" s="188">
        <v>1690057834.95</v>
      </c>
      <c r="K8" s="188">
        <v>1304317657.3599999</v>
      </c>
      <c r="L8" s="188">
        <v>874194565.59000003</v>
      </c>
      <c r="M8" s="188">
        <v>2967732630.3699999</v>
      </c>
      <c r="N8" s="188">
        <v>2303416797.9099998</v>
      </c>
      <c r="O8" s="188">
        <v>1639661852.6600001</v>
      </c>
      <c r="P8" s="188">
        <v>1021009336.47</v>
      </c>
      <c r="Q8" s="188">
        <v>2838028404.9699998</v>
      </c>
      <c r="R8" s="188">
        <v>2052692261.4400001</v>
      </c>
      <c r="S8" s="188">
        <v>1456478035.3399999</v>
      </c>
      <c r="T8" s="188">
        <v>931198195.66999996</v>
      </c>
      <c r="U8" s="188">
        <v>3152308925.4699998</v>
      </c>
      <c r="V8" s="188">
        <v>1971215647.3</v>
      </c>
      <c r="W8" s="188">
        <v>1249950055.5699999</v>
      </c>
      <c r="X8" s="188">
        <v>712762334.01999998</v>
      </c>
      <c r="Y8" s="188">
        <v>2707393653.3299999</v>
      </c>
      <c r="Z8" s="188">
        <v>1587342838.29</v>
      </c>
      <c r="AA8" s="188">
        <v>1077894925.3199999</v>
      </c>
      <c r="AB8" s="188">
        <v>494802933.56999999</v>
      </c>
      <c r="AC8" s="188">
        <v>2353687717.48</v>
      </c>
      <c r="AD8" s="188">
        <v>1482300477.04</v>
      </c>
      <c r="AE8" s="188">
        <v>1030579091.21</v>
      </c>
      <c r="AF8" s="188">
        <v>656095092.99000001</v>
      </c>
      <c r="AG8" s="188">
        <v>1669804222.04</v>
      </c>
      <c r="AH8" s="188">
        <v>1065979806.61</v>
      </c>
      <c r="AI8" s="188">
        <v>682354660.79999995</v>
      </c>
      <c r="AJ8" s="188">
        <v>351943207.13</v>
      </c>
      <c r="AK8" s="188">
        <v>1557075938.7</v>
      </c>
      <c r="AL8" s="188">
        <v>922300963.46000004</v>
      </c>
      <c r="AM8" s="188">
        <v>567740503.57000005</v>
      </c>
      <c r="AN8" s="188">
        <v>295729558.55000001</v>
      </c>
      <c r="AO8" s="188">
        <v>1214717814.8299999</v>
      </c>
      <c r="AP8" s="188">
        <v>794495241.79999995</v>
      </c>
      <c r="AQ8" s="188">
        <v>529788503.56</v>
      </c>
      <c r="AR8" s="188">
        <v>282490555.57999998</v>
      </c>
      <c r="AS8" s="188">
        <v>1098306968.3299999</v>
      </c>
      <c r="AT8" s="188">
        <v>776996775.72000003</v>
      </c>
      <c r="AU8" s="188">
        <v>566986527.25999999</v>
      </c>
      <c r="AV8" s="188">
        <v>312227426.81</v>
      </c>
      <c r="AW8" s="188">
        <v>804488570.85000002</v>
      </c>
      <c r="AX8" s="188">
        <v>517881887.75</v>
      </c>
      <c r="AY8" s="188">
        <v>384969462.19</v>
      </c>
      <c r="AZ8" s="188">
        <v>241303988.43000001</v>
      </c>
      <c r="BA8" s="188">
        <v>950764775.72000003</v>
      </c>
      <c r="BB8" s="188">
        <v>392909166.24000001</v>
      </c>
      <c r="BC8" s="188">
        <v>375489465.93000001</v>
      </c>
      <c r="BD8" s="188">
        <v>142994882.34999999</v>
      </c>
      <c r="BE8" s="188">
        <v>864365999.46000004</v>
      </c>
      <c r="BF8" s="188">
        <v>572967651.70000005</v>
      </c>
      <c r="BG8" s="188">
        <v>345839931.79000002</v>
      </c>
      <c r="BH8" s="188">
        <v>258467411.80000001</v>
      </c>
      <c r="BI8" s="188">
        <v>638529865.39999998</v>
      </c>
      <c r="BJ8" s="188">
        <v>412688201.74000001</v>
      </c>
      <c r="BK8" s="188">
        <v>312930923.05000001</v>
      </c>
      <c r="BL8" s="188">
        <v>88592882.359999999</v>
      </c>
      <c r="BM8" s="188">
        <v>623577741.01999998</v>
      </c>
      <c r="BN8" s="188">
        <v>382532138.75999999</v>
      </c>
      <c r="BO8" s="188">
        <v>594708128.38999999</v>
      </c>
      <c r="BP8" s="188">
        <v>0</v>
      </c>
      <c r="BQ8" s="188">
        <v>299675876.19999999</v>
      </c>
      <c r="BR8" s="188">
        <v>0</v>
      </c>
    </row>
    <row r="9" spans="1:70" x14ac:dyDescent="0.25">
      <c r="A9" s="188" t="s">
        <v>225</v>
      </c>
      <c r="B9" s="188">
        <v>5116193340.71</v>
      </c>
      <c r="C9" s="188">
        <v>3972027077.1999998</v>
      </c>
      <c r="D9" s="188">
        <v>2360121443.8000002</v>
      </c>
      <c r="E9" s="188">
        <v>5489606122.4799995</v>
      </c>
      <c r="F9" s="188">
        <v>4411221320.8999996</v>
      </c>
      <c r="G9" s="188">
        <v>3405303499.1900001</v>
      </c>
      <c r="H9" s="188">
        <v>2374274685.5700002</v>
      </c>
      <c r="I9" s="188">
        <v>4674154236.6599998</v>
      </c>
      <c r="J9" s="188">
        <v>3702135185.5999999</v>
      </c>
      <c r="K9" s="188">
        <v>2698571545.0100002</v>
      </c>
      <c r="L9" s="188">
        <v>1617022189.5799999</v>
      </c>
      <c r="M9" s="188">
        <v>4536877341.1000004</v>
      </c>
      <c r="N9" s="188">
        <v>3492388231.79</v>
      </c>
      <c r="O9" s="188">
        <v>2618952481.3499999</v>
      </c>
      <c r="P9" s="188">
        <v>1668685977.8399999</v>
      </c>
      <c r="Q9" s="188">
        <v>3393609756.8699999</v>
      </c>
      <c r="R9" s="188">
        <v>2614183518.1300001</v>
      </c>
      <c r="S9" s="188">
        <v>1647462749.5599999</v>
      </c>
      <c r="T9" s="188">
        <v>927475783.99000001</v>
      </c>
      <c r="U9" s="188">
        <v>3135608084.79</v>
      </c>
      <c r="V9" s="188">
        <v>1794756331.6199999</v>
      </c>
      <c r="W9" s="188">
        <v>1212195199.6600001</v>
      </c>
      <c r="X9" s="188">
        <v>519174131.85000002</v>
      </c>
      <c r="Y9" s="188">
        <v>2953919072.54</v>
      </c>
      <c r="Z9" s="188">
        <v>1819144570.29</v>
      </c>
      <c r="AA9" s="188">
        <v>1426295388</v>
      </c>
      <c r="AB9" s="188">
        <v>958500142.79999995</v>
      </c>
      <c r="AC9" s="188">
        <v>1925571991.79</v>
      </c>
      <c r="AD9" s="188">
        <v>1375305648.6199999</v>
      </c>
      <c r="AE9" s="188">
        <v>994367300.41999996</v>
      </c>
      <c r="AF9" s="188">
        <v>542976591.21000004</v>
      </c>
      <c r="AG9" s="188">
        <v>1492813443.3499999</v>
      </c>
      <c r="AH9" s="188">
        <v>1091754586.28</v>
      </c>
      <c r="AI9" s="188">
        <v>827492138.01999998</v>
      </c>
      <c r="AJ9" s="188">
        <v>529295958.94999999</v>
      </c>
      <c r="AK9" s="188">
        <v>1229305038.48</v>
      </c>
      <c r="AL9" s="188">
        <v>898644456.09000003</v>
      </c>
      <c r="AM9" s="188">
        <v>655373497.21000004</v>
      </c>
      <c r="AN9" s="188">
        <v>461410921.19</v>
      </c>
      <c r="AO9" s="188">
        <v>809386845.14999998</v>
      </c>
      <c r="AP9" s="188">
        <v>558262259.67999995</v>
      </c>
      <c r="AQ9" s="188">
        <v>391783564.12</v>
      </c>
      <c r="AR9" s="188">
        <v>231677868.47</v>
      </c>
      <c r="AS9" s="188">
        <v>623333896.62</v>
      </c>
      <c r="AT9" s="188">
        <v>425064074.29000002</v>
      </c>
      <c r="AU9" s="188">
        <v>308683973.48000002</v>
      </c>
      <c r="AV9" s="188">
        <v>184609700.68000001</v>
      </c>
      <c r="AW9" s="188">
        <v>403859477.30000001</v>
      </c>
      <c r="AX9" s="188">
        <v>255688947</v>
      </c>
      <c r="AY9" s="188">
        <v>177284970.91999999</v>
      </c>
      <c r="AZ9" s="188">
        <v>127066708.01000001</v>
      </c>
      <c r="BA9" s="188">
        <v>250797895.84999999</v>
      </c>
      <c r="BB9" s="188">
        <v>167395485.75</v>
      </c>
      <c r="BC9" s="188">
        <v>127127345.04000001</v>
      </c>
      <c r="BD9" s="188">
        <v>87945173.939999998</v>
      </c>
      <c r="BE9" s="188">
        <v>159838716.74000001</v>
      </c>
      <c r="BF9" s="188">
        <v>121521637.47</v>
      </c>
      <c r="BG9" s="188">
        <v>100417771.72</v>
      </c>
      <c r="BH9" s="188">
        <v>32225261.68</v>
      </c>
      <c r="BI9" s="188">
        <v>205782831.25</v>
      </c>
      <c r="BJ9" s="188">
        <v>116178529.7</v>
      </c>
      <c r="BK9" s="188">
        <v>76906046.650000006</v>
      </c>
      <c r="BL9" s="188">
        <v>43095006.030000001</v>
      </c>
      <c r="BM9" s="188">
        <v>106684520.62</v>
      </c>
      <c r="BN9" s="188">
        <v>64881700.939999998</v>
      </c>
      <c r="BO9" s="188">
        <v>93314750.840000004</v>
      </c>
      <c r="BP9" s="188">
        <v>0</v>
      </c>
      <c r="BQ9" s="188">
        <v>55344800.609999999</v>
      </c>
      <c r="BR9" s="188">
        <v>0</v>
      </c>
    </row>
    <row r="10" spans="1:70" x14ac:dyDescent="0.25">
      <c r="A10" s="188" t="s">
        <v>226</v>
      </c>
      <c r="B10" s="188">
        <v>27578911212.84</v>
      </c>
      <c r="C10" s="188">
        <v>21509649014.419998</v>
      </c>
      <c r="D10" s="188">
        <v>14032023758.85</v>
      </c>
      <c r="E10" s="188">
        <v>23065648503.049999</v>
      </c>
      <c r="F10" s="188">
        <v>19059728251.360001</v>
      </c>
      <c r="G10" s="188">
        <v>13284387765.879999</v>
      </c>
      <c r="H10" s="188">
        <v>7476603778.6599998</v>
      </c>
      <c r="I10" s="188">
        <v>17510516331.200001</v>
      </c>
      <c r="J10" s="188">
        <v>12916742077.709999</v>
      </c>
      <c r="K10" s="188">
        <v>8862965658.9500008</v>
      </c>
      <c r="L10" s="188">
        <v>5171171353.8599997</v>
      </c>
      <c r="M10" s="188">
        <v>14003048933.209999</v>
      </c>
      <c r="N10" s="188">
        <v>10136472538.440001</v>
      </c>
      <c r="O10" s="188">
        <v>7449484441.79</v>
      </c>
      <c r="P10" s="188">
        <v>4365910314.0299997</v>
      </c>
      <c r="Q10" s="188">
        <v>14496450812.41</v>
      </c>
      <c r="R10" s="188">
        <v>10919970400.620001</v>
      </c>
      <c r="S10" s="188">
        <v>7546599817.5500002</v>
      </c>
      <c r="T10" s="188">
        <v>4384874947.6199999</v>
      </c>
      <c r="U10" s="188">
        <v>12533350979.209999</v>
      </c>
      <c r="V10" s="188">
        <v>9408746583.7700005</v>
      </c>
      <c r="W10" s="188">
        <v>6377901906.04</v>
      </c>
      <c r="X10" s="188">
        <v>3586865460.8299999</v>
      </c>
      <c r="Y10" s="188">
        <v>10170840319.219999</v>
      </c>
      <c r="Z10" s="188">
        <v>7873499623.7600002</v>
      </c>
      <c r="AA10" s="188">
        <v>5149513705.29</v>
      </c>
      <c r="AB10" s="188">
        <v>2749350387.5599999</v>
      </c>
      <c r="AC10" s="188">
        <v>8286279154.8400002</v>
      </c>
      <c r="AD10" s="188">
        <v>5539023164.5</v>
      </c>
      <c r="AE10" s="188">
        <v>3826918770.02</v>
      </c>
      <c r="AF10" s="188">
        <v>1776810163.4300001</v>
      </c>
      <c r="AG10" s="188">
        <v>4885737303.3699999</v>
      </c>
      <c r="AH10" s="188">
        <v>4041204565.3200002</v>
      </c>
      <c r="AI10" s="188">
        <v>2774886858.79</v>
      </c>
      <c r="AJ10" s="188">
        <v>1233363458.3900001</v>
      </c>
      <c r="AK10" s="188">
        <v>4160350102.4899998</v>
      </c>
      <c r="AL10" s="188">
        <v>3088600128.5500002</v>
      </c>
      <c r="AM10" s="188">
        <v>2152814873.5700002</v>
      </c>
      <c r="AN10" s="188">
        <v>1143406307.3599999</v>
      </c>
      <c r="AO10" s="188">
        <v>3666868792.0999999</v>
      </c>
      <c r="AP10" s="188">
        <v>2758978699.1199999</v>
      </c>
      <c r="AQ10" s="188">
        <v>2044537000</v>
      </c>
      <c r="AR10" s="188">
        <v>1027796155.85</v>
      </c>
      <c r="AS10" s="188">
        <v>3602532438.23</v>
      </c>
      <c r="AT10" s="188">
        <v>2318043878.6700001</v>
      </c>
      <c r="AU10" s="188">
        <v>1657337134.5999999</v>
      </c>
      <c r="AV10" s="188">
        <v>980951193.45000005</v>
      </c>
      <c r="AW10" s="188">
        <v>2387944330.8699999</v>
      </c>
      <c r="AX10" s="188">
        <v>1847406928.6300001</v>
      </c>
      <c r="AY10" s="188">
        <v>1366763575</v>
      </c>
      <c r="AZ10" s="188">
        <v>856934433.24000001</v>
      </c>
      <c r="BA10" s="188">
        <v>1600737072.95</v>
      </c>
      <c r="BB10" s="188">
        <v>1245294702.98</v>
      </c>
      <c r="BC10" s="188">
        <v>887310376.69000006</v>
      </c>
      <c r="BD10" s="188">
        <v>532790492.80000001</v>
      </c>
      <c r="BE10" s="188">
        <v>1298348904.97</v>
      </c>
      <c r="BF10" s="188">
        <v>1088327949.6700001</v>
      </c>
      <c r="BG10" s="188">
        <v>803325280.51999998</v>
      </c>
      <c r="BH10" s="188">
        <v>574275212.45000005</v>
      </c>
      <c r="BI10" s="188">
        <v>985931576.96000004</v>
      </c>
      <c r="BJ10" s="188">
        <v>878669971.22000003</v>
      </c>
      <c r="BK10" s="188">
        <v>652486510.10000002</v>
      </c>
      <c r="BL10" s="188">
        <v>395885115.44</v>
      </c>
      <c r="BM10" s="188">
        <v>753570901.88999999</v>
      </c>
      <c r="BN10" s="188">
        <v>582829118.51999998</v>
      </c>
      <c r="BO10" s="188">
        <v>702151217.78999996</v>
      </c>
      <c r="BP10" s="188">
        <v>0</v>
      </c>
      <c r="BQ10" s="188">
        <v>371680848.35000002</v>
      </c>
      <c r="BR10" s="188">
        <v>0</v>
      </c>
    </row>
    <row r="11" spans="1:70" x14ac:dyDescent="0.25">
      <c r="A11" s="188" t="s">
        <v>227</v>
      </c>
      <c r="B11" s="188">
        <v>2188413775.27</v>
      </c>
      <c r="C11" s="188">
        <v>1178143267.2</v>
      </c>
      <c r="D11" s="188">
        <v>577570615.73000002</v>
      </c>
      <c r="E11" s="188">
        <v>2940296363.54</v>
      </c>
      <c r="F11" s="188">
        <v>1945318389.45</v>
      </c>
      <c r="G11" s="188">
        <v>1304897456.52</v>
      </c>
      <c r="H11" s="188">
        <v>538375354.57000005</v>
      </c>
      <c r="I11" s="188">
        <v>2371486776.8800001</v>
      </c>
      <c r="J11" s="188">
        <v>1153033860.0799999</v>
      </c>
      <c r="K11" s="188">
        <v>779362014.26999998</v>
      </c>
      <c r="L11" s="188">
        <v>501895480.77999997</v>
      </c>
      <c r="M11" s="188">
        <v>1867442431.6500001</v>
      </c>
      <c r="N11" s="188">
        <v>1407241415.72</v>
      </c>
      <c r="O11" s="188">
        <v>966226731.92999995</v>
      </c>
      <c r="P11" s="188">
        <v>659473454.97000003</v>
      </c>
      <c r="Q11" s="188">
        <v>2616741740.0300002</v>
      </c>
      <c r="R11" s="188">
        <v>1963771052.1600001</v>
      </c>
      <c r="S11" s="188">
        <v>1363798243.8499999</v>
      </c>
      <c r="T11" s="188">
        <v>773929698.76999998</v>
      </c>
      <c r="U11" s="188">
        <v>1943903415.49</v>
      </c>
      <c r="V11" s="188">
        <v>1607783908.46</v>
      </c>
      <c r="W11" s="188">
        <v>1247457872.6900001</v>
      </c>
      <c r="X11" s="188">
        <v>767803034.67999995</v>
      </c>
      <c r="Y11" s="188">
        <v>1546575218.99</v>
      </c>
      <c r="Z11" s="188">
        <v>1252558324.97</v>
      </c>
      <c r="AA11" s="188">
        <v>613841484.87</v>
      </c>
      <c r="AB11" s="188">
        <v>392432147.22000003</v>
      </c>
      <c r="AC11" s="188">
        <v>1126701940.48</v>
      </c>
      <c r="AD11" s="188">
        <v>697974762.21000004</v>
      </c>
      <c r="AE11" s="188">
        <v>443297147.08999997</v>
      </c>
      <c r="AF11" s="188">
        <v>215422597.78999999</v>
      </c>
      <c r="AG11" s="188">
        <v>827128112.69000006</v>
      </c>
      <c r="AH11" s="188">
        <v>639785551.33000004</v>
      </c>
      <c r="AI11" s="188">
        <v>361313487.93000001</v>
      </c>
      <c r="AJ11" s="188">
        <v>182525044.37</v>
      </c>
      <c r="AK11" s="188">
        <v>771463605.17999995</v>
      </c>
      <c r="AL11" s="188">
        <v>579195315.10000002</v>
      </c>
      <c r="AM11" s="188">
        <v>378227302.00999999</v>
      </c>
      <c r="AN11" s="188">
        <v>194020050.61000001</v>
      </c>
      <c r="AO11" s="188">
        <v>579124473.14999998</v>
      </c>
      <c r="AP11" s="188">
        <v>437420881.12</v>
      </c>
      <c r="AQ11" s="188">
        <v>298472484.81999999</v>
      </c>
      <c r="AR11" s="188">
        <v>195531279.68000001</v>
      </c>
      <c r="AS11" s="188">
        <v>465962448.88999999</v>
      </c>
      <c r="AT11" s="188">
        <v>281714970.12</v>
      </c>
      <c r="AU11" s="188">
        <v>215182150.96000001</v>
      </c>
      <c r="AV11" s="188">
        <v>139542111.56999999</v>
      </c>
      <c r="AW11" s="188">
        <v>480906660.39999998</v>
      </c>
      <c r="AX11" s="188">
        <v>372820777.5</v>
      </c>
      <c r="AY11" s="188">
        <v>250470447.87</v>
      </c>
      <c r="AZ11" s="188">
        <v>164970351.27000001</v>
      </c>
      <c r="BA11" s="188">
        <v>547306251.50999999</v>
      </c>
      <c r="BB11" s="188">
        <v>647975575.63999999</v>
      </c>
      <c r="BC11" s="188">
        <v>265334389.59</v>
      </c>
      <c r="BD11" s="188">
        <v>263574681.81</v>
      </c>
      <c r="BE11" s="188">
        <v>518970212.01999998</v>
      </c>
      <c r="BF11" s="188">
        <v>339806043.23000002</v>
      </c>
      <c r="BG11" s="188">
        <v>262179631.78</v>
      </c>
      <c r="BH11" s="188">
        <v>149679880.5</v>
      </c>
      <c r="BI11" s="188">
        <v>412164421.80000001</v>
      </c>
      <c r="BJ11" s="188">
        <v>264761095.19999999</v>
      </c>
      <c r="BK11" s="188">
        <v>153449308.06</v>
      </c>
      <c r="BL11" s="188">
        <v>92454339.640000001</v>
      </c>
      <c r="BM11" s="188">
        <v>409868382.91000003</v>
      </c>
      <c r="BN11" s="188">
        <v>181173450.13</v>
      </c>
      <c r="BO11" s="188">
        <v>414169511.52999997</v>
      </c>
      <c r="BP11" s="188">
        <v>86280877.689999998</v>
      </c>
      <c r="BQ11" s="188">
        <v>160874304.49000001</v>
      </c>
      <c r="BR11" s="188">
        <v>0</v>
      </c>
    </row>
    <row r="12" spans="1:70" x14ac:dyDescent="0.25">
      <c r="A12" s="188" t="s">
        <v>228</v>
      </c>
      <c r="B12" s="188">
        <v>40805313153.32</v>
      </c>
      <c r="C12" s="188">
        <v>21609623724.049999</v>
      </c>
      <c r="D12" s="188">
        <v>13466683048.440001</v>
      </c>
      <c r="E12" s="188">
        <v>45216426427.68</v>
      </c>
      <c r="F12" s="188">
        <v>29715589991.459999</v>
      </c>
      <c r="G12" s="188">
        <v>20918691990.52</v>
      </c>
      <c r="H12" s="188">
        <v>11825676049.299999</v>
      </c>
      <c r="I12" s="188">
        <v>29827895990.880001</v>
      </c>
      <c r="J12" s="188">
        <v>21291138626.139999</v>
      </c>
      <c r="K12" s="188">
        <v>14470232515.58</v>
      </c>
      <c r="L12" s="188">
        <v>9292195224.6399994</v>
      </c>
      <c r="M12" s="188">
        <v>22577566708.330002</v>
      </c>
      <c r="N12" s="188">
        <v>16127589639.389999</v>
      </c>
      <c r="O12" s="188">
        <v>11612844300.959999</v>
      </c>
      <c r="P12" s="188">
        <v>7247195660.3900003</v>
      </c>
      <c r="Q12" s="188">
        <v>22855327240.860001</v>
      </c>
      <c r="R12" s="188">
        <v>16438808502.25</v>
      </c>
      <c r="S12" s="188">
        <v>11670900526.549999</v>
      </c>
      <c r="T12" s="188">
        <v>7050142014.8900003</v>
      </c>
      <c r="U12" s="188">
        <v>24058100141.099998</v>
      </c>
      <c r="V12" s="188">
        <v>16695367358.92</v>
      </c>
      <c r="W12" s="188">
        <v>10257546480.280001</v>
      </c>
      <c r="X12" s="188">
        <v>5586604961.3800001</v>
      </c>
      <c r="Y12" s="188">
        <v>17378728264.080002</v>
      </c>
      <c r="Z12" s="188">
        <v>12532545357.309999</v>
      </c>
      <c r="AA12" s="188">
        <v>8267545503.4799995</v>
      </c>
      <c r="AB12" s="188">
        <v>4595085611.1499996</v>
      </c>
      <c r="AC12" s="188">
        <v>13692240804.59</v>
      </c>
      <c r="AD12" s="188">
        <v>9094604052.3700008</v>
      </c>
      <c r="AE12" s="188">
        <v>6295162308.7399998</v>
      </c>
      <c r="AF12" s="188">
        <v>3191304445.4200001</v>
      </c>
      <c r="AG12" s="188">
        <v>8875483081.4500008</v>
      </c>
      <c r="AH12" s="188">
        <v>6838724509.54</v>
      </c>
      <c r="AI12" s="188">
        <v>4646047145.54</v>
      </c>
      <c r="AJ12" s="188">
        <v>2297127668.8400002</v>
      </c>
      <c r="AK12" s="188">
        <v>7718194684.8500004</v>
      </c>
      <c r="AL12" s="188">
        <v>5488740863.1999998</v>
      </c>
      <c r="AM12" s="188">
        <v>3754156176.3600001</v>
      </c>
      <c r="AN12" s="188">
        <v>2094566837.71</v>
      </c>
      <c r="AO12" s="188">
        <v>6270097925.2299995</v>
      </c>
      <c r="AP12" s="188">
        <v>4549157081.7200003</v>
      </c>
      <c r="AQ12" s="188">
        <v>3264581552.5</v>
      </c>
      <c r="AR12" s="188">
        <v>1737495859.5799999</v>
      </c>
      <c r="AS12" s="188">
        <v>5790135752.0699997</v>
      </c>
      <c r="AT12" s="188">
        <v>3801819698.8000002</v>
      </c>
      <c r="AU12" s="188">
        <v>2748189786.3000002</v>
      </c>
      <c r="AV12" s="188">
        <v>1617330432.51</v>
      </c>
      <c r="AW12" s="188">
        <v>4077199039.4200001</v>
      </c>
      <c r="AX12" s="188">
        <v>2993798540.8800001</v>
      </c>
      <c r="AY12" s="188">
        <v>2179488455.98</v>
      </c>
      <c r="AZ12" s="188">
        <v>1390275480.95</v>
      </c>
      <c r="BA12" s="188">
        <v>3349605996.0300002</v>
      </c>
      <c r="BB12" s="188">
        <v>2453574930.6100001</v>
      </c>
      <c r="BC12" s="188">
        <v>1655261577.25</v>
      </c>
      <c r="BD12" s="188">
        <v>1027305230.9</v>
      </c>
      <c r="BE12" s="188">
        <v>2841523833.1900001</v>
      </c>
      <c r="BF12" s="188">
        <v>2122623282.0699999</v>
      </c>
      <c r="BG12" s="188">
        <v>1511762615.8099999</v>
      </c>
      <c r="BH12" s="188">
        <v>1014647766.4299999</v>
      </c>
      <c r="BI12" s="188">
        <v>2242408695.4099998</v>
      </c>
      <c r="BJ12" s="188">
        <v>1672297797.8599999</v>
      </c>
      <c r="BK12" s="188">
        <v>1195772787.8599999</v>
      </c>
      <c r="BL12" s="188">
        <v>620027343.47000003</v>
      </c>
      <c r="BM12" s="188">
        <v>1893701546.4400001</v>
      </c>
      <c r="BN12" s="188">
        <v>1211416408.3499999</v>
      </c>
      <c r="BO12" s="188">
        <v>1804343608.55</v>
      </c>
      <c r="BP12" s="188">
        <v>86280877.689999998</v>
      </c>
      <c r="BQ12" s="188">
        <v>887575829.64999998</v>
      </c>
      <c r="BR12" s="188">
        <v>0</v>
      </c>
    </row>
    <row r="13" spans="1:70" x14ac:dyDescent="0.25">
      <c r="A13" s="188" t="s">
        <v>229</v>
      </c>
      <c r="B13" s="188">
        <v>28221285915.540001</v>
      </c>
      <c r="C13" s="188">
        <v>17735030962.189999</v>
      </c>
      <c r="D13" s="188">
        <v>4935500707.4700003</v>
      </c>
      <c r="E13" s="188">
        <v>22153036084.130001</v>
      </c>
      <c r="F13" s="188">
        <v>22786767198.189999</v>
      </c>
      <c r="G13" s="188">
        <v>6935360410.3599997</v>
      </c>
      <c r="H13" s="188">
        <v>6108975096.5600004</v>
      </c>
      <c r="I13" s="188">
        <v>37451249647.050003</v>
      </c>
      <c r="J13" s="188">
        <v>32535332631.689999</v>
      </c>
      <c r="K13" s="188">
        <v>13603962283.99</v>
      </c>
      <c r="L13" s="188">
        <v>7436044334.9799995</v>
      </c>
      <c r="M13" s="188">
        <v>17436340141.720001</v>
      </c>
      <c r="N13" s="188">
        <v>11423393327.059999</v>
      </c>
      <c r="O13" s="188">
        <v>4901688343.2799997</v>
      </c>
      <c r="P13" s="188">
        <v>2111633649.4000001</v>
      </c>
      <c r="Q13" s="188">
        <v>12632522436.6</v>
      </c>
      <c r="R13" s="188">
        <v>7679397243.8699999</v>
      </c>
      <c r="S13" s="188">
        <v>4288743348.5</v>
      </c>
      <c r="T13" s="188">
        <v>173915705.72</v>
      </c>
      <c r="U13" s="188">
        <v>12655024861.92</v>
      </c>
      <c r="V13" s="188">
        <v>9245117959.3099995</v>
      </c>
      <c r="W13" s="188">
        <v>5215024506.9099998</v>
      </c>
      <c r="X13" s="188">
        <v>790228914.26999998</v>
      </c>
      <c r="Y13" s="188">
        <v>11921310609.25</v>
      </c>
      <c r="Z13" s="188">
        <v>7561565324.8999996</v>
      </c>
      <c r="AA13" s="188">
        <v>4459709495.3299999</v>
      </c>
      <c r="AB13" s="188">
        <v>1339500999.5999999</v>
      </c>
      <c r="AC13" s="188">
        <v>10148564689.530001</v>
      </c>
      <c r="AD13" s="188">
        <v>9026937978.2999992</v>
      </c>
      <c r="AE13" s="188">
        <v>5327897835.0799999</v>
      </c>
      <c r="AF13" s="188">
        <v>3411131919.8499999</v>
      </c>
      <c r="AG13" s="188">
        <v>6201476519.5699997</v>
      </c>
      <c r="AH13" s="188">
        <v>3964406933.9299998</v>
      </c>
      <c r="AI13" s="188">
        <v>1766383110.55</v>
      </c>
      <c r="AJ13" s="188">
        <v>824771903.73000002</v>
      </c>
      <c r="AK13" s="188">
        <v>4223937144.1900001</v>
      </c>
      <c r="AL13" s="188">
        <v>2077542093.22</v>
      </c>
      <c r="AM13" s="188">
        <v>548187840.42999995</v>
      </c>
      <c r="AN13" s="188">
        <v>-130764695.25</v>
      </c>
      <c r="AO13" s="188">
        <v>5247488535.7399998</v>
      </c>
      <c r="AP13" s="188">
        <v>3068605688.1700001</v>
      </c>
      <c r="AQ13" s="188">
        <v>1495681406.98</v>
      </c>
      <c r="AR13" s="188">
        <v>992687155.95000005</v>
      </c>
      <c r="AS13" s="188">
        <v>1743303211.3800001</v>
      </c>
      <c r="AT13" s="188">
        <v>1548259234.8800001</v>
      </c>
      <c r="AU13" s="188">
        <v>685813057.54999995</v>
      </c>
      <c r="AV13" s="188">
        <v>380543066.07999998</v>
      </c>
      <c r="AW13" s="188">
        <v>2105171033.6900001</v>
      </c>
      <c r="AX13" s="188">
        <v>1490129273.8</v>
      </c>
      <c r="AY13" s="188">
        <v>594871612.89999998</v>
      </c>
      <c r="AZ13" s="188">
        <v>222204247.83000001</v>
      </c>
      <c r="BA13" s="188">
        <v>1693707488.3199999</v>
      </c>
      <c r="BB13" s="188">
        <v>883720092.28999996</v>
      </c>
      <c r="BC13" s="188">
        <v>436604511.29000002</v>
      </c>
      <c r="BD13" s="188">
        <v>242281053.09999999</v>
      </c>
      <c r="BE13" s="188">
        <v>975784480.20000005</v>
      </c>
      <c r="BF13" s="188">
        <v>372675167.5</v>
      </c>
      <c r="BG13" s="188">
        <v>-37984534.130000003</v>
      </c>
      <c r="BH13" s="188">
        <v>-181383371.87</v>
      </c>
      <c r="BI13" s="188">
        <v>941706242.08000004</v>
      </c>
      <c r="BJ13" s="188">
        <v>439378658.54000002</v>
      </c>
      <c r="BK13" s="188">
        <v>-33965937.280000001</v>
      </c>
      <c r="BL13" s="188">
        <v>9112186.6699999999</v>
      </c>
      <c r="BM13" s="188">
        <v>434582378.66000003</v>
      </c>
      <c r="BN13" s="188">
        <v>-180120845.05000001</v>
      </c>
      <c r="BO13" s="188">
        <v>42283037.350000001</v>
      </c>
      <c r="BP13" s="188">
        <v>-86280877.689999998</v>
      </c>
      <c r="BQ13" s="188">
        <v>443124645.68000001</v>
      </c>
      <c r="BR13" s="188">
        <v>0</v>
      </c>
    </row>
    <row r="14" spans="1:70" x14ac:dyDescent="0.25">
      <c r="A14" s="188" t="s">
        <v>230</v>
      </c>
    </row>
    <row r="15" spans="1:70" x14ac:dyDescent="0.25">
      <c r="A15" s="188" t="s">
        <v>231</v>
      </c>
      <c r="B15" s="188">
        <v>0</v>
      </c>
      <c r="C15" s="188">
        <v>0</v>
      </c>
      <c r="D15" s="188">
        <v>0</v>
      </c>
      <c r="E15" s="188">
        <v>0</v>
      </c>
      <c r="F15" s="188">
        <v>0</v>
      </c>
      <c r="G15" s="188">
        <v>0</v>
      </c>
      <c r="H15" s="188">
        <v>0</v>
      </c>
      <c r="I15" s="188">
        <v>0</v>
      </c>
      <c r="J15" s="188">
        <v>0</v>
      </c>
      <c r="K15" s="188">
        <v>0</v>
      </c>
      <c r="L15" s="188">
        <v>0</v>
      </c>
      <c r="M15" s="188">
        <v>60050000</v>
      </c>
      <c r="N15" s="188">
        <v>60000000</v>
      </c>
      <c r="O15" s="188">
        <v>10000000</v>
      </c>
      <c r="P15" s="188">
        <v>10000000</v>
      </c>
      <c r="Q15" s="188">
        <v>5000000</v>
      </c>
      <c r="R15" s="188">
        <v>0</v>
      </c>
      <c r="S15" s="188">
        <v>0</v>
      </c>
      <c r="T15" s="188">
        <v>0</v>
      </c>
      <c r="U15" s="188">
        <v>0</v>
      </c>
      <c r="V15" s="188">
        <v>0</v>
      </c>
      <c r="W15" s="188">
        <v>0</v>
      </c>
      <c r="X15" s="188">
        <v>0</v>
      </c>
      <c r="Y15" s="188">
        <v>10000000</v>
      </c>
      <c r="Z15" s="188">
        <v>10000000</v>
      </c>
      <c r="AA15" s="188">
        <v>10000000</v>
      </c>
      <c r="AB15" s="188">
        <v>10000000</v>
      </c>
      <c r="AC15" s="188">
        <v>0</v>
      </c>
      <c r="AD15" s="188">
        <v>0</v>
      </c>
      <c r="AE15" s="188">
        <v>0</v>
      </c>
      <c r="AF15" s="188">
        <v>0</v>
      </c>
      <c r="AG15" s="188">
        <v>17000000</v>
      </c>
      <c r="AH15" s="188">
        <v>17000000</v>
      </c>
      <c r="AI15" s="188">
        <v>17000000</v>
      </c>
      <c r="AJ15" s="188">
        <v>17000000</v>
      </c>
      <c r="AK15" s="188">
        <v>25000000</v>
      </c>
      <c r="AL15" s="188">
        <v>25000000</v>
      </c>
      <c r="AM15" s="188">
        <v>25000000</v>
      </c>
      <c r="AN15" s="188">
        <v>0</v>
      </c>
      <c r="AO15" s="188">
        <v>21000000</v>
      </c>
      <c r="AP15" s="188">
        <v>21000000</v>
      </c>
      <c r="AQ15" s="188">
        <v>21000000</v>
      </c>
      <c r="AR15" s="188">
        <v>21000000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row>
    <row r="16" spans="1:70" x14ac:dyDescent="0.25">
      <c r="A16" s="188" t="s">
        <v>232</v>
      </c>
      <c r="B16" s="188">
        <v>0</v>
      </c>
      <c r="C16" s="188">
        <v>0</v>
      </c>
      <c r="D16" s="188">
        <v>0</v>
      </c>
      <c r="E16" s="188">
        <v>0</v>
      </c>
      <c r="F16" s="188">
        <v>0</v>
      </c>
      <c r="G16" s="188">
        <v>0</v>
      </c>
      <c r="H16" s="188">
        <v>0</v>
      </c>
      <c r="I16" s="188">
        <v>0</v>
      </c>
      <c r="J16" s="188">
        <v>0</v>
      </c>
      <c r="K16" s="188">
        <v>0</v>
      </c>
      <c r="L16" s="188">
        <v>0</v>
      </c>
      <c r="M16" s="188">
        <v>3869172.05</v>
      </c>
      <c r="N16" s="188">
        <v>3868919.86</v>
      </c>
      <c r="O16" s="188">
        <v>3342169.86</v>
      </c>
      <c r="P16" s="188">
        <v>332169.86</v>
      </c>
      <c r="Q16" s="188">
        <v>3095265.75</v>
      </c>
      <c r="R16" s="188">
        <v>3010000</v>
      </c>
      <c r="S16" s="188">
        <v>3010000</v>
      </c>
      <c r="T16" s="188">
        <v>0</v>
      </c>
      <c r="U16" s="188">
        <v>3010000</v>
      </c>
      <c r="V16" s="188">
        <v>3010000</v>
      </c>
      <c r="W16" s="188">
        <v>3010000</v>
      </c>
      <c r="X16" s="188">
        <v>0</v>
      </c>
      <c r="Y16" s="188">
        <v>4129000</v>
      </c>
      <c r="Z16" s="188">
        <v>4129000</v>
      </c>
      <c r="AA16" s="188">
        <v>4129000</v>
      </c>
      <c r="AB16" s="188">
        <v>1119000</v>
      </c>
      <c r="AC16" s="188">
        <v>3010000</v>
      </c>
      <c r="AD16" s="188">
        <v>3010000</v>
      </c>
      <c r="AE16" s="188">
        <v>3010000</v>
      </c>
      <c r="AF16" s="188">
        <v>0</v>
      </c>
      <c r="AG16" s="188">
        <v>1731400</v>
      </c>
      <c r="AH16" s="188">
        <v>1731400</v>
      </c>
      <c r="AI16" s="188">
        <v>1731400</v>
      </c>
      <c r="AJ16" s="188">
        <v>1728900</v>
      </c>
      <c r="AK16" s="188">
        <v>2080397.26</v>
      </c>
      <c r="AL16" s="188">
        <v>2080397.26</v>
      </c>
      <c r="AM16" s="188">
        <v>2080397.26</v>
      </c>
      <c r="AN16" s="188">
        <v>0</v>
      </c>
      <c r="AO16" s="188">
        <v>2123100</v>
      </c>
      <c r="AP16" s="188">
        <v>2123100</v>
      </c>
      <c r="AQ16" s="188">
        <v>2123100</v>
      </c>
      <c r="AR16" s="188">
        <v>2123100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row>
    <row r="17" spans="1:70" x14ac:dyDescent="0.25">
      <c r="A17" s="188" t="s">
        <v>233</v>
      </c>
      <c r="B17" s="188">
        <v>0</v>
      </c>
      <c r="C17" s="188">
        <v>0</v>
      </c>
      <c r="D17" s="188">
        <v>0</v>
      </c>
      <c r="E17" s="188">
        <v>16450</v>
      </c>
      <c r="F17" s="188">
        <v>16450</v>
      </c>
      <c r="G17" s="188">
        <v>0</v>
      </c>
      <c r="H17" s="188">
        <v>0</v>
      </c>
      <c r="I17" s="188">
        <v>92084.5</v>
      </c>
      <c r="J17" s="188">
        <v>75180</v>
      </c>
      <c r="K17" s="188">
        <v>73845</v>
      </c>
      <c r="L17" s="188">
        <v>117322</v>
      </c>
      <c r="M17" s="188">
        <v>8772937.3900000006</v>
      </c>
      <c r="N17" s="188">
        <v>1280</v>
      </c>
      <c r="O17" s="188">
        <v>0</v>
      </c>
      <c r="P17" s="188">
        <v>0</v>
      </c>
      <c r="Q17" s="188">
        <v>10226939.390000001</v>
      </c>
      <c r="R17" s="188">
        <v>1047680</v>
      </c>
      <c r="S17" s="188">
        <v>1047680</v>
      </c>
      <c r="T17" s="188">
        <v>173418</v>
      </c>
      <c r="U17" s="188">
        <v>0</v>
      </c>
      <c r="V17" s="188">
        <v>0</v>
      </c>
      <c r="W17" s="188">
        <v>0</v>
      </c>
      <c r="X17" s="188">
        <v>0</v>
      </c>
      <c r="Y17" s="188">
        <v>79000</v>
      </c>
      <c r="Z17" s="188">
        <v>0</v>
      </c>
      <c r="AA17" s="188">
        <v>0</v>
      </c>
      <c r="AB17" s="188">
        <v>0</v>
      </c>
      <c r="AC17" s="188">
        <v>41600</v>
      </c>
      <c r="AD17" s="188">
        <v>40000</v>
      </c>
      <c r="AE17" s="188">
        <v>40000</v>
      </c>
      <c r="AF17" s="188">
        <v>40000</v>
      </c>
      <c r="AG17" s="188">
        <v>0</v>
      </c>
      <c r="AH17" s="188">
        <v>0</v>
      </c>
      <c r="AI17" s="188">
        <v>0</v>
      </c>
      <c r="AJ17" s="188">
        <v>2500</v>
      </c>
      <c r="AK17" s="188">
        <v>0</v>
      </c>
      <c r="AL17" s="188">
        <v>0</v>
      </c>
      <c r="AM17" s="188">
        <v>0</v>
      </c>
      <c r="AN17" s="188">
        <v>0</v>
      </c>
      <c r="AO17" s="188">
        <v>50000</v>
      </c>
      <c r="AP17" s="188">
        <v>50000</v>
      </c>
      <c r="AQ17" s="188">
        <v>0</v>
      </c>
      <c r="AR17" s="188">
        <v>0</v>
      </c>
      <c r="AS17" s="188">
        <v>0</v>
      </c>
      <c r="AT17" s="188">
        <v>0</v>
      </c>
      <c r="AU17" s="188">
        <v>0</v>
      </c>
      <c r="AV17" s="188">
        <v>0</v>
      </c>
      <c r="AW17" s="188">
        <v>5950</v>
      </c>
      <c r="AX17" s="188">
        <v>0</v>
      </c>
      <c r="AY17" s="188">
        <v>0</v>
      </c>
      <c r="AZ17" s="188">
        <v>0</v>
      </c>
      <c r="BA17" s="188">
        <v>0</v>
      </c>
      <c r="BB17" s="188">
        <v>0</v>
      </c>
      <c r="BC17" s="188">
        <v>0</v>
      </c>
      <c r="BD17" s="188">
        <v>0</v>
      </c>
      <c r="BE17" s="188">
        <v>0</v>
      </c>
      <c r="BF17" s="188">
        <v>0</v>
      </c>
      <c r="BG17" s="188">
        <v>0</v>
      </c>
      <c r="BH17" s="188">
        <v>0</v>
      </c>
      <c r="BI17" s="188">
        <v>0</v>
      </c>
      <c r="BJ17" s="188">
        <v>0</v>
      </c>
      <c r="BK17" s="188">
        <v>0</v>
      </c>
      <c r="BL17" s="188">
        <v>0</v>
      </c>
      <c r="BM17" s="188">
        <v>0</v>
      </c>
      <c r="BN17" s="188">
        <v>0</v>
      </c>
      <c r="BO17" s="188">
        <v>0</v>
      </c>
      <c r="BP17" s="188">
        <v>0</v>
      </c>
      <c r="BQ17" s="188">
        <v>0</v>
      </c>
      <c r="BR17" s="188">
        <v>0</v>
      </c>
    </row>
    <row r="18" spans="1:70" x14ac:dyDescent="0.25">
      <c r="A18" s="188" t="s">
        <v>234</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c r="BH18" s="188">
        <v>0</v>
      </c>
      <c r="BI18" s="188">
        <v>0</v>
      </c>
      <c r="BJ18" s="188">
        <v>0</v>
      </c>
      <c r="BK18" s="188">
        <v>0</v>
      </c>
      <c r="BL18" s="188">
        <v>0</v>
      </c>
      <c r="BM18" s="188">
        <v>0</v>
      </c>
      <c r="BN18" s="188">
        <v>0</v>
      </c>
      <c r="BO18" s="188">
        <v>0</v>
      </c>
      <c r="BP18" s="188">
        <v>0</v>
      </c>
      <c r="BQ18" s="188">
        <v>0</v>
      </c>
      <c r="BR18" s="188">
        <v>0</v>
      </c>
    </row>
    <row r="19" spans="1:70" x14ac:dyDescent="0.25">
      <c r="A19" s="188" t="s">
        <v>235</v>
      </c>
      <c r="B19" s="188">
        <v>8410531.3000000007</v>
      </c>
      <c r="C19" s="188">
        <v>815707</v>
      </c>
      <c r="D19" s="188">
        <v>150230</v>
      </c>
      <c r="E19" s="188">
        <v>21430672.949999999</v>
      </c>
      <c r="F19" s="188">
        <v>18116011.350000001</v>
      </c>
      <c r="G19" s="188">
        <v>17435431.350000001</v>
      </c>
      <c r="H19" s="188">
        <v>13335955.060000001</v>
      </c>
      <c r="I19" s="188">
        <v>5562351.1900000004</v>
      </c>
      <c r="J19" s="188">
        <v>5447356</v>
      </c>
      <c r="K19" s="188">
        <v>3956396.91</v>
      </c>
      <c r="L19" s="188">
        <v>2153315.11</v>
      </c>
      <c r="M19" s="188">
        <v>33357886.050000001</v>
      </c>
      <c r="N19" s="188">
        <v>31502649.239999998</v>
      </c>
      <c r="O19" s="188">
        <v>26440236</v>
      </c>
      <c r="P19" s="188">
        <v>5093183.24</v>
      </c>
      <c r="Q19" s="188">
        <v>106726852</v>
      </c>
      <c r="R19" s="188">
        <v>105002717</v>
      </c>
      <c r="S19" s="188">
        <v>105002717</v>
      </c>
      <c r="T19" s="188">
        <v>88428717</v>
      </c>
      <c r="U19" s="188">
        <v>756386234.63999999</v>
      </c>
      <c r="V19" s="188">
        <v>640634221.60000002</v>
      </c>
      <c r="W19" s="188">
        <v>542368131.97000003</v>
      </c>
      <c r="X19" s="188">
        <v>408123249.5</v>
      </c>
      <c r="Y19" s="188">
        <v>340299568</v>
      </c>
      <c r="Z19" s="188">
        <v>187026157.06999999</v>
      </c>
      <c r="AA19" s="188">
        <v>146581293.5</v>
      </c>
      <c r="AB19" s="188">
        <v>0</v>
      </c>
      <c r="AC19" s="188">
        <v>212533826.84</v>
      </c>
      <c r="AD19" s="188">
        <v>74601849.819999993</v>
      </c>
      <c r="AE19" s="188">
        <v>67947203.269999996</v>
      </c>
      <c r="AF19" s="188">
        <v>11199977.289999999</v>
      </c>
      <c r="AG19" s="188">
        <v>56315726.509999998</v>
      </c>
      <c r="AH19" s="188">
        <v>56662329.200000003</v>
      </c>
      <c r="AI19" s="188">
        <v>54180223</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c r="BH19" s="188">
        <v>0</v>
      </c>
      <c r="BI19" s="188">
        <v>0</v>
      </c>
      <c r="BJ19" s="188">
        <v>0</v>
      </c>
      <c r="BK19" s="188">
        <v>0</v>
      </c>
      <c r="BL19" s="188">
        <v>0</v>
      </c>
      <c r="BM19" s="188">
        <v>0</v>
      </c>
      <c r="BN19" s="188">
        <v>0</v>
      </c>
      <c r="BO19" s="188">
        <v>0</v>
      </c>
      <c r="BP19" s="188">
        <v>0</v>
      </c>
      <c r="BQ19" s="188">
        <v>0</v>
      </c>
      <c r="BR19" s="188">
        <v>0</v>
      </c>
    </row>
    <row r="20" spans="1:70" x14ac:dyDescent="0.25">
      <c r="A20" s="188" t="s">
        <v>236</v>
      </c>
      <c r="B20" s="188">
        <v>8410531.3000000007</v>
      </c>
      <c r="C20" s="188">
        <v>815707</v>
      </c>
      <c r="D20" s="188">
        <v>150230</v>
      </c>
      <c r="E20" s="188">
        <v>21447122.949999999</v>
      </c>
      <c r="F20" s="188">
        <v>18132461.350000001</v>
      </c>
      <c r="G20" s="188">
        <v>17435431.350000001</v>
      </c>
      <c r="H20" s="188">
        <v>13335955.060000001</v>
      </c>
      <c r="I20" s="188">
        <v>5654435.6900000004</v>
      </c>
      <c r="J20" s="188">
        <v>5522536</v>
      </c>
      <c r="K20" s="188">
        <v>4030241.91</v>
      </c>
      <c r="L20" s="188">
        <v>2270637.11</v>
      </c>
      <c r="M20" s="188">
        <v>106049995.48999999</v>
      </c>
      <c r="N20" s="188">
        <v>95372849.099999994</v>
      </c>
      <c r="O20" s="188">
        <v>39782405.859999999</v>
      </c>
      <c r="P20" s="188">
        <v>15425353.1</v>
      </c>
      <c r="Q20" s="188">
        <v>125049057.14</v>
      </c>
      <c r="R20" s="188">
        <v>109060397</v>
      </c>
      <c r="S20" s="188">
        <v>109060397</v>
      </c>
      <c r="T20" s="188">
        <v>88602135</v>
      </c>
      <c r="U20" s="188">
        <v>759396234.63999999</v>
      </c>
      <c r="V20" s="188">
        <v>643644221.60000002</v>
      </c>
      <c r="W20" s="188">
        <v>545378131.97000003</v>
      </c>
      <c r="X20" s="188">
        <v>408123249.5</v>
      </c>
      <c r="Y20" s="188">
        <v>354507568</v>
      </c>
      <c r="Z20" s="188">
        <v>201155157.06999999</v>
      </c>
      <c r="AA20" s="188">
        <v>160710293.5</v>
      </c>
      <c r="AB20" s="188">
        <v>11119000</v>
      </c>
      <c r="AC20" s="188">
        <v>215585426.84</v>
      </c>
      <c r="AD20" s="188">
        <v>77651849.819999993</v>
      </c>
      <c r="AE20" s="188">
        <v>70997203.269999996</v>
      </c>
      <c r="AF20" s="188">
        <v>11239977.289999999</v>
      </c>
      <c r="AG20" s="188">
        <v>75047126.510000005</v>
      </c>
      <c r="AH20" s="188">
        <v>75393729.200000003</v>
      </c>
      <c r="AI20" s="188">
        <v>72911623</v>
      </c>
      <c r="AJ20" s="188">
        <v>18731400</v>
      </c>
      <c r="AK20" s="188">
        <v>27080397.260000002</v>
      </c>
      <c r="AL20" s="188">
        <v>27080397.260000002</v>
      </c>
      <c r="AM20" s="188">
        <v>27080397.260000002</v>
      </c>
      <c r="AN20" s="188">
        <v>0</v>
      </c>
      <c r="AO20" s="188">
        <v>23173100</v>
      </c>
      <c r="AP20" s="188">
        <v>23173100</v>
      </c>
      <c r="AQ20" s="188">
        <v>23123100</v>
      </c>
      <c r="AR20" s="188">
        <v>23123100</v>
      </c>
      <c r="AS20" s="188">
        <v>0</v>
      </c>
      <c r="AT20" s="188">
        <v>0</v>
      </c>
      <c r="AU20" s="188">
        <v>0</v>
      </c>
      <c r="AV20" s="188">
        <v>0</v>
      </c>
      <c r="AW20" s="188">
        <v>5950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v>0</v>
      </c>
      <c r="BP20" s="188">
        <v>0</v>
      </c>
      <c r="BQ20" s="188">
        <v>0</v>
      </c>
      <c r="BR20" s="188">
        <v>0</v>
      </c>
    </row>
    <row r="21" spans="1:70" x14ac:dyDescent="0.25">
      <c r="A21" s="188" t="s">
        <v>237</v>
      </c>
      <c r="B21" s="188">
        <v>1016477926.63</v>
      </c>
      <c r="C21" s="188">
        <v>716639810.98000002</v>
      </c>
      <c r="D21" s="188">
        <v>574638851.37</v>
      </c>
      <c r="E21" s="188">
        <v>1125017192.45</v>
      </c>
      <c r="F21" s="188">
        <v>756994453.84000003</v>
      </c>
      <c r="G21" s="188">
        <v>480999293.66000003</v>
      </c>
      <c r="H21" s="188">
        <v>307369260.11000001</v>
      </c>
      <c r="I21" s="188">
        <v>1019178136.92</v>
      </c>
      <c r="J21" s="188">
        <v>775269285.34000003</v>
      </c>
      <c r="K21" s="188">
        <v>496606045.55000001</v>
      </c>
      <c r="L21" s="188">
        <v>367086565.32999998</v>
      </c>
      <c r="M21" s="188">
        <v>2061470481.3199999</v>
      </c>
      <c r="N21" s="188">
        <v>1810810170.6099999</v>
      </c>
      <c r="O21" s="188">
        <v>1275907396.6199999</v>
      </c>
      <c r="P21" s="188">
        <v>865730347.38</v>
      </c>
      <c r="Q21" s="188">
        <v>4431065066.0500002</v>
      </c>
      <c r="R21" s="188">
        <v>3698405813.6799998</v>
      </c>
      <c r="S21" s="188">
        <v>2846115154.8499999</v>
      </c>
      <c r="T21" s="188">
        <v>2024967912.28</v>
      </c>
      <c r="U21" s="188">
        <v>5405740026.2299995</v>
      </c>
      <c r="V21" s="188">
        <v>3944662952.02</v>
      </c>
      <c r="W21" s="188">
        <v>2527195939.4299998</v>
      </c>
      <c r="X21" s="188">
        <v>1124939088.24</v>
      </c>
      <c r="Y21" s="188">
        <v>4211900807.9099998</v>
      </c>
      <c r="Z21" s="188">
        <v>3041808991.9499998</v>
      </c>
      <c r="AA21" s="188">
        <v>1701317277.73</v>
      </c>
      <c r="AB21" s="188">
        <v>678815042.40999997</v>
      </c>
      <c r="AC21" s="188">
        <v>2184528163.1100001</v>
      </c>
      <c r="AD21" s="188">
        <v>1234305197.8399999</v>
      </c>
      <c r="AE21" s="188">
        <v>747055064.26999998</v>
      </c>
      <c r="AF21" s="188">
        <v>300691471.88</v>
      </c>
      <c r="AG21" s="188">
        <v>1731913788.52</v>
      </c>
      <c r="AH21" s="188">
        <v>1394221713.73</v>
      </c>
      <c r="AI21" s="188">
        <v>1079662311.3</v>
      </c>
      <c r="AJ21" s="188">
        <v>469039504.07999998</v>
      </c>
      <c r="AK21" s="188">
        <v>1356601530.0899999</v>
      </c>
      <c r="AL21" s="188">
        <v>1058500946.42</v>
      </c>
      <c r="AM21" s="188">
        <v>689017762.13</v>
      </c>
      <c r="AN21" s="188">
        <v>288879016.69</v>
      </c>
      <c r="AO21" s="188">
        <v>1010735786.04</v>
      </c>
      <c r="AP21" s="188">
        <v>643869405.12</v>
      </c>
      <c r="AQ21" s="188">
        <v>409784280.75</v>
      </c>
      <c r="AR21" s="188">
        <v>174666400.53</v>
      </c>
      <c r="AS21" s="188">
        <v>772456652.49000001</v>
      </c>
      <c r="AT21" s="188">
        <v>545583793.12</v>
      </c>
      <c r="AU21" s="188">
        <v>332503082.61000001</v>
      </c>
      <c r="AV21" s="188">
        <v>182658817.77000001</v>
      </c>
      <c r="AW21" s="188">
        <v>737075587.27999997</v>
      </c>
      <c r="AX21" s="188">
        <v>544313686.75999999</v>
      </c>
      <c r="AY21" s="188">
        <v>311944622.32999998</v>
      </c>
      <c r="AZ21" s="188">
        <v>104814535.87</v>
      </c>
      <c r="BA21" s="188">
        <v>540843725.72000003</v>
      </c>
      <c r="BB21" s="188">
        <v>388631291.38999999</v>
      </c>
      <c r="BC21" s="188">
        <v>242680051.99000001</v>
      </c>
      <c r="BD21" s="188">
        <v>101989194.91</v>
      </c>
      <c r="BE21" s="188">
        <v>355190020.75</v>
      </c>
      <c r="BF21" s="188">
        <v>228190946.83000001</v>
      </c>
      <c r="BG21" s="188">
        <v>138326737.52000001</v>
      </c>
      <c r="BH21" s="188">
        <v>73503913.549999997</v>
      </c>
      <c r="BI21" s="188">
        <v>334880557.62</v>
      </c>
      <c r="BJ21" s="188">
        <v>299863886.41000003</v>
      </c>
      <c r="BK21" s="188">
        <v>201234233.88</v>
      </c>
      <c r="BL21" s="188">
        <v>106650497.18000001</v>
      </c>
      <c r="BM21" s="188">
        <v>467451921.25</v>
      </c>
      <c r="BN21" s="188">
        <v>260755471.34</v>
      </c>
      <c r="BO21" s="188">
        <v>331691548.18000001</v>
      </c>
      <c r="BP21" s="188">
        <v>0</v>
      </c>
      <c r="BQ21" s="188">
        <v>33823984.460000001</v>
      </c>
      <c r="BR21" s="188">
        <v>0</v>
      </c>
    </row>
    <row r="22" spans="1:70" x14ac:dyDescent="0.25">
      <c r="A22" s="188" t="s">
        <v>238</v>
      </c>
      <c r="B22" s="188">
        <v>0</v>
      </c>
      <c r="C22" s="188">
        <v>0</v>
      </c>
      <c r="D22" s="188">
        <v>0</v>
      </c>
      <c r="E22" s="188">
        <v>0</v>
      </c>
      <c r="F22" s="188">
        <v>0</v>
      </c>
      <c r="G22" s="188">
        <v>0</v>
      </c>
      <c r="H22" s="188">
        <v>0</v>
      </c>
      <c r="I22" s="188">
        <v>0</v>
      </c>
      <c r="J22" s="188">
        <v>0</v>
      </c>
      <c r="K22" s="188">
        <v>0</v>
      </c>
      <c r="L22" s="188">
        <v>0</v>
      </c>
      <c r="M22" s="188">
        <v>25050000</v>
      </c>
      <c r="N22" s="188">
        <v>25000000</v>
      </c>
      <c r="O22" s="188">
        <v>25000000</v>
      </c>
      <c r="P22" s="188">
        <v>0</v>
      </c>
      <c r="Q22" s="188">
        <v>15000000</v>
      </c>
      <c r="R22" s="188">
        <v>15000000</v>
      </c>
      <c r="S22" s="188">
        <v>15000000</v>
      </c>
      <c r="T22" s="188">
        <v>0</v>
      </c>
      <c r="U22" s="188">
        <v>0</v>
      </c>
      <c r="V22" s="188">
        <v>0</v>
      </c>
      <c r="W22" s="188">
        <v>0</v>
      </c>
      <c r="X22" s="188">
        <v>0</v>
      </c>
      <c r="Y22" s="188">
        <v>0</v>
      </c>
      <c r="Z22" s="188">
        <v>0</v>
      </c>
      <c r="AA22" s="188">
        <v>0</v>
      </c>
      <c r="AB22" s="188">
        <v>0</v>
      </c>
      <c r="AC22" s="188">
        <v>0</v>
      </c>
      <c r="AD22" s="188">
        <v>0</v>
      </c>
      <c r="AE22" s="188">
        <v>0</v>
      </c>
      <c r="AF22" s="188">
        <v>0</v>
      </c>
      <c r="AG22" s="188">
        <v>50000000</v>
      </c>
      <c r="AH22" s="188">
        <v>50000000</v>
      </c>
      <c r="AI22" s="188">
        <v>50000000</v>
      </c>
      <c r="AJ22" s="188">
        <v>0</v>
      </c>
      <c r="AK22" s="188">
        <v>10000000</v>
      </c>
      <c r="AL22" s="188">
        <v>10000000</v>
      </c>
      <c r="AM22" s="188">
        <v>10000000</v>
      </c>
      <c r="AN22" s="188">
        <v>10000000</v>
      </c>
      <c r="AO22" s="188">
        <v>5000000</v>
      </c>
      <c r="AP22" s="188">
        <v>0</v>
      </c>
      <c r="AQ22" s="188">
        <v>0</v>
      </c>
      <c r="AR22" s="188">
        <v>0</v>
      </c>
      <c r="AS22" s="188">
        <v>17000000</v>
      </c>
      <c r="AT22" s="188">
        <v>17000000</v>
      </c>
      <c r="AU22" s="188">
        <v>17000000</v>
      </c>
      <c r="AV22" s="188">
        <v>17000000</v>
      </c>
      <c r="AW22" s="188">
        <v>41000000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4000000</v>
      </c>
      <c r="BN22" s="188">
        <v>4000000</v>
      </c>
      <c r="BO22" s="188">
        <v>0</v>
      </c>
      <c r="BP22" s="188">
        <v>0</v>
      </c>
      <c r="BQ22" s="188">
        <v>0</v>
      </c>
      <c r="BR22" s="188">
        <v>0</v>
      </c>
    </row>
    <row r="23" spans="1:70" x14ac:dyDescent="0.25">
      <c r="A23" s="188" t="s">
        <v>239</v>
      </c>
      <c r="B23" s="188">
        <v>0</v>
      </c>
      <c r="C23" s="188">
        <v>0</v>
      </c>
      <c r="D23" s="188">
        <v>0</v>
      </c>
      <c r="E23" s="188">
        <v>0</v>
      </c>
      <c r="F23" s="188">
        <v>0</v>
      </c>
      <c r="G23" s="188">
        <v>0</v>
      </c>
      <c r="H23" s="188">
        <v>0</v>
      </c>
      <c r="I23" s="188">
        <v>0</v>
      </c>
      <c r="J23" s="188">
        <v>0</v>
      </c>
      <c r="K23" s="188">
        <v>0</v>
      </c>
      <c r="L23" s="188">
        <v>0</v>
      </c>
      <c r="M23" s="188">
        <v>0</v>
      </c>
      <c r="N23" s="188">
        <v>0</v>
      </c>
      <c r="O23" s="188">
        <v>0</v>
      </c>
      <c r="P23" s="188">
        <v>0</v>
      </c>
      <c r="Q23" s="188">
        <v>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c r="BH23" s="188">
        <v>0</v>
      </c>
      <c r="BI23" s="188">
        <v>0</v>
      </c>
      <c r="BJ23" s="188">
        <v>0</v>
      </c>
      <c r="BK23" s="188">
        <v>0</v>
      </c>
      <c r="BL23" s="188">
        <v>0</v>
      </c>
      <c r="BM23" s="188">
        <v>0</v>
      </c>
      <c r="BN23" s="188">
        <v>0</v>
      </c>
      <c r="BO23" s="188">
        <v>0</v>
      </c>
      <c r="BP23" s="188">
        <v>0</v>
      </c>
      <c r="BQ23" s="188">
        <v>0</v>
      </c>
      <c r="BR23" s="188">
        <v>0</v>
      </c>
    </row>
    <row r="24" spans="1:70" x14ac:dyDescent="0.25">
      <c r="A24" s="188" t="s">
        <v>240</v>
      </c>
      <c r="B24" s="188">
        <v>15056419.779999999</v>
      </c>
      <c r="C24" s="188">
        <v>23957573</v>
      </c>
      <c r="D24" s="188">
        <v>17422337.149999999</v>
      </c>
      <c r="E24" s="188">
        <v>17075145.100000001</v>
      </c>
      <c r="F24" s="188">
        <v>8913220.8599999994</v>
      </c>
      <c r="G24" s="188">
        <v>7124750.8600000003</v>
      </c>
      <c r="H24" s="188">
        <v>6306387.0599999996</v>
      </c>
      <c r="I24" s="188">
        <v>88977102.969999999</v>
      </c>
      <c r="J24" s="188">
        <v>3740639.78</v>
      </c>
      <c r="K24" s="188">
        <v>62932043.909999996</v>
      </c>
      <c r="L24" s="188">
        <v>56529387.609999999</v>
      </c>
      <c r="M24" s="188">
        <v>68319778.760000005</v>
      </c>
      <c r="N24" s="188">
        <v>42557201.530000001</v>
      </c>
      <c r="O24" s="188">
        <v>29590419.239999998</v>
      </c>
      <c r="P24" s="188">
        <v>3740294.25</v>
      </c>
      <c r="Q24" s="188">
        <v>259143571.28</v>
      </c>
      <c r="R24" s="188">
        <v>270574431.64999998</v>
      </c>
      <c r="S24" s="188">
        <v>246700375.63</v>
      </c>
      <c r="T24" s="188">
        <v>148452932.19999999</v>
      </c>
      <c r="U24" s="188">
        <v>692967608.36000001</v>
      </c>
      <c r="V24" s="188">
        <v>536501410.66000003</v>
      </c>
      <c r="W24" s="188">
        <v>399765665.06</v>
      </c>
      <c r="X24" s="188">
        <v>301797368.77999997</v>
      </c>
      <c r="Y24" s="188">
        <v>342083058.36000001</v>
      </c>
      <c r="Z24" s="188">
        <v>174710044.36000001</v>
      </c>
      <c r="AA24" s="188">
        <v>136762440.03999999</v>
      </c>
      <c r="AB24" s="188">
        <v>22125199.09</v>
      </c>
      <c r="AC24" s="188">
        <v>151475313.63999999</v>
      </c>
      <c r="AD24" s="188">
        <v>40917766.840000004</v>
      </c>
      <c r="AE24" s="188">
        <v>28350508.440000001</v>
      </c>
      <c r="AF24" s="188">
        <v>11610276.939999999</v>
      </c>
      <c r="AG24" s="188">
        <v>56522892.710000001</v>
      </c>
      <c r="AH24" s="188">
        <v>57620800.18</v>
      </c>
      <c r="AI24" s="188">
        <v>44522602.719999999</v>
      </c>
      <c r="AJ24" s="188">
        <v>0</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0</v>
      </c>
      <c r="BA24" s="188">
        <v>0</v>
      </c>
      <c r="BB24" s="188">
        <v>0</v>
      </c>
      <c r="BC24" s="188">
        <v>0</v>
      </c>
      <c r="BD24" s="188">
        <v>0</v>
      </c>
      <c r="BE24" s="188">
        <v>0</v>
      </c>
      <c r="BF24" s="188">
        <v>0</v>
      </c>
      <c r="BG24" s="188">
        <v>0</v>
      </c>
      <c r="BH24" s="188">
        <v>0</v>
      </c>
      <c r="BI24" s="188">
        <v>0</v>
      </c>
      <c r="BJ24" s="188">
        <v>0</v>
      </c>
      <c r="BK24" s="188">
        <v>0</v>
      </c>
      <c r="BL24" s="188">
        <v>0</v>
      </c>
      <c r="BM24" s="188">
        <v>0</v>
      </c>
      <c r="BN24" s="188">
        <v>0</v>
      </c>
      <c r="BO24" s="188">
        <v>0</v>
      </c>
      <c r="BP24" s="188">
        <v>1203369.21</v>
      </c>
      <c r="BQ24" s="188">
        <v>0</v>
      </c>
      <c r="BR24" s="188">
        <v>0</v>
      </c>
    </row>
    <row r="25" spans="1:70" x14ac:dyDescent="0.25">
      <c r="A25" s="188" t="s">
        <v>241</v>
      </c>
      <c r="B25" s="188">
        <v>1031534346.41</v>
      </c>
      <c r="C25" s="188">
        <v>740597383.98000002</v>
      </c>
      <c r="D25" s="188">
        <v>592061188.51999998</v>
      </c>
      <c r="E25" s="188">
        <v>1142092337.55</v>
      </c>
      <c r="F25" s="188">
        <v>765907674.70000005</v>
      </c>
      <c r="G25" s="188">
        <v>488124044.51999998</v>
      </c>
      <c r="H25" s="188">
        <v>313675647.17000002</v>
      </c>
      <c r="I25" s="188">
        <v>1108155239.8900001</v>
      </c>
      <c r="J25" s="188">
        <v>779009925.12</v>
      </c>
      <c r="K25" s="188">
        <v>559538089.46000004</v>
      </c>
      <c r="L25" s="188">
        <v>423615952.94</v>
      </c>
      <c r="M25" s="188">
        <v>2154840260.0799999</v>
      </c>
      <c r="N25" s="188">
        <v>1878367372.1400001</v>
      </c>
      <c r="O25" s="188">
        <v>1330497815.8599999</v>
      </c>
      <c r="P25" s="188">
        <v>869470641.63</v>
      </c>
      <c r="Q25" s="188">
        <v>4705208637.3299999</v>
      </c>
      <c r="R25" s="188">
        <v>3983980245.3299999</v>
      </c>
      <c r="S25" s="188">
        <v>3107815530.48</v>
      </c>
      <c r="T25" s="188">
        <v>2173420844.48</v>
      </c>
      <c r="U25" s="188">
        <v>6098707634.5900002</v>
      </c>
      <c r="V25" s="188">
        <v>4481164362.6800003</v>
      </c>
      <c r="W25" s="188">
        <v>2926961604.4899998</v>
      </c>
      <c r="X25" s="188">
        <v>1426736457.02</v>
      </c>
      <c r="Y25" s="188">
        <v>4553983866.2700005</v>
      </c>
      <c r="Z25" s="188">
        <v>3216519036.3099999</v>
      </c>
      <c r="AA25" s="188">
        <v>1838079717.77</v>
      </c>
      <c r="AB25" s="188">
        <v>700940241.5</v>
      </c>
      <c r="AC25" s="188">
        <v>2336003476.75</v>
      </c>
      <c r="AD25" s="188">
        <v>1275222964.6800001</v>
      </c>
      <c r="AE25" s="188">
        <v>775405572.71000004</v>
      </c>
      <c r="AF25" s="188">
        <v>312301748.81999999</v>
      </c>
      <c r="AG25" s="188">
        <v>1838436681.23</v>
      </c>
      <c r="AH25" s="188">
        <v>1501842513.9100001</v>
      </c>
      <c r="AI25" s="188">
        <v>1174184914.02</v>
      </c>
      <c r="AJ25" s="188">
        <v>469039504.07999998</v>
      </c>
      <c r="AK25" s="188">
        <v>1366601530.0899999</v>
      </c>
      <c r="AL25" s="188">
        <v>1068500946.42</v>
      </c>
      <c r="AM25" s="188">
        <v>699017762.13</v>
      </c>
      <c r="AN25" s="188">
        <v>298879016.69</v>
      </c>
      <c r="AO25" s="188">
        <v>1015735786.04</v>
      </c>
      <c r="AP25" s="188">
        <v>643869405.12</v>
      </c>
      <c r="AQ25" s="188">
        <v>409784280.75</v>
      </c>
      <c r="AR25" s="188">
        <v>174666400.53</v>
      </c>
      <c r="AS25" s="188">
        <v>789456652.49000001</v>
      </c>
      <c r="AT25" s="188">
        <v>562583793.12</v>
      </c>
      <c r="AU25" s="188">
        <v>349503082.61000001</v>
      </c>
      <c r="AV25" s="188">
        <v>199658817.77000001</v>
      </c>
      <c r="AW25" s="188">
        <v>778075587.27999997</v>
      </c>
      <c r="AX25" s="188">
        <v>544313686.75999999</v>
      </c>
      <c r="AY25" s="188">
        <v>311944622.32999998</v>
      </c>
      <c r="AZ25" s="188">
        <v>104814535.87</v>
      </c>
      <c r="BA25" s="188">
        <v>540843725.72000003</v>
      </c>
      <c r="BB25" s="188">
        <v>388631291.38999999</v>
      </c>
      <c r="BC25" s="188">
        <v>242680051.99000001</v>
      </c>
      <c r="BD25" s="188">
        <v>101989194.91</v>
      </c>
      <c r="BE25" s="188">
        <v>355190020.75</v>
      </c>
      <c r="BF25" s="188">
        <v>228190946.83000001</v>
      </c>
      <c r="BG25" s="188">
        <v>138326737.52000001</v>
      </c>
      <c r="BH25" s="188">
        <v>73503913.549999997</v>
      </c>
      <c r="BI25" s="188">
        <v>334880557.62</v>
      </c>
      <c r="BJ25" s="188">
        <v>299863886.41000003</v>
      </c>
      <c r="BK25" s="188">
        <v>201234233.88</v>
      </c>
      <c r="BL25" s="188">
        <v>106650497.18000001</v>
      </c>
      <c r="BM25" s="188">
        <v>471451921.25</v>
      </c>
      <c r="BN25" s="188">
        <v>264755471.34</v>
      </c>
      <c r="BO25" s="188">
        <v>331691548.18000001</v>
      </c>
      <c r="BP25" s="188">
        <v>1203369.21</v>
      </c>
      <c r="BQ25" s="188">
        <v>33823984.460000001</v>
      </c>
      <c r="BR25" s="188">
        <v>0</v>
      </c>
    </row>
    <row r="26" spans="1:70" x14ac:dyDescent="0.25">
      <c r="A26" s="188" t="s">
        <v>242</v>
      </c>
      <c r="B26" s="188">
        <v>-1023123815.11</v>
      </c>
      <c r="C26" s="188">
        <v>-739781676.98000002</v>
      </c>
      <c r="D26" s="188">
        <v>-591910958.51999998</v>
      </c>
      <c r="E26" s="188">
        <v>-1120645214.5999999</v>
      </c>
      <c r="F26" s="188">
        <v>-747775213.35000002</v>
      </c>
      <c r="G26" s="188">
        <v>-470688613.17000002</v>
      </c>
      <c r="H26" s="188">
        <v>-300339692.11000001</v>
      </c>
      <c r="I26" s="188">
        <v>-1102500804.2</v>
      </c>
      <c r="J26" s="188">
        <v>-773487389.12</v>
      </c>
      <c r="K26" s="188">
        <v>-555507847.54999995</v>
      </c>
      <c r="L26" s="188">
        <v>-421345315.82999998</v>
      </c>
      <c r="M26" s="188">
        <v>-2048790264.5899999</v>
      </c>
      <c r="N26" s="188">
        <v>-1782994523.04</v>
      </c>
      <c r="O26" s="188">
        <v>-1290715410</v>
      </c>
      <c r="P26" s="188">
        <v>-854045288.52999997</v>
      </c>
      <c r="Q26" s="188">
        <v>-4580159580.1899996</v>
      </c>
      <c r="R26" s="188">
        <v>-3874919848.3299999</v>
      </c>
      <c r="S26" s="188">
        <v>-2998755133.48</v>
      </c>
      <c r="T26" s="188">
        <v>-2084818709.48</v>
      </c>
      <c r="U26" s="188">
        <v>-5339311399.9499998</v>
      </c>
      <c r="V26" s="188">
        <v>-3837520141.0799999</v>
      </c>
      <c r="W26" s="188">
        <v>-2381583472.52</v>
      </c>
      <c r="X26" s="188">
        <v>-1018613207.52</v>
      </c>
      <c r="Y26" s="188">
        <v>-4199476298.27</v>
      </c>
      <c r="Z26" s="188">
        <v>-3015363879.2399998</v>
      </c>
      <c r="AA26" s="188">
        <v>-1677369424.27</v>
      </c>
      <c r="AB26" s="188">
        <v>-689821241.5</v>
      </c>
      <c r="AC26" s="188">
        <v>-2120418049.9100001</v>
      </c>
      <c r="AD26" s="188">
        <v>-1197571114.8599999</v>
      </c>
      <c r="AE26" s="188">
        <v>-704408369.44000006</v>
      </c>
      <c r="AF26" s="188">
        <v>-301061771.52999997</v>
      </c>
      <c r="AG26" s="188">
        <v>-1763389554.72</v>
      </c>
      <c r="AH26" s="188">
        <v>-1426448784.71</v>
      </c>
      <c r="AI26" s="188">
        <v>-1101273291.02</v>
      </c>
      <c r="AJ26" s="188">
        <v>-450308104.07999998</v>
      </c>
      <c r="AK26" s="188">
        <v>-1339521132.8299999</v>
      </c>
      <c r="AL26" s="188">
        <v>-1041420549.16</v>
      </c>
      <c r="AM26" s="188">
        <v>-671937364.87</v>
      </c>
      <c r="AN26" s="188">
        <v>-298879016.69</v>
      </c>
      <c r="AO26" s="188">
        <v>-992562686.03999996</v>
      </c>
      <c r="AP26" s="188">
        <v>-620696305.12</v>
      </c>
      <c r="AQ26" s="188">
        <v>-386661180.75</v>
      </c>
      <c r="AR26" s="188">
        <v>-151543300.53</v>
      </c>
      <c r="AS26" s="188">
        <v>-789456652.49000001</v>
      </c>
      <c r="AT26" s="188">
        <v>-562583793.12</v>
      </c>
      <c r="AU26" s="188">
        <v>-349503082.61000001</v>
      </c>
      <c r="AV26" s="188">
        <v>-199658817.77000001</v>
      </c>
      <c r="AW26" s="188">
        <v>-778069637.27999997</v>
      </c>
      <c r="AX26" s="188">
        <v>-544313686.75999999</v>
      </c>
      <c r="AY26" s="188">
        <v>-311944622.32999998</v>
      </c>
      <c r="AZ26" s="188">
        <v>-104814535.87</v>
      </c>
      <c r="BA26" s="188">
        <v>-540843725.72000003</v>
      </c>
      <c r="BB26" s="188">
        <v>-388631291.38999999</v>
      </c>
      <c r="BC26" s="188">
        <v>-242680051.99000001</v>
      </c>
      <c r="BD26" s="188">
        <v>-101989194.91</v>
      </c>
      <c r="BE26" s="188">
        <v>-355190020.75</v>
      </c>
      <c r="BF26" s="188">
        <v>-228190946.83000001</v>
      </c>
      <c r="BG26" s="188">
        <v>-138326737.52000001</v>
      </c>
      <c r="BH26" s="188">
        <v>-73503913.549999997</v>
      </c>
      <c r="BI26" s="188">
        <v>-334880557.62</v>
      </c>
      <c r="BJ26" s="188">
        <v>-299863886.41000003</v>
      </c>
      <c r="BK26" s="188">
        <v>-201234233.88</v>
      </c>
      <c r="BL26" s="188">
        <v>-106650497.18000001</v>
      </c>
      <c r="BM26" s="188">
        <v>-471451921.25</v>
      </c>
      <c r="BN26" s="188">
        <v>-264755471.34</v>
      </c>
      <c r="BO26" s="188">
        <v>-331691548.18000001</v>
      </c>
      <c r="BP26" s="188">
        <v>-1203369.21</v>
      </c>
      <c r="BQ26" s="188">
        <v>-33823984.460000001</v>
      </c>
      <c r="BR26" s="188">
        <v>0</v>
      </c>
    </row>
    <row r="27" spans="1:70" x14ac:dyDescent="0.25">
      <c r="A27" s="188" t="s">
        <v>243</v>
      </c>
    </row>
    <row r="28" spans="1:70" x14ac:dyDescent="0.25">
      <c r="A28" s="188" t="s">
        <v>244</v>
      </c>
      <c r="B28" s="188">
        <v>0</v>
      </c>
      <c r="C28" s="188">
        <v>0</v>
      </c>
      <c r="D28" s="188">
        <v>0</v>
      </c>
      <c r="E28" s="188">
        <v>6000000</v>
      </c>
      <c r="F28" s="188">
        <v>6000000</v>
      </c>
      <c r="G28" s="188">
        <v>6000000</v>
      </c>
      <c r="H28" s="188">
        <v>0</v>
      </c>
      <c r="I28" s="188">
        <v>16000000</v>
      </c>
      <c r="J28" s="188">
        <v>0</v>
      </c>
      <c r="K28" s="188">
        <v>0</v>
      </c>
      <c r="L28" s="188">
        <v>0</v>
      </c>
      <c r="M28" s="188">
        <v>0</v>
      </c>
      <c r="N28" s="188">
        <v>0</v>
      </c>
      <c r="O28" s="188">
        <v>0</v>
      </c>
      <c r="P28" s="188">
        <v>0</v>
      </c>
      <c r="Q28" s="188">
        <v>34800000</v>
      </c>
      <c r="R28" s="188">
        <v>6000000</v>
      </c>
      <c r="S28" s="188">
        <v>0</v>
      </c>
      <c r="T28" s="188">
        <v>0</v>
      </c>
      <c r="U28" s="188">
        <v>6000000</v>
      </c>
      <c r="V28" s="188">
        <v>0</v>
      </c>
      <c r="W28" s="188">
        <v>0</v>
      </c>
      <c r="X28" s="188">
        <v>0</v>
      </c>
      <c r="Y28" s="188">
        <v>392000000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2016922206.52</v>
      </c>
      <c r="BP28" s="188">
        <v>0</v>
      </c>
      <c r="BQ28" s="188">
        <v>500000</v>
      </c>
      <c r="BR28" s="188">
        <v>0</v>
      </c>
    </row>
    <row r="29" spans="1:70" x14ac:dyDescent="0.25">
      <c r="A29" s="188" t="s">
        <v>245</v>
      </c>
      <c r="B29" s="188">
        <v>0</v>
      </c>
      <c r="C29" s="188">
        <v>0</v>
      </c>
      <c r="D29" s="188">
        <v>0</v>
      </c>
      <c r="E29" s="188">
        <v>6000000</v>
      </c>
      <c r="F29" s="188">
        <v>6000000</v>
      </c>
      <c r="G29" s="188">
        <v>6000000</v>
      </c>
      <c r="H29" s="188">
        <v>0</v>
      </c>
      <c r="I29" s="188">
        <v>16000000</v>
      </c>
      <c r="J29" s="188">
        <v>0</v>
      </c>
      <c r="K29" s="188">
        <v>0</v>
      </c>
      <c r="L29" s="188">
        <v>0</v>
      </c>
      <c r="M29" s="188">
        <v>0</v>
      </c>
      <c r="N29" s="188">
        <v>0</v>
      </c>
      <c r="O29" s="188">
        <v>0</v>
      </c>
      <c r="P29" s="188">
        <v>0</v>
      </c>
      <c r="Q29" s="188">
        <v>34800000</v>
      </c>
      <c r="R29" s="188">
        <v>6000000</v>
      </c>
      <c r="S29" s="188">
        <v>0</v>
      </c>
      <c r="T29" s="188">
        <v>0</v>
      </c>
      <c r="U29" s="188">
        <v>6000000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row>
    <row r="30" spans="1:70" x14ac:dyDescent="0.25">
      <c r="A30" s="188" t="s">
        <v>246</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67382607</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c r="BK30" s="188">
        <v>0</v>
      </c>
      <c r="BL30" s="188">
        <v>0</v>
      </c>
      <c r="BM30" s="188">
        <v>0</v>
      </c>
      <c r="BN30" s="188">
        <v>0</v>
      </c>
      <c r="BO30" s="188">
        <v>0</v>
      </c>
      <c r="BP30" s="188">
        <v>0</v>
      </c>
      <c r="BQ30" s="188">
        <v>129000000</v>
      </c>
      <c r="BR30" s="188">
        <v>0</v>
      </c>
    </row>
    <row r="31" spans="1:70" x14ac:dyDescent="0.25">
      <c r="A31" s="188" t="s">
        <v>247</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c r="BK31" s="188">
        <v>0</v>
      </c>
      <c r="BL31" s="188">
        <v>0</v>
      </c>
      <c r="BM31" s="188">
        <v>0</v>
      </c>
      <c r="BN31" s="188">
        <v>0</v>
      </c>
      <c r="BO31" s="188">
        <v>0</v>
      </c>
      <c r="BP31" s="188">
        <v>0</v>
      </c>
      <c r="BQ31" s="188">
        <v>0</v>
      </c>
      <c r="BR31" s="188">
        <v>0</v>
      </c>
    </row>
    <row r="32" spans="1:70" x14ac:dyDescent="0.25">
      <c r="A32" s="188" t="s">
        <v>248</v>
      </c>
      <c r="B32" s="188">
        <v>0</v>
      </c>
      <c r="C32" s="188">
        <v>0</v>
      </c>
      <c r="D32" s="188">
        <v>0</v>
      </c>
      <c r="E32" s="188">
        <v>0</v>
      </c>
      <c r="F32" s="188">
        <v>0</v>
      </c>
      <c r="G32" s="188">
        <v>0</v>
      </c>
      <c r="H32" s="188">
        <v>0</v>
      </c>
      <c r="I32" s="188">
        <v>0</v>
      </c>
      <c r="J32" s="188">
        <v>0</v>
      </c>
      <c r="K32" s="188">
        <v>0</v>
      </c>
      <c r="L32" s="188">
        <v>0</v>
      </c>
      <c r="M32" s="188">
        <v>22000000</v>
      </c>
      <c r="N32" s="188">
        <v>22000000</v>
      </c>
      <c r="O32" s="188">
        <v>22000000</v>
      </c>
      <c r="P32" s="188">
        <v>22000000</v>
      </c>
      <c r="Q32" s="188">
        <v>0</v>
      </c>
      <c r="R32" s="188">
        <v>0</v>
      </c>
      <c r="S32" s="188">
        <v>0</v>
      </c>
      <c r="T32" s="188">
        <v>0</v>
      </c>
      <c r="U32" s="188">
        <v>17474.78</v>
      </c>
      <c r="V32" s="188">
        <v>17474.78</v>
      </c>
      <c r="W32" s="188">
        <v>17473.89</v>
      </c>
      <c r="X32" s="188">
        <v>13684.26</v>
      </c>
      <c r="Y32" s="188">
        <v>89497.15</v>
      </c>
      <c r="Z32" s="188">
        <v>67030.38</v>
      </c>
      <c r="AA32" s="188">
        <v>43625.66</v>
      </c>
      <c r="AB32" s="188">
        <v>21866.52</v>
      </c>
      <c r="AC32" s="188">
        <v>102972.37</v>
      </c>
      <c r="AD32" s="188">
        <v>76963.31</v>
      </c>
      <c r="AE32" s="188">
        <v>50701.919999999998</v>
      </c>
      <c r="AF32" s="188">
        <v>25385.15</v>
      </c>
      <c r="AG32" s="188">
        <v>105801.61</v>
      </c>
      <c r="AH32" s="188">
        <v>78665.2</v>
      </c>
      <c r="AI32" s="188">
        <v>57275.29</v>
      </c>
      <c r="AJ32" s="188">
        <v>26891.3</v>
      </c>
      <c r="AK32" s="188">
        <v>158121.82</v>
      </c>
      <c r="AL32" s="188">
        <v>130941.18</v>
      </c>
      <c r="AM32" s="188">
        <v>87389.22</v>
      </c>
      <c r="AN32" s="188">
        <v>42952.08</v>
      </c>
      <c r="AO32" s="188">
        <v>761176.07</v>
      </c>
      <c r="AP32" s="188">
        <v>684568.43</v>
      </c>
      <c r="AQ32" s="188">
        <v>630430.56000000006</v>
      </c>
      <c r="AR32" s="188">
        <v>593163.85</v>
      </c>
      <c r="AS32" s="188">
        <v>1504621</v>
      </c>
      <c r="AT32" s="188">
        <v>280402.71999999997</v>
      </c>
      <c r="AU32" s="188">
        <v>247996.59</v>
      </c>
      <c r="AV32" s="188">
        <v>213750</v>
      </c>
      <c r="AW32" s="188">
        <v>4146323.1</v>
      </c>
      <c r="AX32" s="188">
        <v>3910207.92</v>
      </c>
      <c r="AY32" s="188">
        <v>453219.79</v>
      </c>
      <c r="AZ32" s="188">
        <v>1326877.8700000001</v>
      </c>
      <c r="BA32" s="188">
        <v>32502077.899999999</v>
      </c>
      <c r="BB32" s="188">
        <v>0</v>
      </c>
      <c r="BC32" s="188">
        <v>0</v>
      </c>
      <c r="BD32" s="188">
        <v>0</v>
      </c>
      <c r="BE32" s="188">
        <v>0</v>
      </c>
      <c r="BF32" s="188">
        <v>0</v>
      </c>
      <c r="BG32" s="188">
        <v>0</v>
      </c>
      <c r="BH32" s="188">
        <v>0</v>
      </c>
      <c r="BI32" s="188">
        <v>300000</v>
      </c>
      <c r="BJ32" s="188">
        <v>0</v>
      </c>
      <c r="BK32" s="188">
        <v>0</v>
      </c>
      <c r="BL32" s="188">
        <v>0</v>
      </c>
      <c r="BM32" s="188">
        <v>0</v>
      </c>
      <c r="BN32" s="188">
        <v>0</v>
      </c>
      <c r="BO32" s="188">
        <v>0</v>
      </c>
      <c r="BP32" s="188">
        <v>0</v>
      </c>
      <c r="BQ32" s="188">
        <v>0</v>
      </c>
      <c r="BR32" s="188">
        <v>0</v>
      </c>
    </row>
    <row r="33" spans="1:70" x14ac:dyDescent="0.25">
      <c r="A33" s="188" t="s">
        <v>249</v>
      </c>
      <c r="B33" s="188">
        <v>0</v>
      </c>
      <c r="C33" s="188">
        <v>0</v>
      </c>
      <c r="D33" s="188">
        <v>0</v>
      </c>
      <c r="E33" s="188">
        <v>6000000</v>
      </c>
      <c r="F33" s="188">
        <v>6000000</v>
      </c>
      <c r="G33" s="188">
        <v>6000000</v>
      </c>
      <c r="H33" s="188">
        <v>0</v>
      </c>
      <c r="I33" s="188">
        <v>16000000</v>
      </c>
      <c r="J33" s="188">
        <v>0</v>
      </c>
      <c r="K33" s="188">
        <v>0</v>
      </c>
      <c r="L33" s="188">
        <v>0</v>
      </c>
      <c r="M33" s="188">
        <v>22000000</v>
      </c>
      <c r="N33" s="188">
        <v>22000000</v>
      </c>
      <c r="O33" s="188">
        <v>22000000</v>
      </c>
      <c r="P33" s="188">
        <v>22000000</v>
      </c>
      <c r="Q33" s="188">
        <v>102182607</v>
      </c>
      <c r="R33" s="188">
        <v>6000000</v>
      </c>
      <c r="S33" s="188">
        <v>0</v>
      </c>
      <c r="T33" s="188">
        <v>0</v>
      </c>
      <c r="U33" s="188">
        <v>6017474.7800000003</v>
      </c>
      <c r="V33" s="188">
        <v>17474.78</v>
      </c>
      <c r="W33" s="188">
        <v>17473.89</v>
      </c>
      <c r="X33" s="188">
        <v>13684.26</v>
      </c>
      <c r="Y33" s="188">
        <v>392089497.14999998</v>
      </c>
      <c r="Z33" s="188">
        <v>67030.38</v>
      </c>
      <c r="AA33" s="188">
        <v>43625.66</v>
      </c>
      <c r="AB33" s="188">
        <v>21866.52</v>
      </c>
      <c r="AC33" s="188">
        <v>102972.37</v>
      </c>
      <c r="AD33" s="188">
        <v>76963.31</v>
      </c>
      <c r="AE33" s="188">
        <v>50701.919999999998</v>
      </c>
      <c r="AF33" s="188">
        <v>25385.15</v>
      </c>
      <c r="AG33" s="188">
        <v>105801.61</v>
      </c>
      <c r="AH33" s="188">
        <v>78665.2</v>
      </c>
      <c r="AI33" s="188">
        <v>57275.29</v>
      </c>
      <c r="AJ33" s="188">
        <v>26891.3</v>
      </c>
      <c r="AK33" s="188">
        <v>158121.82</v>
      </c>
      <c r="AL33" s="188">
        <v>130941.18</v>
      </c>
      <c r="AM33" s="188">
        <v>87389.22</v>
      </c>
      <c r="AN33" s="188">
        <v>42952.08</v>
      </c>
      <c r="AO33" s="188">
        <v>761176.07</v>
      </c>
      <c r="AP33" s="188">
        <v>684568.43</v>
      </c>
      <c r="AQ33" s="188">
        <v>630430.56000000006</v>
      </c>
      <c r="AR33" s="188">
        <v>593163.85</v>
      </c>
      <c r="AS33" s="188">
        <v>1504621</v>
      </c>
      <c r="AT33" s="188">
        <v>280402.71999999997</v>
      </c>
      <c r="AU33" s="188">
        <v>247996.59</v>
      </c>
      <c r="AV33" s="188">
        <v>213750</v>
      </c>
      <c r="AW33" s="188">
        <v>4146323.1</v>
      </c>
      <c r="AX33" s="188">
        <v>3910207.92</v>
      </c>
      <c r="AY33" s="188">
        <v>453219.79</v>
      </c>
      <c r="AZ33" s="188">
        <v>1326877.8700000001</v>
      </c>
      <c r="BA33" s="188">
        <v>32502077.899999999</v>
      </c>
      <c r="BB33" s="188">
        <v>0</v>
      </c>
      <c r="BC33" s="188">
        <v>0</v>
      </c>
      <c r="BD33" s="188">
        <v>0</v>
      </c>
      <c r="BE33" s="188">
        <v>0</v>
      </c>
      <c r="BF33" s="188">
        <v>0</v>
      </c>
      <c r="BG33" s="188">
        <v>0</v>
      </c>
      <c r="BH33" s="188">
        <v>0</v>
      </c>
      <c r="BI33" s="188">
        <v>300000</v>
      </c>
      <c r="BJ33" s="188">
        <v>0</v>
      </c>
      <c r="BK33" s="188">
        <v>0</v>
      </c>
      <c r="BL33" s="188">
        <v>0</v>
      </c>
      <c r="BM33" s="188">
        <v>0</v>
      </c>
      <c r="BN33" s="188">
        <v>0</v>
      </c>
      <c r="BO33" s="188">
        <v>2016922206.52</v>
      </c>
      <c r="BP33" s="188">
        <v>0</v>
      </c>
      <c r="BQ33" s="188">
        <v>129500000</v>
      </c>
      <c r="BR33" s="188">
        <v>0</v>
      </c>
    </row>
    <row r="34" spans="1:70" x14ac:dyDescent="0.25">
      <c r="A34" s="188" t="s">
        <v>250</v>
      </c>
      <c r="B34" s="188">
        <v>0</v>
      </c>
      <c r="C34" s="188">
        <v>0</v>
      </c>
      <c r="D34" s="188">
        <v>0</v>
      </c>
      <c r="E34" s="188">
        <v>0</v>
      </c>
      <c r="F34" s="188">
        <v>0</v>
      </c>
      <c r="G34" s="188">
        <v>0</v>
      </c>
      <c r="H34" s="188">
        <v>0</v>
      </c>
      <c r="I34" s="188">
        <v>0</v>
      </c>
      <c r="J34" s="188">
        <v>0</v>
      </c>
      <c r="K34" s="188">
        <v>0</v>
      </c>
      <c r="L34" s="188">
        <v>0</v>
      </c>
      <c r="M34" s="188">
        <v>55917672</v>
      </c>
      <c r="N34" s="188">
        <v>55917672</v>
      </c>
      <c r="O34" s="188">
        <v>55917672</v>
      </c>
      <c r="P34" s="188">
        <v>55917672</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191703825.81999999</v>
      </c>
      <c r="BB34" s="188">
        <v>0</v>
      </c>
      <c r="BC34" s="188">
        <v>0</v>
      </c>
      <c r="BD34" s="188">
        <v>0</v>
      </c>
      <c r="BE34" s="188">
        <v>0</v>
      </c>
      <c r="BF34" s="188">
        <v>0</v>
      </c>
      <c r="BG34" s="188">
        <v>0</v>
      </c>
      <c r="BH34" s="188">
        <v>0</v>
      </c>
      <c r="BI34" s="188">
        <v>0</v>
      </c>
      <c r="BJ34" s="188">
        <v>0</v>
      </c>
      <c r="BK34" s="188">
        <v>0</v>
      </c>
      <c r="BL34" s="188">
        <v>0</v>
      </c>
      <c r="BM34" s="188">
        <v>0</v>
      </c>
      <c r="BN34" s="188">
        <v>0</v>
      </c>
      <c r="BO34" s="188">
        <v>129000000</v>
      </c>
      <c r="BP34" s="188">
        <v>0</v>
      </c>
      <c r="BQ34" s="188">
        <v>174460000</v>
      </c>
      <c r="BR34" s="188">
        <v>0</v>
      </c>
    </row>
    <row r="35" spans="1:70" x14ac:dyDescent="0.25">
      <c r="A35" s="188" t="s">
        <v>550</v>
      </c>
      <c r="B35" s="188">
        <v>16435393160.059999</v>
      </c>
      <c r="C35" s="188">
        <v>13854919610.83</v>
      </c>
      <c r="D35" s="188">
        <v>0</v>
      </c>
      <c r="E35" s="188">
        <v>8905177880.7999992</v>
      </c>
      <c r="F35" s="188">
        <v>8899177880.7999992</v>
      </c>
      <c r="G35" s="188">
        <v>370000000</v>
      </c>
      <c r="H35" s="188">
        <v>0</v>
      </c>
      <c r="I35" s="188">
        <v>8350512252.2299995</v>
      </c>
      <c r="J35" s="188">
        <v>8284063910.3500004</v>
      </c>
      <c r="K35" s="188">
        <v>3283073780.9899998</v>
      </c>
      <c r="L35" s="188">
        <v>508507286.54000002</v>
      </c>
      <c r="M35" s="188">
        <v>5554101966.6099997</v>
      </c>
      <c r="N35" s="188">
        <v>5553637709.5200005</v>
      </c>
      <c r="O35" s="188">
        <v>1024784.67</v>
      </c>
      <c r="P35" s="188">
        <v>724180.91</v>
      </c>
      <c r="Q35" s="188">
        <v>5121609336.3299999</v>
      </c>
      <c r="R35" s="188">
        <v>5105391867.6199999</v>
      </c>
      <c r="S35" s="188">
        <v>5105391867.6199999</v>
      </c>
      <c r="T35" s="188">
        <v>0</v>
      </c>
      <c r="U35" s="188">
        <v>7391988549.25</v>
      </c>
      <c r="V35" s="188">
        <v>7344321193.6800003</v>
      </c>
      <c r="W35" s="188">
        <v>6790411128.3500004</v>
      </c>
      <c r="X35" s="188">
        <v>98394544.209999993</v>
      </c>
      <c r="Y35" s="188">
        <v>4306614120</v>
      </c>
      <c r="Z35" s="188">
        <v>4110925664.02</v>
      </c>
      <c r="AA35" s="188">
        <v>55214748</v>
      </c>
      <c r="AB35" s="188">
        <v>52964748</v>
      </c>
      <c r="AC35" s="188">
        <v>2661953339.2399998</v>
      </c>
      <c r="AD35" s="188">
        <v>2429511457.9699998</v>
      </c>
      <c r="AE35" s="188">
        <v>220246678.33000001</v>
      </c>
      <c r="AF35" s="188">
        <v>0</v>
      </c>
      <c r="AG35" s="188">
        <v>1292951032.4100001</v>
      </c>
      <c r="AH35" s="188">
        <v>1254519392.24</v>
      </c>
      <c r="AI35" s="188">
        <v>139457662.62</v>
      </c>
      <c r="AJ35" s="188">
        <v>137207662.62</v>
      </c>
      <c r="AK35" s="188">
        <v>1235143869.0999999</v>
      </c>
      <c r="AL35" s="188">
        <v>1234693813.5999999</v>
      </c>
      <c r="AM35" s="188">
        <v>174251384.72999999</v>
      </c>
      <c r="AN35" s="188">
        <v>1800000</v>
      </c>
      <c r="AO35" s="188">
        <v>884671434.63</v>
      </c>
      <c r="AP35" s="188">
        <v>769284456.96000004</v>
      </c>
      <c r="AQ35" s="188">
        <v>766485126.00999999</v>
      </c>
      <c r="AR35" s="188">
        <v>0</v>
      </c>
      <c r="AS35" s="188">
        <v>706866028.20000005</v>
      </c>
      <c r="AT35" s="188">
        <v>706791456.46000004</v>
      </c>
      <c r="AU35" s="188">
        <v>900000</v>
      </c>
      <c r="AV35" s="188">
        <v>-166334.65</v>
      </c>
      <c r="AW35" s="188">
        <v>760139114.39999998</v>
      </c>
      <c r="AX35" s="188">
        <v>757807440.14999998</v>
      </c>
      <c r="AY35" s="188">
        <v>756269723.23000002</v>
      </c>
      <c r="AZ35" s="188">
        <v>34997836.479999997</v>
      </c>
      <c r="BA35" s="188">
        <v>0</v>
      </c>
      <c r="BB35" s="188">
        <v>176408943</v>
      </c>
      <c r="BC35" s="188">
        <v>27037107.960000001</v>
      </c>
      <c r="BD35" s="188">
        <v>13693935.66</v>
      </c>
      <c r="BE35" s="188">
        <v>62314427.450000003</v>
      </c>
      <c r="BF35" s="188">
        <v>65242641.060000002</v>
      </c>
      <c r="BG35" s="188">
        <v>-9054041.3900000006</v>
      </c>
      <c r="BH35" s="188">
        <v>-5959082.6799999997</v>
      </c>
      <c r="BI35" s="188">
        <v>47385988.25</v>
      </c>
      <c r="BJ35" s="188">
        <v>51029499.060000002</v>
      </c>
      <c r="BK35" s="188">
        <v>8858203.8399999999</v>
      </c>
      <c r="BL35" s="188">
        <v>-2188358.4300000002</v>
      </c>
      <c r="BM35" s="188">
        <v>139259336.87</v>
      </c>
      <c r="BN35" s="188">
        <v>-2240036.12</v>
      </c>
      <c r="BO35" s="188">
        <v>103060709.05</v>
      </c>
      <c r="BP35" s="188">
        <v>0</v>
      </c>
      <c r="BQ35" s="188">
        <v>101747692.88</v>
      </c>
      <c r="BR35" s="188">
        <v>0</v>
      </c>
    </row>
    <row r="36" spans="1:70" x14ac:dyDescent="0.25">
      <c r="A36" s="188" t="s">
        <v>251</v>
      </c>
      <c r="B36" s="188">
        <v>2618473549.23</v>
      </c>
      <c r="C36" s="188">
        <v>38000000</v>
      </c>
      <c r="D36" s="188">
        <v>0</v>
      </c>
      <c r="E36" s="188">
        <v>379363405.61000001</v>
      </c>
      <c r="F36" s="188">
        <v>373363405.61000001</v>
      </c>
      <c r="G36" s="188">
        <v>370000000</v>
      </c>
      <c r="H36" s="188">
        <v>0</v>
      </c>
      <c r="I36" s="188">
        <v>532067286.55000001</v>
      </c>
      <c r="J36" s="188">
        <v>532067286.54000002</v>
      </c>
      <c r="K36" s="188">
        <v>508507286.54000002</v>
      </c>
      <c r="L36" s="188">
        <v>508507286.54000002</v>
      </c>
      <c r="M36" s="188">
        <v>513009332.72000003</v>
      </c>
      <c r="N36" s="188">
        <v>0</v>
      </c>
      <c r="O36" s="188">
        <v>0</v>
      </c>
      <c r="P36" s="188">
        <v>0</v>
      </c>
      <c r="Q36" s="188">
        <v>580094577.97000003</v>
      </c>
      <c r="R36" s="188">
        <v>0</v>
      </c>
      <c r="S36" s="188">
        <v>0</v>
      </c>
      <c r="T36" s="188">
        <v>0</v>
      </c>
      <c r="U36" s="188">
        <v>631766584.82000005</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42665714.490000002</v>
      </c>
      <c r="AZ36" s="188">
        <v>0</v>
      </c>
      <c r="BA36" s="188">
        <v>0</v>
      </c>
      <c r="BB36" s="188">
        <v>0</v>
      </c>
      <c r="BC36" s="188">
        <v>0</v>
      </c>
      <c r="BD36" s="188">
        <v>0</v>
      </c>
      <c r="BE36" s="188">
        <v>0</v>
      </c>
      <c r="BF36" s="188">
        <v>0</v>
      </c>
      <c r="BG36" s="188">
        <v>0</v>
      </c>
      <c r="BH36" s="188">
        <v>0</v>
      </c>
      <c r="BI36" s="188">
        <v>0</v>
      </c>
      <c r="BJ36" s="188">
        <v>0</v>
      </c>
      <c r="BK36" s="188">
        <v>0</v>
      </c>
      <c r="BL36" s="188">
        <v>0</v>
      </c>
      <c r="BM36" s="188">
        <v>0</v>
      </c>
      <c r="BN36" s="188">
        <v>0</v>
      </c>
      <c r="BO36" s="188">
        <v>0</v>
      </c>
      <c r="BP36" s="188">
        <v>0</v>
      </c>
      <c r="BQ36" s="188">
        <v>0</v>
      </c>
      <c r="BR36" s="188">
        <v>0</v>
      </c>
    </row>
    <row r="37" spans="1:70" x14ac:dyDescent="0.25">
      <c r="A37" s="188" t="s">
        <v>252</v>
      </c>
      <c r="B37" s="188">
        <v>0</v>
      </c>
      <c r="C37" s="188">
        <v>0</v>
      </c>
      <c r="D37" s="188">
        <v>0</v>
      </c>
      <c r="E37" s="188">
        <v>0</v>
      </c>
      <c r="F37" s="188">
        <v>0</v>
      </c>
      <c r="G37" s="188">
        <v>0</v>
      </c>
      <c r="H37" s="188">
        <v>0</v>
      </c>
      <c r="I37" s="188">
        <v>0</v>
      </c>
      <c r="J37" s="188">
        <v>0</v>
      </c>
      <c r="K37" s="188">
        <v>0</v>
      </c>
      <c r="L37" s="188">
        <v>0</v>
      </c>
      <c r="M37" s="188">
        <v>0</v>
      </c>
      <c r="N37" s="188">
        <v>0</v>
      </c>
      <c r="O37" s="188">
        <v>0</v>
      </c>
      <c r="P37" s="188">
        <v>0</v>
      </c>
      <c r="Q37" s="188">
        <v>22000000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0</v>
      </c>
      <c r="AM37" s="188">
        <v>0</v>
      </c>
      <c r="AN37" s="188">
        <v>0</v>
      </c>
      <c r="AO37" s="188">
        <v>0</v>
      </c>
      <c r="AP37" s="188">
        <v>0</v>
      </c>
      <c r="AQ37" s="188">
        <v>0</v>
      </c>
      <c r="AR37" s="188">
        <v>0</v>
      </c>
      <c r="AS37" s="188">
        <v>0</v>
      </c>
      <c r="AT37" s="188">
        <v>0</v>
      </c>
      <c r="AU37" s="188">
        <v>14063.7</v>
      </c>
      <c r="AV37" s="188">
        <v>0</v>
      </c>
      <c r="AW37" s="188">
        <v>0</v>
      </c>
      <c r="AX37" s="188">
        <v>0</v>
      </c>
      <c r="AY37" s="188">
        <v>0</v>
      </c>
      <c r="AZ37" s="188">
        <v>0</v>
      </c>
      <c r="BA37" s="188">
        <v>0</v>
      </c>
      <c r="BB37" s="188">
        <v>0</v>
      </c>
      <c r="BC37" s="188">
        <v>0</v>
      </c>
      <c r="BD37" s="188">
        <v>0</v>
      </c>
      <c r="BE37" s="188">
        <v>0</v>
      </c>
      <c r="BF37" s="188">
        <v>0</v>
      </c>
      <c r="BG37" s="188">
        <v>0</v>
      </c>
      <c r="BH37" s="188">
        <v>0</v>
      </c>
      <c r="BI37" s="188">
        <v>0</v>
      </c>
      <c r="BJ37" s="188">
        <v>0</v>
      </c>
      <c r="BK37" s="188">
        <v>0</v>
      </c>
      <c r="BL37" s="188">
        <v>0</v>
      </c>
      <c r="BM37" s="188">
        <v>0</v>
      </c>
      <c r="BN37" s="188">
        <v>0</v>
      </c>
      <c r="BO37" s="188">
        <v>0</v>
      </c>
      <c r="BP37" s="188">
        <v>37060123.060000002</v>
      </c>
      <c r="BQ37" s="188">
        <v>0</v>
      </c>
      <c r="BR37" s="188">
        <v>0</v>
      </c>
    </row>
    <row r="38" spans="1:70" x14ac:dyDescent="0.25">
      <c r="A38" s="188" t="s">
        <v>253</v>
      </c>
      <c r="B38" s="188">
        <v>16435393160.059999</v>
      </c>
      <c r="C38" s="188">
        <v>13854919610.83</v>
      </c>
      <c r="D38" s="188">
        <v>0</v>
      </c>
      <c r="E38" s="188">
        <v>8905177880.7999992</v>
      </c>
      <c r="F38" s="188">
        <v>8899177880.7999992</v>
      </c>
      <c r="G38" s="188">
        <v>370000000</v>
      </c>
      <c r="H38" s="188">
        <v>0</v>
      </c>
      <c r="I38" s="188">
        <v>8350512252.2299995</v>
      </c>
      <c r="J38" s="188">
        <v>8284063910.3500004</v>
      </c>
      <c r="K38" s="188">
        <v>3283073780.9899998</v>
      </c>
      <c r="L38" s="188">
        <v>508507286.54000002</v>
      </c>
      <c r="M38" s="188">
        <v>5610019638.6099997</v>
      </c>
      <c r="N38" s="188">
        <v>5609555381.5200005</v>
      </c>
      <c r="O38" s="188">
        <v>56942456.670000002</v>
      </c>
      <c r="P38" s="188">
        <v>56641852.909999996</v>
      </c>
      <c r="Q38" s="188">
        <v>5143609336.3299999</v>
      </c>
      <c r="R38" s="188">
        <v>5105391867.6199999</v>
      </c>
      <c r="S38" s="188">
        <v>5105391867.6199999</v>
      </c>
      <c r="T38" s="188">
        <v>0</v>
      </c>
      <c r="U38" s="188">
        <v>7391988549.25</v>
      </c>
      <c r="V38" s="188">
        <v>7344321193.6800003</v>
      </c>
      <c r="W38" s="188">
        <v>6790411128.3500004</v>
      </c>
      <c r="X38" s="188">
        <v>98394544.209999993</v>
      </c>
      <c r="Y38" s="188">
        <v>4306614120</v>
      </c>
      <c r="Z38" s="188">
        <v>4110925664.02</v>
      </c>
      <c r="AA38" s="188">
        <v>55214748</v>
      </c>
      <c r="AB38" s="188">
        <v>52964748</v>
      </c>
      <c r="AC38" s="188">
        <v>2661953339.2399998</v>
      </c>
      <c r="AD38" s="188">
        <v>2429511457.9699998</v>
      </c>
      <c r="AE38" s="188">
        <v>220246678.33000001</v>
      </c>
      <c r="AF38" s="188">
        <v>0</v>
      </c>
      <c r="AG38" s="188">
        <v>1292951032.4100001</v>
      </c>
      <c r="AH38" s="188">
        <v>1254519392.24</v>
      </c>
      <c r="AI38" s="188">
        <v>139457662.62</v>
      </c>
      <c r="AJ38" s="188">
        <v>137207662.62</v>
      </c>
      <c r="AK38" s="188">
        <v>1235143869.0999999</v>
      </c>
      <c r="AL38" s="188">
        <v>1234693813.5999999</v>
      </c>
      <c r="AM38" s="188">
        <v>174251384.72999999</v>
      </c>
      <c r="AN38" s="188">
        <v>1800000</v>
      </c>
      <c r="AO38" s="188">
        <v>884671434.63</v>
      </c>
      <c r="AP38" s="188">
        <v>769284456.96000004</v>
      </c>
      <c r="AQ38" s="188">
        <v>766485126.00999999</v>
      </c>
      <c r="AR38" s="188">
        <v>0</v>
      </c>
      <c r="AS38" s="188">
        <v>706866028.20000005</v>
      </c>
      <c r="AT38" s="188">
        <v>706791456.46000004</v>
      </c>
      <c r="AU38" s="188">
        <v>914063.7</v>
      </c>
      <c r="AV38" s="188">
        <v>-166334.65</v>
      </c>
      <c r="AW38" s="188">
        <v>760139114.39999998</v>
      </c>
      <c r="AX38" s="188">
        <v>757807440.14999998</v>
      </c>
      <c r="AY38" s="188">
        <v>756269723.23000002</v>
      </c>
      <c r="AZ38" s="188">
        <v>34997836.479999997</v>
      </c>
      <c r="BA38" s="188">
        <v>191703825.81999999</v>
      </c>
      <c r="BB38" s="188">
        <v>176408943</v>
      </c>
      <c r="BC38" s="188">
        <v>27037107.960000001</v>
      </c>
      <c r="BD38" s="188">
        <v>13693935.66</v>
      </c>
      <c r="BE38" s="188">
        <v>62314427.450000003</v>
      </c>
      <c r="BF38" s="188">
        <v>65242641.060000002</v>
      </c>
      <c r="BG38" s="188">
        <v>-9054041.3900000006</v>
      </c>
      <c r="BH38" s="188">
        <v>-5959082.6799999997</v>
      </c>
      <c r="BI38" s="188">
        <v>47385988.25</v>
      </c>
      <c r="BJ38" s="188">
        <v>51029499.060000002</v>
      </c>
      <c r="BK38" s="188">
        <v>8858203.8399999999</v>
      </c>
      <c r="BL38" s="188">
        <v>-2188358.4300000002</v>
      </c>
      <c r="BM38" s="188">
        <v>139259336.87</v>
      </c>
      <c r="BN38" s="188">
        <v>-2240036.12</v>
      </c>
      <c r="BO38" s="188">
        <v>232060709.05000001</v>
      </c>
      <c r="BP38" s="188">
        <v>37060123.060000002</v>
      </c>
      <c r="BQ38" s="188">
        <v>276207692.88</v>
      </c>
      <c r="BR38" s="188">
        <v>0</v>
      </c>
    </row>
    <row r="39" spans="1:70" x14ac:dyDescent="0.25">
      <c r="A39" s="188" t="s">
        <v>254</v>
      </c>
      <c r="B39" s="188">
        <v>-16435393160.059999</v>
      </c>
      <c r="C39" s="188">
        <v>-13854919610.83</v>
      </c>
      <c r="D39" s="188">
        <v>0</v>
      </c>
      <c r="E39" s="188">
        <v>-8899177880.7999992</v>
      </c>
      <c r="F39" s="188">
        <v>-8893177880.7999992</v>
      </c>
      <c r="G39" s="188">
        <v>-364000000</v>
      </c>
      <c r="H39" s="188">
        <v>0</v>
      </c>
      <c r="I39" s="188">
        <v>-8334512252.2299995</v>
      </c>
      <c r="J39" s="188">
        <v>-8284063910.3500004</v>
      </c>
      <c r="K39" s="188">
        <v>-3283073780.9899998</v>
      </c>
      <c r="L39" s="188">
        <v>-508507286.54000002</v>
      </c>
      <c r="M39" s="188">
        <v>-5588019638.6099997</v>
      </c>
      <c r="N39" s="188">
        <v>-5587555381.5200005</v>
      </c>
      <c r="O39" s="188">
        <v>-34942456.670000002</v>
      </c>
      <c r="P39" s="188">
        <v>-34641852.909999996</v>
      </c>
      <c r="Q39" s="188">
        <v>-5041426729.3299999</v>
      </c>
      <c r="R39" s="188">
        <v>-5099391867.6199999</v>
      </c>
      <c r="S39" s="188">
        <v>-5105391867.6199999</v>
      </c>
      <c r="T39" s="188">
        <v>0</v>
      </c>
      <c r="U39" s="188">
        <v>-7385971074.4700003</v>
      </c>
      <c r="V39" s="188">
        <v>-7344303718.8999996</v>
      </c>
      <c r="W39" s="188">
        <v>-6790393654.46</v>
      </c>
      <c r="X39" s="188">
        <v>-98380859.950000003</v>
      </c>
      <c r="Y39" s="188">
        <v>-3914524622.8499999</v>
      </c>
      <c r="Z39" s="188">
        <v>-4110858633.6399999</v>
      </c>
      <c r="AA39" s="188">
        <v>-55171122.340000004</v>
      </c>
      <c r="AB39" s="188">
        <v>-52942881.479999997</v>
      </c>
      <c r="AC39" s="188">
        <v>-2661850366.8699999</v>
      </c>
      <c r="AD39" s="188">
        <v>-2429434494.6599998</v>
      </c>
      <c r="AE39" s="188">
        <v>-220195976.41</v>
      </c>
      <c r="AF39" s="188">
        <v>25385.15</v>
      </c>
      <c r="AG39" s="188">
        <v>-1292845230.8</v>
      </c>
      <c r="AH39" s="188">
        <v>-1254440727.04</v>
      </c>
      <c r="AI39" s="188">
        <v>-139400387.33000001</v>
      </c>
      <c r="AJ39" s="188">
        <v>-137180771.31999999</v>
      </c>
      <c r="AK39" s="188">
        <v>-1234985747.28</v>
      </c>
      <c r="AL39" s="188">
        <v>-1234562872.4200001</v>
      </c>
      <c r="AM39" s="188">
        <v>-174163995.50999999</v>
      </c>
      <c r="AN39" s="188">
        <v>-1757047.92</v>
      </c>
      <c r="AO39" s="188">
        <v>-883910258.55999994</v>
      </c>
      <c r="AP39" s="188">
        <v>-768599888.52999997</v>
      </c>
      <c r="AQ39" s="188">
        <v>-765854695.45000005</v>
      </c>
      <c r="AR39" s="188">
        <v>593163.85</v>
      </c>
      <c r="AS39" s="188">
        <v>-705361407.20000005</v>
      </c>
      <c r="AT39" s="188">
        <v>-706511053.74000001</v>
      </c>
      <c r="AU39" s="188">
        <v>-666067.11</v>
      </c>
      <c r="AV39" s="188">
        <v>380084.65</v>
      </c>
      <c r="AW39" s="188">
        <v>-755992791.29999995</v>
      </c>
      <c r="AX39" s="188">
        <v>-753897232.23000002</v>
      </c>
      <c r="AY39" s="188">
        <v>-755816503.44000006</v>
      </c>
      <c r="AZ39" s="188">
        <v>-33670958.609999999</v>
      </c>
      <c r="BA39" s="188">
        <v>-159201747.91999999</v>
      </c>
      <c r="BB39" s="188">
        <v>-176408943</v>
      </c>
      <c r="BC39" s="188">
        <v>-27037107.960000001</v>
      </c>
      <c r="BD39" s="188">
        <v>-13693935.66</v>
      </c>
      <c r="BE39" s="188">
        <v>-62314427.450000003</v>
      </c>
      <c r="BF39" s="188">
        <v>-65242641.060000002</v>
      </c>
      <c r="BG39" s="188">
        <v>9054041.3900000006</v>
      </c>
      <c r="BH39" s="188">
        <v>5959082.6799999997</v>
      </c>
      <c r="BI39" s="188">
        <v>-47085988.25</v>
      </c>
      <c r="BJ39" s="188">
        <v>-51029499.060000002</v>
      </c>
      <c r="BK39" s="188">
        <v>-8858203.8399999999</v>
      </c>
      <c r="BL39" s="188">
        <v>2188358.4300000002</v>
      </c>
      <c r="BM39" s="188">
        <v>-139259336.87</v>
      </c>
      <c r="BN39" s="188">
        <v>2240036.12</v>
      </c>
      <c r="BO39" s="188">
        <v>1784861497.47</v>
      </c>
      <c r="BP39" s="188">
        <v>-37060123.060000002</v>
      </c>
      <c r="BQ39" s="188">
        <v>-146707692.88</v>
      </c>
      <c r="BR39" s="188">
        <v>0</v>
      </c>
    </row>
    <row r="40" spans="1:70" x14ac:dyDescent="0.25">
      <c r="A40" s="188" t="s">
        <v>255</v>
      </c>
      <c r="B40" s="188">
        <v>72700.05</v>
      </c>
      <c r="C40" s="188">
        <v>-17133.02</v>
      </c>
      <c r="D40" s="188">
        <v>-8537.68</v>
      </c>
      <c r="E40" s="188">
        <v>72948.86</v>
      </c>
      <c r="F40" s="188">
        <v>80097.42</v>
      </c>
      <c r="G40" s="188">
        <v>68369.3</v>
      </c>
      <c r="H40" s="188">
        <v>10268.61</v>
      </c>
      <c r="I40" s="188">
        <v>72317.8</v>
      </c>
      <c r="J40" s="188">
        <v>129834.15</v>
      </c>
      <c r="K40" s="188">
        <v>92483.7</v>
      </c>
      <c r="L40" s="188">
        <v>88199.83</v>
      </c>
      <c r="M40" s="188">
        <v>-16273531.710000001</v>
      </c>
      <c r="N40" s="188">
        <v>-16228116.08</v>
      </c>
      <c r="O40" s="188">
        <v>-16360583.76</v>
      </c>
      <c r="P40" s="188">
        <v>-16492948.4</v>
      </c>
      <c r="Q40" s="188">
        <v>-5449166.9900000002</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0</v>
      </c>
      <c r="BP40" s="188">
        <v>0</v>
      </c>
      <c r="BQ40" s="188">
        <v>0</v>
      </c>
      <c r="BR40" s="188">
        <v>0</v>
      </c>
    </row>
    <row r="41" spans="1:70" x14ac:dyDescent="0.25">
      <c r="A41" s="188" t="s">
        <v>256</v>
      </c>
      <c r="B41" s="188">
        <v>10762841640.42</v>
      </c>
      <c r="C41" s="188">
        <v>3140312541.3600001</v>
      </c>
      <c r="D41" s="188">
        <v>4343581211.2700005</v>
      </c>
      <c r="E41" s="188">
        <v>12133285937.59</v>
      </c>
      <c r="F41" s="188">
        <v>13145894201.459999</v>
      </c>
      <c r="G41" s="188">
        <v>6100740166.4899998</v>
      </c>
      <c r="H41" s="188">
        <v>5808645673.0600004</v>
      </c>
      <c r="I41" s="188">
        <v>28014308908.419998</v>
      </c>
      <c r="J41" s="188">
        <v>23477911166.369999</v>
      </c>
      <c r="K41" s="188">
        <v>9765473139.1499996</v>
      </c>
      <c r="L41" s="188">
        <v>6506279932.4399996</v>
      </c>
      <c r="M41" s="188">
        <v>9783256706.8099995</v>
      </c>
      <c r="N41" s="188">
        <v>4036615306.4200001</v>
      </c>
      <c r="O41" s="188">
        <v>3559669892.8499999</v>
      </c>
      <c r="P41" s="188">
        <v>1206453559.5599999</v>
      </c>
      <c r="Q41" s="188">
        <v>3005486960.0900002</v>
      </c>
      <c r="R41" s="188">
        <v>-1294914472.0799999</v>
      </c>
      <c r="S41" s="188">
        <v>-3815403652.5999999</v>
      </c>
      <c r="T41" s="188">
        <v>-1910903003.76</v>
      </c>
      <c r="U41" s="188">
        <v>-70257612.5</v>
      </c>
      <c r="V41" s="188">
        <v>-1936705900.6700001</v>
      </c>
      <c r="W41" s="188">
        <v>-3956952620.0700002</v>
      </c>
      <c r="X41" s="188">
        <v>-326765153.19999999</v>
      </c>
      <c r="Y41" s="188">
        <v>3807309688.1300001</v>
      </c>
      <c r="Z41" s="188">
        <v>435342812.01999998</v>
      </c>
      <c r="AA41" s="188">
        <v>2727168948.7199998</v>
      </c>
      <c r="AB41" s="188">
        <v>596736876.62</v>
      </c>
      <c r="AC41" s="188">
        <v>5366296272.75</v>
      </c>
      <c r="AD41" s="188">
        <v>5399932368.7799997</v>
      </c>
      <c r="AE41" s="188">
        <v>4403293489.2299995</v>
      </c>
      <c r="AF41" s="188">
        <v>3110095533.4699998</v>
      </c>
      <c r="AG41" s="188">
        <v>3145241734.0500002</v>
      </c>
      <c r="AH41" s="188">
        <v>1283517422.1800001</v>
      </c>
      <c r="AI41" s="188">
        <v>525709432.19999999</v>
      </c>
      <c r="AJ41" s="188">
        <v>237283028.33000001</v>
      </c>
      <c r="AK41" s="188">
        <v>1649430264.0799999</v>
      </c>
      <c r="AL41" s="188">
        <v>-198441328.36000001</v>
      </c>
      <c r="AM41" s="188">
        <v>-297913519.94999999</v>
      </c>
      <c r="AN41" s="188">
        <v>-431400759.86000001</v>
      </c>
      <c r="AO41" s="188">
        <v>3371015591.1399999</v>
      </c>
      <c r="AP41" s="188">
        <v>1679309494.52</v>
      </c>
      <c r="AQ41" s="188">
        <v>343165530.77999997</v>
      </c>
      <c r="AR41" s="188">
        <v>841737019.26999998</v>
      </c>
      <c r="AS41" s="188">
        <v>248485151.69</v>
      </c>
      <c r="AT41" s="188">
        <v>279164388.01999998</v>
      </c>
      <c r="AU41" s="188">
        <v>335643907.82999998</v>
      </c>
      <c r="AV41" s="188">
        <v>181264332.96000001</v>
      </c>
      <c r="AW41" s="188">
        <v>571108605.11000001</v>
      </c>
      <c r="AX41" s="188">
        <v>191918354.81</v>
      </c>
      <c r="AY41" s="188">
        <v>-472889512.87</v>
      </c>
      <c r="AZ41" s="188">
        <v>83718753.349999994</v>
      </c>
      <c r="BA41" s="188">
        <v>993662014.67999995</v>
      </c>
      <c r="BB41" s="188">
        <v>318679857.89999998</v>
      </c>
      <c r="BC41" s="188">
        <v>166887351.34</v>
      </c>
      <c r="BD41" s="188">
        <v>126597922.53</v>
      </c>
      <c r="BE41" s="188">
        <v>558280032</v>
      </c>
      <c r="BF41" s="188">
        <v>79241579.609999999</v>
      </c>
      <c r="BG41" s="188">
        <v>-167257230.25999999</v>
      </c>
      <c r="BH41" s="188">
        <v>-248928202.74000001</v>
      </c>
      <c r="BI41" s="188">
        <v>559739696.21000004</v>
      </c>
      <c r="BJ41" s="188">
        <v>88485273.069999993</v>
      </c>
      <c r="BK41" s="188">
        <v>-244058375</v>
      </c>
      <c r="BL41" s="188">
        <v>-95349952.079999998</v>
      </c>
      <c r="BM41" s="188">
        <v>-176128879.46000001</v>
      </c>
      <c r="BN41" s="188">
        <v>-442636280.26999998</v>
      </c>
      <c r="BO41" s="188">
        <v>1495452986.6400001</v>
      </c>
      <c r="BP41" s="188">
        <v>-124544369.95999999</v>
      </c>
      <c r="BQ41" s="188">
        <v>262592968.34</v>
      </c>
      <c r="BR41" s="188">
        <v>0</v>
      </c>
    </row>
    <row r="42" spans="1:70" x14ac:dyDescent="0.25">
      <c r="A42" s="188" t="s">
        <v>257</v>
      </c>
      <c r="B42" s="188">
        <v>74928080750.580002</v>
      </c>
      <c r="C42" s="188">
        <v>74928080750.580002</v>
      </c>
      <c r="D42" s="188">
        <v>74928080750.580002</v>
      </c>
      <c r="E42" s="188">
        <v>62794794812.989998</v>
      </c>
      <c r="F42" s="188">
        <v>62794794812.989998</v>
      </c>
      <c r="G42" s="188">
        <v>62794794812.989998</v>
      </c>
      <c r="H42" s="188">
        <v>62794794812.989998</v>
      </c>
      <c r="I42" s="188">
        <v>34780485904.57</v>
      </c>
      <c r="J42" s="188">
        <v>34780485904.57</v>
      </c>
      <c r="K42" s="188">
        <v>34780485904.57</v>
      </c>
      <c r="L42" s="188">
        <v>34780485904.57</v>
      </c>
      <c r="M42" s="188">
        <v>24997229197.759998</v>
      </c>
      <c r="N42" s="188">
        <v>24997229197.759998</v>
      </c>
      <c r="O42" s="188">
        <v>24997229197.759998</v>
      </c>
      <c r="P42" s="188">
        <v>24997229197.759998</v>
      </c>
      <c r="Q42" s="188">
        <v>21991742237.669998</v>
      </c>
      <c r="R42" s="188">
        <v>21991742237.669998</v>
      </c>
      <c r="S42" s="188">
        <v>21991742237.669998</v>
      </c>
      <c r="T42" s="188">
        <v>21991742237.669998</v>
      </c>
      <c r="U42" s="188">
        <v>22061999850.169998</v>
      </c>
      <c r="V42" s="188">
        <v>22061999850.169998</v>
      </c>
      <c r="W42" s="188">
        <v>22061999850.169998</v>
      </c>
      <c r="X42" s="188">
        <v>22061999850.169998</v>
      </c>
      <c r="Y42" s="188">
        <v>18254690162.040001</v>
      </c>
      <c r="Z42" s="188">
        <v>18254690162.040001</v>
      </c>
      <c r="AA42" s="188">
        <v>18254690162.040001</v>
      </c>
      <c r="AB42" s="188">
        <v>18254690162.040001</v>
      </c>
      <c r="AC42" s="188">
        <v>12888393889.290001</v>
      </c>
      <c r="AD42" s="188">
        <v>12888393889.290001</v>
      </c>
      <c r="AE42" s="188">
        <v>12888393889.290001</v>
      </c>
      <c r="AF42" s="188">
        <v>12888393889.290001</v>
      </c>
      <c r="AG42" s="188">
        <v>9743152155.2399998</v>
      </c>
      <c r="AH42" s="188">
        <v>9743152155.2399998</v>
      </c>
      <c r="AI42" s="188">
        <v>9743152155.2399998</v>
      </c>
      <c r="AJ42" s="188">
        <v>9743152155.2399998</v>
      </c>
      <c r="AK42" s="188">
        <v>8093721891.1599998</v>
      </c>
      <c r="AL42" s="188">
        <v>8093721891.1599998</v>
      </c>
      <c r="AM42" s="188">
        <v>8093721891.1599998</v>
      </c>
      <c r="AN42" s="188">
        <v>8093721891.1599998</v>
      </c>
      <c r="AO42" s="188">
        <v>4722706300.0200005</v>
      </c>
      <c r="AP42" s="188">
        <v>4722706300.0200005</v>
      </c>
      <c r="AQ42" s="188">
        <v>4722706300.0200005</v>
      </c>
      <c r="AR42" s="188">
        <v>4722706300.0200005</v>
      </c>
      <c r="AS42" s="188">
        <v>4474221148.3299999</v>
      </c>
      <c r="AT42" s="188">
        <v>4474221148.3299999</v>
      </c>
      <c r="AU42" s="188">
        <v>4474221148.3299999</v>
      </c>
      <c r="AV42" s="188">
        <v>1697004107.01</v>
      </c>
      <c r="AW42" s="188">
        <v>3891989433.5300002</v>
      </c>
      <c r="AX42" s="188">
        <v>3891989433.5300002</v>
      </c>
      <c r="AY42" s="188">
        <v>3891989433.5300002</v>
      </c>
      <c r="AZ42" s="188">
        <v>3891989433.5300002</v>
      </c>
      <c r="BA42" s="188">
        <v>2898327418.8499999</v>
      </c>
      <c r="BB42" s="188">
        <v>2898327418.8499999</v>
      </c>
      <c r="BC42" s="188">
        <v>2898327418.8499999</v>
      </c>
      <c r="BD42" s="188">
        <v>2898327418.8499999</v>
      </c>
      <c r="BE42" s="188">
        <v>2340047386.8499999</v>
      </c>
      <c r="BF42" s="188">
        <v>2340047386.8499999</v>
      </c>
      <c r="BG42" s="188">
        <v>2340047386.8499999</v>
      </c>
      <c r="BH42" s="188">
        <v>2340258782.8499999</v>
      </c>
      <c r="BI42" s="188">
        <v>1780307690.6400001</v>
      </c>
      <c r="BJ42" s="188">
        <v>1780307690.6400001</v>
      </c>
      <c r="BK42" s="188">
        <v>1780307690.6400001</v>
      </c>
      <c r="BL42" s="188">
        <v>1780307690.6400001</v>
      </c>
      <c r="BM42" s="188">
        <v>1956436570.0999999</v>
      </c>
      <c r="BN42" s="188">
        <v>1956436570.0999999</v>
      </c>
      <c r="BO42" s="188">
        <v>460983583.45999998</v>
      </c>
      <c r="BP42" s="188">
        <v>0</v>
      </c>
      <c r="BQ42" s="188">
        <v>198390615.12</v>
      </c>
      <c r="BR42" s="188">
        <v>0</v>
      </c>
    </row>
    <row r="43" spans="1:70" x14ac:dyDescent="0.25">
      <c r="A43" s="188" t="s">
        <v>258</v>
      </c>
      <c r="B43" s="188">
        <v>85690922391</v>
      </c>
      <c r="C43" s="188">
        <v>78068393291.940002</v>
      </c>
      <c r="D43" s="188">
        <v>79271661961.850006</v>
      </c>
      <c r="E43" s="188">
        <v>74928080750.580002</v>
      </c>
      <c r="F43" s="188">
        <v>75940689014.449997</v>
      </c>
      <c r="G43" s="188">
        <v>68895534979.479996</v>
      </c>
      <c r="H43" s="188">
        <v>68603440486.050003</v>
      </c>
      <c r="I43" s="188">
        <v>62794794812.989998</v>
      </c>
      <c r="J43" s="188">
        <v>58258397070.940002</v>
      </c>
      <c r="K43" s="188">
        <v>44545959043.720001</v>
      </c>
      <c r="L43" s="188">
        <v>41286765837.010002</v>
      </c>
      <c r="M43" s="188">
        <v>34780485904.57</v>
      </c>
      <c r="N43" s="188">
        <v>29033844504.18</v>
      </c>
      <c r="O43" s="188">
        <v>28556899090.610001</v>
      </c>
      <c r="P43" s="188">
        <v>26203682757.32</v>
      </c>
      <c r="Q43" s="188">
        <v>24997229197.759998</v>
      </c>
      <c r="R43" s="188">
        <v>20696827765.59</v>
      </c>
      <c r="S43" s="188">
        <v>18176338585.07</v>
      </c>
      <c r="T43" s="188">
        <v>20080839233.91</v>
      </c>
      <c r="U43" s="188">
        <v>21991742237.669998</v>
      </c>
      <c r="V43" s="188">
        <v>20125293949.5</v>
      </c>
      <c r="W43" s="188">
        <v>18105047230.099998</v>
      </c>
      <c r="X43" s="188">
        <v>21735234696.970001</v>
      </c>
      <c r="Y43" s="188">
        <v>22061999850.169998</v>
      </c>
      <c r="Z43" s="188">
        <v>18690032974.060001</v>
      </c>
      <c r="AA43" s="188">
        <v>20981859110.759998</v>
      </c>
      <c r="AB43" s="188">
        <v>18851427038.66</v>
      </c>
      <c r="AC43" s="188">
        <v>18254690162.040001</v>
      </c>
      <c r="AD43" s="188">
        <v>18288326258.07</v>
      </c>
      <c r="AE43" s="188">
        <v>17291687378.52</v>
      </c>
      <c r="AF43" s="188">
        <v>15998489422.76</v>
      </c>
      <c r="AG43" s="188">
        <v>12888393889.290001</v>
      </c>
      <c r="AH43" s="188">
        <v>11026669577.42</v>
      </c>
      <c r="AI43" s="188">
        <v>10268861587.440001</v>
      </c>
      <c r="AJ43" s="188">
        <v>9980435183.5699997</v>
      </c>
      <c r="AK43" s="188">
        <v>9743152155.2399998</v>
      </c>
      <c r="AL43" s="188">
        <v>7895280562.8000002</v>
      </c>
      <c r="AM43" s="188">
        <v>7795808371.21</v>
      </c>
      <c r="AN43" s="188">
        <v>7662321131.3000002</v>
      </c>
      <c r="AO43" s="188">
        <v>8093721891.1599998</v>
      </c>
      <c r="AP43" s="188">
        <v>6402015794.54</v>
      </c>
      <c r="AQ43" s="188">
        <v>5065871830.8000002</v>
      </c>
      <c r="AR43" s="188">
        <v>5564443319.29</v>
      </c>
      <c r="AS43" s="188">
        <v>4722706300.0200005</v>
      </c>
      <c r="AT43" s="188">
        <v>4753385536.3500004</v>
      </c>
      <c r="AU43" s="188">
        <v>4809865056.1599998</v>
      </c>
      <c r="AV43" s="188">
        <v>1878268439.97</v>
      </c>
      <c r="AW43" s="188">
        <v>4463098038.6400003</v>
      </c>
      <c r="AX43" s="188">
        <v>4083907788.3400002</v>
      </c>
      <c r="AY43" s="188">
        <v>3419099920.6599998</v>
      </c>
      <c r="AZ43" s="188">
        <v>3975708186.8800001</v>
      </c>
      <c r="BA43" s="188">
        <v>3891989433.5300002</v>
      </c>
      <c r="BB43" s="188">
        <v>3217007276.75</v>
      </c>
      <c r="BC43" s="188">
        <v>3065214770.1900001</v>
      </c>
      <c r="BD43" s="188">
        <v>3024925341.3800001</v>
      </c>
      <c r="BE43" s="188">
        <v>2898327418.8499999</v>
      </c>
      <c r="BF43" s="188">
        <v>2419288966.46</v>
      </c>
      <c r="BG43" s="188">
        <v>2172790156.5900002</v>
      </c>
      <c r="BH43" s="188">
        <v>2091330580.1099999</v>
      </c>
      <c r="BI43" s="188">
        <v>2340045386.8499999</v>
      </c>
      <c r="BJ43" s="188">
        <v>1868792963.71</v>
      </c>
      <c r="BK43" s="188">
        <v>1536249315.6400001</v>
      </c>
      <c r="BL43" s="188">
        <v>1684957738.5599999</v>
      </c>
      <c r="BM43" s="188">
        <v>1780307690.6400001</v>
      </c>
      <c r="BN43" s="188">
        <v>1513800289.8299999</v>
      </c>
      <c r="BO43" s="188">
        <v>1956436570.0999999</v>
      </c>
      <c r="BP43" s="188">
        <v>0</v>
      </c>
      <c r="BQ43" s="188">
        <v>460983583.45999998</v>
      </c>
      <c r="BR43" s="188">
        <v>0</v>
      </c>
    </row>
    <row r="44" spans="1:70" x14ac:dyDescent="0.25">
      <c r="A44" s="188" t="s">
        <v>259</v>
      </c>
    </row>
    <row r="45" spans="1:70" x14ac:dyDescent="0.25">
      <c r="A45" s="188" t="s">
        <v>260</v>
      </c>
      <c r="B45" s="188">
        <v>0</v>
      </c>
      <c r="C45" s="188">
        <v>16921352445.58</v>
      </c>
      <c r="D45" s="188">
        <v>0</v>
      </c>
      <c r="E45" s="188">
        <v>29006423236</v>
      </c>
      <c r="F45" s="188">
        <v>0</v>
      </c>
      <c r="G45" s="188">
        <v>12044438696.030001</v>
      </c>
      <c r="H45" s="188">
        <v>0</v>
      </c>
      <c r="I45" s="188">
        <v>17930643109.880001</v>
      </c>
      <c r="J45" s="188">
        <v>0</v>
      </c>
      <c r="K45" s="188">
        <v>9377202963.1499996</v>
      </c>
      <c r="L45" s="188">
        <v>0</v>
      </c>
      <c r="M45" s="188">
        <v>16454996625.219999</v>
      </c>
      <c r="N45" s="188">
        <v>0</v>
      </c>
      <c r="O45" s="188">
        <v>8364520508.6099997</v>
      </c>
      <c r="P45" s="188">
        <v>0</v>
      </c>
      <c r="Q45" s="188">
        <v>16269371509.83</v>
      </c>
      <c r="R45" s="188">
        <v>0</v>
      </c>
      <c r="S45" s="188">
        <v>7664538017.5900002</v>
      </c>
      <c r="T45" s="188">
        <v>0</v>
      </c>
      <c r="U45" s="188">
        <v>15964899881.049999</v>
      </c>
      <c r="V45" s="188">
        <v>0</v>
      </c>
      <c r="W45" s="188">
        <v>7620914791.3100004</v>
      </c>
      <c r="X45" s="188">
        <v>0</v>
      </c>
      <c r="Y45" s="188">
        <v>14008450702.17</v>
      </c>
      <c r="Z45" s="188">
        <v>0</v>
      </c>
      <c r="AA45" s="188">
        <v>7348939538.5500002</v>
      </c>
      <c r="AB45" s="188">
        <v>0</v>
      </c>
      <c r="AC45" s="188">
        <v>9250323807.6200008</v>
      </c>
      <c r="AD45" s="188">
        <v>0</v>
      </c>
      <c r="AE45" s="188">
        <v>5166306192.5299997</v>
      </c>
      <c r="AF45" s="188">
        <v>0</v>
      </c>
      <c r="AG45" s="188">
        <v>5339761496.9700003</v>
      </c>
      <c r="AH45" s="188">
        <v>0</v>
      </c>
      <c r="AI45" s="188">
        <v>3274562600.0700002</v>
      </c>
      <c r="AJ45" s="188">
        <v>0</v>
      </c>
      <c r="AK45" s="188">
        <v>4552888944</v>
      </c>
      <c r="AL45" s="188">
        <v>0</v>
      </c>
      <c r="AM45" s="188">
        <v>2928842256.25</v>
      </c>
      <c r="AN45" s="188">
        <v>0</v>
      </c>
      <c r="AO45" s="188">
        <v>4000759343.1100001</v>
      </c>
      <c r="AP45" s="188">
        <v>0</v>
      </c>
      <c r="AQ45" s="188">
        <v>2351939273.6300001</v>
      </c>
      <c r="AR45" s="188">
        <v>0</v>
      </c>
      <c r="AS45" s="188">
        <v>2830831594.3600001</v>
      </c>
      <c r="AT45" s="188">
        <v>0</v>
      </c>
      <c r="AU45" s="188">
        <v>893948241.40999997</v>
      </c>
      <c r="AV45" s="188">
        <v>0</v>
      </c>
      <c r="AW45" s="188">
        <v>1504116840.49</v>
      </c>
      <c r="AX45" s="188">
        <v>950993361.80999994</v>
      </c>
      <c r="AY45" s="188">
        <v>605250279.90999997</v>
      </c>
      <c r="AZ45" s="188">
        <v>449590769.88</v>
      </c>
      <c r="BA45" s="188">
        <v>1118541629.3699999</v>
      </c>
      <c r="BB45" s="188">
        <v>702485675.25</v>
      </c>
      <c r="BC45" s="188">
        <v>480786925.85000002</v>
      </c>
      <c r="BD45" s="188">
        <v>369139390.74000001</v>
      </c>
      <c r="BE45" s="188">
        <v>820553997.19000006</v>
      </c>
      <c r="BF45" s="188">
        <v>515569148.98000002</v>
      </c>
      <c r="BG45" s="188">
        <v>349084192.5</v>
      </c>
      <c r="BH45" s="188">
        <v>261503821.72</v>
      </c>
      <c r="BI45" s="188">
        <v>586747838.27999997</v>
      </c>
      <c r="BJ45" s="188">
        <v>354499724.25</v>
      </c>
      <c r="BK45" s="188">
        <v>252520818.55000001</v>
      </c>
      <c r="BL45" s="188">
        <v>217609019.5</v>
      </c>
      <c r="BM45" s="188">
        <v>376798521.36000001</v>
      </c>
      <c r="BN45" s="188">
        <v>238275978.99000001</v>
      </c>
      <c r="BO45" s="188">
        <v>328290723.13999999</v>
      </c>
      <c r="BP45" s="188">
        <v>0</v>
      </c>
      <c r="BQ45" s="188">
        <v>251103580</v>
      </c>
      <c r="BR45" s="188">
        <v>0</v>
      </c>
    </row>
    <row r="46" spans="1:70"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135220914.59</v>
      </c>
      <c r="AT46" s="188">
        <v>0</v>
      </c>
      <c r="AU46" s="188">
        <v>0</v>
      </c>
      <c r="AV46" s="188">
        <v>0</v>
      </c>
      <c r="AW46" s="188">
        <v>70191397.969999999</v>
      </c>
      <c r="AX46" s="188">
        <v>43705142.329999998</v>
      </c>
      <c r="AY46" s="188">
        <v>28820538.469999999</v>
      </c>
      <c r="AZ46" s="188">
        <v>18681889.829999998</v>
      </c>
      <c r="BA46" s="188">
        <v>50580496.340000004</v>
      </c>
      <c r="BB46" s="188">
        <v>32146744.57</v>
      </c>
      <c r="BC46" s="188">
        <v>21918109.09</v>
      </c>
      <c r="BD46" s="188">
        <v>0</v>
      </c>
      <c r="BE46" s="188">
        <v>33618178.270000003</v>
      </c>
      <c r="BF46" s="188">
        <v>22506325.899999999</v>
      </c>
      <c r="BG46" s="188">
        <v>14977871.93</v>
      </c>
      <c r="BH46" s="188">
        <v>9826969.4900000002</v>
      </c>
      <c r="BI46" s="188">
        <v>22005657.780000001</v>
      </c>
      <c r="BJ46" s="188">
        <v>0</v>
      </c>
      <c r="BK46" s="188">
        <v>0</v>
      </c>
      <c r="BL46" s="188">
        <v>0</v>
      </c>
      <c r="BM46" s="188">
        <v>0</v>
      </c>
      <c r="BN46" s="188">
        <v>0</v>
      </c>
      <c r="BO46" s="188">
        <v>0</v>
      </c>
      <c r="BP46" s="188">
        <v>0</v>
      </c>
      <c r="BQ46" s="188">
        <v>0</v>
      </c>
      <c r="BR46" s="188">
        <v>0</v>
      </c>
    </row>
    <row r="47" spans="1:70"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-14802026.52</v>
      </c>
      <c r="BE47" s="188">
        <v>0</v>
      </c>
      <c r="BF47" s="188">
        <v>0</v>
      </c>
      <c r="BG47" s="188">
        <v>0</v>
      </c>
      <c r="BH47" s="188">
        <v>0</v>
      </c>
      <c r="BI47" s="188">
        <v>0</v>
      </c>
      <c r="BJ47" s="188">
        <v>0</v>
      </c>
      <c r="BK47" s="188">
        <v>0</v>
      </c>
      <c r="BL47" s="188">
        <v>0</v>
      </c>
      <c r="BM47" s="188">
        <v>0</v>
      </c>
      <c r="BN47" s="188">
        <v>0</v>
      </c>
      <c r="BO47" s="188">
        <v>0</v>
      </c>
      <c r="BP47" s="188">
        <v>0</v>
      </c>
      <c r="BQ47" s="188">
        <v>0</v>
      </c>
      <c r="BR47" s="188">
        <v>0</v>
      </c>
    </row>
    <row r="48" spans="1:70" x14ac:dyDescent="0.25">
      <c r="A48" s="188" t="s">
        <v>262</v>
      </c>
      <c r="B48" s="188">
        <v>0</v>
      </c>
      <c r="C48" s="188">
        <v>1221263.23</v>
      </c>
      <c r="D48" s="188">
        <v>0</v>
      </c>
      <c r="E48" s="188">
        <v>-8053703.9500000002</v>
      </c>
      <c r="F48" s="188">
        <v>0</v>
      </c>
      <c r="G48" s="188">
        <v>-3205173.03</v>
      </c>
      <c r="H48" s="188">
        <v>0</v>
      </c>
      <c r="I48" s="188">
        <v>12327496.220000001</v>
      </c>
      <c r="J48" s="188">
        <v>0</v>
      </c>
      <c r="K48" s="188">
        <v>5536334.9299999997</v>
      </c>
      <c r="L48" s="188">
        <v>0</v>
      </c>
      <c r="M48" s="188">
        <v>-540313.39</v>
      </c>
      <c r="N48" s="188">
        <v>0</v>
      </c>
      <c r="O48" s="188">
        <v>404373.28</v>
      </c>
      <c r="P48" s="188">
        <v>0</v>
      </c>
      <c r="Q48" s="188">
        <v>432745.88</v>
      </c>
      <c r="R48" s="188">
        <v>0</v>
      </c>
      <c r="S48" s="188">
        <v>243295.23</v>
      </c>
      <c r="T48" s="188">
        <v>0</v>
      </c>
      <c r="U48" s="188">
        <v>-2004032.3</v>
      </c>
      <c r="V48" s="188">
        <v>0</v>
      </c>
      <c r="W48" s="188">
        <v>-2068342.1</v>
      </c>
      <c r="X48" s="188">
        <v>0</v>
      </c>
      <c r="Y48" s="188">
        <v>2979258.5</v>
      </c>
      <c r="Z48" s="188">
        <v>0</v>
      </c>
      <c r="AA48" s="188">
        <v>955859.42</v>
      </c>
      <c r="AB48" s="188">
        <v>0</v>
      </c>
      <c r="AC48" s="188">
        <v>-2500650.5699999998</v>
      </c>
      <c r="AD48" s="188">
        <v>0</v>
      </c>
      <c r="AE48" s="188">
        <v>-1568169.42</v>
      </c>
      <c r="AF48" s="188">
        <v>0</v>
      </c>
      <c r="AG48" s="188">
        <v>-3066975.05</v>
      </c>
      <c r="AH48" s="188">
        <v>0</v>
      </c>
      <c r="AI48" s="188">
        <v>2776574.21</v>
      </c>
      <c r="AJ48" s="188">
        <v>0</v>
      </c>
      <c r="AK48" s="188">
        <v>-300085.01</v>
      </c>
      <c r="AL48" s="188">
        <v>0</v>
      </c>
      <c r="AM48" s="188">
        <v>442604</v>
      </c>
      <c r="AN48" s="188">
        <v>0</v>
      </c>
      <c r="AO48" s="188">
        <v>450078.22</v>
      </c>
      <c r="AP48" s="188">
        <v>0</v>
      </c>
      <c r="AQ48" s="188">
        <v>-1411074.74</v>
      </c>
      <c r="AR48" s="188">
        <v>0</v>
      </c>
      <c r="AS48" s="188">
        <v>-614738.65</v>
      </c>
      <c r="AT48" s="188">
        <v>0</v>
      </c>
      <c r="AU48" s="188">
        <v>1317514.0900000001</v>
      </c>
      <c r="AV48" s="188">
        <v>0</v>
      </c>
      <c r="AW48" s="188">
        <v>0</v>
      </c>
      <c r="AX48" s="188">
        <v>0</v>
      </c>
      <c r="AY48" s="188">
        <v>0</v>
      </c>
      <c r="AZ48" s="188">
        <v>0</v>
      </c>
      <c r="BA48" s="188">
        <v>-1324018.3500000001</v>
      </c>
      <c r="BB48" s="188">
        <v>0</v>
      </c>
      <c r="BC48" s="188">
        <v>0</v>
      </c>
      <c r="BD48" s="188">
        <v>0</v>
      </c>
      <c r="BE48" s="188">
        <v>761947.03</v>
      </c>
      <c r="BF48" s="188">
        <v>0</v>
      </c>
      <c r="BG48" s="188">
        <v>0</v>
      </c>
      <c r="BH48" s="188">
        <v>0</v>
      </c>
      <c r="BI48" s="188">
        <v>2052540.39</v>
      </c>
      <c r="BJ48" s="188">
        <v>0</v>
      </c>
      <c r="BK48" s="188">
        <v>0</v>
      </c>
      <c r="BL48" s="188">
        <v>0</v>
      </c>
      <c r="BM48" s="188">
        <v>5977107.7199999997</v>
      </c>
      <c r="BN48" s="188">
        <v>0</v>
      </c>
      <c r="BO48" s="188">
        <v>6692428.5199999996</v>
      </c>
      <c r="BP48" s="188">
        <v>0</v>
      </c>
      <c r="BQ48" s="188">
        <v>-557245</v>
      </c>
      <c r="BR48" s="188">
        <v>0</v>
      </c>
    </row>
    <row r="49" spans="1:70" x14ac:dyDescent="0.25">
      <c r="A49" s="188" t="s">
        <v>263</v>
      </c>
      <c r="B49" s="188">
        <v>0</v>
      </c>
      <c r="C49" s="188">
        <v>544243284.45000005</v>
      </c>
      <c r="D49" s="188">
        <v>0</v>
      </c>
      <c r="E49" s="188">
        <v>1035052733.45</v>
      </c>
      <c r="F49" s="188">
        <v>0</v>
      </c>
      <c r="G49" s="188">
        <v>516162327.69999999</v>
      </c>
      <c r="H49" s="188">
        <v>0</v>
      </c>
      <c r="I49" s="188">
        <v>842728072.03999996</v>
      </c>
      <c r="J49" s="188">
        <v>0</v>
      </c>
      <c r="K49" s="188">
        <v>417647140.01999998</v>
      </c>
      <c r="L49" s="188">
        <v>0</v>
      </c>
      <c r="M49" s="188">
        <v>761458678.28999996</v>
      </c>
      <c r="N49" s="188">
        <v>0</v>
      </c>
      <c r="O49" s="188">
        <v>373349019.23000002</v>
      </c>
      <c r="P49" s="188">
        <v>0</v>
      </c>
      <c r="Q49" s="188">
        <v>675349786.98000002</v>
      </c>
      <c r="R49" s="188">
        <v>0</v>
      </c>
      <c r="S49" s="188">
        <v>321291816.05000001</v>
      </c>
      <c r="T49" s="188">
        <v>0</v>
      </c>
      <c r="U49" s="188">
        <v>520481867.72000003</v>
      </c>
      <c r="V49" s="188">
        <v>0</v>
      </c>
      <c r="W49" s="188">
        <v>254184419.62</v>
      </c>
      <c r="X49" s="188">
        <v>0</v>
      </c>
      <c r="Y49" s="188">
        <v>414952194.94</v>
      </c>
      <c r="Z49" s="188">
        <v>0</v>
      </c>
      <c r="AA49" s="188">
        <v>200507000.40000001</v>
      </c>
      <c r="AB49" s="188">
        <v>0</v>
      </c>
      <c r="AC49" s="188">
        <v>331356736.88</v>
      </c>
      <c r="AD49" s="188">
        <v>0</v>
      </c>
      <c r="AE49" s="188">
        <v>158950782.41999999</v>
      </c>
      <c r="AF49" s="188">
        <v>0</v>
      </c>
      <c r="AG49" s="188">
        <v>267815117.52000001</v>
      </c>
      <c r="AH49" s="188">
        <v>0</v>
      </c>
      <c r="AI49" s="188">
        <v>122119373.3</v>
      </c>
      <c r="AJ49" s="188">
        <v>0</v>
      </c>
      <c r="AK49" s="188">
        <v>187387081.41</v>
      </c>
      <c r="AL49" s="188">
        <v>0</v>
      </c>
      <c r="AM49" s="188">
        <v>89093818.810000002</v>
      </c>
      <c r="AN49" s="188">
        <v>0</v>
      </c>
      <c r="AO49" s="188">
        <v>147042974.22999999</v>
      </c>
      <c r="AP49" s="188">
        <v>0</v>
      </c>
      <c r="AQ49" s="188">
        <v>70037352.950000003</v>
      </c>
      <c r="AR49" s="188">
        <v>0</v>
      </c>
      <c r="AS49" s="188">
        <v>103823977.31999999</v>
      </c>
      <c r="AT49" s="188">
        <v>0</v>
      </c>
      <c r="AU49" s="188">
        <v>49772665.390000001</v>
      </c>
      <c r="AV49" s="188">
        <v>0</v>
      </c>
      <c r="AW49" s="188">
        <v>84717392.170000002</v>
      </c>
      <c r="AX49" s="188">
        <v>62546557.289999999</v>
      </c>
      <c r="AY49" s="188">
        <v>40854031.590000004</v>
      </c>
      <c r="AZ49" s="188">
        <v>20555222.16</v>
      </c>
      <c r="BA49" s="188">
        <v>64659106.390000001</v>
      </c>
      <c r="BB49" s="188">
        <v>14382986.699999999</v>
      </c>
      <c r="BC49" s="188">
        <v>31667890.949999999</v>
      </c>
      <c r="BD49" s="188">
        <v>15524717.93</v>
      </c>
      <c r="BE49" s="188">
        <v>55088524.049999997</v>
      </c>
      <c r="BF49" s="188">
        <v>40655791.490000002</v>
      </c>
      <c r="BG49" s="188">
        <v>26579528.530000001</v>
      </c>
      <c r="BH49" s="188">
        <v>12725361.800000001</v>
      </c>
      <c r="BI49" s="188">
        <v>58391200.810000002</v>
      </c>
      <c r="BJ49" s="188">
        <v>47752591.530000001</v>
      </c>
      <c r="BK49" s="188">
        <v>35569491.770000003</v>
      </c>
      <c r="BL49" s="188">
        <v>23864812.800000001</v>
      </c>
      <c r="BM49" s="188">
        <v>20409817.800000001</v>
      </c>
      <c r="BN49" s="188">
        <v>9446489.4299999997</v>
      </c>
      <c r="BO49" s="188">
        <v>11587498.189999999</v>
      </c>
      <c r="BP49" s="188">
        <v>0</v>
      </c>
      <c r="BQ49" s="188">
        <v>10108725</v>
      </c>
      <c r="BR49" s="188">
        <v>0</v>
      </c>
    </row>
    <row r="50" spans="1:70" x14ac:dyDescent="0.25">
      <c r="A50" s="188" t="s">
        <v>264</v>
      </c>
      <c r="B50" s="188">
        <v>0</v>
      </c>
      <c r="C50" s="188">
        <v>39850046.619999997</v>
      </c>
      <c r="D50" s="188">
        <v>0</v>
      </c>
      <c r="E50" s="188">
        <v>80522705.769999996</v>
      </c>
      <c r="F50" s="188">
        <v>0</v>
      </c>
      <c r="G50" s="188">
        <v>40237130.289999999</v>
      </c>
      <c r="H50" s="188">
        <v>0</v>
      </c>
      <c r="I50" s="188">
        <v>80457895.989999995</v>
      </c>
      <c r="J50" s="188">
        <v>0</v>
      </c>
      <c r="K50" s="188">
        <v>40081010.549999997</v>
      </c>
      <c r="L50" s="188">
        <v>0</v>
      </c>
      <c r="M50" s="188">
        <v>79883270.420000002</v>
      </c>
      <c r="N50" s="188">
        <v>0</v>
      </c>
      <c r="O50" s="188">
        <v>39738464.259999998</v>
      </c>
      <c r="P50" s="188">
        <v>0</v>
      </c>
      <c r="Q50" s="188">
        <v>77607523.200000003</v>
      </c>
      <c r="R50" s="188">
        <v>0</v>
      </c>
      <c r="S50" s="188">
        <v>38383088.600000001</v>
      </c>
      <c r="T50" s="188">
        <v>0</v>
      </c>
      <c r="U50" s="188">
        <v>31617810.780000001</v>
      </c>
      <c r="V50" s="188">
        <v>0</v>
      </c>
      <c r="W50" s="188">
        <v>11204325.32</v>
      </c>
      <c r="X50" s="188">
        <v>0</v>
      </c>
      <c r="Y50" s="188">
        <v>15994854.35</v>
      </c>
      <c r="Z50" s="188">
        <v>0</v>
      </c>
      <c r="AA50" s="188">
        <v>6655978.8700000001</v>
      </c>
      <c r="AB50" s="188">
        <v>0</v>
      </c>
      <c r="AC50" s="188">
        <v>11855582.220000001</v>
      </c>
      <c r="AD50" s="188">
        <v>0</v>
      </c>
      <c r="AE50" s="188">
        <v>5646985.7000000002</v>
      </c>
      <c r="AF50" s="188">
        <v>0</v>
      </c>
      <c r="AG50" s="188">
        <v>14719853.449999999</v>
      </c>
      <c r="AH50" s="188">
        <v>0</v>
      </c>
      <c r="AI50" s="188">
        <v>5961975.2400000002</v>
      </c>
      <c r="AJ50" s="188">
        <v>0</v>
      </c>
      <c r="AK50" s="188">
        <v>11552408.130000001</v>
      </c>
      <c r="AL50" s="188">
        <v>0</v>
      </c>
      <c r="AM50" s="188">
        <v>5728173.5</v>
      </c>
      <c r="AN50" s="188">
        <v>0</v>
      </c>
      <c r="AO50" s="188">
        <v>6995493.6799999997</v>
      </c>
      <c r="AP50" s="188">
        <v>0</v>
      </c>
      <c r="AQ50" s="188">
        <v>3361247.64</v>
      </c>
      <c r="AR50" s="188">
        <v>0</v>
      </c>
      <c r="AS50" s="188">
        <v>8419605.2599999998</v>
      </c>
      <c r="AT50" s="188">
        <v>0</v>
      </c>
      <c r="AU50" s="188">
        <v>3214603.12</v>
      </c>
      <c r="AV50" s="188">
        <v>0</v>
      </c>
      <c r="AW50" s="188">
        <v>3228097.47</v>
      </c>
      <c r="AX50" s="188">
        <v>507627.19</v>
      </c>
      <c r="AY50" s="188">
        <v>303570.90999999997</v>
      </c>
      <c r="AZ50" s="188">
        <v>141331.29</v>
      </c>
      <c r="BA50" s="188">
        <v>1721214.26</v>
      </c>
      <c r="BB50" s="188">
        <v>84999.84</v>
      </c>
      <c r="BC50" s="188">
        <v>84999.84</v>
      </c>
      <c r="BD50" s="188">
        <v>42500.01</v>
      </c>
      <c r="BE50" s="188">
        <v>171205.04</v>
      </c>
      <c r="BF50" s="188">
        <v>127500.03</v>
      </c>
      <c r="BG50" s="188">
        <v>85000.02</v>
      </c>
      <c r="BH50" s="188">
        <v>42500.01</v>
      </c>
      <c r="BI50" s="188">
        <v>170000.04</v>
      </c>
      <c r="BJ50" s="188">
        <v>127500.03</v>
      </c>
      <c r="BK50" s="188">
        <v>85000.02</v>
      </c>
      <c r="BL50" s="188">
        <v>42500.01</v>
      </c>
      <c r="BM50" s="188">
        <v>170000.04</v>
      </c>
      <c r="BN50" s="188">
        <v>85000.02</v>
      </c>
      <c r="BO50" s="188">
        <v>676000.04</v>
      </c>
      <c r="BP50" s="188">
        <v>0</v>
      </c>
      <c r="BQ50" s="188">
        <v>3477429</v>
      </c>
      <c r="BR50" s="188">
        <v>0</v>
      </c>
    </row>
    <row r="51" spans="1:70" x14ac:dyDescent="0.25">
      <c r="A51" s="188" t="s">
        <v>265</v>
      </c>
      <c r="B51" s="188">
        <v>0</v>
      </c>
      <c r="C51" s="188">
        <v>5061092.9400000004</v>
      </c>
      <c r="D51" s="188">
        <v>0</v>
      </c>
      <c r="E51" s="188">
        <v>10259101.970000001</v>
      </c>
      <c r="F51" s="188">
        <v>0</v>
      </c>
      <c r="G51" s="188">
        <v>5140436.7300000004</v>
      </c>
      <c r="H51" s="188">
        <v>0</v>
      </c>
      <c r="I51" s="188">
        <v>11008704.17</v>
      </c>
      <c r="J51" s="188">
        <v>0</v>
      </c>
      <c r="K51" s="188">
        <v>5681522.1299999999</v>
      </c>
      <c r="L51" s="188">
        <v>0</v>
      </c>
      <c r="M51" s="188">
        <v>6804749.0199999996</v>
      </c>
      <c r="N51" s="188">
        <v>0</v>
      </c>
      <c r="O51" s="188">
        <v>2445058.8199999998</v>
      </c>
      <c r="P51" s="188">
        <v>0</v>
      </c>
      <c r="Q51" s="188">
        <v>3842650.48</v>
      </c>
      <c r="R51" s="188">
        <v>0</v>
      </c>
      <c r="S51" s="188">
        <v>1851383.57</v>
      </c>
      <c r="T51" s="188">
        <v>0</v>
      </c>
      <c r="U51" s="188">
        <v>4197830.59</v>
      </c>
      <c r="V51" s="188">
        <v>0</v>
      </c>
      <c r="W51" s="188">
        <v>1942477.92</v>
      </c>
      <c r="X51" s="188">
        <v>0</v>
      </c>
      <c r="Y51" s="188">
        <v>3854764.8</v>
      </c>
      <c r="Z51" s="188">
        <v>0</v>
      </c>
      <c r="AA51" s="188">
        <v>1919834.64</v>
      </c>
      <c r="AB51" s="188">
        <v>0</v>
      </c>
      <c r="AC51" s="188">
        <v>4896216.72</v>
      </c>
      <c r="AD51" s="188">
        <v>0</v>
      </c>
      <c r="AE51" s="188">
        <v>863163.66</v>
      </c>
      <c r="AF51" s="188">
        <v>0</v>
      </c>
      <c r="AG51" s="188">
        <v>3034894.25</v>
      </c>
      <c r="AH51" s="188">
        <v>0</v>
      </c>
      <c r="AI51" s="188">
        <v>2588560.7999999998</v>
      </c>
      <c r="AJ51" s="188">
        <v>0</v>
      </c>
      <c r="AK51" s="188">
        <v>8627818.8800000008</v>
      </c>
      <c r="AL51" s="188">
        <v>0</v>
      </c>
      <c r="AM51" s="188">
        <v>4684138.12</v>
      </c>
      <c r="AN51" s="188">
        <v>0</v>
      </c>
      <c r="AO51" s="188">
        <v>10613073.470000001</v>
      </c>
      <c r="AP51" s="188">
        <v>0</v>
      </c>
      <c r="AQ51" s="188">
        <v>6441361.3099999996</v>
      </c>
      <c r="AR51" s="188">
        <v>0</v>
      </c>
      <c r="AS51" s="188">
        <v>65846168.600000001</v>
      </c>
      <c r="AT51" s="188">
        <v>0</v>
      </c>
      <c r="AU51" s="188">
        <v>4580442.62</v>
      </c>
      <c r="AV51" s="188">
        <v>0</v>
      </c>
      <c r="AW51" s="188">
        <v>8744492.6899999995</v>
      </c>
      <c r="AX51" s="188">
        <v>6440605.7699999996</v>
      </c>
      <c r="AY51" s="188">
        <v>4187782.96</v>
      </c>
      <c r="AZ51" s="188">
        <v>2098114.34</v>
      </c>
      <c r="BA51" s="188">
        <v>12051388.76</v>
      </c>
      <c r="BB51" s="188">
        <v>2203602.2400000002</v>
      </c>
      <c r="BC51" s="188">
        <v>4623317.43</v>
      </c>
      <c r="BD51" s="188">
        <v>967986.57</v>
      </c>
      <c r="BE51" s="188">
        <v>11374067.689999999</v>
      </c>
      <c r="BF51" s="188">
        <v>2772944.12</v>
      </c>
      <c r="BG51" s="188">
        <v>2416531.69</v>
      </c>
      <c r="BH51" s="188">
        <v>1638077.4399999999</v>
      </c>
      <c r="BI51" s="188">
        <v>5297418.04</v>
      </c>
      <c r="BJ51" s="188">
        <v>2483546</v>
      </c>
      <c r="BK51" s="188">
        <v>1638442.04</v>
      </c>
      <c r="BL51" s="188">
        <v>642970.9</v>
      </c>
      <c r="BM51" s="188">
        <v>-5629054.3700000001</v>
      </c>
      <c r="BN51" s="188">
        <v>1086189.98</v>
      </c>
      <c r="BO51" s="188">
        <v>2083990</v>
      </c>
      <c r="BP51" s="188">
        <v>0</v>
      </c>
      <c r="BQ51" s="188">
        <v>0</v>
      </c>
      <c r="BR51" s="188">
        <v>0</v>
      </c>
    </row>
    <row r="52" spans="1:70"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-2089751.57</v>
      </c>
      <c r="AY52" s="188">
        <v>-4163123.12</v>
      </c>
      <c r="AZ52" s="188">
        <v>0</v>
      </c>
      <c r="BA52" s="188">
        <v>0</v>
      </c>
      <c r="BB52" s="188">
        <v>-7270021.3700000001</v>
      </c>
      <c r="BC52" s="188">
        <v>-3257900.75</v>
      </c>
      <c r="BD52" s="188">
        <v>-3505403.97</v>
      </c>
      <c r="BE52" s="188">
        <v>651300.25</v>
      </c>
      <c r="BF52" s="188">
        <v>-1362568.65</v>
      </c>
      <c r="BG52" s="188">
        <v>-2030370.94</v>
      </c>
      <c r="BH52" s="188">
        <v>-3138222.93</v>
      </c>
      <c r="BI52" s="188">
        <v>-651300.25</v>
      </c>
      <c r="BJ52" s="188">
        <v>-5089210.82</v>
      </c>
      <c r="BK52" s="188">
        <v>10178421.859999999</v>
      </c>
      <c r="BL52" s="188">
        <v>-13206672.5</v>
      </c>
      <c r="BM52" s="188">
        <v>23337681.800000001</v>
      </c>
      <c r="BN52" s="188">
        <v>17089893.879999999</v>
      </c>
      <c r="BO52" s="188">
        <v>-3929579.65</v>
      </c>
      <c r="BP52" s="188">
        <v>0</v>
      </c>
      <c r="BQ52" s="188">
        <v>0</v>
      </c>
      <c r="BR52" s="188">
        <v>0</v>
      </c>
    </row>
    <row r="53" spans="1:70"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844344.7</v>
      </c>
      <c r="AX53" s="188">
        <v>53240196.289999999</v>
      </c>
      <c r="AY53" s="188">
        <v>2170710.7999999998</v>
      </c>
      <c r="AZ53" s="188">
        <v>44782229.460000001</v>
      </c>
      <c r="BA53" s="188">
        <v>-6145179.6900000004</v>
      </c>
      <c r="BB53" s="188">
        <v>46238296.43</v>
      </c>
      <c r="BC53" s="188">
        <v>33325369.199999999</v>
      </c>
      <c r="BD53" s="188">
        <v>55553692.549999997</v>
      </c>
      <c r="BE53" s="188">
        <v>2225642.5099999998</v>
      </c>
      <c r="BF53" s="188">
        <v>99984845.620000005</v>
      </c>
      <c r="BG53" s="188">
        <v>48162524.469999999</v>
      </c>
      <c r="BH53" s="188">
        <v>44631775.57</v>
      </c>
      <c r="BI53" s="188">
        <v>1676058.29</v>
      </c>
      <c r="BJ53" s="188">
        <v>71798377.230000004</v>
      </c>
      <c r="BK53" s="188">
        <v>24492403.010000002</v>
      </c>
      <c r="BL53" s="188">
        <v>20398978.800000001</v>
      </c>
      <c r="BM53" s="188">
        <v>3422740.32</v>
      </c>
      <c r="BN53" s="188">
        <v>29752060.640000001</v>
      </c>
      <c r="BO53" s="188">
        <v>0</v>
      </c>
      <c r="BP53" s="188">
        <v>0</v>
      </c>
      <c r="BQ53" s="188">
        <v>0</v>
      </c>
      <c r="BR53" s="188">
        <v>0</v>
      </c>
    </row>
    <row r="54" spans="1:70" x14ac:dyDescent="0.25">
      <c r="A54" s="188" t="s">
        <v>268</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v>0</v>
      </c>
      <c r="AS54" s="188">
        <v>900998.31</v>
      </c>
      <c r="AT54" s="188">
        <v>0</v>
      </c>
      <c r="AU54" s="188">
        <v>-98880</v>
      </c>
      <c r="AV54" s="188">
        <v>0</v>
      </c>
      <c r="AW54" s="188">
        <v>0</v>
      </c>
      <c r="AX54" s="188">
        <v>0</v>
      </c>
      <c r="AY54" s="188">
        <v>0</v>
      </c>
      <c r="AZ54" s="188">
        <v>0</v>
      </c>
      <c r="BA54" s="188">
        <v>0</v>
      </c>
      <c r="BB54" s="188">
        <v>0</v>
      </c>
      <c r="BC54" s="188">
        <v>0</v>
      </c>
      <c r="BD54" s="188">
        <v>0</v>
      </c>
      <c r="BE54" s="188">
        <v>0</v>
      </c>
      <c r="BF54" s="188">
        <v>0</v>
      </c>
      <c r="BG54" s="188">
        <v>0</v>
      </c>
      <c r="BH54" s="188">
        <v>0</v>
      </c>
      <c r="BI54" s="188">
        <v>0</v>
      </c>
      <c r="BJ54" s="188">
        <v>0</v>
      </c>
      <c r="BK54" s="188">
        <v>0</v>
      </c>
      <c r="BL54" s="188">
        <v>0</v>
      </c>
      <c r="BM54" s="188">
        <v>0</v>
      </c>
      <c r="BN54" s="188">
        <v>0</v>
      </c>
      <c r="BO54" s="188">
        <v>0</v>
      </c>
      <c r="BP54" s="188">
        <v>0</v>
      </c>
      <c r="BQ54" s="188">
        <v>0</v>
      </c>
      <c r="BR54" s="188">
        <v>0</v>
      </c>
    </row>
    <row r="55" spans="1:70" x14ac:dyDescent="0.25">
      <c r="A55" s="188" t="s">
        <v>269</v>
      </c>
      <c r="B55" s="188">
        <v>0</v>
      </c>
      <c r="C55" s="188">
        <v>242363</v>
      </c>
      <c r="D55" s="188">
        <v>0</v>
      </c>
      <c r="E55" s="188">
        <v>3291895.5</v>
      </c>
      <c r="F55" s="188">
        <v>0</v>
      </c>
      <c r="G55" s="188">
        <v>115399.49</v>
      </c>
      <c r="H55" s="188">
        <v>0</v>
      </c>
      <c r="I55" s="188">
        <v>1869869.13</v>
      </c>
      <c r="J55" s="188">
        <v>0</v>
      </c>
      <c r="K55" s="188">
        <v>-43123.46</v>
      </c>
      <c r="L55" s="188">
        <v>0</v>
      </c>
      <c r="M55" s="188">
        <v>-17419.86</v>
      </c>
      <c r="N55" s="188">
        <v>0</v>
      </c>
      <c r="O55" s="188">
        <v>38556.61</v>
      </c>
      <c r="P55" s="188">
        <v>0</v>
      </c>
      <c r="Q55" s="188">
        <v>85119583.319999993</v>
      </c>
      <c r="R55" s="188">
        <v>0</v>
      </c>
      <c r="S55" s="188">
        <v>5620616.7999999998</v>
      </c>
      <c r="T55" s="188">
        <v>0</v>
      </c>
      <c r="U55" s="188">
        <v>8997287.1699999999</v>
      </c>
      <c r="V55" s="188">
        <v>0</v>
      </c>
      <c r="W55" s="188">
        <v>175182.81</v>
      </c>
      <c r="X55" s="188">
        <v>0</v>
      </c>
      <c r="Y55" s="188">
        <v>155718.82</v>
      </c>
      <c r="Z55" s="188">
        <v>0</v>
      </c>
      <c r="AA55" s="188">
        <v>84152.4</v>
      </c>
      <c r="AB55" s="188">
        <v>0</v>
      </c>
      <c r="AC55" s="188">
        <v>-888534.94</v>
      </c>
      <c r="AD55" s="188">
        <v>0</v>
      </c>
      <c r="AE55" s="188">
        <v>-886934.94</v>
      </c>
      <c r="AF55" s="188">
        <v>0</v>
      </c>
      <c r="AG55" s="188">
        <v>617857.77</v>
      </c>
      <c r="AH55" s="188">
        <v>0</v>
      </c>
      <c r="AI55" s="188">
        <v>561791.21</v>
      </c>
      <c r="AJ55" s="188">
        <v>0</v>
      </c>
      <c r="AK55" s="188">
        <v>227122.97</v>
      </c>
      <c r="AL55" s="188">
        <v>0</v>
      </c>
      <c r="AM55" s="188">
        <v>8880.69</v>
      </c>
      <c r="AN55" s="188">
        <v>0</v>
      </c>
      <c r="AO55" s="188">
        <v>3241808.24</v>
      </c>
      <c r="AP55" s="188">
        <v>0</v>
      </c>
      <c r="AQ55" s="188">
        <v>3118790.2</v>
      </c>
      <c r="AR55" s="188">
        <v>0</v>
      </c>
      <c r="AS55" s="188">
        <v>3146711.19</v>
      </c>
      <c r="AT55" s="188">
        <v>0</v>
      </c>
      <c r="AU55" s="188">
        <v>149474.44</v>
      </c>
      <c r="AV55" s="188">
        <v>0</v>
      </c>
      <c r="AW55" s="188">
        <v>0</v>
      </c>
      <c r="AX55" s="188">
        <v>0</v>
      </c>
      <c r="AY55" s="188">
        <v>0</v>
      </c>
      <c r="AZ55" s="188">
        <v>0</v>
      </c>
      <c r="BA55" s="188">
        <v>0</v>
      </c>
      <c r="BB55" s="188">
        <v>0</v>
      </c>
      <c r="BC55" s="188">
        <v>0</v>
      </c>
      <c r="BD55" s="188">
        <v>0</v>
      </c>
      <c r="BE55" s="188">
        <v>210396.99</v>
      </c>
      <c r="BF55" s="188">
        <v>627297.24</v>
      </c>
      <c r="BG55" s="188">
        <v>0</v>
      </c>
      <c r="BH55" s="188">
        <v>0</v>
      </c>
      <c r="BI55" s="188">
        <v>0</v>
      </c>
      <c r="BJ55" s="188">
        <v>8291.7099999999991</v>
      </c>
      <c r="BK55" s="188">
        <v>8291.7099999999991</v>
      </c>
      <c r="BL55" s="188">
        <v>7741.71</v>
      </c>
      <c r="BM55" s="188">
        <v>0</v>
      </c>
      <c r="BN55" s="188">
        <v>0</v>
      </c>
      <c r="BO55" s="188">
        <v>602996.92000000004</v>
      </c>
      <c r="BP55" s="188">
        <v>0</v>
      </c>
      <c r="BQ55" s="188">
        <v>216575</v>
      </c>
      <c r="BR55" s="188">
        <v>0</v>
      </c>
    </row>
    <row r="56" spans="1:70" x14ac:dyDescent="0.25">
      <c r="A56" s="188" t="s">
        <v>270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row>
    <row r="57" spans="1:70"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row>
    <row r="58" spans="1:70"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c r="BH58" s="188">
        <v>0</v>
      </c>
      <c r="BI58" s="188">
        <v>0</v>
      </c>
      <c r="BJ58" s="188">
        <v>0</v>
      </c>
      <c r="BK58" s="188">
        <v>0</v>
      </c>
      <c r="BL58" s="188">
        <v>0</v>
      </c>
      <c r="BM58" s="188">
        <v>0</v>
      </c>
      <c r="BN58" s="188">
        <v>0</v>
      </c>
      <c r="BO58" s="188">
        <v>0</v>
      </c>
      <c r="BP58" s="188">
        <v>0</v>
      </c>
      <c r="BQ58" s="188">
        <v>0</v>
      </c>
      <c r="BR58" s="188">
        <v>0</v>
      </c>
    </row>
    <row r="59" spans="1:70" x14ac:dyDescent="0.25">
      <c r="A59" s="188" t="s">
        <v>197</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-17474.78</v>
      </c>
      <c r="V59" s="188">
        <v>0</v>
      </c>
      <c r="W59" s="188">
        <v>-17473.89</v>
      </c>
      <c r="X59" s="188">
        <v>0</v>
      </c>
      <c r="Y59" s="188">
        <v>-89497.15</v>
      </c>
      <c r="Z59" s="188">
        <v>0</v>
      </c>
      <c r="AA59" s="188">
        <v>-43625.66</v>
      </c>
      <c r="AB59" s="188">
        <v>0</v>
      </c>
      <c r="AC59" s="188">
        <v>-102972.37</v>
      </c>
      <c r="AD59" s="188">
        <v>0</v>
      </c>
      <c r="AE59" s="188">
        <v>-50701.919999999998</v>
      </c>
      <c r="AF59" s="188">
        <v>0</v>
      </c>
      <c r="AG59" s="188">
        <v>-105801.61</v>
      </c>
      <c r="AH59" s="188">
        <v>0</v>
      </c>
      <c r="AI59" s="188">
        <v>-57275.29</v>
      </c>
      <c r="AJ59" s="188">
        <v>0</v>
      </c>
      <c r="AK59" s="188">
        <v>-158121.82</v>
      </c>
      <c r="AL59" s="188">
        <v>0</v>
      </c>
      <c r="AM59" s="188">
        <v>-601548.09</v>
      </c>
      <c r="AN59" s="188">
        <v>0</v>
      </c>
      <c r="AO59" s="188">
        <v>-761176.07</v>
      </c>
      <c r="AP59" s="188">
        <v>0</v>
      </c>
      <c r="AQ59" s="188">
        <v>-1310147.72</v>
      </c>
      <c r="AR59" s="188">
        <v>0</v>
      </c>
      <c r="AS59" s="188">
        <v>-2019007.08</v>
      </c>
      <c r="AT59" s="188">
        <v>0</v>
      </c>
      <c r="AU59" s="188">
        <v>1864264.06</v>
      </c>
      <c r="AV59" s="188">
        <v>0</v>
      </c>
      <c r="AW59" s="188">
        <v>-3977754.65</v>
      </c>
      <c r="AX59" s="188">
        <v>-2960704.31</v>
      </c>
      <c r="AY59" s="188">
        <v>453219.79</v>
      </c>
      <c r="AZ59" s="188">
        <v>-2819139.21</v>
      </c>
      <c r="BA59" s="188">
        <v>-32264593.949999999</v>
      </c>
      <c r="BB59" s="188">
        <v>-14225903.98</v>
      </c>
      <c r="BC59" s="188">
        <v>-8107880.4500000002</v>
      </c>
      <c r="BD59" s="188">
        <v>-3746924.02</v>
      </c>
      <c r="BE59" s="188">
        <v>-25348043.32</v>
      </c>
      <c r="BF59" s="188">
        <v>-22307046.379999999</v>
      </c>
      <c r="BG59" s="188">
        <v>-9958861.9700000007</v>
      </c>
      <c r="BH59" s="188">
        <v>-6747422.2300000004</v>
      </c>
      <c r="BI59" s="188">
        <v>-16050225.99</v>
      </c>
      <c r="BJ59" s="188">
        <v>-12123039.800000001</v>
      </c>
      <c r="BK59" s="188">
        <v>-4371087.49</v>
      </c>
      <c r="BL59" s="188">
        <v>-2188358.4300000002</v>
      </c>
      <c r="BM59" s="188">
        <v>-17318934.370000001</v>
      </c>
      <c r="BN59" s="188">
        <v>-11881729.68</v>
      </c>
      <c r="BO59" s="188">
        <v>-5661113.7599999998</v>
      </c>
      <c r="BP59" s="188">
        <v>0</v>
      </c>
      <c r="BQ59" s="188">
        <v>8118091</v>
      </c>
      <c r="BR59" s="188">
        <v>0</v>
      </c>
    </row>
    <row r="60" spans="1:70" x14ac:dyDescent="0.25">
      <c r="A60" s="188" t="s">
        <v>273</v>
      </c>
      <c r="B60" s="188">
        <v>0</v>
      </c>
      <c r="C60" s="188">
        <v>0</v>
      </c>
      <c r="D60" s="188">
        <v>0</v>
      </c>
      <c r="E60" s="188">
        <v>0</v>
      </c>
      <c r="F60" s="188">
        <v>0</v>
      </c>
      <c r="G60" s="188">
        <v>0</v>
      </c>
      <c r="H60" s="188">
        <v>0</v>
      </c>
      <c r="I60" s="188">
        <v>0</v>
      </c>
      <c r="J60" s="188">
        <v>0</v>
      </c>
      <c r="K60" s="188">
        <v>0</v>
      </c>
      <c r="L60" s="188">
        <v>0</v>
      </c>
      <c r="M60" s="188">
        <v>-3869276.9</v>
      </c>
      <c r="N60" s="188">
        <v>0</v>
      </c>
      <c r="O60" s="188">
        <v>-3342169.86</v>
      </c>
      <c r="P60" s="188">
        <v>0</v>
      </c>
      <c r="Q60" s="188">
        <v>-3095265.75</v>
      </c>
      <c r="R60" s="188">
        <v>0</v>
      </c>
      <c r="S60" s="188">
        <v>-3010000</v>
      </c>
      <c r="T60" s="188">
        <v>0</v>
      </c>
      <c r="U60" s="188">
        <v>-3010000</v>
      </c>
      <c r="V60" s="188">
        <v>0</v>
      </c>
      <c r="W60" s="188">
        <v>-3010000</v>
      </c>
      <c r="X60" s="188">
        <v>0</v>
      </c>
      <c r="Y60" s="188">
        <v>-3103250</v>
      </c>
      <c r="Z60" s="188">
        <v>0</v>
      </c>
      <c r="AA60" s="188">
        <v>-3103250</v>
      </c>
      <c r="AB60" s="188">
        <v>0</v>
      </c>
      <c r="AC60" s="188">
        <v>-3383000</v>
      </c>
      <c r="AD60" s="188">
        <v>0</v>
      </c>
      <c r="AE60" s="188">
        <v>-3196500</v>
      </c>
      <c r="AF60" s="188">
        <v>0</v>
      </c>
      <c r="AG60" s="188">
        <v>-469050</v>
      </c>
      <c r="AH60" s="188">
        <v>0</v>
      </c>
      <c r="AI60" s="188">
        <v>-282550</v>
      </c>
      <c r="AJ60" s="188">
        <v>0</v>
      </c>
      <c r="AK60" s="188">
        <v>-1209447.26</v>
      </c>
      <c r="AL60" s="188">
        <v>0</v>
      </c>
      <c r="AM60" s="188">
        <v>-734797.26</v>
      </c>
      <c r="AN60" s="188">
        <v>0</v>
      </c>
      <c r="AO60" s="188">
        <v>-1322250</v>
      </c>
      <c r="AP60" s="188">
        <v>0</v>
      </c>
      <c r="AQ60" s="188">
        <v>-720100</v>
      </c>
      <c r="AR60" s="188">
        <v>0</v>
      </c>
      <c r="AS60" s="188">
        <v>-1814950</v>
      </c>
      <c r="AT60" s="188">
        <v>0</v>
      </c>
      <c r="AU60" s="188">
        <v>-859950</v>
      </c>
      <c r="AV60" s="188">
        <v>0</v>
      </c>
      <c r="AW60" s="188">
        <v>-3012928.94</v>
      </c>
      <c r="AX60" s="188">
        <v>-144435.35999999999</v>
      </c>
      <c r="AY60" s="188">
        <v>-144435.35999999999</v>
      </c>
      <c r="AZ60" s="188">
        <v>0</v>
      </c>
      <c r="BA60" s="188">
        <v>-427953.6</v>
      </c>
      <c r="BB60" s="188">
        <v>-23718.23</v>
      </c>
      <c r="BC60" s="188">
        <v>-23718.23</v>
      </c>
      <c r="BD60" s="188">
        <v>187658.6</v>
      </c>
      <c r="BE60" s="188">
        <v>-315063.71000000002</v>
      </c>
      <c r="BF60" s="188">
        <v>0</v>
      </c>
      <c r="BG60" s="188">
        <v>0</v>
      </c>
      <c r="BH60" s="188">
        <v>0</v>
      </c>
      <c r="BI60" s="188">
        <v>0</v>
      </c>
      <c r="BJ60" s="188">
        <v>0</v>
      </c>
      <c r="BK60" s="188">
        <v>0</v>
      </c>
      <c r="BL60" s="188">
        <v>0</v>
      </c>
      <c r="BM60" s="188">
        <v>0</v>
      </c>
      <c r="BN60" s="188">
        <v>0</v>
      </c>
      <c r="BO60" s="188">
        <v>0</v>
      </c>
      <c r="BP60" s="188">
        <v>0</v>
      </c>
      <c r="BQ60" s="188">
        <v>0</v>
      </c>
      <c r="BR60" s="188">
        <v>0</v>
      </c>
    </row>
    <row r="61" spans="1:70" x14ac:dyDescent="0.25">
      <c r="A61" s="188" t="s">
        <v>274</v>
      </c>
      <c r="B61" s="188">
        <v>0</v>
      </c>
      <c r="C61" s="188">
        <v>185659083.63</v>
      </c>
      <c r="D61" s="188">
        <v>0</v>
      </c>
      <c r="E61" s="188">
        <v>343741758.91000003</v>
      </c>
      <c r="F61" s="188">
        <v>0</v>
      </c>
      <c r="G61" s="188">
        <v>-89908762.780000001</v>
      </c>
      <c r="H61" s="188">
        <v>0</v>
      </c>
      <c r="I61" s="188">
        <v>-590203046.53999996</v>
      </c>
      <c r="J61" s="188">
        <v>0</v>
      </c>
      <c r="K61" s="188">
        <v>260090725.31999999</v>
      </c>
      <c r="L61" s="188">
        <v>0</v>
      </c>
      <c r="M61" s="188">
        <v>-333734968.43000001</v>
      </c>
      <c r="N61" s="188">
        <v>0</v>
      </c>
      <c r="O61" s="188">
        <v>272887074.25999999</v>
      </c>
      <c r="P61" s="188">
        <v>0</v>
      </c>
      <c r="Q61" s="188">
        <v>3771418.94</v>
      </c>
      <c r="R61" s="188">
        <v>0</v>
      </c>
      <c r="S61" s="188">
        <v>-135000945.25999999</v>
      </c>
      <c r="T61" s="188">
        <v>0</v>
      </c>
      <c r="U61" s="188">
        <v>-181715611.33000001</v>
      </c>
      <c r="V61" s="188">
        <v>0</v>
      </c>
      <c r="W61" s="188">
        <v>340839344.95999998</v>
      </c>
      <c r="X61" s="188">
        <v>0</v>
      </c>
      <c r="Y61" s="188">
        <v>-141027962.78999999</v>
      </c>
      <c r="Z61" s="188">
        <v>0</v>
      </c>
      <c r="AA61" s="188">
        <v>120997885.90000001</v>
      </c>
      <c r="AB61" s="188">
        <v>0</v>
      </c>
      <c r="AC61" s="188">
        <v>-224191011.56</v>
      </c>
      <c r="AD61" s="188">
        <v>0</v>
      </c>
      <c r="AE61" s="188">
        <v>-5882723.6100000003</v>
      </c>
      <c r="AF61" s="188">
        <v>0</v>
      </c>
      <c r="AG61" s="188">
        <v>-53017136.829999998</v>
      </c>
      <c r="AH61" s="188">
        <v>0</v>
      </c>
      <c r="AI61" s="188">
        <v>59048587.619999997</v>
      </c>
      <c r="AJ61" s="188">
        <v>0</v>
      </c>
      <c r="AK61" s="188">
        <v>-48739824.600000001</v>
      </c>
      <c r="AL61" s="188">
        <v>0</v>
      </c>
      <c r="AM61" s="188">
        <v>82943236.900000006</v>
      </c>
      <c r="AN61" s="188">
        <v>0</v>
      </c>
      <c r="AO61" s="188">
        <v>-123831417.11</v>
      </c>
      <c r="AP61" s="188">
        <v>0</v>
      </c>
      <c r="AQ61" s="188">
        <v>3752810.71</v>
      </c>
      <c r="AR61" s="188">
        <v>0</v>
      </c>
      <c r="AS61" s="188">
        <v>117243937.53</v>
      </c>
      <c r="AT61" s="188">
        <v>0</v>
      </c>
      <c r="AU61" s="188">
        <v>14525569.27</v>
      </c>
      <c r="AV61" s="188">
        <v>0</v>
      </c>
      <c r="AW61" s="188">
        <v>0</v>
      </c>
      <c r="AX61" s="188">
        <v>0</v>
      </c>
      <c r="AY61" s="188">
        <v>0</v>
      </c>
      <c r="AZ61" s="188">
        <v>0</v>
      </c>
      <c r="BA61" s="188">
        <v>0</v>
      </c>
      <c r="BB61" s="188">
        <v>0</v>
      </c>
      <c r="BC61" s="188">
        <v>0</v>
      </c>
      <c r="BD61" s="188">
        <v>0</v>
      </c>
      <c r="BE61" s="188">
        <v>0</v>
      </c>
      <c r="BF61" s="188">
        <v>0</v>
      </c>
      <c r="BG61" s="188">
        <v>0</v>
      </c>
      <c r="BH61" s="188">
        <v>0</v>
      </c>
      <c r="BI61" s="188">
        <v>0</v>
      </c>
      <c r="BJ61" s="188">
        <v>0</v>
      </c>
      <c r="BK61" s="188">
        <v>0</v>
      </c>
      <c r="BL61" s="188">
        <v>0</v>
      </c>
      <c r="BM61" s="188">
        <v>0</v>
      </c>
      <c r="BN61" s="188">
        <v>0</v>
      </c>
      <c r="BO61" s="188">
        <v>0</v>
      </c>
      <c r="BP61" s="188">
        <v>0</v>
      </c>
      <c r="BQ61" s="188">
        <v>0</v>
      </c>
      <c r="BR61" s="188">
        <v>0</v>
      </c>
    </row>
    <row r="62" spans="1:70" x14ac:dyDescent="0.25">
      <c r="A62" s="188" t="s">
        <v>275</v>
      </c>
      <c r="B62" s="188">
        <v>0</v>
      </c>
      <c r="C62" s="188">
        <v>0</v>
      </c>
      <c r="D62" s="188">
        <v>0</v>
      </c>
      <c r="E62" s="188">
        <v>0</v>
      </c>
      <c r="F62" s="188">
        <v>0</v>
      </c>
      <c r="G62" s="188">
        <v>0</v>
      </c>
      <c r="H62" s="188">
        <v>0</v>
      </c>
      <c r="I62" s="188">
        <v>0</v>
      </c>
      <c r="J62" s="188">
        <v>0</v>
      </c>
      <c r="K62" s="188">
        <v>0</v>
      </c>
      <c r="L62" s="188">
        <v>0</v>
      </c>
      <c r="M62" s="188">
        <v>0</v>
      </c>
      <c r="N62" s="188">
        <v>0</v>
      </c>
      <c r="O62" s="188">
        <v>0</v>
      </c>
      <c r="P62" s="188">
        <v>0</v>
      </c>
      <c r="Q62" s="188">
        <v>0</v>
      </c>
      <c r="R62" s="188">
        <v>0</v>
      </c>
      <c r="S62" s="188">
        <v>0</v>
      </c>
      <c r="T62" s="188">
        <v>0</v>
      </c>
      <c r="U62" s="188">
        <v>0</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v>0</v>
      </c>
      <c r="BM62" s="188">
        <v>0</v>
      </c>
      <c r="BN62" s="188">
        <v>-1649389.62</v>
      </c>
      <c r="BO62" s="188">
        <v>0</v>
      </c>
      <c r="BP62" s="188">
        <v>0</v>
      </c>
      <c r="BQ62" s="188">
        <v>0</v>
      </c>
      <c r="BR62" s="188">
        <v>0</v>
      </c>
    </row>
    <row r="63" spans="1:70" x14ac:dyDescent="0.25">
      <c r="A63" s="188" t="s">
        <v>276</v>
      </c>
      <c r="B63" s="188">
        <v>0</v>
      </c>
      <c r="C63" s="188">
        <v>-29870127.149999999</v>
      </c>
      <c r="D63" s="188">
        <v>0</v>
      </c>
      <c r="E63" s="188">
        <v>-1435229550.9100001</v>
      </c>
      <c r="F63" s="188">
        <v>0</v>
      </c>
      <c r="G63" s="188">
        <v>-228058581.49000001</v>
      </c>
      <c r="H63" s="188">
        <v>0</v>
      </c>
      <c r="I63" s="188">
        <v>-2608954802.8499999</v>
      </c>
      <c r="J63" s="188">
        <v>0</v>
      </c>
      <c r="K63" s="188">
        <v>-431629401.95999998</v>
      </c>
      <c r="L63" s="188">
        <v>0</v>
      </c>
      <c r="M63" s="188">
        <v>-3030932654.8499999</v>
      </c>
      <c r="N63" s="188">
        <v>0</v>
      </c>
      <c r="O63" s="188">
        <v>-1301708263.3699999</v>
      </c>
      <c r="P63" s="188">
        <v>0</v>
      </c>
      <c r="Q63" s="188">
        <v>-3145554128.8200002</v>
      </c>
      <c r="R63" s="188">
        <v>0</v>
      </c>
      <c r="S63" s="188">
        <v>-1403844283.6199999</v>
      </c>
      <c r="T63" s="188">
        <v>0</v>
      </c>
      <c r="U63" s="188">
        <v>-2171082645.6100001</v>
      </c>
      <c r="V63" s="188">
        <v>0</v>
      </c>
      <c r="W63" s="188">
        <v>-673293858.29999995</v>
      </c>
      <c r="X63" s="188">
        <v>0</v>
      </c>
      <c r="Y63" s="188">
        <v>-2478610040.5599999</v>
      </c>
      <c r="Z63" s="188">
        <v>0</v>
      </c>
      <c r="AA63" s="188">
        <v>-586716939.80999994</v>
      </c>
      <c r="AB63" s="188">
        <v>0</v>
      </c>
      <c r="AC63" s="188">
        <v>-1612991469.4400001</v>
      </c>
      <c r="AD63" s="188">
        <v>0</v>
      </c>
      <c r="AE63" s="188">
        <v>-341487204.91000003</v>
      </c>
      <c r="AF63" s="188">
        <v>0</v>
      </c>
      <c r="AG63" s="188">
        <v>-1381879643.0599999</v>
      </c>
      <c r="AH63" s="188">
        <v>0</v>
      </c>
      <c r="AI63" s="188">
        <v>-303082490.22000003</v>
      </c>
      <c r="AJ63" s="188">
        <v>0</v>
      </c>
      <c r="AK63" s="188">
        <v>-1077678627.03</v>
      </c>
      <c r="AL63" s="188">
        <v>0</v>
      </c>
      <c r="AM63" s="188">
        <v>-141652769.31999999</v>
      </c>
      <c r="AN63" s="188">
        <v>0</v>
      </c>
      <c r="AO63" s="188">
        <v>-809748865.40999997</v>
      </c>
      <c r="AP63" s="188">
        <v>0</v>
      </c>
      <c r="AQ63" s="188">
        <v>-138655736.41999999</v>
      </c>
      <c r="AR63" s="188">
        <v>0</v>
      </c>
      <c r="AS63" s="188">
        <v>-323901731.39999998</v>
      </c>
      <c r="AT63" s="188">
        <v>0</v>
      </c>
      <c r="AU63" s="188">
        <v>-139118319.88999999</v>
      </c>
      <c r="AV63" s="188">
        <v>0</v>
      </c>
      <c r="AW63" s="188">
        <v>-101199764.44</v>
      </c>
      <c r="AX63" s="188">
        <v>-22958058.309999999</v>
      </c>
      <c r="AY63" s="188">
        <v>5269726.93</v>
      </c>
      <c r="AZ63" s="188">
        <v>59104895.240000002</v>
      </c>
      <c r="BA63" s="188">
        <v>-166808430.13</v>
      </c>
      <c r="BB63" s="188">
        <v>9748865.6600000001</v>
      </c>
      <c r="BC63" s="188">
        <v>25559734.649999999</v>
      </c>
      <c r="BD63" s="188">
        <v>53328812.759999998</v>
      </c>
      <c r="BE63" s="188">
        <v>-478734574.06</v>
      </c>
      <c r="BF63" s="188">
        <v>-301491174.80000001</v>
      </c>
      <c r="BG63" s="188">
        <v>-103549319.19</v>
      </c>
      <c r="BH63" s="188">
        <v>-64313445.969999999</v>
      </c>
      <c r="BI63" s="188">
        <v>-138394032.53</v>
      </c>
      <c r="BJ63" s="188">
        <v>-125743547.61</v>
      </c>
      <c r="BK63" s="188">
        <v>-112299075.68000001</v>
      </c>
      <c r="BL63" s="188">
        <v>46630996.520000003</v>
      </c>
      <c r="BM63" s="188">
        <v>-290243761.70999998</v>
      </c>
      <c r="BN63" s="188">
        <v>-223373984.80000001</v>
      </c>
      <c r="BO63" s="188">
        <v>-274782350.81</v>
      </c>
      <c r="BP63" s="188">
        <v>0</v>
      </c>
      <c r="BQ63" s="188">
        <v>-88931716</v>
      </c>
      <c r="BR63" s="188">
        <v>0</v>
      </c>
    </row>
    <row r="64" spans="1:70" x14ac:dyDescent="0.25">
      <c r="A64" s="188" t="s">
        <v>277</v>
      </c>
      <c r="B64" s="188">
        <v>0</v>
      </c>
      <c r="C64" s="188">
        <v>346854127.88999999</v>
      </c>
      <c r="D64" s="188">
        <v>0</v>
      </c>
      <c r="E64" s="188">
        <v>-458728523.99000001</v>
      </c>
      <c r="F64" s="188">
        <v>0</v>
      </c>
      <c r="G64" s="188">
        <v>-867196197.21000004</v>
      </c>
      <c r="H64" s="188">
        <v>0</v>
      </c>
      <c r="I64" s="188">
        <v>7669650565.8400002</v>
      </c>
      <c r="J64" s="188">
        <v>0</v>
      </c>
      <c r="K64" s="188">
        <v>2009494366.98</v>
      </c>
      <c r="L64" s="188">
        <v>0</v>
      </c>
      <c r="M64" s="188">
        <v>-6705177839.3400002</v>
      </c>
      <c r="N64" s="188">
        <v>0</v>
      </c>
      <c r="O64" s="188">
        <v>-2133980381.4100001</v>
      </c>
      <c r="P64" s="188">
        <v>0</v>
      </c>
      <c r="Q64" s="188">
        <v>-1517982420.5599999</v>
      </c>
      <c r="R64" s="188">
        <v>0</v>
      </c>
      <c r="S64" s="188">
        <v>11051404.51</v>
      </c>
      <c r="T64" s="188">
        <v>0</v>
      </c>
      <c r="U64" s="188">
        <v>-63379598.189999998</v>
      </c>
      <c r="V64" s="188">
        <v>0</v>
      </c>
      <c r="W64" s="188">
        <v>82035839.959999993</v>
      </c>
      <c r="X64" s="188">
        <v>0</v>
      </c>
      <c r="Y64" s="188">
        <v>-64889789.579999998</v>
      </c>
      <c r="Z64" s="188">
        <v>0</v>
      </c>
      <c r="AA64" s="188">
        <v>-195513684.44999999</v>
      </c>
      <c r="AB64" s="188">
        <v>0</v>
      </c>
      <c r="AC64" s="188">
        <v>-148673263.19999999</v>
      </c>
      <c r="AD64" s="188">
        <v>0</v>
      </c>
      <c r="AE64" s="188">
        <v>-8014324.8799999999</v>
      </c>
      <c r="AF64" s="188">
        <v>0</v>
      </c>
      <c r="AG64" s="188">
        <v>231534141.13</v>
      </c>
      <c r="AH64" s="188">
        <v>0</v>
      </c>
      <c r="AI64" s="188">
        <v>215808858.63999999</v>
      </c>
      <c r="AJ64" s="188">
        <v>0</v>
      </c>
      <c r="AK64" s="188">
        <v>-671596539.44000006</v>
      </c>
      <c r="AL64" s="188">
        <v>0</v>
      </c>
      <c r="AM64" s="188">
        <v>-133667894.11</v>
      </c>
      <c r="AN64" s="188">
        <v>0</v>
      </c>
      <c r="AO64" s="188">
        <v>-94515474.359999999</v>
      </c>
      <c r="AP64" s="188">
        <v>0</v>
      </c>
      <c r="AQ64" s="188">
        <v>3332575.91</v>
      </c>
      <c r="AR64" s="188">
        <v>0</v>
      </c>
      <c r="AS64" s="188">
        <v>71616599.290000007</v>
      </c>
      <c r="AT64" s="188">
        <v>0</v>
      </c>
      <c r="AU64" s="188">
        <v>-29402802.809999999</v>
      </c>
      <c r="AV64" s="188">
        <v>0</v>
      </c>
      <c r="AW64" s="188">
        <v>-45784689.460000001</v>
      </c>
      <c r="AX64" s="188">
        <v>-46409210.600000001</v>
      </c>
      <c r="AY64" s="188">
        <v>9089548.3000000007</v>
      </c>
      <c r="AZ64" s="188">
        <v>61337918.350000001</v>
      </c>
      <c r="BA64" s="188">
        <v>-86411335</v>
      </c>
      <c r="BB64" s="188">
        <v>-82831092.430000007</v>
      </c>
      <c r="BC64" s="188">
        <v>-30390522.329999998</v>
      </c>
      <c r="BD64" s="188">
        <v>-37039192.299999997</v>
      </c>
      <c r="BE64" s="188">
        <v>-55960435.450000003</v>
      </c>
      <c r="BF64" s="188">
        <v>-93010654.280000001</v>
      </c>
      <c r="BG64" s="188">
        <v>-37056787.130000003</v>
      </c>
      <c r="BH64" s="188">
        <v>6273634.7300000004</v>
      </c>
      <c r="BI64" s="188">
        <v>-65987645.460000001</v>
      </c>
      <c r="BJ64" s="188">
        <v>-55287599.170000002</v>
      </c>
      <c r="BK64" s="188">
        <v>80674002.530000001</v>
      </c>
      <c r="BL64" s="188">
        <v>16140256.75</v>
      </c>
      <c r="BM64" s="188">
        <v>-81069660.290000007</v>
      </c>
      <c r="BN64" s="188">
        <v>-136438439.78999999</v>
      </c>
      <c r="BO64" s="188">
        <v>-57514907.57</v>
      </c>
      <c r="BP64" s="188">
        <v>0</v>
      </c>
      <c r="BQ64" s="188">
        <v>286093006</v>
      </c>
      <c r="BR64" s="188">
        <v>0</v>
      </c>
    </row>
    <row r="65" spans="1:70" x14ac:dyDescent="0.25">
      <c r="A65" s="188" t="s">
        <v>278</v>
      </c>
      <c r="B65" s="188">
        <v>0</v>
      </c>
      <c r="C65" s="188">
        <v>-279582618</v>
      </c>
      <c r="D65" s="188">
        <v>0</v>
      </c>
      <c r="E65" s="188">
        <v>-6424243568.6199999</v>
      </c>
      <c r="F65" s="188">
        <v>0</v>
      </c>
      <c r="G65" s="188">
        <v>-4482364865.3699999</v>
      </c>
      <c r="H65" s="188">
        <v>0</v>
      </c>
      <c r="I65" s="188">
        <v>14101721783.17</v>
      </c>
      <c r="J65" s="188">
        <v>0</v>
      </c>
      <c r="K65" s="188">
        <v>1919900746.3299999</v>
      </c>
      <c r="L65" s="188">
        <v>0</v>
      </c>
      <c r="M65" s="188">
        <v>10207469291.540001</v>
      </c>
      <c r="N65" s="188">
        <v>0</v>
      </c>
      <c r="O65" s="188">
        <v>-712663897.14999998</v>
      </c>
      <c r="P65" s="188">
        <v>0</v>
      </c>
      <c r="Q65" s="188">
        <v>183659033.09999999</v>
      </c>
      <c r="R65" s="188">
        <v>0</v>
      </c>
      <c r="S65" s="188">
        <v>-2212381044.9699998</v>
      </c>
      <c r="T65" s="188">
        <v>0</v>
      </c>
      <c r="U65" s="188">
        <v>-1453960453.1800001</v>
      </c>
      <c r="V65" s="188">
        <v>0</v>
      </c>
      <c r="W65" s="188">
        <v>-2417882200.6999998</v>
      </c>
      <c r="X65" s="188">
        <v>0</v>
      </c>
      <c r="Y65" s="188">
        <v>162643655.75</v>
      </c>
      <c r="Z65" s="188">
        <v>0</v>
      </c>
      <c r="AA65" s="188">
        <v>-2434973254.9299998</v>
      </c>
      <c r="AB65" s="188">
        <v>0</v>
      </c>
      <c r="AC65" s="188">
        <v>2542863248.1700001</v>
      </c>
      <c r="AD65" s="188">
        <v>0</v>
      </c>
      <c r="AE65" s="188">
        <v>357217270.44999999</v>
      </c>
      <c r="AF65" s="188">
        <v>0</v>
      </c>
      <c r="AG65" s="188">
        <v>1782531765.03</v>
      </c>
      <c r="AH65" s="188">
        <v>0</v>
      </c>
      <c r="AI65" s="188">
        <v>-1613622895.03</v>
      </c>
      <c r="AJ65" s="188">
        <v>0</v>
      </c>
      <c r="AK65" s="188">
        <v>1262936413.96</v>
      </c>
      <c r="AL65" s="188">
        <v>0</v>
      </c>
      <c r="AM65" s="188">
        <v>-2286898259.0599999</v>
      </c>
      <c r="AN65" s="188">
        <v>0</v>
      </c>
      <c r="AO65" s="188">
        <v>2108564947.74</v>
      </c>
      <c r="AP65" s="188">
        <v>0</v>
      </c>
      <c r="AQ65" s="188">
        <v>-804204946.49000001</v>
      </c>
      <c r="AR65" s="188">
        <v>0</v>
      </c>
      <c r="AS65" s="188">
        <v>-1265396867.9400001</v>
      </c>
      <c r="AT65" s="188">
        <v>0</v>
      </c>
      <c r="AU65" s="188">
        <v>-114079764.15000001</v>
      </c>
      <c r="AV65" s="188">
        <v>0</v>
      </c>
      <c r="AW65" s="188">
        <v>587303605.69000006</v>
      </c>
      <c r="AX65" s="188">
        <v>447257943.26999998</v>
      </c>
      <c r="AY65" s="188">
        <v>-97220238.280000001</v>
      </c>
      <c r="AZ65" s="188">
        <v>-431268983.50999999</v>
      </c>
      <c r="BA65" s="188">
        <v>739535163.91999996</v>
      </c>
      <c r="BB65" s="188">
        <v>180779657.61000001</v>
      </c>
      <c r="BC65" s="188">
        <v>-119581813.95999999</v>
      </c>
      <c r="BD65" s="188">
        <v>-222974212.28999999</v>
      </c>
      <c r="BE65" s="188">
        <v>611487337.72000003</v>
      </c>
      <c r="BF65" s="188">
        <v>108602758.23</v>
      </c>
      <c r="BG65" s="188">
        <v>-326694844.04000002</v>
      </c>
      <c r="BH65" s="188">
        <v>-443826421.5</v>
      </c>
      <c r="BI65" s="188">
        <v>486448732.68000001</v>
      </c>
      <c r="BJ65" s="188">
        <v>145640158.97</v>
      </c>
      <c r="BK65" s="188">
        <v>-332427872.82999998</v>
      </c>
      <c r="BL65" s="188">
        <v>-308344721.63</v>
      </c>
      <c r="BM65" s="188">
        <v>382940470.94999999</v>
      </c>
      <c r="BN65" s="188">
        <v>-110592312.08</v>
      </c>
      <c r="BO65" s="188">
        <v>20581850.370000001</v>
      </c>
      <c r="BP65" s="188">
        <v>0</v>
      </c>
      <c r="BQ65" s="188">
        <v>-90345288</v>
      </c>
      <c r="BR65" s="188">
        <v>0</v>
      </c>
    </row>
    <row r="66" spans="1:70"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row>
    <row r="67" spans="1:70"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c r="BH67" s="188">
        <v>0</v>
      </c>
      <c r="BI67" s="188">
        <v>0</v>
      </c>
      <c r="BJ67" s="188">
        <v>0</v>
      </c>
      <c r="BK67" s="188">
        <v>0</v>
      </c>
      <c r="BL67" s="188">
        <v>0</v>
      </c>
      <c r="BM67" s="188">
        <v>0</v>
      </c>
      <c r="BN67" s="188">
        <v>0</v>
      </c>
      <c r="BO67" s="188">
        <v>0</v>
      </c>
      <c r="BP67" s="188">
        <v>0</v>
      </c>
      <c r="BQ67" s="188">
        <v>0</v>
      </c>
      <c r="BR67" s="188">
        <v>0</v>
      </c>
    </row>
    <row r="68" spans="1:70" x14ac:dyDescent="0.25">
      <c r="A68" s="188" t="s">
        <v>281</v>
      </c>
      <c r="B68" s="188">
        <v>0</v>
      </c>
      <c r="C68" s="188">
        <v>0</v>
      </c>
      <c r="D68" s="188">
        <v>0</v>
      </c>
      <c r="E68" s="188">
        <v>0</v>
      </c>
      <c r="F68" s="188">
        <v>0</v>
      </c>
      <c r="G68" s="188">
        <v>0</v>
      </c>
      <c r="H68" s="188">
        <v>0</v>
      </c>
      <c r="I68" s="188">
        <v>0</v>
      </c>
      <c r="J68" s="188">
        <v>0</v>
      </c>
      <c r="K68" s="188">
        <v>0</v>
      </c>
      <c r="L68" s="188">
        <v>0</v>
      </c>
      <c r="M68" s="188">
        <v>0</v>
      </c>
      <c r="N68" s="188">
        <v>0</v>
      </c>
      <c r="O68" s="188">
        <v>0</v>
      </c>
      <c r="P68" s="188">
        <v>0</v>
      </c>
      <c r="Q68" s="188">
        <v>0</v>
      </c>
      <c r="R68" s="188">
        <v>0</v>
      </c>
      <c r="S68" s="188">
        <v>0</v>
      </c>
      <c r="T68" s="188">
        <v>0</v>
      </c>
      <c r="U68" s="188">
        <v>0</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0</v>
      </c>
      <c r="BB68" s="188">
        <v>0</v>
      </c>
      <c r="BC68" s="188">
        <v>0</v>
      </c>
      <c r="BD68" s="188">
        <v>0</v>
      </c>
      <c r="BE68" s="188">
        <v>0</v>
      </c>
      <c r="BF68" s="188">
        <v>0</v>
      </c>
      <c r="BG68" s="188">
        <v>0</v>
      </c>
      <c r="BH68" s="188">
        <v>0</v>
      </c>
      <c r="BI68" s="188">
        <v>0</v>
      </c>
      <c r="BJ68" s="188">
        <v>15311966.220000001</v>
      </c>
      <c r="BK68" s="188">
        <v>9965227.2300000004</v>
      </c>
      <c r="BL68" s="188">
        <v>7514662.2400000002</v>
      </c>
      <c r="BM68" s="188">
        <v>15787449.41</v>
      </c>
      <c r="BN68" s="188">
        <v>8079397.9800000004</v>
      </c>
      <c r="BO68" s="188">
        <v>13655501.960000001</v>
      </c>
      <c r="BP68" s="188">
        <v>0</v>
      </c>
      <c r="BQ68" s="188">
        <v>0</v>
      </c>
      <c r="BR68" s="188">
        <v>0</v>
      </c>
    </row>
    <row r="69" spans="1:70" x14ac:dyDescent="0.25">
      <c r="A69" s="188" t="s">
        <v>282</v>
      </c>
      <c r="B69" s="188">
        <v>0</v>
      </c>
      <c r="C69" s="188">
        <v>17735030962.189999</v>
      </c>
      <c r="D69" s="188">
        <v>0</v>
      </c>
      <c r="E69" s="188">
        <v>22153036084.130001</v>
      </c>
      <c r="F69" s="188">
        <v>0</v>
      </c>
      <c r="G69" s="188">
        <v>6935360410.3599997</v>
      </c>
      <c r="H69" s="188">
        <v>0</v>
      </c>
      <c r="I69" s="188">
        <v>37451249647.050003</v>
      </c>
      <c r="J69" s="188">
        <v>0</v>
      </c>
      <c r="K69" s="188">
        <v>13603962283.99</v>
      </c>
      <c r="L69" s="188">
        <v>0</v>
      </c>
      <c r="M69" s="188">
        <v>17436340141.720001</v>
      </c>
      <c r="N69" s="188">
        <v>0</v>
      </c>
      <c r="O69" s="188">
        <v>4901688343.2799997</v>
      </c>
      <c r="P69" s="188">
        <v>0</v>
      </c>
      <c r="Q69" s="188">
        <v>12632522436.6</v>
      </c>
      <c r="R69" s="188">
        <v>0</v>
      </c>
      <c r="S69" s="188">
        <v>4288743348.5</v>
      </c>
      <c r="T69" s="188">
        <v>0</v>
      </c>
      <c r="U69" s="188">
        <v>12655024861.92</v>
      </c>
      <c r="V69" s="188">
        <v>0</v>
      </c>
      <c r="W69" s="188">
        <v>5215024506.9099998</v>
      </c>
      <c r="X69" s="188">
        <v>0</v>
      </c>
      <c r="Y69" s="188">
        <v>11921310609.25</v>
      </c>
      <c r="Z69" s="188">
        <v>0</v>
      </c>
      <c r="AA69" s="188">
        <v>4459709495.3299999</v>
      </c>
      <c r="AB69" s="188">
        <v>0</v>
      </c>
      <c r="AC69" s="188">
        <v>10148564689.530001</v>
      </c>
      <c r="AD69" s="188">
        <v>0</v>
      </c>
      <c r="AE69" s="188">
        <v>5327897835.0799999</v>
      </c>
      <c r="AF69" s="188">
        <v>0</v>
      </c>
      <c r="AG69" s="188">
        <v>6201476519.5699997</v>
      </c>
      <c r="AH69" s="188">
        <v>0</v>
      </c>
      <c r="AI69" s="188">
        <v>1766383110.55</v>
      </c>
      <c r="AJ69" s="188">
        <v>0</v>
      </c>
      <c r="AK69" s="188">
        <v>4223937144.1900001</v>
      </c>
      <c r="AL69" s="188">
        <v>0</v>
      </c>
      <c r="AM69" s="188">
        <v>548187840.42999995</v>
      </c>
      <c r="AN69" s="188">
        <v>0</v>
      </c>
      <c r="AO69" s="188">
        <v>5247488535.7399998</v>
      </c>
      <c r="AP69" s="188">
        <v>0</v>
      </c>
      <c r="AQ69" s="188">
        <v>1495681406.98</v>
      </c>
      <c r="AR69" s="188">
        <v>0</v>
      </c>
      <c r="AS69" s="188">
        <v>1743303211.3800001</v>
      </c>
      <c r="AT69" s="188">
        <v>0</v>
      </c>
      <c r="AU69" s="188">
        <v>685813057.54999995</v>
      </c>
      <c r="AV69" s="188">
        <v>0</v>
      </c>
      <c r="AW69" s="188">
        <v>2105171033.6900001</v>
      </c>
      <c r="AX69" s="188">
        <v>1490129273.8</v>
      </c>
      <c r="AY69" s="188">
        <v>594871612.89999998</v>
      </c>
      <c r="AZ69" s="188">
        <v>222204247.83000001</v>
      </c>
      <c r="BA69" s="188">
        <v>1693707488.3199999</v>
      </c>
      <c r="BB69" s="188">
        <v>883720092.28999996</v>
      </c>
      <c r="BC69" s="188">
        <v>436604511.29000002</v>
      </c>
      <c r="BD69" s="188">
        <v>242281053.09999999</v>
      </c>
      <c r="BE69" s="188">
        <v>975784480.20000005</v>
      </c>
      <c r="BF69" s="188">
        <v>372675167.5</v>
      </c>
      <c r="BG69" s="188">
        <v>-37984534.130000003</v>
      </c>
      <c r="BH69" s="188">
        <v>-181383371.87</v>
      </c>
      <c r="BI69" s="188">
        <v>941706242.08000004</v>
      </c>
      <c r="BJ69" s="188">
        <v>439378758.54000002</v>
      </c>
      <c r="BK69" s="188">
        <v>-33965937.280000001</v>
      </c>
      <c r="BL69" s="188">
        <v>9112186.6699999999</v>
      </c>
      <c r="BM69" s="188">
        <v>434582378.66000003</v>
      </c>
      <c r="BN69" s="188">
        <v>-180120845.05000001</v>
      </c>
      <c r="BO69" s="188">
        <v>42283037.350000001</v>
      </c>
      <c r="BP69" s="188">
        <v>-86280877.689999998</v>
      </c>
      <c r="BQ69" s="188">
        <v>443124645</v>
      </c>
      <c r="BR69" s="188">
        <v>0</v>
      </c>
    </row>
    <row r="70" spans="1:70"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c r="BF70" s="188">
        <v>0</v>
      </c>
      <c r="BG70" s="188">
        <v>0</v>
      </c>
      <c r="BH70" s="188">
        <v>0</v>
      </c>
      <c r="BI70" s="188">
        <v>0</v>
      </c>
      <c r="BJ70" s="188">
        <v>0</v>
      </c>
      <c r="BK70" s="188">
        <v>0</v>
      </c>
      <c r="BL70" s="188">
        <v>0</v>
      </c>
      <c r="BM70" s="188">
        <v>0</v>
      </c>
      <c r="BN70" s="188">
        <v>0</v>
      </c>
      <c r="BO70" s="188">
        <v>0</v>
      </c>
      <c r="BP70" s="188">
        <v>0</v>
      </c>
      <c r="BQ70" s="188">
        <v>0</v>
      </c>
      <c r="BR70" s="188">
        <v>0</v>
      </c>
    </row>
    <row r="71" spans="1:70"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c r="BF71" s="188">
        <v>0</v>
      </c>
      <c r="BG71" s="188">
        <v>0</v>
      </c>
      <c r="BH71" s="188">
        <v>0</v>
      </c>
      <c r="BI71" s="188">
        <v>0</v>
      </c>
      <c r="BJ71" s="188">
        <v>0</v>
      </c>
      <c r="BK71" s="188">
        <v>0</v>
      </c>
      <c r="BL71" s="188">
        <v>0</v>
      </c>
      <c r="BM71" s="188">
        <v>0</v>
      </c>
      <c r="BN71" s="188">
        <v>0</v>
      </c>
      <c r="BO71" s="188">
        <v>0</v>
      </c>
      <c r="BP71" s="188">
        <v>0</v>
      </c>
      <c r="BQ71" s="188">
        <v>0</v>
      </c>
      <c r="BR71" s="188">
        <v>0</v>
      </c>
    </row>
    <row r="72" spans="1:70" x14ac:dyDescent="0.25">
      <c r="A72" s="188" t="s">
        <v>285</v>
      </c>
      <c r="B72" s="188">
        <v>0</v>
      </c>
      <c r="C72" s="188">
        <v>0</v>
      </c>
      <c r="D72" s="188">
        <v>0</v>
      </c>
      <c r="E72" s="188">
        <v>0</v>
      </c>
      <c r="F72" s="188">
        <v>0</v>
      </c>
      <c r="G72" s="188">
        <v>0</v>
      </c>
      <c r="H72" s="188">
        <v>0</v>
      </c>
      <c r="I72" s="188">
        <v>0</v>
      </c>
      <c r="J72" s="188">
        <v>0</v>
      </c>
      <c r="K72" s="188">
        <v>0</v>
      </c>
      <c r="L72" s="188">
        <v>0</v>
      </c>
      <c r="M72" s="188">
        <v>0</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c r="BF72" s="188">
        <v>0</v>
      </c>
      <c r="BG72" s="188">
        <v>0</v>
      </c>
      <c r="BH72" s="188">
        <v>0</v>
      </c>
      <c r="BI72" s="188">
        <v>0</v>
      </c>
      <c r="BJ72" s="188">
        <v>0</v>
      </c>
      <c r="BK72" s="188">
        <v>0</v>
      </c>
      <c r="BL72" s="188">
        <v>0</v>
      </c>
      <c r="BM72" s="188">
        <v>0</v>
      </c>
      <c r="BN72" s="188">
        <v>0</v>
      </c>
      <c r="BO72" s="188">
        <v>0</v>
      </c>
      <c r="BP72" s="188">
        <v>0</v>
      </c>
      <c r="BQ72" s="188">
        <v>0</v>
      </c>
      <c r="BR72" s="188">
        <v>0</v>
      </c>
    </row>
    <row r="73" spans="1:70" x14ac:dyDescent="0.25">
      <c r="A73" s="188" t="s">
        <v>286</v>
      </c>
      <c r="B73" s="188">
        <v>0</v>
      </c>
      <c r="C73" s="188">
        <v>78068393291.940002</v>
      </c>
      <c r="D73" s="188">
        <v>0</v>
      </c>
      <c r="E73" s="188">
        <v>74928080750.580002</v>
      </c>
      <c r="F73" s="188">
        <v>0</v>
      </c>
      <c r="G73" s="188">
        <v>68895534979.479996</v>
      </c>
      <c r="H73" s="188">
        <v>0</v>
      </c>
      <c r="I73" s="188">
        <v>62794794812.989998</v>
      </c>
      <c r="J73" s="188">
        <v>0</v>
      </c>
      <c r="K73" s="188">
        <v>44545959043.720001</v>
      </c>
      <c r="L73" s="188">
        <v>0</v>
      </c>
      <c r="M73" s="188">
        <v>34780485904.57</v>
      </c>
      <c r="N73" s="188">
        <v>0</v>
      </c>
      <c r="O73" s="188">
        <v>28556899090.610001</v>
      </c>
      <c r="P73" s="188">
        <v>0</v>
      </c>
      <c r="Q73" s="188">
        <v>24997229197.759998</v>
      </c>
      <c r="R73" s="188">
        <v>0</v>
      </c>
      <c r="S73" s="188">
        <v>18176338585.07</v>
      </c>
      <c r="T73" s="188">
        <v>0</v>
      </c>
      <c r="U73" s="188">
        <v>21991742237.669998</v>
      </c>
      <c r="V73" s="188">
        <v>0</v>
      </c>
      <c r="W73" s="188">
        <v>18105047230.099998</v>
      </c>
      <c r="X73" s="188">
        <v>0</v>
      </c>
      <c r="Y73" s="188">
        <v>22061999850.169998</v>
      </c>
      <c r="Z73" s="188">
        <v>0</v>
      </c>
      <c r="AA73" s="188">
        <v>20981859110.759998</v>
      </c>
      <c r="AB73" s="188">
        <v>0</v>
      </c>
      <c r="AC73" s="188">
        <v>18254690162.040001</v>
      </c>
      <c r="AD73" s="188">
        <v>0</v>
      </c>
      <c r="AE73" s="188">
        <v>17291687378.52</v>
      </c>
      <c r="AF73" s="188">
        <v>15998489422.76</v>
      </c>
      <c r="AG73" s="188">
        <v>12888393889.290001</v>
      </c>
      <c r="AH73" s="188">
        <v>11026669577.42</v>
      </c>
      <c r="AI73" s="188">
        <v>10268861587.440001</v>
      </c>
      <c r="AJ73" s="188">
        <v>9980435183.5699997</v>
      </c>
      <c r="AK73" s="188">
        <v>9743152155.2399998</v>
      </c>
      <c r="AL73" s="188">
        <v>7895280562.8000002</v>
      </c>
      <c r="AM73" s="188">
        <v>7795808371.21</v>
      </c>
      <c r="AN73" s="188">
        <v>7662321131.3000002</v>
      </c>
      <c r="AO73" s="188">
        <v>8093721891.1599998</v>
      </c>
      <c r="AP73" s="188">
        <v>6402015794.54</v>
      </c>
      <c r="AQ73" s="188">
        <v>5065871830.8000002</v>
      </c>
      <c r="AR73" s="188">
        <v>5564443319.29</v>
      </c>
      <c r="AS73" s="188">
        <v>4722706300.0200005</v>
      </c>
      <c r="AT73" s="188">
        <v>4753385536.3500004</v>
      </c>
      <c r="AU73" s="188">
        <v>4809865056.1599998</v>
      </c>
      <c r="AV73" s="188">
        <v>1878268439.97</v>
      </c>
      <c r="AW73" s="188">
        <v>4463098038.6400003</v>
      </c>
      <c r="AX73" s="188">
        <v>4083907788.3400002</v>
      </c>
      <c r="AY73" s="188">
        <v>3419099920.6599998</v>
      </c>
      <c r="AZ73" s="188">
        <v>3975708186.8800001</v>
      </c>
      <c r="BA73" s="188">
        <v>3891989433.5300002</v>
      </c>
      <c r="BB73" s="188">
        <v>3217007276.75</v>
      </c>
      <c r="BC73" s="188">
        <v>3065214770.1900001</v>
      </c>
      <c r="BD73" s="188">
        <v>3024925341.3800001</v>
      </c>
      <c r="BE73" s="188">
        <v>2898327418.8499999</v>
      </c>
      <c r="BF73" s="188">
        <v>2419288966.46</v>
      </c>
      <c r="BG73" s="188">
        <v>2172790156.5900002</v>
      </c>
      <c r="BH73" s="188">
        <v>2091330580.1099999</v>
      </c>
      <c r="BI73" s="188">
        <v>2340045386.8499999</v>
      </c>
      <c r="BJ73" s="188">
        <v>1868792963.71</v>
      </c>
      <c r="BK73" s="188">
        <v>1536249315.6400001</v>
      </c>
      <c r="BL73" s="188">
        <v>1684957738.5599999</v>
      </c>
      <c r="BM73" s="188">
        <v>1780307690.6400001</v>
      </c>
      <c r="BN73" s="188">
        <v>1513800289.8299999</v>
      </c>
      <c r="BO73" s="188">
        <v>1956436570.0999999</v>
      </c>
      <c r="BP73" s="188">
        <v>0</v>
      </c>
      <c r="BQ73" s="188">
        <v>460983583.45999998</v>
      </c>
      <c r="BR73" s="188">
        <v>0</v>
      </c>
    </row>
    <row r="74" spans="1:70" x14ac:dyDescent="0.25">
      <c r="A74" s="188" t="s">
        <v>287</v>
      </c>
      <c r="B74" s="188">
        <v>0</v>
      </c>
      <c r="C74" s="188">
        <v>74928080750.580002</v>
      </c>
      <c r="D74" s="188">
        <v>0</v>
      </c>
      <c r="E74" s="188">
        <v>62794794812.989998</v>
      </c>
      <c r="F74" s="188">
        <v>0</v>
      </c>
      <c r="G74" s="188">
        <v>62794794812.989998</v>
      </c>
      <c r="H74" s="188">
        <v>0</v>
      </c>
      <c r="I74" s="188">
        <v>34780485904.57</v>
      </c>
      <c r="J74" s="188">
        <v>0</v>
      </c>
      <c r="K74" s="188">
        <v>34780485904.57</v>
      </c>
      <c r="L74" s="188">
        <v>0</v>
      </c>
      <c r="M74" s="188">
        <v>24997229197.759998</v>
      </c>
      <c r="N74" s="188">
        <v>0</v>
      </c>
      <c r="O74" s="188">
        <v>24997229197.759998</v>
      </c>
      <c r="P74" s="188">
        <v>0</v>
      </c>
      <c r="Q74" s="188">
        <v>21991742237.669998</v>
      </c>
      <c r="R74" s="188">
        <v>0</v>
      </c>
      <c r="S74" s="188">
        <v>21991742237.669998</v>
      </c>
      <c r="T74" s="188">
        <v>0</v>
      </c>
      <c r="U74" s="188">
        <v>22061999850.169998</v>
      </c>
      <c r="V74" s="188">
        <v>0</v>
      </c>
      <c r="W74" s="188">
        <v>22061999850.169998</v>
      </c>
      <c r="X74" s="188">
        <v>0</v>
      </c>
      <c r="Y74" s="188">
        <v>18254690162.040001</v>
      </c>
      <c r="Z74" s="188">
        <v>0</v>
      </c>
      <c r="AA74" s="188">
        <v>18254690162.040001</v>
      </c>
      <c r="AB74" s="188">
        <v>0</v>
      </c>
      <c r="AC74" s="188">
        <v>12888393889.290001</v>
      </c>
      <c r="AD74" s="188">
        <v>0</v>
      </c>
      <c r="AE74" s="188">
        <v>12888393889.290001</v>
      </c>
      <c r="AF74" s="188">
        <v>12888393889.290001</v>
      </c>
      <c r="AG74" s="188">
        <v>9743152155.2399998</v>
      </c>
      <c r="AH74" s="188">
        <v>9743152155.2399998</v>
      </c>
      <c r="AI74" s="188">
        <v>9743152155.2399998</v>
      </c>
      <c r="AJ74" s="188">
        <v>9743152155.2399998</v>
      </c>
      <c r="AK74" s="188">
        <v>8093721891.1599998</v>
      </c>
      <c r="AL74" s="188">
        <v>8093721891.1599998</v>
      </c>
      <c r="AM74" s="188">
        <v>8093721891.1599998</v>
      </c>
      <c r="AN74" s="188">
        <v>8093721891.1599998</v>
      </c>
      <c r="AO74" s="188">
        <v>4722706300.0200005</v>
      </c>
      <c r="AP74" s="188">
        <v>4722706300.0200005</v>
      </c>
      <c r="AQ74" s="188">
        <v>4722706300.0200005</v>
      </c>
      <c r="AR74" s="188">
        <v>4722706300.0200005</v>
      </c>
      <c r="AS74" s="188">
        <v>4474221148.3299999</v>
      </c>
      <c r="AT74" s="188">
        <v>4474221148.3299999</v>
      </c>
      <c r="AU74" s="188">
        <v>4474221148.3299999</v>
      </c>
      <c r="AV74" s="188">
        <v>1697004107.01</v>
      </c>
      <c r="AW74" s="188">
        <v>3891989433.5300002</v>
      </c>
      <c r="AX74" s="188">
        <v>3891989433.5300002</v>
      </c>
      <c r="AY74" s="188">
        <v>3891989433.5300002</v>
      </c>
      <c r="AZ74" s="188">
        <v>3891989433.5300002</v>
      </c>
      <c r="BA74" s="188">
        <v>2898327418.8499999</v>
      </c>
      <c r="BB74" s="188">
        <v>2898327418.8499999</v>
      </c>
      <c r="BC74" s="188">
        <v>2898327418.8499999</v>
      </c>
      <c r="BD74" s="188">
        <v>2898327418.8499999</v>
      </c>
      <c r="BE74" s="188">
        <v>2340047386.8499999</v>
      </c>
      <c r="BF74" s="188">
        <v>2340047386.8499999</v>
      </c>
      <c r="BG74" s="188">
        <v>2340047386.8499999</v>
      </c>
      <c r="BH74" s="188">
        <v>2340258782.8499999</v>
      </c>
      <c r="BI74" s="188">
        <v>1780307690.6400001</v>
      </c>
      <c r="BJ74" s="188">
        <v>1780307690.6400001</v>
      </c>
      <c r="BK74" s="188">
        <v>1780307690.6400001</v>
      </c>
      <c r="BL74" s="188">
        <v>1780307690.6400001</v>
      </c>
      <c r="BM74" s="188">
        <v>1956436570.0999999</v>
      </c>
      <c r="BN74" s="188">
        <v>1956436570.0999999</v>
      </c>
      <c r="BO74" s="188">
        <v>460983583.45999998</v>
      </c>
      <c r="BP74" s="188">
        <v>0</v>
      </c>
      <c r="BQ74" s="188">
        <v>198390615.12</v>
      </c>
      <c r="BR74" s="188">
        <v>0</v>
      </c>
    </row>
    <row r="75" spans="1:70"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row>
    <row r="76" spans="1:70"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row>
    <row r="77" spans="1:70" x14ac:dyDescent="0.25">
      <c r="A77" s="188" t="s">
        <v>290</v>
      </c>
      <c r="B77" s="188">
        <v>0</v>
      </c>
      <c r="C77" s="188">
        <v>3140312541.3600001</v>
      </c>
      <c r="D77" s="188">
        <v>0</v>
      </c>
      <c r="E77" s="188">
        <v>12133285937.59</v>
      </c>
      <c r="F77" s="188">
        <v>0</v>
      </c>
      <c r="G77" s="188">
        <v>6100740166.4899998</v>
      </c>
      <c r="H77" s="188">
        <v>0</v>
      </c>
      <c r="I77" s="188">
        <v>28014308908.419998</v>
      </c>
      <c r="J77" s="188">
        <v>0</v>
      </c>
      <c r="K77" s="188">
        <v>9765473139.1499996</v>
      </c>
      <c r="L77" s="188">
        <v>0</v>
      </c>
      <c r="M77" s="188">
        <v>9783256706.8099995</v>
      </c>
      <c r="N77" s="188">
        <v>0</v>
      </c>
      <c r="O77" s="188">
        <v>3559669892.8499999</v>
      </c>
      <c r="P77" s="188">
        <v>0</v>
      </c>
      <c r="Q77" s="188">
        <v>3005486960.0900002</v>
      </c>
      <c r="R77" s="188">
        <v>0</v>
      </c>
      <c r="S77" s="188">
        <v>-3815403652.5999999</v>
      </c>
      <c r="T77" s="188">
        <v>0</v>
      </c>
      <c r="U77" s="188">
        <v>-70257612.5</v>
      </c>
      <c r="V77" s="188">
        <v>0</v>
      </c>
      <c r="W77" s="188">
        <v>-3956952620.0700002</v>
      </c>
      <c r="X77" s="188">
        <v>0</v>
      </c>
      <c r="Y77" s="188">
        <v>3807309688.1300001</v>
      </c>
      <c r="Z77" s="188">
        <v>0</v>
      </c>
      <c r="AA77" s="188">
        <v>2727168948.7199998</v>
      </c>
      <c r="AB77" s="188">
        <v>0</v>
      </c>
      <c r="AC77" s="188">
        <v>5366296272.75</v>
      </c>
      <c r="AD77" s="188">
        <v>0</v>
      </c>
      <c r="AE77" s="188">
        <v>4403293489.2299995</v>
      </c>
      <c r="AF77" s="188">
        <v>3110095533.4699998</v>
      </c>
      <c r="AG77" s="188">
        <v>3145241734.0500002</v>
      </c>
      <c r="AH77" s="188">
        <v>1283517422.1800001</v>
      </c>
      <c r="AI77" s="188">
        <v>525709432.19999999</v>
      </c>
      <c r="AJ77" s="188">
        <v>237283028.33000001</v>
      </c>
      <c r="AK77" s="188">
        <v>1649430264.0799999</v>
      </c>
      <c r="AL77" s="188">
        <v>-198441328.36000001</v>
      </c>
      <c r="AM77" s="188">
        <v>-297913519.94999999</v>
      </c>
      <c r="AN77" s="188">
        <v>-431400759.86000001</v>
      </c>
      <c r="AO77" s="188">
        <v>3371015591.1399999</v>
      </c>
      <c r="AP77" s="188">
        <v>1679309494.52</v>
      </c>
      <c r="AQ77" s="188">
        <v>343165530.77999997</v>
      </c>
      <c r="AR77" s="188">
        <v>841737019.26999998</v>
      </c>
      <c r="AS77" s="188">
        <v>248485151.69</v>
      </c>
      <c r="AT77" s="188">
        <v>279164388.01999998</v>
      </c>
      <c r="AU77" s="188">
        <v>335643907.82999998</v>
      </c>
      <c r="AV77" s="188">
        <v>181264332.96000001</v>
      </c>
      <c r="AW77" s="188">
        <v>571108605.11000001</v>
      </c>
      <c r="AX77" s="188">
        <v>191918354.81</v>
      </c>
      <c r="AY77" s="188">
        <v>-472889512.87</v>
      </c>
      <c r="AZ77" s="188">
        <v>83718753.349999994</v>
      </c>
      <c r="BA77" s="188">
        <v>993662014.67999995</v>
      </c>
      <c r="BB77" s="188">
        <v>318679857.89999998</v>
      </c>
      <c r="BC77" s="188">
        <v>166887351.34</v>
      </c>
      <c r="BD77" s="188">
        <v>126597922.53</v>
      </c>
      <c r="BE77" s="188">
        <v>558280032</v>
      </c>
      <c r="BF77" s="188">
        <v>79241579.609999999</v>
      </c>
      <c r="BG77" s="188">
        <v>-167257230.25999999</v>
      </c>
      <c r="BH77" s="188">
        <v>-248928202.74000001</v>
      </c>
      <c r="BI77" s="188">
        <v>559739696.21000004</v>
      </c>
      <c r="BJ77" s="188">
        <v>88485273.069999993</v>
      </c>
      <c r="BK77" s="188">
        <v>-244058375</v>
      </c>
      <c r="BL77" s="188">
        <v>-95349952.079999998</v>
      </c>
      <c r="BM77" s="188">
        <v>-176128879.46000001</v>
      </c>
      <c r="BN77" s="188">
        <v>-442636280.26999998</v>
      </c>
      <c r="BO77" s="188">
        <v>1495452986.6400001</v>
      </c>
      <c r="BP77" s="188">
        <v>0</v>
      </c>
      <c r="BQ77" s="188">
        <v>262592968.34</v>
      </c>
      <c r="BR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1.5546875" hidden="1" customWidth="1"/>
    <col min="5" max="5" width="21.5546875" bestFit="1" customWidth="1"/>
    <col min="6" max="6" width="21.5546875" hidden="1" customWidth="1"/>
    <col min="7"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4" width="19.33203125" hidden="1" customWidth="1"/>
    <col min="45" max="45" width="19.33203125" bestFit="1" customWidth="1"/>
    <col min="46" max="48" width="19.33203125" hidden="1" customWidth="1"/>
    <col min="49" max="49" width="20.44140625" bestFit="1" customWidth="1"/>
    <col min="50" max="50" width="20.44140625" hidden="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 hidden="1" customWidth="1"/>
    <col min="71" max="73" width="19" bestFit="1" customWidth="1"/>
    <col min="74" max="74" width="9.5546875" hidden="1" customWidth="1"/>
    <col min="7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600519</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20040331</v>
      </c>
      <c r="BI1" s="188">
        <v>20031231</v>
      </c>
      <c r="BJ1" s="188">
        <v>20030930</v>
      </c>
      <c r="BK1" s="188">
        <v>20030630</v>
      </c>
      <c r="BL1" s="188">
        <v>20030331</v>
      </c>
      <c r="BM1" s="188">
        <v>20021231</v>
      </c>
      <c r="BN1" s="188">
        <v>20020930</v>
      </c>
      <c r="BO1" s="188">
        <v>20020630</v>
      </c>
      <c r="BP1" s="188">
        <v>20020331</v>
      </c>
      <c r="BQ1" s="188">
        <v>20011231</v>
      </c>
      <c r="BR1" s="188">
        <v>20010630</v>
      </c>
      <c r="BS1" s="188">
        <v>20001231</v>
      </c>
      <c r="BT1" s="188">
        <v>19991231</v>
      </c>
      <c r="BU1" s="188">
        <v>19981231</v>
      </c>
      <c r="BV1" s="188">
        <v>19700101</v>
      </c>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100750857255.34</v>
      </c>
      <c r="C4" s="188">
        <v>83660170568.710007</v>
      </c>
      <c r="D4" s="188">
        <v>87211373700.729996</v>
      </c>
      <c r="E4" s="188">
        <v>87868869913.339996</v>
      </c>
      <c r="F4" s="188">
        <v>80964678997.119995</v>
      </c>
      <c r="G4" s="188">
        <v>73635347053.149994</v>
      </c>
      <c r="H4" s="188">
        <v>72708333794.740005</v>
      </c>
      <c r="I4" s="188">
        <v>66854962118.220001</v>
      </c>
      <c r="J4" s="188">
        <v>61999742903.470001</v>
      </c>
      <c r="K4" s="188">
        <v>47528057097.449997</v>
      </c>
      <c r="L4" s="188">
        <v>43775736151.699997</v>
      </c>
      <c r="M4" s="188">
        <v>36800749895.059998</v>
      </c>
      <c r="N4" s="188">
        <v>30536117619.709999</v>
      </c>
      <c r="O4" s="188">
        <v>30236504717.380001</v>
      </c>
      <c r="P4" s="188">
        <v>28420683403.889999</v>
      </c>
      <c r="Q4" s="188">
        <v>27710717680.209999</v>
      </c>
      <c r="R4" s="188">
        <v>22795906975.310001</v>
      </c>
      <c r="S4" s="188">
        <v>21095077301.209999</v>
      </c>
      <c r="T4" s="188">
        <v>23364071644.09</v>
      </c>
      <c r="U4" s="188">
        <v>25185009331.68</v>
      </c>
      <c r="V4" s="188">
        <v>22011372945.09</v>
      </c>
      <c r="W4" s="188">
        <v>18274962102.509998</v>
      </c>
      <c r="X4" s="188">
        <v>21735234696.970001</v>
      </c>
      <c r="Y4" s="188">
        <v>22061999850.169998</v>
      </c>
      <c r="Z4" s="188">
        <v>18690032974.060001</v>
      </c>
      <c r="AA4" s="188">
        <v>20981859110.759998</v>
      </c>
      <c r="AB4" s="188">
        <v>18851427038.66</v>
      </c>
      <c r="AC4" s="188">
        <v>18254690162.040001</v>
      </c>
      <c r="AD4" s="188">
        <v>18288326258.07</v>
      </c>
      <c r="AE4" s="188">
        <v>17291687378.52</v>
      </c>
      <c r="AF4" s="188">
        <v>15998489422.76</v>
      </c>
      <c r="AG4" s="188">
        <v>12888393889.290001</v>
      </c>
      <c r="AH4" s="188">
        <v>11026669577.42</v>
      </c>
      <c r="AI4" s="188">
        <v>10268861587.440001</v>
      </c>
      <c r="AJ4" s="188">
        <v>9980435183.5699997</v>
      </c>
      <c r="AK4" s="188">
        <v>9743152155.2399998</v>
      </c>
      <c r="AL4" s="188">
        <v>7895280562.8000002</v>
      </c>
      <c r="AM4" s="188">
        <v>7795808371.21</v>
      </c>
      <c r="AN4" s="188">
        <v>7662321131.3000002</v>
      </c>
      <c r="AO4" s="188">
        <v>8093721891.1599998</v>
      </c>
      <c r="AP4" s="188">
        <v>6402015794.54</v>
      </c>
      <c r="AQ4" s="188">
        <v>5065871830.8000002</v>
      </c>
      <c r="AR4" s="188">
        <v>5564443319.29</v>
      </c>
      <c r="AS4" s="188">
        <v>4722706300.0200005</v>
      </c>
      <c r="AT4" s="188">
        <v>4753385536.3500004</v>
      </c>
      <c r="AU4" s="188">
        <v>4809865056.1599998</v>
      </c>
      <c r="AV4" s="188">
        <v>4655485481.29</v>
      </c>
      <c r="AW4" s="188">
        <v>4463098038.6400003</v>
      </c>
      <c r="AX4" s="188">
        <v>4083907788.3400002</v>
      </c>
      <c r="AY4" s="188">
        <v>3419099920.6599998</v>
      </c>
      <c r="AZ4" s="188">
        <v>3975708186.8800001</v>
      </c>
      <c r="BA4" s="188">
        <v>3891989433.5300002</v>
      </c>
      <c r="BB4" s="188">
        <v>3217007276.75</v>
      </c>
      <c r="BC4" s="188">
        <v>3065214770.1900001</v>
      </c>
      <c r="BD4" s="188">
        <v>3024925341.3800001</v>
      </c>
      <c r="BE4" s="188">
        <v>2898327418.8499999</v>
      </c>
      <c r="BF4" s="188">
        <v>2419288966.46</v>
      </c>
      <c r="BG4" s="188">
        <v>2172790156.5900002</v>
      </c>
      <c r="BH4" s="188">
        <v>2091330580.1099999</v>
      </c>
      <c r="BI4" s="188">
        <v>2340047386.8499999</v>
      </c>
      <c r="BJ4" s="188">
        <v>1868792963.71</v>
      </c>
      <c r="BK4" s="188">
        <v>1536249315.6400001</v>
      </c>
      <c r="BL4" s="188">
        <v>1684957738.5599999</v>
      </c>
      <c r="BM4" s="188">
        <v>1780307690.6400001</v>
      </c>
      <c r="BN4" s="188">
        <v>1677224920.04</v>
      </c>
      <c r="BO4" s="188">
        <v>1513800289.8299999</v>
      </c>
      <c r="BP4" s="188">
        <v>1877929846.0899999</v>
      </c>
      <c r="BQ4" s="188">
        <v>1956436570.0999999</v>
      </c>
      <c r="BR4" s="188">
        <v>336439213.5</v>
      </c>
      <c r="BS4" s="188">
        <v>460983583.45999998</v>
      </c>
      <c r="BT4" s="188">
        <v>198390615.12</v>
      </c>
      <c r="BU4" s="188">
        <v>124765368.73999999</v>
      </c>
      <c r="BV4" s="188">
        <v>0</v>
      </c>
      <c r="BW4" s="188"/>
      <c r="BX4" s="188"/>
      <c r="BY4" s="188"/>
      <c r="BZ4" s="188"/>
      <c r="CA4" s="188"/>
      <c r="CB4" s="188"/>
      <c r="CC4" s="188"/>
      <c r="CD4" s="188"/>
      <c r="CE4" s="188"/>
      <c r="CF4" s="188"/>
      <c r="CG4" s="188"/>
      <c r="CH4" s="188"/>
      <c r="CI4" s="188"/>
      <c r="CJ4" s="188"/>
      <c r="CK4" s="188"/>
      <c r="CL4" s="188"/>
    </row>
    <row r="5" spans="1:90" x14ac:dyDescent="0.25">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0</v>
      </c>
      <c r="T5" s="188">
        <v>0</v>
      </c>
      <c r="U5" s="188">
        <v>0</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v>0</v>
      </c>
      <c r="BI5" s="188">
        <v>0</v>
      </c>
      <c r="BJ5" s="188">
        <v>0</v>
      </c>
      <c r="BK5" s="188">
        <v>0</v>
      </c>
      <c r="BL5" s="188">
        <v>0</v>
      </c>
      <c r="BM5" s="188">
        <v>0</v>
      </c>
      <c r="BN5" s="188">
        <v>0</v>
      </c>
      <c r="BO5" s="188">
        <v>0</v>
      </c>
      <c r="BP5" s="188">
        <v>0</v>
      </c>
      <c r="BQ5" s="188">
        <v>0</v>
      </c>
      <c r="BR5" s="188">
        <v>0</v>
      </c>
      <c r="BS5" s="188">
        <v>0</v>
      </c>
      <c r="BT5" s="188">
        <v>0</v>
      </c>
      <c r="BU5" s="188">
        <v>0</v>
      </c>
      <c r="BV5" s="188">
        <v>0</v>
      </c>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v>0</v>
      </c>
      <c r="BI6" s="188">
        <v>0</v>
      </c>
      <c r="BJ6" s="188">
        <v>0</v>
      </c>
      <c r="BK6" s="188">
        <v>0</v>
      </c>
      <c r="BL6" s="188">
        <v>0</v>
      </c>
      <c r="BM6" s="188">
        <v>0</v>
      </c>
      <c r="BN6" s="188">
        <v>0</v>
      </c>
      <c r="BO6" s="188">
        <v>0</v>
      </c>
      <c r="BP6" s="188">
        <v>0</v>
      </c>
      <c r="BQ6" s="188">
        <v>0</v>
      </c>
      <c r="BR6" s="188">
        <v>0</v>
      </c>
      <c r="BS6" s="188">
        <v>0</v>
      </c>
      <c r="BT6" s="188">
        <v>0</v>
      </c>
      <c r="BU6" s="188">
        <v>0</v>
      </c>
      <c r="BV6" s="188">
        <v>0</v>
      </c>
      <c r="BW6" s="188"/>
      <c r="BX6" s="188"/>
      <c r="BY6" s="188"/>
      <c r="BZ6" s="188"/>
      <c r="CA6" s="188"/>
      <c r="CB6" s="188"/>
      <c r="CC6" s="188"/>
      <c r="CD6" s="188"/>
      <c r="CE6" s="188"/>
      <c r="CF6" s="188"/>
      <c r="CG6" s="188"/>
      <c r="CH6" s="188"/>
      <c r="CI6" s="188"/>
      <c r="CJ6" s="188"/>
      <c r="CK6" s="188"/>
      <c r="CL6" s="188"/>
    </row>
    <row r="7" spans="1:90" x14ac:dyDescent="0.25">
      <c r="A7" s="17" t="s">
        <v>4</v>
      </c>
      <c r="B7" s="188">
        <v>42900000</v>
      </c>
      <c r="C7" s="188">
        <v>42900000</v>
      </c>
      <c r="D7" s="188">
        <v>25593750</v>
      </c>
      <c r="E7" s="188">
        <v>33150000</v>
      </c>
      <c r="F7" s="188">
        <v>29250000</v>
      </c>
      <c r="G7" s="188">
        <v>224250000</v>
      </c>
      <c r="H7" s="188">
        <v>242701246.38</v>
      </c>
      <c r="I7" s="188">
        <v>60833517.030000001</v>
      </c>
      <c r="J7" s="188">
        <v>169872720.99000001</v>
      </c>
      <c r="K7" s="188">
        <v>171638439.88999999</v>
      </c>
      <c r="L7" s="188">
        <v>136500000</v>
      </c>
      <c r="M7" s="188">
        <v>19500000</v>
      </c>
      <c r="N7" s="188">
        <v>21060000</v>
      </c>
      <c r="O7" s="188">
        <v>30810000</v>
      </c>
      <c r="P7" s="188">
        <v>30810000</v>
      </c>
      <c r="Q7" s="188">
        <v>30810000</v>
      </c>
      <c r="R7" s="188">
        <v>9850000</v>
      </c>
      <c r="S7" s="188">
        <v>0</v>
      </c>
      <c r="T7" s="188">
        <v>16596250</v>
      </c>
      <c r="U7" s="188">
        <v>90527500</v>
      </c>
      <c r="V7" s="188">
        <v>24750000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v>0</v>
      </c>
      <c r="BI7" s="188">
        <v>0</v>
      </c>
      <c r="BJ7" s="188">
        <v>0</v>
      </c>
      <c r="BK7" s="188">
        <v>0</v>
      </c>
      <c r="BL7" s="188">
        <v>0</v>
      </c>
      <c r="BM7" s="188">
        <v>0</v>
      </c>
      <c r="BN7" s="188">
        <v>0</v>
      </c>
      <c r="BO7" s="188">
        <v>0</v>
      </c>
      <c r="BP7" s="188">
        <v>0</v>
      </c>
      <c r="BQ7" s="188">
        <v>0</v>
      </c>
      <c r="BR7" s="188">
        <v>0</v>
      </c>
      <c r="BS7" s="188">
        <v>0</v>
      </c>
      <c r="BT7" s="188">
        <v>0</v>
      </c>
      <c r="BU7" s="188">
        <v>0</v>
      </c>
      <c r="BV7" s="188">
        <v>0</v>
      </c>
      <c r="BW7" s="188"/>
      <c r="BX7" s="188"/>
      <c r="BY7" s="188"/>
      <c r="BZ7" s="188"/>
      <c r="CA7" s="188"/>
      <c r="CB7" s="188"/>
      <c r="CC7" s="188"/>
      <c r="CD7" s="188"/>
      <c r="CE7" s="188"/>
      <c r="CF7" s="188"/>
      <c r="CG7" s="188"/>
      <c r="CH7" s="188"/>
      <c r="CI7" s="188"/>
      <c r="CJ7" s="188"/>
      <c r="CK7" s="188"/>
      <c r="CL7" s="188"/>
    </row>
    <row r="8" spans="1:90" x14ac:dyDescent="0.25">
      <c r="A8" s="17" t="s">
        <v>5</v>
      </c>
      <c r="B8" s="188">
        <v>29000000</v>
      </c>
      <c r="C8" s="188">
        <v>29000000</v>
      </c>
      <c r="D8" s="188">
        <v>29000000</v>
      </c>
      <c r="E8" s="188">
        <v>29000000</v>
      </c>
      <c r="F8" s="188">
        <v>29000000</v>
      </c>
      <c r="G8" s="188">
        <v>29000000</v>
      </c>
      <c r="H8" s="188">
        <v>29000000</v>
      </c>
      <c r="I8" s="188">
        <v>29000000</v>
      </c>
      <c r="J8" s="188">
        <v>29000000</v>
      </c>
      <c r="K8" s="188">
        <v>29000000</v>
      </c>
      <c r="L8" s="188">
        <v>29000000</v>
      </c>
      <c r="M8" s="188">
        <v>29000000</v>
      </c>
      <c r="N8" s="188">
        <v>29000000</v>
      </c>
      <c r="O8" s="188">
        <v>29000000</v>
      </c>
      <c r="P8" s="188">
        <v>4000000</v>
      </c>
      <c r="Q8" s="188">
        <v>4000000</v>
      </c>
      <c r="R8" s="188">
        <v>4000000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v>0</v>
      </c>
      <c r="BI8" s="188">
        <v>0</v>
      </c>
      <c r="BJ8" s="188">
        <v>0</v>
      </c>
      <c r="BK8" s="188">
        <v>0</v>
      </c>
      <c r="BL8" s="188">
        <v>0</v>
      </c>
      <c r="BM8" s="188">
        <v>0</v>
      </c>
      <c r="BN8" s="188">
        <v>0</v>
      </c>
      <c r="BO8" s="188">
        <v>0</v>
      </c>
      <c r="BP8" s="188">
        <v>0</v>
      </c>
      <c r="BQ8" s="188">
        <v>0</v>
      </c>
      <c r="BR8" s="188">
        <v>0</v>
      </c>
      <c r="BS8" s="188">
        <v>0</v>
      </c>
      <c r="BT8" s="188">
        <v>0</v>
      </c>
      <c r="BU8" s="188">
        <v>0</v>
      </c>
      <c r="BV8" s="188">
        <v>0</v>
      </c>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50000000</v>
      </c>
      <c r="P9" s="188">
        <v>50000000</v>
      </c>
      <c r="Q9" s="188">
        <v>60000000</v>
      </c>
      <c r="R9" s="188">
        <v>65000000</v>
      </c>
      <c r="S9" s="188">
        <v>65000000</v>
      </c>
      <c r="T9" s="188">
        <v>50000000</v>
      </c>
      <c r="U9" s="188">
        <v>50000000</v>
      </c>
      <c r="V9" s="188">
        <v>50000000</v>
      </c>
      <c r="W9" s="188">
        <v>50000000</v>
      </c>
      <c r="X9" s="188">
        <v>50000000</v>
      </c>
      <c r="Y9" s="188">
        <v>50000000</v>
      </c>
      <c r="Z9" s="188">
        <v>50000000</v>
      </c>
      <c r="AA9" s="188">
        <v>50000000</v>
      </c>
      <c r="AB9" s="188">
        <v>50000000</v>
      </c>
      <c r="AC9" s="188">
        <v>60000000</v>
      </c>
      <c r="AD9" s="188">
        <v>60000000</v>
      </c>
      <c r="AE9" s="188">
        <v>60000000</v>
      </c>
      <c r="AF9" s="188">
        <v>60000000</v>
      </c>
      <c r="AG9" s="188">
        <v>60000000</v>
      </c>
      <c r="AH9" s="188">
        <v>60000000</v>
      </c>
      <c r="AI9" s="188">
        <v>60000000</v>
      </c>
      <c r="AJ9" s="188">
        <v>10000000</v>
      </c>
      <c r="AK9" s="188">
        <v>10000000</v>
      </c>
      <c r="AL9" s="188">
        <v>27000000</v>
      </c>
      <c r="AM9" s="188">
        <v>27000000</v>
      </c>
      <c r="AN9" s="188">
        <v>52000000</v>
      </c>
      <c r="AO9" s="188">
        <v>42000000</v>
      </c>
      <c r="AP9" s="188">
        <v>37000000</v>
      </c>
      <c r="AQ9" s="188">
        <v>37000000</v>
      </c>
      <c r="AR9" s="188">
        <v>37000000</v>
      </c>
      <c r="AS9" s="188">
        <v>58000000</v>
      </c>
      <c r="AT9" s="188">
        <v>58000000</v>
      </c>
      <c r="AU9" s="188">
        <v>58000000</v>
      </c>
      <c r="AV9" s="188">
        <v>59769450</v>
      </c>
      <c r="AW9" s="188">
        <v>42769450</v>
      </c>
      <c r="AX9" s="188">
        <v>0</v>
      </c>
      <c r="AY9" s="188">
        <v>0</v>
      </c>
      <c r="AZ9" s="188">
        <v>0</v>
      </c>
      <c r="BA9" s="188">
        <v>0</v>
      </c>
      <c r="BB9" s="188">
        <v>0</v>
      </c>
      <c r="BC9" s="188">
        <v>0</v>
      </c>
      <c r="BD9" s="188">
        <v>0</v>
      </c>
      <c r="BE9" s="188">
        <v>0</v>
      </c>
      <c r="BF9" s="188">
        <v>0</v>
      </c>
      <c r="BG9" s="188">
        <v>0</v>
      </c>
      <c r="BH9" s="188">
        <v>0</v>
      </c>
      <c r="BI9" s="188">
        <v>0</v>
      </c>
      <c r="BJ9" s="188">
        <v>0</v>
      </c>
      <c r="BK9" s="188">
        <v>0</v>
      </c>
      <c r="BL9" s="188">
        <v>0</v>
      </c>
      <c r="BM9" s="188">
        <v>0</v>
      </c>
      <c r="BN9" s="188">
        <v>0</v>
      </c>
      <c r="BO9" s="188">
        <v>0</v>
      </c>
      <c r="BP9" s="188">
        <v>0</v>
      </c>
      <c r="BQ9" s="188">
        <v>0</v>
      </c>
      <c r="BR9" s="188">
        <v>0</v>
      </c>
      <c r="BS9" s="188">
        <v>0</v>
      </c>
      <c r="BT9" s="188">
        <v>0</v>
      </c>
      <c r="BU9" s="188">
        <v>0</v>
      </c>
      <c r="BV9" s="188">
        <v>0</v>
      </c>
      <c r="BW9" s="188"/>
      <c r="BX9" s="188"/>
      <c r="BY9" s="188"/>
      <c r="BZ9" s="188"/>
      <c r="CA9" s="188"/>
      <c r="CB9" s="188"/>
      <c r="CC9" s="188"/>
      <c r="CD9" s="188"/>
      <c r="CE9" s="188"/>
      <c r="CF9" s="188"/>
      <c r="CG9" s="188"/>
      <c r="CH9" s="188"/>
      <c r="CI9" s="188"/>
      <c r="CJ9" s="188"/>
      <c r="CK9" s="188"/>
      <c r="CL9" s="188"/>
    </row>
    <row r="10" spans="1:90" x14ac:dyDescent="0.25">
      <c r="A10" s="19" t="s">
        <v>7</v>
      </c>
      <c r="B10" s="188">
        <v>0</v>
      </c>
      <c r="C10" s="188">
        <v>0</v>
      </c>
      <c r="D10" s="188">
        <v>0</v>
      </c>
      <c r="E10" s="188">
        <v>0</v>
      </c>
      <c r="F10" s="188">
        <v>0</v>
      </c>
      <c r="G10" s="188">
        <v>0</v>
      </c>
      <c r="H10" s="188">
        <v>0</v>
      </c>
      <c r="I10" s="188">
        <v>0</v>
      </c>
      <c r="J10" s="188">
        <v>0</v>
      </c>
      <c r="K10" s="188">
        <v>0</v>
      </c>
      <c r="L10" s="188">
        <v>0</v>
      </c>
      <c r="M10" s="188">
        <v>0</v>
      </c>
      <c r="N10" s="188">
        <v>0</v>
      </c>
      <c r="O10" s="188">
        <v>0</v>
      </c>
      <c r="P10" s="188">
        <v>0</v>
      </c>
      <c r="Q10" s="188">
        <v>0</v>
      </c>
      <c r="R10" s="188">
        <v>0</v>
      </c>
      <c r="S10" s="188">
        <v>0</v>
      </c>
      <c r="T10" s="188">
        <v>0</v>
      </c>
      <c r="U10" s="188">
        <v>0</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v>0</v>
      </c>
      <c r="BI10" s="188">
        <v>0</v>
      </c>
      <c r="BJ10" s="188">
        <v>0</v>
      </c>
      <c r="BK10" s="188">
        <v>0</v>
      </c>
      <c r="BL10" s="188">
        <v>0</v>
      </c>
      <c r="BM10" s="188">
        <v>0</v>
      </c>
      <c r="BN10" s="188">
        <v>0</v>
      </c>
      <c r="BO10" s="188">
        <v>0</v>
      </c>
      <c r="BP10" s="188">
        <v>0</v>
      </c>
      <c r="BQ10" s="188">
        <v>0</v>
      </c>
      <c r="BR10" s="188">
        <v>0</v>
      </c>
      <c r="BS10" s="188">
        <v>0</v>
      </c>
      <c r="BT10" s="188">
        <v>0</v>
      </c>
      <c r="BU10" s="188">
        <v>0</v>
      </c>
      <c r="BV10" s="188">
        <v>0</v>
      </c>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0</v>
      </c>
      <c r="AG11" s="188">
        <v>0</v>
      </c>
      <c r="AH11" s="188">
        <v>0</v>
      </c>
      <c r="AI11" s="188">
        <v>0</v>
      </c>
      <c r="AJ11" s="188">
        <v>0</v>
      </c>
      <c r="AK11" s="188">
        <v>0</v>
      </c>
      <c r="AL11" s="188">
        <v>0</v>
      </c>
      <c r="AM11" s="188">
        <v>0</v>
      </c>
      <c r="AN11" s="188">
        <v>0</v>
      </c>
      <c r="AO11" s="188">
        <v>0</v>
      </c>
      <c r="AP11" s="188">
        <v>0</v>
      </c>
      <c r="AQ11" s="188">
        <v>0</v>
      </c>
      <c r="AR11" s="188">
        <v>0</v>
      </c>
      <c r="AS11" s="188">
        <v>0</v>
      </c>
      <c r="AT11" s="188">
        <v>0</v>
      </c>
      <c r="AU11" s="188">
        <v>0</v>
      </c>
      <c r="AV11" s="188">
        <v>0</v>
      </c>
      <c r="AW11" s="188">
        <v>0</v>
      </c>
      <c r="AX11" s="188">
        <v>0</v>
      </c>
      <c r="AY11" s="188">
        <v>0</v>
      </c>
      <c r="AZ11" s="188">
        <v>0</v>
      </c>
      <c r="BA11" s="188">
        <v>0</v>
      </c>
      <c r="BB11" s="188">
        <v>0</v>
      </c>
      <c r="BC11" s="188">
        <v>0</v>
      </c>
      <c r="BD11" s="188">
        <v>0</v>
      </c>
      <c r="BE11" s="188">
        <v>0</v>
      </c>
      <c r="BF11" s="188">
        <v>0</v>
      </c>
      <c r="BG11" s="188">
        <v>0</v>
      </c>
      <c r="BH11" s="188">
        <v>10118265.609999999</v>
      </c>
      <c r="BI11" s="188">
        <v>0</v>
      </c>
      <c r="BJ11" s="188">
        <v>0</v>
      </c>
      <c r="BK11" s="188">
        <v>0</v>
      </c>
      <c r="BL11" s="188">
        <v>0</v>
      </c>
      <c r="BM11" s="188">
        <v>0</v>
      </c>
      <c r="BN11" s="188">
        <v>0</v>
      </c>
      <c r="BO11" s="188">
        <v>0</v>
      </c>
      <c r="BP11" s="188">
        <v>0</v>
      </c>
      <c r="BQ11" s="188">
        <v>0</v>
      </c>
      <c r="BR11" s="188">
        <v>0</v>
      </c>
      <c r="BS11" s="188">
        <v>0</v>
      </c>
      <c r="BT11" s="188">
        <v>0</v>
      </c>
      <c r="BU11" s="188">
        <v>0</v>
      </c>
      <c r="BV11" s="188">
        <v>0</v>
      </c>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c r="BK12" s="188">
        <v>0</v>
      </c>
      <c r="BL12" s="188">
        <v>0</v>
      </c>
      <c r="BM12" s="188">
        <v>0</v>
      </c>
      <c r="BN12" s="188">
        <v>0</v>
      </c>
      <c r="BO12" s="188">
        <v>0</v>
      </c>
      <c r="BP12" s="188">
        <v>0</v>
      </c>
      <c r="BQ12" s="188">
        <v>0</v>
      </c>
      <c r="BR12" s="188">
        <v>0</v>
      </c>
      <c r="BS12" s="188">
        <v>0</v>
      </c>
      <c r="BT12" s="188">
        <v>0</v>
      </c>
      <c r="BU12" s="188">
        <v>0</v>
      </c>
      <c r="BV12" s="188">
        <v>0</v>
      </c>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382283378.07999998</v>
      </c>
      <c r="C13" s="188">
        <v>381568388.93000001</v>
      </c>
      <c r="D13" s="188">
        <v>832616980.51999998</v>
      </c>
      <c r="E13" s="188">
        <v>241458615.88999999</v>
      </c>
      <c r="F13" s="188">
        <v>242686627.52000001</v>
      </c>
      <c r="G13" s="188">
        <v>156890931.40000001</v>
      </c>
      <c r="H13" s="188">
        <v>239223538.55000001</v>
      </c>
      <c r="I13" s="188">
        <v>140904856.88</v>
      </c>
      <c r="J13" s="188">
        <v>125442817.73</v>
      </c>
      <c r="K13" s="188">
        <v>80171834.959999993</v>
      </c>
      <c r="L13" s="188">
        <v>133573079.36</v>
      </c>
      <c r="M13" s="188">
        <v>85347051.469999999</v>
      </c>
      <c r="N13" s="188">
        <v>136725651.16999999</v>
      </c>
      <c r="O13" s="188">
        <v>136529732.49000001</v>
      </c>
      <c r="P13" s="188">
        <v>117630548.84</v>
      </c>
      <c r="Q13" s="188">
        <v>80602922.329999998</v>
      </c>
      <c r="R13" s="188">
        <v>35968733.609999999</v>
      </c>
      <c r="S13" s="188">
        <v>40227055.549999997</v>
      </c>
      <c r="T13" s="188">
        <v>69911833.340000004</v>
      </c>
      <c r="U13" s="188">
        <v>188599147.22999999</v>
      </c>
      <c r="V13" s="188">
        <v>291069085.54000002</v>
      </c>
      <c r="W13" s="188">
        <v>237708837.44</v>
      </c>
      <c r="X13" s="188">
        <v>169802147.38</v>
      </c>
      <c r="Y13" s="188">
        <v>264612813.22</v>
      </c>
      <c r="Z13" s="188">
        <v>265954783.11000001</v>
      </c>
      <c r="AA13" s="188">
        <v>213786369.86000001</v>
      </c>
      <c r="AB13" s="188">
        <v>154585967.41999999</v>
      </c>
      <c r="AC13" s="188">
        <v>225182760.05000001</v>
      </c>
      <c r="AD13" s="188">
        <v>176109284.02000001</v>
      </c>
      <c r="AE13" s="188">
        <v>127606199.03</v>
      </c>
      <c r="AF13" s="188">
        <v>39447517.810000002</v>
      </c>
      <c r="AG13" s="188">
        <v>42728425.340000004</v>
      </c>
      <c r="AH13" s="188">
        <v>76696541.090000004</v>
      </c>
      <c r="AI13" s="188">
        <v>49443756.840000004</v>
      </c>
      <c r="AJ13" s="188">
        <v>183700</v>
      </c>
      <c r="AK13" s="188">
        <v>1912600</v>
      </c>
      <c r="AL13" s="188">
        <v>1675275</v>
      </c>
      <c r="AM13" s="188">
        <v>1437950</v>
      </c>
      <c r="AN13" s="188">
        <v>3084625</v>
      </c>
      <c r="AO13" s="188">
        <v>2783550</v>
      </c>
      <c r="AP13" s="188">
        <v>2482475</v>
      </c>
      <c r="AQ13" s="188">
        <v>2181400</v>
      </c>
      <c r="AR13" s="188">
        <v>1880325</v>
      </c>
      <c r="AS13" s="188">
        <v>3584400</v>
      </c>
      <c r="AT13" s="188">
        <v>2629400</v>
      </c>
      <c r="AU13" s="188">
        <v>2629400</v>
      </c>
      <c r="AV13" s="188">
        <v>0</v>
      </c>
      <c r="AW13" s="188">
        <v>0</v>
      </c>
      <c r="AX13" s="188">
        <v>0</v>
      </c>
      <c r="AY13" s="188">
        <v>0</v>
      </c>
      <c r="AZ13" s="188">
        <v>0</v>
      </c>
      <c r="BA13" s="188">
        <v>0</v>
      </c>
      <c r="BB13" s="188">
        <v>0</v>
      </c>
      <c r="BC13" s="188">
        <v>0</v>
      </c>
      <c r="BD13" s="188">
        <v>0</v>
      </c>
      <c r="BE13" s="188">
        <v>0</v>
      </c>
      <c r="BF13" s="188">
        <v>0</v>
      </c>
      <c r="BG13" s="188">
        <v>0</v>
      </c>
      <c r="BH13" s="188">
        <v>0</v>
      </c>
      <c r="BI13" s="188">
        <v>0</v>
      </c>
      <c r="BJ13" s="188">
        <v>0</v>
      </c>
      <c r="BK13" s="188">
        <v>0</v>
      </c>
      <c r="BL13" s="188">
        <v>0</v>
      </c>
      <c r="BM13" s="188">
        <v>0</v>
      </c>
      <c r="BN13" s="188">
        <v>0</v>
      </c>
      <c r="BO13" s="188">
        <v>0</v>
      </c>
      <c r="BP13" s="188">
        <v>0</v>
      </c>
      <c r="BQ13" s="188">
        <v>0</v>
      </c>
      <c r="BR13" s="188">
        <v>0</v>
      </c>
      <c r="BS13" s="188">
        <v>0</v>
      </c>
      <c r="BT13" s="188">
        <v>0</v>
      </c>
      <c r="BU13" s="188">
        <v>0</v>
      </c>
      <c r="BV13" s="188">
        <v>0</v>
      </c>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101205040633.42</v>
      </c>
      <c r="C17" s="33">
        <f t="shared" ref="C17:BN17" si="0">SUM(C4:C13)</f>
        <v>84113638957.639999</v>
      </c>
      <c r="D17" s="33">
        <f t="shared" si="0"/>
        <v>88098584431.25</v>
      </c>
      <c r="E17" s="33">
        <f t="shared" si="0"/>
        <v>88172478529.229996</v>
      </c>
      <c r="F17" s="33">
        <f t="shared" si="0"/>
        <v>81265615624.639999</v>
      </c>
      <c r="G17" s="33">
        <f t="shared" si="0"/>
        <v>74045487984.549988</v>
      </c>
      <c r="H17" s="33">
        <f t="shared" si="0"/>
        <v>73219258579.670013</v>
      </c>
      <c r="I17" s="33">
        <f t="shared" si="0"/>
        <v>67085700492.129997</v>
      </c>
      <c r="J17" s="33">
        <f t="shared" si="0"/>
        <v>62324058442.190002</v>
      </c>
      <c r="K17" s="33">
        <f t="shared" si="0"/>
        <v>47808867372.299995</v>
      </c>
      <c r="L17" s="33">
        <f t="shared" si="0"/>
        <v>44074809231.059998</v>
      </c>
      <c r="M17" s="33">
        <f t="shared" si="0"/>
        <v>36934596946.529999</v>
      </c>
      <c r="N17" s="33">
        <f t="shared" si="0"/>
        <v>30722903270.879997</v>
      </c>
      <c r="O17" s="33">
        <f t="shared" si="0"/>
        <v>30482844449.870003</v>
      </c>
      <c r="P17" s="33">
        <f t="shared" si="0"/>
        <v>28623123952.73</v>
      </c>
      <c r="Q17" s="33">
        <f t="shared" si="0"/>
        <v>27886130602.540001</v>
      </c>
      <c r="R17" s="33">
        <f t="shared" si="0"/>
        <v>22910725708.920002</v>
      </c>
      <c r="S17" s="33">
        <f t="shared" si="0"/>
        <v>21200304356.759998</v>
      </c>
      <c r="T17" s="33">
        <f t="shared" si="0"/>
        <v>23500579727.43</v>
      </c>
      <c r="U17" s="33">
        <f t="shared" si="0"/>
        <v>25514135978.91</v>
      </c>
      <c r="V17" s="33">
        <f t="shared" si="0"/>
        <v>22377192030.630001</v>
      </c>
      <c r="W17" s="33">
        <f t="shared" si="0"/>
        <v>18562670939.949997</v>
      </c>
      <c r="X17" s="33">
        <f t="shared" si="0"/>
        <v>21955036844.350002</v>
      </c>
      <c r="Y17" s="33">
        <f t="shared" si="0"/>
        <v>22376612663.389999</v>
      </c>
      <c r="Z17" s="33">
        <f t="shared" si="0"/>
        <v>19005987757.170002</v>
      </c>
      <c r="AA17" s="33">
        <f t="shared" si="0"/>
        <v>21245645480.619999</v>
      </c>
      <c r="AB17" s="33">
        <f t="shared" si="0"/>
        <v>19056013006.079998</v>
      </c>
      <c r="AC17" s="33">
        <f t="shared" si="0"/>
        <v>18539872922.09</v>
      </c>
      <c r="AD17" s="33">
        <f t="shared" si="0"/>
        <v>18524435542.09</v>
      </c>
      <c r="AE17" s="33">
        <f t="shared" si="0"/>
        <v>17479293577.549999</v>
      </c>
      <c r="AF17" s="33">
        <f t="shared" si="0"/>
        <v>16097936940.57</v>
      </c>
      <c r="AG17" s="33">
        <f t="shared" si="0"/>
        <v>12991122314.630001</v>
      </c>
      <c r="AH17" s="33">
        <f t="shared" si="0"/>
        <v>11163366118.51</v>
      </c>
      <c r="AI17" s="33">
        <f t="shared" si="0"/>
        <v>10378305344.280001</v>
      </c>
      <c r="AJ17" s="33">
        <f t="shared" si="0"/>
        <v>9990618883.5699997</v>
      </c>
      <c r="AK17" s="33">
        <f t="shared" si="0"/>
        <v>9755064755.2399998</v>
      </c>
      <c r="AL17" s="33">
        <f t="shared" si="0"/>
        <v>7923955837.8000002</v>
      </c>
      <c r="AM17" s="33">
        <f t="shared" si="0"/>
        <v>7824246321.21</v>
      </c>
      <c r="AN17" s="33">
        <f t="shared" si="0"/>
        <v>7717405756.3000002</v>
      </c>
      <c r="AO17" s="33">
        <f t="shared" si="0"/>
        <v>8138505441.1599998</v>
      </c>
      <c r="AP17" s="33">
        <f t="shared" si="0"/>
        <v>6441498269.54</v>
      </c>
      <c r="AQ17" s="33">
        <f t="shared" si="0"/>
        <v>5105053230.8000002</v>
      </c>
      <c r="AR17" s="33">
        <f t="shared" si="0"/>
        <v>5603323644.29</v>
      </c>
      <c r="AS17" s="33">
        <f t="shared" si="0"/>
        <v>4784290700.0200005</v>
      </c>
      <c r="AT17" s="33">
        <f t="shared" si="0"/>
        <v>4814014936.3500004</v>
      </c>
      <c r="AU17" s="33">
        <f t="shared" si="0"/>
        <v>4870494456.1599998</v>
      </c>
      <c r="AV17" s="33">
        <f t="shared" si="0"/>
        <v>4715254931.29</v>
      </c>
      <c r="AW17" s="33">
        <f t="shared" si="0"/>
        <v>4505867488.6400003</v>
      </c>
      <c r="AX17" s="33">
        <f t="shared" si="0"/>
        <v>4083907788.3400002</v>
      </c>
      <c r="AY17" s="33">
        <f t="shared" si="0"/>
        <v>3419099920.6599998</v>
      </c>
      <c r="AZ17" s="33">
        <f t="shared" si="0"/>
        <v>3975708186.8800001</v>
      </c>
      <c r="BA17" s="33">
        <f t="shared" si="0"/>
        <v>3891989433.5300002</v>
      </c>
      <c r="BB17" s="33">
        <f t="shared" si="0"/>
        <v>3217007276.75</v>
      </c>
      <c r="BC17" s="33">
        <f t="shared" si="0"/>
        <v>3065214770.1900001</v>
      </c>
      <c r="BD17" s="33">
        <f t="shared" si="0"/>
        <v>3024925341.3800001</v>
      </c>
      <c r="BE17" s="33">
        <f t="shared" si="0"/>
        <v>2898327418.8499999</v>
      </c>
      <c r="BF17" s="33">
        <f t="shared" si="0"/>
        <v>2419288966.46</v>
      </c>
      <c r="BG17" s="33">
        <f t="shared" si="0"/>
        <v>2172790156.5900002</v>
      </c>
      <c r="BH17" s="33">
        <f t="shared" si="0"/>
        <v>2101448845.7199998</v>
      </c>
      <c r="BI17" s="33">
        <f t="shared" si="0"/>
        <v>2340047386.8499999</v>
      </c>
      <c r="BJ17" s="33">
        <f t="shared" si="0"/>
        <v>1868792963.71</v>
      </c>
      <c r="BK17" s="33">
        <f t="shared" si="0"/>
        <v>1536249315.6400001</v>
      </c>
      <c r="BL17" s="33">
        <f t="shared" si="0"/>
        <v>1684957738.5599999</v>
      </c>
      <c r="BM17" s="33">
        <f t="shared" si="0"/>
        <v>1780307690.6400001</v>
      </c>
      <c r="BN17" s="33">
        <f t="shared" si="0"/>
        <v>1677224920.04</v>
      </c>
      <c r="BO17" s="33">
        <f t="shared" ref="BO17:CK17" si="1">SUM(BO4:BO13)</f>
        <v>1513800289.8299999</v>
      </c>
      <c r="BP17" s="33">
        <f t="shared" si="1"/>
        <v>1877929846.0899999</v>
      </c>
      <c r="BQ17" s="33">
        <f t="shared" si="1"/>
        <v>1956436570.0999999</v>
      </c>
      <c r="BR17" s="33">
        <f t="shared" si="1"/>
        <v>336439213.5</v>
      </c>
      <c r="BS17" s="33">
        <f t="shared" si="1"/>
        <v>460983583.45999998</v>
      </c>
      <c r="BT17" s="33">
        <f t="shared" si="1"/>
        <v>198390615.12</v>
      </c>
      <c r="BU17" s="33">
        <f t="shared" si="1"/>
        <v>124765368.73999999</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8">
        <v>0</v>
      </c>
      <c r="C19" s="188">
        <v>0</v>
      </c>
      <c r="D19" s="188">
        <v>0</v>
      </c>
      <c r="E19" s="188">
        <v>0</v>
      </c>
      <c r="F19" s="188">
        <v>0</v>
      </c>
      <c r="G19" s="188">
        <v>0</v>
      </c>
      <c r="H19" s="188">
        <v>0</v>
      </c>
      <c r="I19" s="188">
        <v>0</v>
      </c>
      <c r="J19" s="188">
        <v>0</v>
      </c>
      <c r="K19" s="188">
        <v>0</v>
      </c>
      <c r="L19" s="188">
        <v>0</v>
      </c>
      <c r="M19" s="188">
        <v>0</v>
      </c>
      <c r="N19" s="188">
        <v>0</v>
      </c>
      <c r="O19" s="188">
        <v>0</v>
      </c>
      <c r="P19" s="188">
        <v>0</v>
      </c>
      <c r="Q19" s="188">
        <v>0</v>
      </c>
      <c r="R19" s="188">
        <v>2750000</v>
      </c>
      <c r="S19" s="188">
        <v>6750000</v>
      </c>
      <c r="T19" s="188">
        <v>6750000</v>
      </c>
      <c r="U19" s="188">
        <v>4000000</v>
      </c>
      <c r="V19" s="188">
        <v>4000000</v>
      </c>
      <c r="W19" s="188">
        <v>4000000</v>
      </c>
      <c r="X19" s="188">
        <v>4000000</v>
      </c>
      <c r="Y19" s="188">
        <v>4000000</v>
      </c>
      <c r="Z19" s="188">
        <v>4000000</v>
      </c>
      <c r="AA19" s="188">
        <v>4000000</v>
      </c>
      <c r="AB19" s="188">
        <v>4000000</v>
      </c>
      <c r="AC19" s="188">
        <v>4000000</v>
      </c>
      <c r="AD19" s="188">
        <v>4000000</v>
      </c>
      <c r="AE19" s="188">
        <v>4000000</v>
      </c>
      <c r="AF19" s="188">
        <v>4000000</v>
      </c>
      <c r="AG19" s="188">
        <v>4000000</v>
      </c>
      <c r="AH19" s="188">
        <v>4000000</v>
      </c>
      <c r="AI19" s="188">
        <v>4000000</v>
      </c>
      <c r="AJ19" s="188">
        <v>4000000</v>
      </c>
      <c r="AK19" s="188">
        <v>4000000</v>
      </c>
      <c r="AL19" s="188">
        <v>4000000</v>
      </c>
      <c r="AM19" s="188">
        <v>4000000</v>
      </c>
      <c r="AN19" s="188">
        <v>4000000</v>
      </c>
      <c r="AO19" s="188">
        <v>4000000</v>
      </c>
      <c r="AP19" s="188">
        <v>4000000</v>
      </c>
      <c r="AQ19" s="188">
        <v>4000000</v>
      </c>
      <c r="AR19" s="188">
        <v>4000000</v>
      </c>
      <c r="AS19" s="188">
        <v>4000000</v>
      </c>
      <c r="AT19" s="188">
        <v>4000000</v>
      </c>
      <c r="AU19" s="188">
        <v>4000000</v>
      </c>
      <c r="AV19" s="188">
        <v>4000000</v>
      </c>
      <c r="AW19" s="188">
        <v>11486496.289999999</v>
      </c>
      <c r="AX19" s="188">
        <v>10767452.710000001</v>
      </c>
      <c r="AY19" s="188">
        <v>10387452.699999999</v>
      </c>
      <c r="AZ19" s="188">
        <v>10243017.33</v>
      </c>
      <c r="BA19" s="188">
        <v>10243017.33</v>
      </c>
      <c r="BB19" s="188">
        <v>9838781.9600000009</v>
      </c>
      <c r="BC19" s="188">
        <v>9838781.9600000009</v>
      </c>
      <c r="BD19" s="188">
        <v>9627405.1300000008</v>
      </c>
      <c r="BE19" s="188">
        <v>9815063.7300000004</v>
      </c>
      <c r="BF19" s="188">
        <v>4000000</v>
      </c>
      <c r="BG19" s="188">
        <v>4000000</v>
      </c>
      <c r="BH19" s="188">
        <v>4000000</v>
      </c>
      <c r="BI19" s="188">
        <v>4000000</v>
      </c>
      <c r="BJ19" s="188">
        <v>4000000</v>
      </c>
      <c r="BK19" s="188">
        <v>4000000</v>
      </c>
      <c r="BL19" s="188">
        <v>4000000</v>
      </c>
      <c r="BM19" s="188">
        <v>4000000</v>
      </c>
      <c r="BN19" s="188">
        <v>4000000</v>
      </c>
      <c r="BO19" s="188">
        <v>4000000</v>
      </c>
      <c r="BP19" s="188">
        <v>0</v>
      </c>
      <c r="BQ19" s="188">
        <v>0</v>
      </c>
      <c r="BR19" s="188">
        <v>0</v>
      </c>
      <c r="BS19" s="188">
        <v>0</v>
      </c>
      <c r="BT19" s="188">
        <v>0</v>
      </c>
      <c r="BU19" s="188">
        <v>0</v>
      </c>
      <c r="BV19" s="188">
        <v>0</v>
      </c>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620590547</v>
      </c>
      <c r="C22" s="188">
        <v>690294516.89999998</v>
      </c>
      <c r="D22" s="188">
        <v>798746524.89999998</v>
      </c>
      <c r="E22" s="188">
        <v>1221706039</v>
      </c>
      <c r="F22" s="188">
        <v>1829625354</v>
      </c>
      <c r="G22" s="188">
        <v>1698067207.28</v>
      </c>
      <c r="H22" s="188">
        <v>1176901568.28</v>
      </c>
      <c r="I22" s="188">
        <v>817627172</v>
      </c>
      <c r="J22" s="188">
        <v>1138138783.0999999</v>
      </c>
      <c r="K22" s="188">
        <v>6561484493.6400003</v>
      </c>
      <c r="L22" s="188">
        <v>4678118906.46</v>
      </c>
      <c r="M22" s="188">
        <v>8578935406.8199997</v>
      </c>
      <c r="N22" s="188">
        <v>8291402262.2299995</v>
      </c>
      <c r="O22" s="188">
        <v>3954874737.4899998</v>
      </c>
      <c r="P22" s="188">
        <v>2808126680.46</v>
      </c>
      <c r="Q22" s="188">
        <v>1847838617.8299999</v>
      </c>
      <c r="R22" s="188">
        <v>1158808485.0999999</v>
      </c>
      <c r="S22" s="188">
        <v>299692582.10000002</v>
      </c>
      <c r="T22" s="188">
        <v>287246643</v>
      </c>
      <c r="U22" s="188">
        <v>296084005</v>
      </c>
      <c r="V22" s="188">
        <v>196272614</v>
      </c>
      <c r="W22" s="188">
        <v>159151909</v>
      </c>
      <c r="X22" s="188">
        <v>70770220.780000001</v>
      </c>
      <c r="Y22" s="188">
        <v>204079117.80000001</v>
      </c>
      <c r="Z22" s="188">
        <v>348529803.5</v>
      </c>
      <c r="AA22" s="188">
        <v>221512122.5</v>
      </c>
      <c r="AB22" s="188">
        <v>231498512.5</v>
      </c>
      <c r="AC22" s="188">
        <v>252101396.08000001</v>
      </c>
      <c r="AD22" s="188">
        <v>296850744.07999998</v>
      </c>
      <c r="AE22" s="188">
        <v>216485295.28</v>
      </c>
      <c r="AF22" s="188">
        <v>175868596.69999999</v>
      </c>
      <c r="AG22" s="188">
        <v>204811101.19999999</v>
      </c>
      <c r="AH22" s="188">
        <v>271163836.5</v>
      </c>
      <c r="AI22" s="188">
        <v>179851211.30000001</v>
      </c>
      <c r="AJ22" s="188">
        <v>302156251.19999999</v>
      </c>
      <c r="AK22" s="188">
        <v>380760283.19999999</v>
      </c>
      <c r="AL22" s="188">
        <v>275946452.80000001</v>
      </c>
      <c r="AM22" s="188">
        <v>157290474.40000001</v>
      </c>
      <c r="AN22" s="188">
        <v>176104343.59999999</v>
      </c>
      <c r="AO22" s="188">
        <v>170612609</v>
      </c>
      <c r="AP22" s="188">
        <v>90608212.799999997</v>
      </c>
      <c r="AQ22" s="188">
        <v>94821890.799999997</v>
      </c>
      <c r="AR22" s="188">
        <v>82127468.400000006</v>
      </c>
      <c r="AS22" s="188">
        <v>101046224</v>
      </c>
      <c r="AT22" s="188">
        <v>146604935.58000001</v>
      </c>
      <c r="AU22" s="188">
        <v>179337941.80000001</v>
      </c>
      <c r="AV22" s="188">
        <v>195159382.47</v>
      </c>
      <c r="AW22" s="188">
        <v>185653838.47</v>
      </c>
      <c r="AX22" s="188">
        <v>232808366.58000001</v>
      </c>
      <c r="AY22" s="188">
        <v>113565011.8</v>
      </c>
      <c r="AZ22" s="188">
        <v>72016701.799999997</v>
      </c>
      <c r="BA22" s="188">
        <v>159665200.08000001</v>
      </c>
      <c r="BB22" s="188">
        <v>142698346.08000001</v>
      </c>
      <c r="BC22" s="188">
        <v>99986019.079999998</v>
      </c>
      <c r="BD22" s="188">
        <v>129762839.45</v>
      </c>
      <c r="BE22" s="188">
        <v>115374909.92</v>
      </c>
      <c r="BF22" s="188">
        <v>128441126.8</v>
      </c>
      <c r="BG22" s="188">
        <v>62807660.799999997</v>
      </c>
      <c r="BH22" s="188">
        <v>54118710</v>
      </c>
      <c r="BI22" s="188">
        <v>46540363.600000001</v>
      </c>
      <c r="BJ22" s="188">
        <v>71795352.799999997</v>
      </c>
      <c r="BK22" s="188">
        <v>20242382</v>
      </c>
      <c r="BL22" s="188">
        <v>5500000</v>
      </c>
      <c r="BM22" s="188">
        <v>37016763.100000001</v>
      </c>
      <c r="BN22" s="188">
        <v>6167260</v>
      </c>
      <c r="BO22" s="188">
        <v>46470610</v>
      </c>
      <c r="BP22" s="188">
        <v>16681000</v>
      </c>
      <c r="BQ22" s="188">
        <v>11740000</v>
      </c>
      <c r="BR22" s="188">
        <v>31154620</v>
      </c>
      <c r="BS22" s="188">
        <v>2500000</v>
      </c>
      <c r="BT22" s="188">
        <v>13412198</v>
      </c>
      <c r="BU22" s="188">
        <v>0</v>
      </c>
      <c r="BV22" s="188">
        <v>0</v>
      </c>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0</v>
      </c>
      <c r="C23" s="188">
        <v>0</v>
      </c>
      <c r="D23" s="188">
        <v>0</v>
      </c>
      <c r="E23" s="188">
        <v>0</v>
      </c>
      <c r="F23" s="188">
        <v>0</v>
      </c>
      <c r="G23" s="188">
        <v>0</v>
      </c>
      <c r="H23" s="188">
        <v>0</v>
      </c>
      <c r="I23" s="188">
        <v>0</v>
      </c>
      <c r="J23" s="188">
        <v>8502001.1999999993</v>
      </c>
      <c r="K23" s="188">
        <v>1044639.8</v>
      </c>
      <c r="L23" s="188">
        <v>230768.89</v>
      </c>
      <c r="M23" s="188">
        <v>230768.89</v>
      </c>
      <c r="N23" s="188">
        <v>3824472.83</v>
      </c>
      <c r="O23" s="188">
        <v>366443.99</v>
      </c>
      <c r="P23" s="188">
        <v>491086.99</v>
      </c>
      <c r="Q23" s="188">
        <v>4306161.24</v>
      </c>
      <c r="R23" s="188">
        <v>2220278.9900000002</v>
      </c>
      <c r="S23" s="188">
        <v>2220278.9900000002</v>
      </c>
      <c r="T23" s="188">
        <v>2676414.79</v>
      </c>
      <c r="U23" s="188">
        <v>927222.79</v>
      </c>
      <c r="V23" s="188">
        <v>927270.79</v>
      </c>
      <c r="W23" s="188">
        <v>927222.79</v>
      </c>
      <c r="X23" s="188">
        <v>1344597.39</v>
      </c>
      <c r="Y23" s="188">
        <v>17818147.27</v>
      </c>
      <c r="Z23" s="188">
        <v>1853461.74</v>
      </c>
      <c r="AA23" s="188">
        <v>1985526.74</v>
      </c>
      <c r="AB23" s="188">
        <v>2056894.08</v>
      </c>
      <c r="AC23" s="188">
        <v>2225396.48</v>
      </c>
      <c r="AD23" s="188">
        <v>2119216.6800000002</v>
      </c>
      <c r="AE23" s="188">
        <v>2298535.27</v>
      </c>
      <c r="AF23" s="188">
        <v>997308.9</v>
      </c>
      <c r="AG23" s="188">
        <v>1254599.9099999999</v>
      </c>
      <c r="AH23" s="188">
        <v>28003199.84</v>
      </c>
      <c r="AI23" s="188">
        <v>28759555.530000001</v>
      </c>
      <c r="AJ23" s="188">
        <v>31070214.280000001</v>
      </c>
      <c r="AK23" s="188">
        <v>21386314.280000001</v>
      </c>
      <c r="AL23" s="188">
        <v>41565282.450000003</v>
      </c>
      <c r="AM23" s="188">
        <v>39875502.539999999</v>
      </c>
      <c r="AN23" s="188">
        <v>56118460.450000003</v>
      </c>
      <c r="AO23" s="188">
        <v>34825094.840000004</v>
      </c>
      <c r="AP23" s="188">
        <v>47344076.619999997</v>
      </c>
      <c r="AQ23" s="188">
        <v>47820451.060000002</v>
      </c>
      <c r="AR23" s="188">
        <v>77785411.650000006</v>
      </c>
      <c r="AS23" s="188">
        <v>46407153.340000004</v>
      </c>
      <c r="AT23" s="188">
        <v>68786878.849999994</v>
      </c>
      <c r="AU23" s="188">
        <v>65189432.07</v>
      </c>
      <c r="AV23" s="188">
        <v>103831215.66</v>
      </c>
      <c r="AW23" s="188">
        <v>67438863.700000003</v>
      </c>
      <c r="AX23" s="188">
        <v>78798820.950000003</v>
      </c>
      <c r="AY23" s="188">
        <v>68909631.170000002</v>
      </c>
      <c r="AZ23" s="188">
        <v>61221809.439999998</v>
      </c>
      <c r="BA23" s="188">
        <v>43685990.329999998</v>
      </c>
      <c r="BB23" s="188">
        <v>40672843.719999999</v>
      </c>
      <c r="BC23" s="188">
        <v>45101032.82</v>
      </c>
      <c r="BD23" s="188">
        <v>28773108.710000001</v>
      </c>
      <c r="BE23" s="188">
        <v>31277360.66</v>
      </c>
      <c r="BF23" s="188">
        <v>42938727.75</v>
      </c>
      <c r="BG23" s="188">
        <v>29019562.670000002</v>
      </c>
      <c r="BH23" s="188">
        <v>22935426.949999999</v>
      </c>
      <c r="BI23" s="188">
        <v>27486075.27</v>
      </c>
      <c r="BJ23" s="188">
        <v>30028932.350000001</v>
      </c>
      <c r="BK23" s="188">
        <v>32813851.629999999</v>
      </c>
      <c r="BL23" s="188">
        <v>59698287.530000001</v>
      </c>
      <c r="BM23" s="188">
        <v>42735776.909999996</v>
      </c>
      <c r="BN23" s="188">
        <v>69269778.560000002</v>
      </c>
      <c r="BO23" s="188">
        <v>41917386.700000003</v>
      </c>
      <c r="BP23" s="188">
        <v>67909035.709999993</v>
      </c>
      <c r="BQ23" s="188">
        <v>46700450.369999997</v>
      </c>
      <c r="BR23" s="188">
        <v>45485831.93</v>
      </c>
      <c r="BS23" s="188">
        <v>47884805.68</v>
      </c>
      <c r="BT23" s="188">
        <v>58760152.619999997</v>
      </c>
      <c r="BU23" s="188">
        <v>29350910</v>
      </c>
      <c r="BV23" s="188">
        <v>0</v>
      </c>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1121079958.8099999</v>
      </c>
      <c r="C24" s="188">
        <v>818855540.60000002</v>
      </c>
      <c r="D24" s="188">
        <v>756802769.07000005</v>
      </c>
      <c r="E24" s="188">
        <v>790807322.07000005</v>
      </c>
      <c r="F24" s="188">
        <v>801295419.16999996</v>
      </c>
      <c r="G24" s="188">
        <v>984578688.41999996</v>
      </c>
      <c r="H24" s="188">
        <v>861069103.00999999</v>
      </c>
      <c r="I24" s="188">
        <v>1046100696.92</v>
      </c>
      <c r="J24" s="188">
        <v>1323120682.97</v>
      </c>
      <c r="K24" s="188">
        <v>1281379954.6099999</v>
      </c>
      <c r="L24" s="188">
        <v>1523446788.5599999</v>
      </c>
      <c r="M24" s="188">
        <v>1477734859.9000001</v>
      </c>
      <c r="N24" s="188">
        <v>1888387087.9400001</v>
      </c>
      <c r="O24" s="188">
        <v>2556244726.21</v>
      </c>
      <c r="P24" s="188">
        <v>3399221186.7399998</v>
      </c>
      <c r="Q24" s="188">
        <v>2864210404.2800002</v>
      </c>
      <c r="R24" s="188">
        <v>4397548540.9899998</v>
      </c>
      <c r="S24" s="188">
        <v>3864638855.5</v>
      </c>
      <c r="T24" s="188">
        <v>3882463942.29</v>
      </c>
      <c r="U24" s="188">
        <v>4304579299.6800003</v>
      </c>
      <c r="V24" s="188">
        <v>6514401257.1300001</v>
      </c>
      <c r="W24" s="188">
        <v>5560921770.1099997</v>
      </c>
      <c r="X24" s="188">
        <v>4682606669.5</v>
      </c>
      <c r="Y24" s="188">
        <v>3872870407.8899999</v>
      </c>
      <c r="Z24" s="188">
        <v>3967252707.7800002</v>
      </c>
      <c r="AA24" s="188">
        <v>3010108854.5900002</v>
      </c>
      <c r="AB24" s="188">
        <v>2326144239.71</v>
      </c>
      <c r="AC24" s="188">
        <v>1861027424.03</v>
      </c>
      <c r="AD24" s="188">
        <v>1911544400.1300001</v>
      </c>
      <c r="AE24" s="188">
        <v>1861395541.03</v>
      </c>
      <c r="AF24" s="188">
        <v>1609203876.23</v>
      </c>
      <c r="AG24" s="188">
        <v>1529868837.52</v>
      </c>
      <c r="AH24" s="188">
        <v>1696132652.8099999</v>
      </c>
      <c r="AI24" s="188">
        <v>1491650205.1199999</v>
      </c>
      <c r="AJ24" s="188">
        <v>1450038504.22</v>
      </c>
      <c r="AK24" s="188">
        <v>1203126087.1600001</v>
      </c>
      <c r="AL24" s="188">
        <v>1140280815.6900001</v>
      </c>
      <c r="AM24" s="188">
        <v>896708844.5</v>
      </c>
      <c r="AN24" s="188">
        <v>715183784.33000004</v>
      </c>
      <c r="AO24" s="188">
        <v>741638536.34000003</v>
      </c>
      <c r="AP24" s="188">
        <v>29936840.23</v>
      </c>
      <c r="AQ24" s="188">
        <v>6728563.8700000001</v>
      </c>
      <c r="AR24" s="188">
        <v>2194804.11</v>
      </c>
      <c r="AS24" s="188">
        <v>6825624.6200000001</v>
      </c>
      <c r="AT24" s="188">
        <v>4056810.58</v>
      </c>
      <c r="AU24" s="188">
        <v>629243.94999999995</v>
      </c>
      <c r="AV24" s="188">
        <v>5226084.2699999996</v>
      </c>
      <c r="AW24" s="188">
        <v>4242010.29</v>
      </c>
      <c r="AX24" s="188">
        <v>29101123.609999999</v>
      </c>
      <c r="AY24" s="188">
        <v>15830509.640000001</v>
      </c>
      <c r="AZ24" s="188">
        <v>5682241.0099999998</v>
      </c>
      <c r="BA24" s="188">
        <v>12385914.41</v>
      </c>
      <c r="BB24" s="188">
        <v>8885528.6099999994</v>
      </c>
      <c r="BC24" s="188">
        <v>10016746.35</v>
      </c>
      <c r="BD24" s="188">
        <v>7780206.7999999998</v>
      </c>
      <c r="BE24" s="188">
        <v>4744646.4000000004</v>
      </c>
      <c r="BF24" s="188">
        <v>7209175.5800000001</v>
      </c>
      <c r="BG24" s="188">
        <v>9198150.3399999999</v>
      </c>
      <c r="BH24" s="188">
        <v>11433268.529999999</v>
      </c>
      <c r="BI24" s="188">
        <v>6176790.79</v>
      </c>
      <c r="BJ24" s="188">
        <v>5424392.3799999999</v>
      </c>
      <c r="BK24" s="188">
        <v>3096295.69</v>
      </c>
      <c r="BL24" s="188">
        <v>31437389.690000001</v>
      </c>
      <c r="BM24" s="188">
        <v>6120132.5</v>
      </c>
      <c r="BN24" s="188">
        <v>4912526.1100000003</v>
      </c>
      <c r="BO24" s="188">
        <v>3978615.9</v>
      </c>
      <c r="BP24" s="188">
        <v>6243525.0999999996</v>
      </c>
      <c r="BQ24" s="188">
        <v>3011768.4</v>
      </c>
      <c r="BR24" s="188">
        <v>2365520.34</v>
      </c>
      <c r="BS24" s="188">
        <v>15247081.699999999</v>
      </c>
      <c r="BT24" s="188">
        <v>8745548.2400000002</v>
      </c>
      <c r="BU24" s="188">
        <v>10516948.130000001</v>
      </c>
      <c r="BV24" s="188">
        <v>0</v>
      </c>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450243280.27999997</v>
      </c>
      <c r="C25" s="188">
        <v>68065410.060000002</v>
      </c>
      <c r="D25" s="188">
        <v>41794738.229999997</v>
      </c>
      <c r="E25" s="188">
        <v>31323463.350000001</v>
      </c>
      <c r="F25" s="188">
        <v>58475466.270000003</v>
      </c>
      <c r="G25" s="188">
        <v>48447614.909999996</v>
      </c>
      <c r="H25" s="188">
        <v>121467406.43000001</v>
      </c>
      <c r="I25" s="188">
        <v>77227565.370000005</v>
      </c>
      <c r="J25" s="188">
        <v>125415641.23</v>
      </c>
      <c r="K25" s="188">
        <v>56402587.5</v>
      </c>
      <c r="L25" s="188">
        <v>64872644.270000003</v>
      </c>
      <c r="M25" s="188">
        <v>48219018.75</v>
      </c>
      <c r="N25" s="188">
        <v>59819918.299999997</v>
      </c>
      <c r="O25" s="188">
        <v>71376458.319999993</v>
      </c>
      <c r="P25" s="188">
        <v>88011586.519999996</v>
      </c>
      <c r="Q25" s="188">
        <v>80888920.579999998</v>
      </c>
      <c r="R25" s="188">
        <v>145347841.69999999</v>
      </c>
      <c r="S25" s="188">
        <v>95846344.879999995</v>
      </c>
      <c r="T25" s="188">
        <v>141988112.84999999</v>
      </c>
      <c r="U25" s="188">
        <v>119574188.81999999</v>
      </c>
      <c r="V25" s="188">
        <v>140614152.96000001</v>
      </c>
      <c r="W25" s="188">
        <v>110283776.33</v>
      </c>
      <c r="X25" s="188">
        <v>111065467.06</v>
      </c>
      <c r="Y25" s="188">
        <v>137968684.11000001</v>
      </c>
      <c r="Z25" s="188">
        <v>324914133.94</v>
      </c>
      <c r="AA25" s="188">
        <v>221192977.41999999</v>
      </c>
      <c r="AB25" s="188">
        <v>88895233</v>
      </c>
      <c r="AC25" s="188">
        <v>47287488.890000001</v>
      </c>
      <c r="AD25" s="188">
        <v>79529417.680000007</v>
      </c>
      <c r="AE25" s="188">
        <v>54398087.07</v>
      </c>
      <c r="AF25" s="188">
        <v>101048054.41</v>
      </c>
      <c r="AG25" s="188">
        <v>59101891.630000003</v>
      </c>
      <c r="AH25" s="188">
        <v>65611949.079999998</v>
      </c>
      <c r="AI25" s="188">
        <v>69410894.239999995</v>
      </c>
      <c r="AJ25" s="188">
        <v>91758741.030000001</v>
      </c>
      <c r="AK25" s="188">
        <v>96001483.150000006</v>
      </c>
      <c r="AL25" s="188">
        <v>84784967.439999998</v>
      </c>
      <c r="AM25" s="188">
        <v>69470701.019999996</v>
      </c>
      <c r="AN25" s="188">
        <v>61047011.649999999</v>
      </c>
      <c r="AO25" s="188">
        <v>82601388.170000002</v>
      </c>
      <c r="AP25" s="188">
        <v>89917156.879999995</v>
      </c>
      <c r="AQ25" s="188">
        <v>89092773.840000004</v>
      </c>
      <c r="AR25" s="188">
        <v>101816908.19</v>
      </c>
      <c r="AS25" s="188">
        <v>86114253.519999996</v>
      </c>
      <c r="AT25" s="188">
        <v>31805579.48</v>
      </c>
      <c r="AU25" s="188">
        <v>96256039.760000005</v>
      </c>
      <c r="AV25" s="188">
        <v>69985881.109999999</v>
      </c>
      <c r="AW25" s="188">
        <v>55431205.840000004</v>
      </c>
      <c r="AX25" s="188">
        <v>45825294.799999997</v>
      </c>
      <c r="AY25" s="188">
        <v>59586527.93</v>
      </c>
      <c r="AZ25" s="188">
        <v>66722558.240000002</v>
      </c>
      <c r="BA25" s="188">
        <v>51244124.020000003</v>
      </c>
      <c r="BB25" s="188">
        <v>71144267.859999999</v>
      </c>
      <c r="BC25" s="188">
        <v>55856617.920000002</v>
      </c>
      <c r="BD25" s="188">
        <v>51292931.18</v>
      </c>
      <c r="BE25" s="188">
        <v>29172976.859999999</v>
      </c>
      <c r="BF25" s="188">
        <v>48728659.770000003</v>
      </c>
      <c r="BG25" s="188">
        <v>47259374.100000001</v>
      </c>
      <c r="BH25" s="188">
        <v>49557977.350000001</v>
      </c>
      <c r="BI25" s="188">
        <v>119865787.90000001</v>
      </c>
      <c r="BJ25" s="188">
        <v>100482020.20999999</v>
      </c>
      <c r="BK25" s="188">
        <v>39505064.740000002</v>
      </c>
      <c r="BL25" s="188">
        <v>41010360.689999998</v>
      </c>
      <c r="BM25" s="188">
        <v>45195662.659999996</v>
      </c>
      <c r="BN25" s="188">
        <v>47097802.979999997</v>
      </c>
      <c r="BO25" s="188">
        <v>39558251.939999998</v>
      </c>
      <c r="BP25" s="188">
        <v>28157899.100000001</v>
      </c>
      <c r="BQ25" s="188">
        <v>33320706.809999999</v>
      </c>
      <c r="BR25" s="188">
        <v>12899599</v>
      </c>
      <c r="BS25" s="188">
        <v>9792294.1199999992</v>
      </c>
      <c r="BT25" s="188">
        <v>16920539.600000001</v>
      </c>
      <c r="BU25" s="188">
        <v>43237967.210000001</v>
      </c>
      <c r="BV25" s="188">
        <v>0</v>
      </c>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21862256652.91</v>
      </c>
      <c r="C26" s="188">
        <v>22087351503.610001</v>
      </c>
      <c r="D26" s="188">
        <v>22026303941.34</v>
      </c>
      <c r="E26" s="188">
        <v>22057481376.459999</v>
      </c>
      <c r="F26" s="188">
        <v>20871002103.490002</v>
      </c>
      <c r="G26" s="188">
        <v>20850310407.040001</v>
      </c>
      <c r="H26" s="188">
        <v>20760473514.599998</v>
      </c>
      <c r="I26" s="188">
        <v>20622251825.549999</v>
      </c>
      <c r="J26" s="188">
        <v>18782523499.959999</v>
      </c>
      <c r="K26" s="188">
        <v>18444926424.66</v>
      </c>
      <c r="L26" s="188">
        <v>18537817778.200001</v>
      </c>
      <c r="M26" s="188">
        <v>18013297022.700001</v>
      </c>
      <c r="N26" s="188">
        <v>16381165059.870001</v>
      </c>
      <c r="O26" s="188">
        <v>16284072631.219999</v>
      </c>
      <c r="P26" s="188">
        <v>15619209608.459999</v>
      </c>
      <c r="Q26" s="188">
        <v>14982364367.85</v>
      </c>
      <c r="R26" s="188">
        <v>13454959038.030001</v>
      </c>
      <c r="S26" s="188">
        <v>13240654522.65</v>
      </c>
      <c r="T26" s="188">
        <v>12697658854.74</v>
      </c>
      <c r="U26" s="188">
        <v>11836810239.030001</v>
      </c>
      <c r="V26" s="188">
        <v>10686189842.1</v>
      </c>
      <c r="W26" s="188">
        <v>10339021451.719999</v>
      </c>
      <c r="X26" s="188">
        <v>10085273971.49</v>
      </c>
      <c r="Y26" s="188">
        <v>9665727593.4200001</v>
      </c>
      <c r="Z26" s="188">
        <v>7887354887.0600004</v>
      </c>
      <c r="AA26" s="188">
        <v>7773834492.6700001</v>
      </c>
      <c r="AB26" s="188">
        <v>7578019306.96</v>
      </c>
      <c r="AC26" s="188">
        <v>7187117552.8599997</v>
      </c>
      <c r="AD26" s="188">
        <v>6232185752.04</v>
      </c>
      <c r="AE26" s="188">
        <v>5915613288.3299999</v>
      </c>
      <c r="AF26" s="188">
        <v>5831734652.0799999</v>
      </c>
      <c r="AG26" s="188">
        <v>5574126083.4200001</v>
      </c>
      <c r="AH26" s="188">
        <v>4791428914.6599998</v>
      </c>
      <c r="AI26" s="188">
        <v>4495328930.5799999</v>
      </c>
      <c r="AJ26" s="188">
        <v>4350958976.0299997</v>
      </c>
      <c r="AK26" s="188">
        <v>4192246440.3600001</v>
      </c>
      <c r="AL26" s="188">
        <v>3405325024.77</v>
      </c>
      <c r="AM26" s="188">
        <v>3256220582.6500001</v>
      </c>
      <c r="AN26" s="188">
        <v>3222966302.98</v>
      </c>
      <c r="AO26" s="188">
        <v>3114567813.3299999</v>
      </c>
      <c r="AP26" s="188">
        <v>2588105778.73</v>
      </c>
      <c r="AQ26" s="188">
        <v>2443474684.3400002</v>
      </c>
      <c r="AR26" s="188">
        <v>2388248473.75</v>
      </c>
      <c r="AS26" s="188">
        <v>2304818947.9200001</v>
      </c>
      <c r="AT26" s="188">
        <v>2100782615.3299999</v>
      </c>
      <c r="AU26" s="188">
        <v>2120021426.0999999</v>
      </c>
      <c r="AV26" s="188">
        <v>2008331715.46</v>
      </c>
      <c r="AW26" s="188">
        <v>1974710283.3499999</v>
      </c>
      <c r="AX26" s="188">
        <v>1883507683.55</v>
      </c>
      <c r="AY26" s="188">
        <v>1855279898.3099999</v>
      </c>
      <c r="AZ26" s="188">
        <v>1800160745.1700001</v>
      </c>
      <c r="BA26" s="188">
        <v>1860549625.24</v>
      </c>
      <c r="BB26" s="188">
        <v>1684279669.8499999</v>
      </c>
      <c r="BC26" s="188">
        <v>1668181460.46</v>
      </c>
      <c r="BD26" s="188">
        <v>1640412382.3499999</v>
      </c>
      <c r="BE26" s="188">
        <v>1693741195.1099999</v>
      </c>
      <c r="BF26" s="188">
        <v>1516497795.8499999</v>
      </c>
      <c r="BG26" s="188">
        <v>1318555940.24</v>
      </c>
      <c r="BH26" s="188">
        <v>1279320067.02</v>
      </c>
      <c r="BI26" s="188">
        <v>1215006621.05</v>
      </c>
      <c r="BJ26" s="188">
        <v>1215900105.02</v>
      </c>
      <c r="BK26" s="188">
        <v>1203247938.1400001</v>
      </c>
      <c r="BL26" s="188">
        <v>1045879054.34</v>
      </c>
      <c r="BM26" s="188">
        <v>1076612588.52</v>
      </c>
      <c r="BN26" s="188">
        <v>1021098759.08</v>
      </c>
      <c r="BO26" s="188">
        <v>1011422579.27</v>
      </c>
      <c r="BP26" s="188">
        <v>819827003.17999995</v>
      </c>
      <c r="BQ26" s="188">
        <v>786368826.80999994</v>
      </c>
      <c r="BR26" s="188">
        <v>575547814.27999997</v>
      </c>
      <c r="BS26" s="188">
        <v>512332818.61000001</v>
      </c>
      <c r="BT26" s="188">
        <v>423401102.17000002</v>
      </c>
      <c r="BU26" s="188">
        <v>316665851.52999997</v>
      </c>
      <c r="BV26" s="188">
        <v>0</v>
      </c>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25871272.989999998</v>
      </c>
      <c r="C27" s="188">
        <v>32598221.52</v>
      </c>
      <c r="D27" s="188">
        <v>16247363.82</v>
      </c>
      <c r="E27" s="188">
        <v>37539231.490000002</v>
      </c>
      <c r="F27" s="188">
        <v>35530822.630000003</v>
      </c>
      <c r="G27" s="188">
        <v>24148290.789999999</v>
      </c>
      <c r="H27" s="188">
        <v>21954140.710000001</v>
      </c>
      <c r="I27" s="188">
        <v>231474570.63</v>
      </c>
      <c r="J27" s="188">
        <v>0</v>
      </c>
      <c r="K27" s="188">
        <v>0</v>
      </c>
      <c r="L27" s="188">
        <v>0</v>
      </c>
      <c r="M27" s="188">
        <v>0</v>
      </c>
      <c r="N27" s="188">
        <v>0</v>
      </c>
      <c r="O27" s="188">
        <v>0</v>
      </c>
      <c r="P27" s="188">
        <v>0</v>
      </c>
      <c r="Q27" s="188">
        <v>0</v>
      </c>
      <c r="R27" s="188">
        <v>0</v>
      </c>
      <c r="S27" s="188">
        <v>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25315.56</v>
      </c>
      <c r="AQ27" s="188">
        <v>25315.56</v>
      </c>
      <c r="AR27" s="188">
        <v>41315.56</v>
      </c>
      <c r="AS27" s="188">
        <v>0</v>
      </c>
      <c r="AT27" s="188">
        <v>7770.58</v>
      </c>
      <c r="AU27" s="188">
        <v>3604.78</v>
      </c>
      <c r="AV27" s="188">
        <v>0</v>
      </c>
      <c r="AW27" s="188">
        <v>0</v>
      </c>
      <c r="AX27" s="188">
        <v>0</v>
      </c>
      <c r="AY27" s="188">
        <v>0</v>
      </c>
      <c r="AZ27" s="188">
        <v>0</v>
      </c>
      <c r="BA27" s="188">
        <v>0</v>
      </c>
      <c r="BB27" s="188">
        <v>0</v>
      </c>
      <c r="BC27" s="188">
        <v>0</v>
      </c>
      <c r="BD27" s="188">
        <v>0</v>
      </c>
      <c r="BE27" s="188">
        <v>0</v>
      </c>
      <c r="BF27" s="188">
        <v>0</v>
      </c>
      <c r="BG27" s="188">
        <v>0</v>
      </c>
      <c r="BH27" s="188">
        <v>0</v>
      </c>
      <c r="BI27" s="188">
        <v>0</v>
      </c>
      <c r="BJ27" s="188">
        <v>0</v>
      </c>
      <c r="BK27" s="188">
        <v>0</v>
      </c>
      <c r="BL27" s="188">
        <v>0</v>
      </c>
      <c r="BM27" s="188">
        <v>0</v>
      </c>
      <c r="BN27" s="188">
        <v>0</v>
      </c>
      <c r="BO27" s="188">
        <v>0</v>
      </c>
      <c r="BP27" s="188">
        <v>0</v>
      </c>
      <c r="BQ27" s="188">
        <v>0</v>
      </c>
      <c r="BR27" s="188">
        <v>10897017</v>
      </c>
      <c r="BS27" s="188">
        <v>0</v>
      </c>
      <c r="BT27" s="188">
        <v>0</v>
      </c>
      <c r="BU27" s="188">
        <v>0</v>
      </c>
      <c r="BV27" s="188">
        <v>0</v>
      </c>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0</v>
      </c>
      <c r="C28" s="188">
        <v>0</v>
      </c>
      <c r="D28" s="188">
        <v>0</v>
      </c>
      <c r="E28" s="188">
        <v>0</v>
      </c>
      <c r="F28" s="188">
        <v>0</v>
      </c>
      <c r="G28" s="188">
        <v>0</v>
      </c>
      <c r="H28" s="188">
        <v>0</v>
      </c>
      <c r="I28" s="188">
        <v>0</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c r="BK28" s="188">
        <v>0</v>
      </c>
      <c r="BL28" s="188">
        <v>0</v>
      </c>
      <c r="BM28" s="188">
        <v>0</v>
      </c>
      <c r="BN28" s="188">
        <v>0</v>
      </c>
      <c r="BO28" s="188">
        <v>0</v>
      </c>
      <c r="BP28" s="188">
        <v>0</v>
      </c>
      <c r="BQ28" s="188">
        <v>0</v>
      </c>
      <c r="BR28" s="188">
        <v>0</v>
      </c>
      <c r="BS28" s="188">
        <v>0</v>
      </c>
      <c r="BT28" s="188">
        <v>0</v>
      </c>
      <c r="BU28" s="188">
        <v>0</v>
      </c>
      <c r="BV28" s="188">
        <v>0</v>
      </c>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0</v>
      </c>
      <c r="C29" s="188">
        <v>0</v>
      </c>
      <c r="D29" s="188">
        <v>0</v>
      </c>
      <c r="E29" s="188">
        <v>0</v>
      </c>
      <c r="F29" s="188">
        <v>0</v>
      </c>
      <c r="G29" s="188">
        <v>0</v>
      </c>
      <c r="H29" s="188">
        <v>0</v>
      </c>
      <c r="I29" s="188">
        <v>0</v>
      </c>
      <c r="J29" s="188">
        <v>0</v>
      </c>
      <c r="K29" s="188">
        <v>0</v>
      </c>
      <c r="L29" s="188">
        <v>0</v>
      </c>
      <c r="M29" s="188">
        <v>0</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17000000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c r="BK29" s="188">
        <v>0</v>
      </c>
      <c r="BL29" s="188">
        <v>0</v>
      </c>
      <c r="BM29" s="188">
        <v>0</v>
      </c>
      <c r="BN29" s="188">
        <v>0</v>
      </c>
      <c r="BO29" s="188">
        <v>0</v>
      </c>
      <c r="BP29" s="188">
        <v>0</v>
      </c>
      <c r="BQ29" s="188">
        <v>0</v>
      </c>
      <c r="BR29" s="188">
        <v>0</v>
      </c>
      <c r="BS29" s="188">
        <v>0</v>
      </c>
      <c r="BT29" s="188">
        <v>0</v>
      </c>
      <c r="BU29" s="188">
        <v>0</v>
      </c>
      <c r="BV29" s="188">
        <v>0</v>
      </c>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24080041711.990002</v>
      </c>
      <c r="C33" s="35">
        <f t="shared" ref="C33:BN33" si="2">SUM(C22:C29)</f>
        <v>23697165192.690002</v>
      </c>
      <c r="D33" s="35">
        <f t="shared" si="2"/>
        <v>23639895337.360001</v>
      </c>
      <c r="E33" s="35">
        <f t="shared" si="2"/>
        <v>24138857432.369999</v>
      </c>
      <c r="F33" s="35">
        <f t="shared" si="2"/>
        <v>23595929165.560001</v>
      </c>
      <c r="G33" s="35">
        <f t="shared" si="2"/>
        <v>23605552208.440002</v>
      </c>
      <c r="H33" s="35">
        <f t="shared" si="2"/>
        <v>22941865733.029999</v>
      </c>
      <c r="I33" s="35">
        <f t="shared" si="2"/>
        <v>22794681830.470001</v>
      </c>
      <c r="J33" s="35">
        <f t="shared" si="2"/>
        <v>21377700608.459999</v>
      </c>
      <c r="K33" s="35">
        <f t="shared" si="2"/>
        <v>26345238100.209999</v>
      </c>
      <c r="L33" s="35">
        <f t="shared" si="2"/>
        <v>24804486886.380001</v>
      </c>
      <c r="M33" s="35">
        <f t="shared" si="2"/>
        <v>28118417077.060001</v>
      </c>
      <c r="N33" s="35">
        <f t="shared" si="2"/>
        <v>26624598801.169998</v>
      </c>
      <c r="O33" s="35">
        <f t="shared" si="2"/>
        <v>22866934997.23</v>
      </c>
      <c r="P33" s="35">
        <f t="shared" si="2"/>
        <v>21915060149.169998</v>
      </c>
      <c r="Q33" s="35">
        <f t="shared" si="2"/>
        <v>19779608471.779999</v>
      </c>
      <c r="R33" s="35">
        <f t="shared" si="2"/>
        <v>19158884184.810001</v>
      </c>
      <c r="S33" s="35">
        <f t="shared" si="2"/>
        <v>17503052584.119999</v>
      </c>
      <c r="T33" s="35">
        <f t="shared" si="2"/>
        <v>17012033967.67</v>
      </c>
      <c r="U33" s="35">
        <f t="shared" si="2"/>
        <v>16557974955.32</v>
      </c>
      <c r="V33" s="35">
        <f t="shared" si="2"/>
        <v>17538405136.98</v>
      </c>
      <c r="W33" s="35">
        <f t="shared" si="2"/>
        <v>16170306129.949999</v>
      </c>
      <c r="X33" s="35">
        <f t="shared" si="2"/>
        <v>14951060926.220001</v>
      </c>
      <c r="Y33" s="35">
        <f t="shared" si="2"/>
        <v>13898463950.49</v>
      </c>
      <c r="Z33" s="35">
        <f t="shared" si="2"/>
        <v>12529904994.02</v>
      </c>
      <c r="AA33" s="35">
        <f t="shared" si="2"/>
        <v>11228633973.92</v>
      </c>
      <c r="AB33" s="35">
        <f t="shared" si="2"/>
        <v>10226614186.25</v>
      </c>
      <c r="AC33" s="35">
        <f t="shared" si="2"/>
        <v>9349759258.3400002</v>
      </c>
      <c r="AD33" s="35">
        <f t="shared" si="2"/>
        <v>8522229530.6100006</v>
      </c>
      <c r="AE33" s="35">
        <f t="shared" si="2"/>
        <v>8050190746.9799995</v>
      </c>
      <c r="AF33" s="35">
        <f t="shared" si="2"/>
        <v>7718852488.3199997</v>
      </c>
      <c r="AG33" s="35">
        <f t="shared" si="2"/>
        <v>7369162513.6800003</v>
      </c>
      <c r="AH33" s="35">
        <f t="shared" si="2"/>
        <v>6852340552.8899994</v>
      </c>
      <c r="AI33" s="35">
        <f t="shared" si="2"/>
        <v>6265000796.7699995</v>
      </c>
      <c r="AJ33" s="35">
        <f t="shared" si="2"/>
        <v>6225982686.7600002</v>
      </c>
      <c r="AK33" s="35">
        <f t="shared" si="2"/>
        <v>5910520608.1500006</v>
      </c>
      <c r="AL33" s="35">
        <f t="shared" si="2"/>
        <v>4947902543.1499996</v>
      </c>
      <c r="AM33" s="35">
        <f t="shared" si="2"/>
        <v>4419566105.1100006</v>
      </c>
      <c r="AN33" s="35">
        <f t="shared" si="2"/>
        <v>4231419903.0100002</v>
      </c>
      <c r="AO33" s="35">
        <f t="shared" si="2"/>
        <v>4144245441.6799998</v>
      </c>
      <c r="AP33" s="35">
        <f t="shared" si="2"/>
        <v>2845937380.8200002</v>
      </c>
      <c r="AQ33" s="35">
        <f t="shared" si="2"/>
        <v>2681963679.4700003</v>
      </c>
      <c r="AR33" s="35">
        <f t="shared" si="2"/>
        <v>2652214381.6599998</v>
      </c>
      <c r="AS33" s="35">
        <f t="shared" si="2"/>
        <v>2545212203.4000001</v>
      </c>
      <c r="AT33" s="35">
        <f t="shared" si="2"/>
        <v>2352044590.3999996</v>
      </c>
      <c r="AU33" s="35">
        <f t="shared" si="2"/>
        <v>2461437688.46</v>
      </c>
      <c r="AV33" s="35">
        <f t="shared" si="2"/>
        <v>2382534278.9700003</v>
      </c>
      <c r="AW33" s="35">
        <f t="shared" si="2"/>
        <v>2287476201.6500001</v>
      </c>
      <c r="AX33" s="35">
        <f t="shared" si="2"/>
        <v>2270041289.4899998</v>
      </c>
      <c r="AY33" s="35">
        <f t="shared" si="2"/>
        <v>2113171578.8499999</v>
      </c>
      <c r="AZ33" s="35">
        <f t="shared" si="2"/>
        <v>2005804055.6600001</v>
      </c>
      <c r="BA33" s="35">
        <f t="shared" si="2"/>
        <v>2127530854.0799999</v>
      </c>
      <c r="BB33" s="35">
        <f t="shared" si="2"/>
        <v>1947680656.1199999</v>
      </c>
      <c r="BC33" s="35">
        <f t="shared" si="2"/>
        <v>1879141876.6300001</v>
      </c>
      <c r="BD33" s="35">
        <f t="shared" si="2"/>
        <v>1858021468.49</v>
      </c>
      <c r="BE33" s="35">
        <f t="shared" si="2"/>
        <v>1874311088.9499998</v>
      </c>
      <c r="BF33" s="35">
        <f t="shared" si="2"/>
        <v>1743815485.75</v>
      </c>
      <c r="BG33" s="35">
        <f t="shared" si="2"/>
        <v>1466840688.1500001</v>
      </c>
      <c r="BH33" s="35">
        <f t="shared" si="2"/>
        <v>1417365449.8499999</v>
      </c>
      <c r="BI33" s="35">
        <f t="shared" si="2"/>
        <v>1415075638.6099999</v>
      </c>
      <c r="BJ33" s="35">
        <f t="shared" si="2"/>
        <v>1423630802.76</v>
      </c>
      <c r="BK33" s="35">
        <f t="shared" si="2"/>
        <v>1298905532.2</v>
      </c>
      <c r="BL33" s="35">
        <f t="shared" si="2"/>
        <v>1183525092.25</v>
      </c>
      <c r="BM33" s="35">
        <f t="shared" si="2"/>
        <v>1207680923.6900001</v>
      </c>
      <c r="BN33" s="35">
        <f t="shared" si="2"/>
        <v>1148546126.73</v>
      </c>
      <c r="BO33" s="35">
        <f t="shared" ref="BO33:CK33" si="3">SUM(BO22:BO29)</f>
        <v>1143347443.8099999</v>
      </c>
      <c r="BP33" s="35">
        <f t="shared" si="3"/>
        <v>938818463.08999991</v>
      </c>
      <c r="BQ33" s="35">
        <f t="shared" si="3"/>
        <v>881141752.38999999</v>
      </c>
      <c r="BR33" s="35">
        <f t="shared" si="3"/>
        <v>678350402.54999995</v>
      </c>
      <c r="BS33" s="35">
        <f t="shared" si="3"/>
        <v>587757000.11000001</v>
      </c>
      <c r="BT33" s="35">
        <f t="shared" si="3"/>
        <v>521239540.63</v>
      </c>
      <c r="BU33" s="35">
        <f t="shared" si="3"/>
        <v>399771676.87</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0</v>
      </c>
      <c r="N35" s="188">
        <v>0</v>
      </c>
      <c r="O35" s="188">
        <v>0</v>
      </c>
      <c r="P35" s="188">
        <v>0</v>
      </c>
      <c r="Q35" s="188">
        <v>0</v>
      </c>
      <c r="R35" s="188">
        <v>0</v>
      </c>
      <c r="S35" s="188">
        <v>0</v>
      </c>
      <c r="T35" s="188">
        <v>0</v>
      </c>
      <c r="U35" s="188">
        <v>0</v>
      </c>
      <c r="V35" s="188">
        <v>0</v>
      </c>
      <c r="W35" s="188">
        <v>0</v>
      </c>
      <c r="X35" s="188">
        <v>0</v>
      </c>
      <c r="Y35" s="188">
        <v>0</v>
      </c>
      <c r="Z35" s="188">
        <v>0</v>
      </c>
      <c r="AA35" s="188">
        <v>0</v>
      </c>
      <c r="AB35" s="188">
        <v>0</v>
      </c>
      <c r="AC35" s="188">
        <v>0</v>
      </c>
      <c r="AD35" s="188">
        <v>0</v>
      </c>
      <c r="AE35" s="188">
        <v>0</v>
      </c>
      <c r="AF35" s="188">
        <v>0</v>
      </c>
      <c r="AG35" s="188">
        <v>0</v>
      </c>
      <c r="AH35" s="188">
        <v>0</v>
      </c>
      <c r="AI35" s="188">
        <v>0</v>
      </c>
      <c r="AJ35" s="188">
        <v>0</v>
      </c>
      <c r="AK35" s="188">
        <v>0</v>
      </c>
      <c r="AL35" s="188">
        <v>0</v>
      </c>
      <c r="AM35" s="188">
        <v>0</v>
      </c>
      <c r="AN35" s="188">
        <v>0</v>
      </c>
      <c r="AO35" s="188">
        <v>0</v>
      </c>
      <c r="AP35" s="188">
        <v>0</v>
      </c>
      <c r="AQ35" s="188">
        <v>0</v>
      </c>
      <c r="AR35" s="188">
        <v>0</v>
      </c>
      <c r="AS35" s="188">
        <v>0</v>
      </c>
      <c r="AT35" s="188">
        <v>0</v>
      </c>
      <c r="AU35" s="188">
        <v>0</v>
      </c>
      <c r="AV35" s="188">
        <v>0</v>
      </c>
      <c r="AW35" s="188">
        <v>0</v>
      </c>
      <c r="AX35" s="188">
        <v>0</v>
      </c>
      <c r="AY35" s="188">
        <v>0</v>
      </c>
      <c r="AZ35" s="188">
        <v>0</v>
      </c>
      <c r="BA35" s="188">
        <v>0</v>
      </c>
      <c r="BB35" s="188">
        <v>0</v>
      </c>
      <c r="BC35" s="188">
        <v>0</v>
      </c>
      <c r="BD35" s="188">
        <v>0</v>
      </c>
      <c r="BE35" s="188">
        <v>0</v>
      </c>
      <c r="BF35" s="188">
        <v>0</v>
      </c>
      <c r="BG35" s="188">
        <v>0</v>
      </c>
      <c r="BH35" s="188">
        <v>0</v>
      </c>
      <c r="BI35" s="188">
        <v>0</v>
      </c>
      <c r="BJ35" s="188">
        <v>0</v>
      </c>
      <c r="BK35" s="188">
        <v>0</v>
      </c>
      <c r="BL35" s="188">
        <v>0</v>
      </c>
      <c r="BM35" s="188">
        <v>0</v>
      </c>
      <c r="BN35" s="188">
        <v>0</v>
      </c>
      <c r="BO35" s="188">
        <v>0</v>
      </c>
      <c r="BP35" s="188">
        <v>0</v>
      </c>
      <c r="BQ35" s="188">
        <v>0</v>
      </c>
      <c r="BR35" s="188">
        <v>0</v>
      </c>
      <c r="BS35" s="188">
        <v>0</v>
      </c>
      <c r="BT35" s="188">
        <v>0</v>
      </c>
      <c r="BU35" s="188">
        <v>0</v>
      </c>
      <c r="BV35" s="188">
        <v>0</v>
      </c>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1168934463.4000001</v>
      </c>
      <c r="D36" s="188">
        <v>1020239721.89</v>
      </c>
      <c r="E36" s="188">
        <v>992055910.47000003</v>
      </c>
      <c r="F36" s="188">
        <v>1087911405.1900001</v>
      </c>
      <c r="G36" s="188">
        <v>1064431609.1799999</v>
      </c>
      <c r="H36" s="188">
        <v>1061686903.5</v>
      </c>
      <c r="I36" s="188">
        <v>1040608203.1799999</v>
      </c>
      <c r="J36" s="188">
        <v>196762048.31999999</v>
      </c>
      <c r="K36" s="188">
        <v>287201701.54000002</v>
      </c>
      <c r="L36" s="188">
        <v>527287333.60000002</v>
      </c>
      <c r="M36" s="188">
        <v>880976072.09000003</v>
      </c>
      <c r="N36" s="188">
        <v>316757090.77999997</v>
      </c>
      <c r="O36" s="188">
        <v>563904100.65999997</v>
      </c>
      <c r="P36" s="188">
        <v>280348676.61000001</v>
      </c>
      <c r="Q36" s="188">
        <v>707534647.53999996</v>
      </c>
      <c r="R36" s="188">
        <v>254046624.27000001</v>
      </c>
      <c r="S36" s="188">
        <v>300447845.04000002</v>
      </c>
      <c r="T36" s="188">
        <v>179958598.31</v>
      </c>
      <c r="U36" s="188">
        <v>284748288.88999999</v>
      </c>
      <c r="V36" s="188">
        <v>295246227.42000002</v>
      </c>
      <c r="W36" s="188">
        <v>154945158.11000001</v>
      </c>
      <c r="X36" s="188">
        <v>228373243.58000001</v>
      </c>
      <c r="Y36" s="188">
        <v>345280977.68000001</v>
      </c>
      <c r="Z36" s="188">
        <v>192020463.81999999</v>
      </c>
      <c r="AA36" s="188">
        <v>177403043.46000001</v>
      </c>
      <c r="AB36" s="188">
        <v>227653182.72</v>
      </c>
      <c r="AC36" s="188">
        <v>172343585.06</v>
      </c>
      <c r="AD36" s="188">
        <v>256736972.69</v>
      </c>
      <c r="AE36" s="188">
        <v>103561187.98</v>
      </c>
      <c r="AF36" s="188">
        <v>105625766.65000001</v>
      </c>
      <c r="AG36" s="188">
        <v>232013104.28</v>
      </c>
      <c r="AH36" s="188">
        <v>141223975.25</v>
      </c>
      <c r="AI36" s="188">
        <v>86036869.109999999</v>
      </c>
      <c r="AJ36" s="188">
        <v>68881978.819999993</v>
      </c>
      <c r="AK36" s="188">
        <v>139121352.44999999</v>
      </c>
      <c r="AL36" s="188">
        <v>88587110.959999993</v>
      </c>
      <c r="AM36" s="188">
        <v>59902501.899999999</v>
      </c>
      <c r="AN36" s="188">
        <v>56283240.369999997</v>
      </c>
      <c r="AO36" s="188">
        <v>121289073.56999999</v>
      </c>
      <c r="AP36" s="188">
        <v>121894425.3</v>
      </c>
      <c r="AQ36" s="188">
        <v>74163740.540000007</v>
      </c>
      <c r="AR36" s="188">
        <v>67839733.090000004</v>
      </c>
      <c r="AS36" s="188">
        <v>59681964.5</v>
      </c>
      <c r="AT36" s="188">
        <v>58157974.630000003</v>
      </c>
      <c r="AU36" s="188">
        <v>69880889.480000004</v>
      </c>
      <c r="AV36" s="188">
        <v>62111408.07</v>
      </c>
      <c r="AW36" s="188">
        <v>40813549.990000002</v>
      </c>
      <c r="AX36" s="188">
        <v>74371691.400000006</v>
      </c>
      <c r="AY36" s="188">
        <v>21723602.780000001</v>
      </c>
      <c r="AZ36" s="188">
        <v>44681505.439999998</v>
      </c>
      <c r="BA36" s="188">
        <v>30329177.02</v>
      </c>
      <c r="BB36" s="188">
        <v>21384556.039999999</v>
      </c>
      <c r="BC36" s="188">
        <v>1663140.34</v>
      </c>
      <c r="BD36" s="188">
        <v>37176128.240000002</v>
      </c>
      <c r="BE36" s="188">
        <v>35782831.799999997</v>
      </c>
      <c r="BF36" s="188">
        <v>29554677.23</v>
      </c>
      <c r="BG36" s="188">
        <v>25711328.100000001</v>
      </c>
      <c r="BH36" s="188">
        <v>18026442.379999999</v>
      </c>
      <c r="BI36" s="188">
        <v>40004706.009999998</v>
      </c>
      <c r="BJ36" s="188">
        <v>45095250.130000003</v>
      </c>
      <c r="BK36" s="188">
        <v>30349687.07</v>
      </c>
      <c r="BL36" s="188">
        <v>92997296.129999995</v>
      </c>
      <c r="BM36" s="188">
        <v>24208759.649999999</v>
      </c>
      <c r="BN36" s="188">
        <v>46612121.450000003</v>
      </c>
      <c r="BO36" s="188">
        <v>22218060.289999999</v>
      </c>
      <c r="BP36" s="188">
        <v>23806561.09</v>
      </c>
      <c r="BQ36" s="188">
        <v>10084988.039999999</v>
      </c>
      <c r="BR36" s="188">
        <v>31911863.66</v>
      </c>
      <c r="BS36" s="188">
        <v>29849878.670000002</v>
      </c>
      <c r="BT36" s="188">
        <v>30919891.949999999</v>
      </c>
      <c r="BU36" s="188">
        <v>25626956.390000001</v>
      </c>
      <c r="BV36" s="188">
        <v>0</v>
      </c>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11167533769.620001</v>
      </c>
      <c r="C37" s="188">
        <v>9940315208.2800007</v>
      </c>
      <c r="D37" s="188">
        <v>13172068428.440001</v>
      </c>
      <c r="E37" s="188">
        <v>14429106902.379999</v>
      </c>
      <c r="F37" s="188">
        <v>17471599148.5</v>
      </c>
      <c r="G37" s="188">
        <v>17780462402.41</v>
      </c>
      <c r="H37" s="188">
        <v>18987716266.919998</v>
      </c>
      <c r="I37" s="188">
        <v>17541082237.009998</v>
      </c>
      <c r="J37" s="188">
        <v>17393113994.450001</v>
      </c>
      <c r="K37" s="188">
        <v>11481462347.1</v>
      </c>
      <c r="L37" s="188">
        <v>8544531234.9899998</v>
      </c>
      <c r="M37" s="188">
        <v>8261582073.04</v>
      </c>
      <c r="N37" s="188">
        <v>5605690314.3900003</v>
      </c>
      <c r="O37" s="188">
        <v>2336532250.0799999</v>
      </c>
      <c r="P37" s="188">
        <v>2791357240.5900002</v>
      </c>
      <c r="Q37" s="188">
        <v>1476233096.0899999</v>
      </c>
      <c r="R37" s="188">
        <v>863078519.53999996</v>
      </c>
      <c r="S37" s="188">
        <v>544093908.05999994</v>
      </c>
      <c r="T37" s="188">
        <v>1620934562.9400001</v>
      </c>
      <c r="U37" s="188">
        <v>3045113586.0999999</v>
      </c>
      <c r="V37" s="188">
        <v>1942323729.47</v>
      </c>
      <c r="W37" s="188">
        <v>834909649.15999997</v>
      </c>
      <c r="X37" s="188">
        <v>2866551653.98</v>
      </c>
      <c r="Y37" s="188">
        <v>5091386269.5500002</v>
      </c>
      <c r="Z37" s="188">
        <v>3747235013.6199999</v>
      </c>
      <c r="AA37" s="188">
        <v>4045101878.2199998</v>
      </c>
      <c r="AB37" s="188">
        <v>5771602337.29</v>
      </c>
      <c r="AC37" s="188">
        <v>7026648776.8000002</v>
      </c>
      <c r="AD37" s="188">
        <v>6818054223.3400002</v>
      </c>
      <c r="AE37" s="188">
        <v>4934943749.8800001</v>
      </c>
      <c r="AF37" s="188">
        <v>6343640233.4899998</v>
      </c>
      <c r="AG37" s="188">
        <v>4738570750.1599998</v>
      </c>
      <c r="AH37" s="188">
        <v>3261960544.9899998</v>
      </c>
      <c r="AI37" s="188">
        <v>1967772191.1500001</v>
      </c>
      <c r="AJ37" s="188">
        <v>3061744018.5999999</v>
      </c>
      <c r="AK37" s="188">
        <v>3516423880.1999998</v>
      </c>
      <c r="AL37" s="188">
        <v>1291979488.28</v>
      </c>
      <c r="AM37" s="188">
        <v>656278377.95000005</v>
      </c>
      <c r="AN37" s="188">
        <v>1843123125.75</v>
      </c>
      <c r="AO37" s="188">
        <v>2936266375.0999999</v>
      </c>
      <c r="AP37" s="188">
        <v>936307045.5</v>
      </c>
      <c r="AQ37" s="188">
        <v>294309661.06</v>
      </c>
      <c r="AR37" s="188">
        <v>1299238882.0799999</v>
      </c>
      <c r="AS37" s="188">
        <v>1125288196.26</v>
      </c>
      <c r="AT37" s="188">
        <v>2225691510.1700001</v>
      </c>
      <c r="AU37" s="188">
        <v>2442383982.6399999</v>
      </c>
      <c r="AV37" s="188">
        <v>2288687475.4299998</v>
      </c>
      <c r="AW37" s="188">
        <v>2136139561.53</v>
      </c>
      <c r="AX37" s="188">
        <v>2376011815.6199999</v>
      </c>
      <c r="AY37" s="188">
        <v>1930943022.1900001</v>
      </c>
      <c r="AZ37" s="188">
        <v>1497531229.96</v>
      </c>
      <c r="BA37" s="188">
        <v>1543198286.97</v>
      </c>
      <c r="BB37" s="188">
        <v>1432522801.74</v>
      </c>
      <c r="BC37" s="188">
        <v>1142634233.98</v>
      </c>
      <c r="BD37" s="188">
        <v>975658209.26999998</v>
      </c>
      <c r="BE37" s="188">
        <v>1036893726.13</v>
      </c>
      <c r="BF37" s="188">
        <v>940904599.92999995</v>
      </c>
      <c r="BG37" s="188">
        <v>689015516.62</v>
      </c>
      <c r="BH37" s="188">
        <v>559029622.73000002</v>
      </c>
      <c r="BI37" s="188">
        <v>745368392.5</v>
      </c>
      <c r="BJ37" s="188">
        <v>740386373.70000005</v>
      </c>
      <c r="BK37" s="188">
        <v>405099682.74000001</v>
      </c>
      <c r="BL37" s="188">
        <v>163378923.87</v>
      </c>
      <c r="BM37" s="188">
        <v>452516762.87</v>
      </c>
      <c r="BN37" s="188">
        <v>319415404.31999999</v>
      </c>
      <c r="BO37" s="188">
        <v>230405955.47</v>
      </c>
      <c r="BP37" s="188">
        <v>167693673.66999999</v>
      </c>
      <c r="BQ37" s="188">
        <v>306147007.76999998</v>
      </c>
      <c r="BR37" s="188">
        <v>60338220.450000003</v>
      </c>
      <c r="BS37" s="188">
        <v>385340199.56</v>
      </c>
      <c r="BT37" s="188">
        <v>86012360.840000004</v>
      </c>
      <c r="BU37" s="188">
        <v>93845099.560000002</v>
      </c>
      <c r="BV37" s="188">
        <v>0</v>
      </c>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v>0</v>
      </c>
      <c r="BI38" s="188">
        <v>0</v>
      </c>
      <c r="BJ38" s="188">
        <v>0</v>
      </c>
      <c r="BK38" s="188">
        <v>0</v>
      </c>
      <c r="BL38" s="188">
        <v>0</v>
      </c>
      <c r="BM38" s="188">
        <v>0</v>
      </c>
      <c r="BN38" s="188">
        <v>0</v>
      </c>
      <c r="BO38" s="188">
        <v>0</v>
      </c>
      <c r="BP38" s="188">
        <v>0</v>
      </c>
      <c r="BQ38" s="188">
        <v>0</v>
      </c>
      <c r="BR38" s="188">
        <v>0</v>
      </c>
      <c r="BS38" s="188">
        <v>0</v>
      </c>
      <c r="BT38" s="188">
        <v>0</v>
      </c>
      <c r="BU38" s="188">
        <v>0</v>
      </c>
      <c r="BV38" s="188">
        <v>0</v>
      </c>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548714026.45000005</v>
      </c>
      <c r="C39" s="188">
        <v>505809848.75999999</v>
      </c>
      <c r="D39" s="188">
        <v>335223076.5</v>
      </c>
      <c r="E39" s="188">
        <v>1901644193.6400001</v>
      </c>
      <c r="F39" s="188">
        <v>438813137.86000001</v>
      </c>
      <c r="G39" s="188">
        <v>412607384.94</v>
      </c>
      <c r="H39" s="188">
        <v>428985472.00999999</v>
      </c>
      <c r="I39" s="188">
        <v>1628507252.03</v>
      </c>
      <c r="J39" s="188">
        <v>425171258.81999999</v>
      </c>
      <c r="K39" s="188">
        <v>426673790.70999998</v>
      </c>
      <c r="L39" s="188">
        <v>468031934.29000002</v>
      </c>
      <c r="M39" s="188">
        <v>975477747.05999994</v>
      </c>
      <c r="N39" s="188">
        <v>330010898.12</v>
      </c>
      <c r="O39" s="188">
        <v>272740804.58999997</v>
      </c>
      <c r="P39" s="188">
        <v>314852542.08999997</v>
      </c>
      <c r="Q39" s="188">
        <v>988643842.55999994</v>
      </c>
      <c r="R39" s="188">
        <v>229074380.43000001</v>
      </c>
      <c r="S39" s="188">
        <v>206743735.74000001</v>
      </c>
      <c r="T39" s="188">
        <v>246301793.31999999</v>
      </c>
      <c r="U39" s="188">
        <v>260284491.74000001</v>
      </c>
      <c r="V39" s="188">
        <v>234790816.41</v>
      </c>
      <c r="W39" s="188">
        <v>237704671.96000001</v>
      </c>
      <c r="X39" s="188">
        <v>243914542.02000001</v>
      </c>
      <c r="Y39" s="188">
        <v>269657755.57999998</v>
      </c>
      <c r="Z39" s="188">
        <v>230251781.13</v>
      </c>
      <c r="AA39" s="188">
        <v>209540857.96000001</v>
      </c>
      <c r="AB39" s="188">
        <v>239894196.91999999</v>
      </c>
      <c r="AC39" s="188">
        <v>577522908.05999994</v>
      </c>
      <c r="AD39" s="188">
        <v>224194887.56999999</v>
      </c>
      <c r="AE39" s="188">
        <v>236869502</v>
      </c>
      <c r="AF39" s="188">
        <v>315369564.19</v>
      </c>
      <c r="AG39" s="188">
        <v>500258690.69</v>
      </c>
      <c r="AH39" s="188">
        <v>228822513.61000001</v>
      </c>
      <c r="AI39" s="188">
        <v>219342568.91999999</v>
      </c>
      <c r="AJ39" s="188">
        <v>221876918.46000001</v>
      </c>
      <c r="AK39" s="188">
        <v>463948636.85000002</v>
      </c>
      <c r="AL39" s="188">
        <v>85504323.519999996</v>
      </c>
      <c r="AM39" s="188">
        <v>81161284.650000006</v>
      </c>
      <c r="AN39" s="188">
        <v>94590770.930000007</v>
      </c>
      <c r="AO39" s="188">
        <v>361007478.76999998</v>
      </c>
      <c r="AP39" s="188">
        <v>27515257.91</v>
      </c>
      <c r="AQ39" s="188">
        <v>25823194.859999999</v>
      </c>
      <c r="AR39" s="188">
        <v>595973.82999999996</v>
      </c>
      <c r="AS39" s="188">
        <v>54596365.240000002</v>
      </c>
      <c r="AT39" s="188">
        <v>59665279.289999999</v>
      </c>
      <c r="AU39" s="188">
        <v>55185885.549999997</v>
      </c>
      <c r="AV39" s="188">
        <v>32087669.52</v>
      </c>
      <c r="AW39" s="188">
        <v>97946613.019999996</v>
      </c>
      <c r="AX39" s="188">
        <v>61323495.32</v>
      </c>
      <c r="AY39" s="188">
        <v>55493188.909999996</v>
      </c>
      <c r="AZ39" s="188">
        <v>51631572.920000002</v>
      </c>
      <c r="BA39" s="188">
        <v>94549201.409999996</v>
      </c>
      <c r="BB39" s="188">
        <v>41176966.369999997</v>
      </c>
      <c r="BC39" s="188">
        <v>41989017.979999997</v>
      </c>
      <c r="BD39" s="188">
        <v>38014868.420000002</v>
      </c>
      <c r="BE39" s="188">
        <v>62895093.140000001</v>
      </c>
      <c r="BF39" s="188">
        <v>33756781.299999997</v>
      </c>
      <c r="BG39" s="188">
        <v>32351576.68</v>
      </c>
      <c r="BH39" s="188">
        <v>56944253.479999997</v>
      </c>
      <c r="BI39" s="188">
        <v>55513753.5</v>
      </c>
      <c r="BJ39" s="188">
        <v>49277141.649999999</v>
      </c>
      <c r="BK39" s="188">
        <v>47550824.859999999</v>
      </c>
      <c r="BL39" s="188">
        <v>45728489.82</v>
      </c>
      <c r="BM39" s="188">
        <v>61785500.240000002</v>
      </c>
      <c r="BN39" s="188">
        <v>26779980.550000001</v>
      </c>
      <c r="BO39" s="188">
        <v>10786313.76</v>
      </c>
      <c r="BP39" s="188">
        <v>19273924.690000001</v>
      </c>
      <c r="BQ39" s="188">
        <v>19823059.32</v>
      </c>
      <c r="BR39" s="188">
        <v>0</v>
      </c>
      <c r="BS39" s="188">
        <v>6706990.0999999996</v>
      </c>
      <c r="BT39" s="188">
        <v>890294.04</v>
      </c>
      <c r="BU39" s="188">
        <v>0</v>
      </c>
      <c r="BV39" s="188">
        <v>0</v>
      </c>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5025353546.0500002</v>
      </c>
      <c r="C40" s="188">
        <v>1712995353.28</v>
      </c>
      <c r="D40" s="188">
        <v>2384919698.71</v>
      </c>
      <c r="E40" s="188">
        <v>7726135741.8999996</v>
      </c>
      <c r="F40" s="188">
        <v>5369883309.7799997</v>
      </c>
      <c r="G40" s="188">
        <v>1942909140.98</v>
      </c>
      <c r="H40" s="188">
        <v>2972481741.98</v>
      </c>
      <c r="I40" s="188">
        <v>4272289194.5700002</v>
      </c>
      <c r="J40" s="188">
        <v>1940334705.9000001</v>
      </c>
      <c r="K40" s="188">
        <v>1839062337.4400001</v>
      </c>
      <c r="L40" s="188">
        <v>1872491613.95</v>
      </c>
      <c r="M40" s="188">
        <v>2515516156.8299999</v>
      </c>
      <c r="N40" s="188">
        <v>1747481864.04</v>
      </c>
      <c r="O40" s="188">
        <v>1160203414.3900001</v>
      </c>
      <c r="P40" s="188">
        <v>1394870953.3499999</v>
      </c>
      <c r="Q40" s="188">
        <v>2105178165.8699999</v>
      </c>
      <c r="R40" s="188">
        <v>1739406024.6199999</v>
      </c>
      <c r="S40" s="188">
        <v>2044133978.8</v>
      </c>
      <c r="T40" s="188">
        <v>2154365485.9000001</v>
      </c>
      <c r="U40" s="188">
        <v>3311880890.4899998</v>
      </c>
      <c r="V40" s="188">
        <v>2412250959.0700002</v>
      </c>
      <c r="W40" s="188">
        <v>1605568712.3900001</v>
      </c>
      <c r="X40" s="188">
        <v>1777802419.79</v>
      </c>
      <c r="Y40" s="188">
        <v>2430093461.3800001</v>
      </c>
      <c r="Z40" s="188">
        <v>1343260348.4100001</v>
      </c>
      <c r="AA40" s="188">
        <v>1533917683.5599999</v>
      </c>
      <c r="AB40" s="188">
        <v>759279831.04999995</v>
      </c>
      <c r="AC40" s="188">
        <v>788080887.25</v>
      </c>
      <c r="AD40" s="188">
        <v>1426862877.28</v>
      </c>
      <c r="AE40" s="188">
        <v>996570725.11000001</v>
      </c>
      <c r="AF40" s="188">
        <v>707250314.51999998</v>
      </c>
      <c r="AG40" s="188">
        <v>419882954.10000002</v>
      </c>
      <c r="AH40" s="188">
        <v>480477504.12</v>
      </c>
      <c r="AI40" s="188">
        <v>333972453.07999998</v>
      </c>
      <c r="AJ40" s="188">
        <v>351232906.33999997</v>
      </c>
      <c r="AK40" s="188">
        <v>140524984.34</v>
      </c>
      <c r="AL40" s="188">
        <v>361096981.97000003</v>
      </c>
      <c r="AM40" s="188">
        <v>317344605.56999999</v>
      </c>
      <c r="AN40" s="188">
        <v>256948214.31999999</v>
      </c>
      <c r="AO40" s="188">
        <v>256300257.22999999</v>
      </c>
      <c r="AP40" s="188">
        <v>338517455.50999999</v>
      </c>
      <c r="AQ40" s="188">
        <v>274146541.99000001</v>
      </c>
      <c r="AR40" s="188">
        <v>223988069.66999999</v>
      </c>
      <c r="AS40" s="188">
        <v>407747376.14999998</v>
      </c>
      <c r="AT40" s="188">
        <v>444610409.02999997</v>
      </c>
      <c r="AU40" s="188">
        <v>302508705.35000002</v>
      </c>
      <c r="AV40" s="188">
        <v>580497443.63999999</v>
      </c>
      <c r="AW40" s="188">
        <v>799888744.17999995</v>
      </c>
      <c r="AX40" s="188">
        <v>579933248.23000002</v>
      </c>
      <c r="AY40" s="188">
        <v>518046187.67000002</v>
      </c>
      <c r="AZ40" s="188">
        <v>650983556.03999996</v>
      </c>
      <c r="BA40" s="188">
        <v>910874634.37</v>
      </c>
      <c r="BB40" s="188">
        <v>571081576.00999999</v>
      </c>
      <c r="BC40" s="188">
        <v>488276213.82999998</v>
      </c>
      <c r="BD40" s="188">
        <v>572520719.29999995</v>
      </c>
      <c r="BE40" s="188">
        <v>592839376.00999999</v>
      </c>
      <c r="BF40" s="188">
        <v>267592270.5</v>
      </c>
      <c r="BG40" s="188">
        <v>201851940.25</v>
      </c>
      <c r="BH40" s="188">
        <v>207579844.30000001</v>
      </c>
      <c r="BI40" s="188">
        <v>415165509.57999998</v>
      </c>
      <c r="BJ40" s="188">
        <v>148931189.75999999</v>
      </c>
      <c r="BK40" s="188">
        <v>107864087.18000001</v>
      </c>
      <c r="BL40" s="188">
        <v>280379277.95999998</v>
      </c>
      <c r="BM40" s="188">
        <v>320854102.24000001</v>
      </c>
      <c r="BN40" s="188">
        <v>185026778.38</v>
      </c>
      <c r="BO40" s="188">
        <v>105457534.38</v>
      </c>
      <c r="BP40" s="188">
        <v>201581710.71000001</v>
      </c>
      <c r="BQ40" s="188">
        <v>237655974.44</v>
      </c>
      <c r="BR40" s="188">
        <v>218621799.30000001</v>
      </c>
      <c r="BS40" s="188">
        <v>163768961.56</v>
      </c>
      <c r="BT40" s="188">
        <v>279994490.42000002</v>
      </c>
      <c r="BU40" s="188">
        <v>157969304.36000001</v>
      </c>
      <c r="BV40" s="188">
        <v>0</v>
      </c>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4618218558.0200005</v>
      </c>
      <c r="C41" s="188">
        <v>4459746711.6800003</v>
      </c>
      <c r="D41" s="188">
        <v>3660293060.71</v>
      </c>
      <c r="E41" s="188">
        <v>3039948303.8000002</v>
      </c>
      <c r="F41" s="188">
        <v>3092024975.4400001</v>
      </c>
      <c r="G41" s="188">
        <v>2745801694.9200001</v>
      </c>
      <c r="H41" s="188">
        <v>2473356946.23</v>
      </c>
      <c r="I41" s="188">
        <v>1724638571.4400001</v>
      </c>
      <c r="J41" s="188">
        <v>1388858403.96</v>
      </c>
      <c r="K41" s="188">
        <v>1439340879.6400001</v>
      </c>
      <c r="L41" s="188">
        <v>1322204243.4400001</v>
      </c>
      <c r="M41" s="188">
        <v>1423139205.9300001</v>
      </c>
      <c r="N41" s="188">
        <v>1240211431.3299999</v>
      </c>
      <c r="O41" s="188">
        <v>1242727741.6400001</v>
      </c>
      <c r="P41" s="188">
        <v>1181440647.8800001</v>
      </c>
      <c r="Q41" s="188">
        <v>1231886240.3499999</v>
      </c>
      <c r="R41" s="188">
        <v>1121122683.4000001</v>
      </c>
      <c r="S41" s="188">
        <v>1297059321.48</v>
      </c>
      <c r="T41" s="188">
        <v>1297181405.1400001</v>
      </c>
      <c r="U41" s="188">
        <v>1604688158.1400001</v>
      </c>
      <c r="V41" s="188">
        <v>1325343399.9000001</v>
      </c>
      <c r="W41" s="188">
        <v>1339057191.5599999</v>
      </c>
      <c r="X41" s="188">
        <v>1542658486.48</v>
      </c>
      <c r="Y41" s="188">
        <v>1389984092.02</v>
      </c>
      <c r="Z41" s="188">
        <v>1117084930.97</v>
      </c>
      <c r="AA41" s="188">
        <v>1089178004.96</v>
      </c>
      <c r="AB41" s="188">
        <v>858514785.59000003</v>
      </c>
      <c r="AC41" s="188">
        <v>916123206.95000005</v>
      </c>
      <c r="AD41" s="188">
        <v>839515287.22000003</v>
      </c>
      <c r="AE41" s="188">
        <v>814640531.35000002</v>
      </c>
      <c r="AF41" s="188">
        <v>820549084.16999996</v>
      </c>
      <c r="AG41" s="188">
        <v>818880550.54999995</v>
      </c>
      <c r="AH41" s="188">
        <v>745527353.89999998</v>
      </c>
      <c r="AI41" s="188">
        <v>792826638.99000001</v>
      </c>
      <c r="AJ41" s="188">
        <v>720415463.54999995</v>
      </c>
      <c r="AK41" s="188">
        <v>710831237.04999995</v>
      </c>
      <c r="AL41" s="188">
        <v>685092693.53999996</v>
      </c>
      <c r="AM41" s="188">
        <v>623444447.46000004</v>
      </c>
      <c r="AN41" s="188">
        <v>584099269.07000005</v>
      </c>
      <c r="AO41" s="188">
        <v>575906355.73000002</v>
      </c>
      <c r="AP41" s="188">
        <v>642824025.63</v>
      </c>
      <c r="AQ41" s="188">
        <v>634832659.15999997</v>
      </c>
      <c r="AR41" s="188">
        <v>637466044.74000001</v>
      </c>
      <c r="AS41" s="188">
        <v>423495209.81999999</v>
      </c>
      <c r="AT41" s="188">
        <v>411364074.5</v>
      </c>
      <c r="AU41" s="188">
        <v>414688558.23000002</v>
      </c>
      <c r="AV41" s="188">
        <v>308664076.18000001</v>
      </c>
      <c r="AW41" s="188">
        <v>310137150.24000001</v>
      </c>
      <c r="AX41" s="188">
        <v>240631371.05000001</v>
      </c>
      <c r="AY41" s="188">
        <v>208860858.97</v>
      </c>
      <c r="AZ41" s="188">
        <v>178052630.78</v>
      </c>
      <c r="BA41" s="188">
        <v>269348761.11000001</v>
      </c>
      <c r="BB41" s="188">
        <v>188286286.91999999</v>
      </c>
      <c r="BC41" s="188">
        <v>320008573.99000001</v>
      </c>
      <c r="BD41" s="188">
        <v>275403561.31999999</v>
      </c>
      <c r="BE41" s="188">
        <v>396044896.51999998</v>
      </c>
      <c r="BF41" s="188">
        <v>325601208.31999999</v>
      </c>
      <c r="BG41" s="188">
        <v>199590239.62</v>
      </c>
      <c r="BH41" s="188">
        <v>200822198.28</v>
      </c>
      <c r="BI41" s="188">
        <v>213109026.88999999</v>
      </c>
      <c r="BJ41" s="188">
        <v>173188379.44999999</v>
      </c>
      <c r="BK41" s="188">
        <v>139850240.44999999</v>
      </c>
      <c r="BL41" s="188">
        <v>135595654.83000001</v>
      </c>
      <c r="BM41" s="188">
        <v>127453900</v>
      </c>
      <c r="BN41" s="188">
        <v>101540468.89</v>
      </c>
      <c r="BO41" s="188">
        <v>81084064.260000005</v>
      </c>
      <c r="BP41" s="188">
        <v>88203915.760000005</v>
      </c>
      <c r="BQ41" s="188">
        <v>176692131.93000001</v>
      </c>
      <c r="BR41" s="188">
        <v>61064695.939999998</v>
      </c>
      <c r="BS41" s="188">
        <v>105580857.90000001</v>
      </c>
      <c r="BT41" s="188">
        <v>59024931.399999999</v>
      </c>
      <c r="BU41" s="188">
        <v>18613175.010000002</v>
      </c>
      <c r="BV41" s="188">
        <v>0</v>
      </c>
      <c r="BW41" s="188"/>
      <c r="BX41" s="188"/>
      <c r="BY41" s="188"/>
      <c r="BZ41" s="188"/>
      <c r="CA41" s="188"/>
      <c r="CB41" s="188"/>
      <c r="CC41" s="188"/>
      <c r="CD41" s="188"/>
      <c r="CE41" s="188"/>
      <c r="CF41" s="188"/>
      <c r="CG41" s="188"/>
      <c r="CH41" s="188"/>
      <c r="CI41" s="188"/>
      <c r="CJ41" s="188"/>
      <c r="CK41" s="188"/>
      <c r="CL41" s="188"/>
    </row>
    <row r="42" spans="1:90" s="39" customFormat="1" x14ac:dyDescent="0.25">
      <c r="A42" s="124" t="s">
        <v>28</v>
      </c>
      <c r="B42" s="188">
        <v>0</v>
      </c>
      <c r="C42" s="188">
        <v>0</v>
      </c>
      <c r="D42" s="188">
        <v>0</v>
      </c>
      <c r="E42" s="188">
        <v>0</v>
      </c>
      <c r="F42" s="188">
        <v>0</v>
      </c>
      <c r="G42" s="188">
        <v>0</v>
      </c>
      <c r="H42" s="188">
        <v>0</v>
      </c>
      <c r="I42" s="188">
        <v>0</v>
      </c>
      <c r="J42" s="188">
        <v>0</v>
      </c>
      <c r="K42" s="188">
        <v>0</v>
      </c>
      <c r="L42" s="188">
        <v>0</v>
      </c>
      <c r="M42" s="188">
        <v>0</v>
      </c>
      <c r="N42" s="188">
        <v>0</v>
      </c>
      <c r="O42" s="188">
        <v>0</v>
      </c>
      <c r="P42" s="188">
        <v>0</v>
      </c>
      <c r="Q42" s="188">
        <v>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v>0</v>
      </c>
      <c r="BI42" s="188">
        <v>0</v>
      </c>
      <c r="BJ42" s="188">
        <v>0</v>
      </c>
      <c r="BK42" s="188">
        <v>0</v>
      </c>
      <c r="BL42" s="188">
        <v>0</v>
      </c>
      <c r="BM42" s="188">
        <v>0</v>
      </c>
      <c r="BN42" s="188">
        <v>0</v>
      </c>
      <c r="BO42" s="188">
        <v>0</v>
      </c>
      <c r="BP42" s="188">
        <v>0</v>
      </c>
      <c r="BQ42" s="188">
        <v>0</v>
      </c>
      <c r="BR42" s="188">
        <v>0</v>
      </c>
      <c r="BS42" s="188">
        <v>0</v>
      </c>
      <c r="BT42" s="188">
        <v>0</v>
      </c>
      <c r="BU42" s="188">
        <v>0</v>
      </c>
      <c r="BV42" s="188">
        <v>0</v>
      </c>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0</v>
      </c>
      <c r="C43" s="188">
        <v>0</v>
      </c>
      <c r="D43" s="188">
        <v>0</v>
      </c>
      <c r="E43" s="188">
        <v>0</v>
      </c>
      <c r="F43" s="188">
        <v>0</v>
      </c>
      <c r="G43" s="188">
        <v>0</v>
      </c>
      <c r="H43" s="188">
        <v>0</v>
      </c>
      <c r="I43" s="188">
        <v>0</v>
      </c>
      <c r="J43" s="188">
        <v>0</v>
      </c>
      <c r="K43" s="188">
        <v>0</v>
      </c>
      <c r="L43" s="188">
        <v>0</v>
      </c>
      <c r="M43" s="188">
        <v>0</v>
      </c>
      <c r="N43" s="188">
        <v>0</v>
      </c>
      <c r="O43" s="188">
        <v>0</v>
      </c>
      <c r="P43" s="188">
        <v>0</v>
      </c>
      <c r="Q43" s="188">
        <v>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v>0</v>
      </c>
      <c r="BI43" s="188">
        <v>0</v>
      </c>
      <c r="BJ43" s="188">
        <v>0</v>
      </c>
      <c r="BK43" s="188">
        <v>0</v>
      </c>
      <c r="BL43" s="188">
        <v>0</v>
      </c>
      <c r="BM43" s="188">
        <v>0</v>
      </c>
      <c r="BN43" s="188">
        <v>0</v>
      </c>
      <c r="BO43" s="188">
        <v>0</v>
      </c>
      <c r="BP43" s="188">
        <v>0</v>
      </c>
      <c r="BQ43" s="188">
        <v>0</v>
      </c>
      <c r="BR43" s="188">
        <v>0</v>
      </c>
      <c r="BS43" s="188">
        <v>0</v>
      </c>
      <c r="BT43" s="188">
        <v>0</v>
      </c>
      <c r="BU43" s="188">
        <v>0</v>
      </c>
      <c r="BV43" s="188">
        <v>0</v>
      </c>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15570000</v>
      </c>
      <c r="D44" s="188">
        <v>15570000</v>
      </c>
      <c r="E44" s="188">
        <v>15570000</v>
      </c>
      <c r="F44" s="188">
        <v>15570000</v>
      </c>
      <c r="G44" s="188">
        <v>15570000</v>
      </c>
      <c r="H44" s="188">
        <v>15570000</v>
      </c>
      <c r="I44" s="188">
        <v>15570000</v>
      </c>
      <c r="J44" s="188">
        <v>15570000</v>
      </c>
      <c r="K44" s="188">
        <v>15570000</v>
      </c>
      <c r="L44" s="188">
        <v>15570000</v>
      </c>
      <c r="M44" s="188">
        <v>15570000</v>
      </c>
      <c r="N44" s="188">
        <v>17770000</v>
      </c>
      <c r="O44" s="188">
        <v>17770000</v>
      </c>
      <c r="P44" s="188">
        <v>17770000</v>
      </c>
      <c r="Q44" s="188">
        <v>17770000</v>
      </c>
      <c r="R44" s="188">
        <v>17770000</v>
      </c>
      <c r="S44" s="188">
        <v>17770000</v>
      </c>
      <c r="T44" s="188">
        <v>17770000</v>
      </c>
      <c r="U44" s="188">
        <v>17770000</v>
      </c>
      <c r="V44" s="188">
        <v>17770000</v>
      </c>
      <c r="W44" s="188">
        <v>17770000</v>
      </c>
      <c r="X44" s="188">
        <v>17770000</v>
      </c>
      <c r="Y44" s="188">
        <v>17770000</v>
      </c>
      <c r="Z44" s="188">
        <v>17770000</v>
      </c>
      <c r="AA44" s="188">
        <v>17770000</v>
      </c>
      <c r="AB44" s="188">
        <v>17770000</v>
      </c>
      <c r="AC44" s="188">
        <v>16770000</v>
      </c>
      <c r="AD44" s="188">
        <v>19530000</v>
      </c>
      <c r="AE44" s="188">
        <v>19530000</v>
      </c>
      <c r="AF44" s="188">
        <v>10000000</v>
      </c>
      <c r="AG44" s="188">
        <v>10000000</v>
      </c>
      <c r="AH44" s="188">
        <v>10000000</v>
      </c>
      <c r="AI44" s="188">
        <v>10000000</v>
      </c>
      <c r="AJ44" s="188">
        <v>10000000</v>
      </c>
      <c r="AK44" s="188">
        <v>10000000</v>
      </c>
      <c r="AL44" s="188">
        <v>10000000</v>
      </c>
      <c r="AM44" s="188">
        <v>10000000</v>
      </c>
      <c r="AN44" s="188">
        <v>10000000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300000</v>
      </c>
      <c r="BE44" s="188">
        <v>0</v>
      </c>
      <c r="BF44" s="188">
        <v>300000</v>
      </c>
      <c r="BG44" s="188">
        <v>300000</v>
      </c>
      <c r="BH44" s="188">
        <v>300000</v>
      </c>
      <c r="BI44" s="188">
        <v>300000</v>
      </c>
      <c r="BJ44" s="188">
        <v>0</v>
      </c>
      <c r="BK44" s="188">
        <v>0</v>
      </c>
      <c r="BL44" s="188">
        <v>0</v>
      </c>
      <c r="BM44" s="188">
        <v>0</v>
      </c>
      <c r="BN44" s="188">
        <v>0</v>
      </c>
      <c r="BO44" s="188">
        <v>0</v>
      </c>
      <c r="BP44" s="188">
        <v>0</v>
      </c>
      <c r="BQ44" s="188">
        <v>0</v>
      </c>
      <c r="BR44" s="188">
        <v>0</v>
      </c>
      <c r="BS44" s="188">
        <v>0</v>
      </c>
      <c r="BT44" s="188">
        <v>0</v>
      </c>
      <c r="BU44" s="188">
        <v>0</v>
      </c>
      <c r="BV44" s="188">
        <v>0</v>
      </c>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191241.2</v>
      </c>
      <c r="AW45" s="188">
        <v>0</v>
      </c>
      <c r="AX45" s="188">
        <v>0</v>
      </c>
      <c r="AY45" s="188">
        <v>0</v>
      </c>
      <c r="AZ45" s="188">
        <v>0</v>
      </c>
      <c r="BA45" s="188">
        <v>0</v>
      </c>
      <c r="BB45" s="188">
        <v>0</v>
      </c>
      <c r="BC45" s="188">
        <v>0</v>
      </c>
      <c r="BD45" s="188">
        <v>0</v>
      </c>
      <c r="BE45" s="188">
        <v>0</v>
      </c>
      <c r="BF45" s="188">
        <v>0</v>
      </c>
      <c r="BG45" s="188">
        <v>0</v>
      </c>
      <c r="BH45" s="188">
        <v>0</v>
      </c>
      <c r="BI45" s="188">
        <v>0</v>
      </c>
      <c r="BJ45" s="188">
        <v>0</v>
      </c>
      <c r="BK45" s="188">
        <v>0</v>
      </c>
      <c r="BL45" s="188">
        <v>0</v>
      </c>
      <c r="BM45" s="188">
        <v>0</v>
      </c>
      <c r="BN45" s="188">
        <v>0</v>
      </c>
      <c r="BO45" s="188">
        <v>0</v>
      </c>
      <c r="BP45" s="188">
        <v>0</v>
      </c>
      <c r="BQ45" s="188">
        <v>0</v>
      </c>
      <c r="BR45" s="188">
        <v>0</v>
      </c>
      <c r="BS45" s="188">
        <v>0</v>
      </c>
      <c r="BT45" s="188">
        <v>0</v>
      </c>
      <c r="BU45" s="188">
        <v>0</v>
      </c>
      <c r="BV45" s="188">
        <v>0</v>
      </c>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21359819900.140003</v>
      </c>
      <c r="C49" s="35">
        <f>SUM(C35:C41)+SUM(C43:C45)</f>
        <v>17803371585.400002</v>
      </c>
      <c r="D49" s="35">
        <f>SUM(D35:D41)+SUM(D43:D45)</f>
        <v>20588313986.25</v>
      </c>
      <c r="E49" s="35">
        <f>SUM(E35:E45)</f>
        <v>28104461052.189999</v>
      </c>
      <c r="F49" s="35">
        <f t="shared" ref="F49:BQ49" si="4">SUM(F35:F45)</f>
        <v>27475801976.769997</v>
      </c>
      <c r="G49" s="35">
        <f t="shared" si="4"/>
        <v>23961782232.43</v>
      </c>
      <c r="H49" s="35">
        <f t="shared" si="4"/>
        <v>25939797330.639996</v>
      </c>
      <c r="I49" s="35">
        <f t="shared" si="4"/>
        <v>26222695458.229996</v>
      </c>
      <c r="J49" s="35">
        <f t="shared" si="4"/>
        <v>21359810411.450001</v>
      </c>
      <c r="K49" s="35">
        <f t="shared" si="4"/>
        <v>15489311056.43</v>
      </c>
      <c r="L49" s="35">
        <f t="shared" si="4"/>
        <v>12750116360.270002</v>
      </c>
      <c r="M49" s="35">
        <f t="shared" si="4"/>
        <v>14072261254.949999</v>
      </c>
      <c r="N49" s="35">
        <f t="shared" si="4"/>
        <v>9257921598.6599998</v>
      </c>
      <c r="O49" s="35">
        <f t="shared" si="4"/>
        <v>5593878311.3600006</v>
      </c>
      <c r="P49" s="35">
        <f t="shared" si="4"/>
        <v>5980640060.5200005</v>
      </c>
      <c r="Q49" s="35">
        <f t="shared" si="4"/>
        <v>6527245992.4099998</v>
      </c>
      <c r="R49" s="35">
        <f t="shared" si="4"/>
        <v>4224498232.2599998</v>
      </c>
      <c r="S49" s="35">
        <f t="shared" si="4"/>
        <v>4410248789.1199999</v>
      </c>
      <c r="T49" s="35">
        <f t="shared" si="4"/>
        <v>5516511845.6100006</v>
      </c>
      <c r="U49" s="35">
        <f t="shared" si="4"/>
        <v>8524485415.3599997</v>
      </c>
      <c r="V49" s="35">
        <f t="shared" si="4"/>
        <v>6227725132.2700005</v>
      </c>
      <c r="W49" s="35">
        <f t="shared" si="4"/>
        <v>4189955383.1799998</v>
      </c>
      <c r="X49" s="35">
        <f t="shared" si="4"/>
        <v>6677070345.8500004</v>
      </c>
      <c r="Y49" s="35">
        <f t="shared" si="4"/>
        <v>9544172556.210001</v>
      </c>
      <c r="Z49" s="35">
        <f t="shared" si="4"/>
        <v>6647622537.9500008</v>
      </c>
      <c r="AA49" s="35">
        <f t="shared" si="4"/>
        <v>7072911468.1599989</v>
      </c>
      <c r="AB49" s="35">
        <f t="shared" si="4"/>
        <v>7874714333.5700006</v>
      </c>
      <c r="AC49" s="35">
        <f t="shared" si="4"/>
        <v>9497489364.1200008</v>
      </c>
      <c r="AD49" s="35">
        <f t="shared" si="4"/>
        <v>9584894248.0999985</v>
      </c>
      <c r="AE49" s="35">
        <f t="shared" si="4"/>
        <v>7106115696.3199997</v>
      </c>
      <c r="AF49" s="35">
        <f t="shared" si="4"/>
        <v>8302434963.0199986</v>
      </c>
      <c r="AG49" s="35">
        <f t="shared" si="4"/>
        <v>6719606049.7799997</v>
      </c>
      <c r="AH49" s="35">
        <f t="shared" si="4"/>
        <v>4868011891.8699999</v>
      </c>
      <c r="AI49" s="35">
        <f t="shared" si="4"/>
        <v>3409950721.25</v>
      </c>
      <c r="AJ49" s="35">
        <f t="shared" si="4"/>
        <v>4434151285.7700005</v>
      </c>
      <c r="AK49" s="35">
        <f t="shared" si="4"/>
        <v>4980850090.8899994</v>
      </c>
      <c r="AL49" s="35">
        <f t="shared" si="4"/>
        <v>2522260598.27</v>
      </c>
      <c r="AM49" s="35">
        <f t="shared" si="4"/>
        <v>1748131217.53</v>
      </c>
      <c r="AN49" s="35">
        <f t="shared" si="4"/>
        <v>2845044620.4400001</v>
      </c>
      <c r="AO49" s="35">
        <f t="shared" si="4"/>
        <v>4250769540.4000001</v>
      </c>
      <c r="AP49" s="35">
        <f t="shared" si="4"/>
        <v>2067058209.8499999</v>
      </c>
      <c r="AQ49" s="35">
        <f t="shared" si="4"/>
        <v>1303275797.6100001</v>
      </c>
      <c r="AR49" s="35">
        <f t="shared" si="4"/>
        <v>2229128703.4099998</v>
      </c>
      <c r="AS49" s="35">
        <f t="shared" si="4"/>
        <v>2070809111.97</v>
      </c>
      <c r="AT49" s="35">
        <f t="shared" si="4"/>
        <v>3199489247.6199999</v>
      </c>
      <c r="AU49" s="35">
        <f t="shared" si="4"/>
        <v>3284648021.25</v>
      </c>
      <c r="AV49" s="35">
        <f t="shared" si="4"/>
        <v>3272239314.0399995</v>
      </c>
      <c r="AW49" s="35">
        <f t="shared" si="4"/>
        <v>3384925618.96</v>
      </c>
      <c r="AX49" s="35">
        <f t="shared" si="4"/>
        <v>3332271621.6200004</v>
      </c>
      <c r="AY49" s="35">
        <f t="shared" si="4"/>
        <v>2735066860.52</v>
      </c>
      <c r="AZ49" s="35">
        <f t="shared" si="4"/>
        <v>2422880495.1400003</v>
      </c>
      <c r="BA49" s="35">
        <f t="shared" si="4"/>
        <v>2848300060.8800001</v>
      </c>
      <c r="BB49" s="35">
        <f t="shared" si="4"/>
        <v>2254452187.0799999</v>
      </c>
      <c r="BC49" s="35">
        <f t="shared" si="4"/>
        <v>1994571180.1199999</v>
      </c>
      <c r="BD49" s="35">
        <f t="shared" si="4"/>
        <v>1899073486.55</v>
      </c>
      <c r="BE49" s="35">
        <f t="shared" si="4"/>
        <v>2124455923.5999999</v>
      </c>
      <c r="BF49" s="35">
        <f t="shared" si="4"/>
        <v>1597709537.28</v>
      </c>
      <c r="BG49" s="35">
        <f t="shared" si="4"/>
        <v>1148820601.27</v>
      </c>
      <c r="BH49" s="35">
        <f t="shared" si="4"/>
        <v>1042702361.1700001</v>
      </c>
      <c r="BI49" s="35">
        <f t="shared" si="4"/>
        <v>1469461388.48</v>
      </c>
      <c r="BJ49" s="35">
        <f t="shared" si="4"/>
        <v>1156878334.6900001</v>
      </c>
      <c r="BK49" s="35">
        <f t="shared" si="4"/>
        <v>730714522.29999995</v>
      </c>
      <c r="BL49" s="35">
        <f t="shared" si="4"/>
        <v>718079642.61000001</v>
      </c>
      <c r="BM49" s="35">
        <f t="shared" si="4"/>
        <v>986819025</v>
      </c>
      <c r="BN49" s="35">
        <f t="shared" si="4"/>
        <v>679374753.59000003</v>
      </c>
      <c r="BO49" s="35">
        <f t="shared" si="4"/>
        <v>449951928.15999997</v>
      </c>
      <c r="BP49" s="35">
        <f t="shared" si="4"/>
        <v>500559785.91999996</v>
      </c>
      <c r="BQ49" s="35">
        <f t="shared" si="4"/>
        <v>750403161.5</v>
      </c>
      <c r="BR49" s="35">
        <f t="shared" ref="BR49:CK49" si="5">SUM(BR35:BR45)</f>
        <v>371936579.35000002</v>
      </c>
      <c r="BS49" s="35">
        <f t="shared" si="5"/>
        <v>691246887.79000008</v>
      </c>
      <c r="BT49" s="35">
        <f t="shared" si="5"/>
        <v>456841968.64999998</v>
      </c>
      <c r="BU49" s="35">
        <f t="shared" si="5"/>
        <v>296054535.31999999</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2720221811.8499985</v>
      </c>
      <c r="C50" s="36">
        <f t="shared" ref="C50:BN50" si="6">C33-C49</f>
        <v>5893793607.2900009</v>
      </c>
      <c r="D50" s="36">
        <f t="shared" si="6"/>
        <v>3051581351.1100006</v>
      </c>
      <c r="E50" s="36">
        <f t="shared" si="6"/>
        <v>-3965603619.8199997</v>
      </c>
      <c r="F50" s="36">
        <f t="shared" si="6"/>
        <v>-3879872811.2099953</v>
      </c>
      <c r="G50" s="36">
        <f t="shared" si="6"/>
        <v>-356230023.98999786</v>
      </c>
      <c r="H50" s="36">
        <f t="shared" si="6"/>
        <v>-2997931597.6099968</v>
      </c>
      <c r="I50" s="36">
        <f t="shared" si="6"/>
        <v>-3428013627.7599945</v>
      </c>
      <c r="J50" s="36">
        <f t="shared" si="6"/>
        <v>17890197.009998322</v>
      </c>
      <c r="K50" s="36">
        <f t="shared" si="6"/>
        <v>10855927043.779999</v>
      </c>
      <c r="L50" s="36">
        <f t="shared" si="6"/>
        <v>12054370526.109999</v>
      </c>
      <c r="M50" s="36">
        <f t="shared" si="6"/>
        <v>14046155822.110003</v>
      </c>
      <c r="N50" s="36">
        <f t="shared" si="6"/>
        <v>17366677202.509998</v>
      </c>
      <c r="O50" s="36">
        <f t="shared" si="6"/>
        <v>17273056685.869999</v>
      </c>
      <c r="P50" s="36">
        <f t="shared" si="6"/>
        <v>15934420088.649998</v>
      </c>
      <c r="Q50" s="36">
        <f t="shared" si="6"/>
        <v>13252362479.369999</v>
      </c>
      <c r="R50" s="36">
        <f t="shared" si="6"/>
        <v>14934385952.550001</v>
      </c>
      <c r="S50" s="36">
        <f t="shared" si="6"/>
        <v>13092803795</v>
      </c>
      <c r="T50" s="36">
        <f t="shared" si="6"/>
        <v>11495522122.059999</v>
      </c>
      <c r="U50" s="36">
        <f t="shared" si="6"/>
        <v>8033489539.96</v>
      </c>
      <c r="V50" s="36">
        <f t="shared" si="6"/>
        <v>11310680004.709999</v>
      </c>
      <c r="W50" s="36">
        <f t="shared" si="6"/>
        <v>11980350746.769999</v>
      </c>
      <c r="X50" s="36">
        <f t="shared" si="6"/>
        <v>8273990580.3700008</v>
      </c>
      <c r="Y50" s="36">
        <f t="shared" si="6"/>
        <v>4354291394.2799988</v>
      </c>
      <c r="Z50" s="36">
        <f t="shared" si="6"/>
        <v>5882282456.0699997</v>
      </c>
      <c r="AA50" s="36">
        <f t="shared" si="6"/>
        <v>4155722505.7600012</v>
      </c>
      <c r="AB50" s="36">
        <f t="shared" si="6"/>
        <v>2351899852.6799994</v>
      </c>
      <c r="AC50" s="36">
        <f t="shared" si="6"/>
        <v>-147730105.78000069</v>
      </c>
      <c r="AD50" s="36">
        <f t="shared" si="6"/>
        <v>-1062664717.4899979</v>
      </c>
      <c r="AE50" s="36">
        <f t="shared" si="6"/>
        <v>944075050.65999985</v>
      </c>
      <c r="AF50" s="36">
        <f t="shared" si="6"/>
        <v>-583582474.69999886</v>
      </c>
      <c r="AG50" s="36">
        <f t="shared" si="6"/>
        <v>649556463.90000057</v>
      </c>
      <c r="AH50" s="36">
        <f t="shared" si="6"/>
        <v>1984328661.0199995</v>
      </c>
      <c r="AI50" s="36">
        <f t="shared" si="6"/>
        <v>2855050075.5199995</v>
      </c>
      <c r="AJ50" s="36">
        <f t="shared" si="6"/>
        <v>1791831400.9899998</v>
      </c>
      <c r="AK50" s="36">
        <f t="shared" si="6"/>
        <v>929670517.26000118</v>
      </c>
      <c r="AL50" s="36">
        <f t="shared" si="6"/>
        <v>2425641944.8799996</v>
      </c>
      <c r="AM50" s="36">
        <f t="shared" si="6"/>
        <v>2671434887.5800009</v>
      </c>
      <c r="AN50" s="36">
        <f t="shared" si="6"/>
        <v>1386375282.5700002</v>
      </c>
      <c r="AO50" s="36">
        <f t="shared" si="6"/>
        <v>-106524098.72000027</v>
      </c>
      <c r="AP50" s="36">
        <f t="shared" si="6"/>
        <v>778879170.97000027</v>
      </c>
      <c r="AQ50" s="36">
        <f t="shared" si="6"/>
        <v>1378687881.8600001</v>
      </c>
      <c r="AR50" s="36">
        <f t="shared" si="6"/>
        <v>423085678.25</v>
      </c>
      <c r="AS50" s="36">
        <f t="shared" si="6"/>
        <v>474403091.43000007</v>
      </c>
      <c r="AT50" s="36">
        <f t="shared" si="6"/>
        <v>-847444657.22000027</v>
      </c>
      <c r="AU50" s="36">
        <f t="shared" si="6"/>
        <v>-823210332.78999996</v>
      </c>
      <c r="AV50" s="36">
        <f t="shared" si="6"/>
        <v>-889705035.06999922</v>
      </c>
      <c r="AW50" s="36">
        <f t="shared" si="6"/>
        <v>-1097449417.3099999</v>
      </c>
      <c r="AX50" s="36">
        <f t="shared" si="6"/>
        <v>-1062230332.1300006</v>
      </c>
      <c r="AY50" s="36">
        <f t="shared" si="6"/>
        <v>-621895281.67000008</v>
      </c>
      <c r="AZ50" s="36">
        <f t="shared" si="6"/>
        <v>-417076439.48000026</v>
      </c>
      <c r="BA50" s="36">
        <f t="shared" si="6"/>
        <v>-720769206.80000019</v>
      </c>
      <c r="BB50" s="36">
        <f t="shared" si="6"/>
        <v>-306771530.96000004</v>
      </c>
      <c r="BC50" s="36">
        <f t="shared" si="6"/>
        <v>-115429303.48999977</v>
      </c>
      <c r="BD50" s="36">
        <f t="shared" si="6"/>
        <v>-41052018.059999943</v>
      </c>
      <c r="BE50" s="36">
        <f t="shared" si="6"/>
        <v>-250144834.6500001</v>
      </c>
      <c r="BF50" s="36">
        <f t="shared" si="6"/>
        <v>146105948.47000003</v>
      </c>
      <c r="BG50" s="36">
        <f t="shared" si="6"/>
        <v>318020086.88000011</v>
      </c>
      <c r="BH50" s="36">
        <f t="shared" si="6"/>
        <v>374663088.67999983</v>
      </c>
      <c r="BI50" s="36">
        <f t="shared" si="6"/>
        <v>-54385749.870000124</v>
      </c>
      <c r="BJ50" s="36">
        <f t="shared" si="6"/>
        <v>266752468.06999993</v>
      </c>
      <c r="BK50" s="36">
        <f t="shared" si="6"/>
        <v>568191009.9000001</v>
      </c>
      <c r="BL50" s="36">
        <f t="shared" si="6"/>
        <v>465445449.63999999</v>
      </c>
      <c r="BM50" s="36">
        <f t="shared" si="6"/>
        <v>220861898.69000006</v>
      </c>
      <c r="BN50" s="36">
        <f t="shared" si="6"/>
        <v>469171373.13999999</v>
      </c>
      <c r="BO50" s="36">
        <f t="shared" ref="BO50:CK50" si="7">BO33-BO49</f>
        <v>693395515.64999998</v>
      </c>
      <c r="BP50" s="36">
        <f t="shared" si="7"/>
        <v>438258677.16999996</v>
      </c>
      <c r="BQ50" s="36">
        <f t="shared" si="7"/>
        <v>130738590.88999999</v>
      </c>
      <c r="BR50" s="36">
        <f t="shared" si="7"/>
        <v>306413823.19999993</v>
      </c>
      <c r="BS50" s="36">
        <f t="shared" si="7"/>
        <v>-103489887.68000007</v>
      </c>
      <c r="BT50" s="36">
        <f t="shared" si="7"/>
        <v>64397571.980000019</v>
      </c>
      <c r="BU50" s="36">
        <f t="shared" si="7"/>
        <v>103717141.55000001</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14812649901.59</v>
      </c>
      <c r="C52" s="188">
        <v>14906697070.370001</v>
      </c>
      <c r="D52" s="188">
        <v>15179337572.51</v>
      </c>
      <c r="E52" s="188">
        <v>15244096632.02</v>
      </c>
      <c r="F52" s="188">
        <v>14851183242.59</v>
      </c>
      <c r="G52" s="188">
        <v>15035615814.030001</v>
      </c>
      <c r="H52" s="188">
        <v>15197596002.52</v>
      </c>
      <c r="I52" s="188">
        <v>14453177439.34</v>
      </c>
      <c r="J52" s="188">
        <v>11249022570.67</v>
      </c>
      <c r="K52" s="188">
        <v>11357781630.610001</v>
      </c>
      <c r="L52" s="188">
        <v>11485879409.51</v>
      </c>
      <c r="M52" s="188">
        <v>11415953189.719999</v>
      </c>
      <c r="N52" s="188">
        <v>10891205189.389999</v>
      </c>
      <c r="O52" s="188">
        <v>10376471791.040001</v>
      </c>
      <c r="P52" s="188">
        <v>10438792823.57</v>
      </c>
      <c r="Q52" s="188">
        <v>10375757771.59</v>
      </c>
      <c r="R52" s="188">
        <v>9003408249.8600006</v>
      </c>
      <c r="S52" s="188">
        <v>8917854215.1200008</v>
      </c>
      <c r="T52" s="188">
        <v>8768403594.1200008</v>
      </c>
      <c r="U52" s="188">
        <v>8523256960.1099997</v>
      </c>
      <c r="V52" s="188">
        <v>7165765337.1599998</v>
      </c>
      <c r="W52" s="188">
        <v>7047000358.4200001</v>
      </c>
      <c r="X52" s="188">
        <v>6984113447.4300003</v>
      </c>
      <c r="Y52" s="188">
        <v>6807333231.0900002</v>
      </c>
      <c r="Z52" s="188">
        <v>5838430602.0500002</v>
      </c>
      <c r="AA52" s="188">
        <v>5698697789.6599998</v>
      </c>
      <c r="AB52" s="188">
        <v>5489821741.0500002</v>
      </c>
      <c r="AC52" s="188">
        <v>5426012349.6099997</v>
      </c>
      <c r="AD52" s="188">
        <v>4703882763.3800001</v>
      </c>
      <c r="AE52" s="188">
        <v>4268588603.6599998</v>
      </c>
      <c r="AF52" s="188">
        <v>4218762324.3099999</v>
      </c>
      <c r="AG52" s="188">
        <v>4191851111.9699998</v>
      </c>
      <c r="AH52" s="188">
        <v>3754654673.6300001</v>
      </c>
      <c r="AI52" s="188">
        <v>3731222904.1199999</v>
      </c>
      <c r="AJ52" s="188">
        <v>3223949711.6999998</v>
      </c>
      <c r="AK52" s="188">
        <v>3168725156.29</v>
      </c>
      <c r="AL52" s="188">
        <v>2420836029.8800001</v>
      </c>
      <c r="AM52" s="188">
        <v>2285285756.6500001</v>
      </c>
      <c r="AN52" s="188">
        <v>2247266187.8000002</v>
      </c>
      <c r="AO52" s="188">
        <v>2190171911.8899999</v>
      </c>
      <c r="AP52" s="188">
        <v>1962510407.21</v>
      </c>
      <c r="AQ52" s="188">
        <v>1946505196.6800001</v>
      </c>
      <c r="AR52" s="188">
        <v>1869754284.6900001</v>
      </c>
      <c r="AS52" s="188">
        <v>1826983364.3599999</v>
      </c>
      <c r="AT52" s="188">
        <v>1435078966.8699999</v>
      </c>
      <c r="AU52" s="188">
        <v>1431615294.0599999</v>
      </c>
      <c r="AV52" s="188">
        <v>1317726492.5999999</v>
      </c>
      <c r="AW52" s="188">
        <v>1222202623.3</v>
      </c>
      <c r="AX52" s="188">
        <v>1018003338.64</v>
      </c>
      <c r="AY52" s="188">
        <v>1030973670.35</v>
      </c>
      <c r="AZ52" s="188">
        <v>1019701197.52</v>
      </c>
      <c r="BA52" s="188">
        <v>981382035.5</v>
      </c>
      <c r="BB52" s="188">
        <v>744749773.96000004</v>
      </c>
      <c r="BC52" s="188">
        <v>704628195.86000001</v>
      </c>
      <c r="BD52" s="188">
        <v>718609837.72000003</v>
      </c>
      <c r="BE52" s="188">
        <v>715522677.41999996</v>
      </c>
      <c r="BF52" s="188">
        <v>650253702.34000003</v>
      </c>
      <c r="BG52" s="188">
        <v>651728272.55999994</v>
      </c>
      <c r="BH52" s="188">
        <v>644654996.78999996</v>
      </c>
      <c r="BI52" s="188">
        <v>440813831.82999998</v>
      </c>
      <c r="BJ52" s="188">
        <v>436222878.81</v>
      </c>
      <c r="BK52" s="188">
        <v>445032882.23000002</v>
      </c>
      <c r="BL52" s="188">
        <v>453833289.69999999</v>
      </c>
      <c r="BM52" s="188">
        <v>470098687.69</v>
      </c>
      <c r="BN52" s="188">
        <v>447507946.97000003</v>
      </c>
      <c r="BO52" s="188">
        <v>452942750.17000002</v>
      </c>
      <c r="BP52" s="188">
        <v>409558858.49000001</v>
      </c>
      <c r="BQ52" s="188">
        <v>414239895.73000002</v>
      </c>
      <c r="BR52" s="188">
        <v>177835639.06999999</v>
      </c>
      <c r="BS52" s="188">
        <v>180320389.09</v>
      </c>
      <c r="BT52" s="188">
        <v>184936865.90000001</v>
      </c>
      <c r="BU52" s="188">
        <v>213023445.34999999</v>
      </c>
      <c r="BV52" s="188">
        <v>0</v>
      </c>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2351418276.5300002</v>
      </c>
      <c r="C53" s="188">
        <v>2320642541.0100002</v>
      </c>
      <c r="D53" s="188">
        <v>2377082563.9499998</v>
      </c>
      <c r="E53" s="188">
        <v>2016405005.77</v>
      </c>
      <c r="F53" s="188">
        <v>2393782465.27</v>
      </c>
      <c r="G53" s="188">
        <v>2191037165.1399999</v>
      </c>
      <c r="H53" s="188">
        <v>2082556665.8099999</v>
      </c>
      <c r="I53" s="188">
        <v>2745579995.6799998</v>
      </c>
      <c r="J53" s="188">
        <v>5549022900.4099998</v>
      </c>
      <c r="K53" s="188">
        <v>5372267342.3199997</v>
      </c>
      <c r="L53" s="188">
        <v>5277866268.5</v>
      </c>
      <c r="M53" s="188">
        <v>4895150716.5100002</v>
      </c>
      <c r="N53" s="188">
        <v>4746332449.54</v>
      </c>
      <c r="O53" s="188">
        <v>4446804735.3000002</v>
      </c>
      <c r="P53" s="188">
        <v>3480877159.5599999</v>
      </c>
      <c r="Q53" s="188">
        <v>3421774448.02</v>
      </c>
      <c r="R53" s="188">
        <v>3051662444.0799999</v>
      </c>
      <c r="S53" s="188">
        <v>2921492322.6199999</v>
      </c>
      <c r="T53" s="188">
        <v>2241975574.71</v>
      </c>
      <c r="U53" s="188">
        <v>456328292.13</v>
      </c>
      <c r="V53" s="188">
        <v>508298207</v>
      </c>
      <c r="W53" s="188">
        <v>500633130.51999998</v>
      </c>
      <c r="X53" s="188">
        <v>477739596.64999998</v>
      </c>
      <c r="Y53" s="188">
        <v>392672323.94999999</v>
      </c>
      <c r="Z53" s="188">
        <v>357930180.56</v>
      </c>
      <c r="AA53" s="188">
        <v>331098306.48000002</v>
      </c>
      <c r="AB53" s="188">
        <v>316656062.33999997</v>
      </c>
      <c r="AC53" s="188">
        <v>251446326.43000001</v>
      </c>
      <c r="AD53" s="188">
        <v>293041026.48000002</v>
      </c>
      <c r="AE53" s="188">
        <v>341962470.41000003</v>
      </c>
      <c r="AF53" s="188">
        <v>312224946.49000001</v>
      </c>
      <c r="AG53" s="188">
        <v>263458445.09999999</v>
      </c>
      <c r="AH53" s="188">
        <v>267427752.28999999</v>
      </c>
      <c r="AI53" s="188">
        <v>277632965.17000002</v>
      </c>
      <c r="AJ53" s="188">
        <v>270471465.01999998</v>
      </c>
      <c r="AK53" s="188">
        <v>193956334.38999999</v>
      </c>
      <c r="AL53" s="188">
        <v>811284321.63999999</v>
      </c>
      <c r="AM53" s="188">
        <v>819595902.76999998</v>
      </c>
      <c r="AN53" s="188">
        <v>673327881.15999997</v>
      </c>
      <c r="AO53" s="188">
        <v>582860996.70000005</v>
      </c>
      <c r="AP53" s="188">
        <v>1314894893.3699999</v>
      </c>
      <c r="AQ53" s="188">
        <v>1197950992.3099999</v>
      </c>
      <c r="AR53" s="188">
        <v>1043792132.59</v>
      </c>
      <c r="AS53" s="188">
        <v>994453165.72000003</v>
      </c>
      <c r="AT53" s="188">
        <v>1207096398.72</v>
      </c>
      <c r="AU53" s="188">
        <v>1074086870.21</v>
      </c>
      <c r="AV53" s="188">
        <v>1073527595.41</v>
      </c>
      <c r="AW53" s="188">
        <v>1179883698.02</v>
      </c>
      <c r="AX53" s="188">
        <v>1208808413.78</v>
      </c>
      <c r="AY53" s="188">
        <v>1042924430.55</v>
      </c>
      <c r="AZ53" s="188">
        <v>943031845.61000001</v>
      </c>
      <c r="BA53" s="188">
        <v>909890443.63</v>
      </c>
      <c r="BB53" s="188">
        <v>974012522.40999997</v>
      </c>
      <c r="BC53" s="188">
        <v>929053724.75</v>
      </c>
      <c r="BD53" s="188">
        <v>849288036.95000005</v>
      </c>
      <c r="BE53" s="188">
        <v>776047024.87</v>
      </c>
      <c r="BF53" s="188">
        <v>733384383.46000004</v>
      </c>
      <c r="BG53" s="188">
        <v>675660352.38999999</v>
      </c>
      <c r="BH53" s="188">
        <v>637644833.05999994</v>
      </c>
      <c r="BI53" s="188">
        <v>721652502.10000002</v>
      </c>
      <c r="BJ53" s="188">
        <v>697188715.02999997</v>
      </c>
      <c r="BK53" s="188">
        <v>617706515.54999995</v>
      </c>
      <c r="BL53" s="188">
        <v>536385132.75</v>
      </c>
      <c r="BM53" s="188">
        <v>442903497.32999998</v>
      </c>
      <c r="BN53" s="188">
        <v>389477083.10000002</v>
      </c>
      <c r="BO53" s="188">
        <v>273149253.39999998</v>
      </c>
      <c r="BP53" s="188">
        <v>184181516.44999999</v>
      </c>
      <c r="BQ53" s="188">
        <v>162048784.65000001</v>
      </c>
      <c r="BR53" s="188">
        <v>0</v>
      </c>
      <c r="BS53" s="188">
        <v>5776136.6299999999</v>
      </c>
      <c r="BT53" s="188">
        <v>25290</v>
      </c>
      <c r="BU53" s="188">
        <v>0</v>
      </c>
      <c r="BV53" s="188">
        <v>0</v>
      </c>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269870.82</v>
      </c>
      <c r="K54" s="188">
        <v>269870.82</v>
      </c>
      <c r="L54" s="188">
        <v>260855.92</v>
      </c>
      <c r="M54" s="188">
        <v>260855.92</v>
      </c>
      <c r="N54" s="188">
        <v>260855.92</v>
      </c>
      <c r="O54" s="188">
        <v>260855.92</v>
      </c>
      <c r="P54" s="188">
        <v>260855.92</v>
      </c>
      <c r="Q54" s="188">
        <v>260855.92</v>
      </c>
      <c r="R54" s="188">
        <v>1224766.1499999999</v>
      </c>
      <c r="S54" s="188">
        <v>1224766.1499999999</v>
      </c>
      <c r="T54" s="188">
        <v>1725110.46</v>
      </c>
      <c r="U54" s="188">
        <v>1725110.46</v>
      </c>
      <c r="V54" s="188">
        <v>2676942.59</v>
      </c>
      <c r="W54" s="188">
        <v>2676942.59</v>
      </c>
      <c r="X54" s="188">
        <v>2676942.59</v>
      </c>
      <c r="Y54" s="188">
        <v>2676942.59</v>
      </c>
      <c r="Z54" s="188">
        <v>2090289.79</v>
      </c>
      <c r="AA54" s="188">
        <v>2090289.79</v>
      </c>
      <c r="AB54" s="188">
        <v>17063746.940000001</v>
      </c>
      <c r="AC54" s="188">
        <v>4918294.6399999997</v>
      </c>
      <c r="AD54" s="188">
        <v>9193593.0800000001</v>
      </c>
      <c r="AE54" s="188">
        <v>8457630.3800000008</v>
      </c>
      <c r="AF54" s="188">
        <v>13359601.050000001</v>
      </c>
      <c r="AG54" s="188">
        <v>18528802.460000001</v>
      </c>
      <c r="AH54" s="188">
        <v>29764562.68</v>
      </c>
      <c r="AI54" s="188">
        <v>28534493.73</v>
      </c>
      <c r="AJ54" s="188">
        <v>34573760.18</v>
      </c>
      <c r="AK54" s="188">
        <v>24915041.530000001</v>
      </c>
      <c r="AL54" s="188">
        <v>58066303.960000001</v>
      </c>
      <c r="AM54" s="188">
        <v>48241829.450000003</v>
      </c>
      <c r="AN54" s="188">
        <v>76212689.329999998</v>
      </c>
      <c r="AO54" s="188">
        <v>62368950.890000001</v>
      </c>
      <c r="AP54" s="188">
        <v>86238644.049999997</v>
      </c>
      <c r="AQ54" s="188">
        <v>20951751.210000001</v>
      </c>
      <c r="AR54" s="188">
        <v>49874189.399999999</v>
      </c>
      <c r="AS54" s="188">
        <v>11931427.66</v>
      </c>
      <c r="AT54" s="188">
        <v>54999356.25</v>
      </c>
      <c r="AU54" s="188">
        <v>23465945.789999999</v>
      </c>
      <c r="AV54" s="188">
        <v>15359723.76</v>
      </c>
      <c r="AW54" s="188">
        <v>47444702.520000003</v>
      </c>
      <c r="AX54" s="188">
        <v>81705306.280000001</v>
      </c>
      <c r="AY54" s="188">
        <v>49288779.32</v>
      </c>
      <c r="AZ54" s="188">
        <v>27434478.82</v>
      </c>
      <c r="BA54" s="188">
        <v>19108529.359999999</v>
      </c>
      <c r="BB54" s="188">
        <v>60212675.93</v>
      </c>
      <c r="BC54" s="188">
        <v>45532107.710000001</v>
      </c>
      <c r="BD54" s="188">
        <v>20256459.23</v>
      </c>
      <c r="BE54" s="188">
        <v>10991173.91</v>
      </c>
      <c r="BF54" s="188">
        <v>20644752.170000002</v>
      </c>
      <c r="BG54" s="188">
        <v>17528075.469999999</v>
      </c>
      <c r="BH54" s="188">
        <v>0</v>
      </c>
      <c r="BI54" s="188">
        <v>0</v>
      </c>
      <c r="BJ54" s="188">
        <v>0</v>
      </c>
      <c r="BK54" s="188">
        <v>0</v>
      </c>
      <c r="BL54" s="188">
        <v>0</v>
      </c>
      <c r="BM54" s="188">
        <v>0</v>
      </c>
      <c r="BN54" s="188">
        <v>0</v>
      </c>
      <c r="BO54" s="188">
        <v>0</v>
      </c>
      <c r="BP54" s="188">
        <v>0</v>
      </c>
      <c r="BQ54" s="188">
        <v>0</v>
      </c>
      <c r="BR54" s="188">
        <v>0</v>
      </c>
      <c r="BS54" s="188">
        <v>0</v>
      </c>
      <c r="BT54" s="188">
        <v>0</v>
      </c>
      <c r="BU54" s="188">
        <v>0</v>
      </c>
      <c r="BV54" s="188">
        <v>0</v>
      </c>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1792981.04</v>
      </c>
      <c r="K55" s="188">
        <v>1792981.04</v>
      </c>
      <c r="L55" s="188">
        <v>1792981.04</v>
      </c>
      <c r="M55" s="188">
        <v>682594.04</v>
      </c>
      <c r="N55" s="188">
        <v>682594.04</v>
      </c>
      <c r="O55" s="188">
        <v>0</v>
      </c>
      <c r="P55" s="188">
        <v>0</v>
      </c>
      <c r="Q55" s="188">
        <v>0</v>
      </c>
      <c r="R55" s="188">
        <v>836478.5</v>
      </c>
      <c r="S55" s="188">
        <v>260558.5</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494592.89</v>
      </c>
      <c r="AK55" s="188">
        <v>0</v>
      </c>
      <c r="AL55" s="188">
        <v>0</v>
      </c>
      <c r="AM55" s="188">
        <v>0</v>
      </c>
      <c r="AN55" s="188">
        <v>0</v>
      </c>
      <c r="AO55" s="188">
        <v>0</v>
      </c>
      <c r="AP55" s="188">
        <v>0</v>
      </c>
      <c r="AQ55" s="188">
        <v>0</v>
      </c>
      <c r="AR55" s="188">
        <v>164317.37</v>
      </c>
      <c r="AS55" s="188">
        <v>0</v>
      </c>
      <c r="AT55" s="188">
        <v>456645.64</v>
      </c>
      <c r="AU55" s="188">
        <v>0</v>
      </c>
      <c r="AV55" s="188">
        <v>35490</v>
      </c>
      <c r="AW55" s="188">
        <v>0</v>
      </c>
      <c r="AX55" s="188">
        <v>140744.01</v>
      </c>
      <c r="AY55" s="188">
        <v>122591.96</v>
      </c>
      <c r="AZ55" s="188">
        <v>15676.67</v>
      </c>
      <c r="BA55" s="188">
        <v>0</v>
      </c>
      <c r="BB55" s="188">
        <v>13066.32</v>
      </c>
      <c r="BC55" s="188">
        <v>0</v>
      </c>
      <c r="BD55" s="188">
        <v>0</v>
      </c>
      <c r="BE55" s="188">
        <v>0</v>
      </c>
      <c r="BF55" s="188">
        <v>144779.23000000001</v>
      </c>
      <c r="BG55" s="188">
        <v>144779.23000000001</v>
      </c>
      <c r="BH55" s="188">
        <v>117684.47</v>
      </c>
      <c r="BI55" s="188">
        <v>6730</v>
      </c>
      <c r="BJ55" s="188">
        <v>6730</v>
      </c>
      <c r="BK55" s="188">
        <v>6730</v>
      </c>
      <c r="BL55" s="188">
        <v>0</v>
      </c>
      <c r="BM55" s="188">
        <v>0</v>
      </c>
      <c r="BN55" s="188">
        <v>0</v>
      </c>
      <c r="BO55" s="188">
        <v>0</v>
      </c>
      <c r="BP55" s="188">
        <v>0</v>
      </c>
      <c r="BQ55" s="188">
        <v>0</v>
      </c>
      <c r="BR55" s="188">
        <v>0</v>
      </c>
      <c r="BS55" s="188">
        <v>449993.46</v>
      </c>
      <c r="BT55" s="188">
        <v>0</v>
      </c>
      <c r="BU55" s="188">
        <v>0</v>
      </c>
      <c r="BV55" s="188">
        <v>0</v>
      </c>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v>0</v>
      </c>
      <c r="BI56" s="188">
        <v>0</v>
      </c>
      <c r="BJ56" s="188">
        <v>0</v>
      </c>
      <c r="BK56" s="188">
        <v>0</v>
      </c>
      <c r="BL56" s="188">
        <v>0</v>
      </c>
      <c r="BM56" s="188">
        <v>0</v>
      </c>
      <c r="BN56" s="188">
        <v>0</v>
      </c>
      <c r="BO56" s="188">
        <v>0</v>
      </c>
      <c r="BP56" s="188">
        <v>0</v>
      </c>
      <c r="BQ56" s="188">
        <v>0</v>
      </c>
      <c r="BR56" s="188">
        <v>0</v>
      </c>
      <c r="BS56" s="188">
        <v>0</v>
      </c>
      <c r="BT56" s="188">
        <v>0</v>
      </c>
      <c r="BU56" s="188">
        <v>0</v>
      </c>
      <c r="BV56" s="188">
        <v>0</v>
      </c>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v>0</v>
      </c>
      <c r="BI57" s="188">
        <v>0</v>
      </c>
      <c r="BJ57" s="188">
        <v>0</v>
      </c>
      <c r="BK57" s="188">
        <v>0</v>
      </c>
      <c r="BL57" s="188">
        <v>0</v>
      </c>
      <c r="BM57" s="188">
        <v>0</v>
      </c>
      <c r="BN57" s="188">
        <v>0</v>
      </c>
      <c r="BO57" s="188">
        <v>0</v>
      </c>
      <c r="BP57" s="188">
        <v>0</v>
      </c>
      <c r="BQ57" s="188">
        <v>0</v>
      </c>
      <c r="BR57" s="188">
        <v>0</v>
      </c>
      <c r="BS57" s="188">
        <v>0</v>
      </c>
      <c r="BT57" s="188">
        <v>0</v>
      </c>
      <c r="BU57" s="188">
        <v>0</v>
      </c>
      <c r="BV57" s="188">
        <v>0</v>
      </c>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3468289232.1799998</v>
      </c>
      <c r="C58" s="188">
        <v>3487751876.7600002</v>
      </c>
      <c r="D58" s="188">
        <v>3437446976.0999999</v>
      </c>
      <c r="E58" s="188">
        <v>3458622239.3800001</v>
      </c>
      <c r="F58" s="188">
        <v>3473785664.3499999</v>
      </c>
      <c r="G58" s="188">
        <v>3486620572.5500002</v>
      </c>
      <c r="H58" s="188">
        <v>3506692179.8400002</v>
      </c>
      <c r="I58" s="188">
        <v>3531740625.5999999</v>
      </c>
      <c r="J58" s="188">
        <v>3551889907.73</v>
      </c>
      <c r="K58" s="188">
        <v>3572114511.04</v>
      </c>
      <c r="L58" s="188">
        <v>3562139114.3499999</v>
      </c>
      <c r="M58" s="188">
        <v>3582462431.04</v>
      </c>
      <c r="N58" s="188">
        <v>3603081357.7800002</v>
      </c>
      <c r="O58" s="188">
        <v>3612750116.1100001</v>
      </c>
      <c r="P58" s="188">
        <v>3562868314.6999998</v>
      </c>
      <c r="Q58" s="188">
        <v>3582623682.2399998</v>
      </c>
      <c r="R58" s="188">
        <v>3565626838.7800002</v>
      </c>
      <c r="S58" s="188">
        <v>3700019421.5900002</v>
      </c>
      <c r="T58" s="188">
        <v>3686129714.0799999</v>
      </c>
      <c r="U58" s="188">
        <v>3563308110.5100002</v>
      </c>
      <c r="V58" s="188">
        <v>1041613845.3099999</v>
      </c>
      <c r="W58" s="188">
        <v>1022370760.39</v>
      </c>
      <c r="X58" s="188">
        <v>950991339.07000005</v>
      </c>
      <c r="Y58" s="188">
        <v>862615899.20000005</v>
      </c>
      <c r="Z58" s="188">
        <v>803234798.05999994</v>
      </c>
      <c r="AA58" s="188">
        <v>807769533.46000004</v>
      </c>
      <c r="AB58" s="188">
        <v>805843181.95000005</v>
      </c>
      <c r="AC58" s="188">
        <v>808425512.33000004</v>
      </c>
      <c r="AD58" s="188">
        <v>464193004.38999999</v>
      </c>
      <c r="AE58" s="188">
        <v>465496995.37</v>
      </c>
      <c r="AF58" s="188">
        <v>467473261.33999997</v>
      </c>
      <c r="AG58" s="188">
        <v>452317235.72000003</v>
      </c>
      <c r="AH58" s="188">
        <v>460772956.60000002</v>
      </c>
      <c r="AI58" s="188">
        <v>463868158.93000001</v>
      </c>
      <c r="AJ58" s="188">
        <v>462690687.36000001</v>
      </c>
      <c r="AK58" s="188">
        <v>465550825.17000002</v>
      </c>
      <c r="AL58" s="188">
        <v>466854656.80000001</v>
      </c>
      <c r="AM58" s="188">
        <v>473613977</v>
      </c>
      <c r="AN58" s="188">
        <v>476520713.93000001</v>
      </c>
      <c r="AO58" s="188">
        <v>445207595.72000003</v>
      </c>
      <c r="AP58" s="188">
        <v>257618015.97</v>
      </c>
      <c r="AQ58" s="188">
        <v>259113847.75999999</v>
      </c>
      <c r="AR58" s="188">
        <v>247652499.97999999</v>
      </c>
      <c r="AS58" s="188">
        <v>249274093.40000001</v>
      </c>
      <c r="AT58" s="188">
        <v>252846793.83000001</v>
      </c>
      <c r="AU58" s="188">
        <v>254479095.53999999</v>
      </c>
      <c r="AV58" s="188">
        <v>255348897.25</v>
      </c>
      <c r="AW58" s="188">
        <v>66093918.659999996</v>
      </c>
      <c r="AX58" s="188">
        <v>66853374.939999998</v>
      </c>
      <c r="AY58" s="188">
        <v>69018445.219999999</v>
      </c>
      <c r="AZ58" s="188">
        <v>56933580.289999999</v>
      </c>
      <c r="BA58" s="188">
        <v>57074911.579999998</v>
      </c>
      <c r="BB58" s="188">
        <v>57229688</v>
      </c>
      <c r="BC58" s="188">
        <v>39766396</v>
      </c>
      <c r="BD58" s="188">
        <v>37656999.829999998</v>
      </c>
      <c r="BE58" s="188">
        <v>37699499.840000004</v>
      </c>
      <c r="BF58" s="188">
        <v>128704.85</v>
      </c>
      <c r="BG58" s="188">
        <v>171204.86</v>
      </c>
      <c r="BH58" s="188">
        <v>213704.87</v>
      </c>
      <c r="BI58" s="188">
        <v>256204.88</v>
      </c>
      <c r="BJ58" s="188">
        <v>297499.89</v>
      </c>
      <c r="BK58" s="188">
        <v>339999.9</v>
      </c>
      <c r="BL58" s="188">
        <v>382499.91</v>
      </c>
      <c r="BM58" s="188">
        <v>424999.92</v>
      </c>
      <c r="BN58" s="188">
        <v>467499.93</v>
      </c>
      <c r="BO58" s="188">
        <v>509999.94</v>
      </c>
      <c r="BP58" s="188">
        <v>552499.94999999995</v>
      </c>
      <c r="BQ58" s="188">
        <v>594999.96</v>
      </c>
      <c r="BR58" s="188">
        <v>679999.98</v>
      </c>
      <c r="BS58" s="188">
        <v>765000</v>
      </c>
      <c r="BT58" s="188">
        <v>935000</v>
      </c>
      <c r="BU58" s="188">
        <v>0</v>
      </c>
      <c r="BV58" s="188">
        <v>0</v>
      </c>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v>0</v>
      </c>
      <c r="BI59" s="188">
        <v>0</v>
      </c>
      <c r="BJ59" s="188">
        <v>0</v>
      </c>
      <c r="BK59" s="188">
        <v>0</v>
      </c>
      <c r="BL59" s="188">
        <v>0</v>
      </c>
      <c r="BM59" s="188">
        <v>0</v>
      </c>
      <c r="BN59" s="188">
        <v>0</v>
      </c>
      <c r="BO59" s="188">
        <v>0</v>
      </c>
      <c r="BP59" s="188">
        <v>0</v>
      </c>
      <c r="BQ59" s="188">
        <v>0</v>
      </c>
      <c r="BR59" s="188">
        <v>0</v>
      </c>
      <c r="BS59" s="188">
        <v>0</v>
      </c>
      <c r="BT59" s="188">
        <v>0</v>
      </c>
      <c r="BU59" s="188">
        <v>0</v>
      </c>
      <c r="BV59" s="188">
        <v>0</v>
      </c>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0</v>
      </c>
      <c r="C60" s="188">
        <v>0</v>
      </c>
      <c r="D60" s="188">
        <v>0</v>
      </c>
      <c r="E60" s="188">
        <v>0</v>
      </c>
      <c r="F60" s="188">
        <v>0</v>
      </c>
      <c r="G60" s="188">
        <v>0</v>
      </c>
      <c r="H60" s="188">
        <v>0</v>
      </c>
      <c r="I60" s="188">
        <v>0</v>
      </c>
      <c r="J60" s="188">
        <v>0</v>
      </c>
      <c r="K60" s="188">
        <v>0</v>
      </c>
      <c r="L60" s="188">
        <v>0</v>
      </c>
      <c r="M60" s="188">
        <v>0</v>
      </c>
      <c r="N60" s="188">
        <v>0</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0</v>
      </c>
      <c r="AM60" s="188">
        <v>0</v>
      </c>
      <c r="AN60" s="188">
        <v>0</v>
      </c>
      <c r="AO60" s="188">
        <v>0</v>
      </c>
      <c r="AP60" s="188">
        <v>0</v>
      </c>
      <c r="AQ60" s="188">
        <v>0</v>
      </c>
      <c r="AR60" s="188">
        <v>0</v>
      </c>
      <c r="AS60" s="188">
        <v>0</v>
      </c>
      <c r="AT60" s="188">
        <v>0</v>
      </c>
      <c r="AU60" s="188">
        <v>0</v>
      </c>
      <c r="AV60" s="188">
        <v>0</v>
      </c>
      <c r="AW60" s="188">
        <v>0</v>
      </c>
      <c r="AX60" s="188">
        <v>0</v>
      </c>
      <c r="AY60" s="188">
        <v>0</v>
      </c>
      <c r="AZ60" s="188">
        <v>0</v>
      </c>
      <c r="BA60" s="188">
        <v>0</v>
      </c>
      <c r="BB60" s="188">
        <v>0</v>
      </c>
      <c r="BC60" s="188">
        <v>0</v>
      </c>
      <c r="BD60" s="188">
        <v>0</v>
      </c>
      <c r="BE60" s="188">
        <v>0</v>
      </c>
      <c r="BF60" s="188">
        <v>0</v>
      </c>
      <c r="BG60" s="188">
        <v>0</v>
      </c>
      <c r="BH60" s="188">
        <v>0</v>
      </c>
      <c r="BI60" s="188">
        <v>0</v>
      </c>
      <c r="BJ60" s="188">
        <v>0</v>
      </c>
      <c r="BK60" s="188">
        <v>0</v>
      </c>
      <c r="BL60" s="188">
        <v>0</v>
      </c>
      <c r="BM60" s="188">
        <v>0</v>
      </c>
      <c r="BN60" s="188">
        <v>0</v>
      </c>
      <c r="BO60" s="188">
        <v>0</v>
      </c>
      <c r="BP60" s="188">
        <v>0</v>
      </c>
      <c r="BQ60" s="188">
        <v>0</v>
      </c>
      <c r="BR60" s="188">
        <v>0</v>
      </c>
      <c r="BS60" s="188">
        <v>0</v>
      </c>
      <c r="BT60" s="188">
        <v>0</v>
      </c>
      <c r="BU60" s="188">
        <v>0</v>
      </c>
      <c r="BV60" s="188">
        <v>0</v>
      </c>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170268035.13</v>
      </c>
      <c r="C61" s="188">
        <v>172798581.59999999</v>
      </c>
      <c r="D61" s="188">
        <v>175329128.06999999</v>
      </c>
      <c r="E61" s="188">
        <v>177859674.53999999</v>
      </c>
      <c r="F61" s="188">
        <v>180381853.66999999</v>
      </c>
      <c r="G61" s="188">
        <v>182978339.78</v>
      </c>
      <c r="H61" s="188">
        <v>185603910.53</v>
      </c>
      <c r="I61" s="188">
        <v>188118776.50999999</v>
      </c>
      <c r="J61" s="188">
        <v>190287366.19999999</v>
      </c>
      <c r="K61" s="188">
        <v>192922015.68000001</v>
      </c>
      <c r="L61" s="188">
        <v>195934362.53999999</v>
      </c>
      <c r="M61" s="188">
        <v>198603537.81</v>
      </c>
      <c r="N61" s="188">
        <v>202031249.06</v>
      </c>
      <c r="O61" s="188">
        <v>2963228.01</v>
      </c>
      <c r="P61" s="188">
        <v>4437945.83</v>
      </c>
      <c r="Q61" s="188">
        <v>5408286.8300000001</v>
      </c>
      <c r="R61" s="188">
        <v>5917951.8899999997</v>
      </c>
      <c r="S61" s="188">
        <v>6799810.7400000002</v>
      </c>
      <c r="T61" s="188">
        <v>7196207.0800000001</v>
      </c>
      <c r="U61" s="188">
        <v>8048744.96</v>
      </c>
      <c r="V61" s="188">
        <v>8736497.5999999996</v>
      </c>
      <c r="W61" s="188">
        <v>8234551.5099999998</v>
      </c>
      <c r="X61" s="188">
        <v>9205790.4700000007</v>
      </c>
      <c r="Y61" s="188">
        <v>10177029.43</v>
      </c>
      <c r="Z61" s="188">
        <v>11148268.390000001</v>
      </c>
      <c r="AA61" s="188">
        <v>11885526.800000001</v>
      </c>
      <c r="AB61" s="188">
        <v>12845444.119999999</v>
      </c>
      <c r="AC61" s="188">
        <v>13805361.439999999</v>
      </c>
      <c r="AD61" s="188">
        <v>16893673.399999999</v>
      </c>
      <c r="AE61" s="188">
        <v>17838414.5</v>
      </c>
      <c r="AF61" s="188">
        <v>18202831.82</v>
      </c>
      <c r="AG61" s="188">
        <v>18701578.16</v>
      </c>
      <c r="AH61" s="188">
        <v>19768820.690000001</v>
      </c>
      <c r="AI61" s="188">
        <v>18891838.010000002</v>
      </c>
      <c r="AJ61" s="188">
        <v>20112027.370000001</v>
      </c>
      <c r="AK61" s="188">
        <v>21469624.809999999</v>
      </c>
      <c r="AL61" s="188">
        <v>3152879.4</v>
      </c>
      <c r="AM61" s="188">
        <v>5462382.6500000004</v>
      </c>
      <c r="AN61" s="188">
        <v>7803175.4299999997</v>
      </c>
      <c r="AO61" s="188">
        <v>10146520.77</v>
      </c>
      <c r="AP61" s="188">
        <v>8582962.8599999994</v>
      </c>
      <c r="AQ61" s="188">
        <v>11461634.75</v>
      </c>
      <c r="AR61" s="188">
        <v>13941111.949999999</v>
      </c>
      <c r="AS61" s="188">
        <v>12477325.460000001</v>
      </c>
      <c r="AT61" s="188">
        <v>36691360.520000003</v>
      </c>
      <c r="AU61" s="188">
        <v>70552699.730000004</v>
      </c>
      <c r="AV61" s="188">
        <v>68191994.959999993</v>
      </c>
      <c r="AW61" s="188">
        <v>68459874.909999996</v>
      </c>
      <c r="AX61" s="188">
        <v>64111146.829999998</v>
      </c>
      <c r="AY61" s="188">
        <v>60712606.950000003</v>
      </c>
      <c r="AZ61" s="188">
        <v>58279125.240000002</v>
      </c>
      <c r="BA61" s="188">
        <v>60377239.579999998</v>
      </c>
      <c r="BB61" s="188">
        <v>58900390.140000001</v>
      </c>
      <c r="BC61" s="188">
        <v>52057433.049999997</v>
      </c>
      <c r="BD61" s="188">
        <v>49971049.43</v>
      </c>
      <c r="BE61" s="188">
        <v>50939036</v>
      </c>
      <c r="BF61" s="188">
        <v>55014337.399999999</v>
      </c>
      <c r="BG61" s="188">
        <v>49561075.75</v>
      </c>
      <c r="BH61" s="188">
        <v>45668919.369999997</v>
      </c>
      <c r="BI61" s="188">
        <v>33607508.119999997</v>
      </c>
      <c r="BJ61" s="188">
        <v>28195069.550000001</v>
      </c>
      <c r="BK61" s="188">
        <v>25847208.399999999</v>
      </c>
      <c r="BL61" s="188">
        <v>25173397.5</v>
      </c>
      <c r="BM61" s="188">
        <v>22221522.309999999</v>
      </c>
      <c r="BN61" s="188">
        <v>18148500.66</v>
      </c>
      <c r="BO61" s="188">
        <v>18219423.449999999</v>
      </c>
      <c r="BP61" s="188">
        <v>16908806.059999999</v>
      </c>
      <c r="BQ61" s="188">
        <v>16579763.939999999</v>
      </c>
      <c r="BR61" s="188">
        <v>16168889.27</v>
      </c>
      <c r="BS61" s="188">
        <v>11574814.359999999</v>
      </c>
      <c r="BT61" s="188">
        <v>8442496.9499999993</v>
      </c>
      <c r="BU61" s="188">
        <v>7917934.4500000002</v>
      </c>
      <c r="BV61" s="188">
        <v>0</v>
      </c>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1442247963.4000001</v>
      </c>
      <c r="C62" s="188">
        <v>1216138278.1400001</v>
      </c>
      <c r="D62" s="188">
        <v>1399765939.0599999</v>
      </c>
      <c r="E62" s="188">
        <v>1401797361.77</v>
      </c>
      <c r="F62" s="188">
        <v>2019358117.1199999</v>
      </c>
      <c r="G62" s="188">
        <v>1835447883.46</v>
      </c>
      <c r="H62" s="188">
        <v>1845145948.6800001</v>
      </c>
      <c r="I62" s="188">
        <v>1745539120.6800001</v>
      </c>
      <c r="J62" s="188">
        <v>901987637.61000001</v>
      </c>
      <c r="K62" s="188">
        <v>895245348.82000005</v>
      </c>
      <c r="L62" s="188">
        <v>887280412.58000004</v>
      </c>
      <c r="M62" s="188">
        <v>1155336074.1400001</v>
      </c>
      <c r="N62" s="188">
        <v>767938421.36000001</v>
      </c>
      <c r="O62" s="188">
        <v>548714031.45000005</v>
      </c>
      <c r="P62" s="188">
        <v>743599436.94000006</v>
      </c>
      <c r="Q62" s="188">
        <v>821601105.71000004</v>
      </c>
      <c r="R62" s="188">
        <v>950518493.65999997</v>
      </c>
      <c r="S62" s="188">
        <v>960373469.90999997</v>
      </c>
      <c r="T62" s="188">
        <v>804831808.55999994</v>
      </c>
      <c r="U62" s="188">
        <v>825372524.64999998</v>
      </c>
      <c r="V62" s="188">
        <v>627749883.44000006</v>
      </c>
      <c r="W62" s="188">
        <v>302817568.36000001</v>
      </c>
      <c r="X62" s="188">
        <v>567395099.30999994</v>
      </c>
      <c r="Y62" s="188">
        <v>643656913.32000005</v>
      </c>
      <c r="Z62" s="188">
        <v>282149572.67000002</v>
      </c>
      <c r="AA62" s="188">
        <v>381631064.63</v>
      </c>
      <c r="AB62" s="188">
        <v>478727366.87</v>
      </c>
      <c r="AC62" s="188">
        <v>502628950.52999997</v>
      </c>
      <c r="AD62" s="188">
        <v>356389121.89999998</v>
      </c>
      <c r="AE62" s="188">
        <v>284320662.57999998</v>
      </c>
      <c r="AF62" s="188">
        <v>310887789.67000002</v>
      </c>
      <c r="AG62" s="188">
        <v>278437938.97000003</v>
      </c>
      <c r="AH62" s="188">
        <v>257933326.34999999</v>
      </c>
      <c r="AI62" s="188">
        <v>166372214.52000001</v>
      </c>
      <c r="AJ62" s="188">
        <v>197205662.94</v>
      </c>
      <c r="AK62" s="188">
        <v>225420802.13999999</v>
      </c>
      <c r="AL62" s="188">
        <v>101887756.67</v>
      </c>
      <c r="AM62" s="188">
        <v>93737740.640000001</v>
      </c>
      <c r="AN62" s="188">
        <v>191547177.25</v>
      </c>
      <c r="AO62" s="188">
        <v>176680977.53999999</v>
      </c>
      <c r="AP62" s="188">
        <v>68169347.540000007</v>
      </c>
      <c r="AQ62" s="188">
        <v>49096749.719999999</v>
      </c>
      <c r="AR62" s="188">
        <v>72160364.549999997</v>
      </c>
      <c r="AS62" s="188">
        <v>52849560.43</v>
      </c>
      <c r="AT62" s="188">
        <v>36966481.409999996</v>
      </c>
      <c r="AU62" s="188">
        <v>36799639.740000002</v>
      </c>
      <c r="AV62" s="188">
        <v>51325209.009999998</v>
      </c>
      <c r="AW62" s="188">
        <v>0</v>
      </c>
      <c r="AX62" s="188">
        <v>0</v>
      </c>
      <c r="AY62" s="188">
        <v>0</v>
      </c>
      <c r="AZ62" s="188">
        <v>0</v>
      </c>
      <c r="BA62" s="188">
        <v>0</v>
      </c>
      <c r="BB62" s="188">
        <v>0</v>
      </c>
      <c r="BC62" s="188">
        <v>0</v>
      </c>
      <c r="BD62" s="188">
        <v>0</v>
      </c>
      <c r="BE62" s="188">
        <v>0</v>
      </c>
      <c r="BF62" s="188">
        <v>0</v>
      </c>
      <c r="BG62" s="188">
        <v>0</v>
      </c>
      <c r="BH62" s="188">
        <v>0</v>
      </c>
      <c r="BI62" s="188">
        <v>0</v>
      </c>
      <c r="BJ62" s="188">
        <v>0</v>
      </c>
      <c r="BK62" s="188">
        <v>0</v>
      </c>
      <c r="BL62" s="188">
        <v>0</v>
      </c>
      <c r="BM62" s="188">
        <v>0</v>
      </c>
      <c r="BN62" s="188">
        <v>0</v>
      </c>
      <c r="BO62" s="188">
        <v>0</v>
      </c>
      <c r="BP62" s="188">
        <v>0</v>
      </c>
      <c r="BQ62" s="188">
        <v>0</v>
      </c>
      <c r="BR62" s="188">
        <v>0</v>
      </c>
      <c r="BS62" s="188">
        <v>0</v>
      </c>
      <c r="BT62" s="188">
        <v>0</v>
      </c>
      <c r="BU62" s="188">
        <v>0</v>
      </c>
      <c r="BV62" s="188">
        <v>0</v>
      </c>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0</v>
      </c>
      <c r="C63" s="188">
        <v>0</v>
      </c>
      <c r="D63" s="188">
        <v>0</v>
      </c>
      <c r="E63" s="188">
        <v>0</v>
      </c>
      <c r="F63" s="188">
        <v>0</v>
      </c>
      <c r="G63" s="188">
        <v>0</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c r="BH63" s="188">
        <v>0</v>
      </c>
      <c r="BI63" s="188">
        <v>0</v>
      </c>
      <c r="BJ63" s="188">
        <v>0</v>
      </c>
      <c r="BK63" s="188">
        <v>0</v>
      </c>
      <c r="BL63" s="188">
        <v>0</v>
      </c>
      <c r="BM63" s="188">
        <v>0</v>
      </c>
      <c r="BN63" s="188">
        <v>0</v>
      </c>
      <c r="BO63" s="188">
        <v>0</v>
      </c>
      <c r="BP63" s="188">
        <v>0</v>
      </c>
      <c r="BQ63" s="188">
        <v>0</v>
      </c>
      <c r="BR63" s="188">
        <v>0</v>
      </c>
      <c r="BS63" s="188">
        <v>0</v>
      </c>
      <c r="BT63" s="188">
        <v>0</v>
      </c>
      <c r="BU63" s="188">
        <v>0</v>
      </c>
      <c r="BV63" s="188">
        <v>0</v>
      </c>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0</v>
      </c>
      <c r="C64" s="188">
        <v>0</v>
      </c>
      <c r="D64" s="188">
        <v>0</v>
      </c>
      <c r="E64" s="188">
        <v>0</v>
      </c>
      <c r="F64" s="188">
        <v>0</v>
      </c>
      <c r="G64" s="188">
        <v>0</v>
      </c>
      <c r="H64" s="188">
        <v>0</v>
      </c>
      <c r="I64" s="188">
        <v>0</v>
      </c>
      <c r="J64" s="188">
        <v>0</v>
      </c>
      <c r="K64" s="188">
        <v>0</v>
      </c>
      <c r="L64" s="188">
        <v>0</v>
      </c>
      <c r="M64" s="188">
        <v>0</v>
      </c>
      <c r="N64" s="188">
        <v>0</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v>0</v>
      </c>
      <c r="BI64" s="188">
        <v>0</v>
      </c>
      <c r="BJ64" s="188">
        <v>0</v>
      </c>
      <c r="BK64" s="188">
        <v>0</v>
      </c>
      <c r="BL64" s="188">
        <v>0</v>
      </c>
      <c r="BM64" s="188">
        <v>0</v>
      </c>
      <c r="BN64" s="188">
        <v>0</v>
      </c>
      <c r="BO64" s="188">
        <v>0</v>
      </c>
      <c r="BP64" s="188">
        <v>0</v>
      </c>
      <c r="BQ64" s="188">
        <v>0</v>
      </c>
      <c r="BR64" s="188">
        <v>0</v>
      </c>
      <c r="BS64" s="188">
        <v>0</v>
      </c>
      <c r="BT64" s="188">
        <v>0</v>
      </c>
      <c r="BU64" s="188">
        <v>0</v>
      </c>
      <c r="BV64" s="188">
        <v>0</v>
      </c>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22244873408.830002</v>
      </c>
      <c r="C68" s="36">
        <f t="shared" ref="C68:BN68" si="8">SUM(C52:C64)-2*C63</f>
        <v>22104028347.879997</v>
      </c>
      <c r="D68" s="36">
        <f t="shared" si="8"/>
        <v>22568962179.689999</v>
      </c>
      <c r="E68" s="36">
        <f t="shared" si="8"/>
        <v>22298780913.480003</v>
      </c>
      <c r="F68" s="36">
        <f t="shared" si="8"/>
        <v>22918491342.999996</v>
      </c>
      <c r="G68" s="36">
        <f t="shared" si="8"/>
        <v>22731699774.959999</v>
      </c>
      <c r="H68" s="36">
        <f t="shared" si="8"/>
        <v>22817594707.380001</v>
      </c>
      <c r="I68" s="36">
        <f t="shared" si="8"/>
        <v>22664155957.809998</v>
      </c>
      <c r="J68" s="36">
        <f t="shared" si="8"/>
        <v>21444273234.480003</v>
      </c>
      <c r="K68" s="36">
        <f t="shared" si="8"/>
        <v>21392393700.330002</v>
      </c>
      <c r="L68" s="36">
        <f t="shared" si="8"/>
        <v>21411153404.440002</v>
      </c>
      <c r="M68" s="36">
        <f t="shared" si="8"/>
        <v>21248449399.18</v>
      </c>
      <c r="N68" s="36">
        <f t="shared" si="8"/>
        <v>20211532117.090004</v>
      </c>
      <c r="O68" s="36">
        <f t="shared" si="8"/>
        <v>18987964757.829998</v>
      </c>
      <c r="P68" s="36">
        <f t="shared" si="8"/>
        <v>18230836536.52</v>
      </c>
      <c r="Q68" s="36">
        <f t="shared" si="8"/>
        <v>18207426150.310001</v>
      </c>
      <c r="R68" s="36">
        <f t="shared" si="8"/>
        <v>16579195222.92</v>
      </c>
      <c r="S68" s="36">
        <f t="shared" si="8"/>
        <v>16508024564.630001</v>
      </c>
      <c r="T68" s="36">
        <f t="shared" si="8"/>
        <v>15510262009.01</v>
      </c>
      <c r="U68" s="36">
        <f t="shared" si="8"/>
        <v>13378039742.819998</v>
      </c>
      <c r="V68" s="36">
        <f t="shared" si="8"/>
        <v>9354840713.1000004</v>
      </c>
      <c r="W68" s="36">
        <f t="shared" si="8"/>
        <v>8883733311.7900009</v>
      </c>
      <c r="X68" s="36">
        <f t="shared" si="8"/>
        <v>8992122215.5200005</v>
      </c>
      <c r="Y68" s="36">
        <f t="shared" si="8"/>
        <v>8719132339.5799999</v>
      </c>
      <c r="Z68" s="36">
        <f t="shared" si="8"/>
        <v>7294983711.5200014</v>
      </c>
      <c r="AA68" s="36">
        <f t="shared" si="8"/>
        <v>7233172510.8199997</v>
      </c>
      <c r="AB68" s="36">
        <f t="shared" si="8"/>
        <v>7120957543.2699995</v>
      </c>
      <c r="AC68" s="36">
        <f t="shared" si="8"/>
        <v>7007236794.9799995</v>
      </c>
      <c r="AD68" s="36">
        <f t="shared" si="8"/>
        <v>5843593182.6300001</v>
      </c>
      <c r="AE68" s="36">
        <f t="shared" si="8"/>
        <v>5386664776.8999996</v>
      </c>
      <c r="AF68" s="36">
        <f t="shared" si="8"/>
        <v>5340910754.6800003</v>
      </c>
      <c r="AG68" s="36">
        <f t="shared" si="8"/>
        <v>5223295112.3800001</v>
      </c>
      <c r="AH68" s="36">
        <f t="shared" si="8"/>
        <v>4790322092.2399998</v>
      </c>
      <c r="AI68" s="36">
        <f t="shared" si="8"/>
        <v>4686522574.4800005</v>
      </c>
      <c r="AJ68" s="36">
        <f t="shared" si="8"/>
        <v>4209497907.4599996</v>
      </c>
      <c r="AK68" s="36">
        <f t="shared" si="8"/>
        <v>4100037784.3299999</v>
      </c>
      <c r="AL68" s="36">
        <f t="shared" si="8"/>
        <v>3862081948.3500004</v>
      </c>
      <c r="AM68" s="36">
        <f t="shared" si="8"/>
        <v>3725937589.1599998</v>
      </c>
      <c r="AN68" s="36">
        <f t="shared" si="8"/>
        <v>3672677824.8999996</v>
      </c>
      <c r="AO68" s="36">
        <f t="shared" si="8"/>
        <v>3467436953.5099998</v>
      </c>
      <c r="AP68" s="36">
        <f t="shared" si="8"/>
        <v>3698014271</v>
      </c>
      <c r="AQ68" s="36">
        <f t="shared" si="8"/>
        <v>3485080172.4299998</v>
      </c>
      <c r="AR68" s="36">
        <f t="shared" si="8"/>
        <v>3297338900.5300002</v>
      </c>
      <c r="AS68" s="36">
        <f t="shared" si="8"/>
        <v>3147968937.0299997</v>
      </c>
      <c r="AT68" s="36">
        <f t="shared" si="8"/>
        <v>3024136003.2399998</v>
      </c>
      <c r="AU68" s="36">
        <f t="shared" si="8"/>
        <v>2890999545.0699997</v>
      </c>
      <c r="AV68" s="36">
        <f t="shared" si="8"/>
        <v>2781515402.9900002</v>
      </c>
      <c r="AW68" s="36">
        <f t="shared" si="8"/>
        <v>2584084817.4099994</v>
      </c>
      <c r="AX68" s="36">
        <f t="shared" si="8"/>
        <v>2439622324.4800005</v>
      </c>
      <c r="AY68" s="36">
        <f t="shared" si="8"/>
        <v>2253040524.3499999</v>
      </c>
      <c r="AZ68" s="36">
        <f t="shared" si="8"/>
        <v>2105395904.1500001</v>
      </c>
      <c r="BA68" s="36">
        <f t="shared" si="8"/>
        <v>2027833159.6499999</v>
      </c>
      <c r="BB68" s="36">
        <f t="shared" si="8"/>
        <v>1895118116.76</v>
      </c>
      <c r="BC68" s="36">
        <f t="shared" si="8"/>
        <v>1771037857.3700001</v>
      </c>
      <c r="BD68" s="36">
        <f t="shared" si="8"/>
        <v>1675782383.1600001</v>
      </c>
      <c r="BE68" s="36">
        <f t="shared" si="8"/>
        <v>1591199412.04</v>
      </c>
      <c r="BF68" s="36">
        <f t="shared" si="8"/>
        <v>1459570659.4500003</v>
      </c>
      <c r="BG68" s="36">
        <f t="shared" si="8"/>
        <v>1394793760.2599998</v>
      </c>
      <c r="BH68" s="36">
        <f t="shared" si="8"/>
        <v>1328300138.5599997</v>
      </c>
      <c r="BI68" s="36">
        <f t="shared" si="8"/>
        <v>1196336776.9300001</v>
      </c>
      <c r="BJ68" s="36">
        <f t="shared" si="8"/>
        <v>1161910893.28</v>
      </c>
      <c r="BK68" s="36">
        <f t="shared" si="8"/>
        <v>1088933336.0799999</v>
      </c>
      <c r="BL68" s="36">
        <f t="shared" si="8"/>
        <v>1015774319.86</v>
      </c>
      <c r="BM68" s="36">
        <f t="shared" si="8"/>
        <v>935648707.24999988</v>
      </c>
      <c r="BN68" s="36">
        <f t="shared" si="8"/>
        <v>855601030.65999997</v>
      </c>
      <c r="BO68" s="36">
        <f t="shared" ref="BO68:CK68" si="9">SUM(BO52:BO64)-2*BO63</f>
        <v>744821426.96000004</v>
      </c>
      <c r="BP68" s="36">
        <f t="shared" si="9"/>
        <v>611201680.95000005</v>
      </c>
      <c r="BQ68" s="36">
        <f t="shared" si="9"/>
        <v>593463444.28000009</v>
      </c>
      <c r="BR68" s="36">
        <f t="shared" si="9"/>
        <v>194684528.31999999</v>
      </c>
      <c r="BS68" s="36">
        <f t="shared" si="9"/>
        <v>198886333.54000002</v>
      </c>
      <c r="BT68" s="36">
        <f t="shared" si="9"/>
        <v>194339652.84999999</v>
      </c>
      <c r="BU68" s="36">
        <f t="shared" si="9"/>
        <v>220941379.79999998</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24965095220.68</v>
      </c>
      <c r="C69" s="33">
        <f t="shared" ref="C69:BN69" si="10">C50+C68</f>
        <v>27997821955.169998</v>
      </c>
      <c r="D69" s="33">
        <f t="shared" si="10"/>
        <v>25620543530.799999</v>
      </c>
      <c r="E69" s="33">
        <f t="shared" si="10"/>
        <v>18333177293.660004</v>
      </c>
      <c r="F69" s="33">
        <f t="shared" si="10"/>
        <v>19038618531.790001</v>
      </c>
      <c r="G69" s="33">
        <f t="shared" si="10"/>
        <v>22375469750.970001</v>
      </c>
      <c r="H69" s="33">
        <f t="shared" si="10"/>
        <v>19819663109.770004</v>
      </c>
      <c r="I69" s="33">
        <f t="shared" si="10"/>
        <v>19236142330.050003</v>
      </c>
      <c r="J69" s="33">
        <f t="shared" si="10"/>
        <v>21462163431.490002</v>
      </c>
      <c r="K69" s="33">
        <f t="shared" si="10"/>
        <v>32248320744.110001</v>
      </c>
      <c r="L69" s="33">
        <f t="shared" si="10"/>
        <v>33465523930.550003</v>
      </c>
      <c r="M69" s="33">
        <f t="shared" si="10"/>
        <v>35294605221.290001</v>
      </c>
      <c r="N69" s="33">
        <f t="shared" si="10"/>
        <v>37578209319.600006</v>
      </c>
      <c r="O69" s="33">
        <f t="shared" si="10"/>
        <v>36261021443.699997</v>
      </c>
      <c r="P69" s="33">
        <f t="shared" si="10"/>
        <v>34165256625.169998</v>
      </c>
      <c r="Q69" s="33">
        <f t="shared" si="10"/>
        <v>31459788629.68</v>
      </c>
      <c r="R69" s="33">
        <f t="shared" si="10"/>
        <v>31513581175.470001</v>
      </c>
      <c r="S69" s="33">
        <f t="shared" si="10"/>
        <v>29600828359.630001</v>
      </c>
      <c r="T69" s="33">
        <f t="shared" si="10"/>
        <v>27005784131.07</v>
      </c>
      <c r="U69" s="33">
        <f t="shared" si="10"/>
        <v>21411529282.779999</v>
      </c>
      <c r="V69" s="33">
        <f t="shared" si="10"/>
        <v>20665520717.809998</v>
      </c>
      <c r="W69" s="33">
        <f t="shared" si="10"/>
        <v>20864084058.559998</v>
      </c>
      <c r="X69" s="33">
        <f t="shared" si="10"/>
        <v>17266112795.889999</v>
      </c>
      <c r="Y69" s="33">
        <f t="shared" si="10"/>
        <v>13073423733.859999</v>
      </c>
      <c r="Z69" s="33">
        <f t="shared" si="10"/>
        <v>13177266167.59</v>
      </c>
      <c r="AA69" s="33">
        <f t="shared" si="10"/>
        <v>11388895016.580002</v>
      </c>
      <c r="AB69" s="33">
        <f t="shared" si="10"/>
        <v>9472857395.9499989</v>
      </c>
      <c r="AC69" s="33">
        <f t="shared" si="10"/>
        <v>6859506689.1999989</v>
      </c>
      <c r="AD69" s="33">
        <f t="shared" si="10"/>
        <v>4780928465.1400023</v>
      </c>
      <c r="AE69" s="33">
        <f t="shared" si="10"/>
        <v>6330739827.5599995</v>
      </c>
      <c r="AF69" s="33">
        <f t="shared" si="10"/>
        <v>4757328279.9800014</v>
      </c>
      <c r="AG69" s="33">
        <f t="shared" si="10"/>
        <v>5872851576.2800007</v>
      </c>
      <c r="AH69" s="33">
        <f t="shared" si="10"/>
        <v>6774650753.2599993</v>
      </c>
      <c r="AI69" s="33">
        <f t="shared" si="10"/>
        <v>7541572650</v>
      </c>
      <c r="AJ69" s="33">
        <f t="shared" si="10"/>
        <v>6001329308.4499989</v>
      </c>
      <c r="AK69" s="33">
        <f t="shared" si="10"/>
        <v>5029708301.5900011</v>
      </c>
      <c r="AL69" s="33">
        <f t="shared" si="10"/>
        <v>6287723893.2299995</v>
      </c>
      <c r="AM69" s="33">
        <f t="shared" si="10"/>
        <v>6397372476.7400007</v>
      </c>
      <c r="AN69" s="33">
        <f t="shared" si="10"/>
        <v>5059053107.4699993</v>
      </c>
      <c r="AO69" s="33">
        <f t="shared" si="10"/>
        <v>3360912854.7899995</v>
      </c>
      <c r="AP69" s="33">
        <f t="shared" si="10"/>
        <v>4476893441.9700003</v>
      </c>
      <c r="AQ69" s="33">
        <f t="shared" si="10"/>
        <v>4863768054.29</v>
      </c>
      <c r="AR69" s="33">
        <f t="shared" si="10"/>
        <v>3720424578.7800002</v>
      </c>
      <c r="AS69" s="33">
        <f t="shared" si="10"/>
        <v>3622372028.46</v>
      </c>
      <c r="AT69" s="33">
        <f t="shared" si="10"/>
        <v>2176691346.0199995</v>
      </c>
      <c r="AU69" s="33">
        <f t="shared" si="10"/>
        <v>2067789212.2799997</v>
      </c>
      <c r="AV69" s="33">
        <f t="shared" si="10"/>
        <v>1891810367.920001</v>
      </c>
      <c r="AW69" s="33">
        <f t="shared" si="10"/>
        <v>1486635400.0999994</v>
      </c>
      <c r="AX69" s="33">
        <f t="shared" si="10"/>
        <v>1377391992.3499999</v>
      </c>
      <c r="AY69" s="33">
        <f t="shared" si="10"/>
        <v>1631145242.6799998</v>
      </c>
      <c r="AZ69" s="33">
        <f t="shared" si="10"/>
        <v>1688319464.6699998</v>
      </c>
      <c r="BA69" s="33">
        <f t="shared" si="10"/>
        <v>1307063952.8499997</v>
      </c>
      <c r="BB69" s="33">
        <f t="shared" si="10"/>
        <v>1588346585.8</v>
      </c>
      <c r="BC69" s="33">
        <f t="shared" si="10"/>
        <v>1655608553.8800004</v>
      </c>
      <c r="BD69" s="33">
        <f t="shared" si="10"/>
        <v>1634730365.1000001</v>
      </c>
      <c r="BE69" s="33">
        <f t="shared" si="10"/>
        <v>1341054577.3899999</v>
      </c>
      <c r="BF69" s="33">
        <f t="shared" si="10"/>
        <v>1605676607.9200003</v>
      </c>
      <c r="BG69" s="33">
        <f t="shared" si="10"/>
        <v>1712813847.1399999</v>
      </c>
      <c r="BH69" s="33">
        <f t="shared" si="10"/>
        <v>1702963227.2399995</v>
      </c>
      <c r="BI69" s="33">
        <f t="shared" si="10"/>
        <v>1141951027.0599999</v>
      </c>
      <c r="BJ69" s="33">
        <f t="shared" si="10"/>
        <v>1428663361.3499999</v>
      </c>
      <c r="BK69" s="33">
        <f t="shared" si="10"/>
        <v>1657124345.98</v>
      </c>
      <c r="BL69" s="33">
        <f t="shared" si="10"/>
        <v>1481219769.5</v>
      </c>
      <c r="BM69" s="33">
        <f t="shared" si="10"/>
        <v>1156510605.9400001</v>
      </c>
      <c r="BN69" s="33">
        <f t="shared" si="10"/>
        <v>1324772403.8</v>
      </c>
      <c r="BO69" s="33">
        <f t="shared" ref="BO69:CL69" si="11">BO50+BO68</f>
        <v>1438216942.6100001</v>
      </c>
      <c r="BP69" s="33">
        <f t="shared" si="11"/>
        <v>1049460358.12</v>
      </c>
      <c r="BQ69" s="33">
        <f t="shared" si="11"/>
        <v>724202035.17000008</v>
      </c>
      <c r="BR69" s="33">
        <f t="shared" si="11"/>
        <v>501098351.51999992</v>
      </c>
      <c r="BS69" s="33">
        <f t="shared" si="11"/>
        <v>95396445.859999955</v>
      </c>
      <c r="BT69" s="33">
        <f t="shared" si="11"/>
        <v>258737224.83000001</v>
      </c>
      <c r="BU69" s="33">
        <f t="shared" si="11"/>
        <v>324658521.35000002</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126170135854.10001</v>
      </c>
      <c r="C70" s="37">
        <f t="shared" ref="C70:BN70" si="12">C17+C19+C69</f>
        <v>112111460912.81</v>
      </c>
      <c r="D70" s="37">
        <f t="shared" si="12"/>
        <v>113719127962.05</v>
      </c>
      <c r="E70" s="37">
        <f t="shared" si="12"/>
        <v>106505655822.89</v>
      </c>
      <c r="F70" s="37">
        <f t="shared" si="12"/>
        <v>100304234156.42999</v>
      </c>
      <c r="G70" s="37">
        <f t="shared" si="12"/>
        <v>96420957735.519989</v>
      </c>
      <c r="H70" s="37">
        <f t="shared" si="12"/>
        <v>93038921689.440018</v>
      </c>
      <c r="I70" s="37">
        <f t="shared" si="12"/>
        <v>86321842822.179993</v>
      </c>
      <c r="J70" s="37">
        <f t="shared" si="12"/>
        <v>83786221873.680008</v>
      </c>
      <c r="K70" s="37">
        <f t="shared" si="12"/>
        <v>80057188116.410004</v>
      </c>
      <c r="L70" s="37">
        <f t="shared" si="12"/>
        <v>77540333161.610001</v>
      </c>
      <c r="M70" s="37">
        <f t="shared" si="12"/>
        <v>72229202167.820007</v>
      </c>
      <c r="N70" s="37">
        <f t="shared" si="12"/>
        <v>68301112590.480003</v>
      </c>
      <c r="O70" s="37">
        <f t="shared" si="12"/>
        <v>66743865893.57</v>
      </c>
      <c r="P70" s="37">
        <f t="shared" si="12"/>
        <v>62788380577.899994</v>
      </c>
      <c r="Q70" s="37">
        <f t="shared" si="12"/>
        <v>59345919232.220001</v>
      </c>
      <c r="R70" s="37">
        <f t="shared" si="12"/>
        <v>54427056884.389999</v>
      </c>
      <c r="S70" s="37">
        <f t="shared" si="12"/>
        <v>50807882716.389999</v>
      </c>
      <c r="T70" s="37">
        <f t="shared" si="12"/>
        <v>50513113858.5</v>
      </c>
      <c r="U70" s="37">
        <f t="shared" si="12"/>
        <v>46929665261.690002</v>
      </c>
      <c r="V70" s="37">
        <f t="shared" si="12"/>
        <v>43046712748.440002</v>
      </c>
      <c r="W70" s="37">
        <f t="shared" si="12"/>
        <v>39430754998.509995</v>
      </c>
      <c r="X70" s="37">
        <f t="shared" si="12"/>
        <v>39225149640.240005</v>
      </c>
      <c r="Y70" s="37">
        <f t="shared" si="12"/>
        <v>35454036397.25</v>
      </c>
      <c r="Z70" s="37">
        <f t="shared" si="12"/>
        <v>32187253924.760002</v>
      </c>
      <c r="AA70" s="37">
        <f t="shared" si="12"/>
        <v>32638540497.200001</v>
      </c>
      <c r="AB70" s="37">
        <f t="shared" si="12"/>
        <v>28532870402.029999</v>
      </c>
      <c r="AC70" s="37">
        <f t="shared" si="12"/>
        <v>25403379611.290001</v>
      </c>
      <c r="AD70" s="37">
        <f t="shared" si="12"/>
        <v>23309364007.230003</v>
      </c>
      <c r="AE70" s="37">
        <f t="shared" si="12"/>
        <v>23814033405.110001</v>
      </c>
      <c r="AF70" s="37">
        <f t="shared" si="12"/>
        <v>20859265220.550003</v>
      </c>
      <c r="AG70" s="37">
        <f t="shared" si="12"/>
        <v>18867973890.910004</v>
      </c>
      <c r="AH70" s="37">
        <f t="shared" si="12"/>
        <v>17942016871.77</v>
      </c>
      <c r="AI70" s="37">
        <f t="shared" si="12"/>
        <v>17923877994.279999</v>
      </c>
      <c r="AJ70" s="37">
        <f t="shared" si="12"/>
        <v>15995948192.019999</v>
      </c>
      <c r="AK70" s="37">
        <f t="shared" si="12"/>
        <v>14788773056.830002</v>
      </c>
      <c r="AL70" s="37">
        <f t="shared" si="12"/>
        <v>14215679731.029999</v>
      </c>
      <c r="AM70" s="37">
        <f t="shared" si="12"/>
        <v>14225618797.950001</v>
      </c>
      <c r="AN70" s="37">
        <f t="shared" si="12"/>
        <v>12780458863.77</v>
      </c>
      <c r="AO70" s="37">
        <f t="shared" si="12"/>
        <v>11503418295.949999</v>
      </c>
      <c r="AP70" s="37">
        <f t="shared" si="12"/>
        <v>10922391711.51</v>
      </c>
      <c r="AQ70" s="37">
        <f t="shared" si="12"/>
        <v>9972821285.0900002</v>
      </c>
      <c r="AR70" s="37">
        <f t="shared" si="12"/>
        <v>9327748223.0699997</v>
      </c>
      <c r="AS70" s="37">
        <f t="shared" si="12"/>
        <v>8410662728.4800005</v>
      </c>
      <c r="AT70" s="37">
        <f t="shared" si="12"/>
        <v>6994706282.3699999</v>
      </c>
      <c r="AU70" s="37">
        <f t="shared" si="12"/>
        <v>6942283668.4399996</v>
      </c>
      <c r="AV70" s="37">
        <f t="shared" si="12"/>
        <v>6611065299.210001</v>
      </c>
      <c r="AW70" s="37">
        <f t="shared" si="12"/>
        <v>6003989385.0299997</v>
      </c>
      <c r="AX70" s="37">
        <f t="shared" si="12"/>
        <v>5472067233.3999996</v>
      </c>
      <c r="AY70" s="37">
        <f t="shared" si="12"/>
        <v>5060632616.039999</v>
      </c>
      <c r="AZ70" s="37">
        <f t="shared" si="12"/>
        <v>5674270668.8800001</v>
      </c>
      <c r="BA70" s="37">
        <f t="shared" si="12"/>
        <v>5209296403.71</v>
      </c>
      <c r="BB70" s="37">
        <f t="shared" si="12"/>
        <v>4815192644.5100002</v>
      </c>
      <c r="BC70" s="37">
        <f t="shared" si="12"/>
        <v>4730662106.0300007</v>
      </c>
      <c r="BD70" s="37">
        <f t="shared" si="12"/>
        <v>4669283111.6100006</v>
      </c>
      <c r="BE70" s="37">
        <f t="shared" si="12"/>
        <v>4249197059.9699998</v>
      </c>
      <c r="BF70" s="37">
        <f t="shared" si="12"/>
        <v>4028965574.3800001</v>
      </c>
      <c r="BG70" s="37">
        <f t="shared" si="12"/>
        <v>3889604003.73</v>
      </c>
      <c r="BH70" s="37">
        <f t="shared" si="12"/>
        <v>3808412072.9599991</v>
      </c>
      <c r="BI70" s="37">
        <f t="shared" si="12"/>
        <v>3485998413.9099998</v>
      </c>
      <c r="BJ70" s="37">
        <f t="shared" si="12"/>
        <v>3301456325.0599999</v>
      </c>
      <c r="BK70" s="37">
        <f t="shared" si="12"/>
        <v>3197373661.6199999</v>
      </c>
      <c r="BL70" s="37">
        <f t="shared" si="12"/>
        <v>3170177508.0599999</v>
      </c>
      <c r="BM70" s="37">
        <f t="shared" si="12"/>
        <v>2940818296.5799999</v>
      </c>
      <c r="BN70" s="37">
        <f t="shared" si="12"/>
        <v>3005997323.8400002</v>
      </c>
      <c r="BO70" s="37">
        <f t="shared" ref="BO70:CL70" si="13">BO17+BO19+BO69</f>
        <v>2956017232.4400001</v>
      </c>
      <c r="BP70" s="37">
        <f t="shared" si="13"/>
        <v>2927390204.21</v>
      </c>
      <c r="BQ70" s="37">
        <f t="shared" si="13"/>
        <v>2680638605.27</v>
      </c>
      <c r="BR70" s="37">
        <f t="shared" si="13"/>
        <v>837537565.01999998</v>
      </c>
      <c r="BS70" s="37">
        <f t="shared" si="13"/>
        <v>556380029.31999993</v>
      </c>
      <c r="BT70" s="37">
        <f t="shared" si="13"/>
        <v>457127839.95000005</v>
      </c>
      <c r="BU70" s="37">
        <f t="shared" si="13"/>
        <v>449423890.09000003</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23414593.670000002</v>
      </c>
      <c r="F72" s="28">
        <f t="shared" ref="F72:BQ72" si="14">SUM(F73:F77)</f>
        <v>24740964.149999999</v>
      </c>
      <c r="G72" s="28">
        <f t="shared" si="14"/>
        <v>39370998.079999998</v>
      </c>
      <c r="H72" s="28">
        <f t="shared" si="14"/>
        <v>39606282.75</v>
      </c>
      <c r="I72" s="28">
        <f t="shared" si="14"/>
        <v>34481635.329999998</v>
      </c>
      <c r="J72" s="28">
        <f t="shared" si="14"/>
        <v>21599948.09</v>
      </c>
      <c r="K72" s="28">
        <f t="shared" si="14"/>
        <v>46904631.719999999</v>
      </c>
      <c r="L72" s="28">
        <f t="shared" si="14"/>
        <v>40428159.979999997</v>
      </c>
      <c r="M72" s="28">
        <f t="shared" si="14"/>
        <v>27409447.399999999</v>
      </c>
      <c r="N72" s="28">
        <f t="shared" si="14"/>
        <v>15831375.970000001</v>
      </c>
      <c r="O72" s="28">
        <f t="shared" si="14"/>
        <v>33124441.800000001</v>
      </c>
      <c r="P72" s="28">
        <f t="shared" si="14"/>
        <v>23734467.609999999</v>
      </c>
      <c r="Q72" s="28">
        <f t="shared" si="14"/>
        <v>77917681.909999996</v>
      </c>
      <c r="R72" s="28">
        <f t="shared" si="14"/>
        <v>7473820.4900000002</v>
      </c>
      <c r="S72" s="28">
        <f t="shared" si="14"/>
        <v>33684820.810000002</v>
      </c>
      <c r="T72" s="28">
        <f t="shared" si="14"/>
        <v>24308411.109999999</v>
      </c>
      <c r="U72" s="28">
        <f t="shared" si="14"/>
        <v>27383888.890000001</v>
      </c>
      <c r="V72" s="28">
        <f t="shared" si="14"/>
        <v>13514111.109999999</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109000000</v>
      </c>
      <c r="BS72" s="28">
        <f t="shared" si="15"/>
        <v>129000000</v>
      </c>
      <c r="BT72" s="28">
        <f t="shared" si="15"/>
        <v>174460000</v>
      </c>
      <c r="BU72" s="28">
        <f t="shared" si="15"/>
        <v>147000000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8">
        <v>0</v>
      </c>
      <c r="C73" s="188">
        <v>0</v>
      </c>
      <c r="D73" s="188">
        <v>0</v>
      </c>
      <c r="E73" s="188">
        <v>0</v>
      </c>
      <c r="F73" s="188">
        <v>0</v>
      </c>
      <c r="G73" s="188">
        <v>0</v>
      </c>
      <c r="H73" s="188">
        <v>0</v>
      </c>
      <c r="I73" s="188">
        <v>0</v>
      </c>
      <c r="J73" s="188">
        <v>0</v>
      </c>
      <c r="K73" s="188">
        <v>0</v>
      </c>
      <c r="L73" s="188">
        <v>0</v>
      </c>
      <c r="M73" s="188">
        <v>0</v>
      </c>
      <c r="N73" s="188">
        <v>0</v>
      </c>
      <c r="O73" s="188">
        <v>0</v>
      </c>
      <c r="P73" s="188">
        <v>0</v>
      </c>
      <c r="Q73" s="188">
        <v>62552484</v>
      </c>
      <c r="R73" s="188">
        <v>0</v>
      </c>
      <c r="S73" s="188">
        <v>0</v>
      </c>
      <c r="T73" s="188">
        <v>0</v>
      </c>
      <c r="U73" s="188">
        <v>0</v>
      </c>
      <c r="V73" s="188">
        <v>0</v>
      </c>
      <c r="W73" s="188">
        <v>0</v>
      </c>
      <c r="X73" s="188">
        <v>0</v>
      </c>
      <c r="Y73" s="188">
        <v>0</v>
      </c>
      <c r="Z73" s="188">
        <v>0</v>
      </c>
      <c r="AA73" s="188">
        <v>0</v>
      </c>
      <c r="AB73" s="188">
        <v>0</v>
      </c>
      <c r="AC73" s="188">
        <v>0</v>
      </c>
      <c r="AD73" s="188">
        <v>0</v>
      </c>
      <c r="AE73" s="188">
        <v>0</v>
      </c>
      <c r="AF73" s="188">
        <v>0</v>
      </c>
      <c r="AG73" s="188">
        <v>0</v>
      </c>
      <c r="AH73" s="188">
        <v>0</v>
      </c>
      <c r="AI73" s="188">
        <v>0</v>
      </c>
      <c r="AJ73" s="188">
        <v>0</v>
      </c>
      <c r="AK73" s="188">
        <v>0</v>
      </c>
      <c r="AL73" s="188">
        <v>0</v>
      </c>
      <c r="AM73" s="188">
        <v>0</v>
      </c>
      <c r="AN73" s="188">
        <v>0</v>
      </c>
      <c r="AO73" s="188">
        <v>0</v>
      </c>
      <c r="AP73" s="188">
        <v>0</v>
      </c>
      <c r="AQ73" s="188">
        <v>0</v>
      </c>
      <c r="AR73" s="188">
        <v>0</v>
      </c>
      <c r="AS73" s="188">
        <v>0</v>
      </c>
      <c r="AT73" s="188">
        <v>0</v>
      </c>
      <c r="AU73" s="188">
        <v>0</v>
      </c>
      <c r="AV73" s="188">
        <v>0</v>
      </c>
      <c r="AW73" s="188">
        <v>0</v>
      </c>
      <c r="AX73" s="188">
        <v>0</v>
      </c>
      <c r="AY73" s="188">
        <v>0</v>
      </c>
      <c r="AZ73" s="188">
        <v>0</v>
      </c>
      <c r="BA73" s="188">
        <v>0</v>
      </c>
      <c r="BB73" s="188">
        <v>0</v>
      </c>
      <c r="BC73" s="188">
        <v>0</v>
      </c>
      <c r="BD73" s="188">
        <v>0</v>
      </c>
      <c r="BE73" s="188">
        <v>0</v>
      </c>
      <c r="BF73" s="188">
        <v>0</v>
      </c>
      <c r="BG73" s="188">
        <v>0</v>
      </c>
      <c r="BH73" s="188">
        <v>0</v>
      </c>
      <c r="BI73" s="188">
        <v>0</v>
      </c>
      <c r="BJ73" s="188">
        <v>0</v>
      </c>
      <c r="BK73" s="188">
        <v>0</v>
      </c>
      <c r="BL73" s="188">
        <v>0</v>
      </c>
      <c r="BM73" s="188">
        <v>0</v>
      </c>
      <c r="BN73" s="188">
        <v>0</v>
      </c>
      <c r="BO73" s="188">
        <v>0</v>
      </c>
      <c r="BP73" s="188">
        <v>0</v>
      </c>
      <c r="BQ73" s="188">
        <v>0</v>
      </c>
      <c r="BR73" s="188">
        <v>109000000</v>
      </c>
      <c r="BS73" s="188">
        <v>129000000</v>
      </c>
      <c r="BT73" s="188">
        <v>117100000</v>
      </c>
      <c r="BU73" s="188">
        <v>147000000</v>
      </c>
      <c r="BV73" s="188">
        <v>0</v>
      </c>
      <c r="BW73" s="188"/>
      <c r="BX73" s="188"/>
      <c r="BY73" s="188"/>
      <c r="BZ73" s="188"/>
      <c r="CA73" s="188"/>
      <c r="CB73" s="188"/>
      <c r="CC73" s="188"/>
      <c r="CD73" s="188"/>
      <c r="CE73" s="188"/>
      <c r="CF73" s="188"/>
      <c r="CG73" s="188"/>
      <c r="CH73" s="188"/>
      <c r="CI73" s="188"/>
      <c r="CJ73" s="188"/>
      <c r="CK73" s="188"/>
      <c r="CL73" s="188"/>
    </row>
    <row r="74" spans="1:90" x14ac:dyDescent="0.25">
      <c r="A74" s="128" t="s">
        <v>77</v>
      </c>
      <c r="B74" s="188">
        <v>33820916.549999997</v>
      </c>
      <c r="C74" s="188">
        <v>30777833.539999999</v>
      </c>
      <c r="D74" s="188">
        <v>14307389.24</v>
      </c>
      <c r="E74" s="188">
        <v>23414593.670000002</v>
      </c>
      <c r="F74" s="188">
        <v>24740964.149999999</v>
      </c>
      <c r="G74" s="188">
        <v>39370998.079999998</v>
      </c>
      <c r="H74" s="188">
        <v>39606282.75</v>
      </c>
      <c r="I74" s="188">
        <v>34481635.329999998</v>
      </c>
      <c r="J74" s="188">
        <v>21599948.09</v>
      </c>
      <c r="K74" s="188">
        <v>46904631.719999999</v>
      </c>
      <c r="L74" s="188">
        <v>40428159.979999997</v>
      </c>
      <c r="M74" s="188">
        <v>27409447.399999999</v>
      </c>
      <c r="N74" s="188">
        <v>15831375.970000001</v>
      </c>
      <c r="O74" s="188">
        <v>33124441.800000001</v>
      </c>
      <c r="P74" s="188">
        <v>23734467.609999999</v>
      </c>
      <c r="Q74" s="188">
        <v>15365197.91</v>
      </c>
      <c r="R74" s="188">
        <v>7473820.4900000002</v>
      </c>
      <c r="S74" s="188">
        <v>33684820.810000002</v>
      </c>
      <c r="T74" s="188">
        <v>24308411.109999999</v>
      </c>
      <c r="U74" s="188">
        <v>27383888.890000001</v>
      </c>
      <c r="V74" s="188">
        <v>13514111.109999999</v>
      </c>
      <c r="W74" s="188">
        <v>0</v>
      </c>
      <c r="X74" s="188">
        <v>0</v>
      </c>
      <c r="Y74" s="188">
        <v>0</v>
      </c>
      <c r="Z74" s="188">
        <v>0</v>
      </c>
      <c r="AA74" s="188">
        <v>0</v>
      </c>
      <c r="AB74" s="188">
        <v>0</v>
      </c>
      <c r="AC74" s="188">
        <v>0</v>
      </c>
      <c r="AD74" s="188">
        <v>0</v>
      </c>
      <c r="AE74" s="188">
        <v>0</v>
      </c>
      <c r="AF74" s="188">
        <v>0</v>
      </c>
      <c r="AG74" s="188">
        <v>0</v>
      </c>
      <c r="AH74" s="188">
        <v>0</v>
      </c>
      <c r="AI74" s="188">
        <v>0</v>
      </c>
      <c r="AJ74" s="188">
        <v>0</v>
      </c>
      <c r="AK74" s="188">
        <v>0</v>
      </c>
      <c r="AL74" s="188">
        <v>0</v>
      </c>
      <c r="AM74" s="188">
        <v>0</v>
      </c>
      <c r="AN74" s="188">
        <v>0</v>
      </c>
      <c r="AO74" s="188">
        <v>0</v>
      </c>
      <c r="AP74" s="188">
        <v>0</v>
      </c>
      <c r="AQ74" s="188">
        <v>0</v>
      </c>
      <c r="AR74" s="188">
        <v>0</v>
      </c>
      <c r="AS74" s="188">
        <v>0</v>
      </c>
      <c r="AT74" s="188">
        <v>0</v>
      </c>
      <c r="AU74" s="188">
        <v>0</v>
      </c>
      <c r="AV74" s="188">
        <v>0</v>
      </c>
      <c r="AW74" s="188">
        <v>0</v>
      </c>
      <c r="AX74" s="188">
        <v>0</v>
      </c>
      <c r="AY74" s="188">
        <v>0</v>
      </c>
      <c r="AZ74" s="188">
        <v>0</v>
      </c>
      <c r="BA74" s="188">
        <v>0</v>
      </c>
      <c r="BB74" s="188">
        <v>0</v>
      </c>
      <c r="BC74" s="188">
        <v>0</v>
      </c>
      <c r="BD74" s="188">
        <v>0</v>
      </c>
      <c r="BE74" s="188">
        <v>0</v>
      </c>
      <c r="BF74" s="188">
        <v>0</v>
      </c>
      <c r="BG74" s="188">
        <v>0</v>
      </c>
      <c r="BH74" s="188">
        <v>0</v>
      </c>
      <c r="BI74" s="188">
        <v>0</v>
      </c>
      <c r="BJ74" s="188">
        <v>0</v>
      </c>
      <c r="BK74" s="188">
        <v>0</v>
      </c>
      <c r="BL74" s="188">
        <v>0</v>
      </c>
      <c r="BM74" s="188">
        <v>0</v>
      </c>
      <c r="BN74" s="188">
        <v>0</v>
      </c>
      <c r="BO74" s="188">
        <v>0</v>
      </c>
      <c r="BP74" s="188">
        <v>0</v>
      </c>
      <c r="BQ74" s="188">
        <v>0</v>
      </c>
      <c r="BR74" s="188">
        <v>0</v>
      </c>
      <c r="BS74" s="188">
        <v>0</v>
      </c>
      <c r="BT74" s="188">
        <v>0</v>
      </c>
      <c r="BU74" s="188">
        <v>0</v>
      </c>
      <c r="BV74" s="188">
        <v>0</v>
      </c>
      <c r="BW74" s="188"/>
      <c r="BX74" s="188"/>
      <c r="BY74" s="188"/>
      <c r="BZ74" s="188"/>
      <c r="CA74" s="188"/>
      <c r="CB74" s="188"/>
      <c r="CC74" s="188"/>
      <c r="CD74" s="188"/>
      <c r="CE74" s="188"/>
      <c r="CF74" s="188"/>
      <c r="CG74" s="188"/>
      <c r="CH74" s="188"/>
      <c r="CI74" s="188"/>
      <c r="CJ74" s="188"/>
      <c r="CK74" s="188"/>
      <c r="CL74" s="188"/>
    </row>
    <row r="75" spans="1:90" x14ac:dyDescent="0.25">
      <c r="A75" s="128"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v>0</v>
      </c>
      <c r="BI75" s="188">
        <v>0</v>
      </c>
      <c r="BJ75" s="188">
        <v>0</v>
      </c>
      <c r="BK75" s="188">
        <v>0</v>
      </c>
      <c r="BL75" s="188">
        <v>0</v>
      </c>
      <c r="BM75" s="188">
        <v>0</v>
      </c>
      <c r="BN75" s="188">
        <v>0</v>
      </c>
      <c r="BO75" s="188">
        <v>0</v>
      </c>
      <c r="BP75" s="188">
        <v>0</v>
      </c>
      <c r="BQ75" s="188">
        <v>0</v>
      </c>
      <c r="BR75" s="188">
        <v>0</v>
      </c>
      <c r="BS75" s="188">
        <v>0</v>
      </c>
      <c r="BT75" s="188">
        <v>0</v>
      </c>
      <c r="BU75" s="188">
        <v>0</v>
      </c>
      <c r="BV75" s="188">
        <v>0</v>
      </c>
      <c r="BW75" s="188"/>
      <c r="BX75" s="188"/>
      <c r="BY75" s="188"/>
      <c r="BZ75" s="188"/>
      <c r="CA75" s="188"/>
      <c r="CB75" s="188"/>
      <c r="CC75" s="188"/>
      <c r="CD75" s="188"/>
      <c r="CE75" s="188"/>
      <c r="CF75" s="188"/>
      <c r="CG75" s="188"/>
      <c r="CH75" s="188"/>
      <c r="CI75" s="188"/>
      <c r="CJ75" s="188"/>
      <c r="CK75" s="188"/>
      <c r="CL75" s="188"/>
    </row>
    <row r="76" spans="1:90" x14ac:dyDescent="0.25">
      <c r="A76" s="128" t="s">
        <v>54</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v>0</v>
      </c>
      <c r="BI76" s="188">
        <v>0</v>
      </c>
      <c r="BJ76" s="188">
        <v>0</v>
      </c>
      <c r="BK76" s="188">
        <v>0</v>
      </c>
      <c r="BL76" s="188">
        <v>0</v>
      </c>
      <c r="BM76" s="188">
        <v>0</v>
      </c>
      <c r="BN76" s="188">
        <v>0</v>
      </c>
      <c r="BO76" s="188">
        <v>0</v>
      </c>
      <c r="BP76" s="188">
        <v>0</v>
      </c>
      <c r="BQ76" s="188">
        <v>0</v>
      </c>
      <c r="BR76" s="188">
        <v>0</v>
      </c>
      <c r="BS76" s="188">
        <v>0</v>
      </c>
      <c r="BT76" s="188">
        <v>57360000</v>
      </c>
      <c r="BU76" s="188">
        <v>0</v>
      </c>
      <c r="BV76" s="188">
        <v>0</v>
      </c>
      <c r="BW76" s="188"/>
      <c r="BX76" s="188"/>
      <c r="BY76" s="188"/>
      <c r="BZ76" s="188"/>
      <c r="CA76" s="188"/>
      <c r="CB76" s="188"/>
      <c r="CC76" s="188"/>
      <c r="CD76" s="188"/>
      <c r="CE76" s="188"/>
      <c r="CF76" s="188"/>
      <c r="CG76" s="188"/>
      <c r="CH76" s="188"/>
      <c r="CI76" s="188"/>
      <c r="CJ76" s="188"/>
      <c r="CK76" s="188"/>
      <c r="CL76" s="188"/>
    </row>
    <row r="77" spans="1:90" x14ac:dyDescent="0.25">
      <c r="A77" s="128"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v>0</v>
      </c>
      <c r="BI77" s="188">
        <v>0</v>
      </c>
      <c r="BJ77" s="188">
        <v>0</v>
      </c>
      <c r="BK77" s="188">
        <v>0</v>
      </c>
      <c r="BL77" s="188">
        <v>0</v>
      </c>
      <c r="BM77" s="188">
        <v>0</v>
      </c>
      <c r="BN77" s="188">
        <v>0</v>
      </c>
      <c r="BO77" s="188">
        <v>0</v>
      </c>
      <c r="BP77" s="188">
        <v>0</v>
      </c>
      <c r="BQ77" s="188">
        <v>0</v>
      </c>
      <c r="BR77" s="188">
        <v>0</v>
      </c>
      <c r="BS77" s="188">
        <v>0</v>
      </c>
      <c r="BT77" s="188">
        <v>0</v>
      </c>
      <c r="BU77" s="188">
        <v>0</v>
      </c>
      <c r="BV77" s="188">
        <v>0</v>
      </c>
      <c r="BW77" s="188"/>
      <c r="BX77" s="188"/>
      <c r="BY77" s="188"/>
      <c r="BZ77" s="188"/>
      <c r="CA77" s="188"/>
      <c r="CB77" s="188"/>
      <c r="CC77" s="188"/>
      <c r="CD77" s="188"/>
      <c r="CE77" s="188"/>
      <c r="CF77" s="188"/>
      <c r="CG77" s="188"/>
      <c r="CH77" s="188"/>
      <c r="CI77" s="188"/>
      <c r="CJ77" s="188"/>
      <c r="CK77" s="188"/>
      <c r="CL77" s="188"/>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300000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60360000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8">
        <v>0</v>
      </c>
      <c r="C82" s="188">
        <v>0</v>
      </c>
      <c r="D82" s="188">
        <v>0</v>
      </c>
      <c r="E82" s="188">
        <v>0</v>
      </c>
      <c r="F82" s="188">
        <v>0</v>
      </c>
      <c r="G82" s="188">
        <v>0</v>
      </c>
      <c r="H82" s="188">
        <v>0</v>
      </c>
      <c r="I82" s="188">
        <v>0</v>
      </c>
      <c r="J82" s="188">
        <v>0</v>
      </c>
      <c r="K82" s="188">
        <v>0</v>
      </c>
      <c r="L82" s="188">
        <v>0</v>
      </c>
      <c r="M82" s="188">
        <v>0</v>
      </c>
      <c r="N82" s="188">
        <v>0</v>
      </c>
      <c r="O82" s="188">
        <v>0</v>
      </c>
      <c r="P82" s="188">
        <v>0</v>
      </c>
      <c r="Q82" s="188">
        <v>0</v>
      </c>
      <c r="R82" s="188">
        <v>0</v>
      </c>
      <c r="S82" s="188">
        <v>0</v>
      </c>
      <c r="T82" s="188">
        <v>0</v>
      </c>
      <c r="U82" s="188">
        <v>0</v>
      </c>
      <c r="V82" s="188">
        <v>0</v>
      </c>
      <c r="W82" s="188">
        <v>0</v>
      </c>
      <c r="X82" s="188">
        <v>0</v>
      </c>
      <c r="Y82" s="188">
        <v>0</v>
      </c>
      <c r="Z82" s="188">
        <v>0</v>
      </c>
      <c r="AA82" s="188">
        <v>0</v>
      </c>
      <c r="AB82" s="188">
        <v>0</v>
      </c>
      <c r="AC82" s="188">
        <v>0</v>
      </c>
      <c r="AD82" s="188">
        <v>0</v>
      </c>
      <c r="AE82" s="188">
        <v>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0</v>
      </c>
      <c r="AX82" s="188">
        <v>0</v>
      </c>
      <c r="AY82" s="188">
        <v>0</v>
      </c>
      <c r="AZ82" s="188">
        <v>0</v>
      </c>
      <c r="BA82" s="188">
        <v>0</v>
      </c>
      <c r="BB82" s="188">
        <v>0</v>
      </c>
      <c r="BC82" s="188">
        <v>0</v>
      </c>
      <c r="BD82" s="188">
        <v>0</v>
      </c>
      <c r="BE82" s="188">
        <v>300000</v>
      </c>
      <c r="BF82" s="188">
        <v>0</v>
      </c>
      <c r="BG82" s="188">
        <v>0</v>
      </c>
      <c r="BH82" s="188">
        <v>0</v>
      </c>
      <c r="BI82" s="188">
        <v>0</v>
      </c>
      <c r="BJ82" s="188">
        <v>0</v>
      </c>
      <c r="BK82" s="188">
        <v>0</v>
      </c>
      <c r="BL82" s="188">
        <v>0</v>
      </c>
      <c r="BM82" s="188">
        <v>0</v>
      </c>
      <c r="BN82" s="188">
        <v>0</v>
      </c>
      <c r="BO82" s="188">
        <v>0</v>
      </c>
      <c r="BP82" s="188">
        <v>0</v>
      </c>
      <c r="BQ82" s="188">
        <v>0</v>
      </c>
      <c r="BR82" s="188">
        <v>0</v>
      </c>
      <c r="BS82" s="188">
        <v>0</v>
      </c>
      <c r="BT82" s="188">
        <v>0</v>
      </c>
      <c r="BU82" s="188">
        <v>60360000</v>
      </c>
      <c r="BV82" s="188">
        <v>0</v>
      </c>
      <c r="BW82" s="188"/>
      <c r="BX82" s="188"/>
      <c r="BY82" s="188"/>
      <c r="BZ82" s="188"/>
      <c r="CA82" s="188"/>
      <c r="CB82" s="188"/>
      <c r="CC82" s="188"/>
      <c r="CD82" s="188"/>
      <c r="CE82" s="188"/>
      <c r="CF82" s="188"/>
      <c r="CG82" s="188"/>
      <c r="CH82" s="188"/>
      <c r="CI82" s="188"/>
      <c r="CJ82" s="188"/>
      <c r="CK82" s="188"/>
      <c r="CL82" s="188"/>
    </row>
    <row r="83" spans="1:90" x14ac:dyDescent="0.25">
      <c r="A83" s="128" t="s">
        <v>58</v>
      </c>
      <c r="B83" s="188">
        <v>0</v>
      </c>
      <c r="C83" s="188">
        <v>0</v>
      </c>
      <c r="D83" s="188">
        <v>0</v>
      </c>
      <c r="E83" s="188">
        <v>0</v>
      </c>
      <c r="F83" s="188">
        <v>0</v>
      </c>
      <c r="G83" s="188">
        <v>0</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v>0</v>
      </c>
      <c r="BI83" s="188">
        <v>0</v>
      </c>
      <c r="BJ83" s="188">
        <v>0</v>
      </c>
      <c r="BK83" s="188">
        <v>0</v>
      </c>
      <c r="BL83" s="188">
        <v>0</v>
      </c>
      <c r="BM83" s="188">
        <v>0</v>
      </c>
      <c r="BN83" s="188">
        <v>0</v>
      </c>
      <c r="BO83" s="188">
        <v>0</v>
      </c>
      <c r="BP83" s="188">
        <v>0</v>
      </c>
      <c r="BQ83" s="188">
        <v>0</v>
      </c>
      <c r="BR83" s="188">
        <v>0</v>
      </c>
      <c r="BS83" s="188">
        <v>0</v>
      </c>
      <c r="BT83" s="188">
        <v>0</v>
      </c>
      <c r="BU83" s="188">
        <v>0</v>
      </c>
      <c r="BV83" s="188">
        <v>0</v>
      </c>
      <c r="BW83" s="188"/>
      <c r="BX83" s="188"/>
      <c r="BY83" s="188"/>
      <c r="BZ83" s="188"/>
      <c r="CA83" s="188"/>
      <c r="CB83" s="188"/>
      <c r="CC83" s="188"/>
      <c r="CD83" s="188"/>
      <c r="CE83" s="188"/>
      <c r="CF83" s="188"/>
      <c r="CG83" s="188"/>
      <c r="CH83" s="188"/>
      <c r="CI83" s="188"/>
      <c r="CJ83" s="188"/>
      <c r="CK83" s="188"/>
      <c r="CL83" s="188"/>
    </row>
    <row r="84" spans="1:90" x14ac:dyDescent="0.25">
      <c r="A84" s="128" t="s">
        <v>59</v>
      </c>
      <c r="B84" s="188">
        <v>15570000</v>
      </c>
      <c r="C84" s="188">
        <v>0</v>
      </c>
      <c r="D84" s="188">
        <v>0</v>
      </c>
      <c r="E84" s="188">
        <v>0</v>
      </c>
      <c r="F84" s="188">
        <v>0</v>
      </c>
      <c r="G84" s="188">
        <v>0</v>
      </c>
      <c r="H84" s="188">
        <v>0</v>
      </c>
      <c r="I84" s="188">
        <v>0</v>
      </c>
      <c r="J84" s="188">
        <v>0</v>
      </c>
      <c r="K84" s="188">
        <v>0</v>
      </c>
      <c r="L84" s="188">
        <v>0</v>
      </c>
      <c r="M84" s="188">
        <v>0</v>
      </c>
      <c r="N84" s="188">
        <v>0</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0</v>
      </c>
      <c r="AY84" s="188">
        <v>0</v>
      </c>
      <c r="AZ84" s="188">
        <v>0</v>
      </c>
      <c r="BA84" s="188">
        <v>0</v>
      </c>
      <c r="BB84" s="188">
        <v>0</v>
      </c>
      <c r="BC84" s="188">
        <v>0</v>
      </c>
      <c r="BD84" s="188">
        <v>0</v>
      </c>
      <c r="BE84" s="188">
        <v>0</v>
      </c>
      <c r="BF84" s="188">
        <v>0</v>
      </c>
      <c r="BG84" s="188">
        <v>0</v>
      </c>
      <c r="BH84" s="188">
        <v>0</v>
      </c>
      <c r="BI84" s="188">
        <v>0</v>
      </c>
      <c r="BJ84" s="188">
        <v>0</v>
      </c>
      <c r="BK84" s="188">
        <v>0</v>
      </c>
      <c r="BL84" s="188">
        <v>0</v>
      </c>
      <c r="BM84" s="188">
        <v>0</v>
      </c>
      <c r="BN84" s="188">
        <v>0</v>
      </c>
      <c r="BO84" s="188">
        <v>0</v>
      </c>
      <c r="BP84" s="188">
        <v>0</v>
      </c>
      <c r="BQ84" s="188">
        <v>0</v>
      </c>
      <c r="BR84" s="188">
        <v>0</v>
      </c>
      <c r="BS84" s="188">
        <v>0</v>
      </c>
      <c r="BT84" s="188">
        <v>0</v>
      </c>
      <c r="BU84" s="188">
        <v>0</v>
      </c>
      <c r="BV84" s="188">
        <v>0</v>
      </c>
      <c r="BW84" s="188"/>
      <c r="BX84" s="188"/>
      <c r="BY84" s="188"/>
      <c r="BZ84" s="188"/>
      <c r="CA84" s="188"/>
      <c r="CB84" s="188"/>
      <c r="CC84" s="188"/>
      <c r="CD84" s="188"/>
      <c r="CE84" s="188"/>
      <c r="CF84" s="188"/>
      <c r="CG84" s="188"/>
      <c r="CH84" s="188"/>
      <c r="CI84" s="188"/>
      <c r="CJ84" s="188"/>
      <c r="CK84" s="188"/>
      <c r="CL84" s="188"/>
    </row>
    <row r="85" spans="1:90" x14ac:dyDescent="0.25">
      <c r="A85" s="128" t="s">
        <v>83</v>
      </c>
      <c r="B85" s="188">
        <v>0</v>
      </c>
      <c r="C85" s="188">
        <v>0</v>
      </c>
      <c r="D85" s="188">
        <v>0</v>
      </c>
      <c r="E85" s="188">
        <v>0</v>
      </c>
      <c r="F85" s="188">
        <v>0</v>
      </c>
      <c r="G85" s="188">
        <v>0</v>
      </c>
      <c r="H85" s="188">
        <v>0</v>
      </c>
      <c r="I85" s="188">
        <v>0</v>
      </c>
      <c r="J85" s="188">
        <v>0</v>
      </c>
      <c r="K85" s="188">
        <v>0</v>
      </c>
      <c r="L85" s="188">
        <v>0</v>
      </c>
      <c r="M85" s="188">
        <v>0</v>
      </c>
      <c r="N85" s="188">
        <v>0</v>
      </c>
      <c r="O85" s="188">
        <v>0</v>
      </c>
      <c r="P85" s="188">
        <v>0</v>
      </c>
      <c r="Q85" s="188">
        <v>0</v>
      </c>
      <c r="R85" s="188">
        <v>0</v>
      </c>
      <c r="S85" s="188">
        <v>0</v>
      </c>
      <c r="T85" s="188">
        <v>0</v>
      </c>
      <c r="U85" s="188">
        <v>0</v>
      </c>
      <c r="V85" s="188">
        <v>0</v>
      </c>
      <c r="W85" s="188">
        <v>0</v>
      </c>
      <c r="X85" s="188">
        <v>0</v>
      </c>
      <c r="Y85" s="188">
        <v>0</v>
      </c>
      <c r="Z85" s="188">
        <v>0</v>
      </c>
      <c r="AA85" s="188">
        <v>0</v>
      </c>
      <c r="AB85" s="188">
        <v>0</v>
      </c>
      <c r="AC85" s="188">
        <v>0</v>
      </c>
      <c r="AD85" s="188">
        <v>0</v>
      </c>
      <c r="AE85" s="188">
        <v>0</v>
      </c>
      <c r="AF85" s="188">
        <v>0</v>
      </c>
      <c r="AG85" s="188">
        <v>0</v>
      </c>
      <c r="AH85" s="188">
        <v>0</v>
      </c>
      <c r="AI85" s="188">
        <v>0</v>
      </c>
      <c r="AJ85" s="188">
        <v>0</v>
      </c>
      <c r="AK85" s="188">
        <v>0</v>
      </c>
      <c r="AL85" s="188">
        <v>0</v>
      </c>
      <c r="AM85" s="188">
        <v>0</v>
      </c>
      <c r="AN85" s="188">
        <v>0</v>
      </c>
      <c r="AO85" s="188">
        <v>0</v>
      </c>
      <c r="AP85" s="188">
        <v>0</v>
      </c>
      <c r="AQ85" s="188">
        <v>0</v>
      </c>
      <c r="AR85" s="188">
        <v>0</v>
      </c>
      <c r="AS85" s="188">
        <v>0</v>
      </c>
      <c r="AT85" s="188">
        <v>0</v>
      </c>
      <c r="AU85" s="188">
        <v>0</v>
      </c>
      <c r="AV85" s="188">
        <v>0</v>
      </c>
      <c r="AW85" s="188">
        <v>0</v>
      </c>
      <c r="AX85" s="188">
        <v>0</v>
      </c>
      <c r="AY85" s="188">
        <v>0</v>
      </c>
      <c r="AZ85" s="188">
        <v>0</v>
      </c>
      <c r="BA85" s="188">
        <v>0</v>
      </c>
      <c r="BB85" s="188">
        <v>0</v>
      </c>
      <c r="BC85" s="188">
        <v>0</v>
      </c>
      <c r="BD85" s="188">
        <v>0</v>
      </c>
      <c r="BE85" s="188">
        <v>0</v>
      </c>
      <c r="BF85" s="188">
        <v>0</v>
      </c>
      <c r="BG85" s="188">
        <v>0</v>
      </c>
      <c r="BH85" s="188">
        <v>0</v>
      </c>
      <c r="BI85" s="188">
        <v>0</v>
      </c>
      <c r="BJ85" s="188">
        <v>0</v>
      </c>
      <c r="BK85" s="188">
        <v>0</v>
      </c>
      <c r="BL85" s="188">
        <v>0</v>
      </c>
      <c r="BM85" s="188">
        <v>0</v>
      </c>
      <c r="BN85" s="188">
        <v>0</v>
      </c>
      <c r="BO85" s="188">
        <v>0</v>
      </c>
      <c r="BP85" s="188">
        <v>0</v>
      </c>
      <c r="BQ85" s="188">
        <v>0</v>
      </c>
      <c r="BR85" s="188">
        <v>0</v>
      </c>
      <c r="BS85" s="188">
        <v>0</v>
      </c>
      <c r="BT85" s="188">
        <v>0</v>
      </c>
      <c r="BU85" s="188">
        <v>0</v>
      </c>
      <c r="BV85" s="188">
        <v>0</v>
      </c>
      <c r="BW85" s="188"/>
      <c r="BX85" s="188"/>
      <c r="BY85" s="188"/>
      <c r="BZ85" s="188"/>
      <c r="CA85" s="188"/>
      <c r="CB85" s="188"/>
      <c r="CC85" s="188"/>
      <c r="CD85" s="188"/>
      <c r="CE85" s="188"/>
      <c r="CF85" s="188"/>
      <c r="CG85" s="188"/>
      <c r="CH85" s="188"/>
      <c r="CI85" s="188"/>
      <c r="CJ85" s="188"/>
      <c r="CK85" s="188"/>
      <c r="CL85" s="188"/>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49390916.549999997</v>
      </c>
      <c r="C89" s="33">
        <f>SUM(C73:C85)</f>
        <v>30777833.539999999</v>
      </c>
      <c r="D89" s="33">
        <f>SUM(D73:D85)</f>
        <v>14307389.24</v>
      </c>
      <c r="E89" s="33">
        <f>E72+E81</f>
        <v>23414593.670000002</v>
      </c>
      <c r="F89" s="33">
        <f t="shared" ref="F89:BQ89" si="18">F72+F81</f>
        <v>24740964.149999999</v>
      </c>
      <c r="G89" s="33">
        <f t="shared" si="18"/>
        <v>39370998.079999998</v>
      </c>
      <c r="H89" s="33">
        <f t="shared" si="18"/>
        <v>39606282.75</v>
      </c>
      <c r="I89" s="33">
        <f t="shared" si="18"/>
        <v>34481635.329999998</v>
      </c>
      <c r="J89" s="33">
        <f t="shared" si="18"/>
        <v>21599948.09</v>
      </c>
      <c r="K89" s="33">
        <f t="shared" si="18"/>
        <v>46904631.719999999</v>
      </c>
      <c r="L89" s="33">
        <f t="shared" si="18"/>
        <v>40428159.979999997</v>
      </c>
      <c r="M89" s="33">
        <f t="shared" si="18"/>
        <v>27409447.399999999</v>
      </c>
      <c r="N89" s="33">
        <f t="shared" si="18"/>
        <v>15831375.970000001</v>
      </c>
      <c r="O89" s="33">
        <f t="shared" si="18"/>
        <v>33124441.800000001</v>
      </c>
      <c r="P89" s="33">
        <f t="shared" si="18"/>
        <v>23734467.609999999</v>
      </c>
      <c r="Q89" s="33">
        <f t="shared" si="18"/>
        <v>77917681.909999996</v>
      </c>
      <c r="R89" s="33">
        <f t="shared" si="18"/>
        <v>7473820.4900000002</v>
      </c>
      <c r="S89" s="33">
        <f t="shared" si="18"/>
        <v>33684820.810000002</v>
      </c>
      <c r="T89" s="33">
        <f t="shared" si="18"/>
        <v>24308411.109999999</v>
      </c>
      <c r="U89" s="33">
        <f t="shared" si="18"/>
        <v>27383888.890000001</v>
      </c>
      <c r="V89" s="33">
        <f t="shared" si="18"/>
        <v>13514111.109999999</v>
      </c>
      <c r="W89" s="33">
        <f t="shared" si="18"/>
        <v>0</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300000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109000000</v>
      </c>
      <c r="BS89" s="33">
        <f t="shared" si="19"/>
        <v>129000000</v>
      </c>
      <c r="BT89" s="33">
        <f t="shared" si="19"/>
        <v>174460000</v>
      </c>
      <c r="BU89" s="33">
        <f t="shared" si="19"/>
        <v>207360000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8">
        <v>1256197800</v>
      </c>
      <c r="C91" s="188">
        <v>1256197800</v>
      </c>
      <c r="D91" s="188">
        <v>1256197800</v>
      </c>
      <c r="E91" s="188">
        <v>1256197800</v>
      </c>
      <c r="F91" s="188">
        <v>1256197800</v>
      </c>
      <c r="G91" s="188">
        <v>1256197800</v>
      </c>
      <c r="H91" s="188">
        <v>1256197800</v>
      </c>
      <c r="I91" s="188">
        <v>1256197800</v>
      </c>
      <c r="J91" s="188">
        <v>1256197800</v>
      </c>
      <c r="K91" s="188">
        <v>1256197800</v>
      </c>
      <c r="L91" s="188">
        <v>1256197800</v>
      </c>
      <c r="M91" s="188">
        <v>1256197800</v>
      </c>
      <c r="N91" s="188">
        <v>1256197800</v>
      </c>
      <c r="O91" s="188">
        <v>1141998000</v>
      </c>
      <c r="P91" s="188">
        <v>1141998000</v>
      </c>
      <c r="Q91" s="188">
        <v>1141998000</v>
      </c>
      <c r="R91" s="188">
        <v>1141998000</v>
      </c>
      <c r="S91" s="188">
        <v>1141998000</v>
      </c>
      <c r="T91" s="188">
        <v>1038180000</v>
      </c>
      <c r="U91" s="188">
        <v>1038180000</v>
      </c>
      <c r="V91" s="188">
        <v>1038180000</v>
      </c>
      <c r="W91" s="188">
        <v>1038180000</v>
      </c>
      <c r="X91" s="188">
        <v>1038180000</v>
      </c>
      <c r="Y91" s="188">
        <v>1038180000</v>
      </c>
      <c r="Z91" s="188">
        <v>1038180000</v>
      </c>
      <c r="AA91" s="188">
        <v>1038180000</v>
      </c>
      <c r="AB91" s="188">
        <v>1038180000</v>
      </c>
      <c r="AC91" s="188">
        <v>1038180000</v>
      </c>
      <c r="AD91" s="188">
        <v>1038180000</v>
      </c>
      <c r="AE91" s="188">
        <v>943800000</v>
      </c>
      <c r="AF91" s="188">
        <v>943800000</v>
      </c>
      <c r="AG91" s="188">
        <v>943800000</v>
      </c>
      <c r="AH91" s="188">
        <v>943800000</v>
      </c>
      <c r="AI91" s="188">
        <v>943800000</v>
      </c>
      <c r="AJ91" s="188">
        <v>943800000</v>
      </c>
      <c r="AK91" s="188">
        <v>943800000</v>
      </c>
      <c r="AL91" s="188">
        <v>943800000</v>
      </c>
      <c r="AM91" s="188">
        <v>943800000</v>
      </c>
      <c r="AN91" s="188">
        <v>943800000</v>
      </c>
      <c r="AO91" s="188">
        <v>943800000</v>
      </c>
      <c r="AP91" s="188">
        <v>943800000</v>
      </c>
      <c r="AQ91" s="188">
        <v>943800000</v>
      </c>
      <c r="AR91" s="188">
        <v>943800000</v>
      </c>
      <c r="AS91" s="188">
        <v>943800000</v>
      </c>
      <c r="AT91" s="188">
        <v>943800000</v>
      </c>
      <c r="AU91" s="188">
        <v>943800000</v>
      </c>
      <c r="AV91" s="188">
        <v>943800000</v>
      </c>
      <c r="AW91" s="188">
        <v>943800000</v>
      </c>
      <c r="AX91" s="188">
        <v>943800000</v>
      </c>
      <c r="AY91" s="188">
        <v>943800000</v>
      </c>
      <c r="AZ91" s="188">
        <v>471900000</v>
      </c>
      <c r="BA91" s="188">
        <v>471900000</v>
      </c>
      <c r="BB91" s="188">
        <v>471900000</v>
      </c>
      <c r="BC91" s="188">
        <v>393250000</v>
      </c>
      <c r="BD91" s="188">
        <v>393250000</v>
      </c>
      <c r="BE91" s="188">
        <v>393250000</v>
      </c>
      <c r="BF91" s="188">
        <v>393250000</v>
      </c>
      <c r="BG91" s="188">
        <v>275000000</v>
      </c>
      <c r="BH91" s="188">
        <v>275000000</v>
      </c>
      <c r="BI91" s="188">
        <v>275000000</v>
      </c>
      <c r="BJ91" s="188">
        <v>275000000</v>
      </c>
      <c r="BK91" s="188">
        <v>275000000</v>
      </c>
      <c r="BL91" s="188">
        <v>275000000</v>
      </c>
      <c r="BM91" s="188">
        <v>275000000</v>
      </c>
      <c r="BN91" s="188">
        <v>250000000</v>
      </c>
      <c r="BO91" s="188">
        <v>250000000</v>
      </c>
      <c r="BP91" s="188">
        <v>250000000</v>
      </c>
      <c r="BQ91" s="188">
        <v>250000000</v>
      </c>
      <c r="BR91" s="188">
        <v>185000000</v>
      </c>
      <c r="BS91" s="188">
        <v>185000000</v>
      </c>
      <c r="BT91" s="188">
        <v>185000000</v>
      </c>
      <c r="BU91" s="188">
        <v>0</v>
      </c>
      <c r="BV91" s="188">
        <v>0</v>
      </c>
      <c r="BW91" s="188"/>
      <c r="BX91" s="188"/>
      <c r="BY91" s="188"/>
      <c r="BZ91" s="188"/>
      <c r="CA91" s="188"/>
      <c r="CB91" s="188"/>
      <c r="CC91" s="188"/>
      <c r="CD91" s="188"/>
      <c r="CE91" s="188"/>
      <c r="CF91" s="188"/>
      <c r="CG91" s="188"/>
      <c r="CH91" s="188"/>
      <c r="CI91" s="188"/>
      <c r="CJ91" s="188"/>
      <c r="CK91" s="188"/>
      <c r="CL91" s="188"/>
    </row>
    <row r="92" spans="1:90" x14ac:dyDescent="0.25">
      <c r="A92" s="128" t="s">
        <v>63</v>
      </c>
      <c r="B92" s="188">
        <v>1374964415.72</v>
      </c>
      <c r="C92" s="188">
        <v>1374964415.72</v>
      </c>
      <c r="D92" s="188">
        <v>1374964415.72</v>
      </c>
      <c r="E92" s="188">
        <v>1374964415.72</v>
      </c>
      <c r="F92" s="188">
        <v>1374964415.72</v>
      </c>
      <c r="G92" s="188">
        <v>1374964415.72</v>
      </c>
      <c r="H92" s="188">
        <v>1374964415.72</v>
      </c>
      <c r="I92" s="188">
        <v>1374964415.72</v>
      </c>
      <c r="J92" s="188">
        <v>1374964415.72</v>
      </c>
      <c r="K92" s="188">
        <v>1374964415.72</v>
      </c>
      <c r="L92" s="188">
        <v>1374964415.72</v>
      </c>
      <c r="M92" s="188">
        <v>1374964415.72</v>
      </c>
      <c r="N92" s="188">
        <v>1374964415.72</v>
      </c>
      <c r="O92" s="188">
        <v>1374964415.72</v>
      </c>
      <c r="P92" s="188">
        <v>1374964415.72</v>
      </c>
      <c r="Q92" s="188">
        <v>1374964415.72</v>
      </c>
      <c r="R92" s="188">
        <v>1374964415.72</v>
      </c>
      <c r="S92" s="188">
        <v>1374964415.72</v>
      </c>
      <c r="T92" s="188">
        <v>1374964415.72</v>
      </c>
      <c r="U92" s="188">
        <v>1374964415.72</v>
      </c>
      <c r="V92" s="188">
        <v>1374964415.72</v>
      </c>
      <c r="W92" s="188">
        <v>1374964415.72</v>
      </c>
      <c r="X92" s="188">
        <v>1374964415.72</v>
      </c>
      <c r="Y92" s="188">
        <v>1374964415.72</v>
      </c>
      <c r="Z92" s="188">
        <v>1374964415.72</v>
      </c>
      <c r="AA92" s="188">
        <v>1374964415.72</v>
      </c>
      <c r="AB92" s="188">
        <v>1374964415.72</v>
      </c>
      <c r="AC92" s="188">
        <v>1374964415.72</v>
      </c>
      <c r="AD92" s="188">
        <v>1374964415.72</v>
      </c>
      <c r="AE92" s="188">
        <v>1374964415.72</v>
      </c>
      <c r="AF92" s="188">
        <v>1374964415.72</v>
      </c>
      <c r="AG92" s="188">
        <v>1374964415.72</v>
      </c>
      <c r="AH92" s="188">
        <v>1374964415.72</v>
      </c>
      <c r="AI92" s="188">
        <v>1374964415.72</v>
      </c>
      <c r="AJ92" s="188">
        <v>1374964415.72</v>
      </c>
      <c r="AK92" s="188">
        <v>1374964415.72</v>
      </c>
      <c r="AL92" s="188">
        <v>1374964415.72</v>
      </c>
      <c r="AM92" s="188">
        <v>1374964415.72</v>
      </c>
      <c r="AN92" s="188">
        <v>1374964415.72</v>
      </c>
      <c r="AO92" s="188">
        <v>1374964415.72</v>
      </c>
      <c r="AP92" s="188">
        <v>1375111415.72</v>
      </c>
      <c r="AQ92" s="188">
        <v>1375001165.72</v>
      </c>
      <c r="AR92" s="188">
        <v>1375001165.72</v>
      </c>
      <c r="AS92" s="188">
        <v>1374964415.72</v>
      </c>
      <c r="AT92" s="188">
        <v>1374898755.72</v>
      </c>
      <c r="AU92" s="188">
        <v>1374878083.6099999</v>
      </c>
      <c r="AV92" s="188">
        <v>1374779593.6099999</v>
      </c>
      <c r="AW92" s="188">
        <v>1374449260.6099999</v>
      </c>
      <c r="AX92" s="188">
        <v>1374750770.6099999</v>
      </c>
      <c r="AY92" s="188">
        <v>1374285110.6099999</v>
      </c>
      <c r="AZ92" s="188">
        <v>1846185110.6099999</v>
      </c>
      <c r="BA92" s="188">
        <v>1846119450.6099999</v>
      </c>
      <c r="BB92" s="188">
        <v>1845673790.6099999</v>
      </c>
      <c r="BC92" s="188">
        <v>1924023790.6099999</v>
      </c>
      <c r="BD92" s="188">
        <v>1923937320.54</v>
      </c>
      <c r="BE92" s="188">
        <v>1923937320.54</v>
      </c>
      <c r="BF92" s="188">
        <v>1923800640.54</v>
      </c>
      <c r="BG92" s="188">
        <v>2014484980.54</v>
      </c>
      <c r="BH92" s="188">
        <v>2014484980.54</v>
      </c>
      <c r="BI92" s="188">
        <v>2014484980.54</v>
      </c>
      <c r="BJ92" s="188">
        <v>2014419320.54</v>
      </c>
      <c r="BK92" s="188">
        <v>2014386490.54</v>
      </c>
      <c r="BL92" s="188">
        <v>2014320830.54</v>
      </c>
      <c r="BM92" s="188">
        <v>2014320830.54</v>
      </c>
      <c r="BN92" s="188">
        <v>2039255170.54</v>
      </c>
      <c r="BO92" s="188">
        <v>2039255170.54</v>
      </c>
      <c r="BP92" s="188">
        <v>2039221850.54</v>
      </c>
      <c r="BQ92" s="188">
        <v>2039189510.54</v>
      </c>
      <c r="BR92" s="188">
        <v>89470324.019999996</v>
      </c>
      <c r="BS92" s="188">
        <v>88432681.620000005</v>
      </c>
      <c r="BT92" s="188">
        <v>88432681.620000005</v>
      </c>
      <c r="BU92" s="188">
        <v>0</v>
      </c>
      <c r="BV92" s="188">
        <v>0</v>
      </c>
      <c r="BW92" s="188"/>
      <c r="BX92" s="188"/>
      <c r="BY92" s="188"/>
      <c r="BZ92" s="188"/>
      <c r="CA92" s="188"/>
      <c r="CB92" s="188"/>
      <c r="CC92" s="188"/>
      <c r="CD92" s="188"/>
      <c r="CE92" s="188"/>
      <c r="CF92" s="188"/>
      <c r="CG92" s="188"/>
      <c r="CH92" s="188"/>
      <c r="CI92" s="188"/>
      <c r="CJ92" s="188"/>
      <c r="CK92" s="188"/>
      <c r="CL92" s="188"/>
    </row>
    <row r="93" spans="1:90" x14ac:dyDescent="0.25">
      <c r="A93" s="128" t="s">
        <v>64</v>
      </c>
      <c r="B93" s="188">
        <v>0</v>
      </c>
      <c r="C93" s="188">
        <v>0</v>
      </c>
      <c r="D93" s="188">
        <v>0</v>
      </c>
      <c r="E93" s="188">
        <v>0</v>
      </c>
      <c r="F93" s="188">
        <v>0</v>
      </c>
      <c r="G93" s="188">
        <v>0</v>
      </c>
      <c r="H93" s="188">
        <v>0</v>
      </c>
      <c r="I93" s="188">
        <v>0</v>
      </c>
      <c r="J93" s="188">
        <v>0</v>
      </c>
      <c r="K93" s="188">
        <v>0</v>
      </c>
      <c r="L93" s="188">
        <v>0</v>
      </c>
      <c r="M93" s="188">
        <v>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8" t="s">
        <v>65</v>
      </c>
      <c r="B94" s="188">
        <v>-5928801.1399999997</v>
      </c>
      <c r="C94" s="188">
        <v>-8513766.4199999999</v>
      </c>
      <c r="D94" s="188">
        <v>-7883649.3899999997</v>
      </c>
      <c r="E94" s="188">
        <v>-7401576.4000000004</v>
      </c>
      <c r="F94" s="188">
        <v>-7229608.1600000001</v>
      </c>
      <c r="G94" s="188">
        <v>-7793841.0499999998</v>
      </c>
      <c r="H94" s="188">
        <v>-10729839.77</v>
      </c>
      <c r="I94" s="188">
        <v>-11240841.560000001</v>
      </c>
      <c r="J94" s="188">
        <v>-9828907.2300000004</v>
      </c>
      <c r="K94" s="188">
        <v>-10741866.18</v>
      </c>
      <c r="L94" s="188">
        <v>-9516873.0800000001</v>
      </c>
      <c r="M94" s="188">
        <v>-13034075.470000001</v>
      </c>
      <c r="N94" s="188">
        <v>-12472326.27</v>
      </c>
      <c r="O94" s="188">
        <v>-14908204.18</v>
      </c>
      <c r="P94" s="188">
        <v>-10342175.050000001</v>
      </c>
      <c r="Q94" s="188">
        <v>-619043.99</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8"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8" t="s">
        <v>67</v>
      </c>
      <c r="B96" s="188">
        <v>13297348655.709999</v>
      </c>
      <c r="C96" s="188">
        <v>13297348655.709999</v>
      </c>
      <c r="D96" s="188">
        <v>8215595509.6899996</v>
      </c>
      <c r="E96" s="188">
        <v>8215595509.6899996</v>
      </c>
      <c r="F96" s="188">
        <v>8032437263.1199999</v>
      </c>
      <c r="G96" s="188">
        <v>8032437263.1199999</v>
      </c>
      <c r="H96" s="188">
        <v>7135649963.1199999</v>
      </c>
      <c r="I96" s="188">
        <v>7135649963.1199999</v>
      </c>
      <c r="J96" s="188">
        <v>7083825670.9399996</v>
      </c>
      <c r="K96" s="188">
        <v>7083825670.9399996</v>
      </c>
      <c r="L96" s="188">
        <v>6210524497.54</v>
      </c>
      <c r="M96" s="188">
        <v>6210524497.54</v>
      </c>
      <c r="N96" s="188">
        <v>5249407234.6199999</v>
      </c>
      <c r="O96" s="188">
        <v>5249407234.6199999</v>
      </c>
      <c r="P96" s="188">
        <v>5249407234.6199999</v>
      </c>
      <c r="Q96" s="188">
        <v>5249407234.6199999</v>
      </c>
      <c r="R96" s="188">
        <v>5276552448.5200005</v>
      </c>
      <c r="S96" s="188">
        <v>5276552448.5200005</v>
      </c>
      <c r="T96" s="188">
        <v>4220803927.1799998</v>
      </c>
      <c r="U96" s="188">
        <v>4220803927.1799998</v>
      </c>
      <c r="V96" s="188">
        <v>4221669105.9299998</v>
      </c>
      <c r="W96" s="188">
        <v>4221669105.9299998</v>
      </c>
      <c r="X96" s="188">
        <v>3036434460.46</v>
      </c>
      <c r="Y96" s="188">
        <v>3036434460.46</v>
      </c>
      <c r="Z96" s="188">
        <v>3038678758.3000002</v>
      </c>
      <c r="AA96" s="188">
        <v>3038678758.3000002</v>
      </c>
      <c r="AB96" s="188">
        <v>2640916373.3499999</v>
      </c>
      <c r="AC96" s="188">
        <v>2640916373.3499999</v>
      </c>
      <c r="AD96" s="188">
        <v>2206854637.2199998</v>
      </c>
      <c r="AE96" s="188">
        <v>2206854637.2199998</v>
      </c>
      <c r="AF96" s="188">
        <v>2176754189.4699998</v>
      </c>
      <c r="AG96" s="188">
        <v>2176754189.4699998</v>
      </c>
      <c r="AH96" s="188">
        <v>1702957797.0999999</v>
      </c>
      <c r="AI96" s="188">
        <v>1702957797.0999999</v>
      </c>
      <c r="AJ96" s="188">
        <v>1585666147.4000001</v>
      </c>
      <c r="AK96" s="188">
        <v>1585666147.4000001</v>
      </c>
      <c r="AL96" s="188">
        <v>1344191389.0599999</v>
      </c>
      <c r="AM96" s="188">
        <v>1344191389.0599999</v>
      </c>
      <c r="AN96" s="188">
        <v>1001133829.72</v>
      </c>
      <c r="AO96" s="188">
        <v>1001133829.72</v>
      </c>
      <c r="AP96" s="188">
        <v>996505519.39999998</v>
      </c>
      <c r="AQ96" s="188">
        <v>996505519.39999998</v>
      </c>
      <c r="AR96" s="188">
        <v>838320965.63</v>
      </c>
      <c r="AS96" s="188">
        <v>838320965.63</v>
      </c>
      <c r="AT96" s="188">
        <v>1264879718.52</v>
      </c>
      <c r="AU96" s="188">
        <v>1264879718.52</v>
      </c>
      <c r="AV96" s="188">
        <v>1254272843.9200001</v>
      </c>
      <c r="AW96" s="188">
        <v>1253305422.0599999</v>
      </c>
      <c r="AX96" s="188">
        <v>967252340.82000005</v>
      </c>
      <c r="AY96" s="188">
        <v>967252340.82000005</v>
      </c>
      <c r="AZ96" s="188">
        <v>967252340.82000005</v>
      </c>
      <c r="BA96" s="188">
        <v>967252340.82000005</v>
      </c>
      <c r="BB96" s="188">
        <v>648560928.29999995</v>
      </c>
      <c r="BC96" s="188">
        <v>648560928.29999995</v>
      </c>
      <c r="BD96" s="188">
        <v>648560928.29999995</v>
      </c>
      <c r="BE96" s="188">
        <v>648560928.29999995</v>
      </c>
      <c r="BF96" s="188">
        <v>424392525.00999999</v>
      </c>
      <c r="BG96" s="188">
        <v>424392525.00999999</v>
      </c>
      <c r="BH96" s="188">
        <v>424392525.00999999</v>
      </c>
      <c r="BI96" s="188">
        <v>424392228.41000003</v>
      </c>
      <c r="BJ96" s="188">
        <v>341468411.01999998</v>
      </c>
      <c r="BK96" s="188">
        <v>341440996.33999997</v>
      </c>
      <c r="BL96" s="188">
        <v>275280085.31999999</v>
      </c>
      <c r="BM96" s="188">
        <v>275280085.31999999</v>
      </c>
      <c r="BN96" s="188">
        <v>227558468.19</v>
      </c>
      <c r="BO96" s="188">
        <v>227558468.19</v>
      </c>
      <c r="BP96" s="188">
        <v>163612517.12</v>
      </c>
      <c r="BQ96" s="188">
        <v>163612517.12</v>
      </c>
      <c r="BR96" s="188">
        <v>114734706.56</v>
      </c>
      <c r="BS96" s="188">
        <v>63435431.119999997</v>
      </c>
      <c r="BT96" s="188">
        <v>6166053.1900000004</v>
      </c>
      <c r="BU96" s="188">
        <v>0</v>
      </c>
      <c r="BV96" s="188">
        <v>0</v>
      </c>
      <c r="BW96" s="188">
        <v>194772679.46000001</v>
      </c>
      <c r="BX96" s="188">
        <v>144007744.87</v>
      </c>
      <c r="BY96" s="188">
        <v>96446307.129999995</v>
      </c>
      <c r="BZ96" s="188">
        <v>51390553.909999996</v>
      </c>
      <c r="CA96" s="188">
        <v>13452642.869999999</v>
      </c>
      <c r="CB96" s="188">
        <v>0</v>
      </c>
      <c r="CC96" s="188">
        <v>0</v>
      </c>
      <c r="CD96" s="188">
        <v>0</v>
      </c>
      <c r="CE96" s="188">
        <v>34778000</v>
      </c>
      <c r="CF96" s="188">
        <v>10546287.800000001</v>
      </c>
      <c r="CG96" s="188">
        <v>1136843.69</v>
      </c>
      <c r="CH96" s="188">
        <v>0</v>
      </c>
      <c r="CI96" s="188">
        <v>0</v>
      </c>
      <c r="CJ96" s="188">
        <v>0</v>
      </c>
      <c r="CK96" s="188">
        <v>0</v>
      </c>
      <c r="CL96" s="188">
        <v>0</v>
      </c>
    </row>
    <row r="97" spans="1:90" x14ac:dyDescent="0.25">
      <c r="A97" s="128" t="s">
        <v>68</v>
      </c>
      <c r="B97" s="188">
        <v>600859229.62</v>
      </c>
      <c r="C97" s="188">
        <v>600859229.62</v>
      </c>
      <c r="D97" s="188">
        <v>600859229.62</v>
      </c>
      <c r="E97" s="188">
        <v>600859229.62</v>
      </c>
      <c r="F97" s="188">
        <v>420758409.36000001</v>
      </c>
      <c r="G97" s="188">
        <v>420758409.36000001</v>
      </c>
      <c r="H97" s="188">
        <v>420758409.36000001</v>
      </c>
      <c r="I97" s="188">
        <v>420758409.36000001</v>
      </c>
      <c r="J97" s="188">
        <v>218361303.43000001</v>
      </c>
      <c r="K97" s="188">
        <v>218361303.43000001</v>
      </c>
      <c r="L97" s="188">
        <v>218361303.43000001</v>
      </c>
      <c r="M97" s="188">
        <v>218361303.43000001</v>
      </c>
      <c r="N97" s="188">
        <v>134294502.37</v>
      </c>
      <c r="O97" s="188">
        <v>134294502.37</v>
      </c>
      <c r="P97" s="188">
        <v>98594502.370000005</v>
      </c>
      <c r="Q97" s="188">
        <v>98594502.370000005</v>
      </c>
      <c r="R97" s="188">
        <v>28596286.27</v>
      </c>
      <c r="S97" s="188">
        <v>28596286.27</v>
      </c>
      <c r="T97" s="188">
        <v>13296286.27</v>
      </c>
      <c r="U97" s="188">
        <v>13296286.27</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8" t="s">
        <v>69</v>
      </c>
      <c r="B98" s="188">
        <v>85846187413.809998</v>
      </c>
      <c r="C98" s="188">
        <v>76876820476.139999</v>
      </c>
      <c r="D98" s="188">
        <v>88518214128.529999</v>
      </c>
      <c r="E98" s="188">
        <v>80011307450.330002</v>
      </c>
      <c r="F98" s="188">
        <v>73279053245.520004</v>
      </c>
      <c r="G98" s="188">
        <v>64546067191.129997</v>
      </c>
      <c r="H98" s="188">
        <v>68840927360.740005</v>
      </c>
      <c r="I98" s="188">
        <v>62717808036.610001</v>
      </c>
      <c r="J98" s="188">
        <v>58719244464.699997</v>
      </c>
      <c r="K98" s="188">
        <v>55056303838.580002</v>
      </c>
      <c r="L98" s="188">
        <v>59768236093.089996</v>
      </c>
      <c r="M98" s="188">
        <v>54878964497.769997</v>
      </c>
      <c r="N98" s="188">
        <v>51845696029.080002</v>
      </c>
      <c r="O98" s="188">
        <v>53418589613.540001</v>
      </c>
      <c r="P98" s="188">
        <v>49930959058.260002</v>
      </c>
      <c r="Q98" s="188">
        <v>45566057337.370003</v>
      </c>
      <c r="R98" s="188">
        <v>40918438890.050003</v>
      </c>
      <c r="S98" s="188">
        <v>37454963518.709999</v>
      </c>
      <c r="T98" s="188">
        <v>39640361782.25</v>
      </c>
      <c r="U98" s="188">
        <v>35974971858.639999</v>
      </c>
      <c r="V98" s="188">
        <v>31915957705.959999</v>
      </c>
      <c r="W98" s="188">
        <v>28098707911.970001</v>
      </c>
      <c r="X98" s="188">
        <v>32293173381.169998</v>
      </c>
      <c r="Y98" s="188">
        <v>28700075247.5</v>
      </c>
      <c r="Z98" s="188">
        <v>25807560553.650002</v>
      </c>
      <c r="AA98" s="188">
        <v>22385472933.189999</v>
      </c>
      <c r="AB98" s="188">
        <v>22906334977.689999</v>
      </c>
      <c r="AC98" s="188">
        <v>19937119181.959999</v>
      </c>
      <c r="AD98" s="188">
        <v>18177119652.080002</v>
      </c>
      <c r="AE98" s="188">
        <v>16609592149.389999</v>
      </c>
      <c r="AF98" s="188">
        <v>15787250430.540001</v>
      </c>
      <c r="AG98" s="188">
        <v>13903255455.610001</v>
      </c>
      <c r="AH98" s="188">
        <v>13500031622.98</v>
      </c>
      <c r="AI98" s="188">
        <v>12425614934.950001</v>
      </c>
      <c r="AJ98" s="188">
        <v>11827214855.1</v>
      </c>
      <c r="AK98" s="188">
        <v>10561552279.690001</v>
      </c>
      <c r="AL98" s="188">
        <v>10277532334.969999</v>
      </c>
      <c r="AM98" s="188">
        <v>9280857397.3999996</v>
      </c>
      <c r="AN98" s="188">
        <v>9141680742.6900005</v>
      </c>
      <c r="AO98" s="188">
        <v>7924671271.0299997</v>
      </c>
      <c r="AP98" s="188">
        <v>7274577877.2399998</v>
      </c>
      <c r="AQ98" s="188">
        <v>6369380098.8400002</v>
      </c>
      <c r="AR98" s="188">
        <v>5950374457.8599997</v>
      </c>
      <c r="AS98" s="188">
        <v>5077020374.5799999</v>
      </c>
      <c r="AT98" s="188">
        <v>3291064389.6399999</v>
      </c>
      <c r="AU98" s="188">
        <v>2550293482.9499998</v>
      </c>
      <c r="AV98" s="188">
        <v>2247683074.8000002</v>
      </c>
      <c r="AW98" s="188">
        <v>1664790770.9100001</v>
      </c>
      <c r="AX98" s="188">
        <v>2058380373.47</v>
      </c>
      <c r="AY98" s="188">
        <v>1712637291.5699999</v>
      </c>
      <c r="AZ98" s="188">
        <v>2114646547.6199999</v>
      </c>
      <c r="BA98" s="188">
        <v>1665055777.74</v>
      </c>
      <c r="BB98" s="188">
        <v>1708963307.54</v>
      </c>
      <c r="BC98" s="188">
        <v>1487562486.74</v>
      </c>
      <c r="BD98" s="188">
        <v>1375914951.6300001</v>
      </c>
      <c r="BE98" s="188">
        <v>1006775560.89</v>
      </c>
      <c r="BF98" s="188">
        <v>1122584115.97</v>
      </c>
      <c r="BG98" s="188">
        <v>983599159.49000001</v>
      </c>
      <c r="BH98" s="188">
        <v>899399260.28999996</v>
      </c>
      <c r="BI98" s="188">
        <v>634515263.59000003</v>
      </c>
      <c r="BJ98" s="188">
        <v>575940966.96000004</v>
      </c>
      <c r="BK98" s="188">
        <v>474604497.82999998</v>
      </c>
      <c r="BL98" s="188">
        <v>505853609.79000002</v>
      </c>
      <c r="BM98" s="188">
        <v>288244590.30000001</v>
      </c>
      <c r="BN98" s="188">
        <v>323418256.06999999</v>
      </c>
      <c r="BO98" s="188">
        <v>252443665.06</v>
      </c>
      <c r="BP98" s="188">
        <v>284561899.63</v>
      </c>
      <c r="BQ98" s="188">
        <v>78113637.140000001</v>
      </c>
      <c r="BR98" s="188">
        <v>172340372.66</v>
      </c>
      <c r="BS98" s="188">
        <v>105552620.23</v>
      </c>
      <c r="BT98" s="188">
        <v>5763120.4199999999</v>
      </c>
      <c r="BU98" s="188">
        <v>0</v>
      </c>
      <c r="BV98" s="188">
        <v>0</v>
      </c>
      <c r="BW98" s="188">
        <v>703711850.11000001</v>
      </c>
      <c r="BX98" s="188">
        <v>423675870.94999999</v>
      </c>
      <c r="BY98" s="188">
        <v>146529073.66</v>
      </c>
      <c r="BZ98" s="188">
        <v>291213138.67000002</v>
      </c>
      <c r="CA98" s="188">
        <v>76231642.829999998</v>
      </c>
      <c r="CB98" s="188">
        <v>0</v>
      </c>
      <c r="CC98" s="188">
        <v>0</v>
      </c>
      <c r="CD98" s="188">
        <v>0</v>
      </c>
      <c r="CE98" s="188">
        <v>129889000</v>
      </c>
      <c r="CF98" s="188">
        <v>81321459.170000002</v>
      </c>
      <c r="CG98" s="188">
        <v>12975517.09</v>
      </c>
      <c r="CH98" s="188">
        <v>0</v>
      </c>
      <c r="CI98" s="188">
        <v>0</v>
      </c>
      <c r="CJ98" s="188">
        <v>0</v>
      </c>
      <c r="CK98" s="188">
        <v>0</v>
      </c>
      <c r="CL98" s="188">
        <v>0</v>
      </c>
    </row>
    <row r="99" spans="1:90" x14ac:dyDescent="0.25">
      <c r="A99" s="128" t="s">
        <v>70</v>
      </c>
      <c r="B99" s="188">
        <v>0</v>
      </c>
      <c r="C99" s="188">
        <v>2580473549.23</v>
      </c>
      <c r="D99" s="188">
        <v>0</v>
      </c>
      <c r="E99" s="188">
        <v>0</v>
      </c>
      <c r="F99" s="188">
        <v>0</v>
      </c>
      <c r="G99" s="188">
        <v>8529177880.8000002</v>
      </c>
      <c r="H99" s="188">
        <v>0</v>
      </c>
      <c r="I99" s="188">
        <v>0</v>
      </c>
      <c r="J99" s="188">
        <v>0</v>
      </c>
      <c r="K99" s="188">
        <v>4977430129.3599997</v>
      </c>
      <c r="L99" s="188">
        <v>0</v>
      </c>
      <c r="M99" s="188">
        <v>0</v>
      </c>
      <c r="N99" s="188">
        <v>0</v>
      </c>
      <c r="O99" s="188">
        <v>0</v>
      </c>
      <c r="P99" s="188">
        <v>0</v>
      </c>
      <c r="Q99" s="188">
        <v>0</v>
      </c>
      <c r="R99" s="188">
        <v>0</v>
      </c>
      <c r="S99" s="188">
        <v>0</v>
      </c>
      <c r="T99" s="188">
        <v>564392547.62</v>
      </c>
      <c r="U99" s="188">
        <v>0</v>
      </c>
      <c r="V99" s="188">
        <v>0</v>
      </c>
      <c r="W99" s="188">
        <v>429516584.81999999</v>
      </c>
      <c r="X99" s="188">
        <v>629516584.82000005</v>
      </c>
      <c r="Y99" s="188">
        <v>0</v>
      </c>
      <c r="Z99" s="188">
        <v>195688455.97999999</v>
      </c>
      <c r="AA99" s="188">
        <v>4233765263.5700002</v>
      </c>
      <c r="AB99" s="188">
        <v>2250000</v>
      </c>
      <c r="AC99" s="188">
        <v>0</v>
      </c>
      <c r="AD99" s="188">
        <v>225593890.94999999</v>
      </c>
      <c r="AE99" s="188">
        <v>2269077517.96</v>
      </c>
      <c r="AF99" s="188">
        <v>318584196.29000002</v>
      </c>
      <c r="AG99" s="188">
        <v>318584196.29000002</v>
      </c>
      <c r="AH99" s="188">
        <v>220246678.33000001</v>
      </c>
      <c r="AI99" s="188">
        <v>1186664698.0599999</v>
      </c>
      <c r="AJ99" s="188">
        <v>0</v>
      </c>
      <c r="AK99" s="188">
        <v>137207662.62</v>
      </c>
      <c r="AL99" s="188">
        <v>0</v>
      </c>
      <c r="AM99" s="188">
        <v>1058642428.87</v>
      </c>
      <c r="AN99" s="188">
        <v>172451384.72999999</v>
      </c>
      <c r="AO99" s="188">
        <v>0</v>
      </c>
      <c r="AP99" s="188">
        <v>115386977.67</v>
      </c>
      <c r="AQ99" s="188">
        <v>118186308.62</v>
      </c>
      <c r="AR99" s="188">
        <v>41806958.039999999</v>
      </c>
      <c r="AS99" s="188">
        <v>41806958.039999999</v>
      </c>
      <c r="AT99" s="188">
        <v>41806958.039999999</v>
      </c>
      <c r="AU99" s="188">
        <v>722871772.95000005</v>
      </c>
      <c r="AV99" s="188">
        <v>722688505.62</v>
      </c>
      <c r="AW99" s="188">
        <v>0</v>
      </c>
      <c r="AX99" s="188">
        <v>545065.19999999995</v>
      </c>
      <c r="AY99" s="188">
        <v>0</v>
      </c>
      <c r="AZ99" s="188">
        <v>42665714.490000002</v>
      </c>
      <c r="BA99" s="188">
        <v>37181810</v>
      </c>
      <c r="BB99" s="188">
        <v>0</v>
      </c>
      <c r="BC99" s="188">
        <v>0</v>
      </c>
      <c r="BD99" s="188">
        <v>0</v>
      </c>
      <c r="BE99" s="188">
        <v>17440859.68</v>
      </c>
      <c r="BF99" s="188">
        <v>17652617.600000001</v>
      </c>
      <c r="BG99" s="188">
        <v>17864375.52</v>
      </c>
      <c r="BH99" s="188">
        <v>27982641.129999999</v>
      </c>
      <c r="BI99" s="188">
        <v>1212795.3600000001</v>
      </c>
      <c r="BJ99" s="188">
        <v>1212795.3600000001</v>
      </c>
      <c r="BK99" s="188">
        <v>55577521.600000001</v>
      </c>
      <c r="BL99" s="188">
        <v>55577521.600000001</v>
      </c>
      <c r="BM99" s="188">
        <v>55577521.600000001</v>
      </c>
      <c r="BN99" s="188">
        <v>97601152.799999997</v>
      </c>
      <c r="BO99" s="188">
        <v>155488801.46000001</v>
      </c>
      <c r="BP99" s="188">
        <v>155488801.46000001</v>
      </c>
      <c r="BQ99" s="188">
        <v>165107825.69999999</v>
      </c>
      <c r="BR99" s="188">
        <v>106865617.66</v>
      </c>
      <c r="BS99" s="188">
        <v>5617043.5599999996</v>
      </c>
      <c r="BT99" s="188">
        <v>0</v>
      </c>
      <c r="BU99" s="188">
        <v>0</v>
      </c>
      <c r="BV99" s="188">
        <v>0</v>
      </c>
      <c r="BW99" s="188">
        <v>0</v>
      </c>
      <c r="BX99" s="188">
        <v>0</v>
      </c>
      <c r="BY99" s="188">
        <v>400000000</v>
      </c>
      <c r="BZ99" s="188">
        <v>0</v>
      </c>
      <c r="CA99" s="188">
        <v>0</v>
      </c>
      <c r="CB99" s="188">
        <v>0</v>
      </c>
      <c r="CC99" s="188">
        <v>0</v>
      </c>
      <c r="CD99" s="188">
        <v>0</v>
      </c>
      <c r="CE99" s="188">
        <v>0</v>
      </c>
      <c r="CF99" s="188">
        <v>0</v>
      </c>
      <c r="CG99" s="188">
        <v>0</v>
      </c>
      <c r="CH99" s="188">
        <v>0</v>
      </c>
      <c r="CI99" s="188">
        <v>0</v>
      </c>
      <c r="CJ99" s="188">
        <v>0</v>
      </c>
      <c r="CK99" s="188">
        <v>0</v>
      </c>
      <c r="CL99" s="188">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-14802026.52</v>
      </c>
      <c r="BE101" s="188">
        <v>0</v>
      </c>
      <c r="BF101" s="188">
        <v>0</v>
      </c>
      <c r="BG101" s="188">
        <v>0</v>
      </c>
      <c r="BH101" s="188">
        <v>0</v>
      </c>
      <c r="BI101" s="188">
        <v>0</v>
      </c>
      <c r="BJ101" s="188">
        <v>0</v>
      </c>
      <c r="BK101" s="188">
        <v>0</v>
      </c>
      <c r="BL101" s="188">
        <v>0</v>
      </c>
      <c r="BM101" s="188">
        <v>0</v>
      </c>
      <c r="BN101" s="188">
        <v>0</v>
      </c>
      <c r="BO101" s="188">
        <v>0</v>
      </c>
      <c r="BP101" s="188">
        <v>0</v>
      </c>
      <c r="BQ101" s="188">
        <v>0</v>
      </c>
      <c r="BR101" s="188">
        <v>0</v>
      </c>
      <c r="BS101" s="188"/>
      <c r="BT101" s="188"/>
      <c r="BU101" s="188"/>
      <c r="BV101" s="188"/>
      <c r="BW101" s="188"/>
      <c r="BX101" s="188"/>
      <c r="BY101" s="188"/>
      <c r="BZ101" s="188"/>
      <c r="CA101" s="188"/>
      <c r="CB101" s="188"/>
      <c r="CC101" s="188"/>
      <c r="CD101" s="188"/>
      <c r="CE101" s="188"/>
      <c r="CF101" s="188"/>
      <c r="CG101" s="188"/>
      <c r="CH101" s="188"/>
      <c r="CI101" s="188"/>
      <c r="CJ101" s="188"/>
      <c r="CK101" s="188"/>
      <c r="CL101" s="188"/>
    </row>
    <row r="102" spans="1:90" x14ac:dyDescent="0.25">
      <c r="A102" s="128" t="s">
        <v>72</v>
      </c>
      <c r="B102" s="188">
        <v>102369628713.72</v>
      </c>
      <c r="C102" s="188">
        <v>93397676810.770004</v>
      </c>
      <c r="D102" s="188">
        <v>99957947434.169998</v>
      </c>
      <c r="E102" s="188">
        <v>91451522828.960007</v>
      </c>
      <c r="F102" s="188">
        <v>84356181525.559998</v>
      </c>
      <c r="G102" s="188">
        <v>75622631238.279999</v>
      </c>
      <c r="H102" s="188">
        <v>79017768109.169998</v>
      </c>
      <c r="I102" s="188">
        <v>72894137783.25</v>
      </c>
      <c r="J102" s="188">
        <v>68642764747.559998</v>
      </c>
      <c r="K102" s="188">
        <v>64978911162.489998</v>
      </c>
      <c r="L102" s="188">
        <v>68818767236.699997</v>
      </c>
      <c r="M102" s="188">
        <v>63925978438.989998</v>
      </c>
      <c r="N102" s="188">
        <v>59848087655.519997</v>
      </c>
      <c r="O102" s="188">
        <v>61304345562.07</v>
      </c>
      <c r="P102" s="188">
        <v>57785581035.919998</v>
      </c>
      <c r="Q102" s="188">
        <v>53430402446.089996</v>
      </c>
      <c r="R102" s="188">
        <v>48740550040.559998</v>
      </c>
      <c r="S102" s="188">
        <v>45277074669.220001</v>
      </c>
      <c r="T102" s="188">
        <v>46287606411.419998</v>
      </c>
      <c r="U102" s="188">
        <v>42622216487.809998</v>
      </c>
      <c r="V102" s="188">
        <v>38550771227.610001</v>
      </c>
      <c r="W102" s="188">
        <v>34733521433.620003</v>
      </c>
      <c r="X102" s="188">
        <v>37742752257.349998</v>
      </c>
      <c r="Y102" s="188">
        <v>34149654123.68</v>
      </c>
      <c r="Z102" s="188">
        <v>31259383727.669998</v>
      </c>
      <c r="AA102" s="188">
        <v>27837296107.209999</v>
      </c>
      <c r="AB102" s="188">
        <v>27960395766.759998</v>
      </c>
      <c r="AC102" s="188">
        <v>24991179971.029999</v>
      </c>
      <c r="AD102" s="188">
        <v>22797118705.02</v>
      </c>
      <c r="AE102" s="188">
        <v>21135211202.330002</v>
      </c>
      <c r="AF102" s="188">
        <v>20282769035.73</v>
      </c>
      <c r="AG102" s="188">
        <v>18398774060.799999</v>
      </c>
      <c r="AH102" s="188">
        <v>17521753835.799999</v>
      </c>
      <c r="AI102" s="188">
        <v>16447337147.77</v>
      </c>
      <c r="AJ102" s="188">
        <v>15731645418.219999</v>
      </c>
      <c r="AK102" s="188">
        <v>14465982842.809999</v>
      </c>
      <c r="AL102" s="188">
        <v>13940488139.75</v>
      </c>
      <c r="AM102" s="188">
        <v>12943813202.18</v>
      </c>
      <c r="AN102" s="188">
        <v>12461578988.129999</v>
      </c>
      <c r="AO102" s="188">
        <v>11244569516.469999</v>
      </c>
      <c r="AP102" s="188">
        <v>10589994812.360001</v>
      </c>
      <c r="AQ102" s="188">
        <v>9684686783.9599991</v>
      </c>
      <c r="AR102" s="188">
        <v>9107496589.2099991</v>
      </c>
      <c r="AS102" s="188">
        <v>8234105755.9300003</v>
      </c>
      <c r="AT102" s="188">
        <v>6874642863.8800001</v>
      </c>
      <c r="AU102" s="188">
        <v>6133851285.0799999</v>
      </c>
      <c r="AV102" s="188">
        <v>5820535512.3299999</v>
      </c>
      <c r="AW102" s="188">
        <v>5897005453.5799999</v>
      </c>
      <c r="AX102" s="188">
        <v>5344183484.8999996</v>
      </c>
      <c r="AY102" s="188">
        <v>5001822019.8000002</v>
      </c>
      <c r="AZ102" s="188">
        <v>5541553999.0500002</v>
      </c>
      <c r="BA102" s="188">
        <v>5091897569.1700001</v>
      </c>
      <c r="BB102" s="188">
        <v>4713459586.4499998</v>
      </c>
      <c r="BC102" s="188">
        <v>4650022205.6499996</v>
      </c>
      <c r="BD102" s="188">
        <v>4538288200.4700003</v>
      </c>
      <c r="BE102" s="188">
        <v>4169148809.73</v>
      </c>
      <c r="BF102" s="188">
        <v>3864027281.52</v>
      </c>
      <c r="BG102" s="188">
        <v>3788226665.04</v>
      </c>
      <c r="BH102" s="188">
        <v>3704026765.8400002</v>
      </c>
      <c r="BI102" s="188">
        <v>3439142472.54</v>
      </c>
      <c r="BJ102" s="188">
        <v>3206828698.52</v>
      </c>
      <c r="BK102" s="188">
        <v>3105431984.71</v>
      </c>
      <c r="BL102" s="188">
        <v>3070454525.6500001</v>
      </c>
      <c r="BM102" s="188">
        <v>2852230484.27</v>
      </c>
      <c r="BN102" s="188">
        <v>2840231894.8000002</v>
      </c>
      <c r="BO102" s="188">
        <v>2769257303.79</v>
      </c>
      <c r="BP102" s="188">
        <v>2737396267.29</v>
      </c>
      <c r="BQ102" s="188">
        <v>2530915664.8000002</v>
      </c>
      <c r="BR102" s="188">
        <v>561545403.24000001</v>
      </c>
      <c r="BS102" s="188">
        <v>442420732.97000003</v>
      </c>
      <c r="BT102" s="188">
        <v>285361855.23000002</v>
      </c>
      <c r="BU102" s="188">
        <v>234091527.97999999</v>
      </c>
      <c r="BV102" s="188">
        <v>0</v>
      </c>
      <c r="BW102" s="188">
        <v>2420499366.4499998</v>
      </c>
      <c r="BX102" s="188">
        <v>2089698452.7</v>
      </c>
      <c r="BY102" s="188">
        <v>1764990217.6700001</v>
      </c>
      <c r="BZ102" s="188">
        <v>1864618529.46</v>
      </c>
      <c r="CA102" s="188">
        <v>392384778.43000001</v>
      </c>
      <c r="CB102" s="188">
        <v>264958379.21000001</v>
      </c>
      <c r="CC102" s="188">
        <v>225967479.94999999</v>
      </c>
      <c r="CD102" s="188">
        <v>0</v>
      </c>
      <c r="CE102" s="188">
        <v>1079642000</v>
      </c>
      <c r="CF102" s="188">
        <v>1003922431.86</v>
      </c>
      <c r="CG102" s="188">
        <v>492362941.67000002</v>
      </c>
      <c r="CH102" s="188">
        <v>203800000</v>
      </c>
      <c r="CI102" s="188">
        <v>162870000</v>
      </c>
      <c r="CJ102" s="188">
        <v>92660000</v>
      </c>
      <c r="CK102" s="188">
        <v>75420000</v>
      </c>
      <c r="CL102" s="188">
        <v>0</v>
      </c>
    </row>
    <row r="103" spans="1:90" x14ac:dyDescent="0.25">
      <c r="A103" s="128" t="s">
        <v>73</v>
      </c>
      <c r="B103" s="188">
        <v>3787433335.21</v>
      </c>
      <c r="C103" s="188">
        <v>3106797759.8099999</v>
      </c>
      <c r="D103" s="188">
        <v>5191733721.21</v>
      </c>
      <c r="E103" s="188">
        <v>4568104646.1199999</v>
      </c>
      <c r="F103" s="188">
        <v>4024663748.5700002</v>
      </c>
      <c r="G103" s="188">
        <v>3440619432.1799998</v>
      </c>
      <c r="H103" s="188">
        <v>3436119206.4099998</v>
      </c>
      <c r="I103" s="188">
        <v>3004405071.4699998</v>
      </c>
      <c r="J103" s="188">
        <v>2640738713.5100002</v>
      </c>
      <c r="K103" s="188">
        <v>2374250520.8899999</v>
      </c>
      <c r="L103" s="188">
        <v>2122491752.9200001</v>
      </c>
      <c r="M103" s="188">
        <v>2308191982.3000002</v>
      </c>
      <c r="N103" s="188">
        <v>2070754902.5599999</v>
      </c>
      <c r="O103" s="188">
        <v>2357436627.4699998</v>
      </c>
      <c r="P103" s="188">
        <v>2144567091.04</v>
      </c>
      <c r="Q103" s="188">
        <v>1881148395.03</v>
      </c>
      <c r="R103" s="188">
        <v>1600778530.95</v>
      </c>
      <c r="S103" s="188">
        <v>1347102212</v>
      </c>
      <c r="T103" s="188">
        <v>1165965233.21</v>
      </c>
      <c r="U103" s="188">
        <v>1506875785.45</v>
      </c>
      <c r="V103" s="188">
        <v>1269596474.5799999</v>
      </c>
      <c r="W103" s="188">
        <v>1045585749.9</v>
      </c>
      <c r="X103" s="188">
        <v>852880798.07000005</v>
      </c>
      <c r="Y103" s="188">
        <v>1304382273.5699999</v>
      </c>
      <c r="Z103" s="188">
        <v>732181741.11000001</v>
      </c>
      <c r="AA103" s="188">
        <v>567479126.41999996</v>
      </c>
      <c r="AB103" s="188">
        <v>570224635.26999998</v>
      </c>
      <c r="AC103" s="188">
        <v>412199640.25999999</v>
      </c>
      <c r="AD103" s="188">
        <v>286651411.25999999</v>
      </c>
      <c r="AE103" s="188">
        <v>409744684.81999999</v>
      </c>
      <c r="AF103" s="188">
        <v>257911988.53</v>
      </c>
      <c r="AG103" s="188">
        <v>150615633.81999999</v>
      </c>
      <c r="AH103" s="188">
        <v>200016357.63999999</v>
      </c>
      <c r="AI103" s="188">
        <v>289876148.44999999</v>
      </c>
      <c r="AJ103" s="188">
        <v>264302773.80000001</v>
      </c>
      <c r="AK103" s="188">
        <v>185582551.40000001</v>
      </c>
      <c r="AL103" s="188">
        <v>275191591.27999997</v>
      </c>
      <c r="AM103" s="188">
        <v>223163166.90000001</v>
      </c>
      <c r="AN103" s="188">
        <v>146428490.91</v>
      </c>
      <c r="AO103" s="188">
        <v>258848779.47999999</v>
      </c>
      <c r="AP103" s="188">
        <v>217009921.47999999</v>
      </c>
      <c r="AQ103" s="188">
        <v>169948192.50999999</v>
      </c>
      <c r="AR103" s="188">
        <v>178444675.81999999</v>
      </c>
      <c r="AS103" s="188">
        <v>134750014.50999999</v>
      </c>
      <c r="AT103" s="188">
        <v>78256460.450000003</v>
      </c>
      <c r="AU103" s="188">
        <v>85560610.409999996</v>
      </c>
      <c r="AV103" s="188">
        <v>67841281.260000005</v>
      </c>
      <c r="AW103" s="188">
        <v>98023195.849999994</v>
      </c>
      <c r="AX103" s="188">
        <v>70860943.209999993</v>
      </c>
      <c r="AY103" s="188">
        <v>56652336.340000004</v>
      </c>
      <c r="AZ103" s="188">
        <v>46741572.689999998</v>
      </c>
      <c r="BA103" s="188">
        <v>70497512.349999994</v>
      </c>
      <c r="BB103" s="188">
        <v>52043760.579999998</v>
      </c>
      <c r="BC103" s="188">
        <v>41815125.100000001</v>
      </c>
      <c r="BD103" s="188">
        <v>62360963.520000003</v>
      </c>
      <c r="BE103" s="188">
        <v>47558937</v>
      </c>
      <c r="BF103" s="188">
        <v>36447084.609999999</v>
      </c>
      <c r="BG103" s="188">
        <v>28918630.640000001</v>
      </c>
      <c r="BH103" s="188">
        <v>23767728.199999999</v>
      </c>
      <c r="BI103" s="188">
        <v>31381618.390000001</v>
      </c>
      <c r="BJ103" s="188">
        <v>24687926.82</v>
      </c>
      <c r="BK103" s="188">
        <v>19341187.829999998</v>
      </c>
      <c r="BL103" s="188">
        <v>30018150.66</v>
      </c>
      <c r="BM103" s="188">
        <v>22503488.420000002</v>
      </c>
      <c r="BN103" s="188">
        <v>17572455.670000002</v>
      </c>
      <c r="BO103" s="188">
        <v>14795436.99</v>
      </c>
      <c r="BP103" s="188">
        <v>14066109.310000001</v>
      </c>
      <c r="BQ103" s="188">
        <v>6716039.0099999998</v>
      </c>
      <c r="BR103" s="188">
        <v>0</v>
      </c>
      <c r="BS103" s="188">
        <v>1358890.07</v>
      </c>
      <c r="BT103" s="188">
        <v>0</v>
      </c>
      <c r="BU103" s="188">
        <v>0</v>
      </c>
      <c r="BV103" s="188">
        <v>0</v>
      </c>
      <c r="BW103" s="188">
        <v>0</v>
      </c>
      <c r="BX103" s="188">
        <v>0</v>
      </c>
      <c r="BY103" s="188">
        <v>0</v>
      </c>
      <c r="BZ103" s="188">
        <v>0</v>
      </c>
      <c r="CA103" s="188">
        <v>0</v>
      </c>
      <c r="CB103" s="188">
        <v>0</v>
      </c>
      <c r="CC103" s="188">
        <v>0</v>
      </c>
      <c r="CD103" s="188">
        <v>0</v>
      </c>
      <c r="CE103" s="188">
        <v>96000</v>
      </c>
      <c r="CF103" s="188">
        <v>305920.90000000002</v>
      </c>
      <c r="CG103" s="188">
        <v>326958.7</v>
      </c>
      <c r="CH103" s="188">
        <v>0</v>
      </c>
      <c r="CI103" s="188">
        <v>0</v>
      </c>
      <c r="CJ103" s="188">
        <v>0</v>
      </c>
      <c r="CK103" s="188">
        <v>0</v>
      </c>
      <c r="CL103" s="188">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106157062048.93001</v>
      </c>
      <c r="C107" s="33">
        <f>C102+C103</f>
        <v>96504474570.580002</v>
      </c>
      <c r="D107" s="33">
        <f>D102+D103</f>
        <v>105149681155.38</v>
      </c>
      <c r="E107" s="33">
        <f>E102+E103</f>
        <v>96019627475.080002</v>
      </c>
      <c r="F107" s="33">
        <f t="shared" ref="F107:BQ107" si="20">F102+F103</f>
        <v>88380845274.130005</v>
      </c>
      <c r="G107" s="33">
        <f t="shared" si="20"/>
        <v>79063250670.459991</v>
      </c>
      <c r="H107" s="33">
        <f t="shared" si="20"/>
        <v>82453887315.580002</v>
      </c>
      <c r="I107" s="33">
        <f t="shared" si="20"/>
        <v>75898542854.720001</v>
      </c>
      <c r="J107" s="33">
        <f t="shared" si="20"/>
        <v>71283503461.069992</v>
      </c>
      <c r="K107" s="33">
        <f t="shared" si="20"/>
        <v>67353161683.379997</v>
      </c>
      <c r="L107" s="33">
        <f t="shared" si="20"/>
        <v>70941258989.619995</v>
      </c>
      <c r="M107" s="33">
        <f t="shared" si="20"/>
        <v>66234170421.290001</v>
      </c>
      <c r="N107" s="33">
        <f t="shared" si="20"/>
        <v>61918842558.079994</v>
      </c>
      <c r="O107" s="33">
        <f t="shared" si="20"/>
        <v>63661782189.540001</v>
      </c>
      <c r="P107" s="33">
        <f t="shared" si="20"/>
        <v>59930148126.959999</v>
      </c>
      <c r="Q107" s="33">
        <f t="shared" si="20"/>
        <v>55311550841.119995</v>
      </c>
      <c r="R107" s="33">
        <f t="shared" si="20"/>
        <v>50341328571.509995</v>
      </c>
      <c r="S107" s="33">
        <f t="shared" si="20"/>
        <v>46624176881.220001</v>
      </c>
      <c r="T107" s="33">
        <f t="shared" si="20"/>
        <v>47453571644.629997</v>
      </c>
      <c r="U107" s="33">
        <f t="shared" si="20"/>
        <v>44129092273.259995</v>
      </c>
      <c r="V107" s="33">
        <f t="shared" si="20"/>
        <v>39820367702.190002</v>
      </c>
      <c r="W107" s="33">
        <f t="shared" si="20"/>
        <v>35779107183.520004</v>
      </c>
      <c r="X107" s="33">
        <f t="shared" si="20"/>
        <v>38595633055.419998</v>
      </c>
      <c r="Y107" s="33">
        <f t="shared" si="20"/>
        <v>35454036397.25</v>
      </c>
      <c r="Z107" s="33">
        <f t="shared" si="20"/>
        <v>31991565468.779999</v>
      </c>
      <c r="AA107" s="33">
        <f t="shared" si="20"/>
        <v>28404775233.629997</v>
      </c>
      <c r="AB107" s="33">
        <f t="shared" si="20"/>
        <v>28530620402.029999</v>
      </c>
      <c r="AC107" s="33">
        <f t="shared" si="20"/>
        <v>25403379611.289997</v>
      </c>
      <c r="AD107" s="33">
        <f t="shared" si="20"/>
        <v>23083770116.279999</v>
      </c>
      <c r="AE107" s="33">
        <f t="shared" si="20"/>
        <v>21544955887.150002</v>
      </c>
      <c r="AF107" s="33">
        <f t="shared" si="20"/>
        <v>20540681024.259998</v>
      </c>
      <c r="AG107" s="33">
        <f t="shared" si="20"/>
        <v>18549389694.619999</v>
      </c>
      <c r="AH107" s="33">
        <f t="shared" si="20"/>
        <v>17721770193.439999</v>
      </c>
      <c r="AI107" s="33">
        <f t="shared" si="20"/>
        <v>16737213296.220001</v>
      </c>
      <c r="AJ107" s="33">
        <f t="shared" si="20"/>
        <v>15995948192.019999</v>
      </c>
      <c r="AK107" s="33">
        <f t="shared" si="20"/>
        <v>14651565394.209999</v>
      </c>
      <c r="AL107" s="33">
        <f t="shared" si="20"/>
        <v>14215679731.030001</v>
      </c>
      <c r="AM107" s="33">
        <f t="shared" si="20"/>
        <v>13166976369.08</v>
      </c>
      <c r="AN107" s="33">
        <f t="shared" si="20"/>
        <v>12608007479.039999</v>
      </c>
      <c r="AO107" s="33">
        <f t="shared" si="20"/>
        <v>11503418295.949999</v>
      </c>
      <c r="AP107" s="33">
        <f t="shared" si="20"/>
        <v>10807004733.84</v>
      </c>
      <c r="AQ107" s="33">
        <f t="shared" si="20"/>
        <v>9854634976.4699993</v>
      </c>
      <c r="AR107" s="33">
        <f t="shared" si="20"/>
        <v>9285941265.0299988</v>
      </c>
      <c r="AS107" s="33">
        <f t="shared" si="20"/>
        <v>8368855770.4400005</v>
      </c>
      <c r="AT107" s="33">
        <f t="shared" si="20"/>
        <v>6952899324.3299999</v>
      </c>
      <c r="AU107" s="33">
        <f t="shared" si="20"/>
        <v>6219411895.4899998</v>
      </c>
      <c r="AV107" s="33">
        <f t="shared" si="20"/>
        <v>5888376793.5900002</v>
      </c>
      <c r="AW107" s="33">
        <f t="shared" si="20"/>
        <v>5995028649.4300003</v>
      </c>
      <c r="AX107" s="33">
        <f t="shared" si="20"/>
        <v>5415044428.1099997</v>
      </c>
      <c r="AY107" s="33">
        <f t="shared" si="20"/>
        <v>5058474356.1400003</v>
      </c>
      <c r="AZ107" s="33">
        <f t="shared" si="20"/>
        <v>5588295571.7399998</v>
      </c>
      <c r="BA107" s="33">
        <f t="shared" si="20"/>
        <v>5162395081.5200005</v>
      </c>
      <c r="BB107" s="33">
        <f t="shared" si="20"/>
        <v>4765503347.0299997</v>
      </c>
      <c r="BC107" s="33">
        <f t="shared" si="20"/>
        <v>4691837330.75</v>
      </c>
      <c r="BD107" s="33">
        <f t="shared" si="20"/>
        <v>4600649163.9900007</v>
      </c>
      <c r="BE107" s="33">
        <f t="shared" si="20"/>
        <v>4216707746.73</v>
      </c>
      <c r="BF107" s="33">
        <f t="shared" si="20"/>
        <v>3900474366.1300001</v>
      </c>
      <c r="BG107" s="33">
        <f t="shared" si="20"/>
        <v>3817145295.6799998</v>
      </c>
      <c r="BH107" s="33">
        <f t="shared" si="20"/>
        <v>3727794494.04</v>
      </c>
      <c r="BI107" s="33">
        <f t="shared" si="20"/>
        <v>3470524090.9299998</v>
      </c>
      <c r="BJ107" s="33">
        <f t="shared" si="20"/>
        <v>3231516625.3400002</v>
      </c>
      <c r="BK107" s="33">
        <f t="shared" si="20"/>
        <v>3124773172.54</v>
      </c>
      <c r="BL107" s="33">
        <f t="shared" si="20"/>
        <v>3100472676.3099999</v>
      </c>
      <c r="BM107" s="33">
        <f t="shared" si="20"/>
        <v>2874733972.6900001</v>
      </c>
      <c r="BN107" s="33">
        <f t="shared" si="20"/>
        <v>2857804350.4700003</v>
      </c>
      <c r="BO107" s="33">
        <f t="shared" si="20"/>
        <v>2784052740.7799997</v>
      </c>
      <c r="BP107" s="33">
        <f t="shared" si="20"/>
        <v>2751462376.5999999</v>
      </c>
      <c r="BQ107" s="33">
        <f t="shared" si="20"/>
        <v>2537631703.8100004</v>
      </c>
      <c r="BR107" s="33">
        <f t="shared" ref="BR107:CK107" si="21">BR102+BR103</f>
        <v>561545403.24000001</v>
      </c>
      <c r="BS107" s="33">
        <f t="shared" si="21"/>
        <v>443779623.04000002</v>
      </c>
      <c r="BT107" s="33">
        <f t="shared" si="21"/>
        <v>285361855.23000002</v>
      </c>
      <c r="BU107" s="33">
        <f t="shared" si="21"/>
        <v>234091527.97999999</v>
      </c>
      <c r="BV107" s="33">
        <f t="shared" si="21"/>
        <v>0</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106206452965.48001</v>
      </c>
      <c r="C108" s="38">
        <f t="shared" ref="C108:BN108" si="22">SUM(C89+C107)</f>
        <v>96535252404.119995</v>
      </c>
      <c r="D108" s="38">
        <f t="shared" si="22"/>
        <v>105163988544.62001</v>
      </c>
      <c r="E108" s="38">
        <f>SUM(E107+E89)</f>
        <v>96043042068.75</v>
      </c>
      <c r="F108" s="38">
        <f t="shared" si="22"/>
        <v>88405586238.279999</v>
      </c>
      <c r="G108" s="38">
        <f t="shared" si="22"/>
        <v>79102621668.539993</v>
      </c>
      <c r="H108" s="38">
        <f t="shared" si="22"/>
        <v>82493493598.330002</v>
      </c>
      <c r="I108" s="38">
        <f t="shared" si="22"/>
        <v>75933024490.050003</v>
      </c>
      <c r="J108" s="38">
        <f t="shared" si="22"/>
        <v>71305103409.159988</v>
      </c>
      <c r="K108" s="38">
        <f t="shared" si="22"/>
        <v>67400066315.099998</v>
      </c>
      <c r="L108" s="38">
        <f t="shared" si="22"/>
        <v>70981687149.599991</v>
      </c>
      <c r="M108" s="38">
        <f t="shared" si="22"/>
        <v>66261579868.690002</v>
      </c>
      <c r="N108" s="38">
        <f t="shared" si="22"/>
        <v>61934673934.049995</v>
      </c>
      <c r="O108" s="38">
        <f t="shared" si="22"/>
        <v>63694906631.340004</v>
      </c>
      <c r="P108" s="38">
        <f t="shared" si="22"/>
        <v>59953882594.57</v>
      </c>
      <c r="Q108" s="38">
        <f t="shared" si="22"/>
        <v>55389468523.029999</v>
      </c>
      <c r="R108" s="38">
        <f t="shared" si="22"/>
        <v>50348802391.999992</v>
      </c>
      <c r="S108" s="38">
        <f t="shared" si="22"/>
        <v>46657861702.029999</v>
      </c>
      <c r="T108" s="38">
        <f t="shared" si="22"/>
        <v>47477880055.739998</v>
      </c>
      <c r="U108" s="38">
        <f t="shared" si="22"/>
        <v>44156476162.149994</v>
      </c>
      <c r="V108" s="38">
        <f t="shared" si="22"/>
        <v>39833881813.300003</v>
      </c>
      <c r="W108" s="38">
        <f t="shared" si="22"/>
        <v>35779107183.520004</v>
      </c>
      <c r="X108" s="38">
        <f t="shared" si="22"/>
        <v>38595633055.419998</v>
      </c>
      <c r="Y108" s="38">
        <f t="shared" si="22"/>
        <v>35454036397.25</v>
      </c>
      <c r="Z108" s="38">
        <f t="shared" si="22"/>
        <v>31991565468.779999</v>
      </c>
      <c r="AA108" s="38">
        <f t="shared" si="22"/>
        <v>28404775233.629997</v>
      </c>
      <c r="AB108" s="38">
        <f t="shared" si="22"/>
        <v>28530620402.029999</v>
      </c>
      <c r="AC108" s="38">
        <f t="shared" si="22"/>
        <v>25403379611.289997</v>
      </c>
      <c r="AD108" s="38">
        <f t="shared" si="22"/>
        <v>23083770116.279999</v>
      </c>
      <c r="AE108" s="38">
        <f t="shared" si="22"/>
        <v>21544955887.150002</v>
      </c>
      <c r="AF108" s="38">
        <f t="shared" si="22"/>
        <v>20540681024.259998</v>
      </c>
      <c r="AG108" s="38">
        <f t="shared" si="22"/>
        <v>18549389694.619999</v>
      </c>
      <c r="AH108" s="38">
        <f t="shared" si="22"/>
        <v>17721770193.439999</v>
      </c>
      <c r="AI108" s="38">
        <f t="shared" si="22"/>
        <v>16737213296.220001</v>
      </c>
      <c r="AJ108" s="38">
        <f t="shared" si="22"/>
        <v>15995948192.019999</v>
      </c>
      <c r="AK108" s="38">
        <f t="shared" si="22"/>
        <v>14651565394.209999</v>
      </c>
      <c r="AL108" s="38">
        <f t="shared" si="22"/>
        <v>14215679731.030001</v>
      </c>
      <c r="AM108" s="38">
        <f t="shared" si="22"/>
        <v>13166976369.08</v>
      </c>
      <c r="AN108" s="38">
        <f t="shared" si="22"/>
        <v>12608007479.039999</v>
      </c>
      <c r="AO108" s="38">
        <f t="shared" si="22"/>
        <v>11503418295.949999</v>
      </c>
      <c r="AP108" s="38">
        <f t="shared" si="22"/>
        <v>10807004733.84</v>
      </c>
      <c r="AQ108" s="38">
        <f t="shared" si="22"/>
        <v>9854634976.4699993</v>
      </c>
      <c r="AR108" s="38">
        <f t="shared" si="22"/>
        <v>9285941265.0299988</v>
      </c>
      <c r="AS108" s="38">
        <f t="shared" si="22"/>
        <v>8368855770.4400005</v>
      </c>
      <c r="AT108" s="38">
        <f t="shared" si="22"/>
        <v>6952899324.3299999</v>
      </c>
      <c r="AU108" s="38">
        <f t="shared" si="22"/>
        <v>6219411895.4899998</v>
      </c>
      <c r="AV108" s="38">
        <f t="shared" si="22"/>
        <v>5888376793.5900002</v>
      </c>
      <c r="AW108" s="38">
        <f t="shared" si="22"/>
        <v>5995028649.4300003</v>
      </c>
      <c r="AX108" s="38">
        <f t="shared" si="22"/>
        <v>5415044428.1099997</v>
      </c>
      <c r="AY108" s="38">
        <f t="shared" si="22"/>
        <v>5058474356.1400003</v>
      </c>
      <c r="AZ108" s="38">
        <f t="shared" si="22"/>
        <v>5588295571.7399998</v>
      </c>
      <c r="BA108" s="38">
        <f t="shared" si="22"/>
        <v>5162395081.5200005</v>
      </c>
      <c r="BB108" s="38">
        <f t="shared" si="22"/>
        <v>4765503347.0299997</v>
      </c>
      <c r="BC108" s="38">
        <f t="shared" si="22"/>
        <v>4691837330.75</v>
      </c>
      <c r="BD108" s="38">
        <f t="shared" si="22"/>
        <v>4600649163.9900007</v>
      </c>
      <c r="BE108" s="38">
        <f t="shared" si="22"/>
        <v>4217007746.73</v>
      </c>
      <c r="BF108" s="38">
        <f t="shared" si="22"/>
        <v>3900474366.1300001</v>
      </c>
      <c r="BG108" s="38">
        <f t="shared" si="22"/>
        <v>3817145295.6799998</v>
      </c>
      <c r="BH108" s="38">
        <f t="shared" si="22"/>
        <v>3727794494.04</v>
      </c>
      <c r="BI108" s="38">
        <f t="shared" si="22"/>
        <v>3470524090.9299998</v>
      </c>
      <c r="BJ108" s="38">
        <f t="shared" si="22"/>
        <v>3231516625.3400002</v>
      </c>
      <c r="BK108" s="38">
        <f t="shared" si="22"/>
        <v>3124773172.54</v>
      </c>
      <c r="BL108" s="38">
        <f t="shared" si="22"/>
        <v>3100472676.3099999</v>
      </c>
      <c r="BM108" s="38">
        <f t="shared" si="22"/>
        <v>2874733972.6900001</v>
      </c>
      <c r="BN108" s="38">
        <f t="shared" si="22"/>
        <v>2857804350.4700003</v>
      </c>
      <c r="BO108" s="38">
        <f t="shared" ref="BO108:CK108" si="23">SUM(BO89+BO107)</f>
        <v>2784052740.7799997</v>
      </c>
      <c r="BP108" s="38">
        <f t="shared" si="23"/>
        <v>2751462376.5999999</v>
      </c>
      <c r="BQ108" s="38">
        <f t="shared" si="23"/>
        <v>2537631703.8100004</v>
      </c>
      <c r="BR108" s="38">
        <f t="shared" si="23"/>
        <v>670545403.24000001</v>
      </c>
      <c r="BS108" s="38">
        <f t="shared" si="23"/>
        <v>572779623.03999996</v>
      </c>
      <c r="BT108" s="38">
        <f t="shared" si="23"/>
        <v>459821855.23000002</v>
      </c>
      <c r="BU108" s="38">
        <f t="shared" si="23"/>
        <v>441451527.98000002</v>
      </c>
      <c r="BV108" s="38">
        <f t="shared" si="23"/>
        <v>0</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G55" sqref="AG55"/>
    </sheetView>
  </sheetViews>
  <sheetFormatPr defaultRowHeight="14.4" x14ac:dyDescent="0.25"/>
  <cols>
    <col min="1" max="1" width="57.21875" style="17" bestFit="1" customWidth="1"/>
    <col min="2" max="4" width="22.6640625" hidden="1" customWidth="1"/>
    <col min="5" max="5" width="22.6640625" bestFit="1" customWidth="1"/>
    <col min="6" max="7" width="22.6640625" hidden="1" customWidth="1"/>
    <col min="8" max="8" width="21.44140625" hidden="1" customWidth="1"/>
    <col min="9" max="9" width="22.6640625" bestFit="1" customWidth="1"/>
    <col min="10" max="11" width="22.6640625" hidden="1" customWidth="1"/>
    <col min="12" max="12" width="21.44140625" hidden="1" customWidth="1"/>
    <col min="13" max="13" width="22.6640625" bestFit="1" customWidth="1"/>
    <col min="14" max="15" width="22.6640625" hidden="1" customWidth="1"/>
    <col min="16" max="16" width="21.44140625" hidden="1" customWidth="1"/>
    <col min="17" max="17" width="22.6640625" bestFit="1" customWidth="1"/>
    <col min="18" max="18" width="22.6640625" hidden="1" customWidth="1"/>
    <col min="19" max="20" width="21.44140625" hidden="1" customWidth="1"/>
    <col min="21" max="21" width="22.6640625" bestFit="1" customWidth="1"/>
    <col min="22" max="23" width="22.6640625" hidden="1" customWidth="1"/>
    <col min="24" max="24" width="21.44140625" hidden="1" customWidth="1"/>
    <col min="25" max="25" width="22.6640625" bestFit="1" customWidth="1"/>
    <col min="26" max="26" width="22.6640625" hidden="1" customWidth="1"/>
    <col min="27" max="28" width="21.44140625" hidden="1" customWidth="1"/>
    <col min="29" max="29" width="22.66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7" width="21.44140625" hidden="1" customWidth="1"/>
    <col min="48" max="48" width="19.33203125" hidden="1" customWidth="1"/>
    <col min="49" max="49" width="21.44140625" bestFit="1" customWidth="1"/>
    <col min="50" max="50" width="21.44140625" hidden="1" customWidth="1"/>
    <col min="51" max="52" width="19.33203125" hidden="1" customWidth="1"/>
    <col min="53" max="53" width="21.44140625" bestFit="1" customWidth="1"/>
    <col min="54" max="54" width="21.44140625" hidden="1" customWidth="1"/>
    <col min="55" max="55" width="19.33203125" hidden="1" customWidth="1"/>
    <col min="56" max="56" width="19" hidden="1" customWidth="1"/>
    <col min="57" max="57" width="21.44140625" bestFit="1" customWidth="1"/>
    <col min="58" max="59" width="19.33203125" hidden="1" customWidth="1"/>
    <col min="60" max="60" width="19" hidden="1" customWidth="1"/>
    <col min="61" max="61" width="19.33203125" bestFit="1" customWidth="1"/>
    <col min="62" max="62" width="19.33203125" hidden="1" customWidth="1"/>
    <col min="63" max="64" width="19" hidden="1" customWidth="1"/>
    <col min="65" max="65" width="19.33203125" bestFit="1" customWidth="1"/>
    <col min="66" max="66" width="19.33203125" hidden="1" customWidth="1"/>
    <col min="67" max="68" width="19" hidden="1" customWidth="1"/>
    <col min="69" max="69" width="19.33203125" bestFit="1" customWidth="1"/>
    <col min="70" max="70" width="19" hidden="1" customWidth="1"/>
    <col min="71" max="73" width="19" bestFit="1" customWidth="1"/>
    <col min="74" max="74" width="9.5546875" hidden="1" customWidth="1"/>
    <col min="75"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8">
        <v>52241669986.010002</v>
      </c>
      <c r="C4" s="188">
        <v>33396709893.110001</v>
      </c>
      <c r="D4" s="188">
        <v>17466166384.959999</v>
      </c>
      <c r="E4" s="188">
        <v>58217861314.169998</v>
      </c>
      <c r="F4" s="188">
        <v>42450467500.010002</v>
      </c>
      <c r="G4" s="188">
        <v>24190030218.959999</v>
      </c>
      <c r="H4" s="188">
        <v>13308639084.870001</v>
      </c>
      <c r="I4" s="188">
        <v>38862189993.839996</v>
      </c>
      <c r="J4" s="188">
        <v>26631884032.43</v>
      </c>
      <c r="K4" s="188">
        <v>18173234673.439999</v>
      </c>
      <c r="L4" s="188">
        <v>9988753730.9699993</v>
      </c>
      <c r="M4" s="188">
        <v>32659583725.279999</v>
      </c>
      <c r="N4" s="188">
        <v>23148688960.889999</v>
      </c>
      <c r="O4" s="188">
        <v>15778647465.950001</v>
      </c>
      <c r="P4" s="188">
        <v>8544273436</v>
      </c>
      <c r="Q4" s="188">
        <v>31573928530.939999</v>
      </c>
      <c r="R4" s="188">
        <v>21718189167.610001</v>
      </c>
      <c r="S4" s="188">
        <v>14321628403.09</v>
      </c>
      <c r="T4" s="188">
        <v>7449825750.6400003</v>
      </c>
      <c r="U4" s="188">
        <v>30921801316.599998</v>
      </c>
      <c r="V4" s="188">
        <v>21935713045.240002</v>
      </c>
      <c r="W4" s="188">
        <v>14127867191.110001</v>
      </c>
      <c r="X4" s="188">
        <v>7165785851.6099997</v>
      </c>
      <c r="Y4" s="188">
        <v>26455335152.990002</v>
      </c>
      <c r="Z4" s="188">
        <v>19931438600.48</v>
      </c>
      <c r="AA4" s="188">
        <v>13264437836.41</v>
      </c>
      <c r="AB4" s="188">
        <v>6015967741.6199999</v>
      </c>
      <c r="AC4" s="188">
        <v>18402355207.299999</v>
      </c>
      <c r="AD4" s="188">
        <v>13642075480.07</v>
      </c>
      <c r="AE4" s="188">
        <v>9825823427.0799999</v>
      </c>
      <c r="AF4" s="188">
        <v>4220589097.9400001</v>
      </c>
      <c r="AG4" s="188">
        <v>11633283740.18</v>
      </c>
      <c r="AH4" s="188">
        <v>9327577784.1200008</v>
      </c>
      <c r="AI4" s="188">
        <v>6587266362.7799997</v>
      </c>
      <c r="AJ4" s="188">
        <v>3039906100.4099998</v>
      </c>
      <c r="AK4" s="188">
        <v>9669999065.3899994</v>
      </c>
      <c r="AL4" s="188">
        <v>7807202385.7799997</v>
      </c>
      <c r="AM4" s="188">
        <v>5546006031.29</v>
      </c>
      <c r="AN4" s="188">
        <v>2512537167.1999998</v>
      </c>
      <c r="AO4" s="188">
        <v>8241685564.1099997</v>
      </c>
      <c r="AP4" s="188">
        <v>6486517281.0100002</v>
      </c>
      <c r="AQ4" s="188">
        <v>4619717309.6000004</v>
      </c>
      <c r="AR4" s="188">
        <v>1993496395.46</v>
      </c>
      <c r="AS4" s="188">
        <v>7237430747.1199999</v>
      </c>
      <c r="AT4" s="188">
        <v>4458382249.2600002</v>
      </c>
      <c r="AU4" s="188">
        <v>2629088876.4200001</v>
      </c>
      <c r="AV4" s="188">
        <v>1587538095.6800001</v>
      </c>
      <c r="AW4" s="188">
        <v>4896186901.21</v>
      </c>
      <c r="AX4" s="188">
        <v>3249453246.71</v>
      </c>
      <c r="AY4" s="188">
        <v>2029461983.6600001</v>
      </c>
      <c r="AZ4" s="188">
        <v>1354498050.1700001</v>
      </c>
      <c r="BA4" s="188">
        <v>3930515237.6100001</v>
      </c>
      <c r="BB4" s="188">
        <v>2580318873.25</v>
      </c>
      <c r="BC4" s="188">
        <v>1686144341.9100001</v>
      </c>
      <c r="BD4" s="188">
        <v>1144017320.6199999</v>
      </c>
      <c r="BE4" s="188">
        <v>3009793519.9200001</v>
      </c>
      <c r="BF4" s="188">
        <v>2070438172.6500001</v>
      </c>
      <c r="BG4" s="188">
        <v>1314109209.0599999</v>
      </c>
      <c r="BH4" s="188">
        <v>853431905.86000001</v>
      </c>
      <c r="BI4" s="188">
        <v>2401017934.9299998</v>
      </c>
      <c r="BJ4" s="188">
        <v>1552744360.0999999</v>
      </c>
      <c r="BK4" s="188">
        <v>1009047565.48</v>
      </c>
      <c r="BL4" s="188">
        <v>733889255.88999999</v>
      </c>
      <c r="BM4" s="188">
        <v>1834898294.9000001</v>
      </c>
      <c r="BN4" s="188">
        <v>1363886224.3199999</v>
      </c>
      <c r="BO4" s="188">
        <v>955654212.62</v>
      </c>
      <c r="BP4" s="188">
        <v>718014858.52999997</v>
      </c>
      <c r="BQ4" s="188">
        <v>1618046660.3099999</v>
      </c>
      <c r="BR4" s="188">
        <v>873863478.94000006</v>
      </c>
      <c r="BS4" s="188">
        <v>1114000813.26</v>
      </c>
      <c r="BT4" s="188">
        <v>890858185.63999999</v>
      </c>
      <c r="BU4" s="188">
        <v>628184433.19000006</v>
      </c>
      <c r="BV4" s="188">
        <v>0</v>
      </c>
      <c r="BW4" s="188"/>
      <c r="BX4" s="188"/>
      <c r="BY4" s="188"/>
      <c r="BZ4" s="188"/>
      <c r="CA4" s="188"/>
      <c r="CB4" s="188"/>
      <c r="CC4" s="188"/>
      <c r="CD4" s="188"/>
      <c r="CE4" s="188"/>
      <c r="CF4" s="188"/>
      <c r="CG4" s="188"/>
      <c r="CH4" s="188"/>
      <c r="CI4" s="188"/>
      <c r="CJ4" s="188"/>
      <c r="CK4" s="188"/>
    </row>
    <row r="5" spans="1:89" x14ac:dyDescent="0.25">
      <c r="A5" s="19" t="s">
        <v>385</v>
      </c>
      <c r="B5" s="188">
        <v>4637055449.21</v>
      </c>
      <c r="C5" s="188">
        <v>3025025121.3800001</v>
      </c>
      <c r="D5" s="188">
        <v>1518592897.51</v>
      </c>
      <c r="E5" s="188">
        <v>5940436371.9700003</v>
      </c>
      <c r="F5" s="188">
        <v>4273438303.5</v>
      </c>
      <c r="G5" s="188">
        <v>2511228414.9099998</v>
      </c>
      <c r="H5" s="188">
        <v>1176997676.0699999</v>
      </c>
      <c r="I5" s="188">
        <v>3410104085.9699998</v>
      </c>
      <c r="J5" s="188">
        <v>2225398682.8200002</v>
      </c>
      <c r="K5" s="188">
        <v>1475407709.24</v>
      </c>
      <c r="L5" s="188">
        <v>765002011.76999998</v>
      </c>
      <c r="M5" s="188">
        <v>2538337449.0599999</v>
      </c>
      <c r="N5" s="188">
        <v>1747047687.23</v>
      </c>
      <c r="O5" s="188">
        <v>1165878006.3299999</v>
      </c>
      <c r="P5" s="188">
        <v>579796944.51999998</v>
      </c>
      <c r="Q5" s="188">
        <v>2338550532.3299999</v>
      </c>
      <c r="R5" s="188">
        <v>1593307325.6800001</v>
      </c>
      <c r="S5" s="188">
        <v>987543281.35000002</v>
      </c>
      <c r="T5" s="188">
        <v>506935182.39999998</v>
      </c>
      <c r="U5" s="188">
        <v>2193920307.9899998</v>
      </c>
      <c r="V5" s="188">
        <v>1440864963.8099999</v>
      </c>
      <c r="W5" s="188">
        <v>932566677.01999998</v>
      </c>
      <c r="X5" s="188">
        <v>481121235.63999999</v>
      </c>
      <c r="Y5" s="188">
        <v>2044306468.76</v>
      </c>
      <c r="Z5" s="188">
        <v>1628876041.8800001</v>
      </c>
      <c r="AA5" s="188">
        <v>1059645343.97</v>
      </c>
      <c r="AB5" s="188">
        <v>482055429.18000001</v>
      </c>
      <c r="AC5" s="188">
        <v>1551233976.0599999</v>
      </c>
      <c r="AD5" s="188">
        <v>1155847115.6800001</v>
      </c>
      <c r="AE5" s="188">
        <v>845072449.14999998</v>
      </c>
      <c r="AF5" s="188">
        <v>392063100.98000002</v>
      </c>
      <c r="AG5" s="188">
        <v>1052931591.61</v>
      </c>
      <c r="AH5" s="188">
        <v>821295137.52999997</v>
      </c>
      <c r="AI5" s="188">
        <v>569190230.52999997</v>
      </c>
      <c r="AJ5" s="188">
        <v>295386812.48000002</v>
      </c>
      <c r="AK5" s="188">
        <v>950672855.26999998</v>
      </c>
      <c r="AL5" s="188">
        <v>743207551.34000003</v>
      </c>
      <c r="AM5" s="188">
        <v>531620176.31999999</v>
      </c>
      <c r="AN5" s="188">
        <v>251448334.91999999</v>
      </c>
      <c r="AO5" s="188">
        <v>799713319.24000001</v>
      </c>
      <c r="AP5" s="188">
        <v>614940094.35000002</v>
      </c>
      <c r="AQ5" s="188">
        <v>442054720.19</v>
      </c>
      <c r="AR5" s="188">
        <v>200810712.08000001</v>
      </c>
      <c r="AS5" s="188">
        <v>871643568.33000004</v>
      </c>
      <c r="AT5" s="188">
        <v>662636478.87</v>
      </c>
      <c r="AU5" s="188">
        <v>389216762.31</v>
      </c>
      <c r="AV5" s="188">
        <v>237704974.13</v>
      </c>
      <c r="AW5" s="188">
        <v>791179840.49000001</v>
      </c>
      <c r="AX5" s="188">
        <v>536197408.26999998</v>
      </c>
      <c r="AY5" s="188">
        <v>342467207.13999999</v>
      </c>
      <c r="AZ5" s="188">
        <v>227552584.91999999</v>
      </c>
      <c r="BA5" s="188">
        <v>687106816.67999995</v>
      </c>
      <c r="BB5" s="188">
        <v>450496529.88</v>
      </c>
      <c r="BC5" s="188">
        <v>294128874.10000002</v>
      </c>
      <c r="BD5" s="188">
        <v>196715027.49000001</v>
      </c>
      <c r="BE5" s="188">
        <v>535056248.94999999</v>
      </c>
      <c r="BF5" s="188">
        <v>367934435.61000001</v>
      </c>
      <c r="BG5" s="188">
        <v>229941422.72</v>
      </c>
      <c r="BH5" s="188">
        <v>151243768.25</v>
      </c>
      <c r="BI5" s="188">
        <v>477388129.86000001</v>
      </c>
      <c r="BJ5" s="188">
        <v>302733307.68000001</v>
      </c>
      <c r="BK5" s="188">
        <v>196938828.78999999</v>
      </c>
      <c r="BL5" s="188">
        <v>136080903.15000001</v>
      </c>
      <c r="BM5" s="188">
        <v>340556444.79000002</v>
      </c>
      <c r="BN5" s="188">
        <v>230795750.63</v>
      </c>
      <c r="BO5" s="188">
        <v>158368542.33000001</v>
      </c>
      <c r="BP5" s="188">
        <v>115551849.97</v>
      </c>
      <c r="BQ5" s="188">
        <v>287538468.11000001</v>
      </c>
      <c r="BR5" s="188">
        <v>146483164.84999999</v>
      </c>
      <c r="BS5" s="188">
        <v>196863443.99000001</v>
      </c>
      <c r="BT5" s="188">
        <v>129133236.27</v>
      </c>
      <c r="BU5" s="188">
        <v>76725369.980000004</v>
      </c>
      <c r="BV5" s="188">
        <v>0</v>
      </c>
      <c r="BW5" s="188"/>
      <c r="BX5" s="188"/>
      <c r="BY5" s="188"/>
      <c r="BZ5" s="188"/>
      <c r="CA5" s="188"/>
      <c r="CB5" s="188"/>
      <c r="CC5" s="188"/>
      <c r="CD5" s="188"/>
      <c r="CE5" s="188"/>
      <c r="CF5" s="188"/>
      <c r="CG5" s="188"/>
      <c r="CH5" s="188"/>
      <c r="CI5" s="188"/>
      <c r="CJ5" s="188"/>
      <c r="CK5" s="188"/>
    </row>
    <row r="6" spans="1:89" s="3" customFormat="1" x14ac:dyDescent="0.25">
      <c r="A6" s="20" t="s">
        <v>386</v>
      </c>
      <c r="B6" s="27">
        <f>B4-B5</f>
        <v>47604614536.800003</v>
      </c>
      <c r="C6" s="27">
        <f t="shared" ref="C6:BN6" si="0">C4-C5</f>
        <v>30371684771.73</v>
      </c>
      <c r="D6" s="27">
        <f t="shared" si="0"/>
        <v>15947573487.449999</v>
      </c>
      <c r="E6" s="27">
        <f t="shared" si="0"/>
        <v>52277424942.199997</v>
      </c>
      <c r="F6" s="27">
        <f t="shared" si="0"/>
        <v>38177029196.510002</v>
      </c>
      <c r="G6" s="27">
        <f t="shared" si="0"/>
        <v>21678801804.049999</v>
      </c>
      <c r="H6" s="27">
        <f t="shared" si="0"/>
        <v>12131641408.800001</v>
      </c>
      <c r="I6" s="27">
        <f t="shared" si="0"/>
        <v>35452085907.869995</v>
      </c>
      <c r="J6" s="27">
        <f t="shared" si="0"/>
        <v>24406485349.610001</v>
      </c>
      <c r="K6" s="27">
        <f t="shared" si="0"/>
        <v>16697826964.199999</v>
      </c>
      <c r="L6" s="27">
        <f t="shared" si="0"/>
        <v>9223751719.1999989</v>
      </c>
      <c r="M6" s="27">
        <f t="shared" si="0"/>
        <v>30121246276.219997</v>
      </c>
      <c r="N6" s="27">
        <f t="shared" si="0"/>
        <v>21401641273.66</v>
      </c>
      <c r="O6" s="27">
        <f t="shared" si="0"/>
        <v>14612769459.620001</v>
      </c>
      <c r="P6" s="27">
        <f t="shared" si="0"/>
        <v>7964476491.4799995</v>
      </c>
      <c r="Q6" s="27">
        <f t="shared" si="0"/>
        <v>29235377998.610001</v>
      </c>
      <c r="R6" s="27">
        <f t="shared" si="0"/>
        <v>20124881841.93</v>
      </c>
      <c r="S6" s="27">
        <f t="shared" si="0"/>
        <v>13334085121.74</v>
      </c>
      <c r="T6" s="27">
        <f t="shared" si="0"/>
        <v>6942890568.2400007</v>
      </c>
      <c r="U6" s="27">
        <f t="shared" si="0"/>
        <v>28727881008.610001</v>
      </c>
      <c r="V6" s="27">
        <f t="shared" si="0"/>
        <v>20494848081.43</v>
      </c>
      <c r="W6" s="27">
        <f t="shared" si="0"/>
        <v>13195300514.09</v>
      </c>
      <c r="X6" s="27">
        <f t="shared" si="0"/>
        <v>6684664615.9699993</v>
      </c>
      <c r="Y6" s="27">
        <f t="shared" si="0"/>
        <v>24411028684.230003</v>
      </c>
      <c r="Z6" s="27">
        <f t="shared" si="0"/>
        <v>18302562558.599998</v>
      </c>
      <c r="AA6" s="27">
        <f t="shared" si="0"/>
        <v>12204792492.440001</v>
      </c>
      <c r="AB6" s="27">
        <f t="shared" si="0"/>
        <v>5533912312.4399996</v>
      </c>
      <c r="AC6" s="27">
        <f t="shared" si="0"/>
        <v>16851121231.24</v>
      </c>
      <c r="AD6" s="27">
        <f t="shared" si="0"/>
        <v>12486228364.389999</v>
      </c>
      <c r="AE6" s="27">
        <f t="shared" si="0"/>
        <v>8980750977.9300003</v>
      </c>
      <c r="AF6" s="27">
        <f t="shared" si="0"/>
        <v>3828525996.96</v>
      </c>
      <c r="AG6" s="27">
        <f t="shared" si="0"/>
        <v>10580352148.57</v>
      </c>
      <c r="AH6" s="27">
        <f t="shared" si="0"/>
        <v>8506282646.5900011</v>
      </c>
      <c r="AI6" s="27">
        <f t="shared" si="0"/>
        <v>6018076132.25</v>
      </c>
      <c r="AJ6" s="27">
        <f t="shared" si="0"/>
        <v>2744519287.9299998</v>
      </c>
      <c r="AK6" s="27">
        <f t="shared" si="0"/>
        <v>8719326210.1199989</v>
      </c>
      <c r="AL6" s="27">
        <f t="shared" si="0"/>
        <v>7063994834.4399996</v>
      </c>
      <c r="AM6" s="27">
        <f t="shared" si="0"/>
        <v>5014385854.9700003</v>
      </c>
      <c r="AN6" s="27">
        <f t="shared" si="0"/>
        <v>2261088832.2799997</v>
      </c>
      <c r="AO6" s="27">
        <f t="shared" si="0"/>
        <v>7441972244.8699999</v>
      </c>
      <c r="AP6" s="27">
        <f t="shared" si="0"/>
        <v>5871577186.6599998</v>
      </c>
      <c r="AQ6" s="27">
        <f t="shared" si="0"/>
        <v>4177662589.4100003</v>
      </c>
      <c r="AR6" s="27">
        <f t="shared" si="0"/>
        <v>1792685683.3800001</v>
      </c>
      <c r="AS6" s="27">
        <f t="shared" si="0"/>
        <v>6365787178.79</v>
      </c>
      <c r="AT6" s="27">
        <f t="shared" si="0"/>
        <v>3795745770.3900003</v>
      </c>
      <c r="AU6" s="27">
        <f t="shared" si="0"/>
        <v>2239872114.1100001</v>
      </c>
      <c r="AV6" s="27">
        <f t="shared" si="0"/>
        <v>1349833121.5500002</v>
      </c>
      <c r="AW6" s="27">
        <f t="shared" si="0"/>
        <v>4105007060.7200003</v>
      </c>
      <c r="AX6" s="27">
        <f t="shared" si="0"/>
        <v>2713255838.4400001</v>
      </c>
      <c r="AY6" s="27">
        <f t="shared" si="0"/>
        <v>1686994776.52</v>
      </c>
      <c r="AZ6" s="27">
        <f t="shared" si="0"/>
        <v>1126945465.25</v>
      </c>
      <c r="BA6" s="27">
        <f t="shared" si="0"/>
        <v>3243408420.9300003</v>
      </c>
      <c r="BB6" s="27">
        <f t="shared" si="0"/>
        <v>2129822343.3699999</v>
      </c>
      <c r="BC6" s="27">
        <f t="shared" si="0"/>
        <v>1392015467.8099999</v>
      </c>
      <c r="BD6" s="27">
        <f t="shared" si="0"/>
        <v>947302293.12999988</v>
      </c>
      <c r="BE6" s="27">
        <f t="shared" si="0"/>
        <v>2474737270.9700003</v>
      </c>
      <c r="BF6" s="27">
        <f t="shared" si="0"/>
        <v>1702503737.04</v>
      </c>
      <c r="BG6" s="27">
        <f t="shared" si="0"/>
        <v>1084167786.3399999</v>
      </c>
      <c r="BH6" s="27">
        <f t="shared" si="0"/>
        <v>702188137.61000001</v>
      </c>
      <c r="BI6" s="27">
        <f t="shared" si="0"/>
        <v>1923629805.0699997</v>
      </c>
      <c r="BJ6" s="27">
        <f t="shared" si="0"/>
        <v>1250011052.4199998</v>
      </c>
      <c r="BK6" s="27">
        <f t="shared" si="0"/>
        <v>812108736.69000006</v>
      </c>
      <c r="BL6" s="27">
        <f t="shared" si="0"/>
        <v>597808352.74000001</v>
      </c>
      <c r="BM6" s="27">
        <f t="shared" si="0"/>
        <v>1494341850.1100001</v>
      </c>
      <c r="BN6" s="27">
        <f t="shared" si="0"/>
        <v>1133090473.6900001</v>
      </c>
      <c r="BO6" s="27">
        <f t="shared" ref="BO6:CK6" si="1">BO4-BO5</f>
        <v>797285670.28999996</v>
      </c>
      <c r="BP6" s="27">
        <f t="shared" si="1"/>
        <v>602463008.55999994</v>
      </c>
      <c r="BQ6" s="27">
        <f t="shared" si="1"/>
        <v>1330508192.1999998</v>
      </c>
      <c r="BR6" s="27">
        <f t="shared" si="1"/>
        <v>727380314.09000003</v>
      </c>
      <c r="BS6" s="27">
        <f t="shared" si="1"/>
        <v>917137369.26999998</v>
      </c>
      <c r="BT6" s="27">
        <f t="shared" si="1"/>
        <v>761724949.37</v>
      </c>
      <c r="BU6" s="27">
        <f t="shared" si="1"/>
        <v>551459063.21000004</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91.123837636791137</v>
      </c>
      <c r="C7" s="57">
        <f t="shared" ref="C7:D7" si="2">C6/C4*100</f>
        <v>90.94214630404629</v>
      </c>
      <c r="D7" s="57">
        <f t="shared" si="2"/>
        <v>91.30551682584651</v>
      </c>
      <c r="E7" s="57">
        <f>E6/E4</f>
        <v>0.89796196153766783</v>
      </c>
      <c r="F7" s="57">
        <f t="shared" ref="F7:BQ7" si="3">F6/F4</f>
        <v>0.8993311839616609</v>
      </c>
      <c r="G7" s="57">
        <f t="shared" si="3"/>
        <v>0.89618746267866523</v>
      </c>
      <c r="H7" s="57">
        <f t="shared" si="3"/>
        <v>0.9115613799003629</v>
      </c>
      <c r="I7" s="57">
        <f t="shared" si="3"/>
        <v>0.91225136600612233</v>
      </c>
      <c r="J7" s="57">
        <f t="shared" si="3"/>
        <v>0.91643855612655489</v>
      </c>
      <c r="K7" s="57">
        <f t="shared" si="3"/>
        <v>0.91881424877012707</v>
      </c>
      <c r="L7" s="57">
        <f t="shared" si="3"/>
        <v>0.92341366777337575</v>
      </c>
      <c r="M7" s="57">
        <f t="shared" si="3"/>
        <v>0.92227894052748705</v>
      </c>
      <c r="N7" s="57">
        <f t="shared" si="3"/>
        <v>0.9245293031418903</v>
      </c>
      <c r="O7" s="57">
        <f t="shared" si="3"/>
        <v>0.92611039641731396</v>
      </c>
      <c r="P7" s="57">
        <f t="shared" si="3"/>
        <v>0.93214204240267939</v>
      </c>
      <c r="Q7" s="57">
        <f t="shared" si="3"/>
        <v>0.9259341285314433</v>
      </c>
      <c r="R7" s="57">
        <f t="shared" si="3"/>
        <v>0.92663719275195278</v>
      </c>
      <c r="S7" s="57">
        <f t="shared" si="3"/>
        <v>0.93104532155457054</v>
      </c>
      <c r="T7" s="57">
        <f t="shared" si="3"/>
        <v>0.93195341752034266</v>
      </c>
      <c r="U7" s="57">
        <f t="shared" si="3"/>
        <v>0.92904940156858784</v>
      </c>
      <c r="V7" s="57">
        <f t="shared" si="3"/>
        <v>0.93431419526511972</v>
      </c>
      <c r="W7" s="57">
        <f t="shared" si="3"/>
        <v>0.93399097935979891</v>
      </c>
      <c r="X7" s="57">
        <f t="shared" si="3"/>
        <v>0.93285855234818349</v>
      </c>
      <c r="Y7" s="57">
        <f t="shared" si="3"/>
        <v>0.92272611717304409</v>
      </c>
      <c r="Z7" s="57">
        <f t="shared" si="3"/>
        <v>0.91827604246084005</v>
      </c>
      <c r="AA7" s="57">
        <f t="shared" si="3"/>
        <v>0.92011381431775852</v>
      </c>
      <c r="AB7" s="57">
        <f t="shared" si="3"/>
        <v>0.91987067586067361</v>
      </c>
      <c r="AC7" s="57">
        <f t="shared" si="3"/>
        <v>0.91570459549413308</v>
      </c>
      <c r="AD7" s="57">
        <f t="shared" si="3"/>
        <v>0.91527336750418942</v>
      </c>
      <c r="AE7" s="57">
        <f t="shared" si="3"/>
        <v>0.91399474502859701</v>
      </c>
      <c r="AF7" s="57">
        <f t="shared" si="3"/>
        <v>0.90710701945106209</v>
      </c>
      <c r="AG7" s="57">
        <f t="shared" si="3"/>
        <v>0.90948973521781318</v>
      </c>
      <c r="AH7" s="57">
        <f t="shared" si="3"/>
        <v>0.9119497948408174</v>
      </c>
      <c r="AI7" s="57">
        <f t="shared" si="3"/>
        <v>0.91359234632652897</v>
      </c>
      <c r="AJ7" s="57">
        <f t="shared" si="3"/>
        <v>0.90283028398799536</v>
      </c>
      <c r="AK7" s="57">
        <f t="shared" si="3"/>
        <v>0.90168842325201826</v>
      </c>
      <c r="AL7" s="57">
        <f t="shared" si="3"/>
        <v>0.90480488213118759</v>
      </c>
      <c r="AM7" s="57">
        <f t="shared" si="3"/>
        <v>0.90414359931802224</v>
      </c>
      <c r="AN7" s="57">
        <f t="shared" si="3"/>
        <v>0.89992254116574244</v>
      </c>
      <c r="AO7" s="57">
        <f t="shared" si="3"/>
        <v>0.90296726160938423</v>
      </c>
      <c r="AP7" s="57">
        <f t="shared" si="3"/>
        <v>0.90519718552969775</v>
      </c>
      <c r="AQ7" s="57">
        <f t="shared" si="3"/>
        <v>0.90431130509406099</v>
      </c>
      <c r="AR7" s="57">
        <f t="shared" si="3"/>
        <v>0.89926708042345727</v>
      </c>
      <c r="AS7" s="57">
        <f t="shared" si="3"/>
        <v>0.87956450309706191</v>
      </c>
      <c r="AT7" s="57">
        <f t="shared" si="3"/>
        <v>0.85137288778233766</v>
      </c>
      <c r="AU7" s="57">
        <f t="shared" si="3"/>
        <v>0.85195754856336703</v>
      </c>
      <c r="AV7" s="57">
        <f t="shared" si="3"/>
        <v>0.85026817638150454</v>
      </c>
      <c r="AW7" s="57">
        <f t="shared" si="3"/>
        <v>0.83840897897617539</v>
      </c>
      <c r="AX7" s="57">
        <f t="shared" si="3"/>
        <v>0.83498842187900746</v>
      </c>
      <c r="AY7" s="57">
        <f t="shared" si="3"/>
        <v>0.83125221861885623</v>
      </c>
      <c r="AZ7" s="57">
        <f t="shared" si="3"/>
        <v>0.83200227944850824</v>
      </c>
      <c r="BA7" s="57">
        <f t="shared" si="3"/>
        <v>0.82518657856729138</v>
      </c>
      <c r="BB7" s="57">
        <f t="shared" si="3"/>
        <v>0.82541052016854632</v>
      </c>
      <c r="BC7" s="57">
        <f t="shared" si="3"/>
        <v>0.82556127207542496</v>
      </c>
      <c r="BD7" s="57">
        <f t="shared" si="3"/>
        <v>0.82804890805028164</v>
      </c>
      <c r="BE7" s="57">
        <f t="shared" si="3"/>
        <v>0.82222825406168676</v>
      </c>
      <c r="BF7" s="57">
        <f t="shared" si="3"/>
        <v>0.822291512748206</v>
      </c>
      <c r="BG7" s="57">
        <f t="shared" si="3"/>
        <v>0.82502107044476136</v>
      </c>
      <c r="BH7" s="57">
        <f t="shared" si="3"/>
        <v>0.82278168039945465</v>
      </c>
      <c r="BI7" s="57">
        <f t="shared" si="3"/>
        <v>0.80117260978564153</v>
      </c>
      <c r="BJ7" s="57">
        <f t="shared" si="3"/>
        <v>0.80503338768494803</v>
      </c>
      <c r="BK7" s="57">
        <f t="shared" si="3"/>
        <v>0.80482701160245407</v>
      </c>
      <c r="BL7" s="57">
        <f t="shared" si="3"/>
        <v>0.81457569782109385</v>
      </c>
      <c r="BM7" s="57">
        <f t="shared" si="3"/>
        <v>0.81440036990793552</v>
      </c>
      <c r="BN7" s="57">
        <f t="shared" si="3"/>
        <v>0.83078078910499376</v>
      </c>
      <c r="BO7" s="57">
        <f t="shared" si="3"/>
        <v>0.83428258857791204</v>
      </c>
      <c r="BP7" s="57">
        <f t="shared" si="3"/>
        <v>0.8390676061961021</v>
      </c>
      <c r="BQ7" s="57">
        <f t="shared" si="3"/>
        <v>0.82229284534049785</v>
      </c>
      <c r="BR7" s="57">
        <f t="shared" ref="BR7:CK7" si="4">BR6/BR4</f>
        <v>0.83237294110553206</v>
      </c>
      <c r="BS7" s="57">
        <f t="shared" si="4"/>
        <v>0.82328249526685626</v>
      </c>
      <c r="BT7" s="57">
        <f t="shared" si="4"/>
        <v>0.85504624826764142</v>
      </c>
      <c r="BU7" s="57">
        <f t="shared" si="4"/>
        <v>0.87786171397088131</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8">
        <v>7855685465.0699997</v>
      </c>
      <c r="C8" s="188">
        <v>4639999858.6700001</v>
      </c>
      <c r="D8" s="188">
        <v>2525570612.4699998</v>
      </c>
      <c r="E8" s="188">
        <v>8404214470.6899996</v>
      </c>
      <c r="F8" s="188">
        <v>6423976199.8900003</v>
      </c>
      <c r="G8" s="188">
        <v>3419416545.5</v>
      </c>
      <c r="H8" s="188">
        <v>1973301671.9300001</v>
      </c>
      <c r="I8" s="188">
        <v>6508926343.2600002</v>
      </c>
      <c r="J8" s="188">
        <v>3623883800.0500002</v>
      </c>
      <c r="K8" s="188">
        <v>2205658604.8699999</v>
      </c>
      <c r="L8" s="188">
        <v>1180622899.52</v>
      </c>
      <c r="M8" s="188">
        <v>3449170637.4000001</v>
      </c>
      <c r="N8" s="188">
        <v>2171605445.23</v>
      </c>
      <c r="O8" s="188">
        <v>1443140055.8199999</v>
      </c>
      <c r="P8" s="188">
        <v>806537815.96000004</v>
      </c>
      <c r="Q8" s="188">
        <v>2788994436.0500002</v>
      </c>
      <c r="R8" s="188">
        <v>2004308881.3199999</v>
      </c>
      <c r="S8" s="188">
        <v>1265321917.52</v>
      </c>
      <c r="T8" s="188">
        <v>704741188.09000003</v>
      </c>
      <c r="U8" s="188">
        <v>2790747889.4899998</v>
      </c>
      <c r="V8" s="188">
        <v>1972678618.54</v>
      </c>
      <c r="W8" s="188">
        <v>1099186549.1099999</v>
      </c>
      <c r="X8" s="188">
        <v>586532904</v>
      </c>
      <c r="Y8" s="188">
        <v>2572644755.4200001</v>
      </c>
      <c r="Z8" s="188">
        <v>1784696541.1800001</v>
      </c>
      <c r="AA8" s="188">
        <v>1356209475.46</v>
      </c>
      <c r="AB8" s="188">
        <v>808353307.79999995</v>
      </c>
      <c r="AC8" s="188">
        <v>2477391798.0100002</v>
      </c>
      <c r="AD8" s="188">
        <v>1931440577.01</v>
      </c>
      <c r="AE8" s="188">
        <v>1277257264.3</v>
      </c>
      <c r="AF8" s="188">
        <v>708575156.14999998</v>
      </c>
      <c r="AG8" s="188">
        <v>1577013104.9000001</v>
      </c>
      <c r="AH8" s="188">
        <v>1409893974.9300001</v>
      </c>
      <c r="AI8" s="188">
        <v>858980338.08000004</v>
      </c>
      <c r="AJ8" s="188">
        <v>540768518.44000006</v>
      </c>
      <c r="AK8" s="188">
        <v>940508549.65999997</v>
      </c>
      <c r="AL8" s="188">
        <v>676193009.49000001</v>
      </c>
      <c r="AM8" s="188">
        <v>418028504.85000002</v>
      </c>
      <c r="AN8" s="188">
        <v>234708691.38999999</v>
      </c>
      <c r="AO8" s="188">
        <v>681761604.71000004</v>
      </c>
      <c r="AP8" s="188">
        <v>533718466.75999999</v>
      </c>
      <c r="AQ8" s="188">
        <v>370471947.33999997</v>
      </c>
      <c r="AR8" s="188">
        <v>198645627.71000001</v>
      </c>
      <c r="AS8" s="188">
        <v>604078928.40999997</v>
      </c>
      <c r="AT8" s="188">
        <v>412234460.64999998</v>
      </c>
      <c r="AU8" s="188">
        <v>291887086.48000002</v>
      </c>
      <c r="AV8" s="188">
        <v>191506723.52000001</v>
      </c>
      <c r="AW8" s="188">
        <v>574699589.65999997</v>
      </c>
      <c r="AX8" s="188">
        <v>422145286.06</v>
      </c>
      <c r="AY8" s="188">
        <v>297988718.55000001</v>
      </c>
      <c r="AZ8" s="188">
        <v>178317665.44</v>
      </c>
      <c r="BA8" s="188">
        <v>530245028.45999998</v>
      </c>
      <c r="BB8" s="188">
        <v>406925341.75999999</v>
      </c>
      <c r="BC8" s="188">
        <v>265598185.91999999</v>
      </c>
      <c r="BD8" s="188">
        <v>165915935.69999999</v>
      </c>
      <c r="BE8" s="188">
        <v>324855608.17000002</v>
      </c>
      <c r="BF8" s="188">
        <v>320394935.06999999</v>
      </c>
      <c r="BG8" s="188">
        <v>198084137.61000001</v>
      </c>
      <c r="BH8" s="188">
        <v>119817149.3</v>
      </c>
      <c r="BI8" s="188">
        <v>308189009.56</v>
      </c>
      <c r="BJ8" s="188">
        <v>268206392.63</v>
      </c>
      <c r="BK8" s="188">
        <v>161846133.84999999</v>
      </c>
      <c r="BL8" s="188">
        <v>121107780.34</v>
      </c>
      <c r="BM8" s="188">
        <v>320026615.94999999</v>
      </c>
      <c r="BN8" s="188">
        <v>228116802.27000001</v>
      </c>
      <c r="BO8" s="188">
        <v>160878207.99000001</v>
      </c>
      <c r="BP8" s="188">
        <v>124848157.48</v>
      </c>
      <c r="BQ8" s="188">
        <v>317884849.44</v>
      </c>
      <c r="BR8" s="188">
        <v>161749763</v>
      </c>
      <c r="BS8" s="188">
        <v>199224062.88</v>
      </c>
      <c r="BT8" s="188">
        <v>172867651.11000001</v>
      </c>
      <c r="BU8" s="188">
        <v>119074532.43000001</v>
      </c>
      <c r="BV8" s="188">
        <v>0</v>
      </c>
      <c r="BW8" s="188"/>
      <c r="BX8" s="188"/>
      <c r="BY8" s="188"/>
      <c r="BZ8" s="188"/>
      <c r="CA8" s="188"/>
      <c r="CB8" s="188"/>
      <c r="CC8" s="188"/>
      <c r="CD8" s="188"/>
      <c r="CE8" s="188"/>
      <c r="CF8" s="188"/>
      <c r="CG8" s="188"/>
      <c r="CH8" s="188"/>
      <c r="CI8" s="188"/>
      <c r="CJ8" s="188"/>
      <c r="CK8" s="188"/>
    </row>
    <row r="9" spans="1:89" x14ac:dyDescent="0.25">
      <c r="A9" s="17" t="s">
        <v>389</v>
      </c>
      <c r="B9" s="188">
        <v>2845576568.3000002</v>
      </c>
      <c r="C9" s="188">
        <v>2199587993.3600001</v>
      </c>
      <c r="D9" s="188">
        <v>945090499.20000005</v>
      </c>
      <c r="E9" s="188">
        <v>2986068544.9899998</v>
      </c>
      <c r="F9" s="188">
        <v>1977910933.9000001</v>
      </c>
      <c r="G9" s="188">
        <v>1378870495.3199999</v>
      </c>
      <c r="H9" s="188">
        <v>852434090.09000003</v>
      </c>
      <c r="I9" s="188">
        <v>1681052022.9000001</v>
      </c>
      <c r="J9" s="188">
        <v>655110282.33000004</v>
      </c>
      <c r="K9" s="188">
        <v>387421652.44999999</v>
      </c>
      <c r="L9" s="188">
        <v>170385412.55000001</v>
      </c>
      <c r="M9" s="188">
        <v>1484961519.21</v>
      </c>
      <c r="N9" s="188">
        <v>935401479.02999997</v>
      </c>
      <c r="O9" s="188">
        <v>592014002.75</v>
      </c>
      <c r="P9" s="188">
        <v>242599825.81999999</v>
      </c>
      <c r="Q9" s="188">
        <v>1674733451.0599999</v>
      </c>
      <c r="R9" s="188">
        <v>976711335.94000006</v>
      </c>
      <c r="S9" s="188">
        <v>646806094.26999998</v>
      </c>
      <c r="T9" s="188">
        <v>329145907.60000002</v>
      </c>
      <c r="U9" s="188">
        <v>1858132722.71</v>
      </c>
      <c r="V9" s="188">
        <v>1165549963.0799999</v>
      </c>
      <c r="W9" s="188">
        <v>799796571.35000002</v>
      </c>
      <c r="X9" s="188">
        <v>284030284.32999998</v>
      </c>
      <c r="Y9" s="188">
        <v>1224553444.02</v>
      </c>
      <c r="Z9" s="188">
        <v>842051124.48000002</v>
      </c>
      <c r="AA9" s="188">
        <v>406579445.95999998</v>
      </c>
      <c r="AB9" s="188">
        <v>190131949.47</v>
      </c>
      <c r="AC9" s="188">
        <v>720327727.88999999</v>
      </c>
      <c r="AD9" s="188">
        <v>493777287.81999999</v>
      </c>
      <c r="AE9" s="188">
        <v>324597983.18000001</v>
      </c>
      <c r="AF9" s="188">
        <v>167210185.33000001</v>
      </c>
      <c r="AG9" s="188">
        <v>676531662.09000003</v>
      </c>
      <c r="AH9" s="188">
        <v>482572956.68000001</v>
      </c>
      <c r="AI9" s="188">
        <v>314756689.20999998</v>
      </c>
      <c r="AJ9" s="188">
        <v>144719684.59</v>
      </c>
      <c r="AK9" s="188">
        <v>621284334.75</v>
      </c>
      <c r="AL9" s="188">
        <v>439653539.35000002</v>
      </c>
      <c r="AM9" s="188">
        <v>315584024.69999999</v>
      </c>
      <c r="AN9" s="188">
        <v>180649086.71000001</v>
      </c>
      <c r="AO9" s="188">
        <v>532024659.80000001</v>
      </c>
      <c r="AP9" s="188">
        <v>455051645.88999999</v>
      </c>
      <c r="AQ9" s="188">
        <v>341612858.30000001</v>
      </c>
      <c r="AR9" s="188">
        <v>243703730.18000001</v>
      </c>
      <c r="AS9" s="188">
        <v>560385186.98000002</v>
      </c>
      <c r="AT9" s="188">
        <v>439695589.05000001</v>
      </c>
      <c r="AU9" s="188">
        <v>343733134.56999999</v>
      </c>
      <c r="AV9" s="188">
        <v>212477800.28999999</v>
      </c>
      <c r="AW9" s="188">
        <v>579353831.58000004</v>
      </c>
      <c r="AX9" s="188">
        <v>483225031.23000002</v>
      </c>
      <c r="AY9" s="188">
        <v>269828737.06999999</v>
      </c>
      <c r="AZ9" s="188">
        <v>197589630.34999999</v>
      </c>
      <c r="BA9" s="188">
        <v>475939394.32999998</v>
      </c>
      <c r="BB9" s="188">
        <v>371220561.92000002</v>
      </c>
      <c r="BC9" s="188">
        <v>236478908.59</v>
      </c>
      <c r="BD9" s="188">
        <v>153658444.72</v>
      </c>
      <c r="BE9" s="188">
        <v>376522300.75</v>
      </c>
      <c r="BF9" s="188">
        <v>338181343.52999997</v>
      </c>
      <c r="BG9" s="188">
        <v>199936560.31</v>
      </c>
      <c r="BH9" s="188">
        <v>139760649.13999999</v>
      </c>
      <c r="BI9" s="188">
        <v>365256375.5</v>
      </c>
      <c r="BJ9" s="188">
        <v>247758788.18000001</v>
      </c>
      <c r="BK9" s="188">
        <v>148471350.83000001</v>
      </c>
      <c r="BL9" s="188">
        <v>99955921.620000005</v>
      </c>
      <c r="BM9" s="188">
        <v>308176458.60000002</v>
      </c>
      <c r="BN9" s="188">
        <v>240365513.08000001</v>
      </c>
      <c r="BO9" s="188">
        <v>167320806.24000001</v>
      </c>
      <c r="BP9" s="188">
        <v>103935965.36</v>
      </c>
      <c r="BQ9" s="188">
        <v>228319500.78</v>
      </c>
      <c r="BR9" s="188">
        <v>117289100</v>
      </c>
      <c r="BS9" s="188">
        <v>134826000.83000001</v>
      </c>
      <c r="BT9" s="188">
        <v>101900556.98</v>
      </c>
      <c r="BU9" s="188">
        <v>56426807.149999999</v>
      </c>
      <c r="BV9" s="188">
        <v>0</v>
      </c>
      <c r="BW9" s="188"/>
      <c r="BX9" s="188"/>
      <c r="BY9" s="188"/>
      <c r="BZ9" s="188"/>
      <c r="CA9" s="188"/>
      <c r="CB9" s="188"/>
      <c r="CC9" s="188"/>
      <c r="CD9" s="188"/>
      <c r="CE9" s="188"/>
      <c r="CF9" s="188"/>
      <c r="CG9" s="188"/>
      <c r="CH9" s="188"/>
      <c r="CI9" s="188"/>
      <c r="CJ9" s="188"/>
      <c r="CK9" s="188"/>
    </row>
    <row r="10" spans="1:89" x14ac:dyDescent="0.25">
      <c r="A10" s="17" t="s">
        <v>390</v>
      </c>
      <c r="B10" s="188">
        <v>3684290694.1900001</v>
      </c>
      <c r="C10" s="188">
        <v>2460415497.4000001</v>
      </c>
      <c r="D10" s="188">
        <v>1204204773.6500001</v>
      </c>
      <c r="E10" s="188">
        <v>4720542820.1400003</v>
      </c>
      <c r="F10" s="188">
        <v>3115038946.7600002</v>
      </c>
      <c r="G10" s="188">
        <v>2032246237.8800001</v>
      </c>
      <c r="H10" s="188">
        <v>1122230514.3299999</v>
      </c>
      <c r="I10" s="188">
        <v>4187189840.4200001</v>
      </c>
      <c r="J10" s="188">
        <v>2786104248.79</v>
      </c>
      <c r="K10" s="188">
        <v>1859591870.3199999</v>
      </c>
      <c r="L10" s="188">
        <v>905013030.88</v>
      </c>
      <c r="M10" s="188">
        <v>3812852076.1900001</v>
      </c>
      <c r="N10" s="188">
        <v>2592580782.23</v>
      </c>
      <c r="O10" s="188">
        <v>1827131652.26</v>
      </c>
      <c r="P10" s="188">
        <v>919920409</v>
      </c>
      <c r="Q10" s="188">
        <v>3378499544.5900002</v>
      </c>
      <c r="R10" s="188">
        <v>2336957697.6399999</v>
      </c>
      <c r="S10" s="188">
        <v>1492808431.3399999</v>
      </c>
      <c r="T10" s="188">
        <v>730947216.88</v>
      </c>
      <c r="U10" s="188">
        <v>2834740716</v>
      </c>
      <c r="V10" s="188">
        <v>1743433452.3800001</v>
      </c>
      <c r="W10" s="188">
        <v>1151877819.8900001</v>
      </c>
      <c r="X10" s="188">
        <v>558440922.01999998</v>
      </c>
      <c r="Y10" s="188">
        <v>2204190581.1300001</v>
      </c>
      <c r="Z10" s="188">
        <v>1288134049.01</v>
      </c>
      <c r="AA10" s="188">
        <v>831662727.75</v>
      </c>
      <c r="AB10" s="188">
        <v>459827167.05000001</v>
      </c>
      <c r="AC10" s="188">
        <v>1673872427.75</v>
      </c>
      <c r="AD10" s="188">
        <v>1001317983.5599999</v>
      </c>
      <c r="AE10" s="188">
        <v>642955797.35000002</v>
      </c>
      <c r="AF10" s="188">
        <v>354029240.72000003</v>
      </c>
      <c r="AG10" s="188">
        <v>1346014202.04</v>
      </c>
      <c r="AH10" s="188">
        <v>851216571.00999999</v>
      </c>
      <c r="AI10" s="188">
        <v>560864374.54999995</v>
      </c>
      <c r="AJ10" s="188">
        <v>309690750.82999998</v>
      </c>
      <c r="AK10" s="188">
        <v>1217158463.04</v>
      </c>
      <c r="AL10" s="188">
        <v>733148103.42999995</v>
      </c>
      <c r="AM10" s="188">
        <v>463903828.94999999</v>
      </c>
      <c r="AN10" s="188">
        <v>222527985.93000001</v>
      </c>
      <c r="AO10" s="188">
        <v>941174062.44000006</v>
      </c>
      <c r="AP10" s="188">
        <v>536075599.36000001</v>
      </c>
      <c r="AQ10" s="188">
        <v>369708813.51999998</v>
      </c>
      <c r="AR10" s="188">
        <v>168448490.52000001</v>
      </c>
      <c r="AS10" s="188">
        <v>723155575.20000005</v>
      </c>
      <c r="AT10" s="188">
        <v>475793089.54000002</v>
      </c>
      <c r="AU10" s="188">
        <v>277866482.92000002</v>
      </c>
      <c r="AV10" s="188">
        <v>99539514.049999997</v>
      </c>
      <c r="AW10" s="188">
        <v>492828170.27999997</v>
      </c>
      <c r="AX10" s="188">
        <v>256603509.80000001</v>
      </c>
      <c r="AY10" s="188">
        <v>154874288.83000001</v>
      </c>
      <c r="AZ10" s="188">
        <v>81752353.340000004</v>
      </c>
      <c r="BA10" s="188">
        <v>350685099.47000003</v>
      </c>
      <c r="BB10" s="188">
        <v>216504598.13</v>
      </c>
      <c r="BC10" s="188">
        <v>142501033.12</v>
      </c>
      <c r="BD10" s="188">
        <v>73791104.609999999</v>
      </c>
      <c r="BE10" s="188">
        <v>311563047.88999999</v>
      </c>
      <c r="BF10" s="188">
        <v>190624537.22999999</v>
      </c>
      <c r="BG10" s="188">
        <v>126425959.59999999</v>
      </c>
      <c r="BH10" s="188">
        <v>48201023.189999998</v>
      </c>
      <c r="BI10" s="188">
        <v>291880260.69</v>
      </c>
      <c r="BJ10" s="188">
        <v>153324035.58000001</v>
      </c>
      <c r="BK10" s="188">
        <v>97233132.640000001</v>
      </c>
      <c r="BL10" s="188">
        <v>38951847.950000003</v>
      </c>
      <c r="BM10" s="188">
        <v>237706731.47</v>
      </c>
      <c r="BN10" s="188">
        <v>154188146.5</v>
      </c>
      <c r="BO10" s="188">
        <v>79903159.849999994</v>
      </c>
      <c r="BP10" s="188">
        <v>39164507.240000002</v>
      </c>
      <c r="BQ10" s="188">
        <v>181060278.22</v>
      </c>
      <c r="BR10" s="188">
        <v>74414401</v>
      </c>
      <c r="BS10" s="188">
        <v>129669631.27</v>
      </c>
      <c r="BT10" s="188">
        <v>122410821.54000001</v>
      </c>
      <c r="BU10" s="188">
        <v>116104124.14</v>
      </c>
      <c r="BV10" s="188">
        <v>0</v>
      </c>
      <c r="BW10" s="188"/>
      <c r="BX10" s="188"/>
      <c r="BY10" s="188"/>
      <c r="BZ10" s="188"/>
      <c r="CA10" s="188"/>
      <c r="CB10" s="188"/>
      <c r="CC10" s="188"/>
      <c r="CD10" s="188"/>
      <c r="CE10" s="188"/>
      <c r="CF10" s="188"/>
      <c r="CG10" s="188"/>
      <c r="CH10" s="188"/>
      <c r="CI10" s="188"/>
      <c r="CJ10" s="188"/>
      <c r="CK10" s="188"/>
    </row>
    <row r="11" spans="1:89" x14ac:dyDescent="0.25">
      <c r="A11" s="17" t="s">
        <v>391</v>
      </c>
      <c r="B11" s="188">
        <v>1221263.23</v>
      </c>
      <c r="C11" s="188">
        <v>1221263.23</v>
      </c>
      <c r="D11" s="188">
        <v>2280412.48</v>
      </c>
      <c r="E11" s="188">
        <v>-8053703.9500000002</v>
      </c>
      <c r="F11" s="188">
        <v>-8205173.0300000003</v>
      </c>
      <c r="G11" s="188">
        <v>-3205173.03</v>
      </c>
      <c r="H11" s="188">
        <v>-5356392.4000000004</v>
      </c>
      <c r="I11" s="188">
        <v>12327496.220000001</v>
      </c>
      <c r="J11" s="188">
        <v>5491060.0800000001</v>
      </c>
      <c r="K11" s="188">
        <v>5536334.9299999997</v>
      </c>
      <c r="L11" s="188">
        <v>2979616.96</v>
      </c>
      <c r="M11" s="188">
        <v>-540313.39</v>
      </c>
      <c r="N11" s="188">
        <v>150533.28</v>
      </c>
      <c r="O11" s="188">
        <v>404373.28</v>
      </c>
      <c r="P11" s="188">
        <v>-200793.38</v>
      </c>
      <c r="Q11" s="188">
        <v>432745.88</v>
      </c>
      <c r="R11" s="188">
        <v>393295.23</v>
      </c>
      <c r="S11" s="188">
        <v>243295.23</v>
      </c>
      <c r="T11" s="188">
        <v>-760608.59</v>
      </c>
      <c r="U11" s="188">
        <v>-2004032.3</v>
      </c>
      <c r="V11" s="188">
        <v>-1818342.1</v>
      </c>
      <c r="W11" s="188">
        <v>-2068342.1</v>
      </c>
      <c r="X11" s="188">
        <v>0</v>
      </c>
      <c r="Y11" s="188">
        <v>2979258.5</v>
      </c>
      <c r="Z11" s="188">
        <v>955859.42</v>
      </c>
      <c r="AA11" s="188">
        <v>955859.42</v>
      </c>
      <c r="AB11" s="188">
        <v>0</v>
      </c>
      <c r="AC11" s="188">
        <v>-2500650.5699999998</v>
      </c>
      <c r="AD11" s="188">
        <v>-1597611.27</v>
      </c>
      <c r="AE11" s="188">
        <v>-1568169.42</v>
      </c>
      <c r="AF11" s="188">
        <v>0</v>
      </c>
      <c r="AG11" s="188">
        <v>-3066975.05</v>
      </c>
      <c r="AH11" s="188">
        <v>2797805.44</v>
      </c>
      <c r="AI11" s="188">
        <v>2776574.21</v>
      </c>
      <c r="AJ11" s="188">
        <v>18000</v>
      </c>
      <c r="AK11" s="188">
        <v>-300085.01</v>
      </c>
      <c r="AL11" s="188">
        <v>442604</v>
      </c>
      <c r="AM11" s="188">
        <v>442604</v>
      </c>
      <c r="AN11" s="188">
        <v>0</v>
      </c>
      <c r="AO11" s="188">
        <v>450078.22</v>
      </c>
      <c r="AP11" s="188">
        <v>-1411074.74</v>
      </c>
      <c r="AQ11" s="188">
        <v>-1411074.74</v>
      </c>
      <c r="AR11" s="188">
        <v>0</v>
      </c>
      <c r="AS11" s="188">
        <v>-614738.65</v>
      </c>
      <c r="AT11" s="188">
        <v>1317514.0900000001</v>
      </c>
      <c r="AU11" s="188">
        <v>1317514.0900000001</v>
      </c>
      <c r="AV11" s="188">
        <v>0</v>
      </c>
      <c r="AW11" s="188">
        <v>0</v>
      </c>
      <c r="AX11" s="188">
        <v>0</v>
      </c>
      <c r="AY11" s="188">
        <v>0</v>
      </c>
      <c r="AZ11" s="188">
        <v>0</v>
      </c>
      <c r="BA11" s="188">
        <v>0</v>
      </c>
      <c r="BB11" s="188">
        <v>0</v>
      </c>
      <c r="BC11" s="188">
        <v>0</v>
      </c>
      <c r="BD11" s="188">
        <v>0</v>
      </c>
      <c r="BE11" s="188">
        <v>0</v>
      </c>
      <c r="BF11" s="188">
        <v>0</v>
      </c>
      <c r="BG11" s="188">
        <v>0</v>
      </c>
      <c r="BH11" s="188">
        <v>0</v>
      </c>
      <c r="BI11" s="188">
        <v>0</v>
      </c>
      <c r="BJ11" s="188">
        <v>0</v>
      </c>
      <c r="BK11" s="188">
        <v>0</v>
      </c>
      <c r="BL11" s="188">
        <v>0</v>
      </c>
      <c r="BM11" s="188">
        <v>0</v>
      </c>
      <c r="BN11" s="188">
        <v>0</v>
      </c>
      <c r="BO11" s="188">
        <v>0</v>
      </c>
      <c r="BP11" s="188">
        <v>0</v>
      </c>
      <c r="BQ11" s="188">
        <v>0</v>
      </c>
      <c r="BR11" s="188">
        <v>0</v>
      </c>
      <c r="BS11" s="188">
        <v>0</v>
      </c>
      <c r="BT11" s="188">
        <v>0</v>
      </c>
      <c r="BU11" s="188">
        <v>0</v>
      </c>
      <c r="BV11" s="188">
        <v>0</v>
      </c>
      <c r="BW11" s="188"/>
      <c r="BX11" s="188"/>
      <c r="BY11" s="188"/>
      <c r="BZ11" s="188"/>
      <c r="CA11" s="188"/>
      <c r="CB11" s="188"/>
      <c r="CC11" s="188"/>
      <c r="CD11" s="188"/>
      <c r="CE11" s="188"/>
      <c r="CF11" s="188"/>
      <c r="CG11" s="188"/>
      <c r="CH11" s="188"/>
      <c r="CI11" s="188"/>
      <c r="CJ11" s="188"/>
      <c r="CK11" s="188"/>
    </row>
    <row r="12" spans="1:89" s="7" customFormat="1" x14ac:dyDescent="0.25">
      <c r="A12" s="21" t="s">
        <v>392</v>
      </c>
      <c r="B12" s="29">
        <f>B55</f>
        <v>463</v>
      </c>
      <c r="C12" s="29">
        <f t="shared" ref="C12:BN12" si="5">C55</f>
        <v>603</v>
      </c>
      <c r="D12" s="29">
        <f t="shared" si="5"/>
        <v>653</v>
      </c>
      <c r="E12" s="29">
        <f t="shared" si="5"/>
        <v>4084075.75</v>
      </c>
      <c r="F12" s="29">
        <f t="shared" si="5"/>
        <v>1204</v>
      </c>
      <c r="G12" s="29">
        <f t="shared" si="5"/>
        <v>868</v>
      </c>
      <c r="H12" s="29">
        <f t="shared" si="5"/>
        <v>644</v>
      </c>
      <c r="I12" s="29">
        <f t="shared" si="5"/>
        <v>787035.87</v>
      </c>
      <c r="J12" s="29">
        <f t="shared" si="5"/>
        <v>0</v>
      </c>
      <c r="K12" s="29">
        <f t="shared" si="5"/>
        <v>0</v>
      </c>
      <c r="L12" s="29">
        <f t="shared" si="5"/>
        <v>0</v>
      </c>
      <c r="M12" s="29">
        <f t="shared" si="5"/>
        <v>1633270.12</v>
      </c>
      <c r="N12" s="29">
        <f t="shared" si="5"/>
        <v>0</v>
      </c>
      <c r="O12" s="29">
        <f t="shared" si="5"/>
        <v>0</v>
      </c>
      <c r="P12" s="29">
        <f t="shared" si="5"/>
        <v>0</v>
      </c>
      <c r="Q12" s="29">
        <f t="shared" si="5"/>
        <v>831553.24</v>
      </c>
      <c r="R12" s="29">
        <f t="shared" si="5"/>
        <v>0</v>
      </c>
      <c r="S12" s="29">
        <f t="shared" si="5"/>
        <v>0</v>
      </c>
      <c r="T12" s="29">
        <f t="shared" si="5"/>
        <v>0</v>
      </c>
      <c r="U12" s="29">
        <f t="shared" si="5"/>
        <v>434996.18</v>
      </c>
      <c r="V12" s="29">
        <f t="shared" si="5"/>
        <v>0</v>
      </c>
      <c r="W12" s="29">
        <f t="shared" si="5"/>
        <v>0</v>
      </c>
      <c r="X12" s="29">
        <f t="shared" si="5"/>
        <v>0</v>
      </c>
      <c r="Y12" s="29">
        <f t="shared" si="5"/>
        <v>603190.06999999995</v>
      </c>
      <c r="Z12" s="29">
        <f t="shared" si="5"/>
        <v>0</v>
      </c>
      <c r="AA12" s="29">
        <f t="shared" si="5"/>
        <v>0</v>
      </c>
      <c r="AB12" s="29">
        <f t="shared" si="5"/>
        <v>0</v>
      </c>
      <c r="AC12" s="29">
        <f t="shared" si="5"/>
        <v>352310</v>
      </c>
      <c r="AD12" s="29">
        <f t="shared" si="5"/>
        <v>0</v>
      </c>
      <c r="AE12" s="29">
        <f t="shared" si="5"/>
        <v>0</v>
      </c>
      <c r="AF12" s="29">
        <f t="shared" si="5"/>
        <v>0</v>
      </c>
      <c r="AG12" s="29">
        <f t="shared" si="5"/>
        <v>284184.78000000003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8">
        <v>10719272.189999999</v>
      </c>
      <c r="C13" s="188">
        <v>6714437.7000000002</v>
      </c>
      <c r="D13" s="188">
        <v>2230584.69</v>
      </c>
      <c r="E13" s="188">
        <v>12201990.51</v>
      </c>
      <c r="F13" s="188">
        <v>9775757.8599999994</v>
      </c>
      <c r="G13" s="188">
        <v>5597183.8300000001</v>
      </c>
      <c r="H13" s="188">
        <v>1770099.69</v>
      </c>
      <c r="I13" s="188">
        <v>8553926.0600000005</v>
      </c>
      <c r="J13" s="188">
        <v>8262314.4500000002</v>
      </c>
      <c r="K13" s="188">
        <v>5374865.2699999996</v>
      </c>
      <c r="L13" s="188">
        <v>4199647.6100000003</v>
      </c>
      <c r="M13" s="188">
        <v>4823183.32</v>
      </c>
      <c r="N13" s="188">
        <v>1151762.29</v>
      </c>
      <c r="O13" s="188">
        <v>712903.58</v>
      </c>
      <c r="P13" s="188">
        <v>499998</v>
      </c>
      <c r="Q13" s="188">
        <v>6562552.1799999997</v>
      </c>
      <c r="R13" s="188">
        <v>2509405.6</v>
      </c>
      <c r="S13" s="188">
        <v>631082.29</v>
      </c>
      <c r="T13" s="188">
        <v>573210.01</v>
      </c>
      <c r="U13" s="188">
        <v>32763249.140000001</v>
      </c>
      <c r="V13" s="188">
        <v>27712057.190000001</v>
      </c>
      <c r="W13" s="188">
        <v>181985.22</v>
      </c>
      <c r="X13" s="188">
        <v>33313.199999999997</v>
      </c>
      <c r="Y13" s="188">
        <v>6756532.1900000004</v>
      </c>
      <c r="Z13" s="188">
        <v>4670917.43</v>
      </c>
      <c r="AA13" s="188">
        <v>2194791.12</v>
      </c>
      <c r="AB13" s="188">
        <v>1955371.81</v>
      </c>
      <c r="AC13" s="188">
        <v>7181584.54</v>
      </c>
      <c r="AD13" s="188">
        <v>4953462.93</v>
      </c>
      <c r="AE13" s="188">
        <v>2992008.57</v>
      </c>
      <c r="AF13" s="188">
        <v>1979084</v>
      </c>
      <c r="AG13" s="188">
        <v>5307144.91</v>
      </c>
      <c r="AH13" s="188">
        <v>1971014.48</v>
      </c>
      <c r="AI13" s="188">
        <v>398410.98</v>
      </c>
      <c r="AJ13" s="188">
        <v>10325.86</v>
      </c>
      <c r="AK13" s="188">
        <v>6247977</v>
      </c>
      <c r="AL13" s="188">
        <v>494320</v>
      </c>
      <c r="AM13" s="188">
        <v>1861620</v>
      </c>
      <c r="AN13" s="188">
        <v>1231620</v>
      </c>
      <c r="AO13" s="188">
        <v>6282035.79</v>
      </c>
      <c r="AP13" s="188">
        <v>2381385.59</v>
      </c>
      <c r="AQ13" s="188">
        <v>1164514.5900000001</v>
      </c>
      <c r="AR13" s="188">
        <v>570450</v>
      </c>
      <c r="AS13" s="188">
        <v>2917186.44</v>
      </c>
      <c r="AT13" s="188">
        <v>2650052.83</v>
      </c>
      <c r="AU13" s="188">
        <v>2337708.1800000002</v>
      </c>
      <c r="AV13" s="188">
        <v>1118127.8899999999</v>
      </c>
      <c r="AW13" s="188">
        <v>1149619.55</v>
      </c>
      <c r="AX13" s="188">
        <v>1004708.55</v>
      </c>
      <c r="AY13" s="188">
        <v>859384.55</v>
      </c>
      <c r="AZ13" s="188">
        <v>328675</v>
      </c>
      <c r="BA13" s="188">
        <v>1762887.9</v>
      </c>
      <c r="BB13" s="188">
        <v>1313389.2</v>
      </c>
      <c r="BC13" s="188">
        <v>1198053.82</v>
      </c>
      <c r="BD13" s="188">
        <v>11500</v>
      </c>
      <c r="BE13" s="188">
        <v>3601893.97</v>
      </c>
      <c r="BF13" s="188">
        <v>213199.97</v>
      </c>
      <c r="BG13" s="188">
        <v>35584.97</v>
      </c>
      <c r="BH13" s="188">
        <v>14874.97</v>
      </c>
      <c r="BI13" s="188">
        <v>1392334.71</v>
      </c>
      <c r="BJ13" s="188">
        <v>1064414.71</v>
      </c>
      <c r="BK13" s="188">
        <v>582293.07999999996</v>
      </c>
      <c r="BL13" s="188">
        <v>111556.08</v>
      </c>
      <c r="BM13" s="188">
        <v>137822</v>
      </c>
      <c r="BN13" s="188">
        <v>68602</v>
      </c>
      <c r="BO13" s="188">
        <v>55202</v>
      </c>
      <c r="BP13" s="188">
        <v>50170</v>
      </c>
      <c r="BQ13" s="188">
        <v>72208.039999999994</v>
      </c>
      <c r="BR13" s="188">
        <v>51586.44</v>
      </c>
      <c r="BS13" s="188">
        <v>17635.96</v>
      </c>
      <c r="BT13" s="188">
        <v>1500</v>
      </c>
      <c r="BU13" s="188">
        <v>0</v>
      </c>
      <c r="BV13" s="188">
        <v>0</v>
      </c>
      <c r="BW13" s="188"/>
      <c r="BX13" s="188"/>
      <c r="BY13" s="188"/>
      <c r="BZ13" s="188"/>
      <c r="CA13" s="188"/>
      <c r="CB13" s="188"/>
      <c r="CC13" s="188"/>
      <c r="CD13" s="188"/>
      <c r="CE13" s="188"/>
      <c r="CF13" s="188"/>
      <c r="CG13" s="188"/>
      <c r="CH13" s="188"/>
      <c r="CI13" s="188"/>
      <c r="CJ13" s="188"/>
      <c r="CK13" s="188"/>
    </row>
    <row r="14" spans="1:89" x14ac:dyDescent="0.25">
      <c r="A14" s="17" t="s">
        <v>394</v>
      </c>
      <c r="B14" s="188">
        <v>271320093.51999998</v>
      </c>
      <c r="C14" s="188">
        <v>166643463.81999999</v>
      </c>
      <c r="D14" s="188">
        <v>7376224.0700000003</v>
      </c>
      <c r="E14" s="188">
        <v>212137381.36000001</v>
      </c>
      <c r="F14" s="188">
        <v>153881485.16999999</v>
      </c>
      <c r="G14" s="188">
        <v>45837582.100000001</v>
      </c>
      <c r="H14" s="188">
        <v>36882434.299999997</v>
      </c>
      <c r="I14" s="188">
        <v>316298138.37</v>
      </c>
      <c r="J14" s="188">
        <v>119855695.88</v>
      </c>
      <c r="K14" s="188">
        <v>213054.89</v>
      </c>
      <c r="L14" s="188">
        <v>27219.7</v>
      </c>
      <c r="M14" s="188">
        <v>162100184.84999999</v>
      </c>
      <c r="N14" s="188">
        <v>133901458.09</v>
      </c>
      <c r="O14" s="188">
        <v>2893260.58</v>
      </c>
      <c r="P14" s="188">
        <v>2815794.51</v>
      </c>
      <c r="Q14" s="188">
        <v>227193365.75</v>
      </c>
      <c r="R14" s="188">
        <v>139757580</v>
      </c>
      <c r="S14" s="188">
        <v>28429120.030000001</v>
      </c>
      <c r="T14" s="188">
        <v>8142669.9199999999</v>
      </c>
      <c r="U14" s="188">
        <v>391947775.17000002</v>
      </c>
      <c r="V14" s="188">
        <v>373534440.38</v>
      </c>
      <c r="W14" s="188">
        <v>272522239.94</v>
      </c>
      <c r="X14" s="188">
        <v>252324805.13</v>
      </c>
      <c r="Y14" s="188">
        <v>137005880.68000001</v>
      </c>
      <c r="Z14" s="188">
        <v>106707683.45999999</v>
      </c>
      <c r="AA14" s="188">
        <v>1707664.91</v>
      </c>
      <c r="AB14" s="188">
        <v>38335.06</v>
      </c>
      <c r="AC14" s="188">
        <v>8685535.8200000003</v>
      </c>
      <c r="AD14" s="188">
        <v>7792593.8099999996</v>
      </c>
      <c r="AE14" s="188">
        <v>5238266.28</v>
      </c>
      <c r="AF14" s="188">
        <v>151384.31</v>
      </c>
      <c r="AG14" s="188">
        <v>3796643.04</v>
      </c>
      <c r="AH14" s="188">
        <v>3694392.17</v>
      </c>
      <c r="AI14" s="188">
        <v>3637581.92</v>
      </c>
      <c r="AJ14" s="188">
        <v>2800000</v>
      </c>
      <c r="AK14" s="188">
        <v>1228603.08</v>
      </c>
      <c r="AL14" s="188">
        <v>1086603.01</v>
      </c>
      <c r="AM14" s="188">
        <v>1008880.69</v>
      </c>
      <c r="AN14" s="188">
        <v>1000000</v>
      </c>
      <c r="AO14" s="188">
        <v>11366252.66</v>
      </c>
      <c r="AP14" s="188">
        <v>9836215.3900000006</v>
      </c>
      <c r="AQ14" s="188">
        <v>9762890.1999999993</v>
      </c>
      <c r="AR14" s="188">
        <v>0</v>
      </c>
      <c r="AS14" s="188">
        <v>6233172.3099999996</v>
      </c>
      <c r="AT14" s="188">
        <v>326370.88</v>
      </c>
      <c r="AU14" s="188">
        <v>171352.52</v>
      </c>
      <c r="AV14" s="188">
        <v>10726.5</v>
      </c>
      <c r="AW14" s="188">
        <v>191818.51</v>
      </c>
      <c r="AX14" s="188">
        <v>51074.5</v>
      </c>
      <c r="AY14" s="188">
        <v>1074.5</v>
      </c>
      <c r="AZ14" s="188">
        <v>1074.5</v>
      </c>
      <c r="BA14" s="188">
        <v>796935.44</v>
      </c>
      <c r="BB14" s="188">
        <v>350</v>
      </c>
      <c r="BC14" s="188">
        <v>350</v>
      </c>
      <c r="BD14" s="188">
        <v>0</v>
      </c>
      <c r="BE14" s="188">
        <v>1036434.99</v>
      </c>
      <c r="BF14" s="188">
        <v>52400</v>
      </c>
      <c r="BG14" s="188">
        <v>2400</v>
      </c>
      <c r="BH14" s="188">
        <v>1400</v>
      </c>
      <c r="BI14" s="188">
        <v>137513.69</v>
      </c>
      <c r="BJ14" s="188">
        <v>131823.35999999999</v>
      </c>
      <c r="BK14" s="188">
        <v>9905.66</v>
      </c>
      <c r="BL14" s="188">
        <v>8355.66</v>
      </c>
      <c r="BM14" s="188">
        <v>10611.88</v>
      </c>
      <c r="BN14" s="188">
        <v>10611.88</v>
      </c>
      <c r="BO14" s="188">
        <v>10611.88</v>
      </c>
      <c r="BP14" s="188">
        <v>211.88</v>
      </c>
      <c r="BQ14" s="188">
        <v>3004334.7</v>
      </c>
      <c r="BR14" s="188">
        <v>612996.92000000004</v>
      </c>
      <c r="BS14" s="188">
        <v>960375.1</v>
      </c>
      <c r="BT14" s="188">
        <v>56614.31</v>
      </c>
      <c r="BU14" s="188">
        <v>0</v>
      </c>
      <c r="BV14" s="188">
        <v>0</v>
      </c>
      <c r="BW14" s="188"/>
      <c r="BX14" s="188"/>
      <c r="BY14" s="188"/>
      <c r="BZ14" s="188"/>
      <c r="CA14" s="188"/>
      <c r="CB14" s="188"/>
      <c r="CC14" s="188"/>
      <c r="CD14" s="188"/>
      <c r="CE14" s="188"/>
      <c r="CF14" s="188"/>
      <c r="CG14" s="188"/>
      <c r="CH14" s="188"/>
      <c r="CI14" s="188"/>
      <c r="CJ14" s="188"/>
      <c r="CK14" s="188"/>
    </row>
    <row r="15" spans="1:89" s="2" customFormat="1" x14ac:dyDescent="0.25">
      <c r="A15" s="20" t="s">
        <v>397</v>
      </c>
      <c r="B15" s="28">
        <f>B6-(B8+B9+B10+B11+B12)+B13-B14</f>
        <v>32957239261.68</v>
      </c>
      <c r="C15" s="28">
        <f t="shared" ref="C15:BN15" si="7">C6-(C8+C9+C10+C11+C12)+C13-C14</f>
        <v>20910530529.950001</v>
      </c>
      <c r="D15" s="28">
        <f t="shared" si="7"/>
        <v>11265280897.27</v>
      </c>
      <c r="E15" s="28">
        <f t="shared" si="7"/>
        <v>35970633343.730003</v>
      </c>
      <c r="F15" s="28">
        <f t="shared" si="7"/>
        <v>26524201357.680004</v>
      </c>
      <c r="G15" s="28">
        <f t="shared" si="7"/>
        <v>14811232432.109999</v>
      </c>
      <c r="H15" s="28">
        <f t="shared" si="7"/>
        <v>8153918546.2400007</v>
      </c>
      <c r="I15" s="28">
        <f t="shared" si="7"/>
        <v>22754058956.889999</v>
      </c>
      <c r="J15" s="28">
        <f t="shared" si="7"/>
        <v>17224302576.93</v>
      </c>
      <c r="K15" s="28">
        <f t="shared" si="7"/>
        <v>12244780312.01</v>
      </c>
      <c r="L15" s="28">
        <f t="shared" si="7"/>
        <v>6968923187.1999989</v>
      </c>
      <c r="M15" s="28">
        <f t="shared" si="7"/>
        <v>21215892085.159996</v>
      </c>
      <c r="N15" s="28">
        <f t="shared" si="7"/>
        <v>15569153338.09</v>
      </c>
      <c r="O15" s="28">
        <f t="shared" si="7"/>
        <v>10747899018.51</v>
      </c>
      <c r="P15" s="28">
        <f t="shared" si="7"/>
        <v>5993303437.5699997</v>
      </c>
      <c r="Q15" s="28">
        <f t="shared" si="7"/>
        <v>21171255454.220001</v>
      </c>
      <c r="R15" s="28">
        <f t="shared" si="7"/>
        <v>14669262457.400002</v>
      </c>
      <c r="S15" s="28">
        <f t="shared" si="7"/>
        <v>9901107345.6399994</v>
      </c>
      <c r="T15" s="28">
        <f t="shared" si="7"/>
        <v>5171247404.3500004</v>
      </c>
      <c r="U15" s="28">
        <f t="shared" si="7"/>
        <v>20886644190.5</v>
      </c>
      <c r="V15" s="28">
        <f t="shared" si="7"/>
        <v>15269182006.340002</v>
      </c>
      <c r="W15" s="28">
        <f t="shared" si="7"/>
        <v>9874167661.1199989</v>
      </c>
      <c r="X15" s="28">
        <f t="shared" si="7"/>
        <v>5003369013.6899986</v>
      </c>
      <c r="Y15" s="28">
        <f t="shared" si="7"/>
        <v>18275808106.600002</v>
      </c>
      <c r="Z15" s="28">
        <f t="shared" si="7"/>
        <v>14284688218.48</v>
      </c>
      <c r="AA15" s="28">
        <f t="shared" si="7"/>
        <v>9609872110.0600014</v>
      </c>
      <c r="AB15" s="28">
        <f t="shared" si="7"/>
        <v>4077516924.8699999</v>
      </c>
      <c r="AC15" s="28">
        <f t="shared" si="7"/>
        <v>11980173666.880001</v>
      </c>
      <c r="AD15" s="28">
        <f t="shared" si="7"/>
        <v>9058450996.3900013</v>
      </c>
      <c r="AE15" s="28">
        <f t="shared" si="7"/>
        <v>6735261844.8100004</v>
      </c>
      <c r="AF15" s="28">
        <f t="shared" si="7"/>
        <v>2600539114.4500003</v>
      </c>
      <c r="AG15" s="28">
        <f t="shared" si="7"/>
        <v>6985086471.6799994</v>
      </c>
      <c r="AH15" s="28">
        <f t="shared" si="7"/>
        <v>5758077960.8400002</v>
      </c>
      <c r="AI15" s="28">
        <f t="shared" si="7"/>
        <v>4277458985.2599998</v>
      </c>
      <c r="AJ15" s="28">
        <f t="shared" si="7"/>
        <v>1746532659.9299996</v>
      </c>
      <c r="AK15" s="28">
        <f t="shared" si="7"/>
        <v>5945694321.5999994</v>
      </c>
      <c r="AL15" s="28">
        <f t="shared" si="7"/>
        <v>5213965295.1599998</v>
      </c>
      <c r="AM15" s="28">
        <f t="shared" si="7"/>
        <v>3817279631.7800002</v>
      </c>
      <c r="AN15" s="28">
        <f t="shared" si="7"/>
        <v>1623434688.2499998</v>
      </c>
      <c r="AO15" s="28">
        <f t="shared" si="7"/>
        <v>5281477622.8300009</v>
      </c>
      <c r="AP15" s="28">
        <f t="shared" si="7"/>
        <v>4340687719.5899992</v>
      </c>
      <c r="AQ15" s="28">
        <f t="shared" si="7"/>
        <v>3088681669.3800011</v>
      </c>
      <c r="AR15" s="28">
        <f t="shared" si="7"/>
        <v>1182458284.9700003</v>
      </c>
      <c r="AS15" s="28">
        <f t="shared" si="7"/>
        <v>4475466240.9799995</v>
      </c>
      <c r="AT15" s="28">
        <f t="shared" si="7"/>
        <v>2469028799.0100002</v>
      </c>
      <c r="AU15" s="28">
        <f t="shared" si="7"/>
        <v>1327234251.7100003</v>
      </c>
      <c r="AV15" s="28">
        <f t="shared" si="7"/>
        <v>847416485.08000016</v>
      </c>
      <c r="AW15" s="28">
        <f t="shared" si="7"/>
        <v>2459083270.2400002</v>
      </c>
      <c r="AX15" s="28">
        <f t="shared" si="7"/>
        <v>1552235645.4000001</v>
      </c>
      <c r="AY15" s="28">
        <f t="shared" si="7"/>
        <v>965161342.11999989</v>
      </c>
      <c r="AZ15" s="28">
        <f t="shared" si="7"/>
        <v>669613416.62</v>
      </c>
      <c r="BA15" s="28">
        <f t="shared" si="7"/>
        <v>1887504851.1300004</v>
      </c>
      <c r="BB15" s="28">
        <f t="shared" si="7"/>
        <v>1136484880.76</v>
      </c>
      <c r="BC15" s="28">
        <f t="shared" si="7"/>
        <v>748635044</v>
      </c>
      <c r="BD15" s="28">
        <f t="shared" si="7"/>
        <v>553948308.0999999</v>
      </c>
      <c r="BE15" s="28">
        <f t="shared" si="7"/>
        <v>1464361773.1400003</v>
      </c>
      <c r="BF15" s="28">
        <f t="shared" si="7"/>
        <v>853463721.18000007</v>
      </c>
      <c r="BG15" s="28">
        <f t="shared" si="7"/>
        <v>559754313.78999996</v>
      </c>
      <c r="BH15" s="28">
        <f t="shared" si="7"/>
        <v>394422790.95000005</v>
      </c>
      <c r="BI15" s="28">
        <f t="shared" si="7"/>
        <v>959558980.33999968</v>
      </c>
      <c r="BJ15" s="28">
        <f t="shared" si="7"/>
        <v>581654427.37999988</v>
      </c>
      <c r="BK15" s="28">
        <f t="shared" si="7"/>
        <v>405130506.79000002</v>
      </c>
      <c r="BL15" s="28">
        <f t="shared" si="7"/>
        <v>337896003.24999994</v>
      </c>
      <c r="BM15" s="28">
        <f t="shared" si="7"/>
        <v>628559254.21000016</v>
      </c>
      <c r="BN15" s="28">
        <f t="shared" si="7"/>
        <v>510478001.96000004</v>
      </c>
      <c r="BO15" s="28">
        <f t="shared" ref="BO15:CJ15" si="8">BO6-(BO8+BO9+BO10+BO11+BO12)+BO13-BO14</f>
        <v>389228086.32999992</v>
      </c>
      <c r="BP15" s="28">
        <f t="shared" si="8"/>
        <v>334564336.5999999</v>
      </c>
      <c r="BQ15" s="28">
        <f t="shared" si="8"/>
        <v>600311437.09999967</v>
      </c>
      <c r="BR15" s="28">
        <f t="shared" si="8"/>
        <v>373365639.61000001</v>
      </c>
      <c r="BS15" s="28">
        <f t="shared" si="8"/>
        <v>452474935.14999992</v>
      </c>
      <c r="BT15" s="28">
        <f t="shared" si="8"/>
        <v>364490805.42999995</v>
      </c>
      <c r="BU15" s="28">
        <f t="shared" si="8"/>
        <v>259853599.49000001</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9004364127.7667656</v>
      </c>
      <c r="C16" s="26">
        <f t="shared" ref="C16:BN16" si="9">C15*C41</f>
        <v>5797750996.8740587</v>
      </c>
      <c r="D16" s="26">
        <f t="shared" si="9"/>
        <v>3041192825.3922505</v>
      </c>
      <c r="E16" s="26">
        <f t="shared" si="9"/>
        <v>9717558185.6390114</v>
      </c>
      <c r="F16" s="26">
        <f t="shared" si="9"/>
        <v>7119750699.5080233</v>
      </c>
      <c r="G16" s="26">
        <f t="shared" si="9"/>
        <v>4027953659.0856237</v>
      </c>
      <c r="H16" s="26">
        <f t="shared" si="9"/>
        <v>2202103804.8699799</v>
      </c>
      <c r="I16" s="26">
        <f t="shared" si="9"/>
        <v>6017989405.1784849</v>
      </c>
      <c r="J16" s="26">
        <f t="shared" si="9"/>
        <v>4706561444.3966455</v>
      </c>
      <c r="K16" s="26">
        <f t="shared" si="9"/>
        <v>3384069909.0024238</v>
      </c>
      <c r="L16" s="26">
        <f t="shared" si="9"/>
        <v>1992784289.3533778</v>
      </c>
      <c r="M16" s="26">
        <f t="shared" si="9"/>
        <v>5531408581.5917473</v>
      </c>
      <c r="N16" s="26">
        <f t="shared" si="9"/>
        <v>4024029737.6738558</v>
      </c>
      <c r="O16" s="26">
        <f t="shared" si="9"/>
        <v>2782829085.9223294</v>
      </c>
      <c r="P16" s="26">
        <f t="shared" si="9"/>
        <v>1574625092.1969142</v>
      </c>
      <c r="Q16" s="26">
        <f t="shared" si="9"/>
        <v>5579856164.1217575</v>
      </c>
      <c r="R16" s="26">
        <f t="shared" si="9"/>
        <v>3778065536.7497725</v>
      </c>
      <c r="S16" s="26">
        <f t="shared" si="9"/>
        <v>2544021063.6202502</v>
      </c>
      <c r="T16" s="26">
        <f t="shared" si="9"/>
        <v>1353104580.8603623</v>
      </c>
      <c r="U16" s="26">
        <f t="shared" si="9"/>
        <v>5356646984.4466333</v>
      </c>
      <c r="V16" s="26">
        <f t="shared" si="9"/>
        <v>3916254798.6674533</v>
      </c>
      <c r="W16" s="26">
        <f t="shared" si="9"/>
        <v>2444626877.5219655</v>
      </c>
      <c r="X16" s="26">
        <f t="shared" si="9"/>
        <v>1314439540.1482792</v>
      </c>
      <c r="Y16" s="26">
        <f t="shared" si="9"/>
        <v>4585632904.1047754</v>
      </c>
      <c r="Z16" s="26">
        <f t="shared" si="9"/>
        <v>3572114933.520391</v>
      </c>
      <c r="AA16" s="26">
        <f t="shared" si="9"/>
        <v>2403637466.1027441</v>
      </c>
      <c r="AB16" s="26">
        <f t="shared" si="9"/>
        <v>1021045357.3721182</v>
      </c>
      <c r="AC16" s="26">
        <f t="shared" si="9"/>
        <v>2996052067.18927</v>
      </c>
      <c r="AD16" s="26">
        <f t="shared" si="9"/>
        <v>2292874302.9634428</v>
      </c>
      <c r="AE16" s="26">
        <f t="shared" si="9"/>
        <v>1683037013.8413169</v>
      </c>
      <c r="AF16" s="26">
        <f t="shared" si="9"/>
        <v>649437357.27546477</v>
      </c>
      <c r="AG16" s="26">
        <f t="shared" si="9"/>
        <v>1777599665.6758041</v>
      </c>
      <c r="AH16" s="26">
        <f t="shared" si="9"/>
        <v>1450002571.6897247</v>
      </c>
      <c r="AI16" s="26">
        <f t="shared" si="9"/>
        <v>1077743386.6215065</v>
      </c>
      <c r="AJ16" s="26">
        <f t="shared" si="9"/>
        <v>436830641.30657989</v>
      </c>
      <c r="AK16" s="26">
        <f t="shared" si="9"/>
        <v>1493772871.4015179</v>
      </c>
      <c r="AL16" s="26">
        <f t="shared" si="9"/>
        <v>1302734125.2229278</v>
      </c>
      <c r="AM16" s="26">
        <f t="shared" si="9"/>
        <v>954815527.60156655</v>
      </c>
      <c r="AN16" s="26">
        <f t="shared" si="9"/>
        <v>405803260.00011551</v>
      </c>
      <c r="AO16" s="26">
        <f t="shared" si="9"/>
        <v>1357848773.729573</v>
      </c>
      <c r="AP16" s="26">
        <f t="shared" si="9"/>
        <v>1083909717.2243874</v>
      </c>
      <c r="AQ16" s="26">
        <f t="shared" si="9"/>
        <v>771878799.97285557</v>
      </c>
      <c r="AR16" s="26">
        <f t="shared" si="9"/>
        <v>295488437.51355559</v>
      </c>
      <c r="AS16" s="26">
        <f t="shared" si="9"/>
        <v>1539952212.1948838</v>
      </c>
      <c r="AT16" s="26">
        <f t="shared" si="9"/>
        <v>825775117.92410052</v>
      </c>
      <c r="AU16" s="26">
        <f t="shared" si="9"/>
        <v>455503086.71666604</v>
      </c>
      <c r="AV16" s="26">
        <f t="shared" si="9"/>
        <v>303157386.70048916</v>
      </c>
      <c r="AW16" s="26">
        <f t="shared" si="9"/>
        <v>903487967.59684777</v>
      </c>
      <c r="AX16" s="26">
        <f t="shared" si="9"/>
        <v>567888157.35015202</v>
      </c>
      <c r="AY16" s="26">
        <f t="shared" si="9"/>
        <v>335614621.24756598</v>
      </c>
      <c r="AZ16" s="26">
        <f t="shared" si="9"/>
        <v>203079033.85094899</v>
      </c>
      <c r="BA16" s="26">
        <f t="shared" si="9"/>
        <v>738335883.52364326</v>
      </c>
      <c r="BB16" s="26">
        <f t="shared" si="9"/>
        <v>410994553.86131042</v>
      </c>
      <c r="BC16" s="26">
        <f t="shared" si="9"/>
        <v>251364716.51786903</v>
      </c>
      <c r="BD16" s="26">
        <f t="shared" si="9"/>
        <v>172459284.64278358</v>
      </c>
      <c r="BE16" s="26">
        <f t="shared" si="9"/>
        <v>625266739.19938314</v>
      </c>
      <c r="BF16" s="26">
        <f t="shared" si="9"/>
        <v>329174570.64856142</v>
      </c>
      <c r="BG16" s="26">
        <f t="shared" si="9"/>
        <v>202065416.00337327</v>
      </c>
      <c r="BH16" s="26">
        <f t="shared" si="9"/>
        <v>127655607.28648648</v>
      </c>
      <c r="BI16" s="26">
        <f t="shared" si="9"/>
        <v>362478066.36029083</v>
      </c>
      <c r="BJ16" s="26">
        <f t="shared" si="9"/>
        <v>221807956.38612831</v>
      </c>
      <c r="BK16" s="26">
        <f t="shared" si="9"/>
        <v>147162550.31523889</v>
      </c>
      <c r="BL16" s="26">
        <f t="shared" si="9"/>
        <v>115562633.49224176</v>
      </c>
      <c r="BM16" s="26">
        <f t="shared" si="9"/>
        <v>249843692.96053126</v>
      </c>
      <c r="BN16" s="26">
        <f t="shared" si="9"/>
        <v>202181455.27781397</v>
      </c>
      <c r="BO16" s="26">
        <f t="shared" ref="BO16:CK16" si="10">BO15*BO41</f>
        <v>150912750.34394965</v>
      </c>
      <c r="BP16" s="26">
        <f t="shared" si="10"/>
        <v>123226076.23586291</v>
      </c>
      <c r="BQ16" s="26">
        <f t="shared" si="10"/>
        <v>262402355.21340081</v>
      </c>
      <c r="BR16" s="26">
        <f t="shared" si="10"/>
        <v>143438474.69978237</v>
      </c>
      <c r="BS16" s="26">
        <f t="shared" si="10"/>
        <v>192401081.69414473</v>
      </c>
      <c r="BT16" s="26">
        <f t="shared" si="10"/>
        <v>142305423.26809937</v>
      </c>
      <c r="BU16" s="26">
        <f t="shared" si="10"/>
        <v>85938256.983400002</v>
      </c>
      <c r="BV16" s="26" t="e">
        <f t="shared" si="10"/>
        <v>#DIV/0!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23952875133.913235</v>
      </c>
      <c r="C17" s="27">
        <f t="shared" ref="C17:BN17" si="11">C15-C16</f>
        <v>15112779533.075943</v>
      </c>
      <c r="D17" s="27">
        <f t="shared" si="11"/>
        <v>8224088071.8777504</v>
      </c>
      <c r="E17" s="27">
        <f t="shared" si="11"/>
        <v>26253075158.090992</v>
      </c>
      <c r="F17" s="27">
        <f t="shared" si="11"/>
        <v>19404450658.171982</v>
      </c>
      <c r="G17" s="27">
        <f t="shared" si="11"/>
        <v>10783278773.024376</v>
      </c>
      <c r="H17" s="27">
        <f t="shared" si="11"/>
        <v>5951814741.3700209</v>
      </c>
      <c r="I17" s="27">
        <f t="shared" si="11"/>
        <v>16736069551.711514</v>
      </c>
      <c r="J17" s="27">
        <f t="shared" si="11"/>
        <v>12517741132.533356</v>
      </c>
      <c r="K17" s="27">
        <f t="shared" si="11"/>
        <v>8860710403.007576</v>
      </c>
      <c r="L17" s="27">
        <f t="shared" si="11"/>
        <v>4976138897.8466206</v>
      </c>
      <c r="M17" s="27">
        <f t="shared" si="11"/>
        <v>15684483503.568249</v>
      </c>
      <c r="N17" s="27">
        <f t="shared" si="11"/>
        <v>11545123600.416145</v>
      </c>
      <c r="O17" s="27">
        <f t="shared" si="11"/>
        <v>7965069932.5876713</v>
      </c>
      <c r="P17" s="27">
        <f t="shared" si="11"/>
        <v>4418678345.373085</v>
      </c>
      <c r="Q17" s="27">
        <f t="shared" si="11"/>
        <v>15591399290.098244</v>
      </c>
      <c r="R17" s="27">
        <f t="shared" si="11"/>
        <v>10891196920.650229</v>
      </c>
      <c r="S17" s="27">
        <f t="shared" si="11"/>
        <v>7357086282.0197487</v>
      </c>
      <c r="T17" s="27">
        <f t="shared" si="11"/>
        <v>3818142823.4896383</v>
      </c>
      <c r="U17" s="27">
        <f t="shared" si="11"/>
        <v>15529997206.053368</v>
      </c>
      <c r="V17" s="27">
        <f t="shared" si="11"/>
        <v>11352927207.672548</v>
      </c>
      <c r="W17" s="27">
        <f t="shared" si="11"/>
        <v>7429540783.5980339</v>
      </c>
      <c r="X17" s="27">
        <f t="shared" si="11"/>
        <v>3688929473.5417194</v>
      </c>
      <c r="Y17" s="27">
        <f t="shared" si="11"/>
        <v>13690175202.495228</v>
      </c>
      <c r="Z17" s="27">
        <f t="shared" si="11"/>
        <v>10712573284.959608</v>
      </c>
      <c r="AA17" s="27">
        <f t="shared" si="11"/>
        <v>7206234643.9572573</v>
      </c>
      <c r="AB17" s="27">
        <f t="shared" si="11"/>
        <v>3056471567.4978819</v>
      </c>
      <c r="AC17" s="27">
        <f t="shared" si="11"/>
        <v>8984121599.690731</v>
      </c>
      <c r="AD17" s="27">
        <f t="shared" si="11"/>
        <v>6765576693.4265585</v>
      </c>
      <c r="AE17" s="27">
        <f t="shared" si="11"/>
        <v>5052224830.9686832</v>
      </c>
      <c r="AF17" s="27">
        <f t="shared" si="11"/>
        <v>1951101757.1745355</v>
      </c>
      <c r="AG17" s="27">
        <f t="shared" si="11"/>
        <v>5207486806.0041952</v>
      </c>
      <c r="AH17" s="27">
        <f t="shared" si="11"/>
        <v>4308075389.1502752</v>
      </c>
      <c r="AI17" s="27">
        <f t="shared" si="11"/>
        <v>3199715598.6384935</v>
      </c>
      <c r="AJ17" s="27">
        <f t="shared" si="11"/>
        <v>1309702018.6234198</v>
      </c>
      <c r="AK17" s="27">
        <f t="shared" si="11"/>
        <v>4451921450.1984816</v>
      </c>
      <c r="AL17" s="27">
        <f t="shared" si="11"/>
        <v>3911231169.9370718</v>
      </c>
      <c r="AM17" s="27">
        <f t="shared" si="11"/>
        <v>2862464104.1784334</v>
      </c>
      <c r="AN17" s="27">
        <f t="shared" si="11"/>
        <v>1217631428.2498841</v>
      </c>
      <c r="AO17" s="27">
        <f t="shared" si="11"/>
        <v>3923628849.1004276</v>
      </c>
      <c r="AP17" s="27">
        <f t="shared" si="11"/>
        <v>3256778002.365612</v>
      </c>
      <c r="AQ17" s="27">
        <f t="shared" si="11"/>
        <v>2316802869.4071455</v>
      </c>
      <c r="AR17" s="27">
        <f t="shared" si="11"/>
        <v>886969847.45644474</v>
      </c>
      <c r="AS17" s="27">
        <f t="shared" si="11"/>
        <v>2935514028.7851157</v>
      </c>
      <c r="AT17" s="27">
        <f t="shared" si="11"/>
        <v>1643253681.0858998</v>
      </c>
      <c r="AU17" s="27">
        <f t="shared" si="11"/>
        <v>871731164.99333429</v>
      </c>
      <c r="AV17" s="27">
        <f t="shared" si="11"/>
        <v>544259098.379511</v>
      </c>
      <c r="AW17" s="27">
        <f t="shared" si="11"/>
        <v>1555595302.6431525</v>
      </c>
      <c r="AX17" s="27">
        <f t="shared" si="11"/>
        <v>984347488.04984808</v>
      </c>
      <c r="AY17" s="27">
        <f t="shared" si="11"/>
        <v>629546720.8724339</v>
      </c>
      <c r="AZ17" s="27">
        <f t="shared" si="11"/>
        <v>466534382.76905102</v>
      </c>
      <c r="BA17" s="27">
        <f t="shared" si="11"/>
        <v>1149168967.6063571</v>
      </c>
      <c r="BB17" s="27">
        <f t="shared" si="11"/>
        <v>725490326.89868951</v>
      </c>
      <c r="BC17" s="27">
        <f t="shared" si="11"/>
        <v>497270327.482131</v>
      </c>
      <c r="BD17" s="27">
        <f t="shared" si="11"/>
        <v>381489023.45721632</v>
      </c>
      <c r="BE17" s="27">
        <f t="shared" si="11"/>
        <v>839095033.9406172</v>
      </c>
      <c r="BF17" s="27">
        <f t="shared" si="11"/>
        <v>524289150.53143865</v>
      </c>
      <c r="BG17" s="27">
        <f t="shared" si="11"/>
        <v>357688897.7866267</v>
      </c>
      <c r="BH17" s="27">
        <f t="shared" si="11"/>
        <v>266767183.66351357</v>
      </c>
      <c r="BI17" s="27">
        <f t="shared" si="11"/>
        <v>597080913.97970891</v>
      </c>
      <c r="BJ17" s="27">
        <f t="shared" si="11"/>
        <v>359846470.99387157</v>
      </c>
      <c r="BK17" s="27">
        <f t="shared" si="11"/>
        <v>257967956.47476113</v>
      </c>
      <c r="BL17" s="27">
        <f t="shared" si="11"/>
        <v>222333369.7577582</v>
      </c>
      <c r="BM17" s="27">
        <f t="shared" si="11"/>
        <v>378715561.24946892</v>
      </c>
      <c r="BN17" s="27">
        <f t="shared" si="11"/>
        <v>308296546.68218607</v>
      </c>
      <c r="BO17" s="27">
        <f t="shared" ref="BO17:CJ17" si="12">BO15-BO16</f>
        <v>238315335.98605028</v>
      </c>
      <c r="BP17" s="27">
        <f t="shared" si="12"/>
        <v>211338260.36413699</v>
      </c>
      <c r="BQ17" s="27">
        <f t="shared" si="12"/>
        <v>337909081.88659883</v>
      </c>
      <c r="BR17" s="27">
        <f t="shared" si="12"/>
        <v>229927164.91021764</v>
      </c>
      <c r="BS17" s="27">
        <f t="shared" si="12"/>
        <v>260073853.45585519</v>
      </c>
      <c r="BT17" s="27">
        <f t="shared" si="12"/>
        <v>222185382.16190058</v>
      </c>
      <c r="BU17" s="27">
        <f t="shared" si="12"/>
        <v>173915342.50660002</v>
      </c>
      <c r="BV17" s="27" t="e">
        <f t="shared" si="12"/>
        <v>#DIV/0!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45.850132930910647</v>
      </c>
      <c r="C18" s="57">
        <f t="shared" ref="C18:D18" si="13">C17/C4*100</f>
        <v>45.252300545311577</v>
      </c>
      <c r="D18" s="57">
        <f t="shared" si="13"/>
        <v>47.085822329961644</v>
      </c>
      <c r="E18" s="57">
        <f>E17/E4</f>
        <v>0.45094537252781386</v>
      </c>
      <c r="F18" s="57">
        <f t="shared" ref="F18:BQ18" si="14">F17/F4</f>
        <v>0.45710805559838441</v>
      </c>
      <c r="G18" s="57">
        <f t="shared" si="14"/>
        <v>0.44577367929753586</v>
      </c>
      <c r="H18" s="57">
        <f t="shared" si="14"/>
        <v>0.4472143773240026</v>
      </c>
      <c r="I18" s="57">
        <f t="shared" si="14"/>
        <v>0.4306517351277509</v>
      </c>
      <c r="J18" s="57">
        <f t="shared" si="14"/>
        <v>0.4700283734072413</v>
      </c>
      <c r="K18" s="57">
        <f t="shared" si="14"/>
        <v>0.48756925017632752</v>
      </c>
      <c r="L18" s="57">
        <f t="shared" si="14"/>
        <v>0.49817414983594677</v>
      </c>
      <c r="M18" s="57">
        <f t="shared" si="14"/>
        <v>0.48024137831945934</v>
      </c>
      <c r="N18" s="57">
        <f t="shared" si="14"/>
        <v>0.49873768747430047</v>
      </c>
      <c r="O18" s="57">
        <f t="shared" si="14"/>
        <v>0.50480055085685449</v>
      </c>
      <c r="P18" s="57">
        <f t="shared" si="14"/>
        <v>0.51715085881447265</v>
      </c>
      <c r="Q18" s="57">
        <f t="shared" si="14"/>
        <v>0.49380612472153673</v>
      </c>
      <c r="R18" s="57">
        <f t="shared" si="14"/>
        <v>0.50147813137630759</v>
      </c>
      <c r="S18" s="57">
        <f t="shared" si="14"/>
        <v>0.51370459244930566</v>
      </c>
      <c r="T18" s="57">
        <f t="shared" si="14"/>
        <v>0.51251437970366343</v>
      </c>
      <c r="U18" s="57">
        <f t="shared" si="14"/>
        <v>0.50223455765225022</v>
      </c>
      <c r="V18" s="57">
        <f t="shared" si="14"/>
        <v>0.51755450959165916</v>
      </c>
      <c r="W18" s="57">
        <f t="shared" si="14"/>
        <v>0.52587844174194198</v>
      </c>
      <c r="X18" s="57">
        <f t="shared" si="14"/>
        <v>0.51479761605112651</v>
      </c>
      <c r="Y18" s="57">
        <f t="shared" si="14"/>
        <v>0.51748258426232618</v>
      </c>
      <c r="Z18" s="57">
        <f t="shared" si="14"/>
        <v>0.53747115297044445</v>
      </c>
      <c r="AA18" s="57">
        <f t="shared" si="14"/>
        <v>0.54327478727945955</v>
      </c>
      <c r="AB18" s="57">
        <f t="shared" si="14"/>
        <v>0.50805983322557258</v>
      </c>
      <c r="AC18" s="57">
        <f t="shared" si="14"/>
        <v>0.48820498781193156</v>
      </c>
      <c r="AD18" s="57">
        <f t="shared" si="14"/>
        <v>0.49593455946718185</v>
      </c>
      <c r="AE18" s="57">
        <f t="shared" si="14"/>
        <v>0.51417826388419885</v>
      </c>
      <c r="AF18" s="57">
        <f t="shared" si="14"/>
        <v>0.46228185494930935</v>
      </c>
      <c r="AG18" s="57">
        <f t="shared" si="14"/>
        <v>0.44763687728325108</v>
      </c>
      <c r="AH18" s="57">
        <f t="shared" si="14"/>
        <v>0.4618643219984378</v>
      </c>
      <c r="AI18" s="57">
        <f t="shared" si="14"/>
        <v>0.48574255577667719</v>
      </c>
      <c r="AJ18" s="57">
        <f t="shared" si="14"/>
        <v>0.43083634012470878</v>
      </c>
      <c r="AK18" s="57">
        <f t="shared" si="14"/>
        <v>0.46038488939801481</v>
      </c>
      <c r="AL18" s="57">
        <f t="shared" si="14"/>
        <v>0.50097729976373728</v>
      </c>
      <c r="AM18" s="57">
        <f t="shared" si="14"/>
        <v>0.51613072326800635</v>
      </c>
      <c r="AN18" s="57">
        <f t="shared" si="14"/>
        <v>0.48462225520302515</v>
      </c>
      <c r="AO18" s="57">
        <f t="shared" si="14"/>
        <v>0.47607116512508341</v>
      </c>
      <c r="AP18" s="57">
        <f t="shared" si="14"/>
        <v>0.50208422505867534</v>
      </c>
      <c r="AQ18" s="57">
        <f t="shared" si="14"/>
        <v>0.50150316873128031</v>
      </c>
      <c r="AR18" s="57">
        <f t="shared" si="14"/>
        <v>0.44493175381527394</v>
      </c>
      <c r="AS18" s="57">
        <f t="shared" si="14"/>
        <v>0.40560167431698724</v>
      </c>
      <c r="AT18" s="57">
        <f t="shared" si="14"/>
        <v>0.36857622097312231</v>
      </c>
      <c r="AU18" s="57">
        <f t="shared" si="14"/>
        <v>0.33157158467018449</v>
      </c>
      <c r="AV18" s="57">
        <f t="shared" si="14"/>
        <v>0.34283214989331334</v>
      </c>
      <c r="AW18" s="57">
        <f t="shared" si="14"/>
        <v>0.31771567017973035</v>
      </c>
      <c r="AX18" s="57">
        <f t="shared" si="14"/>
        <v>0.30292711213693513</v>
      </c>
      <c r="AY18" s="57">
        <f t="shared" si="14"/>
        <v>0.31020375150713003</v>
      </c>
      <c r="AZ18" s="57">
        <f t="shared" si="14"/>
        <v>0.34443341037700076</v>
      </c>
      <c r="BA18" s="57">
        <f t="shared" si="14"/>
        <v>0.29237107558069764</v>
      </c>
      <c r="BB18" s="57">
        <f t="shared" si="14"/>
        <v>0.28116305097784661</v>
      </c>
      <c r="BC18" s="57">
        <f t="shared" si="14"/>
        <v>0.29491563392422387</v>
      </c>
      <c r="BD18" s="57">
        <f t="shared" si="14"/>
        <v>0.33346437731420747</v>
      </c>
      <c r="BE18" s="57">
        <f t="shared" si="14"/>
        <v>0.27878823859083868</v>
      </c>
      <c r="BF18" s="57">
        <f t="shared" si="14"/>
        <v>0.25322618055307067</v>
      </c>
      <c r="BG18" s="57">
        <f t="shared" si="14"/>
        <v>0.27219115072063638</v>
      </c>
      <c r="BH18" s="57">
        <f t="shared" si="14"/>
        <v>0.31258168558239374</v>
      </c>
      <c r="BI18" s="57">
        <f t="shared" si="14"/>
        <v>0.24867823988041823</v>
      </c>
      <c r="BJ18" s="57">
        <f t="shared" si="14"/>
        <v>0.2317486897654529</v>
      </c>
      <c r="BK18" s="57">
        <f t="shared" si="14"/>
        <v>0.25565490200855573</v>
      </c>
      <c r="BL18" s="57">
        <f t="shared" si="14"/>
        <v>0.30295220698950109</v>
      </c>
      <c r="BM18" s="57">
        <f t="shared" si="14"/>
        <v>0.20639594156367588</v>
      </c>
      <c r="BN18" s="57">
        <f t="shared" si="14"/>
        <v>0.22604271616270274</v>
      </c>
      <c r="BO18" s="57">
        <f t="shared" si="14"/>
        <v>0.24937402340611289</v>
      </c>
      <c r="BP18" s="57">
        <f t="shared" si="14"/>
        <v>0.29433688990338197</v>
      </c>
      <c r="BQ18" s="57">
        <f t="shared" si="14"/>
        <v>0.20883766221046998</v>
      </c>
      <c r="BR18" s="57">
        <f t="shared" ref="BR18:CK18" si="15">BR17/BR4</f>
        <v>0.26311565874010462</v>
      </c>
      <c r="BS18" s="57">
        <f t="shared" si="15"/>
        <v>0.23345930304554974</v>
      </c>
      <c r="BT18" s="57">
        <f t="shared" si="15"/>
        <v>0.249406006189729</v>
      </c>
      <c r="BU18" s="57">
        <f t="shared" si="15"/>
        <v>0.27685395135221019</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8">
        <v>0</v>
      </c>
      <c r="C20" s="188">
        <v>0</v>
      </c>
      <c r="D20" s="188">
        <v>0</v>
      </c>
      <c r="E20" s="188">
        <v>0</v>
      </c>
      <c r="F20" s="188">
        <v>0</v>
      </c>
      <c r="G20" s="188">
        <v>0</v>
      </c>
      <c r="H20" s="188">
        <v>0</v>
      </c>
      <c r="I20" s="188">
        <v>0</v>
      </c>
      <c r="J20" s="188">
        <v>0</v>
      </c>
      <c r="K20" s="188">
        <v>0</v>
      </c>
      <c r="L20" s="188">
        <v>0</v>
      </c>
      <c r="M20" s="188">
        <v>0</v>
      </c>
      <c r="N20" s="188">
        <v>0</v>
      </c>
      <c r="O20" s="188">
        <v>0</v>
      </c>
      <c r="P20" s="188">
        <v>0</v>
      </c>
      <c r="Q20" s="188">
        <v>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c r="AW20" s="188">
        <v>0</v>
      </c>
      <c r="AX20" s="188">
        <v>0</v>
      </c>
      <c r="AY20" s="188">
        <v>0</v>
      </c>
      <c r="AZ20" s="188">
        <v>0</v>
      </c>
      <c r="BA20" s="188">
        <v>0</v>
      </c>
      <c r="BB20" s="188">
        <v>0</v>
      </c>
      <c r="BC20" s="188">
        <v>0</v>
      </c>
      <c r="BD20" s="188">
        <v>0</v>
      </c>
      <c r="BE20" s="188">
        <v>0</v>
      </c>
      <c r="BF20" s="188">
        <v>0</v>
      </c>
      <c r="BG20" s="188">
        <v>0</v>
      </c>
      <c r="BH20" s="188">
        <v>0</v>
      </c>
      <c r="BI20" s="188">
        <v>0</v>
      </c>
      <c r="BJ20" s="188">
        <v>0</v>
      </c>
      <c r="BK20" s="188">
        <v>0</v>
      </c>
      <c r="BL20" s="188">
        <v>0</v>
      </c>
      <c r="BM20" s="188">
        <v>0</v>
      </c>
      <c r="BN20" s="188">
        <v>0</v>
      </c>
      <c r="BO20" s="188">
        <v>0</v>
      </c>
      <c r="BP20" s="188">
        <v>0</v>
      </c>
      <c r="BQ20" s="188">
        <v>0</v>
      </c>
      <c r="BR20" s="188">
        <v>0</v>
      </c>
      <c r="BS20" s="188">
        <v>0</v>
      </c>
      <c r="BT20" s="188">
        <v>0</v>
      </c>
      <c r="BU20" s="188">
        <v>0</v>
      </c>
      <c r="BV20" s="188">
        <v>0</v>
      </c>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400</v>
      </c>
      <c r="B22" s="188">
        <v>0</v>
      </c>
      <c r="C22" s="188">
        <v>0</v>
      </c>
      <c r="D22" s="188">
        <v>0</v>
      </c>
      <c r="E22" s="188">
        <v>0</v>
      </c>
      <c r="F22" s="188">
        <v>0</v>
      </c>
      <c r="G22" s="188">
        <v>0</v>
      </c>
      <c r="H22" s="188">
        <v>0</v>
      </c>
      <c r="I22" s="188">
        <v>0</v>
      </c>
      <c r="J22" s="188">
        <v>0</v>
      </c>
      <c r="K22" s="188">
        <v>0</v>
      </c>
      <c r="L22" s="188">
        <v>0</v>
      </c>
      <c r="M22" s="188">
        <v>0</v>
      </c>
      <c r="N22" s="188">
        <v>0</v>
      </c>
      <c r="O22" s="188">
        <v>0</v>
      </c>
      <c r="P22" s="188">
        <v>0</v>
      </c>
      <c r="Q22" s="188">
        <v>0</v>
      </c>
      <c r="R22" s="188">
        <v>0</v>
      </c>
      <c r="S22" s="188">
        <v>0</v>
      </c>
      <c r="T22" s="188">
        <v>0</v>
      </c>
      <c r="U22" s="188">
        <v>0</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v>0</v>
      </c>
      <c r="BL22" s="188">
        <v>0</v>
      </c>
      <c r="BM22" s="188">
        <v>0</v>
      </c>
      <c r="BN22" s="188">
        <v>0</v>
      </c>
      <c r="BO22" s="188">
        <v>0</v>
      </c>
      <c r="BP22" s="188">
        <v>0</v>
      </c>
      <c r="BQ22" s="188">
        <v>0</v>
      </c>
      <c r="BR22" s="188">
        <v>0</v>
      </c>
      <c r="BS22" s="188">
        <v>0</v>
      </c>
      <c r="BT22" s="188">
        <v>0</v>
      </c>
      <c r="BU22" s="188">
        <v>0</v>
      </c>
      <c r="BV22" s="188">
        <v>0</v>
      </c>
      <c r="BW22" s="188"/>
      <c r="BX22" s="188"/>
      <c r="BY22" s="188"/>
      <c r="BZ22" s="188"/>
      <c r="CA22" s="188"/>
      <c r="CB22" s="188"/>
      <c r="CC22" s="188"/>
      <c r="CD22" s="188"/>
      <c r="CE22" s="188"/>
      <c r="CF22" s="188"/>
      <c r="CG22" s="188"/>
      <c r="CH22" s="188"/>
      <c r="CI22" s="188"/>
      <c r="CJ22" s="188"/>
      <c r="CK22" s="188"/>
    </row>
    <row r="23" spans="1:89" s="7" customFormat="1" x14ac:dyDescent="0.25">
      <c r="A23" s="21" t="s">
        <v>401</v>
      </c>
      <c r="B23" s="29">
        <f>-B52</f>
        <v>25636</v>
      </c>
      <c r="C23" s="29">
        <f t="shared" ref="C23:BN23" si="16">-C52</f>
        <v>27718</v>
      </c>
      <c r="D23" s="29">
        <f t="shared" si="16"/>
        <v>35317</v>
      </c>
      <c r="E23" s="29">
        <f t="shared" si="16"/>
        <v>60687396.93</v>
      </c>
      <c r="F23" s="29">
        <f t="shared" si="16"/>
        <v>34414</v>
      </c>
      <c r="G23" s="29">
        <f t="shared" si="16"/>
        <v>23309</v>
      </c>
      <c r="H23" s="29">
        <f t="shared" si="16"/>
        <v>16814</v>
      </c>
      <c r="I23" s="29">
        <f t="shared" si="16"/>
        <v>71491803.299999997</v>
      </c>
      <c r="J23" s="29">
        <f t="shared" si="16"/>
        <v>0</v>
      </c>
      <c r="K23" s="29">
        <f t="shared" si="16"/>
        <v>0</v>
      </c>
      <c r="L23" s="29">
        <f t="shared" si="16"/>
        <v>0</v>
      </c>
      <c r="M23" s="29">
        <f t="shared" si="16"/>
        <v>110261058.02</v>
      </c>
      <c r="N23" s="29">
        <f t="shared" si="16"/>
        <v>0</v>
      </c>
      <c r="O23" s="29">
        <f t="shared" si="16"/>
        <v>0</v>
      </c>
      <c r="P23" s="29">
        <f t="shared" si="16"/>
        <v>0</v>
      </c>
      <c r="Q23" s="29">
        <f t="shared" si="16"/>
        <v>134292919.63</v>
      </c>
      <c r="R23" s="29">
        <f t="shared" si="16"/>
        <v>0</v>
      </c>
      <c r="S23" s="29">
        <f t="shared" si="16"/>
        <v>0</v>
      </c>
      <c r="T23" s="29">
        <f t="shared" si="16"/>
        <v>0</v>
      </c>
      <c r="U23" s="29">
        <f t="shared" si="16"/>
        <v>429509360.86000001</v>
      </c>
      <c r="V23" s="29">
        <f t="shared" si="16"/>
        <v>0</v>
      </c>
      <c r="W23" s="29">
        <f t="shared" si="16"/>
        <v>0</v>
      </c>
      <c r="X23" s="29">
        <f t="shared" si="16"/>
        <v>0</v>
      </c>
      <c r="Y23" s="29">
        <f t="shared" si="16"/>
        <v>421711334.77999997</v>
      </c>
      <c r="Z23" s="29">
        <f t="shared" si="16"/>
        <v>0</v>
      </c>
      <c r="AA23" s="29">
        <f t="shared" si="16"/>
        <v>0</v>
      </c>
      <c r="AB23" s="29">
        <f t="shared" si="16"/>
        <v>0</v>
      </c>
      <c r="AC23" s="29">
        <f t="shared" si="16"/>
        <v>352218795.39999998</v>
      </c>
      <c r="AD23" s="29">
        <f t="shared" si="16"/>
        <v>0</v>
      </c>
      <c r="AE23" s="29">
        <f t="shared" si="16"/>
        <v>0</v>
      </c>
      <c r="AF23" s="29">
        <f t="shared" si="16"/>
        <v>0</v>
      </c>
      <c r="AG23" s="29">
        <f t="shared" si="16"/>
        <v>176861209.69</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0</v>
      </c>
      <c r="C24" s="26">
        <f t="shared" ref="C24:BN24" si="18">C67</f>
        <v>0</v>
      </c>
      <c r="D24" s="26">
        <f t="shared" si="18"/>
        <v>0</v>
      </c>
      <c r="E24" s="26">
        <f>E67</f>
        <v>0</v>
      </c>
      <c r="F24" s="26">
        <f t="shared" si="18"/>
        <v>0</v>
      </c>
      <c r="G24" s="26">
        <f t="shared" si="18"/>
        <v>0</v>
      </c>
      <c r="H24" s="26">
        <f t="shared" si="18"/>
        <v>0</v>
      </c>
      <c r="I24" s="26">
        <f t="shared" si="18"/>
        <v>0</v>
      </c>
      <c r="J24" s="26">
        <f t="shared" si="18"/>
        <v>0</v>
      </c>
      <c r="K24" s="26">
        <f t="shared" si="18"/>
        <v>0</v>
      </c>
      <c r="L24" s="26">
        <f t="shared" si="18"/>
        <v>0</v>
      </c>
      <c r="M24" s="26">
        <f t="shared" si="18"/>
        <v>3869276.9</v>
      </c>
      <c r="N24" s="26">
        <f t="shared" si="18"/>
        <v>3868919.86</v>
      </c>
      <c r="O24" s="26">
        <f t="shared" si="18"/>
        <v>3342169.86</v>
      </c>
      <c r="P24" s="26">
        <f t="shared" si="18"/>
        <v>332169.86</v>
      </c>
      <c r="Q24" s="26">
        <f t="shared" si="18"/>
        <v>3095265.75</v>
      </c>
      <c r="R24" s="26">
        <f t="shared" si="18"/>
        <v>3010000</v>
      </c>
      <c r="S24" s="26">
        <f t="shared" si="18"/>
        <v>3010000</v>
      </c>
      <c r="T24" s="26">
        <f t="shared" si="18"/>
        <v>0</v>
      </c>
      <c r="U24" s="26">
        <f t="shared" si="18"/>
        <v>3010000</v>
      </c>
      <c r="V24" s="26">
        <f t="shared" si="18"/>
        <v>3010000</v>
      </c>
      <c r="W24" s="26">
        <f t="shared" si="18"/>
        <v>3010000</v>
      </c>
      <c r="X24" s="26">
        <f t="shared" si="18"/>
        <v>0</v>
      </c>
      <c r="Y24" s="26">
        <f t="shared" si="18"/>
        <v>3103250</v>
      </c>
      <c r="Z24" s="26">
        <f t="shared" si="18"/>
        <v>3103250</v>
      </c>
      <c r="AA24" s="26">
        <f t="shared" si="18"/>
        <v>3103250</v>
      </c>
      <c r="AB24" s="26">
        <f t="shared" si="18"/>
        <v>93250</v>
      </c>
      <c r="AC24" s="26">
        <f t="shared" si="18"/>
        <v>3383000</v>
      </c>
      <c r="AD24" s="26">
        <f t="shared" si="18"/>
        <v>3289750</v>
      </c>
      <c r="AE24" s="26">
        <f t="shared" si="18"/>
        <v>3196500</v>
      </c>
      <c r="AF24" s="26">
        <f t="shared" si="18"/>
        <v>93250</v>
      </c>
      <c r="AG24" s="26">
        <f t="shared" si="18"/>
        <v>469050</v>
      </c>
      <c r="AH24" s="26">
        <f t="shared" si="18"/>
        <v>375800</v>
      </c>
      <c r="AI24" s="26">
        <f t="shared" si="18"/>
        <v>282550</v>
      </c>
      <c r="AJ24" s="26">
        <f t="shared" si="18"/>
        <v>0</v>
      </c>
      <c r="AK24" s="26">
        <f t="shared" si="18"/>
        <v>1209447.26</v>
      </c>
      <c r="AL24" s="26">
        <f t="shared" si="18"/>
        <v>972122.26</v>
      </c>
      <c r="AM24" s="26">
        <f t="shared" si="18"/>
        <v>734797.26</v>
      </c>
      <c r="AN24" s="26">
        <f t="shared" si="18"/>
        <v>301075</v>
      </c>
      <c r="AO24" s="26">
        <f t="shared" si="18"/>
        <v>1322250</v>
      </c>
      <c r="AP24" s="26">
        <f t="shared" si="18"/>
        <v>1021175</v>
      </c>
      <c r="AQ24" s="26">
        <f t="shared" si="18"/>
        <v>720100</v>
      </c>
      <c r="AR24" s="26">
        <f t="shared" si="18"/>
        <v>419025</v>
      </c>
      <c r="AS24" s="26">
        <f t="shared" si="18"/>
        <v>1814950</v>
      </c>
      <c r="AT24" s="26">
        <f t="shared" si="18"/>
        <v>859950</v>
      </c>
      <c r="AU24" s="26">
        <f t="shared" si="18"/>
        <v>859950</v>
      </c>
      <c r="AV24" s="26">
        <f t="shared" si="18"/>
        <v>0</v>
      </c>
      <c r="AW24" s="26">
        <f t="shared" si="18"/>
        <v>3012928.94</v>
      </c>
      <c r="AX24" s="26">
        <f t="shared" si="18"/>
        <v>144435.35999999999</v>
      </c>
      <c r="AY24" s="26">
        <f t="shared" si="18"/>
        <v>144435.35999999999</v>
      </c>
      <c r="AZ24" s="26">
        <f t="shared" si="18"/>
        <v>0</v>
      </c>
      <c r="BA24" s="26">
        <f t="shared" si="18"/>
        <v>427953.6</v>
      </c>
      <c r="BB24" s="26">
        <f t="shared" si="18"/>
        <v>23718.23</v>
      </c>
      <c r="BC24" s="26">
        <f t="shared" si="18"/>
        <v>23718.23</v>
      </c>
      <c r="BD24" s="26">
        <f t="shared" si="18"/>
        <v>-187658.6</v>
      </c>
      <c r="BE24" s="26">
        <f t="shared" si="18"/>
        <v>315063.71000000002</v>
      </c>
      <c r="BF24" s="26">
        <f t="shared" si="18"/>
        <v>0</v>
      </c>
      <c r="BG24" s="26">
        <f t="shared" si="18"/>
        <v>0</v>
      </c>
      <c r="BH24" s="26">
        <f t="shared" si="18"/>
        <v>0</v>
      </c>
      <c r="BI24" s="26">
        <f t="shared" si="18"/>
        <v>0</v>
      </c>
      <c r="BJ24" s="26">
        <f t="shared" si="18"/>
        <v>0</v>
      </c>
      <c r="BK24" s="26">
        <f t="shared" si="18"/>
        <v>0</v>
      </c>
      <c r="BL24" s="26">
        <f t="shared" si="18"/>
        <v>0</v>
      </c>
      <c r="BM24" s="26">
        <f t="shared" si="18"/>
        <v>0</v>
      </c>
      <c r="BN24" s="26">
        <f t="shared" si="18"/>
        <v>0</v>
      </c>
      <c r="BO24" s="26">
        <f t="shared" ref="BO24:CJ24" si="19">BO67</f>
        <v>0</v>
      </c>
      <c r="BP24" s="26">
        <f t="shared" si="19"/>
        <v>0</v>
      </c>
      <c r="BQ24" s="26">
        <f t="shared" si="19"/>
        <v>0</v>
      </c>
      <c r="BR24" s="26">
        <f t="shared" si="19"/>
        <v>0</v>
      </c>
      <c r="BS24" s="26">
        <f t="shared" si="19"/>
        <v>0</v>
      </c>
      <c r="BT24" s="26">
        <f t="shared" si="19"/>
        <v>0</v>
      </c>
      <c r="BU24" s="26">
        <f t="shared" si="19"/>
        <v>0</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0</v>
      </c>
      <c r="F25" s="29">
        <f t="shared" si="20"/>
        <v>-2684</v>
      </c>
      <c r="G25" s="29">
        <f t="shared" si="20"/>
        <v>377</v>
      </c>
      <c r="H25" s="29">
        <f t="shared" si="20"/>
        <v>-1008</v>
      </c>
      <c r="I25" s="29">
        <f t="shared" si="20"/>
        <v>0</v>
      </c>
      <c r="J25" s="29">
        <f t="shared" si="20"/>
        <v>0</v>
      </c>
      <c r="K25" s="29">
        <f t="shared" si="20"/>
        <v>0</v>
      </c>
      <c r="L25" s="29">
        <f t="shared" si="20"/>
        <v>0</v>
      </c>
      <c r="M25" s="29">
        <f t="shared" si="20"/>
        <v>0</v>
      </c>
      <c r="N25" s="29">
        <f t="shared" si="20"/>
        <v>0</v>
      </c>
      <c r="O25" s="29">
        <f t="shared" si="20"/>
        <v>0</v>
      </c>
      <c r="P25" s="29">
        <f t="shared" si="20"/>
        <v>0</v>
      </c>
      <c r="Q25" s="29">
        <f t="shared" si="20"/>
        <v>0</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-1114988.48</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8">
        <v>1472775.26</v>
      </c>
      <c r="C26" s="188">
        <v>-1112190.02</v>
      </c>
      <c r="D26" s="188">
        <v>-482072.99</v>
      </c>
      <c r="E26" s="188">
        <v>3839265.16</v>
      </c>
      <c r="F26" s="188">
        <v>4011233.4</v>
      </c>
      <c r="G26" s="188">
        <v>3447000.51</v>
      </c>
      <c r="H26" s="188">
        <v>511001.79</v>
      </c>
      <c r="I26" s="188">
        <v>1793233.91</v>
      </c>
      <c r="J26" s="188">
        <v>3205168.24</v>
      </c>
      <c r="K26" s="188">
        <v>2292209.29</v>
      </c>
      <c r="L26" s="188">
        <v>3517202.39</v>
      </c>
      <c r="M26" s="188">
        <v>-12415031.48</v>
      </c>
      <c r="N26" s="188">
        <v>-11853282.279999999</v>
      </c>
      <c r="O26" s="188">
        <v>-14289160.189999999</v>
      </c>
      <c r="P26" s="188">
        <v>-10342175.050000001</v>
      </c>
      <c r="Q26" s="188">
        <v>-619043.99</v>
      </c>
      <c r="R26" s="188">
        <v>0</v>
      </c>
      <c r="S26" s="188">
        <v>0</v>
      </c>
      <c r="T26" s="188">
        <v>0</v>
      </c>
      <c r="U26" s="188">
        <v>0</v>
      </c>
      <c r="V26" s="188">
        <v>0</v>
      </c>
      <c r="W26" s="188">
        <v>0</v>
      </c>
      <c r="X26" s="188">
        <v>0</v>
      </c>
      <c r="Y26" s="188">
        <v>0</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v>0</v>
      </c>
      <c r="BL26" s="188">
        <v>0</v>
      </c>
      <c r="BM26" s="188">
        <v>0</v>
      </c>
      <c r="BN26" s="188">
        <v>0</v>
      </c>
      <c r="BO26" s="188">
        <v>0</v>
      </c>
      <c r="BP26" s="188">
        <v>0</v>
      </c>
      <c r="BQ26" s="188">
        <v>0</v>
      </c>
      <c r="BR26" s="188">
        <v>0</v>
      </c>
      <c r="BS26" s="188">
        <v>0</v>
      </c>
      <c r="BT26" s="188">
        <v>0</v>
      </c>
      <c r="BU26" s="188">
        <v>0</v>
      </c>
      <c r="BV26" s="188">
        <v>0</v>
      </c>
      <c r="BW26" s="188"/>
      <c r="BX26" s="188"/>
      <c r="BY26" s="188"/>
      <c r="BZ26" s="188"/>
      <c r="CA26" s="188"/>
      <c r="CB26" s="188"/>
      <c r="CC26" s="188"/>
      <c r="CD26" s="188"/>
      <c r="CE26" s="188"/>
      <c r="CF26" s="188"/>
      <c r="CG26" s="188"/>
      <c r="CH26" s="188"/>
      <c r="CI26" s="188"/>
      <c r="CJ26" s="188"/>
      <c r="CK26" s="188"/>
    </row>
    <row r="27" spans="1:89" x14ac:dyDescent="0.25">
      <c r="A27" s="17" t="s">
        <v>405</v>
      </c>
      <c r="B27" s="26">
        <f>SUM(B22:B26)</f>
        <v>1495307.26</v>
      </c>
      <c r="C27" s="26">
        <f t="shared" ref="C27:BN27" si="22">SUM(C22:C26)</f>
        <v>-1083048.02</v>
      </c>
      <c r="D27" s="26">
        <f t="shared" si="22"/>
        <v>-446415.99</v>
      </c>
      <c r="E27" s="26">
        <f t="shared" si="22"/>
        <v>64526662.090000004</v>
      </c>
      <c r="F27" s="26">
        <f t="shared" si="22"/>
        <v>4042963.4</v>
      </c>
      <c r="G27" s="26">
        <f t="shared" si="22"/>
        <v>3470686.51</v>
      </c>
      <c r="H27" s="26">
        <f t="shared" si="22"/>
        <v>526807.79</v>
      </c>
      <c r="I27" s="26">
        <f t="shared" si="22"/>
        <v>73285037.209999993</v>
      </c>
      <c r="J27" s="26">
        <f t="shared" si="22"/>
        <v>3205168.24</v>
      </c>
      <c r="K27" s="26">
        <f t="shared" si="22"/>
        <v>2292209.29</v>
      </c>
      <c r="L27" s="26">
        <f t="shared" si="22"/>
        <v>3517202.39</v>
      </c>
      <c r="M27" s="26">
        <f t="shared" si="22"/>
        <v>101715303.44</v>
      </c>
      <c r="N27" s="26">
        <f t="shared" si="22"/>
        <v>-7984362.4199999999</v>
      </c>
      <c r="O27" s="26">
        <f t="shared" si="22"/>
        <v>-10946990.33</v>
      </c>
      <c r="P27" s="26">
        <f t="shared" si="22"/>
        <v>-10010005.190000001</v>
      </c>
      <c r="Q27" s="26">
        <f t="shared" si="22"/>
        <v>136769141.38999999</v>
      </c>
      <c r="R27" s="26">
        <f t="shared" si="22"/>
        <v>3010000</v>
      </c>
      <c r="S27" s="26">
        <f t="shared" si="22"/>
        <v>3010000</v>
      </c>
      <c r="T27" s="26">
        <f t="shared" si="22"/>
        <v>0</v>
      </c>
      <c r="U27" s="26">
        <f t="shared" si="22"/>
        <v>432519360.86000001</v>
      </c>
      <c r="V27" s="26">
        <f t="shared" si="22"/>
        <v>3010000</v>
      </c>
      <c r="W27" s="26">
        <f t="shared" si="22"/>
        <v>3010000</v>
      </c>
      <c r="X27" s="26">
        <f t="shared" si="22"/>
        <v>0</v>
      </c>
      <c r="Y27" s="26">
        <f t="shared" si="22"/>
        <v>424814584.77999997</v>
      </c>
      <c r="Z27" s="26">
        <f t="shared" si="22"/>
        <v>3103250</v>
      </c>
      <c r="AA27" s="26">
        <f t="shared" si="22"/>
        <v>3103250</v>
      </c>
      <c r="AB27" s="26">
        <f t="shared" si="22"/>
        <v>93250</v>
      </c>
      <c r="AC27" s="26">
        <f t="shared" si="22"/>
        <v>354486806.91999996</v>
      </c>
      <c r="AD27" s="26">
        <f t="shared" si="22"/>
        <v>3289750</v>
      </c>
      <c r="AE27" s="26">
        <f t="shared" si="22"/>
        <v>3196500</v>
      </c>
      <c r="AF27" s="26">
        <f t="shared" si="22"/>
        <v>93250</v>
      </c>
      <c r="AG27" s="26">
        <f t="shared" si="22"/>
        <v>177330259.69</v>
      </c>
      <c r="AH27" s="26">
        <f t="shared" si="22"/>
        <v>375800</v>
      </c>
      <c r="AI27" s="26">
        <f t="shared" si="22"/>
        <v>282550</v>
      </c>
      <c r="AJ27" s="26">
        <f t="shared" si="22"/>
        <v>0</v>
      </c>
      <c r="AK27" s="26">
        <f t="shared" si="22"/>
        <v>1209447.26</v>
      </c>
      <c r="AL27" s="26">
        <f t="shared" si="22"/>
        <v>972122.26</v>
      </c>
      <c r="AM27" s="26">
        <f t="shared" si="22"/>
        <v>734797.26</v>
      </c>
      <c r="AN27" s="26">
        <f t="shared" si="22"/>
        <v>301075</v>
      </c>
      <c r="AO27" s="26">
        <f t="shared" si="22"/>
        <v>1322250</v>
      </c>
      <c r="AP27" s="26">
        <f t="shared" si="22"/>
        <v>1021175</v>
      </c>
      <c r="AQ27" s="26">
        <f t="shared" si="22"/>
        <v>720100</v>
      </c>
      <c r="AR27" s="26">
        <f t="shared" si="22"/>
        <v>419025</v>
      </c>
      <c r="AS27" s="26">
        <f t="shared" si="22"/>
        <v>1814950</v>
      </c>
      <c r="AT27" s="26">
        <f t="shared" si="22"/>
        <v>859950</v>
      </c>
      <c r="AU27" s="26">
        <f t="shared" si="22"/>
        <v>859950</v>
      </c>
      <c r="AV27" s="26">
        <f t="shared" si="22"/>
        <v>0</v>
      </c>
      <c r="AW27" s="26">
        <f t="shared" si="22"/>
        <v>3012928.94</v>
      </c>
      <c r="AX27" s="26">
        <f t="shared" si="22"/>
        <v>144435.35999999999</v>
      </c>
      <c r="AY27" s="26">
        <f t="shared" si="22"/>
        <v>144435.35999999999</v>
      </c>
      <c r="AZ27" s="26">
        <f t="shared" si="22"/>
        <v>0</v>
      </c>
      <c r="BA27" s="26">
        <f t="shared" si="22"/>
        <v>427953.6</v>
      </c>
      <c r="BB27" s="26">
        <f t="shared" si="22"/>
        <v>23718.23</v>
      </c>
      <c r="BC27" s="26">
        <f t="shared" si="22"/>
        <v>23718.23</v>
      </c>
      <c r="BD27" s="26">
        <f t="shared" si="22"/>
        <v>-187658.6</v>
      </c>
      <c r="BE27" s="26">
        <f t="shared" si="22"/>
        <v>315063.71000000002</v>
      </c>
      <c r="BF27" s="26">
        <f t="shared" si="22"/>
        <v>0</v>
      </c>
      <c r="BG27" s="26">
        <f t="shared" si="22"/>
        <v>0</v>
      </c>
      <c r="BH27" s="26">
        <f t="shared" si="22"/>
        <v>0</v>
      </c>
      <c r="BI27" s="26">
        <f t="shared" si="22"/>
        <v>0</v>
      </c>
      <c r="BJ27" s="26">
        <f t="shared" si="22"/>
        <v>0</v>
      </c>
      <c r="BK27" s="26">
        <f t="shared" si="22"/>
        <v>0</v>
      </c>
      <c r="BL27" s="26">
        <f t="shared" si="22"/>
        <v>0</v>
      </c>
      <c r="BM27" s="26">
        <f t="shared" si="22"/>
        <v>0</v>
      </c>
      <c r="BN27" s="26">
        <f t="shared" si="22"/>
        <v>0</v>
      </c>
      <c r="BO27" s="26">
        <f t="shared" ref="BO27:CJ27" si="23">SUM(BO22:BO26)</f>
        <v>0</v>
      </c>
      <c r="BP27" s="26">
        <f t="shared" si="23"/>
        <v>0</v>
      </c>
      <c r="BQ27" s="26">
        <f t="shared" si="23"/>
        <v>0</v>
      </c>
      <c r="BR27" s="26">
        <f t="shared" si="23"/>
        <v>0</v>
      </c>
      <c r="BS27" s="26">
        <f t="shared" si="23"/>
        <v>0</v>
      </c>
      <c r="BT27" s="26">
        <f t="shared" si="23"/>
        <v>0</v>
      </c>
      <c r="BU27" s="26">
        <f t="shared" si="23"/>
        <v>0</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6156.0475656327353</v>
      </c>
      <c r="C28" s="26">
        <f t="shared" ref="C28:BN28" si="24">SUM(C22:C25)*C41</f>
        <v>8080.0465253096481</v>
      </c>
      <c r="D28" s="26">
        <f t="shared" si="24"/>
        <v>9626.019409892433</v>
      </c>
      <c r="E28" s="26">
        <f t="shared" si="24"/>
        <v>16394854.801883575</v>
      </c>
      <c r="F28" s="26">
        <f t="shared" si="24"/>
        <v>8517.1156201458289</v>
      </c>
      <c r="G28" s="26">
        <f t="shared" si="24"/>
        <v>6441.4700671543369</v>
      </c>
      <c r="H28" s="26">
        <f t="shared" si="24"/>
        <v>4268.6780033907899</v>
      </c>
      <c r="I28" s="26">
        <f t="shared" si="24"/>
        <v>18908139.230527356</v>
      </c>
      <c r="J28" s="26">
        <f t="shared" si="24"/>
        <v>0</v>
      </c>
      <c r="K28" s="26">
        <f t="shared" si="24"/>
        <v>0</v>
      </c>
      <c r="L28" s="26">
        <f t="shared" si="24"/>
        <v>0</v>
      </c>
      <c r="M28" s="26">
        <f t="shared" si="24"/>
        <v>29756067.360373147</v>
      </c>
      <c r="N28" s="26">
        <f t="shared" si="24"/>
        <v>999967.57891954249</v>
      </c>
      <c r="O28" s="26">
        <f t="shared" si="24"/>
        <v>865349.35623077047</v>
      </c>
      <c r="P28" s="26">
        <f t="shared" si="24"/>
        <v>87271.235617532016</v>
      </c>
      <c r="Q28" s="26">
        <f t="shared" si="24"/>
        <v>36209771.060945295</v>
      </c>
      <c r="R28" s="26">
        <f t="shared" si="24"/>
        <v>775224.88254889392</v>
      </c>
      <c r="S28" s="26">
        <f t="shared" si="24"/>
        <v>773398.68503384839</v>
      </c>
      <c r="T28" s="26">
        <f t="shared" si="24"/>
        <v>0</v>
      </c>
      <c r="U28" s="26">
        <f t="shared" si="24"/>
        <v>110925120.80611269</v>
      </c>
      <c r="V28" s="26">
        <f t="shared" si="24"/>
        <v>772007.7564793257</v>
      </c>
      <c r="W28" s="26">
        <f t="shared" si="24"/>
        <v>745209.83984451415</v>
      </c>
      <c r="X28" s="26">
        <f t="shared" si="24"/>
        <v>0</v>
      </c>
      <c r="Y28" s="26">
        <f t="shared" si="24"/>
        <v>106591387.19054903</v>
      </c>
      <c r="Z28" s="26">
        <f t="shared" si="24"/>
        <v>776017.33393847221</v>
      </c>
      <c r="AA28" s="26">
        <f t="shared" si="24"/>
        <v>776190.13877144805</v>
      </c>
      <c r="AB28" s="26">
        <f t="shared" si="24"/>
        <v>23350.60315610722</v>
      </c>
      <c r="AC28" s="26">
        <f t="shared" si="24"/>
        <v>88651547.147444829</v>
      </c>
      <c r="AD28" s="26">
        <f t="shared" si="24"/>
        <v>832701.22465530108</v>
      </c>
      <c r="AE28" s="26">
        <f t="shared" si="24"/>
        <v>798755.55527055135</v>
      </c>
      <c r="AF28" s="26">
        <f t="shared" si="24"/>
        <v>23287.491900980389</v>
      </c>
      <c r="AG28" s="26">
        <f t="shared" si="24"/>
        <v>45127889.485286884</v>
      </c>
      <c r="AH28" s="26">
        <f t="shared" si="24"/>
        <v>94634.176568444003</v>
      </c>
      <c r="AI28" s="26">
        <f t="shared" si="24"/>
        <v>71190.955878071865</v>
      </c>
      <c r="AJ28" s="26">
        <f t="shared" si="24"/>
        <v>0</v>
      </c>
      <c r="AK28" s="26">
        <f t="shared" si="24"/>
        <v>303856.77578741172</v>
      </c>
      <c r="AL28" s="26">
        <f t="shared" si="24"/>
        <v>242889.38845957036</v>
      </c>
      <c r="AM28" s="26">
        <f t="shared" si="24"/>
        <v>183794.71800967611</v>
      </c>
      <c r="AN28" s="26">
        <f t="shared" si="24"/>
        <v>75258.47352457224</v>
      </c>
      <c r="AO28" s="26">
        <f t="shared" si="24"/>
        <v>339945.68741576554</v>
      </c>
      <c r="AP28" s="26">
        <f t="shared" si="24"/>
        <v>254996.80626441439</v>
      </c>
      <c r="AQ28" s="26">
        <f t="shared" si="24"/>
        <v>179957.01187685892</v>
      </c>
      <c r="AR28" s="26">
        <f t="shared" si="24"/>
        <v>104711.55228301263</v>
      </c>
      <c r="AS28" s="26">
        <f t="shared" si="24"/>
        <v>624501.69815404364</v>
      </c>
      <c r="AT28" s="26">
        <f t="shared" si="24"/>
        <v>287613.21574846242</v>
      </c>
      <c r="AU28" s="26">
        <f t="shared" si="24"/>
        <v>295132.43718455912</v>
      </c>
      <c r="AV28" s="26">
        <f t="shared" si="24"/>
        <v>0</v>
      </c>
      <c r="AW28" s="26">
        <f t="shared" si="24"/>
        <v>1106975.5455042603</v>
      </c>
      <c r="AX28" s="26">
        <f t="shared" si="24"/>
        <v>52841.932015721148</v>
      </c>
      <c r="AY28" s="26">
        <f t="shared" si="24"/>
        <v>50224.368222913057</v>
      </c>
      <c r="AZ28" s="26">
        <f t="shared" si="24"/>
        <v>0</v>
      </c>
      <c r="BA28" s="26">
        <f t="shared" si="24"/>
        <v>167402.7482228502</v>
      </c>
      <c r="BB28" s="26">
        <f t="shared" si="24"/>
        <v>8577.3805901501655</v>
      </c>
      <c r="BC28" s="26">
        <f t="shared" si="24"/>
        <v>7963.7283988212776</v>
      </c>
      <c r="BD28" s="26">
        <f t="shared" si="24"/>
        <v>-58423.263398114665</v>
      </c>
      <c r="BE28" s="26">
        <f t="shared" si="24"/>
        <v>134528.81808662595</v>
      </c>
      <c r="BF28" s="26">
        <f t="shared" si="24"/>
        <v>0</v>
      </c>
      <c r="BG28" s="26">
        <f t="shared" si="24"/>
        <v>0</v>
      </c>
      <c r="BH28" s="26">
        <f t="shared" si="24"/>
        <v>0</v>
      </c>
      <c r="BI28" s="26">
        <f t="shared" si="24"/>
        <v>0</v>
      </c>
      <c r="BJ28" s="26">
        <f t="shared" si="24"/>
        <v>0</v>
      </c>
      <c r="BK28" s="26">
        <f t="shared" si="24"/>
        <v>0</v>
      </c>
      <c r="BL28" s="26">
        <f t="shared" si="24"/>
        <v>0</v>
      </c>
      <c r="BM28" s="26">
        <f t="shared" si="24"/>
        <v>0</v>
      </c>
      <c r="BN28" s="26">
        <f t="shared" si="24"/>
        <v>0</v>
      </c>
      <c r="BO28" s="26">
        <f t="shared" ref="BO28:CJ28" si="25">SUM(BO22:BO25)*BO41</f>
        <v>0</v>
      </c>
      <c r="BP28" s="26">
        <f t="shared" si="25"/>
        <v>0</v>
      </c>
      <c r="BQ28" s="26">
        <f t="shared" si="25"/>
        <v>0</v>
      </c>
      <c r="BR28" s="26">
        <f t="shared" si="25"/>
        <v>0</v>
      </c>
      <c r="BS28" s="26">
        <f t="shared" si="25"/>
        <v>0</v>
      </c>
      <c r="BT28" s="26">
        <f t="shared" si="25"/>
        <v>0</v>
      </c>
      <c r="BU28" s="26">
        <f t="shared" si="25"/>
        <v>0</v>
      </c>
      <c r="BV28" s="26" t="e">
        <f t="shared" si="25"/>
        <v>#DIV/0!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1489151.2124343673</v>
      </c>
      <c r="C29" s="28">
        <f t="shared" ref="C29:BN29" si="26">C27-C28</f>
        <v>-1091128.0665253096</v>
      </c>
      <c r="D29" s="28">
        <f t="shared" si="26"/>
        <v>-456042.00940989243</v>
      </c>
      <c r="E29" s="28">
        <f t="shared" si="26"/>
        <v>48131807.288116425</v>
      </c>
      <c r="F29" s="28">
        <f t="shared" si="26"/>
        <v>4034446.2843798539</v>
      </c>
      <c r="G29" s="28">
        <f t="shared" si="26"/>
        <v>3464245.0399328456</v>
      </c>
      <c r="H29" s="28">
        <f t="shared" si="26"/>
        <v>522539.11199660925</v>
      </c>
      <c r="I29" s="28">
        <f t="shared" si="26"/>
        <v>54376897.979472637</v>
      </c>
      <c r="J29" s="28">
        <f t="shared" si="26"/>
        <v>3205168.24</v>
      </c>
      <c r="K29" s="28">
        <f t="shared" si="26"/>
        <v>2292209.29</v>
      </c>
      <c r="L29" s="28">
        <f t="shared" si="26"/>
        <v>3517202.39</v>
      </c>
      <c r="M29" s="28">
        <f t="shared" si="26"/>
        <v>71959236.079626858</v>
      </c>
      <c r="N29" s="28">
        <f t="shared" si="26"/>
        <v>-8984329.9989195429</v>
      </c>
      <c r="O29" s="28">
        <f t="shared" si="26"/>
        <v>-11812339.686230771</v>
      </c>
      <c r="P29" s="28">
        <f t="shared" si="26"/>
        <v>-10097276.425617533</v>
      </c>
      <c r="Q29" s="28">
        <f t="shared" si="26"/>
        <v>100559370.32905468</v>
      </c>
      <c r="R29" s="28">
        <f t="shared" si="26"/>
        <v>2234775.1174511062</v>
      </c>
      <c r="S29" s="28">
        <f t="shared" si="26"/>
        <v>2236601.3149661515</v>
      </c>
      <c r="T29" s="28">
        <f t="shared" si="26"/>
        <v>0</v>
      </c>
      <c r="U29" s="28">
        <f t="shared" si="26"/>
        <v>321594240.05388731</v>
      </c>
      <c r="V29" s="28">
        <f t="shared" si="26"/>
        <v>2237992.2435206743</v>
      </c>
      <c r="W29" s="28">
        <f t="shared" si="26"/>
        <v>2264790.1601554858</v>
      </c>
      <c r="X29" s="28">
        <f t="shared" si="26"/>
        <v>0</v>
      </c>
      <c r="Y29" s="28">
        <f t="shared" si="26"/>
        <v>318223197.58945096</v>
      </c>
      <c r="Z29" s="28">
        <f t="shared" si="26"/>
        <v>2327232.666061528</v>
      </c>
      <c r="AA29" s="28">
        <f t="shared" si="26"/>
        <v>2327059.8612285517</v>
      </c>
      <c r="AB29" s="28">
        <f t="shared" si="26"/>
        <v>69899.396843892784</v>
      </c>
      <c r="AC29" s="28">
        <f t="shared" si="26"/>
        <v>265835259.77255511</v>
      </c>
      <c r="AD29" s="28">
        <f t="shared" si="26"/>
        <v>2457048.7753446987</v>
      </c>
      <c r="AE29" s="28">
        <f t="shared" si="26"/>
        <v>2397744.4447294488</v>
      </c>
      <c r="AF29" s="28">
        <f t="shared" si="26"/>
        <v>69962.508099019615</v>
      </c>
      <c r="AG29" s="28">
        <f t="shared" si="26"/>
        <v>132202370.20471311</v>
      </c>
      <c r="AH29" s="28">
        <f t="shared" si="26"/>
        <v>281165.823431556</v>
      </c>
      <c r="AI29" s="28">
        <f t="shared" si="26"/>
        <v>211359.04412192813</v>
      </c>
      <c r="AJ29" s="28">
        <f t="shared" si="26"/>
        <v>0</v>
      </c>
      <c r="AK29" s="28">
        <f t="shared" si="26"/>
        <v>905590.48421258829</v>
      </c>
      <c r="AL29" s="28">
        <f t="shared" si="26"/>
        <v>729232.87154042965</v>
      </c>
      <c r="AM29" s="28">
        <f t="shared" si="26"/>
        <v>551002.54199032392</v>
      </c>
      <c r="AN29" s="28">
        <f t="shared" si="26"/>
        <v>225816.52647542776</v>
      </c>
      <c r="AO29" s="28">
        <f t="shared" si="26"/>
        <v>982304.3125842344</v>
      </c>
      <c r="AP29" s="28">
        <f t="shared" si="26"/>
        <v>766178.19373558555</v>
      </c>
      <c r="AQ29" s="28">
        <f t="shared" si="26"/>
        <v>540142.98812314111</v>
      </c>
      <c r="AR29" s="28">
        <f t="shared" si="26"/>
        <v>314313.44771698734</v>
      </c>
      <c r="AS29" s="28">
        <f t="shared" si="26"/>
        <v>1190448.3018459564</v>
      </c>
      <c r="AT29" s="28">
        <f t="shared" si="26"/>
        <v>572336.78425153764</v>
      </c>
      <c r="AU29" s="28">
        <f t="shared" si="26"/>
        <v>564817.56281544082</v>
      </c>
      <c r="AV29" s="28">
        <f t="shared" si="26"/>
        <v>0</v>
      </c>
      <c r="AW29" s="28">
        <f t="shared" si="26"/>
        <v>1905953.3944957396</v>
      </c>
      <c r="AX29" s="28">
        <f t="shared" si="26"/>
        <v>91593.427984278838</v>
      </c>
      <c r="AY29" s="28">
        <f t="shared" si="26"/>
        <v>94210.991777086922</v>
      </c>
      <c r="AZ29" s="28">
        <f t="shared" si="26"/>
        <v>0</v>
      </c>
      <c r="BA29" s="28">
        <f t="shared" si="26"/>
        <v>260550.85177714977</v>
      </c>
      <c r="BB29" s="28">
        <f t="shared" si="26"/>
        <v>15140.849409849834</v>
      </c>
      <c r="BC29" s="28">
        <f t="shared" si="26"/>
        <v>15754.501601178723</v>
      </c>
      <c r="BD29" s="28">
        <f t="shared" si="26"/>
        <v>-129235.33660188534</v>
      </c>
      <c r="BE29" s="28">
        <f t="shared" si="26"/>
        <v>180534.89191337407</v>
      </c>
      <c r="BF29" s="28">
        <f t="shared" si="26"/>
        <v>0</v>
      </c>
      <c r="BG29" s="28">
        <f t="shared" si="26"/>
        <v>0</v>
      </c>
      <c r="BH29" s="28">
        <f t="shared" si="26"/>
        <v>0</v>
      </c>
      <c r="BI29" s="28">
        <f t="shared" si="26"/>
        <v>0</v>
      </c>
      <c r="BJ29" s="28">
        <f t="shared" si="26"/>
        <v>0</v>
      </c>
      <c r="BK29" s="28">
        <f t="shared" si="26"/>
        <v>0</v>
      </c>
      <c r="BL29" s="28">
        <f t="shared" si="26"/>
        <v>0</v>
      </c>
      <c r="BM29" s="28">
        <f t="shared" si="26"/>
        <v>0</v>
      </c>
      <c r="BN29" s="28">
        <f t="shared" si="26"/>
        <v>0</v>
      </c>
      <c r="BO29" s="28">
        <f t="shared" ref="BO29:CK29" si="27">BO27-BO28</f>
        <v>0</v>
      </c>
      <c r="BP29" s="28">
        <f t="shared" si="27"/>
        <v>0</v>
      </c>
      <c r="BQ29" s="28">
        <f t="shared" si="27"/>
        <v>0</v>
      </c>
      <c r="BR29" s="28">
        <f t="shared" si="27"/>
        <v>0</v>
      </c>
      <c r="BS29" s="28">
        <f t="shared" si="27"/>
        <v>0</v>
      </c>
      <c r="BT29" s="28">
        <f t="shared" si="27"/>
        <v>0</v>
      </c>
      <c r="BU29" s="28">
        <f t="shared" si="27"/>
        <v>0</v>
      </c>
      <c r="BV29" s="28" t="e">
        <f t="shared" si="27"/>
        <v>#DIV/0!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32958734568.939999</v>
      </c>
      <c r="C31" s="26">
        <f t="shared" ref="C31:BN31" si="28">C15+C20+C27</f>
        <v>20909447481.93</v>
      </c>
      <c r="D31" s="26">
        <f t="shared" si="28"/>
        <v>11264834481.280001</v>
      </c>
      <c r="E31" s="26">
        <f t="shared" si="28"/>
        <v>36035160005.82</v>
      </c>
      <c r="F31" s="26">
        <f t="shared" si="28"/>
        <v>26528244321.080006</v>
      </c>
      <c r="G31" s="26">
        <f t="shared" si="28"/>
        <v>14814703118.619999</v>
      </c>
      <c r="H31" s="26">
        <f t="shared" si="28"/>
        <v>8154445354.0300007</v>
      </c>
      <c r="I31" s="26">
        <f t="shared" si="28"/>
        <v>22827343994.099998</v>
      </c>
      <c r="J31" s="26">
        <f t="shared" si="28"/>
        <v>17227507745.170002</v>
      </c>
      <c r="K31" s="26">
        <f t="shared" si="28"/>
        <v>12247072521.300001</v>
      </c>
      <c r="L31" s="26">
        <f t="shared" si="28"/>
        <v>6972440389.5899992</v>
      </c>
      <c r="M31" s="26">
        <f t="shared" si="28"/>
        <v>21317607388.599995</v>
      </c>
      <c r="N31" s="26">
        <f t="shared" si="28"/>
        <v>15561168975.67</v>
      </c>
      <c r="O31" s="26">
        <f t="shared" si="28"/>
        <v>10736952028.18</v>
      </c>
      <c r="P31" s="26">
        <f t="shared" si="28"/>
        <v>5983293432.3800001</v>
      </c>
      <c r="Q31" s="26">
        <f t="shared" si="28"/>
        <v>21308024595.610001</v>
      </c>
      <c r="R31" s="26">
        <f t="shared" si="28"/>
        <v>14672272457.400002</v>
      </c>
      <c r="S31" s="26">
        <f t="shared" si="28"/>
        <v>9904117345.6399994</v>
      </c>
      <c r="T31" s="26">
        <f t="shared" si="28"/>
        <v>5171247404.3500004</v>
      </c>
      <c r="U31" s="26">
        <f t="shared" si="28"/>
        <v>21319163551.360001</v>
      </c>
      <c r="V31" s="26">
        <f t="shared" si="28"/>
        <v>15272192006.340002</v>
      </c>
      <c r="W31" s="26">
        <f t="shared" si="28"/>
        <v>9877177661.1199989</v>
      </c>
      <c r="X31" s="26">
        <f t="shared" si="28"/>
        <v>5003369013.6899986</v>
      </c>
      <c r="Y31" s="26">
        <f t="shared" si="28"/>
        <v>18700622691.380001</v>
      </c>
      <c r="Z31" s="26">
        <f t="shared" si="28"/>
        <v>14287791468.48</v>
      </c>
      <c r="AA31" s="26">
        <f t="shared" si="28"/>
        <v>9612975360.0600014</v>
      </c>
      <c r="AB31" s="26">
        <f t="shared" si="28"/>
        <v>4077610174.8699999</v>
      </c>
      <c r="AC31" s="26">
        <f t="shared" si="28"/>
        <v>12334660473.800001</v>
      </c>
      <c r="AD31" s="26">
        <f t="shared" si="28"/>
        <v>9061740746.3900013</v>
      </c>
      <c r="AE31" s="26">
        <f t="shared" si="28"/>
        <v>6738458344.8100004</v>
      </c>
      <c r="AF31" s="26">
        <f t="shared" si="28"/>
        <v>2600632364.4500003</v>
      </c>
      <c r="AG31" s="26">
        <f t="shared" si="28"/>
        <v>7162416731.3699989</v>
      </c>
      <c r="AH31" s="26">
        <f t="shared" si="28"/>
        <v>5758453760.8400002</v>
      </c>
      <c r="AI31" s="26">
        <f t="shared" si="28"/>
        <v>4277741535.2599998</v>
      </c>
      <c r="AJ31" s="26">
        <f t="shared" si="28"/>
        <v>1746532659.9299996</v>
      </c>
      <c r="AK31" s="26">
        <f t="shared" si="28"/>
        <v>5946903768.8599997</v>
      </c>
      <c r="AL31" s="26">
        <f t="shared" si="28"/>
        <v>5214937417.4200001</v>
      </c>
      <c r="AM31" s="26">
        <f t="shared" si="28"/>
        <v>3818014429.0400004</v>
      </c>
      <c r="AN31" s="26">
        <f t="shared" si="28"/>
        <v>1623735763.2499998</v>
      </c>
      <c r="AO31" s="26">
        <f t="shared" si="28"/>
        <v>5282799872.8300009</v>
      </c>
      <c r="AP31" s="26">
        <f t="shared" si="28"/>
        <v>4341708894.5899992</v>
      </c>
      <c r="AQ31" s="26">
        <f t="shared" si="28"/>
        <v>3089401769.3800011</v>
      </c>
      <c r="AR31" s="26">
        <f t="shared" si="28"/>
        <v>1182877309.9700003</v>
      </c>
      <c r="AS31" s="26">
        <f t="shared" si="28"/>
        <v>4477281190.9799995</v>
      </c>
      <c r="AT31" s="26">
        <f t="shared" si="28"/>
        <v>2469888749.0100002</v>
      </c>
      <c r="AU31" s="26">
        <f t="shared" si="28"/>
        <v>1328094201.7100003</v>
      </c>
      <c r="AV31" s="26">
        <f t="shared" si="28"/>
        <v>847416485.08000016</v>
      </c>
      <c r="AW31" s="26">
        <f t="shared" si="28"/>
        <v>2462096199.1800003</v>
      </c>
      <c r="AX31" s="26">
        <f t="shared" si="28"/>
        <v>1552380080.76</v>
      </c>
      <c r="AY31" s="26">
        <f t="shared" si="28"/>
        <v>965305777.4799999</v>
      </c>
      <c r="AZ31" s="26">
        <f t="shared" si="28"/>
        <v>669613416.62</v>
      </c>
      <c r="BA31" s="26">
        <f t="shared" si="28"/>
        <v>1887932804.7300003</v>
      </c>
      <c r="BB31" s="26">
        <f t="shared" si="28"/>
        <v>1136508598.99</v>
      </c>
      <c r="BC31" s="26">
        <f t="shared" si="28"/>
        <v>748658762.23000002</v>
      </c>
      <c r="BD31" s="26">
        <f t="shared" si="28"/>
        <v>553760649.49999988</v>
      </c>
      <c r="BE31" s="26">
        <f t="shared" si="28"/>
        <v>1464676836.8500004</v>
      </c>
      <c r="BF31" s="26">
        <f t="shared" si="28"/>
        <v>853463721.18000007</v>
      </c>
      <c r="BG31" s="26">
        <f t="shared" si="28"/>
        <v>559754313.78999996</v>
      </c>
      <c r="BH31" s="26">
        <f t="shared" si="28"/>
        <v>394422790.95000005</v>
      </c>
      <c r="BI31" s="26">
        <f t="shared" si="28"/>
        <v>959558980.33999968</v>
      </c>
      <c r="BJ31" s="26">
        <f t="shared" si="28"/>
        <v>581654427.37999988</v>
      </c>
      <c r="BK31" s="26">
        <f t="shared" si="28"/>
        <v>405130506.79000002</v>
      </c>
      <c r="BL31" s="26">
        <f t="shared" si="28"/>
        <v>337896003.24999994</v>
      </c>
      <c r="BM31" s="26">
        <f t="shared" si="28"/>
        <v>628559254.21000016</v>
      </c>
      <c r="BN31" s="26">
        <f t="shared" si="28"/>
        <v>510478001.96000004</v>
      </c>
      <c r="BO31" s="26">
        <f t="shared" ref="BO31:CJ31" si="29">BO15+BO20+BO27</f>
        <v>389228086.32999992</v>
      </c>
      <c r="BP31" s="26">
        <f t="shared" si="29"/>
        <v>334564336.5999999</v>
      </c>
      <c r="BQ31" s="26">
        <f t="shared" si="29"/>
        <v>600311437.09999967</v>
      </c>
      <c r="BR31" s="26">
        <f t="shared" si="29"/>
        <v>373365639.61000001</v>
      </c>
      <c r="BS31" s="26">
        <f t="shared" si="29"/>
        <v>452474935.14999992</v>
      </c>
      <c r="BT31" s="26">
        <f t="shared" si="29"/>
        <v>364490805.42999995</v>
      </c>
      <c r="BU31" s="26">
        <f t="shared" si="29"/>
        <v>259853599.49000001</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63.088975864986985</v>
      </c>
      <c r="C32" s="57">
        <f t="shared" ref="C32:D32" si="30">C31/C4*100</f>
        <v>62.609303577667028</v>
      </c>
      <c r="D32" s="57">
        <f t="shared" si="30"/>
        <v>64.495174459004787</v>
      </c>
      <c r="E32" s="57">
        <f>E31/E4</f>
        <v>0.61897086551080815</v>
      </c>
      <c r="F32" s="57">
        <f t="shared" ref="F32:BQ32" si="31">F31/F4</f>
        <v>0.62492231260053277</v>
      </c>
      <c r="G32" s="57">
        <f t="shared" si="31"/>
        <v>0.61243012036455935</v>
      </c>
      <c r="H32" s="57">
        <f t="shared" si="31"/>
        <v>0.61271819770816582</v>
      </c>
      <c r="I32" s="57">
        <f t="shared" si="31"/>
        <v>0.58739211551686454</v>
      </c>
      <c r="J32" s="57">
        <f t="shared" si="31"/>
        <v>0.64687529144358835</v>
      </c>
      <c r="K32" s="57">
        <f t="shared" si="31"/>
        <v>0.67390713548639614</v>
      </c>
      <c r="L32" s="57">
        <f t="shared" si="31"/>
        <v>0.69802906122032415</v>
      </c>
      <c r="M32" s="57">
        <f t="shared" si="31"/>
        <v>0.65272134415170757</v>
      </c>
      <c r="N32" s="57">
        <f t="shared" si="31"/>
        <v>0.67222679444009936</v>
      </c>
      <c r="O32" s="57">
        <f t="shared" si="31"/>
        <v>0.68047353560247315</v>
      </c>
      <c r="P32" s="57">
        <f t="shared" si="31"/>
        <v>0.70026942339769949</v>
      </c>
      <c r="Q32" s="57">
        <f t="shared" si="31"/>
        <v>0.67486136781268102</v>
      </c>
      <c r="R32" s="57">
        <f t="shared" si="31"/>
        <v>0.67557531358470191</v>
      </c>
      <c r="S32" s="57">
        <f t="shared" si="31"/>
        <v>0.69154966648227734</v>
      </c>
      <c r="T32" s="57">
        <f t="shared" si="31"/>
        <v>0.69414340381125672</v>
      </c>
      <c r="U32" s="57">
        <f t="shared" si="31"/>
        <v>0.68945412762596925</v>
      </c>
      <c r="V32" s="57">
        <f t="shared" si="31"/>
        <v>0.69622500872630766</v>
      </c>
      <c r="W32" s="57">
        <f t="shared" si="31"/>
        <v>0.69912730120617494</v>
      </c>
      <c r="X32" s="57">
        <f t="shared" si="31"/>
        <v>0.69823032913631489</v>
      </c>
      <c r="Y32" s="57">
        <f t="shared" si="31"/>
        <v>0.70687528935978883</v>
      </c>
      <c r="Z32" s="57">
        <f t="shared" si="31"/>
        <v>0.71684697501644024</v>
      </c>
      <c r="AA32" s="57">
        <f t="shared" si="31"/>
        <v>0.72471788692567307</v>
      </c>
      <c r="AB32" s="57">
        <f t="shared" si="31"/>
        <v>0.6777978789114929</v>
      </c>
      <c r="AC32" s="57">
        <f t="shared" si="31"/>
        <v>0.67027618665392275</v>
      </c>
      <c r="AD32" s="57">
        <f t="shared" si="31"/>
        <v>0.6642494215508844</v>
      </c>
      <c r="AE32" s="57">
        <f t="shared" si="31"/>
        <v>0.68579070190074742</v>
      </c>
      <c r="AF32" s="57">
        <f t="shared" si="31"/>
        <v>0.61617757713474786</v>
      </c>
      <c r="AG32" s="57">
        <f t="shared" si="31"/>
        <v>0.61568314599186214</v>
      </c>
      <c r="AH32" s="57">
        <f t="shared" si="31"/>
        <v>0.61735789227548898</v>
      </c>
      <c r="AI32" s="57">
        <f t="shared" si="31"/>
        <v>0.64939556102217189</v>
      </c>
      <c r="AJ32" s="57">
        <f t="shared" si="31"/>
        <v>0.57453506859782288</v>
      </c>
      <c r="AK32" s="57">
        <f t="shared" si="31"/>
        <v>0.61498493729380277</v>
      </c>
      <c r="AL32" s="57">
        <f t="shared" si="31"/>
        <v>0.66796493285718606</v>
      </c>
      <c r="AM32" s="57">
        <f t="shared" si="31"/>
        <v>0.68842594247087951</v>
      </c>
      <c r="AN32" s="57">
        <f t="shared" si="31"/>
        <v>0.64625343037592131</v>
      </c>
      <c r="AO32" s="57">
        <f t="shared" si="31"/>
        <v>0.6409853702542313</v>
      </c>
      <c r="AP32" s="57">
        <f t="shared" si="31"/>
        <v>0.66934361021450361</v>
      </c>
      <c r="AQ32" s="57">
        <f t="shared" si="31"/>
        <v>0.6687426009725902</v>
      </c>
      <c r="AR32" s="57">
        <f t="shared" si="31"/>
        <v>0.59336817095024186</v>
      </c>
      <c r="AS32" s="57">
        <f t="shared" si="31"/>
        <v>0.61862853648190685</v>
      </c>
      <c r="AT32" s="57">
        <f t="shared" si="31"/>
        <v>0.55398765985575849</v>
      </c>
      <c r="AU32" s="57">
        <f t="shared" si="31"/>
        <v>0.5051537867820014</v>
      </c>
      <c r="AV32" s="57">
        <f t="shared" si="31"/>
        <v>0.53379285031709489</v>
      </c>
      <c r="AW32" s="57">
        <f t="shared" si="31"/>
        <v>0.50285992934043011</v>
      </c>
      <c r="AX32" s="57">
        <f t="shared" si="31"/>
        <v>0.47773577980595677</v>
      </c>
      <c r="AY32" s="57">
        <f t="shared" si="31"/>
        <v>0.47564614920213238</v>
      </c>
      <c r="AZ32" s="57">
        <f t="shared" si="31"/>
        <v>0.49436277633323894</v>
      </c>
      <c r="BA32" s="57">
        <f t="shared" si="31"/>
        <v>0.48032705398643405</v>
      </c>
      <c r="BB32" s="57">
        <f t="shared" si="31"/>
        <v>0.44045277146639189</v>
      </c>
      <c r="BC32" s="57">
        <f t="shared" si="31"/>
        <v>0.44400633066914535</v>
      </c>
      <c r="BD32" s="57">
        <f t="shared" si="31"/>
        <v>0.48404918310143191</v>
      </c>
      <c r="BE32" s="57">
        <f t="shared" si="31"/>
        <v>0.48663698262229338</v>
      </c>
      <c r="BF32" s="57">
        <f t="shared" si="31"/>
        <v>0.41221405809362216</v>
      </c>
      <c r="BG32" s="57">
        <f t="shared" si="31"/>
        <v>0.42595722633311411</v>
      </c>
      <c r="BH32" s="57">
        <f t="shared" si="31"/>
        <v>0.46216082178523865</v>
      </c>
      <c r="BI32" s="57">
        <f t="shared" si="31"/>
        <v>0.39964673581997839</v>
      </c>
      <c r="BJ32" s="57">
        <f t="shared" si="31"/>
        <v>0.37459767513986664</v>
      </c>
      <c r="BK32" s="57">
        <f t="shared" si="31"/>
        <v>0.40149792799636852</v>
      </c>
      <c r="BL32" s="57">
        <f t="shared" si="31"/>
        <v>0.46041824503920242</v>
      </c>
      <c r="BM32" s="57">
        <f t="shared" si="31"/>
        <v>0.34255808943582672</v>
      </c>
      <c r="BN32" s="57">
        <f t="shared" si="31"/>
        <v>0.37428195465095471</v>
      </c>
      <c r="BO32" s="57">
        <f t="shared" si="31"/>
        <v>0.40728966731899918</v>
      </c>
      <c r="BP32" s="57">
        <f t="shared" si="31"/>
        <v>0.46595739994149604</v>
      </c>
      <c r="BQ32" s="57">
        <f t="shared" si="31"/>
        <v>0.37100996641529893</v>
      </c>
      <c r="BR32" s="57">
        <f t="shared" ref="BR32:CK32" si="32">BR31/BR4</f>
        <v>0.4272585462238267</v>
      </c>
      <c r="BS32" s="57">
        <f t="shared" si="32"/>
        <v>0.40617109948589908</v>
      </c>
      <c r="BT32" s="57">
        <f t="shared" si="32"/>
        <v>0.4091457106252514</v>
      </c>
      <c r="BU32" s="57">
        <f t="shared" si="32"/>
        <v>0.41365813248575828</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23954364285.125668</v>
      </c>
      <c r="C33" s="26">
        <f t="shared" ref="C33:BN33" si="33">C17+C20+C29</f>
        <v>15111688405.009418</v>
      </c>
      <c r="D33" s="26">
        <f t="shared" si="33"/>
        <v>8223632029.8683405</v>
      </c>
      <c r="E33" s="26">
        <f t="shared" si="33"/>
        <v>26301206965.379108</v>
      </c>
      <c r="F33" s="26">
        <f t="shared" si="33"/>
        <v>19408485104.45636</v>
      </c>
      <c r="G33" s="26">
        <f t="shared" si="33"/>
        <v>10786743018.064308</v>
      </c>
      <c r="H33" s="26">
        <f t="shared" si="33"/>
        <v>5952337280.4820175</v>
      </c>
      <c r="I33" s="26">
        <f t="shared" si="33"/>
        <v>16790446449.690987</v>
      </c>
      <c r="J33" s="26">
        <f t="shared" si="33"/>
        <v>12520946300.773355</v>
      </c>
      <c r="K33" s="26">
        <f t="shared" si="33"/>
        <v>8863002612.2975769</v>
      </c>
      <c r="L33" s="26">
        <f t="shared" si="33"/>
        <v>4979656100.2366209</v>
      </c>
      <c r="M33" s="26">
        <f t="shared" si="33"/>
        <v>15756442739.647875</v>
      </c>
      <c r="N33" s="26">
        <f t="shared" si="33"/>
        <v>11536139270.417225</v>
      </c>
      <c r="O33" s="26">
        <f t="shared" si="33"/>
        <v>7953257592.9014406</v>
      </c>
      <c r="P33" s="26">
        <f t="shared" si="33"/>
        <v>4408581068.9474678</v>
      </c>
      <c r="Q33" s="26">
        <f t="shared" si="33"/>
        <v>15691958660.427298</v>
      </c>
      <c r="R33" s="26">
        <f t="shared" si="33"/>
        <v>10893431695.767679</v>
      </c>
      <c r="S33" s="26">
        <f t="shared" si="33"/>
        <v>7359322883.3347149</v>
      </c>
      <c r="T33" s="26">
        <f t="shared" si="33"/>
        <v>3818142823.4896383</v>
      </c>
      <c r="U33" s="26">
        <f t="shared" si="33"/>
        <v>15851591446.107254</v>
      </c>
      <c r="V33" s="26">
        <f t="shared" si="33"/>
        <v>11355165199.916069</v>
      </c>
      <c r="W33" s="26">
        <f t="shared" si="33"/>
        <v>7431805573.7581892</v>
      </c>
      <c r="X33" s="26">
        <f t="shared" si="33"/>
        <v>3688929473.5417194</v>
      </c>
      <c r="Y33" s="26">
        <f t="shared" si="33"/>
        <v>14008398400.084679</v>
      </c>
      <c r="Z33" s="26">
        <f t="shared" si="33"/>
        <v>10714900517.625669</v>
      </c>
      <c r="AA33" s="26">
        <f t="shared" si="33"/>
        <v>7208561703.8184862</v>
      </c>
      <c r="AB33" s="26">
        <f t="shared" si="33"/>
        <v>3056541466.8947258</v>
      </c>
      <c r="AC33" s="26">
        <f t="shared" si="33"/>
        <v>9249956859.4632854</v>
      </c>
      <c r="AD33" s="26">
        <f t="shared" si="33"/>
        <v>6768033742.2019033</v>
      </c>
      <c r="AE33" s="26">
        <f t="shared" si="33"/>
        <v>5054622575.413413</v>
      </c>
      <c r="AF33" s="26">
        <f t="shared" si="33"/>
        <v>1951171719.6826346</v>
      </c>
      <c r="AG33" s="26">
        <f t="shared" si="33"/>
        <v>5339689176.2089081</v>
      </c>
      <c r="AH33" s="26">
        <f t="shared" si="33"/>
        <v>4308356554.9737072</v>
      </c>
      <c r="AI33" s="26">
        <f t="shared" si="33"/>
        <v>3199926957.6826153</v>
      </c>
      <c r="AJ33" s="26">
        <f t="shared" si="33"/>
        <v>1309702018.6234198</v>
      </c>
      <c r="AK33" s="26">
        <f t="shared" si="33"/>
        <v>4452827040.6826944</v>
      </c>
      <c r="AL33" s="26">
        <f t="shared" si="33"/>
        <v>3911960402.8086123</v>
      </c>
      <c r="AM33" s="26">
        <f t="shared" si="33"/>
        <v>2863015106.7204237</v>
      </c>
      <c r="AN33" s="26">
        <f t="shared" si="33"/>
        <v>1217857244.7763596</v>
      </c>
      <c r="AO33" s="26">
        <f t="shared" si="33"/>
        <v>3924611153.413012</v>
      </c>
      <c r="AP33" s="26">
        <f t="shared" si="33"/>
        <v>3257544180.5593476</v>
      </c>
      <c r="AQ33" s="26">
        <f t="shared" si="33"/>
        <v>2317343012.3952684</v>
      </c>
      <c r="AR33" s="26">
        <f t="shared" si="33"/>
        <v>887284160.90416169</v>
      </c>
      <c r="AS33" s="26">
        <f t="shared" si="33"/>
        <v>2936704477.0869617</v>
      </c>
      <c r="AT33" s="26">
        <f t="shared" si="33"/>
        <v>1643826017.8701513</v>
      </c>
      <c r="AU33" s="26">
        <f t="shared" si="33"/>
        <v>872295982.55614972</v>
      </c>
      <c r="AV33" s="26">
        <f t="shared" si="33"/>
        <v>544259098.379511</v>
      </c>
      <c r="AW33" s="26">
        <f t="shared" si="33"/>
        <v>1557501256.0376482</v>
      </c>
      <c r="AX33" s="26">
        <f t="shared" si="33"/>
        <v>984439081.47783232</v>
      </c>
      <c r="AY33" s="26">
        <f t="shared" si="33"/>
        <v>629640931.86421096</v>
      </c>
      <c r="AZ33" s="26">
        <f t="shared" si="33"/>
        <v>466534382.76905102</v>
      </c>
      <c r="BA33" s="26">
        <f t="shared" si="33"/>
        <v>1149429518.4581342</v>
      </c>
      <c r="BB33" s="26">
        <f t="shared" si="33"/>
        <v>725505467.74809933</v>
      </c>
      <c r="BC33" s="26">
        <f t="shared" si="33"/>
        <v>497286081.98373216</v>
      </c>
      <c r="BD33" s="26">
        <f t="shared" si="33"/>
        <v>381359788.12061441</v>
      </c>
      <c r="BE33" s="26">
        <f t="shared" si="33"/>
        <v>839275568.83253062</v>
      </c>
      <c r="BF33" s="26">
        <f t="shared" si="33"/>
        <v>524289150.53143865</v>
      </c>
      <c r="BG33" s="26">
        <f t="shared" si="33"/>
        <v>357688897.7866267</v>
      </c>
      <c r="BH33" s="26">
        <f t="shared" si="33"/>
        <v>266767183.66351357</v>
      </c>
      <c r="BI33" s="26">
        <f t="shared" si="33"/>
        <v>597080913.97970891</v>
      </c>
      <c r="BJ33" s="26">
        <f t="shared" si="33"/>
        <v>359846470.99387157</v>
      </c>
      <c r="BK33" s="26">
        <f t="shared" si="33"/>
        <v>257967956.47476113</v>
      </c>
      <c r="BL33" s="26">
        <f t="shared" si="33"/>
        <v>222333369.7577582</v>
      </c>
      <c r="BM33" s="26">
        <f t="shared" si="33"/>
        <v>378715561.24946892</v>
      </c>
      <c r="BN33" s="26">
        <f t="shared" si="33"/>
        <v>308296546.68218607</v>
      </c>
      <c r="BO33" s="26">
        <f t="shared" ref="BO33:CJ33" si="34">BO17+BO20+BO29</f>
        <v>238315335.98605028</v>
      </c>
      <c r="BP33" s="26">
        <f t="shared" si="34"/>
        <v>211338260.36413699</v>
      </c>
      <c r="BQ33" s="26">
        <f t="shared" si="34"/>
        <v>337909081.88659883</v>
      </c>
      <c r="BR33" s="26">
        <f t="shared" si="34"/>
        <v>229927164.91021764</v>
      </c>
      <c r="BS33" s="26">
        <f t="shared" si="34"/>
        <v>260073853.45585519</v>
      </c>
      <c r="BT33" s="26">
        <f t="shared" si="34"/>
        <v>222185382.16190058</v>
      </c>
      <c r="BU33" s="26">
        <f t="shared" si="34"/>
        <v>173915342.50660002</v>
      </c>
      <c r="BV33" s="26" t="e">
        <f t="shared" si="34"/>
        <v>#DIV/0!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45.852983435522823</v>
      </c>
      <c r="C34" s="57">
        <f t="shared" ref="C34:D34" si="35">C33/C4*100</f>
        <v>45.249033372976285</v>
      </c>
      <c r="D34" s="57">
        <f t="shared" si="35"/>
        <v>47.083211327642317</v>
      </c>
      <c r="E34" s="57">
        <f>E33/E4</f>
        <v>0.45177212579908871</v>
      </c>
      <c r="F34" s="57">
        <f t="shared" ref="F34:BQ34" si="36">F33/F4</f>
        <v>0.45720309451130986</v>
      </c>
      <c r="G34" s="57">
        <f t="shared" si="36"/>
        <v>0.44591688891772135</v>
      </c>
      <c r="H34" s="57">
        <f t="shared" si="36"/>
        <v>0.44725364047545363</v>
      </c>
      <c r="I34" s="57">
        <f t="shared" si="36"/>
        <v>0.43205095884592254</v>
      </c>
      <c r="J34" s="57">
        <f t="shared" si="36"/>
        <v>0.4701487241956458</v>
      </c>
      <c r="K34" s="57">
        <f t="shared" si="36"/>
        <v>0.48769538123286149</v>
      </c>
      <c r="L34" s="57">
        <f t="shared" si="36"/>
        <v>0.49852626607434147</v>
      </c>
      <c r="M34" s="57">
        <f t="shared" si="36"/>
        <v>0.48244468980943178</v>
      </c>
      <c r="N34" s="57">
        <f t="shared" si="36"/>
        <v>0.49834957348589709</v>
      </c>
      <c r="O34" s="57">
        <f t="shared" si="36"/>
        <v>0.50405192270531474</v>
      </c>
      <c r="P34" s="57">
        <f t="shared" si="36"/>
        <v>0.51596909930019097</v>
      </c>
      <c r="Q34" s="57">
        <f t="shared" si="36"/>
        <v>0.49699101095545956</v>
      </c>
      <c r="R34" s="57">
        <f t="shared" si="36"/>
        <v>0.50158103015392685</v>
      </c>
      <c r="S34" s="57">
        <f t="shared" si="36"/>
        <v>0.51386076193311125</v>
      </c>
      <c r="T34" s="57">
        <f t="shared" si="36"/>
        <v>0.51251437970366343</v>
      </c>
      <c r="U34" s="57">
        <f t="shared" si="36"/>
        <v>0.51263480040528941</v>
      </c>
      <c r="V34" s="57">
        <f t="shared" si="36"/>
        <v>0.5176565346427211</v>
      </c>
      <c r="W34" s="57">
        <f t="shared" si="36"/>
        <v>0.52603874832817465</v>
      </c>
      <c r="X34" s="57">
        <f t="shared" si="36"/>
        <v>0.51479761605112651</v>
      </c>
      <c r="Y34" s="57">
        <f t="shared" si="36"/>
        <v>0.52951128077095777</v>
      </c>
      <c r="Z34" s="57">
        <f t="shared" si="36"/>
        <v>0.53758791487171564</v>
      </c>
      <c r="AA34" s="57">
        <f t="shared" si="36"/>
        <v>0.54345022327531012</v>
      </c>
      <c r="AB34" s="57">
        <f t="shared" si="36"/>
        <v>0.50807145220357353</v>
      </c>
      <c r="AC34" s="57">
        <f t="shared" si="36"/>
        <v>0.50265070722001581</v>
      </c>
      <c r="AD34" s="57">
        <f t="shared" si="36"/>
        <v>0.49611466760240908</v>
      </c>
      <c r="AE34" s="57">
        <f t="shared" si="36"/>
        <v>0.51442228866873974</v>
      </c>
      <c r="AF34" s="57">
        <f t="shared" si="36"/>
        <v>0.46229843142867649</v>
      </c>
      <c r="AG34" s="57">
        <f t="shared" si="36"/>
        <v>0.45900102631952894</v>
      </c>
      <c r="AH34" s="57">
        <f t="shared" si="36"/>
        <v>0.46189446549656127</v>
      </c>
      <c r="AI34" s="57">
        <f t="shared" si="36"/>
        <v>0.48577464177904622</v>
      </c>
      <c r="AJ34" s="57">
        <f t="shared" si="36"/>
        <v>0.43083634012470878</v>
      </c>
      <c r="AK34" s="57">
        <f t="shared" si="36"/>
        <v>0.46047853888837043</v>
      </c>
      <c r="AL34" s="57">
        <f t="shared" si="36"/>
        <v>0.50107070490882089</v>
      </c>
      <c r="AM34" s="57">
        <f t="shared" si="36"/>
        <v>0.5162300745018279</v>
      </c>
      <c r="AN34" s="57">
        <f t="shared" si="36"/>
        <v>0.48471213109796646</v>
      </c>
      <c r="AO34" s="57">
        <f t="shared" si="36"/>
        <v>0.47619035243269703</v>
      </c>
      <c r="AP34" s="57">
        <f t="shared" si="36"/>
        <v>0.5022023436361096</v>
      </c>
      <c r="AQ34" s="57">
        <f t="shared" si="36"/>
        <v>0.50162008995219587</v>
      </c>
      <c r="AR34" s="57">
        <f t="shared" si="36"/>
        <v>0.44508942324895479</v>
      </c>
      <c r="AS34" s="57">
        <f t="shared" si="36"/>
        <v>0.40576615924864889</v>
      </c>
      <c r="AT34" s="57">
        <f t="shared" si="36"/>
        <v>0.36870459417045109</v>
      </c>
      <c r="AU34" s="57">
        <f t="shared" si="36"/>
        <v>0.3317864186257351</v>
      </c>
      <c r="AV34" s="57">
        <f t="shared" si="36"/>
        <v>0.34283214989331334</v>
      </c>
      <c r="AW34" s="57">
        <f t="shared" si="36"/>
        <v>0.3181049431860416</v>
      </c>
      <c r="AX34" s="57">
        <f t="shared" si="36"/>
        <v>0.30295529947216665</v>
      </c>
      <c r="AY34" s="57">
        <f t="shared" si="36"/>
        <v>0.31025017316594189</v>
      </c>
      <c r="AZ34" s="57">
        <f t="shared" si="36"/>
        <v>0.34443341037700076</v>
      </c>
      <c r="BA34" s="57">
        <f t="shared" si="36"/>
        <v>0.29243736481659321</v>
      </c>
      <c r="BB34" s="57">
        <f t="shared" si="36"/>
        <v>0.28116891879890038</v>
      </c>
      <c r="BC34" s="57">
        <f t="shared" si="36"/>
        <v>0.29492497743130663</v>
      </c>
      <c r="BD34" s="57">
        <f t="shared" si="36"/>
        <v>0.33335141107298671</v>
      </c>
      <c r="BE34" s="57">
        <f t="shared" si="36"/>
        <v>0.27884822107492557</v>
      </c>
      <c r="BF34" s="57">
        <f t="shared" si="36"/>
        <v>0.25322618055307067</v>
      </c>
      <c r="BG34" s="57">
        <f t="shared" si="36"/>
        <v>0.27219115072063638</v>
      </c>
      <c r="BH34" s="57">
        <f t="shared" si="36"/>
        <v>0.31258168558239374</v>
      </c>
      <c r="BI34" s="57">
        <f t="shared" si="36"/>
        <v>0.24867823988041823</v>
      </c>
      <c r="BJ34" s="57">
        <f t="shared" si="36"/>
        <v>0.2317486897654529</v>
      </c>
      <c r="BK34" s="57">
        <f t="shared" si="36"/>
        <v>0.25565490200855573</v>
      </c>
      <c r="BL34" s="57">
        <f t="shared" si="36"/>
        <v>0.30295220698950109</v>
      </c>
      <c r="BM34" s="57">
        <f t="shared" si="36"/>
        <v>0.20639594156367588</v>
      </c>
      <c r="BN34" s="57">
        <f t="shared" si="36"/>
        <v>0.22604271616270274</v>
      </c>
      <c r="BO34" s="57">
        <f t="shared" si="36"/>
        <v>0.24937402340611289</v>
      </c>
      <c r="BP34" s="57">
        <f t="shared" si="36"/>
        <v>0.29433688990338197</v>
      </c>
      <c r="BQ34" s="57">
        <f t="shared" si="36"/>
        <v>0.20883766221046998</v>
      </c>
      <c r="BR34" s="57">
        <f t="shared" ref="BR34:CK34" si="37">BR33/BR4</f>
        <v>0.26311565874010462</v>
      </c>
      <c r="BS34" s="57">
        <f t="shared" si="37"/>
        <v>0.23345930304554974</v>
      </c>
      <c r="BT34" s="57">
        <f t="shared" si="37"/>
        <v>0.249406006189729</v>
      </c>
      <c r="BU34" s="57">
        <f t="shared" si="37"/>
        <v>0.27685395135221019</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-4358428.29</v>
      </c>
      <c r="C35" s="26">
        <f t="shared" ref="C35:BN35" si="38">C23+C68</f>
        <v>-4196866.95</v>
      </c>
      <c r="D35" s="26">
        <f t="shared" si="38"/>
        <v>-3425265.58</v>
      </c>
      <c r="E35" s="26">
        <f t="shared" si="38"/>
        <v>4965050.7400000021</v>
      </c>
      <c r="F35" s="26">
        <f t="shared" si="38"/>
        <v>-39238790.75</v>
      </c>
      <c r="G35" s="26">
        <f t="shared" si="38"/>
        <v>-37481896.880000003</v>
      </c>
      <c r="H35" s="26">
        <f t="shared" si="38"/>
        <v>-29477472.280000001</v>
      </c>
      <c r="I35" s="26">
        <f t="shared" si="38"/>
        <v>38316614.780000001</v>
      </c>
      <c r="J35" s="26">
        <f t="shared" si="38"/>
        <v>-1302024</v>
      </c>
      <c r="K35" s="26">
        <f t="shared" si="38"/>
        <v>-12226120.6</v>
      </c>
      <c r="L35" s="26">
        <f t="shared" si="38"/>
        <v>-3031403.42</v>
      </c>
      <c r="M35" s="26">
        <f t="shared" si="38"/>
        <v>42994257.049999997</v>
      </c>
      <c r="N35" s="26">
        <f t="shared" si="38"/>
        <v>-52132054.299999997</v>
      </c>
      <c r="O35" s="26">
        <f t="shared" si="38"/>
        <v>-18995600.109999999</v>
      </c>
      <c r="P35" s="26">
        <f t="shared" si="38"/>
        <v>-6472977.6600000001</v>
      </c>
      <c r="Q35" s="26">
        <f t="shared" si="38"/>
        <v>11124125.789999992</v>
      </c>
      <c r="R35" s="26">
        <f t="shared" si="38"/>
        <v>-95772137.579999998</v>
      </c>
      <c r="S35" s="26">
        <f t="shared" si="38"/>
        <v>-53889235.740000002</v>
      </c>
      <c r="T35" s="26">
        <f t="shared" si="38"/>
        <v>-24123220.32</v>
      </c>
      <c r="U35" s="26">
        <f t="shared" si="38"/>
        <v>434996.18000000715</v>
      </c>
      <c r="V35" s="26">
        <f t="shared" si="38"/>
        <v>-343826830.68000001</v>
      </c>
      <c r="W35" s="26">
        <f t="shared" si="38"/>
        <v>-238790533.41</v>
      </c>
      <c r="X35" s="26">
        <f t="shared" si="38"/>
        <v>-114519214.53</v>
      </c>
      <c r="Y35" s="26">
        <f t="shared" si="38"/>
        <v>735412.28999996185</v>
      </c>
      <c r="Z35" s="26">
        <f t="shared" si="38"/>
        <v>-297465187.51999998</v>
      </c>
      <c r="AA35" s="26">
        <f t="shared" si="38"/>
        <v>-187200820.61000001</v>
      </c>
      <c r="AB35" s="26">
        <f t="shared" si="38"/>
        <v>-97318786.079999998</v>
      </c>
      <c r="AC35" s="26">
        <f t="shared" si="38"/>
        <v>1467298.4799999595</v>
      </c>
      <c r="AD35" s="26">
        <f t="shared" si="38"/>
        <v>-217813505.31999999</v>
      </c>
      <c r="AE35" s="26">
        <f t="shared" si="38"/>
        <v>-148888545.19</v>
      </c>
      <c r="AF35" s="26">
        <f t="shared" si="38"/>
        <v>-53473692.270000003</v>
      </c>
      <c r="AG35" s="26">
        <f t="shared" si="38"/>
        <v>284184.78000000119</v>
      </c>
      <c r="AH35" s="26">
        <f t="shared" si="38"/>
        <v>-137330593.52000001</v>
      </c>
      <c r="AI35" s="26">
        <f t="shared" si="38"/>
        <v>-99774773.510000005</v>
      </c>
      <c r="AJ35" s="26">
        <f t="shared" si="38"/>
        <v>-46248011.119999997</v>
      </c>
      <c r="AK35" s="26">
        <f t="shared" si="38"/>
        <v>-133636115.78</v>
      </c>
      <c r="AL35" s="26">
        <f t="shared" si="38"/>
        <v>-90429443.689999998</v>
      </c>
      <c r="AM35" s="26">
        <f t="shared" si="38"/>
        <v>-87784729.510000005</v>
      </c>
      <c r="AN35" s="26">
        <f t="shared" si="38"/>
        <v>-81307397.079999998</v>
      </c>
      <c r="AO35" s="26">
        <f t="shared" si="38"/>
        <v>-102500765.33</v>
      </c>
      <c r="AP35" s="26">
        <f t="shared" si="38"/>
        <v>-62182025.009999998</v>
      </c>
      <c r="AQ35" s="26">
        <f t="shared" si="38"/>
        <v>-46122542.109999999</v>
      </c>
      <c r="AR35" s="26">
        <f t="shared" si="38"/>
        <v>-39680467.920000002</v>
      </c>
      <c r="AS35" s="26">
        <f t="shared" si="38"/>
        <v>-44743824.950000003</v>
      </c>
      <c r="AT35" s="26">
        <f t="shared" si="38"/>
        <v>-38158017.710000001</v>
      </c>
      <c r="AU35" s="26">
        <f t="shared" si="38"/>
        <v>-32966149.120000001</v>
      </c>
      <c r="AV35" s="26">
        <f t="shared" si="38"/>
        <v>-26751923.239999998</v>
      </c>
      <c r="AW35" s="26">
        <f t="shared" si="38"/>
        <v>-25268367.890000001</v>
      </c>
      <c r="AX35" s="26">
        <f t="shared" si="38"/>
        <v>-14469012.92</v>
      </c>
      <c r="AY35" s="26">
        <f t="shared" si="38"/>
        <v>-6698234.1299999999</v>
      </c>
      <c r="AZ35" s="26">
        <f t="shared" si="38"/>
        <v>-2819139.21</v>
      </c>
      <c r="BA35" s="26">
        <f t="shared" si="38"/>
        <v>-32264593.949999999</v>
      </c>
      <c r="BB35" s="26">
        <f t="shared" si="38"/>
        <v>-14225903.98</v>
      </c>
      <c r="BC35" s="26">
        <f t="shared" si="38"/>
        <v>-8107880.4500000002</v>
      </c>
      <c r="BD35" s="26">
        <f t="shared" si="38"/>
        <v>-3746924.02</v>
      </c>
      <c r="BE35" s="26">
        <f t="shared" si="38"/>
        <v>-25993795.539999999</v>
      </c>
      <c r="BF35" s="26">
        <f t="shared" si="38"/>
        <v>-22307046.379999999</v>
      </c>
      <c r="BG35" s="26">
        <f t="shared" si="38"/>
        <v>-9958861.9700000007</v>
      </c>
      <c r="BH35" s="26">
        <f t="shared" si="38"/>
        <v>-6747422.2300000004</v>
      </c>
      <c r="BI35" s="26">
        <f t="shared" si="38"/>
        <v>-16050225.99</v>
      </c>
      <c r="BJ35" s="26">
        <f t="shared" si="38"/>
        <v>-12245012.15</v>
      </c>
      <c r="BK35" s="26">
        <f t="shared" si="38"/>
        <v>-4371087.49</v>
      </c>
      <c r="BL35" s="26">
        <f t="shared" si="38"/>
        <v>-2211149.4700000002</v>
      </c>
      <c r="BM35" s="26">
        <f t="shared" si="38"/>
        <v>-17461501.870000001</v>
      </c>
      <c r="BN35" s="26">
        <f t="shared" si="38"/>
        <v>-15259418.529999999</v>
      </c>
      <c r="BO35" s="26">
        <f t="shared" ref="BO35:CJ35" si="39">BO23+BO68</f>
        <v>-11910236.880000001</v>
      </c>
      <c r="BP35" s="26">
        <f t="shared" si="39"/>
        <v>-2661960.19</v>
      </c>
      <c r="BQ35" s="26">
        <f t="shared" si="39"/>
        <v>-5742353.4900000002</v>
      </c>
      <c r="BR35" s="26">
        <f t="shared" si="39"/>
        <v>1336222</v>
      </c>
      <c r="BS35" s="26">
        <f t="shared" si="39"/>
        <v>6680065.6699999999</v>
      </c>
      <c r="BT35" s="26">
        <f t="shared" si="39"/>
        <v>11277315.43</v>
      </c>
      <c r="BU35" s="26">
        <f t="shared" si="39"/>
        <v>41920771.770000003</v>
      </c>
      <c r="BV35" s="26">
        <f t="shared" si="39"/>
        <v>0</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-1190781.6378767684</v>
      </c>
      <c r="C36" s="26">
        <f t="shared" ref="C36:BN36" si="40">C35*C41</f>
        <v>-1163642.8596710728</v>
      </c>
      <c r="D36" s="26">
        <f t="shared" si="40"/>
        <v>-924690.0456324555</v>
      </c>
      <c r="E36" s="26">
        <f t="shared" si="40"/>
        <v>1341321.0993408912</v>
      </c>
      <c r="F36" s="26">
        <f t="shared" si="40"/>
        <v>-10532660.498344112</v>
      </c>
      <c r="G36" s="26">
        <f t="shared" si="40"/>
        <v>-10193300.549382992</v>
      </c>
      <c r="H36" s="26">
        <f t="shared" si="40"/>
        <v>-7960890.6438819282</v>
      </c>
      <c r="I36" s="26">
        <f t="shared" si="40"/>
        <v>10133971.35980094</v>
      </c>
      <c r="J36" s="26">
        <f t="shared" si="40"/>
        <v>-355779.62769226625</v>
      </c>
      <c r="K36" s="26">
        <f t="shared" si="40"/>
        <v>-3378912.954911401</v>
      </c>
      <c r="L36" s="26">
        <f t="shared" si="40"/>
        <v>-866838.81394526444</v>
      </c>
      <c r="M36" s="26">
        <f t="shared" si="40"/>
        <v>11209465.124112315</v>
      </c>
      <c r="N36" s="26">
        <f t="shared" si="40"/>
        <v>-13474139.038504954</v>
      </c>
      <c r="O36" s="26">
        <f t="shared" si="40"/>
        <v>-4918310.8623945443</v>
      </c>
      <c r="P36" s="26">
        <f t="shared" si="40"/>
        <v>-1700650.2592164176</v>
      </c>
      <c r="Q36" s="26">
        <f t="shared" si="40"/>
        <v>2931853.616051137</v>
      </c>
      <c r="R36" s="26">
        <f t="shared" si="40"/>
        <v>-24666094.387678411</v>
      </c>
      <c r="S36" s="26">
        <f t="shared" si="40"/>
        <v>-13846466.464715971</v>
      </c>
      <c r="T36" s="26">
        <f t="shared" si="40"/>
        <v>-6312063.0996378744</v>
      </c>
      <c r="U36" s="26">
        <f t="shared" si="40"/>
        <v>111560.33274616065</v>
      </c>
      <c r="V36" s="26">
        <f t="shared" si="40"/>
        <v>-88185043.246067703</v>
      </c>
      <c r="W36" s="26">
        <f t="shared" si="40"/>
        <v>-59119287.428190105</v>
      </c>
      <c r="X36" s="26">
        <f t="shared" si="40"/>
        <v>-30085445.081721064</v>
      </c>
      <c r="Y36" s="26">
        <f t="shared" si="40"/>
        <v>184524.30532409713</v>
      </c>
      <c r="Z36" s="26">
        <f t="shared" si="40"/>
        <v>-74385931.445670858</v>
      </c>
      <c r="AA36" s="26">
        <f t="shared" si="40"/>
        <v>-46822985.87848381</v>
      </c>
      <c r="AB36" s="26">
        <f t="shared" si="40"/>
        <v>-24369462.234725699</v>
      </c>
      <c r="AC36" s="26">
        <f t="shared" si="40"/>
        <v>366948.1567150295</v>
      </c>
      <c r="AD36" s="26">
        <f t="shared" si="40"/>
        <v>-55132934.911901489</v>
      </c>
      <c r="AE36" s="26">
        <f t="shared" si="40"/>
        <v>-37204928.073412493</v>
      </c>
      <c r="AF36" s="26">
        <f t="shared" si="40"/>
        <v>-13354082.312634237</v>
      </c>
      <c r="AG36" s="26">
        <f t="shared" si="40"/>
        <v>72320.761090972606</v>
      </c>
      <c r="AH36" s="26">
        <f t="shared" si="40"/>
        <v>-34582670.663706474</v>
      </c>
      <c r="AI36" s="26">
        <f t="shared" si="40"/>
        <v>-25139131.12261555</v>
      </c>
      <c r="AJ36" s="26">
        <f t="shared" si="40"/>
        <v>-11567231.933420099</v>
      </c>
      <c r="AK36" s="26">
        <f t="shared" si="40"/>
        <v>-33574212.462694779</v>
      </c>
      <c r="AL36" s="26">
        <f t="shared" si="40"/>
        <v>-22594228.298612617</v>
      </c>
      <c r="AM36" s="26">
        <f t="shared" si="40"/>
        <v>-21957579.98042364</v>
      </c>
      <c r="AN36" s="26">
        <f t="shared" si="40"/>
        <v>-20324074.036359917</v>
      </c>
      <c r="AO36" s="26">
        <f t="shared" si="40"/>
        <v>-26352575.633011095</v>
      </c>
      <c r="AP36" s="26">
        <f t="shared" si="40"/>
        <v>-15527424.569347996</v>
      </c>
      <c r="AQ36" s="26">
        <f t="shared" si="40"/>
        <v>-11526280.875267595</v>
      </c>
      <c r="AR36" s="26">
        <f t="shared" si="40"/>
        <v>-9915884.2341614105</v>
      </c>
      <c r="AS36" s="26">
        <f t="shared" si="40"/>
        <v>-15395793.086962324</v>
      </c>
      <c r="AT36" s="26">
        <f t="shared" si="40"/>
        <v>-12762079.400151031</v>
      </c>
      <c r="AU36" s="26">
        <f t="shared" si="40"/>
        <v>-11313890.266149437</v>
      </c>
      <c r="AV36" s="26">
        <f t="shared" si="40"/>
        <v>-9570315.5195108764</v>
      </c>
      <c r="AW36" s="26">
        <f t="shared" si="40"/>
        <v>-9283811.8276480455</v>
      </c>
      <c r="AX36" s="26">
        <f t="shared" si="40"/>
        <v>-5293513.9778322363</v>
      </c>
      <c r="AY36" s="26">
        <f t="shared" si="40"/>
        <v>-2329170.4842110942</v>
      </c>
      <c r="AZ36" s="26">
        <f t="shared" si="40"/>
        <v>-854982.96905096387</v>
      </c>
      <c r="BA36" s="26">
        <f t="shared" si="40"/>
        <v>-12620951.65813384</v>
      </c>
      <c r="BB36" s="26">
        <f t="shared" si="40"/>
        <v>-5144607.8680994315</v>
      </c>
      <c r="BC36" s="26">
        <f t="shared" si="40"/>
        <v>-2722334.5837321267</v>
      </c>
      <c r="BD36" s="26">
        <f t="shared" si="40"/>
        <v>-1166520.1006145345</v>
      </c>
      <c r="BE36" s="26">
        <f t="shared" si="40"/>
        <v>-11099071.3325302</v>
      </c>
      <c r="BF36" s="26">
        <f t="shared" si="40"/>
        <v>-8603660.8614385221</v>
      </c>
      <c r="BG36" s="26">
        <f t="shared" si="40"/>
        <v>-3595044.3566267593</v>
      </c>
      <c r="BH36" s="26">
        <f t="shared" si="40"/>
        <v>-2183814.6835135082</v>
      </c>
      <c r="BI36" s="26">
        <f t="shared" si="40"/>
        <v>-6063050.8397091432</v>
      </c>
      <c r="BJ36" s="26">
        <f t="shared" si="40"/>
        <v>-4669509.9238716848</v>
      </c>
      <c r="BK36" s="26">
        <f t="shared" si="40"/>
        <v>-1587785.5947611253</v>
      </c>
      <c r="BL36" s="26">
        <f t="shared" si="40"/>
        <v>-756227.51775823114</v>
      </c>
      <c r="BM36" s="26">
        <f t="shared" si="40"/>
        <v>-6940707.7894687597</v>
      </c>
      <c r="BN36" s="26">
        <f t="shared" si="40"/>
        <v>-6043691.2721860791</v>
      </c>
      <c r="BO36" s="26">
        <f t="shared" ref="BO36:CJ36" si="41">BO35*BO41</f>
        <v>-4617874.8860503444</v>
      </c>
      <c r="BP36" s="26">
        <f t="shared" si="41"/>
        <v>-980447.9241370887</v>
      </c>
      <c r="BQ36" s="26">
        <f t="shared" si="41"/>
        <v>-2510042.266599176</v>
      </c>
      <c r="BR36" s="26">
        <f t="shared" si="41"/>
        <v>513345.69978238334</v>
      </c>
      <c r="BS36" s="26">
        <f t="shared" si="41"/>
        <v>2840492.944144736</v>
      </c>
      <c r="BT36" s="26">
        <f t="shared" si="41"/>
        <v>4402918.0480993576</v>
      </c>
      <c r="BU36" s="26">
        <f t="shared" si="41"/>
        <v>13863952.873400008</v>
      </c>
      <c r="BV36" s="26" t="e">
        <f t="shared" si="41"/>
        <v>#DIV/0!</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-3167646.6521232314</v>
      </c>
      <c r="C37" s="26">
        <f t="shared" ref="C37:BN37" si="42">C35-C36</f>
        <v>-3033224.0903289272</v>
      </c>
      <c r="D37" s="26">
        <f t="shared" si="42"/>
        <v>-2500575.5343675446</v>
      </c>
      <c r="E37" s="26">
        <f t="shared" si="42"/>
        <v>3623729.6406591106</v>
      </c>
      <c r="F37" s="26">
        <f t="shared" si="42"/>
        <v>-28706130.251655888</v>
      </c>
      <c r="G37" s="26">
        <f t="shared" si="42"/>
        <v>-27288596.330617011</v>
      </c>
      <c r="H37" s="26">
        <f t="shared" si="42"/>
        <v>-21516581.636118073</v>
      </c>
      <c r="I37" s="26">
        <f t="shared" si="42"/>
        <v>28182643.420199059</v>
      </c>
      <c r="J37" s="26">
        <f t="shared" si="42"/>
        <v>-946244.37230773375</v>
      </c>
      <c r="K37" s="26">
        <f t="shared" si="42"/>
        <v>-8847207.6450885981</v>
      </c>
      <c r="L37" s="26">
        <f t="shared" si="42"/>
        <v>-2164564.6060547354</v>
      </c>
      <c r="M37" s="26">
        <f t="shared" si="42"/>
        <v>31784791.925887682</v>
      </c>
      <c r="N37" s="26">
        <f t="shared" si="42"/>
        <v>-38657915.261495039</v>
      </c>
      <c r="O37" s="26">
        <f t="shared" si="42"/>
        <v>-14077289.247605454</v>
      </c>
      <c r="P37" s="26">
        <f t="shared" si="42"/>
        <v>-4772327.4007835826</v>
      </c>
      <c r="Q37" s="26">
        <f t="shared" si="42"/>
        <v>8192272.1739488542</v>
      </c>
      <c r="R37" s="26">
        <f t="shared" si="42"/>
        <v>-71106043.192321584</v>
      </c>
      <c r="S37" s="26">
        <f t="shared" si="42"/>
        <v>-40042769.27528403</v>
      </c>
      <c r="T37" s="26">
        <f t="shared" si="42"/>
        <v>-17811157.220362127</v>
      </c>
      <c r="U37" s="26">
        <f t="shared" si="42"/>
        <v>323435.84725384647</v>
      </c>
      <c r="V37" s="26">
        <f t="shared" si="42"/>
        <v>-255641787.4339323</v>
      </c>
      <c r="W37" s="26">
        <f t="shared" si="42"/>
        <v>-179671245.98180988</v>
      </c>
      <c r="X37" s="26">
        <f t="shared" si="42"/>
        <v>-84433769.448278934</v>
      </c>
      <c r="Y37" s="26">
        <f t="shared" si="42"/>
        <v>550887.98467586469</v>
      </c>
      <c r="Z37" s="26">
        <f t="shared" si="42"/>
        <v>-223079256.07432914</v>
      </c>
      <c r="AA37" s="26">
        <f t="shared" si="42"/>
        <v>-140377834.73151621</v>
      </c>
      <c r="AB37" s="26">
        <f t="shared" si="42"/>
        <v>-72949323.845274299</v>
      </c>
      <c r="AC37" s="26">
        <f t="shared" si="42"/>
        <v>1100350.3232849301</v>
      </c>
      <c r="AD37" s="26">
        <f t="shared" si="42"/>
        <v>-162680570.40809852</v>
      </c>
      <c r="AE37" s="26">
        <f t="shared" si="42"/>
        <v>-111683617.1165875</v>
      </c>
      <c r="AF37" s="26">
        <f t="shared" si="42"/>
        <v>-40119609.957365766</v>
      </c>
      <c r="AG37" s="26">
        <f t="shared" si="42"/>
        <v>211864.01890902859</v>
      </c>
      <c r="AH37" s="26">
        <f t="shared" si="42"/>
        <v>-102747922.85629353</v>
      </c>
      <c r="AI37" s="26">
        <f t="shared" si="42"/>
        <v>-74635642.387384459</v>
      </c>
      <c r="AJ37" s="26">
        <f t="shared" si="42"/>
        <v>-34680779.186579898</v>
      </c>
      <c r="AK37" s="26">
        <f t="shared" si="42"/>
        <v>-100061903.31730522</v>
      </c>
      <c r="AL37" s="26">
        <f t="shared" si="42"/>
        <v>-67835215.391387373</v>
      </c>
      <c r="AM37" s="26">
        <f t="shared" si="42"/>
        <v>-65827149.529576361</v>
      </c>
      <c r="AN37" s="26">
        <f t="shared" si="42"/>
        <v>-60983323.043640077</v>
      </c>
      <c r="AO37" s="26">
        <f t="shared" si="42"/>
        <v>-76148189.69698891</v>
      </c>
      <c r="AP37" s="26">
        <f t="shared" si="42"/>
        <v>-46654600.440651998</v>
      </c>
      <c r="AQ37" s="26">
        <f t="shared" si="42"/>
        <v>-34596261.234732404</v>
      </c>
      <c r="AR37" s="26">
        <f t="shared" si="42"/>
        <v>-29764583.685838591</v>
      </c>
      <c r="AS37" s="26">
        <f t="shared" si="42"/>
        <v>-29348031.863037679</v>
      </c>
      <c r="AT37" s="26">
        <f t="shared" si="42"/>
        <v>-25395938.309848972</v>
      </c>
      <c r="AU37" s="26">
        <f t="shared" si="42"/>
        <v>-21652258.853850566</v>
      </c>
      <c r="AV37" s="26">
        <f t="shared" si="42"/>
        <v>-17181607.720489122</v>
      </c>
      <c r="AW37" s="26">
        <f t="shared" si="42"/>
        <v>-15984556.062351955</v>
      </c>
      <c r="AX37" s="26">
        <f t="shared" si="42"/>
        <v>-9175498.9421677627</v>
      </c>
      <c r="AY37" s="26">
        <f t="shared" si="42"/>
        <v>-4369063.6457889061</v>
      </c>
      <c r="AZ37" s="26">
        <f t="shared" si="42"/>
        <v>-1964156.2409490361</v>
      </c>
      <c r="BA37" s="26">
        <f t="shared" si="42"/>
        <v>-19643642.291866161</v>
      </c>
      <c r="BB37" s="26">
        <f t="shared" si="42"/>
        <v>-9081296.111900568</v>
      </c>
      <c r="BC37" s="26">
        <f t="shared" si="42"/>
        <v>-5385545.866267873</v>
      </c>
      <c r="BD37" s="26">
        <f t="shared" si="42"/>
        <v>-2580403.9193854658</v>
      </c>
      <c r="BE37" s="26">
        <f t="shared" si="42"/>
        <v>-14894724.207469799</v>
      </c>
      <c r="BF37" s="26">
        <f t="shared" si="42"/>
        <v>-13703385.518561477</v>
      </c>
      <c r="BG37" s="26">
        <f t="shared" si="42"/>
        <v>-6363817.6133732414</v>
      </c>
      <c r="BH37" s="26">
        <f t="shared" si="42"/>
        <v>-4563607.5464864923</v>
      </c>
      <c r="BI37" s="26">
        <f t="shared" si="42"/>
        <v>-9987175.150290858</v>
      </c>
      <c r="BJ37" s="26">
        <f t="shared" si="42"/>
        <v>-7575502.2261283156</v>
      </c>
      <c r="BK37" s="26">
        <f t="shared" si="42"/>
        <v>-2783301.8952388749</v>
      </c>
      <c r="BL37" s="26">
        <f t="shared" si="42"/>
        <v>-1454921.9522417691</v>
      </c>
      <c r="BM37" s="26">
        <f t="shared" si="42"/>
        <v>-10520794.080531241</v>
      </c>
      <c r="BN37" s="26">
        <f t="shared" si="42"/>
        <v>-9215727.2578139193</v>
      </c>
      <c r="BO37" s="26">
        <f t="shared" ref="BO37:CJ37" si="43">BO35-BO36</f>
        <v>-7292361.9939496564</v>
      </c>
      <c r="BP37" s="26">
        <f t="shared" si="43"/>
        <v>-1681512.2658629112</v>
      </c>
      <c r="BQ37" s="26">
        <f t="shared" si="43"/>
        <v>-3232311.2234008242</v>
      </c>
      <c r="BR37" s="26">
        <f t="shared" si="43"/>
        <v>822876.3002176166</v>
      </c>
      <c r="BS37" s="26">
        <f t="shared" si="43"/>
        <v>3839572.7258552639</v>
      </c>
      <c r="BT37" s="26">
        <f t="shared" si="43"/>
        <v>6874397.3819006421</v>
      </c>
      <c r="BU37" s="26">
        <f t="shared" si="43"/>
        <v>28056818.896599993</v>
      </c>
      <c r="BV37" s="26" t="e">
        <f t="shared" si="43"/>
        <v>#DIV/0!</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32963092997.23</v>
      </c>
      <c r="C38" s="28">
        <f t="shared" ref="C38:BN38" si="44">C31-C35</f>
        <v>20913644348.880001</v>
      </c>
      <c r="D38" s="28">
        <f t="shared" si="44"/>
        <v>11268259746.860001</v>
      </c>
      <c r="E38" s="28">
        <f t="shared" si="44"/>
        <v>36030194955.080002</v>
      </c>
      <c r="F38" s="28">
        <f t="shared" si="44"/>
        <v>26567483111.830006</v>
      </c>
      <c r="G38" s="28">
        <f t="shared" si="44"/>
        <v>14852185015.499998</v>
      </c>
      <c r="H38" s="28">
        <f t="shared" si="44"/>
        <v>8183922826.3100004</v>
      </c>
      <c r="I38" s="28">
        <f t="shared" si="44"/>
        <v>22789027379.32</v>
      </c>
      <c r="J38" s="28">
        <f t="shared" si="44"/>
        <v>17228809769.170002</v>
      </c>
      <c r="K38" s="28">
        <f t="shared" si="44"/>
        <v>12259298641.900002</v>
      </c>
      <c r="L38" s="28">
        <f t="shared" si="44"/>
        <v>6975471793.0099993</v>
      </c>
      <c r="M38" s="28">
        <f t="shared" si="44"/>
        <v>21274613131.549995</v>
      </c>
      <c r="N38" s="28">
        <f t="shared" si="44"/>
        <v>15613301029.969999</v>
      </c>
      <c r="O38" s="28">
        <f t="shared" si="44"/>
        <v>10755947628.290001</v>
      </c>
      <c r="P38" s="28">
        <f t="shared" si="44"/>
        <v>5989766410.04</v>
      </c>
      <c r="Q38" s="28">
        <f t="shared" si="44"/>
        <v>21296900469.82</v>
      </c>
      <c r="R38" s="28">
        <f t="shared" si="44"/>
        <v>14768044594.980001</v>
      </c>
      <c r="S38" s="28">
        <f t="shared" si="44"/>
        <v>9958006581.3799992</v>
      </c>
      <c r="T38" s="28">
        <f t="shared" si="44"/>
        <v>5195370624.6700001</v>
      </c>
      <c r="U38" s="28">
        <f t="shared" si="44"/>
        <v>21318728555.18</v>
      </c>
      <c r="V38" s="28">
        <f t="shared" si="44"/>
        <v>15616018837.020002</v>
      </c>
      <c r="W38" s="28">
        <f t="shared" si="44"/>
        <v>10115968194.529999</v>
      </c>
      <c r="X38" s="28">
        <f t="shared" si="44"/>
        <v>5117888228.2199984</v>
      </c>
      <c r="Y38" s="28">
        <f t="shared" si="44"/>
        <v>18699887279.09</v>
      </c>
      <c r="Z38" s="28">
        <f t="shared" si="44"/>
        <v>14585256656</v>
      </c>
      <c r="AA38" s="28">
        <f t="shared" si="44"/>
        <v>9800176180.670002</v>
      </c>
      <c r="AB38" s="28">
        <f t="shared" si="44"/>
        <v>4174928960.9499998</v>
      </c>
      <c r="AC38" s="28">
        <f t="shared" si="44"/>
        <v>12333193175.320002</v>
      </c>
      <c r="AD38" s="28">
        <f t="shared" si="44"/>
        <v>9279554251.710001</v>
      </c>
      <c r="AE38" s="28">
        <f t="shared" si="44"/>
        <v>6887346890</v>
      </c>
      <c r="AF38" s="28">
        <f t="shared" si="44"/>
        <v>2654106056.7200003</v>
      </c>
      <c r="AG38" s="28">
        <f t="shared" si="44"/>
        <v>7162132546.5899992</v>
      </c>
      <c r="AH38" s="28">
        <f t="shared" si="44"/>
        <v>5895784354.3600006</v>
      </c>
      <c r="AI38" s="28">
        <f t="shared" si="44"/>
        <v>4377516308.7699995</v>
      </c>
      <c r="AJ38" s="28">
        <f t="shared" si="44"/>
        <v>1792780671.0499995</v>
      </c>
      <c r="AK38" s="28">
        <f t="shared" si="44"/>
        <v>6080539884.6399994</v>
      </c>
      <c r="AL38" s="28">
        <f t="shared" si="44"/>
        <v>5305366861.1099997</v>
      </c>
      <c r="AM38" s="28">
        <f t="shared" si="44"/>
        <v>3905799158.5500007</v>
      </c>
      <c r="AN38" s="28">
        <f t="shared" si="44"/>
        <v>1705043160.3299997</v>
      </c>
      <c r="AO38" s="28">
        <f t="shared" si="44"/>
        <v>5385300638.1600008</v>
      </c>
      <c r="AP38" s="28">
        <f t="shared" si="44"/>
        <v>4403890919.5999994</v>
      </c>
      <c r="AQ38" s="28">
        <f t="shared" si="44"/>
        <v>3135524311.4900012</v>
      </c>
      <c r="AR38" s="28">
        <f t="shared" si="44"/>
        <v>1222557777.8900003</v>
      </c>
      <c r="AS38" s="28">
        <f t="shared" si="44"/>
        <v>4522025015.9299994</v>
      </c>
      <c r="AT38" s="28">
        <f t="shared" si="44"/>
        <v>2508046766.7200003</v>
      </c>
      <c r="AU38" s="28">
        <f t="shared" si="44"/>
        <v>1361060350.8300002</v>
      </c>
      <c r="AV38" s="28">
        <f t="shared" si="44"/>
        <v>874168408.32000017</v>
      </c>
      <c r="AW38" s="28">
        <f t="shared" si="44"/>
        <v>2487364567.0700002</v>
      </c>
      <c r="AX38" s="28">
        <f t="shared" si="44"/>
        <v>1566849093.6800001</v>
      </c>
      <c r="AY38" s="28">
        <f t="shared" si="44"/>
        <v>972004011.6099999</v>
      </c>
      <c r="AZ38" s="28">
        <f t="shared" si="44"/>
        <v>672432555.83000004</v>
      </c>
      <c r="BA38" s="28">
        <f t="shared" si="44"/>
        <v>1920197398.6800003</v>
      </c>
      <c r="BB38" s="28">
        <f t="shared" si="44"/>
        <v>1150734502.97</v>
      </c>
      <c r="BC38" s="28">
        <f t="shared" si="44"/>
        <v>756766642.68000007</v>
      </c>
      <c r="BD38" s="28">
        <f t="shared" si="44"/>
        <v>557507573.51999986</v>
      </c>
      <c r="BE38" s="28">
        <f t="shared" si="44"/>
        <v>1490670632.3900003</v>
      </c>
      <c r="BF38" s="28">
        <f t="shared" si="44"/>
        <v>875770767.56000006</v>
      </c>
      <c r="BG38" s="28">
        <f t="shared" si="44"/>
        <v>569713175.75999999</v>
      </c>
      <c r="BH38" s="28">
        <f t="shared" si="44"/>
        <v>401170213.18000007</v>
      </c>
      <c r="BI38" s="28">
        <f t="shared" si="44"/>
        <v>975609206.32999969</v>
      </c>
      <c r="BJ38" s="28">
        <f t="shared" si="44"/>
        <v>593899439.52999985</v>
      </c>
      <c r="BK38" s="28">
        <f t="shared" si="44"/>
        <v>409501594.28000003</v>
      </c>
      <c r="BL38" s="28">
        <f t="shared" si="44"/>
        <v>340107152.71999997</v>
      </c>
      <c r="BM38" s="28">
        <f t="shared" si="44"/>
        <v>646020756.08000016</v>
      </c>
      <c r="BN38" s="28">
        <f t="shared" si="44"/>
        <v>525737420.49000001</v>
      </c>
      <c r="BO38" s="28">
        <f t="shared" ref="BO38:CJ38" si="45">BO31-BO35</f>
        <v>401138323.20999992</v>
      </c>
      <c r="BP38" s="28">
        <f t="shared" si="45"/>
        <v>337226296.7899999</v>
      </c>
      <c r="BQ38" s="28">
        <f t="shared" si="45"/>
        <v>606053790.58999968</v>
      </c>
      <c r="BR38" s="28">
        <f t="shared" si="45"/>
        <v>372029417.61000001</v>
      </c>
      <c r="BS38" s="28">
        <f t="shared" si="45"/>
        <v>445794869.4799999</v>
      </c>
      <c r="BT38" s="28">
        <f t="shared" si="45"/>
        <v>353213489.99999994</v>
      </c>
      <c r="BU38" s="28">
        <f t="shared" si="45"/>
        <v>217932827.72</v>
      </c>
      <c r="BV38" s="28">
        <f t="shared" si="45"/>
        <v>0</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63.097318684600459</v>
      </c>
      <c r="C39" s="57">
        <f t="shared" ref="C39:D39" si="46">C38/C4*100</f>
        <v>62.621870285475779</v>
      </c>
      <c r="D39" s="57">
        <f t="shared" si="46"/>
        <v>64.514785319822806</v>
      </c>
      <c r="E39" s="57">
        <f>E38/E4</f>
        <v>0.61888558153389939</v>
      </c>
      <c r="F39" s="57">
        <f t="shared" ref="F39:BQ39" si="47">F38/F4</f>
        <v>0.62584665555977081</v>
      </c>
      <c r="G39" s="57">
        <f t="shared" si="47"/>
        <v>0.61397959742352637</v>
      </c>
      <c r="H39" s="57">
        <f t="shared" si="47"/>
        <v>0.61493311029930464</v>
      </c>
      <c r="I39" s="57">
        <f t="shared" si="47"/>
        <v>0.58640615423197362</v>
      </c>
      <c r="J39" s="57">
        <f t="shared" si="47"/>
        <v>0.64692418111276884</v>
      </c>
      <c r="K39" s="57">
        <f t="shared" si="47"/>
        <v>0.67457988972193506</v>
      </c>
      <c r="L39" s="57">
        <f t="shared" si="47"/>
        <v>0.69833254286594737</v>
      </c>
      <c r="M39" s="57">
        <f t="shared" si="47"/>
        <v>0.65140490798976347</v>
      </c>
      <c r="N39" s="57">
        <f t="shared" si="47"/>
        <v>0.67447884657091672</v>
      </c>
      <c r="O39" s="57">
        <f t="shared" si="47"/>
        <v>0.68167741572914387</v>
      </c>
      <c r="P39" s="57">
        <f t="shared" si="47"/>
        <v>0.70102700421583275</v>
      </c>
      <c r="Q39" s="57">
        <f t="shared" si="47"/>
        <v>0.67450904783516852</v>
      </c>
      <c r="R39" s="57">
        <f t="shared" si="47"/>
        <v>0.67998507983366852</v>
      </c>
      <c r="S39" s="57">
        <f t="shared" si="47"/>
        <v>0.69531245338215053</v>
      </c>
      <c r="T39" s="57">
        <f t="shared" si="47"/>
        <v>0.69738149569789276</v>
      </c>
      <c r="U39" s="57">
        <f t="shared" si="47"/>
        <v>0.68944006000501967</v>
      </c>
      <c r="V39" s="57">
        <f t="shared" si="47"/>
        <v>0.71189930342422314</v>
      </c>
      <c r="W39" s="57">
        <f t="shared" si="47"/>
        <v>0.71602939479042527</v>
      </c>
      <c r="X39" s="57">
        <f t="shared" si="47"/>
        <v>0.71421171860307797</v>
      </c>
      <c r="Y39" s="57">
        <f t="shared" si="47"/>
        <v>0.70684749109959866</v>
      </c>
      <c r="Z39" s="57">
        <f t="shared" si="47"/>
        <v>0.73177139635313382</v>
      </c>
      <c r="AA39" s="57">
        <f t="shared" si="47"/>
        <v>0.73883087255829039</v>
      </c>
      <c r="AB39" s="57">
        <f t="shared" si="47"/>
        <v>0.69397462557300227</v>
      </c>
      <c r="AC39" s="57">
        <f t="shared" si="47"/>
        <v>0.67019645237733305</v>
      </c>
      <c r="AD39" s="57">
        <f t="shared" si="47"/>
        <v>0.68021572415917952</v>
      </c>
      <c r="AE39" s="57">
        <f t="shared" si="47"/>
        <v>0.70094348235675097</v>
      </c>
      <c r="AF39" s="57">
        <f t="shared" si="47"/>
        <v>0.62884729954295382</v>
      </c>
      <c r="AG39" s="57">
        <f t="shared" si="47"/>
        <v>0.61565871739660505</v>
      </c>
      <c r="AH39" s="57">
        <f t="shared" si="47"/>
        <v>0.63208096365569266</v>
      </c>
      <c r="AI39" s="57">
        <f t="shared" si="47"/>
        <v>0.66454217389845649</v>
      </c>
      <c r="AJ39" s="57">
        <f t="shared" si="47"/>
        <v>0.58974870006945368</v>
      </c>
      <c r="AK39" s="57">
        <f t="shared" si="47"/>
        <v>0.62880459899969654</v>
      </c>
      <c r="AL39" s="57">
        <f t="shared" si="47"/>
        <v>0.67954775589949723</v>
      </c>
      <c r="AM39" s="57">
        <f t="shared" si="47"/>
        <v>0.70425440154840813</v>
      </c>
      <c r="AN39" s="57">
        <f t="shared" si="47"/>
        <v>0.67861410473386918</v>
      </c>
      <c r="AO39" s="57">
        <f t="shared" si="47"/>
        <v>0.65342223945200306</v>
      </c>
      <c r="AP39" s="57">
        <f t="shared" si="47"/>
        <v>0.678929960225787</v>
      </c>
      <c r="AQ39" s="57">
        <f t="shared" si="47"/>
        <v>0.67872644609102528</v>
      </c>
      <c r="AR39" s="57">
        <f t="shared" si="47"/>
        <v>0.61327313190746691</v>
      </c>
      <c r="AS39" s="57">
        <f t="shared" si="47"/>
        <v>0.62481081670169414</v>
      </c>
      <c r="AT39" s="57">
        <f t="shared" si="47"/>
        <v>0.56254637366194526</v>
      </c>
      <c r="AU39" s="57">
        <f t="shared" si="47"/>
        <v>0.51769278818878894</v>
      </c>
      <c r="AV39" s="57">
        <f t="shared" si="47"/>
        <v>0.55064405112468318</v>
      </c>
      <c r="AW39" s="57">
        <f t="shared" si="47"/>
        <v>0.50802075518303746</v>
      </c>
      <c r="AX39" s="57">
        <f t="shared" si="47"/>
        <v>0.48218853287592317</v>
      </c>
      <c r="AY39" s="57">
        <f t="shared" si="47"/>
        <v>0.47894664666595782</v>
      </c>
      <c r="AZ39" s="57">
        <f t="shared" si="47"/>
        <v>0.49644409288415331</v>
      </c>
      <c r="BA39" s="57">
        <f t="shared" si="47"/>
        <v>0.48853579813307141</v>
      </c>
      <c r="BB39" s="57">
        <f t="shared" si="47"/>
        <v>0.44596600633339961</v>
      </c>
      <c r="BC39" s="57">
        <f t="shared" si="47"/>
        <v>0.44881486351445077</v>
      </c>
      <c r="BD39" s="57">
        <f t="shared" si="47"/>
        <v>0.48732441674734328</v>
      </c>
      <c r="BE39" s="57">
        <f t="shared" si="47"/>
        <v>0.49527338753444528</v>
      </c>
      <c r="BF39" s="57">
        <f t="shared" si="47"/>
        <v>0.42298812837240218</v>
      </c>
      <c r="BG39" s="57">
        <f t="shared" si="47"/>
        <v>0.43353563907182685</v>
      </c>
      <c r="BH39" s="57">
        <f t="shared" si="47"/>
        <v>0.47006704392630178</v>
      </c>
      <c r="BI39" s="57">
        <f t="shared" si="47"/>
        <v>0.40633149471182228</v>
      </c>
      <c r="BJ39" s="57">
        <f t="shared" si="47"/>
        <v>0.38248372030264627</v>
      </c>
      <c r="BK39" s="57">
        <f t="shared" si="47"/>
        <v>0.40582982238820597</v>
      </c>
      <c r="BL39" s="57">
        <f t="shared" si="47"/>
        <v>0.46343116483909585</v>
      </c>
      <c r="BM39" s="57">
        <f t="shared" si="47"/>
        <v>0.35207442171349751</v>
      </c>
      <c r="BN39" s="57">
        <f t="shared" si="47"/>
        <v>0.38547014488112435</v>
      </c>
      <c r="BO39" s="57">
        <f t="shared" si="47"/>
        <v>0.41975258196188781</v>
      </c>
      <c r="BP39" s="57">
        <f t="shared" si="47"/>
        <v>0.46966478866524736</v>
      </c>
      <c r="BQ39" s="57">
        <f t="shared" si="47"/>
        <v>0.37455890825415777</v>
      </c>
      <c r="BR39" s="57">
        <f t="shared" ref="BR39:CK39" si="48">BR38/BR4</f>
        <v>0.42572944925135586</v>
      </c>
      <c r="BS39" s="57">
        <f t="shared" si="48"/>
        <v>0.4001746355780752</v>
      </c>
      <c r="BT39" s="57">
        <f t="shared" si="48"/>
        <v>0.39648677611493061</v>
      </c>
      <c r="BU39" s="57">
        <f t="shared" si="48"/>
        <v>0.3469249096373011</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9005963447.6000004</v>
      </c>
      <c r="C40" s="26">
        <f t="shared" ref="C40:BN40" si="49">C60</f>
        <v>5798614348.8000002</v>
      </c>
      <c r="D40" s="26">
        <f t="shared" si="49"/>
        <v>3041997000.2800002</v>
      </c>
      <c r="E40" s="26">
        <f t="shared" si="49"/>
        <v>9733648906.6000004</v>
      </c>
      <c r="F40" s="26">
        <f t="shared" si="49"/>
        <v>7131368591.2299995</v>
      </c>
      <c r="G40" s="26">
        <f t="shared" si="49"/>
        <v>4039090821.9699998</v>
      </c>
      <c r="H40" s="26">
        <f t="shared" si="49"/>
        <v>2210206968.8800001</v>
      </c>
      <c r="I40" s="26">
        <f t="shared" si="49"/>
        <v>6027237847.2299995</v>
      </c>
      <c r="J40" s="26">
        <f t="shared" si="49"/>
        <v>4707793040.1099997</v>
      </c>
      <c r="K40" s="26">
        <f t="shared" si="49"/>
        <v>3388082316.0900002</v>
      </c>
      <c r="L40" s="26">
        <f t="shared" si="49"/>
        <v>1994656882.6400001</v>
      </c>
      <c r="M40" s="26">
        <f t="shared" si="49"/>
        <v>5546718336.1199999</v>
      </c>
      <c r="N40" s="26">
        <f t="shared" si="49"/>
        <v>4035440224.8800001</v>
      </c>
      <c r="O40" s="26">
        <f t="shared" si="49"/>
        <v>2784913019.29</v>
      </c>
      <c r="P40" s="26">
        <f t="shared" si="49"/>
        <v>1573695806.3099999</v>
      </c>
      <c r="Q40" s="26">
        <f t="shared" si="49"/>
        <v>5612970927.5</v>
      </c>
      <c r="R40" s="26">
        <f t="shared" si="49"/>
        <v>3803506856.02</v>
      </c>
      <c r="S40" s="26">
        <f t="shared" si="49"/>
        <v>2558640928.77</v>
      </c>
      <c r="T40" s="26">
        <f t="shared" si="49"/>
        <v>1359416643.96</v>
      </c>
      <c r="U40" s="26">
        <f t="shared" si="49"/>
        <v>5467460544.9200001</v>
      </c>
      <c r="V40" s="26">
        <f t="shared" si="49"/>
        <v>4005211849.6700001</v>
      </c>
      <c r="W40" s="26">
        <f t="shared" si="49"/>
        <v>2504491374.79</v>
      </c>
      <c r="X40" s="26">
        <f t="shared" si="49"/>
        <v>1344524985.23</v>
      </c>
      <c r="Y40" s="26">
        <f t="shared" si="49"/>
        <v>4692039766.9899998</v>
      </c>
      <c r="Z40" s="26">
        <f t="shared" si="49"/>
        <v>3647276882.3000002</v>
      </c>
      <c r="AA40" s="26">
        <f t="shared" si="49"/>
        <v>2451236642.1199999</v>
      </c>
      <c r="AB40" s="26">
        <f t="shared" si="49"/>
        <v>1045438170.21</v>
      </c>
      <c r="AC40" s="26">
        <f t="shared" si="49"/>
        <v>3084336666.1799998</v>
      </c>
      <c r="AD40" s="26">
        <f t="shared" si="49"/>
        <v>2348839939.0999999</v>
      </c>
      <c r="AE40" s="26">
        <f t="shared" si="49"/>
        <v>1721040697.47</v>
      </c>
      <c r="AF40" s="26">
        <f t="shared" si="49"/>
        <v>662814727.08000004</v>
      </c>
      <c r="AG40" s="26">
        <f t="shared" si="49"/>
        <v>1822655234.4000001</v>
      </c>
      <c r="AH40" s="26">
        <f t="shared" si="49"/>
        <v>1484679876.53</v>
      </c>
      <c r="AI40" s="26">
        <f t="shared" si="49"/>
        <v>1102953708.7</v>
      </c>
      <c r="AJ40" s="26">
        <f t="shared" si="49"/>
        <v>448397873.24000001</v>
      </c>
      <c r="AK40" s="26">
        <f t="shared" si="49"/>
        <v>1527650940.6400001</v>
      </c>
      <c r="AL40" s="26">
        <f t="shared" si="49"/>
        <v>1325571242.9100001</v>
      </c>
      <c r="AM40" s="26">
        <f t="shared" si="49"/>
        <v>976956902.29999995</v>
      </c>
      <c r="AN40" s="26">
        <f t="shared" si="49"/>
        <v>426202592.50999999</v>
      </c>
      <c r="AO40" s="26">
        <f t="shared" si="49"/>
        <v>1384541295.05</v>
      </c>
      <c r="AP40" s="26">
        <f t="shared" si="49"/>
        <v>1099692138.5999999</v>
      </c>
      <c r="AQ40" s="26">
        <f t="shared" si="49"/>
        <v>783585037.86000001</v>
      </c>
      <c r="AR40" s="26">
        <f t="shared" si="49"/>
        <v>305509033.30000001</v>
      </c>
      <c r="AS40" s="26">
        <f t="shared" si="49"/>
        <v>1555972506.98</v>
      </c>
      <c r="AT40" s="26">
        <f t="shared" si="49"/>
        <v>838824810.53999996</v>
      </c>
      <c r="AU40" s="26">
        <f t="shared" si="49"/>
        <v>467112109.42000002</v>
      </c>
      <c r="AV40" s="26">
        <f t="shared" si="49"/>
        <v>312727702.22000003</v>
      </c>
      <c r="AW40" s="26">
        <f t="shared" si="49"/>
        <v>913878754.97000003</v>
      </c>
      <c r="AX40" s="26">
        <f t="shared" si="49"/>
        <v>573234513.25999999</v>
      </c>
      <c r="AY40" s="26">
        <f t="shared" si="49"/>
        <v>337994016.10000002</v>
      </c>
      <c r="AZ40" s="26">
        <f t="shared" si="49"/>
        <v>203934016.81999999</v>
      </c>
      <c r="BA40" s="26">
        <f t="shared" si="49"/>
        <v>751124237.92999995</v>
      </c>
      <c r="BB40" s="26">
        <f t="shared" si="49"/>
        <v>416147739.11000001</v>
      </c>
      <c r="BC40" s="26">
        <f t="shared" si="49"/>
        <v>254095014.83000001</v>
      </c>
      <c r="BD40" s="26">
        <f t="shared" si="49"/>
        <v>173567381.47999999</v>
      </c>
      <c r="BE40" s="26">
        <f t="shared" si="49"/>
        <v>636500339.35000002</v>
      </c>
      <c r="BF40" s="26">
        <f t="shared" si="49"/>
        <v>337778231.50999999</v>
      </c>
      <c r="BG40" s="26">
        <f t="shared" si="49"/>
        <v>205660460.36000001</v>
      </c>
      <c r="BH40" s="26">
        <f t="shared" si="49"/>
        <v>129839421.97</v>
      </c>
      <c r="BI40" s="26">
        <f t="shared" si="49"/>
        <v>368541117.19999999</v>
      </c>
      <c r="BJ40" s="26">
        <f t="shared" si="49"/>
        <v>226477466.31</v>
      </c>
      <c r="BK40" s="26">
        <f t="shared" si="49"/>
        <v>148750335.91</v>
      </c>
      <c r="BL40" s="26">
        <f t="shared" si="49"/>
        <v>116318861.01000001</v>
      </c>
      <c r="BM40" s="26">
        <f t="shared" si="49"/>
        <v>256784400.75</v>
      </c>
      <c r="BN40" s="26">
        <f t="shared" si="49"/>
        <v>208225146.55000001</v>
      </c>
      <c r="BO40" s="26">
        <f t="shared" ref="BO40:CJ40" si="50">BO60</f>
        <v>155530625.22999999</v>
      </c>
      <c r="BP40" s="26">
        <f t="shared" si="50"/>
        <v>124206524.16</v>
      </c>
      <c r="BQ40" s="26">
        <f t="shared" si="50"/>
        <v>264912397.47999999</v>
      </c>
      <c r="BR40" s="26">
        <f t="shared" si="50"/>
        <v>142925129</v>
      </c>
      <c r="BS40" s="26">
        <f t="shared" si="50"/>
        <v>189560588.75</v>
      </c>
      <c r="BT40" s="26">
        <f t="shared" si="50"/>
        <v>137902505.22</v>
      </c>
      <c r="BU40" s="26">
        <f t="shared" si="50"/>
        <v>72074304.109999999</v>
      </c>
      <c r="BV40" s="26">
        <f t="shared" si="50"/>
        <v>0</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0.27321354365492345</v>
      </c>
      <c r="C41" s="57">
        <f t="shared" ref="C41:BN41" si="51">C40/C38</f>
        <v>0.27726465326023086</v>
      </c>
      <c r="D41" s="57">
        <f t="shared" si="51"/>
        <v>0.26996156182215086</v>
      </c>
      <c r="E41" s="57">
        <f t="shared" si="51"/>
        <v>0.27015254618342344</v>
      </c>
      <c r="F41" s="57">
        <f t="shared" si="51"/>
        <v>0.26842469650632933</v>
      </c>
      <c r="G41" s="57">
        <f t="shared" si="51"/>
        <v>0.27195263308090589</v>
      </c>
      <c r="H41" s="57">
        <f t="shared" si="51"/>
        <v>0.27006693682087751</v>
      </c>
      <c r="I41" s="57">
        <f t="shared" si="51"/>
        <v>0.26447981947221855</v>
      </c>
      <c r="J41" s="57">
        <f t="shared" si="51"/>
        <v>0.27325120557859628</v>
      </c>
      <c r="K41" s="57">
        <f t="shared" si="51"/>
        <v>0.27636836454168473</v>
      </c>
      <c r="L41" s="57">
        <f t="shared" si="51"/>
        <v>0.28595297089994853</v>
      </c>
      <c r="M41" s="57">
        <f t="shared" si="51"/>
        <v>0.26072005642698542</v>
      </c>
      <c r="N41" s="57">
        <f t="shared" si="51"/>
        <v>0.2584616934710926</v>
      </c>
      <c r="O41" s="57">
        <f t="shared" si="51"/>
        <v>0.25891842499913231</v>
      </c>
      <c r="P41" s="57">
        <f t="shared" si="51"/>
        <v>0.26273074750831404</v>
      </c>
      <c r="Q41" s="57">
        <f t="shared" si="51"/>
        <v>0.26355811426428855</v>
      </c>
      <c r="R41" s="57">
        <f t="shared" si="51"/>
        <v>0.25754979486674218</v>
      </c>
      <c r="S41" s="57">
        <f t="shared" si="51"/>
        <v>0.2569430847288533</v>
      </c>
      <c r="T41" s="57">
        <f t="shared" si="51"/>
        <v>0.26165922359896077</v>
      </c>
      <c r="U41" s="57">
        <f t="shared" si="51"/>
        <v>0.25646278720461135</v>
      </c>
      <c r="V41" s="57">
        <f t="shared" si="51"/>
        <v>0.25648098221904508</v>
      </c>
      <c r="W41" s="57">
        <f t="shared" si="51"/>
        <v>0.2475780198818984</v>
      </c>
      <c r="X41" s="57">
        <f t="shared" si="51"/>
        <v>0.26271089271084491</v>
      </c>
      <c r="Y41" s="57">
        <f t="shared" si="51"/>
        <v>0.25091272995193853</v>
      </c>
      <c r="Z41" s="57">
        <f t="shared" si="51"/>
        <v>0.2500660062639079</v>
      </c>
      <c r="AA41" s="57">
        <f t="shared" si="51"/>
        <v>0.25012169137886026</v>
      </c>
      <c r="AB41" s="57">
        <f t="shared" si="51"/>
        <v>0.2504086129341257</v>
      </c>
      <c r="AC41" s="57">
        <f t="shared" si="51"/>
        <v>0.25008419330948917</v>
      </c>
      <c r="AD41" s="57">
        <f t="shared" si="51"/>
        <v>0.25311991022275282</v>
      </c>
      <c r="AE41" s="57">
        <f t="shared" si="51"/>
        <v>0.24988442210872872</v>
      </c>
      <c r="AF41" s="57">
        <f t="shared" si="51"/>
        <v>0.24973181663249747</v>
      </c>
      <c r="AG41" s="57">
        <f t="shared" si="51"/>
        <v>0.2544849906844846</v>
      </c>
      <c r="AH41" s="57">
        <f t="shared" si="51"/>
        <v>0.25182058693039916</v>
      </c>
      <c r="AI41" s="57">
        <f t="shared" si="51"/>
        <v>0.25195878916323433</v>
      </c>
      <c r="AJ41" s="57">
        <f t="shared" si="51"/>
        <v>0.25011306763887708</v>
      </c>
      <c r="AK41" s="57">
        <f t="shared" si="51"/>
        <v>0.25123606943175986</v>
      </c>
      <c r="AL41" s="57">
        <f t="shared" si="51"/>
        <v>0.24985477491233496</v>
      </c>
      <c r="AM41" s="57">
        <f t="shared" si="51"/>
        <v>0.25012983582665527</v>
      </c>
      <c r="AN41" s="57">
        <f t="shared" si="51"/>
        <v>0.24996586739042509</v>
      </c>
      <c r="AO41" s="57">
        <f t="shared" si="51"/>
        <v>0.25709637921404088</v>
      </c>
      <c r="AP41" s="57">
        <f t="shared" si="51"/>
        <v>0.24970921366505683</v>
      </c>
      <c r="AQ41" s="57">
        <f t="shared" si="51"/>
        <v>0.24990558516436456</v>
      </c>
      <c r="AR41" s="57">
        <f t="shared" si="51"/>
        <v>0.24989332923575591</v>
      </c>
      <c r="AS41" s="57">
        <f t="shared" si="51"/>
        <v>0.34408754960414539</v>
      </c>
      <c r="AT41" s="57">
        <f t="shared" si="51"/>
        <v>0.33445341676662876</v>
      </c>
      <c r="AU41" s="57">
        <f t="shared" si="51"/>
        <v>0.34319720586610747</v>
      </c>
      <c r="AV41" s="57">
        <f t="shared" si="51"/>
        <v>0.35774308387671933</v>
      </c>
      <c r="AW41" s="57">
        <f t="shared" si="51"/>
        <v>0.36740844790858573</v>
      </c>
      <c r="AX41" s="57">
        <f t="shared" si="51"/>
        <v>0.36585176937088781</v>
      </c>
      <c r="AY41" s="57">
        <f t="shared" si="51"/>
        <v>0.34772903410157363</v>
      </c>
      <c r="AZ41" s="57">
        <f t="shared" si="51"/>
        <v>0.30327802402172394</v>
      </c>
      <c r="BA41" s="57">
        <f t="shared" si="51"/>
        <v>0.39117032365857002</v>
      </c>
      <c r="BB41" s="57">
        <f t="shared" si="51"/>
        <v>0.36163662255362922</v>
      </c>
      <c r="BC41" s="57">
        <f t="shared" si="51"/>
        <v>0.33576402618666223</v>
      </c>
      <c r="BD41" s="57">
        <f t="shared" si="51"/>
        <v>0.31132739665602677</v>
      </c>
      <c r="BE41" s="57">
        <f t="shared" si="51"/>
        <v>0.42698925270265475</v>
      </c>
      <c r="BF41" s="57">
        <f t="shared" si="51"/>
        <v>0.38569251683415934</v>
      </c>
      <c r="BG41" s="57">
        <f t="shared" si="51"/>
        <v>0.36098947524892333</v>
      </c>
      <c r="BH41" s="57">
        <f t="shared" si="51"/>
        <v>0.32365170120879005</v>
      </c>
      <c r="BI41" s="57">
        <f t="shared" si="51"/>
        <v>0.3777548579993012</v>
      </c>
      <c r="BJ41" s="57">
        <f t="shared" si="51"/>
        <v>0.38133975423386446</v>
      </c>
      <c r="BK41" s="57">
        <f t="shared" si="51"/>
        <v>0.36324726933368362</v>
      </c>
      <c r="BL41" s="57">
        <f t="shared" si="51"/>
        <v>0.3420065120058261</v>
      </c>
      <c r="BM41" s="57">
        <f t="shared" si="51"/>
        <v>0.39748630107203714</v>
      </c>
      <c r="BN41" s="57">
        <f t="shared" si="51"/>
        <v>0.39606301251284176</v>
      </c>
      <c r="BO41" s="57">
        <f t="shared" ref="BO41:CJ41" si="52">BO40/BO38</f>
        <v>0.38772317734543194</v>
      </c>
      <c r="BP41" s="57">
        <f t="shared" si="52"/>
        <v>0.36831802662574331</v>
      </c>
      <c r="BQ41" s="57">
        <f t="shared" si="52"/>
        <v>0.43711037137826497</v>
      </c>
      <c r="BR41" s="57">
        <f t="shared" si="52"/>
        <v>0.38417695546277741</v>
      </c>
      <c r="BS41" s="57">
        <f t="shared" si="52"/>
        <v>0.42521931437011395</v>
      </c>
      <c r="BT41" s="57">
        <f t="shared" si="52"/>
        <v>0.39042253233306584</v>
      </c>
      <c r="BU41" s="57">
        <f t="shared" si="52"/>
        <v>0.33071797793860147</v>
      </c>
      <c r="BV41" s="57" t="e">
        <f t="shared" si="52"/>
        <v>#DIV/0!</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23957129549.629997</v>
      </c>
      <c r="C42" s="28">
        <f t="shared" ref="C42:BN42" si="53">C38-C40</f>
        <v>15115030000.080002</v>
      </c>
      <c r="D42" s="28">
        <f t="shared" si="53"/>
        <v>8226262746.5799999</v>
      </c>
      <c r="E42" s="28">
        <f t="shared" si="53"/>
        <v>26296546048.480003</v>
      </c>
      <c r="F42" s="28">
        <f t="shared" si="53"/>
        <v>19436114520.600006</v>
      </c>
      <c r="G42" s="28">
        <f t="shared" si="53"/>
        <v>10813094193.529999</v>
      </c>
      <c r="H42" s="28">
        <f t="shared" si="53"/>
        <v>5973715857.4300003</v>
      </c>
      <c r="I42" s="28">
        <f t="shared" si="53"/>
        <v>16761789532.09</v>
      </c>
      <c r="J42" s="28">
        <f t="shared" si="53"/>
        <v>12521016729.060001</v>
      </c>
      <c r="K42" s="28">
        <f t="shared" si="53"/>
        <v>8871216325.8100014</v>
      </c>
      <c r="L42" s="28">
        <f t="shared" si="53"/>
        <v>4980814910.3699989</v>
      </c>
      <c r="M42" s="28">
        <f t="shared" si="53"/>
        <v>15727894795.429996</v>
      </c>
      <c r="N42" s="28">
        <f t="shared" si="53"/>
        <v>11577860805.09</v>
      </c>
      <c r="O42" s="28">
        <f t="shared" si="53"/>
        <v>7971034609.000001</v>
      </c>
      <c r="P42" s="28">
        <f t="shared" si="53"/>
        <v>4416070603.7299995</v>
      </c>
      <c r="Q42" s="28">
        <f t="shared" si="53"/>
        <v>15683929542.32</v>
      </c>
      <c r="R42" s="28">
        <f t="shared" si="53"/>
        <v>10964537738.960001</v>
      </c>
      <c r="S42" s="28">
        <f t="shared" si="53"/>
        <v>7399365652.6099987</v>
      </c>
      <c r="T42" s="28">
        <f t="shared" si="53"/>
        <v>3835953980.71</v>
      </c>
      <c r="U42" s="28">
        <f t="shared" si="53"/>
        <v>15851268010.26</v>
      </c>
      <c r="V42" s="28">
        <f t="shared" si="53"/>
        <v>11610806987.350002</v>
      </c>
      <c r="W42" s="28">
        <f t="shared" si="53"/>
        <v>7611476819.7399988</v>
      </c>
      <c r="X42" s="28">
        <f t="shared" si="53"/>
        <v>3773363242.9899983</v>
      </c>
      <c r="Y42" s="28">
        <f t="shared" si="53"/>
        <v>14007847512.1</v>
      </c>
      <c r="Z42" s="28">
        <f t="shared" si="53"/>
        <v>10937979773.700001</v>
      </c>
      <c r="AA42" s="28">
        <f t="shared" si="53"/>
        <v>7348939538.5500021</v>
      </c>
      <c r="AB42" s="28">
        <f t="shared" si="53"/>
        <v>3129490790.7399998</v>
      </c>
      <c r="AC42" s="28">
        <f t="shared" si="53"/>
        <v>9248856509.1400013</v>
      </c>
      <c r="AD42" s="28">
        <f t="shared" si="53"/>
        <v>6930714312.6100006</v>
      </c>
      <c r="AE42" s="28">
        <f t="shared" si="53"/>
        <v>5166306192.5299997</v>
      </c>
      <c r="AF42" s="28">
        <f t="shared" si="53"/>
        <v>1991291329.6400003</v>
      </c>
      <c r="AG42" s="28">
        <f t="shared" si="53"/>
        <v>5339477312.1899986</v>
      </c>
      <c r="AH42" s="28">
        <f t="shared" si="53"/>
        <v>4411104477.8300009</v>
      </c>
      <c r="AI42" s="28">
        <f t="shared" si="53"/>
        <v>3274562600.0699997</v>
      </c>
      <c r="AJ42" s="28">
        <f t="shared" si="53"/>
        <v>1344382797.8099995</v>
      </c>
      <c r="AK42" s="28">
        <f t="shared" si="53"/>
        <v>4552888943.999999</v>
      </c>
      <c r="AL42" s="28">
        <f t="shared" si="53"/>
        <v>3979795618.1999998</v>
      </c>
      <c r="AM42" s="28">
        <f t="shared" si="53"/>
        <v>2928842256.250001</v>
      </c>
      <c r="AN42" s="28">
        <f t="shared" si="53"/>
        <v>1278840567.8199997</v>
      </c>
      <c r="AO42" s="28">
        <f t="shared" si="53"/>
        <v>4000759343.1100006</v>
      </c>
      <c r="AP42" s="28">
        <f t="shared" si="53"/>
        <v>3304198780.9999995</v>
      </c>
      <c r="AQ42" s="28">
        <f t="shared" si="53"/>
        <v>2351939273.6300011</v>
      </c>
      <c r="AR42" s="28">
        <f t="shared" si="53"/>
        <v>917048744.59000039</v>
      </c>
      <c r="AS42" s="28">
        <f t="shared" si="53"/>
        <v>2966052508.9499993</v>
      </c>
      <c r="AT42" s="28">
        <f t="shared" si="53"/>
        <v>1669221956.1800003</v>
      </c>
      <c r="AU42" s="28">
        <f t="shared" si="53"/>
        <v>893948241.41000009</v>
      </c>
      <c r="AV42" s="28">
        <f t="shared" si="53"/>
        <v>561440706.10000014</v>
      </c>
      <c r="AW42" s="28">
        <f t="shared" si="53"/>
        <v>1573485812.1000001</v>
      </c>
      <c r="AX42" s="28">
        <f t="shared" si="53"/>
        <v>993614580.42000008</v>
      </c>
      <c r="AY42" s="28">
        <f t="shared" si="53"/>
        <v>634009995.50999987</v>
      </c>
      <c r="AZ42" s="28">
        <f t="shared" si="53"/>
        <v>468498539.01000005</v>
      </c>
      <c r="BA42" s="28">
        <f t="shared" si="53"/>
        <v>1169073160.7500005</v>
      </c>
      <c r="BB42" s="28">
        <f t="shared" si="53"/>
        <v>734586763.86000001</v>
      </c>
      <c r="BC42" s="28">
        <f t="shared" si="53"/>
        <v>502671627.85000002</v>
      </c>
      <c r="BD42" s="28">
        <f t="shared" si="53"/>
        <v>383940192.03999984</v>
      </c>
      <c r="BE42" s="28">
        <f t="shared" si="53"/>
        <v>854170293.04000032</v>
      </c>
      <c r="BF42" s="28">
        <f t="shared" si="53"/>
        <v>537992536.05000007</v>
      </c>
      <c r="BG42" s="28">
        <f t="shared" si="53"/>
        <v>364052715.39999998</v>
      </c>
      <c r="BH42" s="28">
        <f t="shared" si="53"/>
        <v>271330791.21000004</v>
      </c>
      <c r="BI42" s="28">
        <f t="shared" si="53"/>
        <v>607068089.12999964</v>
      </c>
      <c r="BJ42" s="28">
        <f t="shared" si="53"/>
        <v>367421973.21999985</v>
      </c>
      <c r="BK42" s="28">
        <f t="shared" si="53"/>
        <v>260751258.37000003</v>
      </c>
      <c r="BL42" s="28">
        <f t="shared" si="53"/>
        <v>223788291.70999998</v>
      </c>
      <c r="BM42" s="28">
        <f t="shared" si="53"/>
        <v>389236355.33000016</v>
      </c>
      <c r="BN42" s="28">
        <f t="shared" si="53"/>
        <v>317512273.94</v>
      </c>
      <c r="BO42" s="28">
        <f t="shared" ref="BO42:CK42" si="54">BO38-BO40</f>
        <v>245607697.97999993</v>
      </c>
      <c r="BP42" s="28">
        <f t="shared" si="54"/>
        <v>213019772.62999991</v>
      </c>
      <c r="BQ42" s="28">
        <f t="shared" si="54"/>
        <v>341141393.10999966</v>
      </c>
      <c r="BR42" s="28">
        <f t="shared" si="54"/>
        <v>229104288.61000001</v>
      </c>
      <c r="BS42" s="28">
        <f t="shared" si="54"/>
        <v>256234280.7299999</v>
      </c>
      <c r="BT42" s="28">
        <f t="shared" si="54"/>
        <v>215310984.77999994</v>
      </c>
      <c r="BU42" s="28">
        <f t="shared" si="54"/>
        <v>145858523.61000001</v>
      </c>
      <c r="BV42" s="28">
        <f t="shared" si="54"/>
        <v>0</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45.858276651656752</v>
      </c>
      <c r="C43" s="57">
        <f t="shared" ref="C43:D43" si="55">C42/C4*100</f>
        <v>45.259039134266182</v>
      </c>
      <c r="D43" s="57">
        <f t="shared" si="55"/>
        <v>47.098273114262675</v>
      </c>
      <c r="E43" s="57">
        <f>E42/E4</f>
        <v>0.45169206588630778</v>
      </c>
      <c r="F43" s="57">
        <f t="shared" ref="F43:BQ43" si="56">F42/F4</f>
        <v>0.45785395698163811</v>
      </c>
      <c r="G43" s="57">
        <f t="shared" si="56"/>
        <v>0.44700622924624384</v>
      </c>
      <c r="H43" s="57">
        <f t="shared" si="56"/>
        <v>0.44886000885103661</v>
      </c>
      <c r="I43" s="57">
        <f t="shared" si="56"/>
        <v>0.43131356042330332</v>
      </c>
      <c r="J43" s="57">
        <f t="shared" si="56"/>
        <v>0.47015136870575858</v>
      </c>
      <c r="K43" s="57">
        <f t="shared" si="56"/>
        <v>0.48814734884677385</v>
      </c>
      <c r="L43" s="57">
        <f t="shared" si="56"/>
        <v>0.49864227755731405</v>
      </c>
      <c r="M43" s="57">
        <f t="shared" si="56"/>
        <v>0.48157058362185717</v>
      </c>
      <c r="N43" s="57">
        <f t="shared" si="56"/>
        <v>0.5001519016757684</v>
      </c>
      <c r="O43" s="57">
        <f t="shared" si="56"/>
        <v>0.50517857289107515</v>
      </c>
      <c r="P43" s="57">
        <f t="shared" si="56"/>
        <v>0.51684565537469296</v>
      </c>
      <c r="Q43" s="57">
        <f t="shared" si="56"/>
        <v>0.49673671513353068</v>
      </c>
      <c r="R43" s="57">
        <f t="shared" si="56"/>
        <v>0.50485506201006192</v>
      </c>
      <c r="S43" s="57">
        <f t="shared" si="56"/>
        <v>0.51665672675975371</v>
      </c>
      <c r="T43" s="57">
        <f t="shared" si="56"/>
        <v>0.51490519498130016</v>
      </c>
      <c r="U43" s="57">
        <f t="shared" si="56"/>
        <v>0.5126243406056179</v>
      </c>
      <c r="V43" s="57">
        <f t="shared" si="56"/>
        <v>0.52931067084092442</v>
      </c>
      <c r="W43" s="57">
        <f t="shared" si="56"/>
        <v>0.53875625505097768</v>
      </c>
      <c r="X43" s="57">
        <f t="shared" si="56"/>
        <v>0.52658052042431658</v>
      </c>
      <c r="Y43" s="57">
        <f t="shared" si="56"/>
        <v>0.52949045744811984</v>
      </c>
      <c r="Z43" s="57">
        <f t="shared" si="56"/>
        <v>0.54878024576894247</v>
      </c>
      <c r="AA43" s="57">
        <f t="shared" si="56"/>
        <v>0.55403324507109164</v>
      </c>
      <c r="AB43" s="57">
        <f t="shared" si="56"/>
        <v>0.52019740217178756</v>
      </c>
      <c r="AC43" s="57">
        <f t="shared" si="56"/>
        <v>0.50259091322566629</v>
      </c>
      <c r="AD43" s="57">
        <f t="shared" si="56"/>
        <v>0.50803958112790315</v>
      </c>
      <c r="AE43" s="57">
        <f t="shared" si="56"/>
        <v>0.52578862533715431</v>
      </c>
      <c r="AF43" s="57">
        <f t="shared" si="56"/>
        <v>0.47180412104365166</v>
      </c>
      <c r="AG43" s="57">
        <f t="shared" si="56"/>
        <v>0.45898281443510819</v>
      </c>
      <c r="AH43" s="57">
        <f t="shared" si="56"/>
        <v>0.47290996440038385</v>
      </c>
      <c r="AI43" s="57">
        <f t="shared" si="56"/>
        <v>0.4971049324150979</v>
      </c>
      <c r="AJ43" s="57">
        <f t="shared" si="56"/>
        <v>0.44224484355904253</v>
      </c>
      <c r="AK43" s="57">
        <f t="shared" si="56"/>
        <v>0.47082620310639889</v>
      </c>
      <c r="AL43" s="57">
        <f t="shared" si="56"/>
        <v>0.50975950430704597</v>
      </c>
      <c r="AM43" s="57">
        <f t="shared" si="56"/>
        <v>0.52809936370890542</v>
      </c>
      <c r="AN43" s="57">
        <f t="shared" si="56"/>
        <v>0.50898374142069081</v>
      </c>
      <c r="AO43" s="57">
        <f t="shared" si="56"/>
        <v>0.48542974759096302</v>
      </c>
      <c r="AP43" s="57">
        <f t="shared" si="56"/>
        <v>0.50939489372415736</v>
      </c>
      <c r="AQ43" s="57">
        <f t="shared" si="56"/>
        <v>0.50910891641411804</v>
      </c>
      <c r="AR43" s="57">
        <f t="shared" si="56"/>
        <v>0.46002026724427114</v>
      </c>
      <c r="AS43" s="57">
        <f t="shared" si="56"/>
        <v>0.40982119381664334</v>
      </c>
      <c r="AT43" s="57">
        <f t="shared" si="56"/>
        <v>0.37440081690103105</v>
      </c>
      <c r="AU43" s="57">
        <f t="shared" si="56"/>
        <v>0.34002206978536192</v>
      </c>
      <c r="AV43" s="57">
        <f t="shared" si="56"/>
        <v>0.35365495015696913</v>
      </c>
      <c r="AW43" s="57">
        <f t="shared" si="56"/>
        <v>0.32136963801589008</v>
      </c>
      <c r="AX43" s="57">
        <f t="shared" si="56"/>
        <v>0.30577900495291416</v>
      </c>
      <c r="AY43" s="57">
        <f t="shared" si="56"/>
        <v>0.31240299183461662</v>
      </c>
      <c r="AZ43" s="57">
        <f t="shared" si="56"/>
        <v>0.34588350935699008</v>
      </c>
      <c r="BA43" s="57">
        <f t="shared" si="56"/>
        <v>0.2974350918585601</v>
      </c>
      <c r="BB43" s="57">
        <f t="shared" si="56"/>
        <v>0.28468836602925857</v>
      </c>
      <c r="BC43" s="57">
        <f t="shared" si="56"/>
        <v>0.29811897792842146</v>
      </c>
      <c r="BD43" s="57">
        <f t="shared" si="56"/>
        <v>0.33560697475447621</v>
      </c>
      <c r="BE43" s="57">
        <f t="shared" si="56"/>
        <v>0.28379697390760017</v>
      </c>
      <c r="BF43" s="57">
        <f t="shared" si="56"/>
        <v>0.25984477254947991</v>
      </c>
      <c r="BG43" s="57">
        <f t="shared" si="56"/>
        <v>0.27703383622158145</v>
      </c>
      <c r="BH43" s="57">
        <f t="shared" si="56"/>
        <v>0.31792904547736711</v>
      </c>
      <c r="BI43" s="57">
        <f t="shared" si="56"/>
        <v>0.252837798626314</v>
      </c>
      <c r="BJ43" s="57">
        <f t="shared" si="56"/>
        <v>0.23662747240398099</v>
      </c>
      <c r="BK43" s="57">
        <f t="shared" si="56"/>
        <v>0.25841324759151635</v>
      </c>
      <c r="BL43" s="57">
        <f t="shared" si="56"/>
        <v>0.30493468859767964</v>
      </c>
      <c r="BM43" s="57">
        <f t="shared" si="56"/>
        <v>0.21212966212452289</v>
      </c>
      <c r="BN43" s="57">
        <f t="shared" si="56"/>
        <v>0.23279967806574467</v>
      </c>
      <c r="BO43" s="57">
        <f t="shared" si="56"/>
        <v>0.25700477718467585</v>
      </c>
      <c r="BP43" s="57">
        <f t="shared" si="56"/>
        <v>0.29667878052846669</v>
      </c>
      <c r="BQ43" s="57">
        <f t="shared" si="56"/>
        <v>0.21083532476414538</v>
      </c>
      <c r="BR43" s="57">
        <f t="shared" ref="BR43:CK43" si="57">BR42/BR4</f>
        <v>0.26217400558712495</v>
      </c>
      <c r="BS43" s="57">
        <f t="shared" si="57"/>
        <v>0.23001265140925586</v>
      </c>
      <c r="BT43" s="57">
        <f t="shared" si="57"/>
        <v>0.24168940494756608</v>
      </c>
      <c r="BU43" s="57">
        <f t="shared" si="57"/>
        <v>0.23219060502552089</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8492564963.9143991</v>
      </c>
      <c r="C45" s="26">
        <f t="shared" ref="C45:BN45" si="58">C70*C69</f>
        <v>7720357965.6464005</v>
      </c>
      <c r="D45" s="26">
        <f t="shared" si="58"/>
        <v>8411974492.4304008</v>
      </c>
      <c r="E45" s="26">
        <f t="shared" si="58"/>
        <v>7681570198.0064001</v>
      </c>
      <c r="F45" s="26">
        <f t="shared" si="58"/>
        <v>7070467621.9304008</v>
      </c>
      <c r="G45" s="26">
        <f t="shared" si="58"/>
        <v>6325060053.6368008</v>
      </c>
      <c r="H45" s="26">
        <f t="shared" si="58"/>
        <v>6596310985.2463999</v>
      </c>
      <c r="I45" s="26">
        <f t="shared" si="58"/>
        <v>6071883428.3776007</v>
      </c>
      <c r="J45" s="26">
        <f t="shared" si="58"/>
        <v>5702680276.885601</v>
      </c>
      <c r="K45" s="26">
        <f t="shared" si="58"/>
        <v>5388252934.6703997</v>
      </c>
      <c r="L45" s="26">
        <f t="shared" si="58"/>
        <v>5675300719.1695995</v>
      </c>
      <c r="M45" s="26">
        <f t="shared" si="58"/>
        <v>5298733633.7032003</v>
      </c>
      <c r="N45" s="26">
        <f t="shared" si="58"/>
        <v>4953507404.6464005</v>
      </c>
      <c r="O45" s="26">
        <f t="shared" si="58"/>
        <v>5092942575.1632004</v>
      </c>
      <c r="P45" s="26">
        <f t="shared" si="58"/>
        <v>4794411850.1568003</v>
      </c>
      <c r="Q45" s="26">
        <f t="shared" si="58"/>
        <v>4424924067.2896004</v>
      </c>
      <c r="R45" s="26">
        <f t="shared" si="58"/>
        <v>4027306285.7208004</v>
      </c>
      <c r="S45" s="26">
        <f t="shared" si="58"/>
        <v>3729934150.4976001</v>
      </c>
      <c r="T45" s="26">
        <f t="shared" si="58"/>
        <v>3796285731.5703998</v>
      </c>
      <c r="U45" s="26">
        <f t="shared" si="58"/>
        <v>3530327381.8608003</v>
      </c>
      <c r="V45" s="26">
        <f t="shared" si="58"/>
        <v>3185629416.1752005</v>
      </c>
      <c r="W45" s="26">
        <f t="shared" si="58"/>
        <v>2862328574.6815996</v>
      </c>
      <c r="X45" s="26">
        <f t="shared" si="58"/>
        <v>3087650644.4335999</v>
      </c>
      <c r="Y45" s="26">
        <f t="shared" si="58"/>
        <v>2836322911.7800002</v>
      </c>
      <c r="Z45" s="26">
        <f t="shared" si="58"/>
        <v>2559325237.5023999</v>
      </c>
      <c r="AA45" s="26">
        <f t="shared" si="58"/>
        <v>2272382018.6904001</v>
      </c>
      <c r="AB45" s="26">
        <f t="shared" si="58"/>
        <v>2282449632.1623998</v>
      </c>
      <c r="AC45" s="26">
        <f t="shared" si="58"/>
        <v>2032270368.9032001</v>
      </c>
      <c r="AD45" s="26">
        <f t="shared" si="58"/>
        <v>1846701609.3023999</v>
      </c>
      <c r="AE45" s="26">
        <f t="shared" si="58"/>
        <v>1723596470.9720001</v>
      </c>
      <c r="AF45" s="26">
        <f t="shared" si="58"/>
        <v>1643254481.9408</v>
      </c>
      <c r="AG45" s="26">
        <f t="shared" si="58"/>
        <v>1483951175.5695999</v>
      </c>
      <c r="AH45" s="26">
        <f t="shared" si="58"/>
        <v>1417741615.4751999</v>
      </c>
      <c r="AI45" s="26">
        <f t="shared" si="58"/>
        <v>1338977063.6975999</v>
      </c>
      <c r="AJ45" s="26">
        <f t="shared" si="58"/>
        <v>1279675855.3616002</v>
      </c>
      <c r="AK45" s="26">
        <f t="shared" si="58"/>
        <v>1172125231.5367999</v>
      </c>
      <c r="AL45" s="26">
        <f t="shared" si="58"/>
        <v>1137254378.4824002</v>
      </c>
      <c r="AM45" s="26">
        <f t="shared" si="58"/>
        <v>1053358109.5264</v>
      </c>
      <c r="AN45" s="26">
        <f t="shared" si="58"/>
        <v>1008640598.3232001</v>
      </c>
      <c r="AO45" s="26">
        <f t="shared" si="58"/>
        <v>920273463.67600012</v>
      </c>
      <c r="AP45" s="26">
        <f t="shared" si="58"/>
        <v>864560378.70720005</v>
      </c>
      <c r="AQ45" s="26">
        <f t="shared" si="58"/>
        <v>788370798.11759996</v>
      </c>
      <c r="AR45" s="26">
        <f t="shared" si="58"/>
        <v>742875301.20240009</v>
      </c>
      <c r="AS45" s="26">
        <f t="shared" si="58"/>
        <v>669508461.63520002</v>
      </c>
      <c r="AT45" s="26">
        <f t="shared" si="58"/>
        <v>556231945.94640005</v>
      </c>
      <c r="AU45" s="26">
        <f t="shared" si="58"/>
        <v>497552951.63919997</v>
      </c>
      <c r="AV45" s="26">
        <f t="shared" si="58"/>
        <v>471070143.48720002</v>
      </c>
      <c r="AW45" s="26">
        <f t="shared" si="58"/>
        <v>479602291.95440006</v>
      </c>
      <c r="AX45" s="26">
        <f t="shared" si="58"/>
        <v>433203554.24879998</v>
      </c>
      <c r="AY45" s="26">
        <f t="shared" si="58"/>
        <v>404677948.49120003</v>
      </c>
      <c r="AZ45" s="26">
        <f t="shared" si="58"/>
        <v>447063645.7392</v>
      </c>
      <c r="BA45" s="26">
        <f t="shared" si="58"/>
        <v>412991606.52160007</v>
      </c>
      <c r="BB45" s="26">
        <f t="shared" si="58"/>
        <v>381240267.76239997</v>
      </c>
      <c r="BC45" s="26">
        <f t="shared" si="58"/>
        <v>375346986.45999998</v>
      </c>
      <c r="BD45" s="26">
        <f t="shared" si="58"/>
        <v>368051933.11919999</v>
      </c>
      <c r="BE45" s="26">
        <f t="shared" si="58"/>
        <v>337336619.73839998</v>
      </c>
      <c r="BF45" s="26">
        <f t="shared" si="58"/>
        <v>312037949.29040003</v>
      </c>
      <c r="BG45" s="26">
        <f t="shared" si="58"/>
        <v>305371623.65439999</v>
      </c>
      <c r="BH45" s="26">
        <f t="shared" si="58"/>
        <v>298223559.52319998</v>
      </c>
      <c r="BI45" s="26">
        <f t="shared" si="58"/>
        <v>277641927.2744</v>
      </c>
      <c r="BJ45" s="26">
        <f t="shared" si="58"/>
        <v>258521330.02720001</v>
      </c>
      <c r="BK45" s="26">
        <f t="shared" si="58"/>
        <v>249981853.80320001</v>
      </c>
      <c r="BL45" s="26">
        <f t="shared" si="58"/>
        <v>248037814.10479999</v>
      </c>
      <c r="BM45" s="26">
        <f t="shared" si="58"/>
        <v>229978717.8152</v>
      </c>
      <c r="BN45" s="26">
        <f t="shared" si="58"/>
        <v>228624348.03759998</v>
      </c>
      <c r="BO45" s="26">
        <f t="shared" ref="BO45:CJ45" si="59">BO70*BO69</f>
        <v>222724219.26240003</v>
      </c>
      <c r="BP45" s="26">
        <f t="shared" si="59"/>
        <v>220116990.12799999</v>
      </c>
      <c r="BQ45" s="26">
        <f t="shared" si="59"/>
        <v>203010536.3048</v>
      </c>
      <c r="BR45" s="26">
        <f t="shared" si="59"/>
        <v>44923632.259199999</v>
      </c>
      <c r="BS45" s="26">
        <f t="shared" si="59"/>
        <v>35502369.843200006</v>
      </c>
      <c r="BT45" s="26">
        <f t="shared" si="59"/>
        <v>22828948.418400001</v>
      </c>
      <c r="BU45" s="26">
        <f t="shared" si="59"/>
        <v>18727322.238400001</v>
      </c>
      <c r="BV45" s="26">
        <f t="shared" si="59"/>
        <v>0</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15464564585.715599</v>
      </c>
      <c r="C47" s="28">
        <f t="shared" ref="C47:BN47" si="62">C42-C45</f>
        <v>7394672034.4336014</v>
      </c>
      <c r="D47" s="28">
        <f t="shared" si="62"/>
        <v>-185711745.85040092</v>
      </c>
      <c r="E47" s="28">
        <f t="shared" si="62"/>
        <v>18614975850.473602</v>
      </c>
      <c r="F47" s="28">
        <f t="shared" si="62"/>
        <v>12365646898.669605</v>
      </c>
      <c r="G47" s="28">
        <f t="shared" si="62"/>
        <v>4488034139.893198</v>
      </c>
      <c r="H47" s="28">
        <f t="shared" si="62"/>
        <v>-622595127.81639957</v>
      </c>
      <c r="I47" s="28">
        <f t="shared" si="62"/>
        <v>10689906103.712399</v>
      </c>
      <c r="J47" s="28">
        <f t="shared" si="62"/>
        <v>6818336452.1744003</v>
      </c>
      <c r="K47" s="28">
        <f t="shared" si="62"/>
        <v>3482963391.1396017</v>
      </c>
      <c r="L47" s="28">
        <f t="shared" si="62"/>
        <v>-694485808.7996006</v>
      </c>
      <c r="M47" s="28">
        <f t="shared" si="62"/>
        <v>10429161161.726795</v>
      </c>
      <c r="N47" s="28">
        <f t="shared" si="62"/>
        <v>6624353400.4435997</v>
      </c>
      <c r="O47" s="28">
        <f t="shared" si="62"/>
        <v>2878092033.8368006</v>
      </c>
      <c r="P47" s="28">
        <f t="shared" si="62"/>
        <v>-378341246.42680073</v>
      </c>
      <c r="Q47" s="28">
        <f t="shared" si="62"/>
        <v>11259005475.030399</v>
      </c>
      <c r="R47" s="28">
        <f t="shared" si="62"/>
        <v>6937231453.2392006</v>
      </c>
      <c r="S47" s="28">
        <f t="shared" si="62"/>
        <v>3669431502.1123986</v>
      </c>
      <c r="T47" s="28">
        <f t="shared" si="62"/>
        <v>39668249.139600277</v>
      </c>
      <c r="U47" s="28">
        <f t="shared" si="62"/>
        <v>12320940628.3992</v>
      </c>
      <c r="V47" s="28">
        <f t="shared" si="62"/>
        <v>8425177571.1748018</v>
      </c>
      <c r="W47" s="28">
        <f t="shared" si="62"/>
        <v>4749148245.0583992</v>
      </c>
      <c r="X47" s="28">
        <f t="shared" si="62"/>
        <v>685712598.55639839</v>
      </c>
      <c r="Y47" s="28">
        <f t="shared" si="62"/>
        <v>11171524600.32</v>
      </c>
      <c r="Z47" s="28">
        <f t="shared" si="62"/>
        <v>8378654536.1976013</v>
      </c>
      <c r="AA47" s="28">
        <f t="shared" si="62"/>
        <v>5076557519.859602</v>
      </c>
      <c r="AB47" s="28">
        <f t="shared" si="62"/>
        <v>847041158.5776</v>
      </c>
      <c r="AC47" s="28">
        <f t="shared" si="62"/>
        <v>7216586140.2368011</v>
      </c>
      <c r="AD47" s="28">
        <f t="shared" si="62"/>
        <v>5084012703.307601</v>
      </c>
      <c r="AE47" s="28">
        <f t="shared" si="62"/>
        <v>3442709721.5579996</v>
      </c>
      <c r="AF47" s="28">
        <f t="shared" si="62"/>
        <v>348036847.69920039</v>
      </c>
      <c r="AG47" s="28">
        <f t="shared" si="62"/>
        <v>3855526136.6203985</v>
      </c>
      <c r="AH47" s="28">
        <f t="shared" si="62"/>
        <v>2993362862.3548012</v>
      </c>
      <c r="AI47" s="28">
        <f t="shared" si="62"/>
        <v>1935585536.3723998</v>
      </c>
      <c r="AJ47" s="28">
        <f t="shared" si="62"/>
        <v>64706942.448399305</v>
      </c>
      <c r="AK47" s="28">
        <f t="shared" si="62"/>
        <v>3380763712.4631991</v>
      </c>
      <c r="AL47" s="28">
        <f t="shared" si="62"/>
        <v>2842541239.7175999</v>
      </c>
      <c r="AM47" s="28">
        <f t="shared" si="62"/>
        <v>1875484146.7236009</v>
      </c>
      <c r="AN47" s="28">
        <f t="shared" si="62"/>
        <v>270199969.49679959</v>
      </c>
      <c r="AO47" s="28">
        <f t="shared" si="62"/>
        <v>3080485879.4340005</v>
      </c>
      <c r="AP47" s="28">
        <f t="shared" si="62"/>
        <v>2439638402.2927995</v>
      </c>
      <c r="AQ47" s="28">
        <f t="shared" si="62"/>
        <v>1563568475.5124011</v>
      </c>
      <c r="AR47" s="28">
        <f t="shared" si="62"/>
        <v>174173443.3876003</v>
      </c>
      <c r="AS47" s="28">
        <f t="shared" si="62"/>
        <v>2296544047.3147993</v>
      </c>
      <c r="AT47" s="28">
        <f t="shared" si="62"/>
        <v>1112990010.2336001</v>
      </c>
      <c r="AU47" s="28">
        <f t="shared" si="62"/>
        <v>396395289.77080011</v>
      </c>
      <c r="AV47" s="28">
        <f t="shared" si="62"/>
        <v>90370562.612800121</v>
      </c>
      <c r="AW47" s="28">
        <f t="shared" si="62"/>
        <v>1093883520.1456001</v>
      </c>
      <c r="AX47" s="28">
        <f t="shared" si="62"/>
        <v>560411026.17120004</v>
      </c>
      <c r="AY47" s="28">
        <f t="shared" si="62"/>
        <v>229332047.01879984</v>
      </c>
      <c r="AZ47" s="28">
        <f t="shared" si="62"/>
        <v>21434893.270800054</v>
      </c>
      <c r="BA47" s="28">
        <f t="shared" si="62"/>
        <v>756081554.22840047</v>
      </c>
      <c r="BB47" s="28">
        <f t="shared" si="62"/>
        <v>353346496.09760004</v>
      </c>
      <c r="BC47" s="28">
        <f t="shared" si="62"/>
        <v>127324641.39000005</v>
      </c>
      <c r="BD47" s="28">
        <f t="shared" si="62"/>
        <v>15888258.920799851</v>
      </c>
      <c r="BE47" s="28">
        <f t="shared" si="62"/>
        <v>516833673.30160034</v>
      </c>
      <c r="BF47" s="28">
        <f t="shared" si="62"/>
        <v>225954586.75960004</v>
      </c>
      <c r="BG47" s="28">
        <f t="shared" si="62"/>
        <v>58681091.745599985</v>
      </c>
      <c r="BH47" s="28">
        <f t="shared" si="62"/>
        <v>-26892768.313199937</v>
      </c>
      <c r="BI47" s="28">
        <f t="shared" si="62"/>
        <v>329426161.85559964</v>
      </c>
      <c r="BJ47" s="28">
        <f t="shared" si="62"/>
        <v>108900643.19279984</v>
      </c>
      <c r="BK47" s="28">
        <f t="shared" si="62"/>
        <v>10769404.566800028</v>
      </c>
      <c r="BL47" s="28">
        <f t="shared" si="62"/>
        <v>-24249522.394800007</v>
      </c>
      <c r="BM47" s="28">
        <f t="shared" si="62"/>
        <v>159257637.51480016</v>
      </c>
      <c r="BN47" s="28">
        <f t="shared" si="62"/>
        <v>88887925.902400017</v>
      </c>
      <c r="BO47" s="28">
        <f t="shared" ref="BO47:CJ47" si="63">BO42-BO45</f>
        <v>22883478.717599899</v>
      </c>
      <c r="BP47" s="28">
        <f t="shared" si="63"/>
        <v>-7097217.4980000854</v>
      </c>
      <c r="BQ47" s="28">
        <f t="shared" si="63"/>
        <v>138130856.80519965</v>
      </c>
      <c r="BR47" s="28">
        <f t="shared" si="63"/>
        <v>184180656.35080001</v>
      </c>
      <c r="BS47" s="28">
        <f t="shared" si="63"/>
        <v>220731910.8867999</v>
      </c>
      <c r="BT47" s="28">
        <f t="shared" si="63"/>
        <v>192482036.36159995</v>
      </c>
      <c r="BU47" s="28">
        <f t="shared" si="63"/>
        <v>127131201.37160002</v>
      </c>
      <c r="BV47" s="28">
        <f t="shared" si="63"/>
        <v>0</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20040331</v>
      </c>
      <c r="BI51" s="188">
        <v>20031231</v>
      </c>
      <c r="BJ51" s="188">
        <v>20030930</v>
      </c>
      <c r="BK51" s="188">
        <v>20030630</v>
      </c>
      <c r="BL51" s="188">
        <v>20030331</v>
      </c>
      <c r="BM51" s="188">
        <v>20021231</v>
      </c>
      <c r="BN51" s="188">
        <v>20020930</v>
      </c>
      <c r="BO51" s="188">
        <v>20020630</v>
      </c>
      <c r="BP51" s="188">
        <v>20020331</v>
      </c>
      <c r="BQ51" s="188">
        <v>20011231</v>
      </c>
      <c r="BR51" s="188">
        <v>20010630</v>
      </c>
      <c r="BS51" s="188">
        <v>20001231</v>
      </c>
      <c r="BT51" s="188">
        <v>19991231</v>
      </c>
      <c r="BU51" s="188">
        <v>19981231</v>
      </c>
      <c r="BV51" s="188">
        <v>19700101</v>
      </c>
      <c r="BW51" s="188">
        <v>19991231</v>
      </c>
      <c r="BX51" s="188">
        <v>19990630</v>
      </c>
      <c r="BY51" s="188">
        <v>19981231</v>
      </c>
      <c r="BZ51" s="188">
        <v>19980630</v>
      </c>
      <c r="CA51" s="188">
        <v>19971231</v>
      </c>
      <c r="CB51" s="188">
        <v>19961231</v>
      </c>
      <c r="CC51" s="188">
        <v>19951231</v>
      </c>
      <c r="CD51" s="188">
        <v>19700101</v>
      </c>
      <c r="CE51" s="188">
        <v>19941231</v>
      </c>
      <c r="CF51" s="188">
        <v>19940630</v>
      </c>
      <c r="CG51" s="188">
        <v>19930630</v>
      </c>
      <c r="CH51" s="188">
        <v>19921231</v>
      </c>
      <c r="CI51" s="188">
        <v>19911231</v>
      </c>
      <c r="CJ51" s="188">
        <v>19901231</v>
      </c>
      <c r="CK51" s="188">
        <v>19700101</v>
      </c>
    </row>
    <row r="52" spans="1:89" s="43" customFormat="1" x14ac:dyDescent="0.25">
      <c r="A52" s="131" t="s">
        <v>570</v>
      </c>
      <c r="B52" s="42">
        <v>-25636</v>
      </c>
      <c r="C52" s="42">
        <v>-27718</v>
      </c>
      <c r="D52" s="42">
        <v>-35317</v>
      </c>
      <c r="E52" s="42">
        <v>-60687396.93</v>
      </c>
      <c r="F52" s="42">
        <v>-34414</v>
      </c>
      <c r="G52" s="42">
        <v>-23309</v>
      </c>
      <c r="H52" s="42">
        <v>-16814</v>
      </c>
      <c r="I52" s="42">
        <v>-71491803.299999997</v>
      </c>
      <c r="J52" s="42"/>
      <c r="K52" s="42"/>
      <c r="M52" s="43">
        <v>-110261058.02</v>
      </c>
      <c r="Q52" s="43">
        <v>-134292919.63</v>
      </c>
      <c r="U52" s="43">
        <v>-429509360.86000001</v>
      </c>
      <c r="Y52" s="43">
        <v>-421711334.77999997</v>
      </c>
      <c r="AC52" s="43">
        <v>-352218795.39999998</v>
      </c>
      <c r="AG52" s="43">
        <v>-176861209.69</v>
      </c>
    </row>
    <row r="53" spans="1:89" s="43" customFormat="1" x14ac:dyDescent="0.25">
      <c r="A53" s="132" t="s">
        <v>90</v>
      </c>
      <c r="B53" s="42">
        <v>217</v>
      </c>
      <c r="C53" s="42">
        <v>189</v>
      </c>
      <c r="D53" s="42"/>
      <c r="E53" s="42">
        <v>880974.99</v>
      </c>
      <c r="F53" s="42"/>
      <c r="G53" s="42"/>
      <c r="H53" s="42"/>
      <c r="I53" s="42">
        <v>37529578.909999996</v>
      </c>
      <c r="J53" s="42"/>
      <c r="K53" s="42"/>
      <c r="M53" s="43">
        <v>41360986.93</v>
      </c>
      <c r="Q53" s="43">
        <v>10292572.550000001</v>
      </c>
      <c r="Y53" s="43">
        <v>132222.22</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c r="F54" s="42">
        <v>2684</v>
      </c>
      <c r="G54" s="42">
        <v>-377</v>
      </c>
      <c r="H54" s="42">
        <v>1008</v>
      </c>
      <c r="I54" s="42"/>
      <c r="J54" s="42"/>
      <c r="K54" s="42"/>
      <c r="AC54" s="43">
        <v>1114988.48</v>
      </c>
    </row>
    <row r="55" spans="1:89" s="43" customFormat="1" x14ac:dyDescent="0.25">
      <c r="A55" s="132" t="s">
        <v>92</v>
      </c>
      <c r="B55" s="42">
        <v>463</v>
      </c>
      <c r="C55" s="42">
        <v>603</v>
      </c>
      <c r="D55" s="42">
        <v>653</v>
      </c>
      <c r="E55" s="42">
        <v>4084075.75</v>
      </c>
      <c r="F55" s="42">
        <v>1204</v>
      </c>
      <c r="G55" s="42">
        <v>868</v>
      </c>
      <c r="H55" s="42">
        <v>644</v>
      </c>
      <c r="I55" s="42">
        <v>787035.87</v>
      </c>
      <c r="J55" s="42"/>
      <c r="K55" s="42"/>
      <c r="M55" s="43">
        <v>1633270.12</v>
      </c>
      <c r="Q55" s="43">
        <v>831553.24</v>
      </c>
      <c r="U55" s="43">
        <v>434996.18</v>
      </c>
      <c r="Y55" s="43">
        <v>603190.06999999995</v>
      </c>
      <c r="AC55" s="43">
        <v>352310</v>
      </c>
      <c r="AG55" s="43">
        <v>284184.78000000003</v>
      </c>
    </row>
    <row r="56" spans="1:89" s="26" customFormat="1" x14ac:dyDescent="0.25">
      <c r="A56" s="133" t="s">
        <v>93</v>
      </c>
      <c r="B56" s="44">
        <f>SUM(B52:B55)</f>
        <v>-21852</v>
      </c>
      <c r="C56" s="44">
        <f t="shared" ref="C56:D56" si="64">SUM(C52:C55)</f>
        <v>-28350</v>
      </c>
      <c r="D56" s="44">
        <f t="shared" si="64"/>
        <v>-35004</v>
      </c>
      <c r="E56" s="44">
        <f>SUM(E52:E55)</f>
        <v>-55722346.189999998</v>
      </c>
      <c r="F56" s="44">
        <f t="shared" ref="F56:BQ56" si="65">SUM(F52:F55)</f>
        <v>-30526</v>
      </c>
      <c r="G56" s="44">
        <f t="shared" si="65"/>
        <v>-22818</v>
      </c>
      <c r="H56" s="44">
        <f t="shared" si="65"/>
        <v>-15162</v>
      </c>
      <c r="I56" s="44">
        <f t="shared" si="65"/>
        <v>-33175188.52</v>
      </c>
      <c r="J56" s="44">
        <f t="shared" si="65"/>
        <v>0</v>
      </c>
      <c r="K56" s="44">
        <f t="shared" si="65"/>
        <v>0</v>
      </c>
      <c r="L56" s="44">
        <f t="shared" si="65"/>
        <v>0</v>
      </c>
      <c r="M56" s="44">
        <f t="shared" si="65"/>
        <v>-67266800.969999999</v>
      </c>
      <c r="N56" s="44">
        <f t="shared" si="65"/>
        <v>0</v>
      </c>
      <c r="O56" s="44">
        <f t="shared" si="65"/>
        <v>0</v>
      </c>
      <c r="P56" s="44">
        <f t="shared" si="65"/>
        <v>0</v>
      </c>
      <c r="Q56" s="44">
        <f t="shared" si="65"/>
        <v>-123168793.84</v>
      </c>
      <c r="R56" s="44">
        <f t="shared" si="65"/>
        <v>0</v>
      </c>
      <c r="S56" s="44">
        <f t="shared" si="65"/>
        <v>0</v>
      </c>
      <c r="T56" s="44">
        <f t="shared" si="65"/>
        <v>0</v>
      </c>
      <c r="U56" s="44">
        <f t="shared" si="65"/>
        <v>-429074364.68000001</v>
      </c>
      <c r="V56" s="44">
        <f t="shared" si="65"/>
        <v>0</v>
      </c>
      <c r="W56" s="44">
        <f t="shared" si="65"/>
        <v>0</v>
      </c>
      <c r="X56" s="44">
        <f t="shared" si="65"/>
        <v>0</v>
      </c>
      <c r="Y56" s="44">
        <f t="shared" si="65"/>
        <v>-420975922.48999995</v>
      </c>
      <c r="Z56" s="44">
        <f t="shared" si="65"/>
        <v>0</v>
      </c>
      <c r="AA56" s="44">
        <f t="shared" si="65"/>
        <v>0</v>
      </c>
      <c r="AB56" s="44">
        <f t="shared" si="65"/>
        <v>0</v>
      </c>
      <c r="AC56" s="44">
        <f t="shared" si="65"/>
        <v>-350751496.91999996</v>
      </c>
      <c r="AD56" s="44">
        <f t="shared" si="65"/>
        <v>0</v>
      </c>
      <c r="AE56" s="44">
        <f t="shared" si="65"/>
        <v>0</v>
      </c>
      <c r="AF56" s="44">
        <f t="shared" si="65"/>
        <v>0</v>
      </c>
      <c r="AG56" s="44">
        <f t="shared" si="65"/>
        <v>-176577024.91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8">
        <v>26571354958.669998</v>
      </c>
      <c r="C59" s="188">
        <v>16921352445.58</v>
      </c>
      <c r="D59" s="188">
        <v>9130535753.2999992</v>
      </c>
      <c r="E59" s="188">
        <v>29006423236</v>
      </c>
      <c r="F59" s="188">
        <v>21361469066.810001</v>
      </c>
      <c r="G59" s="188">
        <v>12044438696.030001</v>
      </c>
      <c r="H59" s="188">
        <v>6544833459.0699997</v>
      </c>
      <c r="I59" s="188">
        <v>17930643109.880001</v>
      </c>
      <c r="J59" s="188">
        <v>13330191781.889999</v>
      </c>
      <c r="K59" s="188">
        <v>9377202963.1499996</v>
      </c>
      <c r="L59" s="188">
        <v>5212078652.4799995</v>
      </c>
      <c r="M59" s="188">
        <v>16454996625.219999</v>
      </c>
      <c r="N59" s="188">
        <v>12126789326.870001</v>
      </c>
      <c r="O59" s="188">
        <v>8364520508.6099997</v>
      </c>
      <c r="P59" s="188">
        <v>4628320416.9099998</v>
      </c>
      <c r="Q59" s="188">
        <v>16269371509.83</v>
      </c>
      <c r="R59" s="188">
        <v>11375689707.879999</v>
      </c>
      <c r="S59" s="188">
        <v>7664538017.5900002</v>
      </c>
      <c r="T59" s="188">
        <v>3952933461</v>
      </c>
      <c r="U59" s="188">
        <v>15964899881.049999</v>
      </c>
      <c r="V59" s="188">
        <v>11662175309.98</v>
      </c>
      <c r="W59" s="188">
        <v>7620914791.3100004</v>
      </c>
      <c r="X59" s="188">
        <v>3773363242.9899998</v>
      </c>
      <c r="Y59" s="188">
        <v>14008450702.17</v>
      </c>
      <c r="Z59" s="188">
        <v>10937979773.700001</v>
      </c>
      <c r="AA59" s="188">
        <v>7348939538.5500002</v>
      </c>
      <c r="AB59" s="188">
        <v>3129490790.7399998</v>
      </c>
      <c r="AC59" s="188">
        <v>9250323807.6200008</v>
      </c>
      <c r="AD59" s="188">
        <v>6930714312.6099997</v>
      </c>
      <c r="AE59" s="188">
        <v>5166306192.5299997</v>
      </c>
      <c r="AF59" s="188">
        <v>1991291329.6400001</v>
      </c>
      <c r="AG59" s="188">
        <v>5339761496.9700003</v>
      </c>
      <c r="AH59" s="188">
        <v>4411104477.8299999</v>
      </c>
      <c r="AI59" s="188">
        <v>3274562600.0700002</v>
      </c>
      <c r="AJ59" s="188">
        <v>1344382797.8099999</v>
      </c>
      <c r="AK59" s="188">
        <v>4552888944</v>
      </c>
      <c r="AL59" s="188">
        <v>3979795618.1999998</v>
      </c>
      <c r="AM59" s="188">
        <v>2928842256.25</v>
      </c>
      <c r="AN59" s="188">
        <v>1278840567.8199999</v>
      </c>
      <c r="AO59" s="188">
        <v>4000759343.1100001</v>
      </c>
      <c r="AP59" s="188">
        <v>3304198781</v>
      </c>
      <c r="AQ59" s="188">
        <v>2351939273.6300001</v>
      </c>
      <c r="AR59" s="188">
        <v>917048744.59000003</v>
      </c>
      <c r="AS59" s="188">
        <v>2966052508.9499998</v>
      </c>
      <c r="AT59" s="188">
        <v>1669221956.1800001</v>
      </c>
      <c r="AU59" s="188">
        <v>893948241.40999997</v>
      </c>
      <c r="AV59" s="188">
        <v>561440706.10000002</v>
      </c>
      <c r="AW59" s="188">
        <v>1574308238.46</v>
      </c>
      <c r="AX59" s="188">
        <v>994042507.13999999</v>
      </c>
      <c r="AY59" s="188">
        <v>634070818.38</v>
      </c>
      <c r="AZ59" s="188">
        <v>468500544.70999998</v>
      </c>
      <c r="BA59" s="188">
        <v>1169122125.71</v>
      </c>
      <c r="BB59" s="188">
        <v>734632419.82000005</v>
      </c>
      <c r="BC59" s="188">
        <v>502705034.94</v>
      </c>
      <c r="BD59" s="188">
        <v>383941417.25999999</v>
      </c>
      <c r="BE59" s="188">
        <v>854172175.46000004</v>
      </c>
      <c r="BF59" s="188">
        <v>538075474.88</v>
      </c>
      <c r="BG59" s="188">
        <v>364062064.43000001</v>
      </c>
      <c r="BH59" s="188">
        <v>271330791.20999998</v>
      </c>
      <c r="BI59" s="188">
        <v>608753496.05999994</v>
      </c>
      <c r="BJ59" s="188">
        <v>369811690.47000003</v>
      </c>
      <c r="BK59" s="188">
        <v>262486045.78</v>
      </c>
      <c r="BL59" s="188">
        <v>225123681.74000001</v>
      </c>
      <c r="BM59" s="188">
        <v>392585970.76999998</v>
      </c>
      <c r="BN59" s="188">
        <v>320106986.66000003</v>
      </c>
      <c r="BO59" s="188">
        <v>246355376.97</v>
      </c>
      <c r="BP59" s="188">
        <v>213798332.78999999</v>
      </c>
      <c r="BQ59" s="188">
        <v>342365808.76999998</v>
      </c>
      <c r="BR59" s="188">
        <v>230067061.15000001</v>
      </c>
      <c r="BS59" s="188">
        <v>255284811.38</v>
      </c>
      <c r="BT59" s="188">
        <v>215690128.65000001</v>
      </c>
      <c r="BU59" s="188">
        <v>146891419.61000001</v>
      </c>
      <c r="BV59" s="188">
        <v>0</v>
      </c>
      <c r="BW59" s="188">
        <v>649021962.89999998</v>
      </c>
      <c r="BX59" s="188">
        <v>317076251.63999999</v>
      </c>
      <c r="BY59" s="188">
        <v>553291095.09000003</v>
      </c>
      <c r="BZ59" s="188">
        <v>252919406.88</v>
      </c>
      <c r="CA59" s="188">
        <v>341298375.86000001</v>
      </c>
      <c r="CB59" s="188">
        <v>259939328.41</v>
      </c>
      <c r="CC59" s="188">
        <v>216927477.38</v>
      </c>
      <c r="CD59" s="188">
        <v>0</v>
      </c>
      <c r="CE59" s="188">
        <v>162135000</v>
      </c>
      <c r="CF59" s="188">
        <v>90056788.769999996</v>
      </c>
      <c r="CG59" s="188">
        <v>54430000</v>
      </c>
      <c r="CH59" s="188">
        <v>80440000</v>
      </c>
      <c r="CI59" s="188">
        <v>58950000</v>
      </c>
      <c r="CJ59" s="188">
        <v>67670000</v>
      </c>
      <c r="CK59" s="188">
        <v>0</v>
      </c>
    </row>
    <row r="60" spans="1:89" x14ac:dyDescent="0.25">
      <c r="A60" s="22" t="s">
        <v>95</v>
      </c>
      <c r="B60" s="188">
        <v>9005963447.6000004</v>
      </c>
      <c r="C60" s="188">
        <v>5798614348.8000002</v>
      </c>
      <c r="D60" s="188">
        <v>3041997000.2800002</v>
      </c>
      <c r="E60" s="188">
        <v>9733648906.6000004</v>
      </c>
      <c r="F60" s="188">
        <v>7131368591.2299995</v>
      </c>
      <c r="G60" s="188">
        <v>4039090821.9699998</v>
      </c>
      <c r="H60" s="188">
        <v>2210206968.8800001</v>
      </c>
      <c r="I60" s="188">
        <v>6027237847.2299995</v>
      </c>
      <c r="J60" s="188">
        <v>4707793040.1099997</v>
      </c>
      <c r="K60" s="188">
        <v>3388082316.0900002</v>
      </c>
      <c r="L60" s="188">
        <v>1994656882.6400001</v>
      </c>
      <c r="M60" s="188">
        <v>5546718336.1199999</v>
      </c>
      <c r="N60" s="188">
        <v>4035440224.8800001</v>
      </c>
      <c r="O60" s="188">
        <v>2784913019.29</v>
      </c>
      <c r="P60" s="188">
        <v>1573695806.3099999</v>
      </c>
      <c r="Q60" s="188">
        <v>5612970927.5</v>
      </c>
      <c r="R60" s="188">
        <v>3803506856.02</v>
      </c>
      <c r="S60" s="188">
        <v>2558640928.77</v>
      </c>
      <c r="T60" s="188">
        <v>1359416643.96</v>
      </c>
      <c r="U60" s="188">
        <v>5467460544.9200001</v>
      </c>
      <c r="V60" s="188">
        <v>4005211849.6700001</v>
      </c>
      <c r="W60" s="188">
        <v>2504491374.79</v>
      </c>
      <c r="X60" s="188">
        <v>1344524985.23</v>
      </c>
      <c r="Y60" s="188">
        <v>4692039766.9899998</v>
      </c>
      <c r="Z60" s="188">
        <v>3647276882.3000002</v>
      </c>
      <c r="AA60" s="188">
        <v>2451236642.1199999</v>
      </c>
      <c r="AB60" s="188">
        <v>1045438170.21</v>
      </c>
      <c r="AC60" s="188">
        <v>3084336666.1799998</v>
      </c>
      <c r="AD60" s="188">
        <v>2348839939.0999999</v>
      </c>
      <c r="AE60" s="188">
        <v>1721040697.47</v>
      </c>
      <c r="AF60" s="188">
        <v>662814727.08000004</v>
      </c>
      <c r="AG60" s="188">
        <v>1822655234.4000001</v>
      </c>
      <c r="AH60" s="188">
        <v>1484679876.53</v>
      </c>
      <c r="AI60" s="188">
        <v>1102953708.7</v>
      </c>
      <c r="AJ60" s="188">
        <v>448397873.24000001</v>
      </c>
      <c r="AK60" s="188">
        <v>1527650940.6400001</v>
      </c>
      <c r="AL60" s="188">
        <v>1325571242.9100001</v>
      </c>
      <c r="AM60" s="188">
        <v>976956902.29999995</v>
      </c>
      <c r="AN60" s="188">
        <v>426202592.50999999</v>
      </c>
      <c r="AO60" s="188">
        <v>1384541295.05</v>
      </c>
      <c r="AP60" s="188">
        <v>1099692138.5999999</v>
      </c>
      <c r="AQ60" s="188">
        <v>783585037.86000001</v>
      </c>
      <c r="AR60" s="188">
        <v>305509033.30000001</v>
      </c>
      <c r="AS60" s="188">
        <v>1555972506.98</v>
      </c>
      <c r="AT60" s="188">
        <v>838824810.53999996</v>
      </c>
      <c r="AU60" s="188">
        <v>467112109.42000002</v>
      </c>
      <c r="AV60" s="188">
        <v>312727702.22000003</v>
      </c>
      <c r="AW60" s="188">
        <v>913878754.97000003</v>
      </c>
      <c r="AX60" s="188">
        <v>573234513.25999999</v>
      </c>
      <c r="AY60" s="188">
        <v>337994016.10000002</v>
      </c>
      <c r="AZ60" s="188">
        <v>203934016.81999999</v>
      </c>
      <c r="BA60" s="188">
        <v>751124237.92999995</v>
      </c>
      <c r="BB60" s="188">
        <v>416147739.11000001</v>
      </c>
      <c r="BC60" s="188">
        <v>254095014.83000001</v>
      </c>
      <c r="BD60" s="188">
        <v>173567381.47999999</v>
      </c>
      <c r="BE60" s="188">
        <v>636500339.35000002</v>
      </c>
      <c r="BF60" s="188">
        <v>337778231.50999999</v>
      </c>
      <c r="BG60" s="188">
        <v>205660460.36000001</v>
      </c>
      <c r="BH60" s="188">
        <v>129839421.97</v>
      </c>
      <c r="BI60" s="188">
        <v>368541117.19999999</v>
      </c>
      <c r="BJ60" s="188">
        <v>226477466.31</v>
      </c>
      <c r="BK60" s="188">
        <v>148750335.91</v>
      </c>
      <c r="BL60" s="188">
        <v>116318861.01000001</v>
      </c>
      <c r="BM60" s="188">
        <v>256784400.75</v>
      </c>
      <c r="BN60" s="188">
        <v>208225146.55000001</v>
      </c>
      <c r="BO60" s="188">
        <v>155530625.22999999</v>
      </c>
      <c r="BP60" s="188">
        <v>124206524.16</v>
      </c>
      <c r="BQ60" s="188">
        <v>264912397.47999999</v>
      </c>
      <c r="BR60" s="188">
        <v>142925129</v>
      </c>
      <c r="BS60" s="188">
        <v>189560588.75</v>
      </c>
      <c r="BT60" s="188">
        <v>137902505.22</v>
      </c>
      <c r="BU60" s="188">
        <v>72074304.109999999</v>
      </c>
      <c r="BV60" s="188">
        <v>0</v>
      </c>
      <c r="BW60" s="188">
        <v>303429006.82999998</v>
      </c>
      <c r="BX60" s="188">
        <v>66653678.539999999</v>
      </c>
      <c r="BY60" s="188">
        <v>260578360.56999999</v>
      </c>
      <c r="BZ60" s="188">
        <v>44632836.509999998</v>
      </c>
      <c r="CA60" s="188">
        <v>168102185.13</v>
      </c>
      <c r="CB60" s="188">
        <v>128029818.47</v>
      </c>
      <c r="CC60" s="188">
        <v>106844876.92</v>
      </c>
      <c r="CD60" s="188">
        <v>0</v>
      </c>
      <c r="CE60" s="188">
        <v>27810000</v>
      </c>
      <c r="CF60" s="188">
        <v>16447145.279999999</v>
      </c>
      <c r="CG60" s="188">
        <v>4330000</v>
      </c>
      <c r="CH60" s="188">
        <v>4220000</v>
      </c>
      <c r="CI60" s="188">
        <v>12510000</v>
      </c>
      <c r="CJ60" s="188">
        <v>3630000</v>
      </c>
      <c r="CK60" s="188">
        <v>0</v>
      </c>
    </row>
    <row r="61" spans="1:89" x14ac:dyDescent="0.25">
      <c r="A61" s="22" t="s">
        <v>94</v>
      </c>
      <c r="B61" s="188">
        <v>35577318406.269997</v>
      </c>
      <c r="C61" s="188">
        <v>22719966794.380001</v>
      </c>
      <c r="D61" s="188">
        <v>12172532753.58</v>
      </c>
      <c r="E61" s="188">
        <v>38740072142.599998</v>
      </c>
      <c r="F61" s="188">
        <v>28492837658.040001</v>
      </c>
      <c r="G61" s="188">
        <v>16083529518</v>
      </c>
      <c r="H61" s="188">
        <v>8755040427.9500008</v>
      </c>
      <c r="I61" s="188">
        <v>23957880957.110001</v>
      </c>
      <c r="J61" s="188">
        <v>18037984822</v>
      </c>
      <c r="K61" s="188">
        <v>12765285279.24</v>
      </c>
      <c r="L61" s="188">
        <v>7206735535.1199999</v>
      </c>
      <c r="M61" s="188">
        <v>22001714961.34</v>
      </c>
      <c r="N61" s="188">
        <v>16162229551.75</v>
      </c>
      <c r="O61" s="188">
        <v>11149433527.9</v>
      </c>
      <c r="P61" s="188">
        <v>6202016223.2200003</v>
      </c>
      <c r="Q61" s="188">
        <v>21882342437.330002</v>
      </c>
      <c r="R61" s="188">
        <v>15179196563.9</v>
      </c>
      <c r="S61" s="188">
        <v>10223178946.360001</v>
      </c>
      <c r="T61" s="188">
        <v>5312350104.96</v>
      </c>
      <c r="U61" s="188">
        <v>21432360425.970001</v>
      </c>
      <c r="V61" s="188">
        <v>15667387159.65</v>
      </c>
      <c r="W61" s="188">
        <v>10125406166.1</v>
      </c>
      <c r="X61" s="188">
        <v>5117888228.2200003</v>
      </c>
      <c r="Y61" s="188">
        <v>18700490469.16</v>
      </c>
      <c r="Z61" s="188">
        <v>14585256656</v>
      </c>
      <c r="AA61" s="188">
        <v>9800176180.6700001</v>
      </c>
      <c r="AB61" s="188">
        <v>4174928960.9499998</v>
      </c>
      <c r="AC61" s="188">
        <v>12334660473.799999</v>
      </c>
      <c r="AD61" s="188">
        <v>9279554251.7099991</v>
      </c>
      <c r="AE61" s="188">
        <v>6887346890</v>
      </c>
      <c r="AF61" s="188">
        <v>2654106056.7199998</v>
      </c>
      <c r="AG61" s="188">
        <v>7162416731.3699999</v>
      </c>
      <c r="AH61" s="188">
        <v>5895784354.3599997</v>
      </c>
      <c r="AI61" s="188">
        <v>4377516308.7700005</v>
      </c>
      <c r="AJ61" s="188">
        <v>1792780671.05</v>
      </c>
      <c r="AK61" s="188">
        <v>6080539884.6400003</v>
      </c>
      <c r="AL61" s="188">
        <v>5305366861.1099997</v>
      </c>
      <c r="AM61" s="188">
        <v>3905799158.5500002</v>
      </c>
      <c r="AN61" s="188">
        <v>1705043160.3299999</v>
      </c>
      <c r="AO61" s="188">
        <v>5385300638.1599998</v>
      </c>
      <c r="AP61" s="188">
        <v>4403890919.6000004</v>
      </c>
      <c r="AQ61" s="188">
        <v>3135524311.4899998</v>
      </c>
      <c r="AR61" s="188">
        <v>1222557777.8900001</v>
      </c>
      <c r="AS61" s="188">
        <v>4522025015.9300003</v>
      </c>
      <c r="AT61" s="188">
        <v>2508046766.7199998</v>
      </c>
      <c r="AU61" s="188">
        <v>1361060350.8299999</v>
      </c>
      <c r="AV61" s="188">
        <v>874168408.32000005</v>
      </c>
      <c r="AW61" s="188">
        <v>2488186993.4299998</v>
      </c>
      <c r="AX61" s="188">
        <v>1567277020.4000001</v>
      </c>
      <c r="AY61" s="188">
        <v>972064834.48000002</v>
      </c>
      <c r="AZ61" s="188">
        <v>672434561.52999997</v>
      </c>
      <c r="BA61" s="188">
        <v>1920246363.6400001</v>
      </c>
      <c r="BB61" s="188">
        <v>1150780158.9300001</v>
      </c>
      <c r="BC61" s="188">
        <v>756800049.76999998</v>
      </c>
      <c r="BD61" s="188">
        <v>557508798.74000001</v>
      </c>
      <c r="BE61" s="188">
        <v>1490672514.8099999</v>
      </c>
      <c r="BF61" s="188">
        <v>875853706.38999999</v>
      </c>
      <c r="BG61" s="188">
        <v>569722524.78999996</v>
      </c>
      <c r="BH61" s="188">
        <v>401170213.18000001</v>
      </c>
      <c r="BI61" s="188">
        <v>977294613.25999999</v>
      </c>
      <c r="BJ61" s="188">
        <v>596289156.77999997</v>
      </c>
      <c r="BK61" s="188">
        <v>411236381.69</v>
      </c>
      <c r="BL61" s="188">
        <v>341442542.75</v>
      </c>
      <c r="BM61" s="188">
        <v>649370371.51999998</v>
      </c>
      <c r="BN61" s="188">
        <v>528332133.20999998</v>
      </c>
      <c r="BO61" s="188">
        <v>401886002.19999999</v>
      </c>
      <c r="BP61" s="188">
        <v>338004856.94999999</v>
      </c>
      <c r="BQ61" s="188">
        <v>607278206.25</v>
      </c>
      <c r="BR61" s="188">
        <v>372992200</v>
      </c>
      <c r="BS61" s="188">
        <v>444845400.13</v>
      </c>
      <c r="BT61" s="188">
        <v>353592633.87</v>
      </c>
      <c r="BU61" s="188">
        <v>218965723.72</v>
      </c>
      <c r="BV61" s="188">
        <v>0</v>
      </c>
      <c r="BW61" s="188">
        <v>786944238.74000001</v>
      </c>
      <c r="BX61" s="188">
        <v>383729930.18000001</v>
      </c>
      <c r="BY61" s="188">
        <v>813869455.65999997</v>
      </c>
      <c r="BZ61" s="188">
        <v>297552243.38999999</v>
      </c>
      <c r="CA61" s="188">
        <v>509400560.99000001</v>
      </c>
      <c r="CB61" s="188">
        <v>387969146.88</v>
      </c>
      <c r="CC61" s="188">
        <v>323772354.30000001</v>
      </c>
      <c r="CD61" s="188">
        <v>0</v>
      </c>
      <c r="CE61" s="188">
        <v>189945000</v>
      </c>
      <c r="CF61" s="188">
        <v>106503934.05</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0</v>
      </c>
      <c r="C65" s="188">
        <v>0</v>
      </c>
      <c r="D65" s="188">
        <v>0</v>
      </c>
      <c r="E65" s="188">
        <v>0</v>
      </c>
      <c r="F65" s="188">
        <v>0</v>
      </c>
      <c r="G65" s="188">
        <v>0</v>
      </c>
      <c r="H65" s="188">
        <v>0</v>
      </c>
      <c r="I65" s="188">
        <v>0</v>
      </c>
      <c r="J65" s="188">
        <v>0</v>
      </c>
      <c r="K65" s="188">
        <v>0</v>
      </c>
      <c r="L65" s="188">
        <v>0</v>
      </c>
      <c r="M65" s="188">
        <v>3869276.9</v>
      </c>
      <c r="N65" s="188">
        <v>3868919.86</v>
      </c>
      <c r="O65" s="188">
        <v>3342169.86</v>
      </c>
      <c r="P65" s="188">
        <v>332169.86</v>
      </c>
      <c r="Q65" s="188">
        <v>3095265.75</v>
      </c>
      <c r="R65" s="188">
        <v>3010000</v>
      </c>
      <c r="S65" s="188">
        <v>3010000</v>
      </c>
      <c r="T65" s="188">
        <v>0</v>
      </c>
      <c r="U65" s="188">
        <v>3010000</v>
      </c>
      <c r="V65" s="188">
        <v>3010000</v>
      </c>
      <c r="W65" s="188">
        <v>3010000</v>
      </c>
      <c r="X65" s="188">
        <v>0</v>
      </c>
      <c r="Y65" s="188">
        <v>3103250</v>
      </c>
      <c r="Z65" s="188">
        <v>3103250</v>
      </c>
      <c r="AA65" s="188">
        <v>3103250</v>
      </c>
      <c r="AB65" s="188">
        <v>93250</v>
      </c>
      <c r="AC65" s="188">
        <v>3383000</v>
      </c>
      <c r="AD65" s="188">
        <v>3289750</v>
      </c>
      <c r="AE65" s="188">
        <v>3196500</v>
      </c>
      <c r="AF65" s="188">
        <v>93250</v>
      </c>
      <c r="AG65" s="188">
        <v>469050</v>
      </c>
      <c r="AH65" s="188">
        <v>375800</v>
      </c>
      <c r="AI65" s="188">
        <v>282550</v>
      </c>
      <c r="AJ65" s="188">
        <v>0</v>
      </c>
      <c r="AK65" s="188">
        <v>1209447.26</v>
      </c>
      <c r="AL65" s="188">
        <v>972122.26</v>
      </c>
      <c r="AM65" s="188">
        <v>734797.26</v>
      </c>
      <c r="AN65" s="188">
        <v>301075</v>
      </c>
      <c r="AO65" s="188">
        <v>1322250</v>
      </c>
      <c r="AP65" s="188">
        <v>1021175</v>
      </c>
      <c r="AQ65" s="188">
        <v>720100</v>
      </c>
      <c r="AR65" s="188">
        <v>419025</v>
      </c>
      <c r="AS65" s="188">
        <v>1814950</v>
      </c>
      <c r="AT65" s="188">
        <v>859950</v>
      </c>
      <c r="AU65" s="188">
        <v>859950</v>
      </c>
      <c r="AV65" s="188">
        <v>0</v>
      </c>
      <c r="AW65" s="188">
        <v>3012928.94</v>
      </c>
      <c r="AX65" s="188">
        <v>144435.35999999999</v>
      </c>
      <c r="AY65" s="188">
        <v>144435.35999999999</v>
      </c>
      <c r="AZ65" s="188">
        <v>0</v>
      </c>
      <c r="BA65" s="188">
        <v>427953.6</v>
      </c>
      <c r="BB65" s="188">
        <v>23718.23</v>
      </c>
      <c r="BC65" s="188">
        <v>23718.23</v>
      </c>
      <c r="BD65" s="188">
        <v>-187658.6</v>
      </c>
      <c r="BE65" s="188">
        <v>315063.71000000002</v>
      </c>
      <c r="BF65" s="188">
        <v>0</v>
      </c>
      <c r="BG65" s="188">
        <v>0</v>
      </c>
      <c r="BH65" s="188">
        <v>0</v>
      </c>
      <c r="BI65" s="188">
        <v>0</v>
      </c>
      <c r="BJ65" s="188">
        <v>0</v>
      </c>
      <c r="BK65" s="188">
        <v>0</v>
      </c>
      <c r="BL65" s="188">
        <v>0</v>
      </c>
      <c r="BM65" s="188">
        <v>0</v>
      </c>
      <c r="BN65" s="188">
        <v>0</v>
      </c>
      <c r="BO65" s="188">
        <v>0</v>
      </c>
      <c r="BP65" s="188">
        <v>0</v>
      </c>
      <c r="BQ65" s="188">
        <v>0</v>
      </c>
      <c r="BR65" s="188">
        <v>0</v>
      </c>
      <c r="BS65" s="188">
        <v>0</v>
      </c>
      <c r="BT65" s="188">
        <v>0</v>
      </c>
      <c r="BU65" s="188">
        <v>0</v>
      </c>
      <c r="BV65" s="188">
        <v>0</v>
      </c>
      <c r="BW65" s="188">
        <v>0</v>
      </c>
      <c r="BX65" s="188">
        <v>0</v>
      </c>
      <c r="BY65" s="188">
        <v>0</v>
      </c>
      <c r="BZ65" s="188">
        <v>0</v>
      </c>
      <c r="CA65" s="188">
        <v>0</v>
      </c>
      <c r="CB65" s="188">
        <v>0</v>
      </c>
      <c r="CC65" s="188">
        <v>0</v>
      </c>
      <c r="CD65" s="188">
        <v>0</v>
      </c>
      <c r="CE65" s="188">
        <v>7729000</v>
      </c>
      <c r="CF65" s="188">
        <v>2092581.44</v>
      </c>
      <c r="CG65" s="188">
        <v>0</v>
      </c>
      <c r="CH65" s="188">
        <v>0</v>
      </c>
      <c r="CI65" s="188">
        <v>0</v>
      </c>
      <c r="CJ65" s="188">
        <v>0</v>
      </c>
      <c r="CK65" s="188">
        <v>0</v>
      </c>
    </row>
    <row r="66" spans="1:89" x14ac:dyDescent="0.25">
      <c r="A66" s="22" t="s">
        <v>99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0</v>
      </c>
      <c r="C67" s="4">
        <f t="shared" ref="C67:BN67" si="67">C65-C66</f>
        <v>0</v>
      </c>
      <c r="D67" s="4">
        <f t="shared" si="67"/>
        <v>0</v>
      </c>
      <c r="E67" s="4">
        <f t="shared" si="67"/>
        <v>0</v>
      </c>
      <c r="F67" s="4">
        <f t="shared" si="67"/>
        <v>0</v>
      </c>
      <c r="G67" s="4">
        <f t="shared" si="67"/>
        <v>0</v>
      </c>
      <c r="H67" s="4">
        <f t="shared" si="67"/>
        <v>0</v>
      </c>
      <c r="I67" s="4">
        <f t="shared" si="67"/>
        <v>0</v>
      </c>
      <c r="J67" s="4">
        <f t="shared" si="67"/>
        <v>0</v>
      </c>
      <c r="K67" s="4">
        <f t="shared" si="67"/>
        <v>0</v>
      </c>
      <c r="L67" s="4">
        <f t="shared" si="67"/>
        <v>0</v>
      </c>
      <c r="M67" s="4">
        <f t="shared" si="67"/>
        <v>3869276.9</v>
      </c>
      <c r="N67" s="4">
        <f t="shared" si="67"/>
        <v>3868919.86</v>
      </c>
      <c r="O67" s="4">
        <f t="shared" si="67"/>
        <v>3342169.86</v>
      </c>
      <c r="P67" s="4">
        <f t="shared" si="67"/>
        <v>332169.86</v>
      </c>
      <c r="Q67" s="4">
        <f t="shared" si="67"/>
        <v>3095265.75</v>
      </c>
      <c r="R67" s="4">
        <f t="shared" si="67"/>
        <v>3010000</v>
      </c>
      <c r="S67" s="4">
        <f t="shared" si="67"/>
        <v>3010000</v>
      </c>
      <c r="T67" s="4">
        <f t="shared" si="67"/>
        <v>0</v>
      </c>
      <c r="U67" s="4">
        <f t="shared" si="67"/>
        <v>3010000</v>
      </c>
      <c r="V67" s="4">
        <f t="shared" si="67"/>
        <v>3010000</v>
      </c>
      <c r="W67" s="4">
        <f t="shared" si="67"/>
        <v>3010000</v>
      </c>
      <c r="X67" s="4">
        <f t="shared" si="67"/>
        <v>0</v>
      </c>
      <c r="Y67" s="4">
        <f t="shared" si="67"/>
        <v>3103250</v>
      </c>
      <c r="Z67" s="4">
        <f t="shared" si="67"/>
        <v>3103250</v>
      </c>
      <c r="AA67" s="4">
        <f t="shared" si="67"/>
        <v>3103250</v>
      </c>
      <c r="AB67" s="4">
        <f t="shared" si="67"/>
        <v>93250</v>
      </c>
      <c r="AC67" s="4">
        <f t="shared" si="67"/>
        <v>3383000</v>
      </c>
      <c r="AD67" s="4">
        <f t="shared" si="67"/>
        <v>3289750</v>
      </c>
      <c r="AE67" s="4">
        <f t="shared" si="67"/>
        <v>3196500</v>
      </c>
      <c r="AF67" s="4">
        <f t="shared" si="67"/>
        <v>93250</v>
      </c>
      <c r="AG67" s="4">
        <f t="shared" si="67"/>
        <v>469050</v>
      </c>
      <c r="AH67" s="4">
        <f t="shared" si="67"/>
        <v>375800</v>
      </c>
      <c r="AI67" s="4">
        <f t="shared" si="67"/>
        <v>282550</v>
      </c>
      <c r="AJ67" s="4">
        <f t="shared" si="67"/>
        <v>0</v>
      </c>
      <c r="AK67" s="4">
        <f t="shared" si="67"/>
        <v>1209447.26</v>
      </c>
      <c r="AL67" s="4">
        <f t="shared" si="67"/>
        <v>972122.26</v>
      </c>
      <c r="AM67" s="4">
        <f t="shared" si="67"/>
        <v>734797.26</v>
      </c>
      <c r="AN67" s="4">
        <f t="shared" si="67"/>
        <v>301075</v>
      </c>
      <c r="AO67" s="4">
        <f t="shared" si="67"/>
        <v>1322250</v>
      </c>
      <c r="AP67" s="4">
        <f t="shared" si="67"/>
        <v>1021175</v>
      </c>
      <c r="AQ67" s="4">
        <f t="shared" si="67"/>
        <v>720100</v>
      </c>
      <c r="AR67" s="4">
        <f t="shared" si="67"/>
        <v>419025</v>
      </c>
      <c r="AS67" s="4">
        <f t="shared" si="67"/>
        <v>1814950</v>
      </c>
      <c r="AT67" s="4">
        <f t="shared" si="67"/>
        <v>859950</v>
      </c>
      <c r="AU67" s="4">
        <f t="shared" si="67"/>
        <v>859950</v>
      </c>
      <c r="AV67" s="4">
        <f t="shared" si="67"/>
        <v>0</v>
      </c>
      <c r="AW67" s="4">
        <f t="shared" si="67"/>
        <v>3012928.94</v>
      </c>
      <c r="AX67" s="4">
        <f t="shared" si="67"/>
        <v>144435.35999999999</v>
      </c>
      <c r="AY67" s="4">
        <f t="shared" si="67"/>
        <v>144435.35999999999</v>
      </c>
      <c r="AZ67" s="4">
        <f t="shared" si="67"/>
        <v>0</v>
      </c>
      <c r="BA67" s="4">
        <f t="shared" si="67"/>
        <v>427953.6</v>
      </c>
      <c r="BB67" s="4">
        <f t="shared" si="67"/>
        <v>23718.23</v>
      </c>
      <c r="BC67" s="4">
        <f t="shared" si="67"/>
        <v>23718.23</v>
      </c>
      <c r="BD67" s="4">
        <f t="shared" si="67"/>
        <v>-187658.6</v>
      </c>
      <c r="BE67" s="4">
        <f t="shared" si="67"/>
        <v>315063.71000000002</v>
      </c>
      <c r="BF67" s="4">
        <f t="shared" si="67"/>
        <v>0</v>
      </c>
      <c r="BG67" s="4">
        <f t="shared" si="67"/>
        <v>0</v>
      </c>
      <c r="BH67" s="4">
        <f t="shared" si="67"/>
        <v>0</v>
      </c>
      <c r="BI67" s="4">
        <f t="shared" si="67"/>
        <v>0</v>
      </c>
      <c r="BJ67" s="4">
        <f t="shared" si="67"/>
        <v>0</v>
      </c>
      <c r="BK67" s="4">
        <f t="shared" si="67"/>
        <v>0</v>
      </c>
      <c r="BL67" s="4">
        <f t="shared" si="67"/>
        <v>0</v>
      </c>
      <c r="BM67" s="4">
        <f t="shared" si="67"/>
        <v>0</v>
      </c>
      <c r="BN67" s="4">
        <f t="shared" si="67"/>
        <v>0</v>
      </c>
      <c r="BO67" s="4">
        <f t="shared" ref="BO67:CJ67" si="68">BO65-BO66</f>
        <v>0</v>
      </c>
      <c r="BP67" s="4">
        <f t="shared" si="68"/>
        <v>0</v>
      </c>
      <c r="BQ67" s="4">
        <f t="shared" si="68"/>
        <v>0</v>
      </c>
      <c r="BR67" s="4">
        <f t="shared" si="68"/>
        <v>0</v>
      </c>
      <c r="BS67" s="4">
        <f t="shared" si="68"/>
        <v>0</v>
      </c>
      <c r="BT67" s="4">
        <f t="shared" si="68"/>
        <v>0</v>
      </c>
      <c r="BU67" s="4">
        <f t="shared" si="68"/>
        <v>0</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8">
        <v>-4384064.29</v>
      </c>
      <c r="C68" s="188">
        <v>-4224584.95</v>
      </c>
      <c r="D68" s="188">
        <v>-3460582.58</v>
      </c>
      <c r="E68" s="188">
        <v>-55722346.189999998</v>
      </c>
      <c r="F68" s="188">
        <v>-39273204.75</v>
      </c>
      <c r="G68" s="188">
        <v>-37505205.880000003</v>
      </c>
      <c r="H68" s="188">
        <v>-29494286.280000001</v>
      </c>
      <c r="I68" s="188">
        <v>-33175188.52</v>
      </c>
      <c r="J68" s="188">
        <v>-1302024</v>
      </c>
      <c r="K68" s="188">
        <v>-12226120.6</v>
      </c>
      <c r="L68" s="188">
        <v>-3031403.42</v>
      </c>
      <c r="M68" s="188">
        <v>-67266800.969999999</v>
      </c>
      <c r="N68" s="188">
        <v>-52132054.299999997</v>
      </c>
      <c r="O68" s="188">
        <v>-18995600.109999999</v>
      </c>
      <c r="P68" s="188">
        <v>-6472977.6600000001</v>
      </c>
      <c r="Q68" s="188">
        <v>-123168793.84</v>
      </c>
      <c r="R68" s="188">
        <v>-95772137.579999998</v>
      </c>
      <c r="S68" s="188">
        <v>-53889235.740000002</v>
      </c>
      <c r="T68" s="188">
        <v>-24123220.32</v>
      </c>
      <c r="U68" s="188">
        <v>-429074364.68000001</v>
      </c>
      <c r="V68" s="188">
        <v>-343826830.68000001</v>
      </c>
      <c r="W68" s="188">
        <v>-238790533.41</v>
      </c>
      <c r="X68" s="188">
        <v>-114519214.53</v>
      </c>
      <c r="Y68" s="188">
        <v>-420975922.49000001</v>
      </c>
      <c r="Z68" s="188">
        <v>-297465187.51999998</v>
      </c>
      <c r="AA68" s="188">
        <v>-187200820.61000001</v>
      </c>
      <c r="AB68" s="188">
        <v>-97318786.079999998</v>
      </c>
      <c r="AC68" s="188">
        <v>-350751496.92000002</v>
      </c>
      <c r="AD68" s="188">
        <v>-217813505.31999999</v>
      </c>
      <c r="AE68" s="188">
        <v>-148888545.19</v>
      </c>
      <c r="AF68" s="188">
        <v>-53473692.270000003</v>
      </c>
      <c r="AG68" s="188">
        <v>-176577024.91</v>
      </c>
      <c r="AH68" s="188">
        <v>-137330593.52000001</v>
      </c>
      <c r="AI68" s="188">
        <v>-99774773.510000005</v>
      </c>
      <c r="AJ68" s="188">
        <v>-46248011.119999997</v>
      </c>
      <c r="AK68" s="188">
        <v>-133636115.78</v>
      </c>
      <c r="AL68" s="188">
        <v>-90429443.689999998</v>
      </c>
      <c r="AM68" s="188">
        <v>-87784729.510000005</v>
      </c>
      <c r="AN68" s="188">
        <v>-81307397.079999998</v>
      </c>
      <c r="AO68" s="188">
        <v>-102500765.33</v>
      </c>
      <c r="AP68" s="188">
        <v>-62182025.009999998</v>
      </c>
      <c r="AQ68" s="188">
        <v>-46122542.109999999</v>
      </c>
      <c r="AR68" s="188">
        <v>-39680467.920000002</v>
      </c>
      <c r="AS68" s="188">
        <v>-44743824.950000003</v>
      </c>
      <c r="AT68" s="188">
        <v>-38158017.710000001</v>
      </c>
      <c r="AU68" s="188">
        <v>-32966149.120000001</v>
      </c>
      <c r="AV68" s="188">
        <v>-26751923.239999998</v>
      </c>
      <c r="AW68" s="188">
        <v>-25268367.890000001</v>
      </c>
      <c r="AX68" s="188">
        <v>-14469012.92</v>
      </c>
      <c r="AY68" s="188">
        <v>-6698234.1299999999</v>
      </c>
      <c r="AZ68" s="188">
        <v>-2819139.21</v>
      </c>
      <c r="BA68" s="188">
        <v>-32264593.949999999</v>
      </c>
      <c r="BB68" s="188">
        <v>-14225903.98</v>
      </c>
      <c r="BC68" s="188">
        <v>-8107880.4500000002</v>
      </c>
      <c r="BD68" s="188">
        <v>-3746924.02</v>
      </c>
      <c r="BE68" s="188">
        <v>-25993795.539999999</v>
      </c>
      <c r="BF68" s="188">
        <v>-22307046.379999999</v>
      </c>
      <c r="BG68" s="188">
        <v>-9958861.9700000007</v>
      </c>
      <c r="BH68" s="188">
        <v>-6747422.2300000004</v>
      </c>
      <c r="BI68" s="188">
        <v>-16050225.99</v>
      </c>
      <c r="BJ68" s="188">
        <v>-12245012.15</v>
      </c>
      <c r="BK68" s="188">
        <v>-4371087.49</v>
      </c>
      <c r="BL68" s="188">
        <v>-2211149.4700000002</v>
      </c>
      <c r="BM68" s="188">
        <v>-17461501.870000001</v>
      </c>
      <c r="BN68" s="188">
        <v>-15259418.529999999</v>
      </c>
      <c r="BO68" s="188">
        <v>-11910236.880000001</v>
      </c>
      <c r="BP68" s="188">
        <v>-2661960.19</v>
      </c>
      <c r="BQ68" s="188">
        <v>-5742353.4900000002</v>
      </c>
      <c r="BR68" s="188">
        <v>1336222</v>
      </c>
      <c r="BS68" s="188">
        <v>6680065.6699999999</v>
      </c>
      <c r="BT68" s="188">
        <v>11277315.43</v>
      </c>
      <c r="BU68" s="188">
        <v>41920771.770000003</v>
      </c>
      <c r="BV68" s="188">
        <v>0</v>
      </c>
      <c r="BW68" s="188">
        <v>-15086567.960000001</v>
      </c>
      <c r="BX68" s="188">
        <v>-9593131.2100000009</v>
      </c>
      <c r="BY68" s="188">
        <v>-42791521.079999998</v>
      </c>
      <c r="BZ68" s="188">
        <v>-3834295.55</v>
      </c>
      <c r="CA68" s="188">
        <v>11835075.34</v>
      </c>
      <c r="CB68" s="188">
        <v>16252757.800000001</v>
      </c>
      <c r="CC68" s="188">
        <v>12407743.33</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106157062048.92999</v>
      </c>
      <c r="C70" s="188">
        <v>96504474570.580002</v>
      </c>
      <c r="D70" s="188">
        <v>105149681155.38</v>
      </c>
      <c r="E70" s="188">
        <v>96019627475.080002</v>
      </c>
      <c r="F70" s="188">
        <v>88380845274.130005</v>
      </c>
      <c r="G70" s="188">
        <v>79063250670.460007</v>
      </c>
      <c r="H70" s="188">
        <v>82453887315.580002</v>
      </c>
      <c r="I70" s="188">
        <v>75898542854.720001</v>
      </c>
      <c r="J70" s="188">
        <v>71283503461.070007</v>
      </c>
      <c r="K70" s="188">
        <v>67353161683.379997</v>
      </c>
      <c r="L70" s="188">
        <v>70941258989.619995</v>
      </c>
      <c r="M70" s="188">
        <v>66234170421.290001</v>
      </c>
      <c r="N70" s="188">
        <v>61918842558.080002</v>
      </c>
      <c r="O70" s="188">
        <v>63661782189.540001</v>
      </c>
      <c r="P70" s="188">
        <v>59930148126.959999</v>
      </c>
      <c r="Q70" s="188">
        <v>55311550841.120003</v>
      </c>
      <c r="R70" s="188">
        <v>50341328571.510002</v>
      </c>
      <c r="S70" s="188">
        <v>46624176881.220001</v>
      </c>
      <c r="T70" s="188">
        <v>47453571644.629997</v>
      </c>
      <c r="U70" s="188">
        <v>44129092273.260002</v>
      </c>
      <c r="V70" s="188">
        <v>39820367702.190002</v>
      </c>
      <c r="W70" s="188">
        <v>35779107183.519997</v>
      </c>
      <c r="X70" s="188">
        <v>38595633055.419998</v>
      </c>
      <c r="Y70" s="188">
        <v>35454036397.25</v>
      </c>
      <c r="Z70" s="188">
        <v>31991565468.779999</v>
      </c>
      <c r="AA70" s="188">
        <v>28404775233.630001</v>
      </c>
      <c r="AB70" s="188">
        <v>28530620402.029999</v>
      </c>
      <c r="AC70" s="188">
        <v>25403379611.290001</v>
      </c>
      <c r="AD70" s="188">
        <v>23083770116.279999</v>
      </c>
      <c r="AE70" s="188">
        <v>21544955887.150002</v>
      </c>
      <c r="AF70" s="188">
        <v>20540681024.259998</v>
      </c>
      <c r="AG70" s="188">
        <v>18549389694.619999</v>
      </c>
      <c r="AH70" s="188">
        <v>17721770193.439999</v>
      </c>
      <c r="AI70" s="188">
        <v>16737213296.219999</v>
      </c>
      <c r="AJ70" s="188">
        <v>15995948192.02</v>
      </c>
      <c r="AK70" s="188">
        <v>14651565394.209999</v>
      </c>
      <c r="AL70" s="188">
        <v>14215679731.030001</v>
      </c>
      <c r="AM70" s="188">
        <v>13166976369.08</v>
      </c>
      <c r="AN70" s="188">
        <v>12608007479.040001</v>
      </c>
      <c r="AO70" s="188">
        <v>11503418295.950001</v>
      </c>
      <c r="AP70" s="188">
        <v>10807004733.84</v>
      </c>
      <c r="AQ70" s="188">
        <v>9854634976.4699993</v>
      </c>
      <c r="AR70" s="188">
        <v>9285941265.0300007</v>
      </c>
      <c r="AS70" s="188">
        <v>8368855770.4399996</v>
      </c>
      <c r="AT70" s="188">
        <v>6952899324.3299999</v>
      </c>
      <c r="AU70" s="188">
        <v>6219411895.4899998</v>
      </c>
      <c r="AV70" s="188">
        <v>5888376793.5900002</v>
      </c>
      <c r="AW70" s="188">
        <v>5995028649.4300003</v>
      </c>
      <c r="AX70" s="188">
        <v>5415044428.1099997</v>
      </c>
      <c r="AY70" s="188">
        <v>5058474356.1400003</v>
      </c>
      <c r="AZ70" s="188">
        <v>5588295571.7399998</v>
      </c>
      <c r="BA70" s="188">
        <v>5162395081.5200005</v>
      </c>
      <c r="BB70" s="188">
        <v>4765503347.0299997</v>
      </c>
      <c r="BC70" s="188">
        <v>4691837330.75</v>
      </c>
      <c r="BD70" s="188">
        <v>4600649163.9899998</v>
      </c>
      <c r="BE70" s="188">
        <v>4216707746.73</v>
      </c>
      <c r="BF70" s="188">
        <v>3900474366.1300001</v>
      </c>
      <c r="BG70" s="188">
        <v>3817145295.6799998</v>
      </c>
      <c r="BH70" s="188">
        <v>3727794494.04</v>
      </c>
      <c r="BI70" s="188">
        <v>3470524090.9299998</v>
      </c>
      <c r="BJ70" s="188">
        <v>3231516625.3400002</v>
      </c>
      <c r="BK70" s="188">
        <v>3124773172.54</v>
      </c>
      <c r="BL70" s="188">
        <v>3100472676.3099999</v>
      </c>
      <c r="BM70" s="188">
        <v>2874733972.6900001</v>
      </c>
      <c r="BN70" s="188">
        <v>2857804350.4699998</v>
      </c>
      <c r="BO70" s="188">
        <v>2784052740.7800002</v>
      </c>
      <c r="BP70" s="188">
        <v>2751462376.5999999</v>
      </c>
      <c r="BQ70" s="188">
        <v>2537631703.8099999</v>
      </c>
      <c r="BR70" s="188">
        <v>561545403.24000001</v>
      </c>
      <c r="BS70" s="188">
        <v>443779623.04000002</v>
      </c>
      <c r="BT70" s="188">
        <v>285361855.23000002</v>
      </c>
      <c r="BU70" s="188">
        <v>234091527.97999999</v>
      </c>
      <c r="BV70" s="188">
        <v>0</v>
      </c>
      <c r="BW70" s="188">
        <v>2420499366.4499998</v>
      </c>
      <c r="BX70" s="188">
        <v>2089698452.7</v>
      </c>
      <c r="BY70" s="188">
        <v>1764990217.6700001</v>
      </c>
      <c r="BZ70" s="188">
        <v>1864618529.46</v>
      </c>
      <c r="CA70" s="188">
        <v>392384778.43000001</v>
      </c>
      <c r="CB70" s="188">
        <v>264958379.21000001</v>
      </c>
      <c r="CC70" s="188">
        <v>225967479.94999999</v>
      </c>
      <c r="CD70" s="188">
        <v>0</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31" zoomScale="95" zoomScaleNormal="95" workbookViewId="0">
      <selection activeCell="A31" sqref="A31:XFD33"/>
    </sheetView>
  </sheetViews>
  <sheetFormatPr defaultRowHeight="14.4" x14ac:dyDescent="0.25"/>
  <cols>
    <col min="1" max="1" width="77.5546875" style="17" bestFit="1" customWidth="1"/>
    <col min="2" max="2" width="22.5546875" hidden="1" customWidth="1"/>
    <col min="3" max="3" width="20.33203125" hidden="1" customWidth="1"/>
    <col min="4" max="4" width="21.5546875" hidden="1" customWidth="1"/>
    <col min="5" max="5" width="22.5546875" bestFit="1" customWidth="1"/>
    <col min="6" max="8" width="21.5546875" hidden="1" customWidth="1"/>
    <col min="9" max="9" width="22.5546875" bestFit="1" customWidth="1"/>
    <col min="10" max="12" width="21.5546875" hidden="1" customWidth="1"/>
    <col min="13" max="13" width="22.5546875" bestFit="1" customWidth="1"/>
    <col min="14" max="16" width="21.5546875" hidden="1" customWidth="1"/>
    <col min="17" max="17" width="22.5546875" bestFit="1" customWidth="1"/>
    <col min="18" max="20" width="21.5546875" hidden="1" customWidth="1"/>
    <col min="21" max="21" width="22.5546875" bestFit="1" customWidth="1"/>
    <col min="22" max="24" width="21.5546875" hidden="1" customWidth="1"/>
    <col min="25" max="25" width="22.5546875" bestFit="1" customWidth="1"/>
    <col min="26" max="28" width="21.5546875" hidden="1" customWidth="1"/>
    <col min="29" max="29" width="21.5546875" bestFit="1" customWidth="1"/>
    <col min="30" max="32" width="21.5546875" hidden="1" customWidth="1"/>
    <col min="33" max="33" width="21.5546875" bestFit="1" customWidth="1"/>
    <col min="34" max="35" width="21.5546875" hidden="1" customWidth="1"/>
    <col min="36" max="36" width="20.33203125" hidden="1" customWidth="1"/>
    <col min="37" max="37" width="21.5546875" bestFit="1" customWidth="1"/>
    <col min="38"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19.33203125" hidden="1" customWidth="1"/>
    <col min="73" max="73" width="20.33203125" bestFit="1" customWidth="1"/>
    <col min="74" max="74" width="12.21875" hidden="1" customWidth="1"/>
  </cols>
  <sheetData>
    <row r="1" spans="1:74" s="6" customFormat="1" x14ac:dyDescent="0.25">
      <c r="A1" s="104">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5" customFormat="1" x14ac:dyDescent="0.25">
      <c r="A2" s="46" t="s">
        <v>292</v>
      </c>
    </row>
    <row r="3" spans="1:74" s="191" customFormat="1" x14ac:dyDescent="0.25">
      <c r="A3" s="191" t="s">
        <v>320</v>
      </c>
      <c r="B3" s="191">
        <v>0</v>
      </c>
      <c r="C3" s="191">
        <v>0</v>
      </c>
      <c r="D3" s="191">
        <v>0</v>
      </c>
      <c r="E3" s="191">
        <v>16450</v>
      </c>
      <c r="F3" s="191">
        <v>16450</v>
      </c>
      <c r="G3" s="191">
        <v>0</v>
      </c>
      <c r="H3" s="191">
        <v>0</v>
      </c>
      <c r="I3" s="191">
        <v>92084.5</v>
      </c>
      <c r="J3" s="191">
        <v>75180</v>
      </c>
      <c r="K3" s="191">
        <v>73845</v>
      </c>
      <c r="L3" s="191">
        <v>117322</v>
      </c>
      <c r="M3" s="191">
        <v>8772937.3900000006</v>
      </c>
      <c r="N3" s="191">
        <v>1280</v>
      </c>
      <c r="O3" s="191">
        <v>0</v>
      </c>
      <c r="P3" s="191">
        <v>0</v>
      </c>
      <c r="Q3" s="191">
        <v>10226939.390000001</v>
      </c>
      <c r="R3" s="191">
        <v>1047680</v>
      </c>
      <c r="S3" s="191">
        <v>1047680</v>
      </c>
      <c r="T3" s="191">
        <v>173418</v>
      </c>
      <c r="U3" s="191">
        <v>0</v>
      </c>
      <c r="V3" s="191">
        <v>0</v>
      </c>
      <c r="W3" s="191">
        <v>0</v>
      </c>
      <c r="X3" s="191">
        <v>0</v>
      </c>
      <c r="Y3" s="191">
        <v>79000</v>
      </c>
      <c r="Z3" s="191">
        <v>0</v>
      </c>
      <c r="AA3" s="191">
        <v>0</v>
      </c>
      <c r="AB3" s="191">
        <v>0</v>
      </c>
      <c r="AC3" s="191">
        <v>41600</v>
      </c>
      <c r="AD3" s="191">
        <v>40000</v>
      </c>
      <c r="AE3" s="191">
        <v>40000</v>
      </c>
      <c r="AF3" s="191">
        <v>40000</v>
      </c>
      <c r="AG3" s="191">
        <v>0</v>
      </c>
      <c r="AH3" s="191">
        <v>0</v>
      </c>
      <c r="AI3" s="191">
        <v>0</v>
      </c>
      <c r="AJ3" s="191">
        <v>2500</v>
      </c>
      <c r="AK3" s="191">
        <v>0</v>
      </c>
      <c r="AL3" s="191">
        <v>0</v>
      </c>
      <c r="AM3" s="191">
        <v>0</v>
      </c>
      <c r="AN3" s="191">
        <v>0</v>
      </c>
      <c r="AO3" s="191">
        <v>50000</v>
      </c>
      <c r="AP3" s="191">
        <v>50000</v>
      </c>
      <c r="AQ3" s="191">
        <v>0</v>
      </c>
      <c r="AR3" s="191">
        <v>0</v>
      </c>
      <c r="AS3" s="191">
        <v>0</v>
      </c>
      <c r="AT3" s="191">
        <v>0</v>
      </c>
      <c r="AU3" s="191">
        <v>0</v>
      </c>
      <c r="AV3" s="191">
        <v>0</v>
      </c>
      <c r="AW3" s="191">
        <v>5950</v>
      </c>
      <c r="AX3" s="191">
        <v>0</v>
      </c>
      <c r="AY3" s="191">
        <v>0</v>
      </c>
      <c r="AZ3" s="191">
        <v>0</v>
      </c>
      <c r="BA3" s="191">
        <v>0</v>
      </c>
      <c r="BB3" s="191">
        <v>0</v>
      </c>
      <c r="BC3" s="191">
        <v>0</v>
      </c>
      <c r="BD3" s="191">
        <v>0</v>
      </c>
      <c r="BE3" s="191">
        <v>0</v>
      </c>
      <c r="BF3" s="191">
        <v>0</v>
      </c>
      <c r="BG3" s="191">
        <v>0</v>
      </c>
      <c r="BH3" s="191">
        <v>0</v>
      </c>
      <c r="BI3" s="191">
        <v>0</v>
      </c>
      <c r="BJ3" s="191">
        <v>0</v>
      </c>
      <c r="BK3" s="191">
        <v>0</v>
      </c>
      <c r="BL3" s="191">
        <v>0</v>
      </c>
      <c r="BM3" s="191">
        <v>0</v>
      </c>
      <c r="BN3" s="191">
        <v>0</v>
      </c>
      <c r="BO3" s="191">
        <v>0</v>
      </c>
      <c r="BP3" s="191">
        <v>0</v>
      </c>
      <c r="BQ3" s="191">
        <v>0</v>
      </c>
      <c r="BR3" s="191">
        <v>0</v>
      </c>
      <c r="BS3" s="191">
        <v>52101.23</v>
      </c>
      <c r="BT3" s="191">
        <v>1680</v>
      </c>
      <c r="BU3" s="191">
        <v>25980.76</v>
      </c>
      <c r="BV3" s="191">
        <v>0</v>
      </c>
    </row>
    <row r="4" spans="1:74" s="191" customFormat="1" x14ac:dyDescent="0.25">
      <c r="A4" s="191" t="s">
        <v>304</v>
      </c>
      <c r="B4" s="191">
        <v>1016477926.63</v>
      </c>
      <c r="C4" s="191">
        <v>716639810.98000002</v>
      </c>
      <c r="D4" s="191">
        <v>574638851.37</v>
      </c>
      <c r="E4" s="191">
        <v>1125017192.45</v>
      </c>
      <c r="F4" s="191">
        <v>756994453.84000003</v>
      </c>
      <c r="G4" s="191">
        <v>480999293.66000003</v>
      </c>
      <c r="H4" s="191">
        <v>307369260.11000001</v>
      </c>
      <c r="I4" s="191">
        <v>1019178136.92</v>
      </c>
      <c r="J4" s="191">
        <v>775269285.34000003</v>
      </c>
      <c r="K4" s="191">
        <v>496606045.55000001</v>
      </c>
      <c r="L4" s="191">
        <v>367086565.32999998</v>
      </c>
      <c r="M4" s="191">
        <v>2061470481.3199999</v>
      </c>
      <c r="N4" s="191">
        <v>1810810170.6099999</v>
      </c>
      <c r="O4" s="191">
        <v>1275907396.6199999</v>
      </c>
      <c r="P4" s="191">
        <v>865730347.38</v>
      </c>
      <c r="Q4" s="191">
        <v>4431065066.0500002</v>
      </c>
      <c r="R4" s="191">
        <v>3698405813.6799998</v>
      </c>
      <c r="S4" s="191">
        <v>2846115154.8499999</v>
      </c>
      <c r="T4" s="191">
        <v>2024967912.28</v>
      </c>
      <c r="U4" s="191">
        <v>5405740026.2299995</v>
      </c>
      <c r="V4" s="191">
        <v>3944662952.02</v>
      </c>
      <c r="W4" s="191">
        <v>2527195939.4299998</v>
      </c>
      <c r="X4" s="191">
        <v>1124939088.24</v>
      </c>
      <c r="Y4" s="191">
        <v>4211900807.9099998</v>
      </c>
      <c r="Z4" s="191">
        <v>3041808991.9499998</v>
      </c>
      <c r="AA4" s="191">
        <v>1701317277.73</v>
      </c>
      <c r="AB4" s="191">
        <v>678815042.40999997</v>
      </c>
      <c r="AC4" s="191">
        <v>2184528163.1100001</v>
      </c>
      <c r="AD4" s="191">
        <v>1234305197.8399999</v>
      </c>
      <c r="AE4" s="191">
        <v>747055064.26999998</v>
      </c>
      <c r="AF4" s="191">
        <v>300691471.88</v>
      </c>
      <c r="AG4" s="191">
        <v>1731913788.52</v>
      </c>
      <c r="AH4" s="191">
        <v>1394221713.73</v>
      </c>
      <c r="AI4" s="191">
        <v>1079662311.3</v>
      </c>
      <c r="AJ4" s="191">
        <v>469039504.07999998</v>
      </c>
      <c r="AK4" s="191">
        <v>1356601530.0899999</v>
      </c>
      <c r="AL4" s="191">
        <v>1058500946.42</v>
      </c>
      <c r="AM4" s="191">
        <v>689017762.13</v>
      </c>
      <c r="AN4" s="191">
        <v>288879016.69</v>
      </c>
      <c r="AO4" s="191">
        <v>1010735786.04</v>
      </c>
      <c r="AP4" s="191">
        <v>643869405.12</v>
      </c>
      <c r="AQ4" s="191">
        <v>409784280.75</v>
      </c>
      <c r="AR4" s="191">
        <v>174666400.53</v>
      </c>
      <c r="AS4" s="191">
        <v>772456652.49000001</v>
      </c>
      <c r="AT4" s="191">
        <v>545583793.12</v>
      </c>
      <c r="AU4" s="191">
        <v>332503082.61000001</v>
      </c>
      <c r="AV4" s="191">
        <v>182658817.77000001</v>
      </c>
      <c r="AW4" s="191">
        <v>737075587.27999997</v>
      </c>
      <c r="AX4" s="191">
        <v>544313686.75999999</v>
      </c>
      <c r="AY4" s="191">
        <v>311944622.32999998</v>
      </c>
      <c r="AZ4" s="191">
        <v>104814535.87</v>
      </c>
      <c r="BA4" s="191">
        <v>540843725.72000003</v>
      </c>
      <c r="BB4" s="191">
        <v>388631291.38999999</v>
      </c>
      <c r="BC4" s="191">
        <v>242680051.99000001</v>
      </c>
      <c r="BD4" s="191">
        <v>101989194.91</v>
      </c>
      <c r="BE4" s="191">
        <v>355190020.75</v>
      </c>
      <c r="BF4" s="191">
        <v>228190946.83000001</v>
      </c>
      <c r="BG4" s="191">
        <v>138326737.52000001</v>
      </c>
      <c r="BH4" s="191">
        <v>73503913.549999997</v>
      </c>
      <c r="BI4" s="191">
        <v>334880557.62</v>
      </c>
      <c r="BJ4" s="191">
        <v>299863886.41000003</v>
      </c>
      <c r="BK4" s="191">
        <v>201234233.88</v>
      </c>
      <c r="BL4" s="191">
        <v>106650497.18000001</v>
      </c>
      <c r="BM4" s="191">
        <v>467451921.25</v>
      </c>
      <c r="BN4" s="191">
        <v>260755471.34</v>
      </c>
      <c r="BO4" s="191">
        <v>331691548.18000001</v>
      </c>
      <c r="BP4" s="191">
        <v>0</v>
      </c>
      <c r="BQ4" s="191">
        <v>33823984.460000001</v>
      </c>
      <c r="BR4" s="191">
        <v>0</v>
      </c>
      <c r="BS4" s="191">
        <v>94153230.329999998</v>
      </c>
      <c r="BT4" s="191">
        <v>6757461.4400000004</v>
      </c>
      <c r="BU4" s="191">
        <v>585117171</v>
      </c>
      <c r="BV4" s="191">
        <v>0</v>
      </c>
    </row>
    <row r="5" spans="1:74" s="47" customFormat="1" x14ac:dyDescent="0.25">
      <c r="A5" s="47" t="s">
        <v>295</v>
      </c>
      <c r="E5" s="47">
        <f>E4-E3</f>
        <v>1125000742.45</v>
      </c>
      <c r="F5" s="47">
        <f t="shared" ref="F5:AR5" si="0">F4-F3</f>
        <v>756978003.84000003</v>
      </c>
      <c r="G5" s="47">
        <f t="shared" si="0"/>
        <v>480999293.66000003</v>
      </c>
      <c r="H5" s="47">
        <f t="shared" si="0"/>
        <v>307369260.11000001</v>
      </c>
      <c r="I5" s="47">
        <f t="shared" si="0"/>
        <v>1019086052.42</v>
      </c>
      <c r="J5" s="47">
        <f t="shared" si="0"/>
        <v>775194105.34000003</v>
      </c>
      <c r="K5" s="47">
        <f t="shared" si="0"/>
        <v>496532200.55000001</v>
      </c>
      <c r="L5" s="47">
        <f t="shared" si="0"/>
        <v>366969243.32999998</v>
      </c>
      <c r="M5" s="47">
        <f t="shared" si="0"/>
        <v>2052697543.9299998</v>
      </c>
      <c r="N5" s="47">
        <f t="shared" si="0"/>
        <v>1810808890.6099999</v>
      </c>
      <c r="O5" s="47">
        <f t="shared" si="0"/>
        <v>1275907396.6199999</v>
      </c>
      <c r="P5" s="47">
        <f t="shared" si="0"/>
        <v>865730347.38</v>
      </c>
      <c r="Q5" s="47">
        <f t="shared" si="0"/>
        <v>4420838126.6599998</v>
      </c>
      <c r="R5" s="47">
        <f t="shared" si="0"/>
        <v>3697358133.6799998</v>
      </c>
      <c r="S5" s="47">
        <f t="shared" si="0"/>
        <v>2845067474.8499999</v>
      </c>
      <c r="T5" s="47">
        <f t="shared" si="0"/>
        <v>2024794494.28</v>
      </c>
      <c r="U5" s="47">
        <f t="shared" si="0"/>
        <v>5405740026.2299995</v>
      </c>
      <c r="V5" s="47">
        <f t="shared" si="0"/>
        <v>3944662952.02</v>
      </c>
      <c r="W5" s="47">
        <f t="shared" si="0"/>
        <v>2527195939.4299998</v>
      </c>
      <c r="X5" s="47">
        <f t="shared" si="0"/>
        <v>1124939088.24</v>
      </c>
      <c r="Y5" s="47">
        <f t="shared" si="0"/>
        <v>4211821807.9099998</v>
      </c>
      <c r="Z5" s="47">
        <f t="shared" si="0"/>
        <v>3041808991.9499998</v>
      </c>
      <c r="AA5" s="47">
        <f t="shared" si="0"/>
        <v>1701317277.73</v>
      </c>
      <c r="AB5" s="47">
        <f t="shared" si="0"/>
        <v>678815042.40999997</v>
      </c>
      <c r="AC5" s="47">
        <f t="shared" si="0"/>
        <v>2184486563.1100001</v>
      </c>
      <c r="AD5" s="47">
        <f t="shared" si="0"/>
        <v>1234265197.8399999</v>
      </c>
      <c r="AE5" s="47">
        <f t="shared" si="0"/>
        <v>747015064.26999998</v>
      </c>
      <c r="AF5" s="47">
        <f t="shared" si="0"/>
        <v>300651471.88</v>
      </c>
      <c r="AG5" s="47">
        <f t="shared" si="0"/>
        <v>1731913788.52</v>
      </c>
      <c r="AH5" s="47">
        <f t="shared" si="0"/>
        <v>1394221713.73</v>
      </c>
      <c r="AI5" s="47">
        <f t="shared" si="0"/>
        <v>1079662311.3</v>
      </c>
      <c r="AJ5" s="47">
        <f t="shared" si="0"/>
        <v>469037004.07999998</v>
      </c>
      <c r="AK5" s="47">
        <f t="shared" si="0"/>
        <v>1356601530.0899999</v>
      </c>
      <c r="AL5" s="47">
        <f t="shared" si="0"/>
        <v>1058500946.42</v>
      </c>
      <c r="AM5" s="47">
        <f t="shared" si="0"/>
        <v>689017762.13</v>
      </c>
      <c r="AN5" s="47">
        <f t="shared" si="0"/>
        <v>288879016.69</v>
      </c>
      <c r="AO5" s="47">
        <f t="shared" si="0"/>
        <v>1010685786.04</v>
      </c>
      <c r="AP5" s="47">
        <f t="shared" si="0"/>
        <v>643819405.12</v>
      </c>
      <c r="AQ5" s="47">
        <f t="shared" si="0"/>
        <v>409784280.75</v>
      </c>
      <c r="AR5" s="47">
        <f t="shared" si="0"/>
        <v>174666400.53</v>
      </c>
    </row>
    <row r="6" spans="1:74" s="105" customFormat="1" x14ac:dyDescent="0.25">
      <c r="A6" s="105" t="s">
        <v>305</v>
      </c>
      <c r="B6" s="191">
        <v>0</v>
      </c>
      <c r="C6" s="191">
        <v>544243284.45000005</v>
      </c>
      <c r="D6" s="191">
        <v>0</v>
      </c>
      <c r="E6" s="191">
        <v>1035052733.45</v>
      </c>
      <c r="F6" s="191">
        <v>0</v>
      </c>
      <c r="G6" s="191">
        <v>516162327.69999999</v>
      </c>
      <c r="H6" s="191">
        <v>0</v>
      </c>
      <c r="I6" s="191">
        <v>842728072.03999996</v>
      </c>
      <c r="J6" s="191">
        <v>0</v>
      </c>
      <c r="K6" s="191">
        <v>417647140.01999998</v>
      </c>
      <c r="L6" s="191">
        <v>0</v>
      </c>
      <c r="M6" s="191">
        <v>761458678.28999996</v>
      </c>
      <c r="N6" s="191">
        <v>0</v>
      </c>
      <c r="O6" s="191">
        <v>373349019.23000002</v>
      </c>
      <c r="P6" s="191">
        <v>0</v>
      </c>
      <c r="Q6" s="191">
        <v>675349786.98000002</v>
      </c>
      <c r="R6" s="191">
        <v>0</v>
      </c>
      <c r="S6" s="191">
        <v>321291816.05000001</v>
      </c>
      <c r="T6" s="191">
        <v>0</v>
      </c>
      <c r="U6" s="191">
        <v>520481867.72000003</v>
      </c>
      <c r="V6" s="191">
        <v>0</v>
      </c>
      <c r="W6" s="191">
        <v>254184419.62</v>
      </c>
      <c r="X6" s="191">
        <v>0</v>
      </c>
      <c r="Y6" s="191">
        <v>414952194.94</v>
      </c>
      <c r="Z6" s="191">
        <v>0</v>
      </c>
      <c r="AA6" s="191">
        <v>200507000.40000001</v>
      </c>
      <c r="AB6" s="191">
        <v>0</v>
      </c>
      <c r="AC6" s="191">
        <v>331356736.88</v>
      </c>
      <c r="AD6" s="191">
        <v>0</v>
      </c>
      <c r="AE6" s="191">
        <v>158950782.41999999</v>
      </c>
      <c r="AF6" s="191">
        <v>0</v>
      </c>
      <c r="AG6" s="191">
        <v>267815117.52000001</v>
      </c>
      <c r="AH6" s="191">
        <v>0</v>
      </c>
      <c r="AI6" s="191">
        <v>122119373.3</v>
      </c>
      <c r="AJ6" s="191">
        <v>0</v>
      </c>
      <c r="AK6" s="191">
        <v>187387081.41</v>
      </c>
      <c r="AL6" s="191">
        <v>0</v>
      </c>
      <c r="AM6" s="191">
        <v>89093818.810000002</v>
      </c>
      <c r="AN6" s="191">
        <v>0</v>
      </c>
      <c r="AO6" s="191">
        <v>147042974.22999999</v>
      </c>
      <c r="AP6" s="191">
        <v>0</v>
      </c>
      <c r="AQ6" s="191">
        <v>70037352.950000003</v>
      </c>
      <c r="AR6" s="191">
        <v>0</v>
      </c>
      <c r="AS6" s="191">
        <v>103823977.31999999</v>
      </c>
      <c r="AT6" s="191">
        <v>0</v>
      </c>
      <c r="AU6" s="191">
        <v>49772665.390000001</v>
      </c>
      <c r="AV6" s="191">
        <v>0</v>
      </c>
      <c r="AW6" s="191">
        <v>84717392.170000002</v>
      </c>
      <c r="AX6" s="191">
        <v>62546557.289999999</v>
      </c>
      <c r="AY6" s="191">
        <v>40854031.590000004</v>
      </c>
      <c r="AZ6" s="191">
        <v>20555222.16</v>
      </c>
      <c r="BA6" s="191">
        <v>64659106.390000001</v>
      </c>
      <c r="BB6" s="191">
        <v>14382986.699999999</v>
      </c>
      <c r="BC6" s="191">
        <v>31667890.949999999</v>
      </c>
      <c r="BD6" s="191">
        <v>15524717.93</v>
      </c>
      <c r="BE6" s="191">
        <v>55088524.049999997</v>
      </c>
      <c r="BF6" s="191">
        <v>40655791.490000002</v>
      </c>
      <c r="BG6" s="191">
        <v>26579528.530000001</v>
      </c>
      <c r="BH6" s="191">
        <v>12725361.800000001</v>
      </c>
      <c r="BI6" s="191">
        <v>58391200.810000002</v>
      </c>
      <c r="BJ6" s="191">
        <v>47752591.530000001</v>
      </c>
      <c r="BK6" s="191">
        <v>35569491.770000003</v>
      </c>
      <c r="BL6" s="191">
        <v>23864812.800000001</v>
      </c>
      <c r="BM6" s="191">
        <v>20409817.800000001</v>
      </c>
      <c r="BN6" s="191">
        <v>9446489.4299999997</v>
      </c>
      <c r="BO6" s="191">
        <v>11587498.189999999</v>
      </c>
      <c r="BP6" s="191">
        <v>0</v>
      </c>
      <c r="BQ6" s="191">
        <v>10108725</v>
      </c>
      <c r="BR6" s="191">
        <v>0</v>
      </c>
      <c r="BS6" s="191">
        <v>56928281.189999998</v>
      </c>
      <c r="BT6" s="191">
        <v>29633190.559999999</v>
      </c>
      <c r="BU6" s="191">
        <v>42460875.850000001</v>
      </c>
      <c r="BV6" s="191">
        <v>0</v>
      </c>
    </row>
    <row r="7" spans="1:74" s="191" customFormat="1" x14ac:dyDescent="0.25">
      <c r="A7" s="191" t="s">
        <v>306</v>
      </c>
      <c r="B7" s="191">
        <v>0</v>
      </c>
      <c r="C7" s="191">
        <v>39850046.619999997</v>
      </c>
      <c r="D7" s="191">
        <v>0</v>
      </c>
      <c r="E7" s="191">
        <v>80522705.769999996</v>
      </c>
      <c r="F7" s="191">
        <v>0</v>
      </c>
      <c r="G7" s="191">
        <v>40237130.289999999</v>
      </c>
      <c r="H7" s="191">
        <v>0</v>
      </c>
      <c r="I7" s="191">
        <v>80457895.989999995</v>
      </c>
      <c r="J7" s="191">
        <v>0</v>
      </c>
      <c r="K7" s="191">
        <v>40081010.549999997</v>
      </c>
      <c r="L7" s="191">
        <v>0</v>
      </c>
      <c r="M7" s="191">
        <v>79883270.420000002</v>
      </c>
      <c r="N7" s="191">
        <v>0</v>
      </c>
      <c r="O7" s="191">
        <v>39738464.259999998</v>
      </c>
      <c r="P7" s="191">
        <v>0</v>
      </c>
      <c r="Q7" s="191">
        <v>77607523.200000003</v>
      </c>
      <c r="R7" s="191">
        <v>0</v>
      </c>
      <c r="S7" s="191">
        <v>38383088.600000001</v>
      </c>
      <c r="T7" s="191">
        <v>0</v>
      </c>
      <c r="U7" s="191">
        <v>31617810.780000001</v>
      </c>
      <c r="V7" s="191">
        <v>0</v>
      </c>
      <c r="W7" s="191">
        <v>11204325.32</v>
      </c>
      <c r="X7" s="191">
        <v>0</v>
      </c>
      <c r="Y7" s="191">
        <v>15994854.35</v>
      </c>
      <c r="Z7" s="191">
        <v>0</v>
      </c>
      <c r="AA7" s="191">
        <v>6655978.8700000001</v>
      </c>
      <c r="AB7" s="191">
        <v>0</v>
      </c>
      <c r="AC7" s="191">
        <v>11855582.220000001</v>
      </c>
      <c r="AD7" s="191">
        <v>0</v>
      </c>
      <c r="AE7" s="191">
        <v>5646985.7000000002</v>
      </c>
      <c r="AF7" s="191">
        <v>0</v>
      </c>
      <c r="AG7" s="191">
        <v>14719853.449999999</v>
      </c>
      <c r="AH7" s="191">
        <v>0</v>
      </c>
      <c r="AI7" s="191">
        <v>5961975.2400000002</v>
      </c>
      <c r="AJ7" s="191">
        <v>0</v>
      </c>
      <c r="AK7" s="191">
        <v>11552408.130000001</v>
      </c>
      <c r="AL7" s="191">
        <v>0</v>
      </c>
      <c r="AM7" s="191">
        <v>5728173.5</v>
      </c>
      <c r="AN7" s="191">
        <v>0</v>
      </c>
      <c r="AO7" s="191">
        <v>6995493.6799999997</v>
      </c>
      <c r="AP7" s="191">
        <v>0</v>
      </c>
      <c r="AQ7" s="191">
        <v>3361247.64</v>
      </c>
      <c r="AR7" s="191">
        <v>0</v>
      </c>
      <c r="AS7" s="191">
        <v>8419605.2599999998</v>
      </c>
      <c r="AT7" s="191">
        <v>0</v>
      </c>
      <c r="AU7" s="191">
        <v>3214603.12</v>
      </c>
      <c r="AV7" s="191">
        <v>0</v>
      </c>
      <c r="AW7" s="191">
        <v>3228097.47</v>
      </c>
      <c r="AX7" s="191">
        <v>507627.19</v>
      </c>
      <c r="AY7" s="191">
        <v>303570.90999999997</v>
      </c>
      <c r="AZ7" s="191">
        <v>141331.29</v>
      </c>
      <c r="BA7" s="191">
        <v>1721214.26</v>
      </c>
      <c r="BB7" s="191">
        <v>84999.84</v>
      </c>
      <c r="BC7" s="191">
        <v>84999.84</v>
      </c>
      <c r="BD7" s="191">
        <v>42500.01</v>
      </c>
      <c r="BE7" s="191">
        <v>171205.04</v>
      </c>
      <c r="BF7" s="191">
        <v>127500.03</v>
      </c>
      <c r="BG7" s="191">
        <v>85000.02</v>
      </c>
      <c r="BH7" s="191">
        <v>42500.01</v>
      </c>
      <c r="BI7" s="191">
        <v>170000.04</v>
      </c>
      <c r="BJ7" s="191">
        <v>127500.03</v>
      </c>
      <c r="BK7" s="191">
        <v>85000.02</v>
      </c>
      <c r="BL7" s="191">
        <v>42500.01</v>
      </c>
      <c r="BM7" s="191">
        <v>170000.04</v>
      </c>
      <c r="BN7" s="191">
        <v>85000.02</v>
      </c>
      <c r="BO7" s="191">
        <v>676000.04</v>
      </c>
      <c r="BP7" s="191">
        <v>0</v>
      </c>
      <c r="BQ7" s="191">
        <v>3477429</v>
      </c>
      <c r="BR7" s="191">
        <v>0</v>
      </c>
      <c r="BS7" s="191">
        <v>16746446.949999999</v>
      </c>
      <c r="BT7" s="191">
        <v>1394056.95</v>
      </c>
      <c r="BU7" s="191">
        <v>2442875.52</v>
      </c>
      <c r="BV7" s="191">
        <v>0</v>
      </c>
    </row>
    <row r="8" spans="1:74" s="191" customFormat="1" x14ac:dyDescent="0.25">
      <c r="A8" s="191" t="s">
        <v>307</v>
      </c>
      <c r="B8" s="191">
        <v>0</v>
      </c>
      <c r="C8" s="191">
        <v>5061092.9400000004</v>
      </c>
      <c r="D8" s="191">
        <v>0</v>
      </c>
      <c r="E8" s="191">
        <v>10259101.970000001</v>
      </c>
      <c r="F8" s="191">
        <v>0</v>
      </c>
      <c r="G8" s="191">
        <v>5140436.7300000004</v>
      </c>
      <c r="H8" s="191">
        <v>0</v>
      </c>
      <c r="I8" s="191">
        <v>11008704.17</v>
      </c>
      <c r="J8" s="191">
        <v>0</v>
      </c>
      <c r="K8" s="191">
        <v>5681522.1299999999</v>
      </c>
      <c r="L8" s="191">
        <v>0</v>
      </c>
      <c r="M8" s="191">
        <v>6804749.0199999996</v>
      </c>
      <c r="N8" s="191">
        <v>0</v>
      </c>
      <c r="O8" s="191">
        <v>2445058.8199999998</v>
      </c>
      <c r="P8" s="191">
        <v>0</v>
      </c>
      <c r="Q8" s="191">
        <v>3842650.48</v>
      </c>
      <c r="R8" s="191">
        <v>0</v>
      </c>
      <c r="S8" s="191">
        <v>1851383.57</v>
      </c>
      <c r="T8" s="191">
        <v>0</v>
      </c>
      <c r="U8" s="191">
        <v>4197830.59</v>
      </c>
      <c r="V8" s="191">
        <v>0</v>
      </c>
      <c r="W8" s="191">
        <v>1942477.92</v>
      </c>
      <c r="X8" s="191">
        <v>0</v>
      </c>
      <c r="Y8" s="191">
        <v>3854764.8</v>
      </c>
      <c r="Z8" s="191">
        <v>0</v>
      </c>
      <c r="AA8" s="191">
        <v>1919834.64</v>
      </c>
      <c r="AB8" s="191">
        <v>0</v>
      </c>
      <c r="AC8" s="191">
        <v>4896216.72</v>
      </c>
      <c r="AD8" s="191">
        <v>0</v>
      </c>
      <c r="AE8" s="191">
        <v>863163.66</v>
      </c>
      <c r="AF8" s="191">
        <v>0</v>
      </c>
      <c r="AG8" s="191">
        <v>3034894.25</v>
      </c>
      <c r="AH8" s="191">
        <v>0</v>
      </c>
      <c r="AI8" s="191">
        <v>2588560.7999999998</v>
      </c>
      <c r="AJ8" s="191">
        <v>0</v>
      </c>
      <c r="AK8" s="191">
        <v>8627818.8800000008</v>
      </c>
      <c r="AL8" s="191">
        <v>0</v>
      </c>
      <c r="AM8" s="191">
        <v>4684138.12</v>
      </c>
      <c r="AN8" s="191">
        <v>0</v>
      </c>
      <c r="AO8" s="191">
        <v>10613073.470000001</v>
      </c>
      <c r="AP8" s="191">
        <v>0</v>
      </c>
      <c r="AQ8" s="191">
        <v>6441361.3099999996</v>
      </c>
      <c r="AR8" s="191">
        <v>0</v>
      </c>
      <c r="AS8" s="191">
        <v>65846168.600000001</v>
      </c>
      <c r="AT8" s="191">
        <v>0</v>
      </c>
      <c r="AU8" s="191">
        <v>4580442.62</v>
      </c>
      <c r="AV8" s="191">
        <v>0</v>
      </c>
      <c r="AW8" s="191">
        <v>8744492.6899999995</v>
      </c>
      <c r="AX8" s="191">
        <v>6440605.7699999996</v>
      </c>
      <c r="AY8" s="191">
        <v>4187782.96</v>
      </c>
      <c r="AZ8" s="191">
        <v>2098114.34</v>
      </c>
      <c r="BA8" s="191">
        <v>12051388.76</v>
      </c>
      <c r="BB8" s="191">
        <v>2203602.2400000002</v>
      </c>
      <c r="BC8" s="191">
        <v>4623317.43</v>
      </c>
      <c r="BD8" s="191">
        <v>967986.57</v>
      </c>
      <c r="BE8" s="191">
        <v>11374067.689999999</v>
      </c>
      <c r="BF8" s="191">
        <v>2772944.12</v>
      </c>
      <c r="BG8" s="191">
        <v>2416531.69</v>
      </c>
      <c r="BH8" s="191">
        <v>1638077.4399999999</v>
      </c>
      <c r="BI8" s="191">
        <v>5297418.04</v>
      </c>
      <c r="BJ8" s="191">
        <v>2483546</v>
      </c>
      <c r="BK8" s="191">
        <v>1638442.04</v>
      </c>
      <c r="BL8" s="191">
        <v>642970.9</v>
      </c>
      <c r="BM8" s="191">
        <v>-5629054.3700000001</v>
      </c>
      <c r="BN8" s="191">
        <v>1086189.98</v>
      </c>
      <c r="BO8" s="191">
        <v>2083990</v>
      </c>
      <c r="BP8" s="191">
        <v>0</v>
      </c>
      <c r="BQ8" s="191">
        <v>0</v>
      </c>
      <c r="BR8" s="191">
        <v>0</v>
      </c>
      <c r="BS8" s="191">
        <v>0</v>
      </c>
      <c r="BT8" s="191">
        <v>0</v>
      </c>
      <c r="BU8" s="191">
        <v>0</v>
      </c>
      <c r="BV8" s="191">
        <v>0</v>
      </c>
    </row>
    <row r="9" spans="1:74" s="191" customFormat="1" x14ac:dyDescent="0.25">
      <c r="A9" s="191" t="s">
        <v>308</v>
      </c>
      <c r="B9" s="191">
        <v>0</v>
      </c>
      <c r="C9" s="191">
        <v>0</v>
      </c>
      <c r="D9" s="191">
        <v>0</v>
      </c>
      <c r="E9" s="191">
        <v>0</v>
      </c>
      <c r="F9" s="191">
        <v>0</v>
      </c>
      <c r="G9" s="191">
        <v>0</v>
      </c>
      <c r="H9" s="191">
        <v>0</v>
      </c>
      <c r="I9" s="191">
        <v>0</v>
      </c>
      <c r="J9" s="191">
        <v>0</v>
      </c>
      <c r="K9" s="191">
        <v>0</v>
      </c>
      <c r="L9" s="191">
        <v>0</v>
      </c>
      <c r="M9" s="191">
        <v>0</v>
      </c>
      <c r="N9" s="191">
        <v>0</v>
      </c>
      <c r="O9" s="191">
        <v>0</v>
      </c>
      <c r="P9" s="191">
        <v>0</v>
      </c>
      <c r="Q9" s="191">
        <v>0</v>
      </c>
      <c r="R9" s="191">
        <v>0</v>
      </c>
      <c r="S9" s="191">
        <v>0</v>
      </c>
      <c r="T9" s="191">
        <v>0</v>
      </c>
      <c r="U9" s="191">
        <v>0</v>
      </c>
      <c r="V9" s="191">
        <v>0</v>
      </c>
      <c r="W9" s="191">
        <v>0</v>
      </c>
      <c r="X9" s="191">
        <v>0</v>
      </c>
      <c r="Y9" s="191">
        <v>0</v>
      </c>
      <c r="Z9" s="191">
        <v>0</v>
      </c>
      <c r="AA9" s="191">
        <v>0</v>
      </c>
      <c r="AB9" s="191">
        <v>0</v>
      </c>
      <c r="AC9" s="191">
        <v>0</v>
      </c>
      <c r="AD9" s="191">
        <v>0</v>
      </c>
      <c r="AE9" s="191">
        <v>0</v>
      </c>
      <c r="AF9" s="191">
        <v>0</v>
      </c>
      <c r="AG9" s="191">
        <v>0</v>
      </c>
      <c r="AH9" s="191">
        <v>0</v>
      </c>
      <c r="AI9" s="191">
        <v>0</v>
      </c>
      <c r="AJ9" s="191">
        <v>0</v>
      </c>
      <c r="AK9" s="191">
        <v>0</v>
      </c>
      <c r="AL9" s="191">
        <v>0</v>
      </c>
      <c r="AM9" s="191">
        <v>0</v>
      </c>
      <c r="AN9" s="191">
        <v>0</v>
      </c>
      <c r="AO9" s="191">
        <v>0</v>
      </c>
      <c r="AP9" s="191">
        <v>0</v>
      </c>
      <c r="AQ9" s="191">
        <v>0</v>
      </c>
      <c r="AR9" s="191">
        <v>0</v>
      </c>
      <c r="AS9" s="191">
        <v>900998.31</v>
      </c>
      <c r="AT9" s="191">
        <v>0</v>
      </c>
      <c r="AU9" s="191">
        <v>-98880</v>
      </c>
      <c r="AV9" s="191">
        <v>0</v>
      </c>
      <c r="AW9" s="191">
        <v>0</v>
      </c>
      <c r="AX9" s="191">
        <v>0</v>
      </c>
      <c r="AY9" s="191">
        <v>0</v>
      </c>
      <c r="AZ9" s="191">
        <v>0</v>
      </c>
      <c r="BA9" s="191">
        <v>0</v>
      </c>
      <c r="BB9" s="191">
        <v>0</v>
      </c>
      <c r="BC9" s="191">
        <v>0</v>
      </c>
      <c r="BD9" s="191">
        <v>0</v>
      </c>
      <c r="BE9" s="191">
        <v>0</v>
      </c>
      <c r="BF9" s="191">
        <v>0</v>
      </c>
      <c r="BG9" s="191">
        <v>0</v>
      </c>
      <c r="BH9" s="191">
        <v>0</v>
      </c>
      <c r="BI9" s="191">
        <v>0</v>
      </c>
      <c r="BJ9" s="191">
        <v>0</v>
      </c>
      <c r="BK9" s="191">
        <v>0</v>
      </c>
      <c r="BL9" s="191">
        <v>0</v>
      </c>
      <c r="BM9" s="191">
        <v>0</v>
      </c>
      <c r="BN9" s="191">
        <v>0</v>
      </c>
      <c r="BO9" s="191">
        <v>0</v>
      </c>
      <c r="BP9" s="191">
        <v>0</v>
      </c>
      <c r="BQ9" s="191">
        <v>0</v>
      </c>
      <c r="BR9" s="191">
        <v>0</v>
      </c>
      <c r="BS9" s="191">
        <v>169771.53</v>
      </c>
      <c r="BT9" s="191">
        <v>-1680</v>
      </c>
      <c r="BU9" s="191">
        <v>0</v>
      </c>
      <c r="BV9" s="191">
        <v>0</v>
      </c>
    </row>
    <row r="10" spans="1:74" s="191" customFormat="1" x14ac:dyDescent="0.25">
      <c r="A10" s="191" t="s">
        <v>309</v>
      </c>
      <c r="B10" s="191">
        <v>0</v>
      </c>
      <c r="C10" s="191">
        <v>242363</v>
      </c>
      <c r="D10" s="191">
        <v>0</v>
      </c>
      <c r="E10" s="191">
        <v>3291895.5</v>
      </c>
      <c r="F10" s="191">
        <v>0</v>
      </c>
      <c r="G10" s="191">
        <v>115399.49</v>
      </c>
      <c r="H10" s="191">
        <v>0</v>
      </c>
      <c r="I10" s="191">
        <v>1869869.13</v>
      </c>
      <c r="J10" s="191">
        <v>0</v>
      </c>
      <c r="K10" s="191">
        <v>-43123.46</v>
      </c>
      <c r="L10" s="191">
        <v>0</v>
      </c>
      <c r="M10" s="191">
        <v>-17419.86</v>
      </c>
      <c r="N10" s="191">
        <v>0</v>
      </c>
      <c r="O10" s="191">
        <v>38556.61</v>
      </c>
      <c r="P10" s="191">
        <v>0</v>
      </c>
      <c r="Q10" s="191">
        <v>85119583.319999993</v>
      </c>
      <c r="R10" s="191">
        <v>0</v>
      </c>
      <c r="S10" s="191">
        <v>5620616.7999999998</v>
      </c>
      <c r="T10" s="191">
        <v>0</v>
      </c>
      <c r="U10" s="191">
        <v>8997287.1699999999</v>
      </c>
      <c r="V10" s="191">
        <v>0</v>
      </c>
      <c r="W10" s="191">
        <v>175182.81</v>
      </c>
      <c r="X10" s="191">
        <v>0</v>
      </c>
      <c r="Y10" s="191">
        <v>155718.82</v>
      </c>
      <c r="Z10" s="191">
        <v>0</v>
      </c>
      <c r="AA10" s="191">
        <v>84152.4</v>
      </c>
      <c r="AB10" s="191">
        <v>0</v>
      </c>
      <c r="AC10" s="191">
        <v>-888534.94</v>
      </c>
      <c r="AD10" s="191">
        <v>0</v>
      </c>
      <c r="AE10" s="191">
        <v>-886934.94</v>
      </c>
      <c r="AF10" s="191">
        <v>0</v>
      </c>
      <c r="AG10" s="191">
        <v>617857.77</v>
      </c>
      <c r="AH10" s="191">
        <v>0</v>
      </c>
      <c r="AI10" s="191">
        <v>561791.21</v>
      </c>
      <c r="AJ10" s="191">
        <v>0</v>
      </c>
      <c r="AK10" s="191">
        <v>227122.97</v>
      </c>
      <c r="AL10" s="191">
        <v>0</v>
      </c>
      <c r="AM10" s="191">
        <v>8880.69</v>
      </c>
      <c r="AN10" s="191">
        <v>0</v>
      </c>
      <c r="AO10" s="191">
        <v>3241808.24</v>
      </c>
      <c r="AP10" s="191">
        <v>0</v>
      </c>
      <c r="AQ10" s="191">
        <v>3118790.2</v>
      </c>
      <c r="AR10" s="191">
        <v>0</v>
      </c>
      <c r="AS10" s="191">
        <v>3146711.19</v>
      </c>
      <c r="AT10" s="191">
        <v>0</v>
      </c>
      <c r="AU10" s="191">
        <v>149474.44</v>
      </c>
      <c r="AV10" s="191">
        <v>0</v>
      </c>
      <c r="AW10" s="191">
        <v>0</v>
      </c>
      <c r="AX10" s="191">
        <v>0</v>
      </c>
      <c r="AY10" s="191">
        <v>0</v>
      </c>
      <c r="AZ10" s="191">
        <v>0</v>
      </c>
      <c r="BA10" s="191">
        <v>0</v>
      </c>
      <c r="BB10" s="191">
        <v>0</v>
      </c>
      <c r="BC10" s="191">
        <v>0</v>
      </c>
      <c r="BD10" s="191">
        <v>0</v>
      </c>
      <c r="BE10" s="191">
        <v>210396.99</v>
      </c>
      <c r="BF10" s="191">
        <v>627297.24</v>
      </c>
      <c r="BG10" s="191">
        <v>0</v>
      </c>
      <c r="BH10" s="191">
        <v>0</v>
      </c>
      <c r="BI10" s="191">
        <v>0</v>
      </c>
      <c r="BJ10" s="191">
        <v>8291.7099999999991</v>
      </c>
      <c r="BK10" s="191">
        <v>8291.7099999999991</v>
      </c>
      <c r="BL10" s="191">
        <v>7741.71</v>
      </c>
      <c r="BM10" s="191">
        <v>0</v>
      </c>
      <c r="BN10" s="191">
        <v>0</v>
      </c>
      <c r="BO10" s="191">
        <v>602996.92000000004</v>
      </c>
      <c r="BP10" s="191">
        <v>0</v>
      </c>
      <c r="BQ10" s="191">
        <v>216575</v>
      </c>
      <c r="BR10" s="191">
        <v>0</v>
      </c>
      <c r="BS10" s="191">
        <v>0</v>
      </c>
      <c r="BT10" s="191">
        <v>7101</v>
      </c>
      <c r="BU10" s="191">
        <v>0</v>
      </c>
      <c r="BV10" s="191">
        <v>0</v>
      </c>
    </row>
    <row r="11" spans="1:74" s="47" customFormat="1" x14ac:dyDescent="0.25">
      <c r="A11" s="135" t="s">
        <v>296</v>
      </c>
      <c r="E11" s="47">
        <f>E5-E6-E7-E8-E9-E10</f>
        <v>-4125694.2399999965</v>
      </c>
      <c r="F11" s="47">
        <f t="shared" ref="F11:BQ11" si="1">F5-F6-F7-F8-F9-F10</f>
        <v>756978003.84000003</v>
      </c>
      <c r="G11" s="47">
        <f t="shared" si="1"/>
        <v>-80656000.549999952</v>
      </c>
      <c r="H11" s="47">
        <f t="shared" si="1"/>
        <v>307369260.11000001</v>
      </c>
      <c r="I11" s="47">
        <f t="shared" si="1"/>
        <v>83021511.090000004</v>
      </c>
      <c r="J11" s="47">
        <f t="shared" si="1"/>
        <v>775194105.34000003</v>
      </c>
      <c r="K11" s="47">
        <f t="shared" si="1"/>
        <v>33165651.310000036</v>
      </c>
      <c r="L11" s="47">
        <f t="shared" si="1"/>
        <v>366969243.32999998</v>
      </c>
      <c r="M11" s="47">
        <f t="shared" si="1"/>
        <v>1204568266.0599997</v>
      </c>
      <c r="N11" s="47">
        <f t="shared" si="1"/>
        <v>1810808890.6099999</v>
      </c>
      <c r="O11" s="47">
        <f t="shared" si="1"/>
        <v>860336297.69999981</v>
      </c>
      <c r="P11" s="47">
        <f t="shared" si="1"/>
        <v>865730347.38</v>
      </c>
      <c r="Q11" s="47">
        <f t="shared" si="1"/>
        <v>3578918582.6799998</v>
      </c>
      <c r="R11" s="47">
        <f t="shared" si="1"/>
        <v>3697358133.6799998</v>
      </c>
      <c r="S11" s="47">
        <f t="shared" si="1"/>
        <v>2477920569.8299994</v>
      </c>
      <c r="T11" s="47">
        <f t="shared" si="1"/>
        <v>2024794494.28</v>
      </c>
      <c r="U11" s="47">
        <f t="shared" si="1"/>
        <v>4840445229.9699993</v>
      </c>
      <c r="V11" s="47">
        <f t="shared" si="1"/>
        <v>3944662952.02</v>
      </c>
      <c r="W11" s="47">
        <f t="shared" si="1"/>
        <v>2259689533.7599998</v>
      </c>
      <c r="X11" s="47">
        <f t="shared" si="1"/>
        <v>1124939088.24</v>
      </c>
      <c r="Y11" s="47">
        <f t="shared" si="1"/>
        <v>3776864274.9999995</v>
      </c>
      <c r="Z11" s="47">
        <f t="shared" si="1"/>
        <v>3041808991.9499998</v>
      </c>
      <c r="AA11" s="47">
        <f t="shared" si="1"/>
        <v>1492150311.4199998</v>
      </c>
      <c r="AB11" s="47">
        <f t="shared" si="1"/>
        <v>678815042.40999997</v>
      </c>
      <c r="AC11" s="47">
        <f t="shared" si="1"/>
        <v>1837266562.23</v>
      </c>
      <c r="AD11" s="47">
        <f t="shared" si="1"/>
        <v>1234265197.8399999</v>
      </c>
      <c r="AE11" s="47">
        <f t="shared" si="1"/>
        <v>582441067.43000007</v>
      </c>
      <c r="AF11" s="47">
        <f t="shared" si="1"/>
        <v>300651471.88</v>
      </c>
      <c r="AG11" s="47">
        <f t="shared" si="1"/>
        <v>1445726065.53</v>
      </c>
      <c r="AH11" s="47">
        <f t="shared" si="1"/>
        <v>1394221713.73</v>
      </c>
      <c r="AI11" s="47">
        <f t="shared" si="1"/>
        <v>948430610.75</v>
      </c>
      <c r="AJ11" s="47">
        <f t="shared" si="1"/>
        <v>469037004.07999998</v>
      </c>
      <c r="AK11" s="47">
        <f t="shared" si="1"/>
        <v>1148807098.6999996</v>
      </c>
      <c r="AL11" s="47">
        <f t="shared" si="1"/>
        <v>1058500946.42</v>
      </c>
      <c r="AM11" s="47">
        <f t="shared" si="1"/>
        <v>589502751.00999987</v>
      </c>
      <c r="AN11" s="47">
        <f t="shared" si="1"/>
        <v>288879016.69</v>
      </c>
      <c r="AO11" s="47">
        <f t="shared" si="1"/>
        <v>842792436.41999996</v>
      </c>
      <c r="AP11" s="47">
        <f t="shared" si="1"/>
        <v>643819405.12</v>
      </c>
      <c r="AQ11" s="47">
        <f t="shared" si="1"/>
        <v>326825528.65000004</v>
      </c>
      <c r="AR11" s="47">
        <f t="shared" si="1"/>
        <v>174666400.53</v>
      </c>
      <c r="AS11" s="47">
        <f t="shared" si="1"/>
        <v>-182137460.68000001</v>
      </c>
      <c r="AT11" s="47">
        <f t="shared" si="1"/>
        <v>0</v>
      </c>
      <c r="AU11" s="47">
        <f t="shared" si="1"/>
        <v>-57618305.569999993</v>
      </c>
      <c r="AV11" s="47">
        <f t="shared" si="1"/>
        <v>0</v>
      </c>
      <c r="AW11" s="47">
        <f t="shared" si="1"/>
        <v>-96689982.329999998</v>
      </c>
      <c r="AX11" s="47">
        <f t="shared" si="1"/>
        <v>-69494790.25</v>
      </c>
      <c r="AY11" s="47">
        <f t="shared" si="1"/>
        <v>-45345385.460000001</v>
      </c>
      <c r="AZ11" s="47">
        <f t="shared" si="1"/>
        <v>-22794667.789999999</v>
      </c>
      <c r="BA11" s="47">
        <f t="shared" si="1"/>
        <v>-78431709.409999996</v>
      </c>
      <c r="BB11" s="47">
        <f t="shared" si="1"/>
        <v>-16671588.779999999</v>
      </c>
      <c r="BC11" s="47">
        <f t="shared" si="1"/>
        <v>-36376208.219999999</v>
      </c>
      <c r="BD11" s="47">
        <f t="shared" si="1"/>
        <v>-16535204.51</v>
      </c>
      <c r="BE11" s="47">
        <f t="shared" si="1"/>
        <v>-66844193.769999996</v>
      </c>
      <c r="BF11" s="47">
        <f t="shared" si="1"/>
        <v>-44183532.880000003</v>
      </c>
      <c r="BG11" s="47">
        <f t="shared" si="1"/>
        <v>-29081060.240000002</v>
      </c>
      <c r="BH11" s="47">
        <f t="shared" si="1"/>
        <v>-14405939.25</v>
      </c>
      <c r="BI11" s="47">
        <f t="shared" si="1"/>
        <v>-63858618.890000001</v>
      </c>
      <c r="BJ11" s="47">
        <f t="shared" si="1"/>
        <v>-50371929.270000003</v>
      </c>
      <c r="BK11" s="47">
        <f t="shared" si="1"/>
        <v>-37301225.540000007</v>
      </c>
      <c r="BL11" s="47">
        <f t="shared" si="1"/>
        <v>-24558025.420000002</v>
      </c>
      <c r="BM11" s="47">
        <f t="shared" si="1"/>
        <v>-14950763.469999999</v>
      </c>
      <c r="BN11" s="47">
        <f t="shared" si="1"/>
        <v>-10617679.43</v>
      </c>
      <c r="BO11" s="47">
        <f t="shared" si="1"/>
        <v>-14950485.15</v>
      </c>
      <c r="BP11" s="47">
        <f t="shared" si="1"/>
        <v>0</v>
      </c>
      <c r="BQ11" s="47">
        <f t="shared" si="1"/>
        <v>-13802729</v>
      </c>
      <c r="BR11" s="47">
        <f t="shared" ref="BR11:BS11" si="2">BR5-BR6-BR7-BR8-BR9-BR10</f>
        <v>0</v>
      </c>
      <c r="BS11" s="47">
        <f t="shared" si="2"/>
        <v>-73844499.670000002</v>
      </c>
    </row>
    <row r="12" spans="1:74" s="26" customFormat="1" x14ac:dyDescent="0.25">
      <c r="A12" s="17" t="s">
        <v>297</v>
      </c>
      <c r="E12" s="26">
        <f t="shared" ref="E12:Q12" si="3">I34</f>
        <v>22724989474.84</v>
      </c>
      <c r="F12" s="26">
        <f t="shared" si="3"/>
        <v>21614145955.470001</v>
      </c>
      <c r="G12" s="26">
        <f t="shared" si="3"/>
        <v>21564032140.220001</v>
      </c>
      <c r="H12" s="26">
        <f t="shared" si="3"/>
        <v>21547653404.439999</v>
      </c>
      <c r="I12" s="26">
        <f t="shared" si="3"/>
        <v>21267949399.18</v>
      </c>
      <c r="J12" s="26">
        <f t="shared" si="3"/>
        <v>20232592117.09</v>
      </c>
      <c r="K12" s="26">
        <f t="shared" si="3"/>
        <v>19068774757.830002</v>
      </c>
      <c r="L12" s="26">
        <f t="shared" si="3"/>
        <v>18311646536.52</v>
      </c>
      <c r="M12" s="26">
        <f t="shared" si="3"/>
        <v>18298236150.310001</v>
      </c>
      <c r="N12" s="26">
        <f t="shared" si="3"/>
        <v>16656795222.92</v>
      </c>
      <c r="O12" s="26">
        <f t="shared" si="3"/>
        <v>16579774564.629999</v>
      </c>
      <c r="P12" s="26">
        <f t="shared" si="3"/>
        <v>15583608259.01</v>
      </c>
      <c r="Q12" s="26">
        <f t="shared" si="3"/>
        <v>13522567242.82</v>
      </c>
      <c r="R12" s="191">
        <f t="shared" ref="R12" si="4">V34</f>
        <v>9433590713.1000004</v>
      </c>
      <c r="S12" s="191">
        <f t="shared" ref="S12" si="5">W34</f>
        <v>8937733311.7900009</v>
      </c>
      <c r="T12" s="191">
        <f t="shared" ref="T12" si="6">X34</f>
        <v>9046122215.5200005</v>
      </c>
      <c r="U12" s="191">
        <f t="shared" ref="U12" si="7">Y34</f>
        <v>8773132339.5799999</v>
      </c>
      <c r="V12" s="191">
        <f t="shared" ref="V12" si="8">Z34</f>
        <v>7348983711.5200005</v>
      </c>
      <c r="W12" s="191">
        <f t="shared" ref="W12" si="9">AA34</f>
        <v>7287172510.8199997</v>
      </c>
      <c r="X12" s="191">
        <f t="shared" ref="X12" si="10">AB34</f>
        <v>7174957543.2700005</v>
      </c>
      <c r="Y12" s="191">
        <f t="shared" ref="Y12" si="11">AC34</f>
        <v>7071236794.9799995</v>
      </c>
      <c r="Z12" s="191">
        <f t="shared" ref="Z12" si="12">AD34</f>
        <v>5907593182.6300001</v>
      </c>
      <c r="AA12" s="191">
        <f t="shared" ref="AA12" si="13">AE34</f>
        <v>5450664776.8999996</v>
      </c>
      <c r="AB12" s="191">
        <f t="shared" ref="AB12" si="14">AF34</f>
        <v>5404910754.6800003</v>
      </c>
      <c r="AC12" s="191">
        <f t="shared" ref="AC12" si="15">AG34</f>
        <v>5287295112.3800001</v>
      </c>
      <c r="AD12" s="191">
        <f t="shared" ref="AD12" si="16">AH34</f>
        <v>4854322092.2399998</v>
      </c>
      <c r="AE12" s="191">
        <f t="shared" ref="AE12" si="17">AI34</f>
        <v>4750522574.4799995</v>
      </c>
      <c r="AF12" s="191">
        <f t="shared" ref="AF12" si="18">AJ34</f>
        <v>4223497907.46</v>
      </c>
      <c r="AG12" s="191">
        <f t="shared" ref="AG12" si="19">AK34</f>
        <v>4114037784.3299999</v>
      </c>
      <c r="AH12" s="191">
        <f t="shared" ref="AH12" si="20">AL34</f>
        <v>3893081948.3499999</v>
      </c>
      <c r="AI12" s="191">
        <f t="shared" ref="AI12" si="21">AM34</f>
        <v>3756937589.1599998</v>
      </c>
      <c r="AJ12" s="191">
        <f t="shared" ref="AJ12" si="22">AN34</f>
        <v>3728677824.9000001</v>
      </c>
      <c r="AK12" s="191">
        <f t="shared" ref="AK12" si="23">AO34</f>
        <v>3513436953.5100002</v>
      </c>
      <c r="AL12" s="191">
        <f t="shared" ref="AL12" si="24">AP34</f>
        <v>3739014271</v>
      </c>
      <c r="AM12" s="191">
        <f t="shared" ref="AM12" si="25">AQ34</f>
        <v>3526080172.4299998</v>
      </c>
      <c r="AN12" s="191">
        <f t="shared" ref="AN12" si="26">AR34</f>
        <v>3338338900.5300002</v>
      </c>
      <c r="AO12" s="191">
        <f t="shared" ref="AO12" si="27">AS34</f>
        <v>3209968937.0300002</v>
      </c>
      <c r="AP12" s="191">
        <f t="shared" ref="AP12" si="28">AT34</f>
        <v>3086136003.2399998</v>
      </c>
      <c r="AQ12" s="191">
        <f t="shared" ref="AQ12" si="29">AU34</f>
        <v>2952999545.0700002</v>
      </c>
      <c r="AR12" s="191">
        <f t="shared" ref="AR12" si="30">AV34</f>
        <v>2845284852.9899998</v>
      </c>
      <c r="AS12" s="191">
        <f t="shared" ref="AS12" si="31">AW34</f>
        <v>2638340763.6999998</v>
      </c>
      <c r="AT12" s="191">
        <f t="shared" ref="AT12" si="32">AX34</f>
        <v>2450389777.1900001</v>
      </c>
      <c r="AU12" s="191">
        <f t="shared" ref="AU12" si="33">AY34</f>
        <v>2263427977.0500002</v>
      </c>
      <c r="AV12" s="191">
        <f t="shared" ref="AV12" si="34">AZ34</f>
        <v>2115638921.48</v>
      </c>
      <c r="AW12" s="191">
        <f t="shared" ref="AW12" si="35">BA34</f>
        <v>2038076176.98</v>
      </c>
      <c r="AX12" s="191">
        <f t="shared" ref="AX12" si="36">BB34</f>
        <v>1904956898.72</v>
      </c>
      <c r="AY12" s="191">
        <f t="shared" ref="AY12" si="37">BC34</f>
        <v>1780876639.3299999</v>
      </c>
      <c r="AZ12" s="191">
        <f t="shared" ref="AZ12" si="38">BD34</f>
        <v>1685409788.29</v>
      </c>
      <c r="BA12" s="191">
        <f t="shared" ref="BA12" si="39">BE34</f>
        <v>1601014475.77</v>
      </c>
      <c r="BB12" s="191">
        <f t="shared" ref="BB12" si="40">BF34</f>
        <v>1463570659.45</v>
      </c>
      <c r="BC12" s="191">
        <f t="shared" ref="BC12" si="41">BG34</f>
        <v>1398793760.26</v>
      </c>
      <c r="BD12" s="191">
        <f t="shared" ref="BD12" si="42">BH34</f>
        <v>1332300138.5599999</v>
      </c>
      <c r="BE12" s="191">
        <f t="shared" ref="BE12" si="43">BI34</f>
        <v>1200336776.9300001</v>
      </c>
      <c r="BF12" s="191">
        <f t="shared" ref="BF12" si="44">BJ34</f>
        <v>1165910893.28</v>
      </c>
      <c r="BG12" s="191">
        <f t="shared" ref="BG12" si="45">BK34</f>
        <v>1092933336.0799999</v>
      </c>
      <c r="BH12" s="191">
        <f t="shared" ref="BH12" si="46">BL34</f>
        <v>1019774319.86</v>
      </c>
      <c r="BI12" s="191">
        <f t="shared" ref="BI12" si="47">BM34</f>
        <v>939648707.25</v>
      </c>
      <c r="BJ12" s="191">
        <f t="shared" ref="BJ12" si="48">BN34</f>
        <v>859601030.65999997</v>
      </c>
      <c r="BK12" s="191">
        <f t="shared" ref="BK12" si="49">BO34</f>
        <v>748821426.96000004</v>
      </c>
      <c r="BL12" s="191">
        <f t="shared" ref="BL12" si="50">BP34</f>
        <v>611201680.95000005</v>
      </c>
      <c r="BM12" s="191">
        <f t="shared" ref="BM12" si="51">BQ34</f>
        <v>3739014271</v>
      </c>
      <c r="BN12" s="191">
        <f t="shared" ref="BN12" si="52">BR34</f>
        <v>3526080172.4299998</v>
      </c>
    </row>
    <row r="13" spans="1:74" s="218" customFormat="1" x14ac:dyDescent="0.25">
      <c r="A13" s="218" t="s">
        <v>350</v>
      </c>
      <c r="E13" s="218">
        <f>E11/E12</f>
        <v>-1.8154878551507203E-4</v>
      </c>
      <c r="F13" s="218">
        <f t="shared" ref="F13:AR13" si="53">F11/F12</f>
        <v>3.5022341636794019E-2</v>
      </c>
      <c r="G13" s="218">
        <f t="shared" si="53"/>
        <v>-3.7403023713531288E-3</v>
      </c>
      <c r="H13" s="218">
        <f t="shared" si="53"/>
        <v>1.4264628001054866E-2</v>
      </c>
      <c r="I13" s="218">
        <f t="shared" si="53"/>
        <v>3.9035973582484144E-3</v>
      </c>
      <c r="J13" s="218">
        <f t="shared" si="53"/>
        <v>3.8314127070510733E-2</v>
      </c>
      <c r="K13" s="218">
        <f t="shared" si="53"/>
        <v>1.7392649360642109E-3</v>
      </c>
      <c r="L13" s="218">
        <f t="shared" si="53"/>
        <v>2.0040210070576204E-2</v>
      </c>
      <c r="M13" s="218">
        <f t="shared" si="53"/>
        <v>6.5829747532228255E-2</v>
      </c>
      <c r="N13" s="218">
        <f t="shared" si="53"/>
        <v>0.10871292264662651</v>
      </c>
      <c r="O13" s="218">
        <f t="shared" si="53"/>
        <v>5.1890711441600318E-2</v>
      </c>
      <c r="P13" s="218">
        <f t="shared" si="53"/>
        <v>5.5553908503793353E-2</v>
      </c>
      <c r="Q13" s="218">
        <f t="shared" si="53"/>
        <v>0.26466265749798934</v>
      </c>
      <c r="R13" s="218">
        <f t="shared" si="53"/>
        <v>0.39193539831504942</v>
      </c>
      <c r="S13" s="218">
        <f t="shared" si="53"/>
        <v>0.27724261659959226</v>
      </c>
      <c r="T13" s="218">
        <f t="shared" si="53"/>
        <v>0.22383010598797312</v>
      </c>
      <c r="U13" s="218">
        <f t="shared" si="53"/>
        <v>0.55173512066292707</v>
      </c>
      <c r="V13" s="218">
        <f t="shared" si="53"/>
        <v>0.53676305552786696</v>
      </c>
      <c r="W13" s="218">
        <f t="shared" si="53"/>
        <v>0.31009140107563132</v>
      </c>
      <c r="X13" s="218">
        <f t="shared" si="53"/>
        <v>0.15678686340035217</v>
      </c>
      <c r="Y13" s="218">
        <f t="shared" si="53"/>
        <v>0.53411650387401322</v>
      </c>
      <c r="Z13" s="218">
        <f t="shared" si="53"/>
        <v>0.51489818237548601</v>
      </c>
      <c r="AA13" s="218">
        <f t="shared" si="53"/>
        <v>0.27375565596030699</v>
      </c>
      <c r="AB13" s="218">
        <f t="shared" si="53"/>
        <v>0.12559227584326496</v>
      </c>
      <c r="AC13" s="218">
        <f t="shared" si="53"/>
        <v>0.34748704643478484</v>
      </c>
      <c r="AD13" s="218">
        <f t="shared" si="53"/>
        <v>0.25426108411987453</v>
      </c>
      <c r="AE13" s="218">
        <f t="shared" si="53"/>
        <v>0.12260568354287951</v>
      </c>
      <c r="AF13" s="218">
        <f t="shared" si="53"/>
        <v>7.1185419874118264E-2</v>
      </c>
      <c r="AG13" s="218">
        <f t="shared" si="53"/>
        <v>0.3514129284462677</v>
      </c>
      <c r="AH13" s="218">
        <f t="shared" si="53"/>
        <v>0.35812801585666887</v>
      </c>
      <c r="AI13" s="218">
        <f t="shared" si="53"/>
        <v>0.25244779511018073</v>
      </c>
      <c r="AJ13" s="218">
        <f t="shared" si="53"/>
        <v>0.12579177555855986</v>
      </c>
      <c r="AK13" s="218">
        <f t="shared" si="53"/>
        <v>0.32697529908778245</v>
      </c>
      <c r="AL13" s="218">
        <f t="shared" si="53"/>
        <v>0.28309625738253835</v>
      </c>
      <c r="AM13" s="218">
        <f t="shared" si="53"/>
        <v>0.16718359259646209</v>
      </c>
      <c r="AN13" s="218">
        <f t="shared" si="53"/>
        <v>8.6533759842099045E-2</v>
      </c>
      <c r="AO13" s="218">
        <f t="shared" si="53"/>
        <v>0.26255470160399352</v>
      </c>
      <c r="AP13" s="218">
        <f t="shared" si="53"/>
        <v>0.20861666642172674</v>
      </c>
      <c r="AQ13" s="218">
        <f t="shared" si="53"/>
        <v>0.11067578022341101</v>
      </c>
      <c r="AR13" s="218">
        <f t="shared" si="53"/>
        <v>6.1388018969858092E-2</v>
      </c>
    </row>
    <row r="14" spans="1:74" s="48" customFormat="1" x14ac:dyDescent="0.25">
      <c r="A14" s="46" t="s">
        <v>293</v>
      </c>
    </row>
    <row r="15" spans="1:74" s="26" customFormat="1" x14ac:dyDescent="0.25">
      <c r="A15" s="17" t="s">
        <v>313</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6" customFormat="1" x14ac:dyDescent="0.25">
      <c r="A16" s="17" t="s">
        <v>314</v>
      </c>
      <c r="B16" s="188">
        <v>0</v>
      </c>
      <c r="C16" s="188">
        <v>0</v>
      </c>
      <c r="D16" s="188">
        <v>0</v>
      </c>
      <c r="E16" s="188">
        <v>0</v>
      </c>
      <c r="F16" s="188">
        <v>0</v>
      </c>
      <c r="G16" s="188">
        <v>0</v>
      </c>
      <c r="H16" s="188">
        <v>0</v>
      </c>
      <c r="I16" s="188">
        <v>0</v>
      </c>
      <c r="J16" s="188">
        <v>0</v>
      </c>
      <c r="K16" s="188">
        <v>0</v>
      </c>
      <c r="L16" s="188">
        <v>0</v>
      </c>
      <c r="M16" s="188">
        <v>0</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c r="BH16" s="188">
        <v>0</v>
      </c>
      <c r="BI16" s="188">
        <v>0</v>
      </c>
      <c r="BJ16" s="188">
        <v>0</v>
      </c>
      <c r="BK16" s="188">
        <v>0</v>
      </c>
      <c r="BL16" s="188">
        <v>0</v>
      </c>
      <c r="BM16" s="188">
        <v>0</v>
      </c>
      <c r="BN16" s="188">
        <v>0</v>
      </c>
      <c r="BO16" s="188">
        <v>0</v>
      </c>
      <c r="BP16" s="188">
        <v>0</v>
      </c>
      <c r="BQ16" s="188">
        <v>0</v>
      </c>
      <c r="BR16" s="188">
        <v>0</v>
      </c>
      <c r="BS16" s="188">
        <v>0</v>
      </c>
      <c r="BT16" s="188">
        <v>0</v>
      </c>
      <c r="BU16" s="188">
        <v>0</v>
      </c>
      <c r="BV16" s="188">
        <v>0</v>
      </c>
    </row>
    <row r="17" spans="1:74" s="47" customFormat="1" x14ac:dyDescent="0.25">
      <c r="A17" s="135"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1125000742.45</v>
      </c>
      <c r="F19" s="191">
        <f t="shared" ref="F19:AS19" si="55">F5+F17</f>
        <v>756978003.84000003</v>
      </c>
      <c r="G19" s="191">
        <f t="shared" si="55"/>
        <v>480999293.66000003</v>
      </c>
      <c r="H19" s="191">
        <f t="shared" si="55"/>
        <v>307369260.11000001</v>
      </c>
      <c r="I19" s="191">
        <f t="shared" si="55"/>
        <v>1019086052.42</v>
      </c>
      <c r="J19" s="191">
        <f t="shared" si="55"/>
        <v>775194105.34000003</v>
      </c>
      <c r="K19" s="191">
        <f t="shared" si="55"/>
        <v>496532200.55000001</v>
      </c>
      <c r="L19" s="191">
        <f t="shared" si="55"/>
        <v>366969243.32999998</v>
      </c>
      <c r="M19" s="191">
        <f t="shared" si="55"/>
        <v>2052697543.9299998</v>
      </c>
      <c r="N19" s="191">
        <f t="shared" si="55"/>
        <v>1810808890.6099999</v>
      </c>
      <c r="O19" s="191">
        <f t="shared" si="55"/>
        <v>1275907396.6199999</v>
      </c>
      <c r="P19" s="191">
        <f t="shared" si="55"/>
        <v>865730347.38</v>
      </c>
      <c r="Q19" s="191">
        <f t="shared" si="55"/>
        <v>4420838126.6599998</v>
      </c>
      <c r="R19" s="191">
        <f t="shared" si="55"/>
        <v>3697358133.6799998</v>
      </c>
      <c r="S19" s="191">
        <f t="shared" si="55"/>
        <v>2845067474.8499999</v>
      </c>
      <c r="T19" s="191">
        <f t="shared" si="55"/>
        <v>2024794494.28</v>
      </c>
      <c r="U19" s="191">
        <f t="shared" si="55"/>
        <v>5405740026.2299995</v>
      </c>
      <c r="V19" s="191">
        <f t="shared" si="55"/>
        <v>3944662952.02</v>
      </c>
      <c r="W19" s="191">
        <f t="shared" si="55"/>
        <v>2527195939.4299998</v>
      </c>
      <c r="X19" s="191">
        <f t="shared" si="55"/>
        <v>1124939088.24</v>
      </c>
      <c r="Y19" s="191">
        <f t="shared" si="55"/>
        <v>4211821807.9099998</v>
      </c>
      <c r="Z19" s="191">
        <f t="shared" si="55"/>
        <v>3041808991.9499998</v>
      </c>
      <c r="AA19" s="191">
        <f t="shared" si="55"/>
        <v>1701317277.73</v>
      </c>
      <c r="AB19" s="191">
        <f t="shared" si="55"/>
        <v>678815042.40999997</v>
      </c>
      <c r="AC19" s="191">
        <f t="shared" si="55"/>
        <v>2184486563.1100001</v>
      </c>
      <c r="AD19" s="191">
        <f t="shared" si="55"/>
        <v>1234265197.8399999</v>
      </c>
      <c r="AE19" s="191">
        <f t="shared" si="55"/>
        <v>747015064.26999998</v>
      </c>
      <c r="AF19" s="191">
        <f t="shared" si="55"/>
        <v>300651471.88</v>
      </c>
      <c r="AG19" s="191">
        <f t="shared" si="55"/>
        <v>1731913788.52</v>
      </c>
      <c r="AH19" s="191">
        <f t="shared" si="55"/>
        <v>1394221713.73</v>
      </c>
      <c r="AI19" s="191">
        <f t="shared" si="55"/>
        <v>1079662311.3</v>
      </c>
      <c r="AJ19" s="191">
        <f t="shared" si="55"/>
        <v>469037004.07999998</v>
      </c>
      <c r="AK19" s="191">
        <f t="shared" si="55"/>
        <v>1356601530.0899999</v>
      </c>
      <c r="AL19" s="191">
        <f t="shared" si="55"/>
        <v>1058500946.42</v>
      </c>
      <c r="AM19" s="191">
        <f t="shared" si="55"/>
        <v>689017762.13</v>
      </c>
      <c r="AN19" s="191">
        <f t="shared" si="55"/>
        <v>288879016.69</v>
      </c>
      <c r="AO19" s="191">
        <f t="shared" si="55"/>
        <v>1010685786.04</v>
      </c>
      <c r="AP19" s="191">
        <f t="shared" si="55"/>
        <v>643819405.12</v>
      </c>
      <c r="AQ19" s="191">
        <f t="shared" si="55"/>
        <v>409784280.75</v>
      </c>
      <c r="AR19" s="191">
        <f t="shared" si="55"/>
        <v>174666400.53</v>
      </c>
      <c r="AS19" s="191">
        <f t="shared" si="55"/>
        <v>0</v>
      </c>
    </row>
    <row r="20" spans="1:74" s="191" customFormat="1" x14ac:dyDescent="0.25">
      <c r="A20" s="191" t="s">
        <v>300</v>
      </c>
      <c r="B20" s="191">
        <v>28221285915.540001</v>
      </c>
      <c r="C20" s="191">
        <v>17735030962.189999</v>
      </c>
      <c r="D20" s="191">
        <v>4935500707.4700003</v>
      </c>
      <c r="E20" s="191">
        <v>22153036084.130001</v>
      </c>
      <c r="F20" s="191">
        <v>22786767198.189999</v>
      </c>
      <c r="G20" s="191">
        <v>6935360410.3599997</v>
      </c>
      <c r="H20" s="191">
        <v>6108975096.5600004</v>
      </c>
      <c r="I20" s="191">
        <v>37451249647.050003</v>
      </c>
      <c r="J20" s="191">
        <v>32535332631.689999</v>
      </c>
      <c r="K20" s="191">
        <v>13603962283.99</v>
      </c>
      <c r="L20" s="191">
        <v>7436044334.9799995</v>
      </c>
      <c r="M20" s="191">
        <v>17436340141.720001</v>
      </c>
      <c r="N20" s="191">
        <v>11423393327.059999</v>
      </c>
      <c r="O20" s="191">
        <v>4901688343.2799997</v>
      </c>
      <c r="P20" s="191">
        <v>2111633649.4000001</v>
      </c>
      <c r="Q20" s="191">
        <v>12632522436.6</v>
      </c>
      <c r="R20" s="191">
        <v>7679397243.8699999</v>
      </c>
      <c r="S20" s="191">
        <v>4288743348.5</v>
      </c>
      <c r="T20" s="191">
        <v>173915705.72</v>
      </c>
      <c r="U20" s="191">
        <v>12655024861.92</v>
      </c>
      <c r="V20" s="191">
        <v>9245117959.3099995</v>
      </c>
      <c r="W20" s="191">
        <v>5215024506.9099998</v>
      </c>
      <c r="X20" s="191">
        <v>790228914.26999998</v>
      </c>
      <c r="Y20" s="191">
        <v>11921310609.25</v>
      </c>
      <c r="Z20" s="191">
        <v>7561565324.8999996</v>
      </c>
      <c r="AA20" s="191">
        <v>4459709495.3299999</v>
      </c>
      <c r="AB20" s="191">
        <v>1339500999.5999999</v>
      </c>
      <c r="AC20" s="191">
        <v>10148564689.530001</v>
      </c>
      <c r="AD20" s="191">
        <v>9026937978.2999992</v>
      </c>
      <c r="AE20" s="191">
        <v>5327897835.0799999</v>
      </c>
      <c r="AF20" s="191">
        <v>3411131919.8499999</v>
      </c>
      <c r="AG20" s="191">
        <v>6201476519.5699997</v>
      </c>
      <c r="AH20" s="191">
        <v>3964406933.9299998</v>
      </c>
      <c r="AI20" s="191">
        <v>1766383110.55</v>
      </c>
      <c r="AJ20" s="191">
        <v>824771903.73000002</v>
      </c>
      <c r="AK20" s="191">
        <v>4223937144.1900001</v>
      </c>
      <c r="AL20" s="191">
        <v>2077542093.22</v>
      </c>
      <c r="AM20" s="191">
        <v>548187840.42999995</v>
      </c>
      <c r="AN20" s="191">
        <v>-130764695.25</v>
      </c>
      <c r="AO20" s="191">
        <v>5247488535.7399998</v>
      </c>
      <c r="AP20" s="191">
        <v>3068605688.1700001</v>
      </c>
      <c r="AQ20" s="191">
        <v>1495681406.98</v>
      </c>
      <c r="AR20" s="191">
        <v>992687155.95000005</v>
      </c>
      <c r="AS20" s="191">
        <v>1743303211.3800001</v>
      </c>
      <c r="AT20" s="191">
        <v>1548259234.8800001</v>
      </c>
      <c r="AU20" s="191">
        <v>685813057.54999995</v>
      </c>
      <c r="AV20" s="191">
        <v>380543066.07999998</v>
      </c>
      <c r="AW20" s="191">
        <v>2105171033.6900001</v>
      </c>
      <c r="AX20" s="191">
        <v>1490129273.8</v>
      </c>
      <c r="AY20" s="191">
        <v>594871612.89999998</v>
      </c>
      <c r="AZ20" s="191">
        <v>222204247.83000001</v>
      </c>
      <c r="BA20" s="191">
        <v>1693707488.3199999</v>
      </c>
      <c r="BB20" s="191">
        <v>883720092.28999996</v>
      </c>
      <c r="BC20" s="191">
        <v>436604511.29000002</v>
      </c>
      <c r="BD20" s="191">
        <v>242281053.09999999</v>
      </c>
      <c r="BE20" s="191">
        <v>975784480.20000005</v>
      </c>
      <c r="BF20" s="191">
        <v>372675167.5</v>
      </c>
      <c r="BG20" s="191">
        <v>-37984534.130000003</v>
      </c>
      <c r="BH20" s="191">
        <v>-181383371.87</v>
      </c>
      <c r="BI20" s="191">
        <v>941706242.08000004</v>
      </c>
      <c r="BJ20" s="191">
        <v>439378658.54000002</v>
      </c>
      <c r="BK20" s="191">
        <v>-33965937.280000001</v>
      </c>
      <c r="BL20" s="191">
        <v>9112186.6699999999</v>
      </c>
      <c r="BM20" s="191">
        <v>434582378.66000003</v>
      </c>
      <c r="BN20" s="191">
        <v>-180120845.05000001</v>
      </c>
      <c r="BO20" s="191">
        <v>42283037.350000001</v>
      </c>
      <c r="BP20" s="191">
        <v>-86280877.689999998</v>
      </c>
      <c r="BQ20" s="191">
        <v>443124645.68000001</v>
      </c>
      <c r="BR20" s="191">
        <v>0</v>
      </c>
      <c r="BS20" s="191">
        <v>898446895.69000006</v>
      </c>
      <c r="BT20" s="191">
        <v>436278873.26999998</v>
      </c>
      <c r="BU20" s="191">
        <v>359005459.04000002</v>
      </c>
      <c r="BV20" s="191">
        <v>0</v>
      </c>
    </row>
    <row r="21" spans="1:74" s="219" customFormat="1" x14ac:dyDescent="0.25">
      <c r="A21" s="219" t="s">
        <v>665</v>
      </c>
      <c r="E21" s="219">
        <f>E20/E19</f>
        <v>19.691574634773701</v>
      </c>
      <c r="F21" s="219">
        <f t="shared" ref="F21:AS21" si="56">F20/F19</f>
        <v>30.10228445555515</v>
      </c>
      <c r="G21" s="219">
        <f t="shared" si="56"/>
        <v>14.418649885299708</v>
      </c>
      <c r="H21" s="219">
        <f t="shared" si="56"/>
        <v>19.875035956340415</v>
      </c>
      <c r="I21" s="219">
        <f t="shared" si="56"/>
        <v>36.749840269244572</v>
      </c>
      <c r="J21" s="219">
        <f t="shared" si="56"/>
        <v>41.970562479212873</v>
      </c>
      <c r="K21" s="219">
        <f t="shared" si="56"/>
        <v>27.397945730248974</v>
      </c>
      <c r="L21" s="219">
        <f t="shared" si="56"/>
        <v>20.263399372391213</v>
      </c>
      <c r="M21" s="219">
        <f t="shared" si="56"/>
        <v>8.4943542672814765</v>
      </c>
      <c r="N21" s="219">
        <f t="shared" si="56"/>
        <v>6.3084477806003303</v>
      </c>
      <c r="O21" s="219">
        <f t="shared" si="56"/>
        <v>3.8417273512678416</v>
      </c>
      <c r="P21" s="219">
        <f t="shared" si="56"/>
        <v>2.439135529660633</v>
      </c>
      <c r="Q21" s="219">
        <f t="shared" si="56"/>
        <v>2.8574949081304712</v>
      </c>
      <c r="R21" s="219">
        <f t="shared" si="56"/>
        <v>2.0769957808297721</v>
      </c>
      <c r="S21" s="219">
        <f t="shared" si="56"/>
        <v>1.5074311545901438</v>
      </c>
      <c r="T21" s="219">
        <f t="shared" si="56"/>
        <v>8.5893015914112789E-2</v>
      </c>
      <c r="U21" s="219">
        <f t="shared" si="56"/>
        <v>2.3410346780486413</v>
      </c>
      <c r="V21" s="219">
        <f t="shared" si="56"/>
        <v>2.3437028896412353</v>
      </c>
      <c r="W21" s="219">
        <f t="shared" si="56"/>
        <v>2.0635616042047893</v>
      </c>
      <c r="X21" s="219">
        <f t="shared" si="56"/>
        <v>0.70246373561997577</v>
      </c>
      <c r="Y21" s="219">
        <f t="shared" si="56"/>
        <v>2.8304404015528903</v>
      </c>
      <c r="Z21" s="219">
        <f t="shared" si="56"/>
        <v>2.4858777605402955</v>
      </c>
      <c r="AA21" s="219">
        <f t="shared" si="56"/>
        <v>2.6213273407064981</v>
      </c>
      <c r="AB21" s="219">
        <f t="shared" si="56"/>
        <v>1.973293041421657</v>
      </c>
      <c r="AC21" s="219">
        <f t="shared" si="56"/>
        <v>4.6457437005617175</v>
      </c>
      <c r="AD21" s="219">
        <f t="shared" si="56"/>
        <v>7.3136129853595513</v>
      </c>
      <c r="AE21" s="219">
        <f t="shared" si="56"/>
        <v>7.1322495220180633</v>
      </c>
      <c r="AF21" s="219">
        <f t="shared" si="56"/>
        <v>11.345801497394618</v>
      </c>
      <c r="AG21" s="219">
        <f t="shared" si="56"/>
        <v>3.5807074004933277</v>
      </c>
      <c r="AH21" s="219">
        <f t="shared" si="56"/>
        <v>2.8434551656234874</v>
      </c>
      <c r="AI21" s="219">
        <f t="shared" si="56"/>
        <v>1.6360514691145727</v>
      </c>
      <c r="AJ21" s="219">
        <f t="shared" si="56"/>
        <v>1.7584367471128677</v>
      </c>
      <c r="AK21" s="219">
        <f t="shared" si="56"/>
        <v>3.1136166740942528</v>
      </c>
      <c r="AL21" s="219">
        <f t="shared" si="56"/>
        <v>1.9627210540023998</v>
      </c>
      <c r="AM21" s="219">
        <f t="shared" si="56"/>
        <v>0.79560770499639299</v>
      </c>
      <c r="AN21" s="219">
        <f t="shared" si="56"/>
        <v>-0.4526624908527897</v>
      </c>
      <c r="AO21" s="219">
        <f t="shared" si="56"/>
        <v>5.1920078507291088</v>
      </c>
      <c r="AP21" s="219">
        <f t="shared" si="56"/>
        <v>4.7662522498806164</v>
      </c>
      <c r="AQ21" s="219">
        <f t="shared" si="56"/>
        <v>3.6499238190458581</v>
      </c>
      <c r="AR21" s="219">
        <f t="shared" si="56"/>
        <v>5.683332071525113</v>
      </c>
      <c r="AS21" s="219" t="e">
        <f t="shared" si="56"/>
        <v>#DIV/0!</v>
      </c>
    </row>
    <row r="22" spans="1:74" s="191" customFormat="1" x14ac:dyDescent="0.25">
      <c r="A22" s="191" t="s">
        <v>301</v>
      </c>
      <c r="E22" s="191">
        <f>I35</f>
        <v>67085700492.129997</v>
      </c>
      <c r="F22" s="191">
        <f t="shared" ref="F22:Y22" si="57">J35</f>
        <v>62324058442.190002</v>
      </c>
      <c r="G22" s="191">
        <f t="shared" si="57"/>
        <v>47808867372.299995</v>
      </c>
      <c r="H22" s="191">
        <f t="shared" si="57"/>
        <v>44074809231.059998</v>
      </c>
      <c r="I22" s="191">
        <f t="shared" si="57"/>
        <v>36934596946.529999</v>
      </c>
      <c r="J22" s="191">
        <f t="shared" si="57"/>
        <v>30722903270.879997</v>
      </c>
      <c r="K22" s="191">
        <f t="shared" si="57"/>
        <v>30482844449.870003</v>
      </c>
      <c r="L22" s="191">
        <f t="shared" si="57"/>
        <v>28623123952.73</v>
      </c>
      <c r="M22" s="191">
        <f t="shared" si="57"/>
        <v>27886130602.540001</v>
      </c>
      <c r="N22" s="191">
        <f t="shared" si="57"/>
        <v>22910725708.920002</v>
      </c>
      <c r="O22" s="191">
        <f t="shared" si="57"/>
        <v>21200304356.759998</v>
      </c>
      <c r="P22" s="191">
        <f t="shared" si="57"/>
        <v>23500579727.43</v>
      </c>
      <c r="Q22" s="191">
        <f t="shared" si="57"/>
        <v>25514135978.91</v>
      </c>
      <c r="R22" s="191">
        <f t="shared" si="57"/>
        <v>22377192030.630001</v>
      </c>
      <c r="S22" s="191">
        <f t="shared" si="57"/>
        <v>18562670939.949997</v>
      </c>
      <c r="T22" s="191">
        <f t="shared" si="57"/>
        <v>21955036844.350002</v>
      </c>
      <c r="U22" s="191">
        <f t="shared" si="57"/>
        <v>22376612663.389999</v>
      </c>
      <c r="V22" s="191">
        <f t="shared" si="57"/>
        <v>19005987757.170002</v>
      </c>
      <c r="W22" s="191">
        <f t="shared" si="57"/>
        <v>21245645480.619999</v>
      </c>
      <c r="X22" s="191">
        <f t="shared" si="57"/>
        <v>19056013006.079998</v>
      </c>
      <c r="Y22" s="191">
        <f t="shared" si="57"/>
        <v>18539872922.09</v>
      </c>
      <c r="Z22" s="191">
        <f t="shared" ref="Z22" si="58">AD35</f>
        <v>18524435542.09</v>
      </c>
      <c r="AA22" s="191">
        <f t="shared" ref="AA22" si="59">AE35</f>
        <v>17479293577.549999</v>
      </c>
      <c r="AB22" s="191">
        <f t="shared" ref="AB22" si="60">AF35</f>
        <v>16097936940.57</v>
      </c>
      <c r="AC22" s="191">
        <f t="shared" ref="AC22" si="61">AG35</f>
        <v>12991122314.630001</v>
      </c>
      <c r="AD22" s="191">
        <f t="shared" ref="AD22" si="62">AH35</f>
        <v>11163366118.51</v>
      </c>
      <c r="AE22" s="191">
        <f t="shared" ref="AE22" si="63">AI35</f>
        <v>10378305344.280001</v>
      </c>
      <c r="AF22" s="191">
        <f t="shared" ref="AF22" si="64">AJ35</f>
        <v>9990618883.5699997</v>
      </c>
      <c r="AG22" s="191">
        <f t="shared" ref="AG22" si="65">AK35</f>
        <v>9755064755.2399998</v>
      </c>
      <c r="AH22" s="191">
        <f t="shared" ref="AH22" si="66">AL35</f>
        <v>7923955837.8000002</v>
      </c>
      <c r="AI22" s="191">
        <f t="shared" ref="AI22" si="67">AM35</f>
        <v>7824246321.21</v>
      </c>
      <c r="AJ22" s="191">
        <f t="shared" ref="AJ22" si="68">AN35</f>
        <v>7717405756.3000002</v>
      </c>
      <c r="AK22" s="191">
        <f t="shared" ref="AK22" si="69">AO35</f>
        <v>8138505441.1599998</v>
      </c>
      <c r="AL22" s="191">
        <f t="shared" ref="AL22" si="70">AP35</f>
        <v>6441498269.54</v>
      </c>
      <c r="AM22" s="191">
        <f t="shared" ref="AM22" si="71">AQ35</f>
        <v>5105053230.8000002</v>
      </c>
      <c r="AN22" s="191">
        <f t="shared" ref="AN22" si="72">AR35</f>
        <v>5603323644.29</v>
      </c>
      <c r="AO22" s="191">
        <f t="shared" ref="AO22" si="73">AS35</f>
        <v>4784290700.0200005</v>
      </c>
      <c r="AP22" s="191">
        <f t="shared" ref="AP22" si="74">AT35</f>
        <v>4814014936.3500004</v>
      </c>
      <c r="AQ22" s="191">
        <f t="shared" ref="AQ22" si="75">AU35</f>
        <v>4870494456.1599998</v>
      </c>
      <c r="AR22" s="191">
        <f t="shared" ref="AR22" si="76">AV35</f>
        <v>4715254931.29</v>
      </c>
      <c r="AS22" s="191">
        <f t="shared" ref="AS22" si="77">AW35</f>
        <v>4505867488.6400003</v>
      </c>
    </row>
    <row r="23" spans="1:74" s="191" customFormat="1" x14ac:dyDescent="0.25">
      <c r="A23" s="191" t="s">
        <v>302</v>
      </c>
      <c r="E23" s="191">
        <f>E20+E22-E19</f>
        <v>88113735833.809998</v>
      </c>
      <c r="F23" s="191">
        <f t="shared" ref="F23:AS23" si="78">F20+F22-F19</f>
        <v>84353847636.540009</v>
      </c>
      <c r="G23" s="191">
        <f t="shared" si="78"/>
        <v>54263228488.999992</v>
      </c>
      <c r="H23" s="191">
        <f t="shared" si="78"/>
        <v>49876415067.509995</v>
      </c>
      <c r="I23" s="191">
        <f t="shared" si="78"/>
        <v>73366760541.160004</v>
      </c>
      <c r="J23" s="191">
        <f t="shared" si="78"/>
        <v>62483041797.229996</v>
      </c>
      <c r="K23" s="191">
        <f t="shared" si="78"/>
        <v>43590274533.309998</v>
      </c>
      <c r="L23" s="191">
        <f t="shared" si="78"/>
        <v>35692199044.379997</v>
      </c>
      <c r="M23" s="191">
        <f t="shared" si="78"/>
        <v>43269773200.330002</v>
      </c>
      <c r="N23" s="191">
        <f t="shared" si="78"/>
        <v>32523310145.370003</v>
      </c>
      <c r="O23" s="191">
        <f t="shared" si="78"/>
        <v>24826085303.419998</v>
      </c>
      <c r="P23" s="191">
        <f t="shared" si="78"/>
        <v>24746483029.450001</v>
      </c>
      <c r="Q23" s="191">
        <f t="shared" si="78"/>
        <v>33725820288.850002</v>
      </c>
      <c r="R23" s="191">
        <f t="shared" si="78"/>
        <v>26359231140.82</v>
      </c>
      <c r="S23" s="191">
        <f t="shared" si="78"/>
        <v>20006346813.599998</v>
      </c>
      <c r="T23" s="191">
        <f t="shared" si="78"/>
        <v>20104158055.790005</v>
      </c>
      <c r="U23" s="191">
        <f t="shared" si="78"/>
        <v>29625897499.079998</v>
      </c>
      <c r="V23" s="191">
        <f t="shared" si="78"/>
        <v>24306442764.460003</v>
      </c>
      <c r="W23" s="191">
        <f t="shared" si="78"/>
        <v>23933474048.099998</v>
      </c>
      <c r="X23" s="191">
        <f t="shared" si="78"/>
        <v>18721302832.109997</v>
      </c>
      <c r="Y23" s="191">
        <f t="shared" si="78"/>
        <v>26249361723.43</v>
      </c>
      <c r="Z23" s="191">
        <f t="shared" si="78"/>
        <v>23044191875.039997</v>
      </c>
      <c r="AA23" s="191">
        <f t="shared" si="78"/>
        <v>20237685795.149998</v>
      </c>
      <c r="AB23" s="191">
        <f t="shared" si="78"/>
        <v>16758622897.759998</v>
      </c>
      <c r="AC23" s="191">
        <f t="shared" si="78"/>
        <v>20955200441.050003</v>
      </c>
      <c r="AD23" s="191">
        <f t="shared" si="78"/>
        <v>18956038898.969997</v>
      </c>
      <c r="AE23" s="191">
        <f t="shared" si="78"/>
        <v>14959188115.09</v>
      </c>
      <c r="AF23" s="191">
        <f t="shared" si="78"/>
        <v>13101099331.540001</v>
      </c>
      <c r="AG23" s="191">
        <f t="shared" si="78"/>
        <v>14224627486.289999</v>
      </c>
      <c r="AH23" s="191">
        <f t="shared" si="78"/>
        <v>10494141058</v>
      </c>
      <c r="AI23" s="191">
        <f t="shared" si="78"/>
        <v>8510967120.46</v>
      </c>
      <c r="AJ23" s="191">
        <f t="shared" si="78"/>
        <v>8073140655.9500008</v>
      </c>
      <c r="AK23" s="191">
        <f t="shared" si="78"/>
        <v>11005841055.26</v>
      </c>
      <c r="AL23" s="191">
        <f t="shared" si="78"/>
        <v>7460539416.3400002</v>
      </c>
      <c r="AM23" s="191">
        <f t="shared" si="78"/>
        <v>4964223309.1000004</v>
      </c>
      <c r="AN23" s="191">
        <f t="shared" si="78"/>
        <v>5183679932.3500004</v>
      </c>
      <c r="AO23" s="191">
        <f t="shared" si="78"/>
        <v>9021093449.7200012</v>
      </c>
      <c r="AP23" s="191">
        <f t="shared" si="78"/>
        <v>7238801219.4000006</v>
      </c>
      <c r="AQ23" s="191">
        <f t="shared" si="78"/>
        <v>5956391582.3899994</v>
      </c>
      <c r="AR23" s="191">
        <f t="shared" si="78"/>
        <v>5533275686.71</v>
      </c>
      <c r="AS23" s="191">
        <f t="shared" si="78"/>
        <v>6249170700.0200005</v>
      </c>
    </row>
    <row r="24" spans="1:74" s="219" customFormat="1" x14ac:dyDescent="0.25">
      <c r="A24" s="219" t="s">
        <v>303</v>
      </c>
      <c r="B24" s="191">
        <v>-16435393160.059999</v>
      </c>
      <c r="C24" s="191">
        <v>-13854919610.83</v>
      </c>
      <c r="D24" s="191">
        <v>0</v>
      </c>
      <c r="E24" s="191">
        <v>-8899177880.7999992</v>
      </c>
      <c r="F24" s="191">
        <v>-8893177880.7999992</v>
      </c>
      <c r="G24" s="191">
        <v>-364000000</v>
      </c>
      <c r="H24" s="191">
        <v>0</v>
      </c>
      <c r="I24" s="191">
        <v>-8334512252.2299995</v>
      </c>
      <c r="J24" s="191">
        <v>-8284063910.3500004</v>
      </c>
      <c r="K24" s="191">
        <v>-3283073780.9899998</v>
      </c>
      <c r="L24" s="191">
        <v>-508507286.54000002</v>
      </c>
      <c r="M24" s="191">
        <v>-5588019638.6099997</v>
      </c>
      <c r="N24" s="191">
        <v>-5587555381.5200005</v>
      </c>
      <c r="O24" s="191">
        <v>-34942456.670000002</v>
      </c>
      <c r="P24" s="191">
        <v>-34641852.909999996</v>
      </c>
      <c r="Q24" s="191">
        <v>-5041426729.3299999</v>
      </c>
      <c r="R24" s="191">
        <v>-5099391867.6199999</v>
      </c>
      <c r="S24" s="191">
        <v>-5105391867.6199999</v>
      </c>
      <c r="T24" s="191">
        <v>0</v>
      </c>
      <c r="U24" s="191">
        <v>-7385971074.4700003</v>
      </c>
      <c r="V24" s="191">
        <v>-7344303718.8999996</v>
      </c>
      <c r="W24" s="191">
        <v>-6790393654.46</v>
      </c>
      <c r="X24" s="191">
        <v>-98380859.950000003</v>
      </c>
      <c r="Y24" s="191">
        <v>-3914524622.8499999</v>
      </c>
      <c r="Z24" s="191">
        <v>-4110858633.6399999</v>
      </c>
      <c r="AA24" s="191">
        <v>-55171122.340000004</v>
      </c>
      <c r="AB24" s="191">
        <v>-52942881.479999997</v>
      </c>
      <c r="AC24" s="191">
        <v>-2661850366.8699999</v>
      </c>
      <c r="AD24" s="191">
        <v>-2429434494.6599998</v>
      </c>
      <c r="AE24" s="191">
        <v>-220195976.41</v>
      </c>
      <c r="AF24" s="191">
        <v>25385.15</v>
      </c>
      <c r="AG24" s="191">
        <v>-1292845230.8</v>
      </c>
      <c r="AH24" s="191">
        <v>-1254440727.04</v>
      </c>
      <c r="AI24" s="191">
        <v>-139400387.33000001</v>
      </c>
      <c r="AJ24" s="191">
        <v>-137180771.31999999</v>
      </c>
      <c r="AK24" s="191">
        <v>-1234985747.28</v>
      </c>
      <c r="AL24" s="191">
        <v>-1234562872.4200001</v>
      </c>
      <c r="AM24" s="191">
        <v>-174163995.50999999</v>
      </c>
      <c r="AN24" s="191">
        <v>-1757047.92</v>
      </c>
      <c r="AO24" s="191">
        <v>-883910258.55999994</v>
      </c>
      <c r="AP24" s="191">
        <v>-768599888.52999997</v>
      </c>
      <c r="AQ24" s="191">
        <v>-765854695.45000005</v>
      </c>
      <c r="AR24" s="191">
        <v>593163.85</v>
      </c>
      <c r="AS24" s="191">
        <v>-705361407.20000005</v>
      </c>
      <c r="AT24" s="191">
        <v>-706511053.74000001</v>
      </c>
      <c r="AU24" s="191">
        <v>-666067.11</v>
      </c>
      <c r="AV24" s="191">
        <v>380084.65</v>
      </c>
      <c r="AW24" s="191">
        <v>-755992791.29999995</v>
      </c>
      <c r="AX24" s="191">
        <v>-753897232.23000002</v>
      </c>
      <c r="AY24" s="191">
        <v>-755816503.44000006</v>
      </c>
      <c r="AZ24" s="191">
        <v>-33670958.609999999</v>
      </c>
      <c r="BA24" s="191">
        <v>-159201747.91999999</v>
      </c>
      <c r="BB24" s="191">
        <v>-176408943</v>
      </c>
      <c r="BC24" s="191">
        <v>-27037107.960000001</v>
      </c>
      <c r="BD24" s="191">
        <v>-13693935.66</v>
      </c>
      <c r="BE24" s="191">
        <v>-62314427.450000003</v>
      </c>
      <c r="BF24" s="191">
        <v>-65242641.060000002</v>
      </c>
      <c r="BG24" s="191">
        <v>9054041.3900000006</v>
      </c>
      <c r="BH24" s="191">
        <v>5959082.6799999997</v>
      </c>
      <c r="BI24" s="191">
        <v>-47085988.25</v>
      </c>
      <c r="BJ24" s="191">
        <v>-51029499.060000002</v>
      </c>
      <c r="BK24" s="191">
        <v>-8858203.8399999999</v>
      </c>
      <c r="BL24" s="191">
        <v>2188358.4300000002</v>
      </c>
      <c r="BM24" s="191">
        <v>-139259336.87</v>
      </c>
      <c r="BN24" s="191">
        <v>2240036.12</v>
      </c>
      <c r="BO24" s="191">
        <v>1784861497.47</v>
      </c>
      <c r="BP24" s="191">
        <v>-37060123.060000002</v>
      </c>
      <c r="BQ24" s="191">
        <v>-146707692.88</v>
      </c>
      <c r="BR24" s="191">
        <v>0</v>
      </c>
      <c r="BS24" s="191">
        <v>-400000000</v>
      </c>
      <c r="BT24" s="191">
        <v>-237866348.78</v>
      </c>
      <c r="BU24" s="191">
        <v>1108113819.7</v>
      </c>
      <c r="BV24" s="191">
        <v>0</v>
      </c>
    </row>
    <row r="25" spans="1:74" s="240" customFormat="1" ht="138.6" customHeight="1" x14ac:dyDescent="0.25">
      <c r="A25" s="274" t="s">
        <v>741</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629</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60050000</v>
      </c>
      <c r="N26" s="26">
        <f>现金流量表!N15</f>
        <v>60000000</v>
      </c>
      <c r="O26" s="26">
        <f>现金流量表!O15</f>
        <v>10000000</v>
      </c>
      <c r="P26" s="26">
        <f>现金流量表!P15</f>
        <v>10000000</v>
      </c>
      <c r="Q26" s="26">
        <f>现金流量表!Q15</f>
        <v>5000000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10000000</v>
      </c>
      <c r="Z26" s="26">
        <f>现金流量表!Z15</f>
        <v>10000000</v>
      </c>
      <c r="AA26" s="26">
        <f>现金流量表!AA15</f>
        <v>10000000</v>
      </c>
      <c r="AB26" s="26">
        <f>现金流量表!AB15</f>
        <v>10000000</v>
      </c>
      <c r="AC26" s="26">
        <f>现金流量表!AC15</f>
        <v>0</v>
      </c>
      <c r="AD26" s="26">
        <f>现金流量表!AD15</f>
        <v>0</v>
      </c>
      <c r="AE26" s="26">
        <f>现金流量表!AE15</f>
        <v>0</v>
      </c>
      <c r="AF26" s="26">
        <f>现金流量表!AF15</f>
        <v>0</v>
      </c>
      <c r="AG26" s="26">
        <f>现金流量表!AG15</f>
        <v>17000000</v>
      </c>
      <c r="AH26" s="26">
        <f>现金流量表!AH15</f>
        <v>17000000</v>
      </c>
      <c r="AI26" s="26">
        <f>现金流量表!AI15</f>
        <v>17000000</v>
      </c>
      <c r="AJ26" s="26">
        <f>现金流量表!AJ15</f>
        <v>17000000</v>
      </c>
      <c r="AK26" s="26">
        <f>现金流量表!AK15</f>
        <v>25000000</v>
      </c>
      <c r="AL26" s="26">
        <f>现金流量表!AL15</f>
        <v>25000000</v>
      </c>
      <c r="AM26" s="26">
        <f>现金流量表!AM15</f>
        <v>25000000</v>
      </c>
      <c r="AN26" s="26">
        <f>现金流量表!AN15</f>
        <v>0</v>
      </c>
      <c r="AO26" s="26">
        <f>现金流量表!AO15</f>
        <v>21000000</v>
      </c>
      <c r="AP26" s="26">
        <f>现金流量表!AP15</f>
        <v>21000000</v>
      </c>
      <c r="AQ26" s="26">
        <f>现金流量表!AQ15</f>
        <v>21000000</v>
      </c>
      <c r="AR26" s="26">
        <f>现金流量表!AR15</f>
        <v>21000000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25050000</v>
      </c>
      <c r="N27" s="26">
        <f>现金流量表!N22</f>
        <v>25000000</v>
      </c>
      <c r="O27" s="26">
        <f>现金流量表!O22</f>
        <v>25000000</v>
      </c>
      <c r="P27" s="26">
        <f>现金流量表!P22</f>
        <v>0</v>
      </c>
      <c r="Q27" s="26">
        <f>现金流量表!Q22</f>
        <v>15000000</v>
      </c>
      <c r="R27" s="26">
        <f>现金流量表!R22</f>
        <v>15000000</v>
      </c>
      <c r="S27" s="26">
        <f>现金流量表!S22</f>
        <v>15000000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50000000</v>
      </c>
      <c r="AH27" s="26">
        <f>现金流量表!AH22</f>
        <v>50000000</v>
      </c>
      <c r="AI27" s="26">
        <f>现金流量表!AI22</f>
        <v>50000000</v>
      </c>
      <c r="AJ27" s="26">
        <f>现金流量表!AJ22</f>
        <v>0</v>
      </c>
      <c r="AK27" s="26">
        <f>现金流量表!AK22</f>
        <v>10000000</v>
      </c>
      <c r="AL27" s="26">
        <f>现金流量表!AL22</f>
        <v>10000000</v>
      </c>
      <c r="AM27" s="26">
        <f>现金流量表!AM22</f>
        <v>10000000</v>
      </c>
      <c r="AN27" s="26">
        <f>现金流量表!AN22</f>
        <v>10000000</v>
      </c>
      <c r="AO27" s="26">
        <f>现金流量表!AO22</f>
        <v>5000000</v>
      </c>
      <c r="AP27" s="26">
        <f>现金流量表!AP22</f>
        <v>0</v>
      </c>
      <c r="AQ27" s="26">
        <f>现金流量表!AQ22</f>
        <v>0</v>
      </c>
      <c r="AR27" s="26">
        <f>现金流量表!AR22</f>
        <v>0</v>
      </c>
      <c r="AS27" s="26">
        <f>现金流量表!AS22</f>
        <v>17000000</v>
      </c>
      <c r="AT27" s="26">
        <f>现金流量表!AT22</f>
        <v>17000000</v>
      </c>
      <c r="AU27" s="26">
        <f>现金流量表!AU22</f>
        <v>17000000</v>
      </c>
      <c r="AV27" s="26">
        <f>现金流量表!AV22</f>
        <v>17000000</v>
      </c>
      <c r="AW27" s="26">
        <f>现金流量表!AW22</f>
        <v>41000000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4000000</v>
      </c>
      <c r="BN27" s="26">
        <f>现金流量表!BN22</f>
        <v>4000000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0</v>
      </c>
      <c r="F28" s="26">
        <f t="shared" ref="F28:BQ28" si="79">F27-F26</f>
        <v>0</v>
      </c>
      <c r="G28" s="26">
        <f t="shared" si="79"/>
        <v>0</v>
      </c>
      <c r="H28" s="26">
        <f t="shared" si="79"/>
        <v>0</v>
      </c>
      <c r="I28" s="26">
        <f t="shared" si="79"/>
        <v>0</v>
      </c>
      <c r="J28" s="26">
        <f t="shared" si="79"/>
        <v>0</v>
      </c>
      <c r="K28" s="26">
        <f t="shared" si="79"/>
        <v>0</v>
      </c>
      <c r="L28" s="26">
        <f t="shared" si="79"/>
        <v>0</v>
      </c>
      <c r="M28" s="26">
        <f t="shared" si="79"/>
        <v>-35000000</v>
      </c>
      <c r="N28" s="26">
        <f t="shared" si="79"/>
        <v>-35000000</v>
      </c>
      <c r="O28" s="26">
        <f t="shared" si="79"/>
        <v>15000000</v>
      </c>
      <c r="P28" s="26">
        <f t="shared" si="79"/>
        <v>-10000000</v>
      </c>
      <c r="Q28" s="26">
        <f t="shared" si="79"/>
        <v>10000000</v>
      </c>
      <c r="R28" s="26">
        <f t="shared" si="79"/>
        <v>15000000</v>
      </c>
      <c r="S28" s="26">
        <f t="shared" si="79"/>
        <v>15000000</v>
      </c>
      <c r="T28" s="26">
        <f t="shared" si="79"/>
        <v>0</v>
      </c>
      <c r="U28" s="26">
        <f t="shared" si="79"/>
        <v>0</v>
      </c>
      <c r="V28" s="26">
        <f t="shared" si="79"/>
        <v>0</v>
      </c>
      <c r="W28" s="26">
        <f t="shared" si="79"/>
        <v>0</v>
      </c>
      <c r="X28" s="26">
        <f t="shared" si="79"/>
        <v>0</v>
      </c>
      <c r="Y28" s="26">
        <f t="shared" si="79"/>
        <v>-10000000</v>
      </c>
      <c r="Z28" s="26">
        <f t="shared" si="79"/>
        <v>-10000000</v>
      </c>
      <c r="AA28" s="26">
        <f t="shared" si="79"/>
        <v>-10000000</v>
      </c>
      <c r="AB28" s="26">
        <f t="shared" si="79"/>
        <v>-10000000</v>
      </c>
      <c r="AC28" s="26">
        <f t="shared" si="79"/>
        <v>0</v>
      </c>
      <c r="AD28" s="26">
        <f t="shared" si="79"/>
        <v>0</v>
      </c>
      <c r="AE28" s="26">
        <f t="shared" si="79"/>
        <v>0</v>
      </c>
      <c r="AF28" s="26">
        <f t="shared" si="79"/>
        <v>0</v>
      </c>
      <c r="AG28" s="26">
        <f t="shared" si="79"/>
        <v>33000000</v>
      </c>
      <c r="AH28" s="26">
        <f t="shared" si="79"/>
        <v>33000000</v>
      </c>
      <c r="AI28" s="26">
        <f t="shared" si="79"/>
        <v>33000000</v>
      </c>
      <c r="AJ28" s="26">
        <f t="shared" si="79"/>
        <v>-17000000</v>
      </c>
      <c r="AK28" s="26">
        <f t="shared" si="79"/>
        <v>-15000000</v>
      </c>
      <c r="AL28" s="26">
        <f t="shared" si="79"/>
        <v>-15000000</v>
      </c>
      <c r="AM28" s="26">
        <f t="shared" si="79"/>
        <v>-15000000</v>
      </c>
      <c r="AN28" s="26">
        <f t="shared" si="79"/>
        <v>10000000</v>
      </c>
      <c r="AO28" s="26">
        <f t="shared" si="79"/>
        <v>-16000000</v>
      </c>
      <c r="AP28" s="26">
        <f t="shared" si="79"/>
        <v>-21000000</v>
      </c>
      <c r="AQ28" s="26">
        <f t="shared" si="79"/>
        <v>-21000000</v>
      </c>
      <c r="AR28" s="26">
        <f t="shared" si="79"/>
        <v>-21000000</v>
      </c>
      <c r="AS28" s="26">
        <f t="shared" si="79"/>
        <v>17000000</v>
      </c>
      <c r="AT28" s="26">
        <f t="shared" si="79"/>
        <v>17000000</v>
      </c>
      <c r="AU28" s="26">
        <f t="shared" si="79"/>
        <v>17000000</v>
      </c>
      <c r="AV28" s="26">
        <f t="shared" si="79"/>
        <v>17000000</v>
      </c>
      <c r="AW28" s="26">
        <f t="shared" si="79"/>
        <v>41000000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4000000</v>
      </c>
      <c r="BN28" s="26">
        <f t="shared" si="79"/>
        <v>4000000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632</v>
      </c>
      <c r="E29" s="180" t="e">
        <f>POWER(E28/U28,1/5)-1</f>
        <v>#DIV/0!</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25569</v>
      </c>
      <c r="BS30" s="1">
        <v>36525</v>
      </c>
      <c r="BT30" s="1">
        <v>36341</v>
      </c>
      <c r="BU30" s="1">
        <v>36160</v>
      </c>
      <c r="BV30" s="1">
        <v>25569</v>
      </c>
    </row>
    <row r="31" spans="1:74" s="51" customFormat="1" ht="17.399999999999999" customHeight="1" x14ac:dyDescent="0.25">
      <c r="A31" s="175" t="s">
        <v>310</v>
      </c>
      <c r="B31" s="191">
        <v>22316773408.830002</v>
      </c>
      <c r="C31" s="191">
        <v>22175928347.880001</v>
      </c>
      <c r="D31" s="191">
        <v>22623555929.689999</v>
      </c>
      <c r="E31" s="191">
        <v>22360930913.48</v>
      </c>
      <c r="F31" s="191">
        <v>22976741343</v>
      </c>
      <c r="G31" s="191">
        <v>22984949774.959999</v>
      </c>
      <c r="H31" s="191">
        <v>23089295953.759998</v>
      </c>
      <c r="I31" s="191">
        <v>22753989474.84</v>
      </c>
      <c r="J31" s="191">
        <v>21643145955.470001</v>
      </c>
      <c r="K31" s="191">
        <v>21593032140.220001</v>
      </c>
      <c r="L31" s="191">
        <v>21576653404.439999</v>
      </c>
      <c r="M31" s="191">
        <v>21296949399.18</v>
      </c>
      <c r="N31" s="191">
        <v>20261592117.09</v>
      </c>
      <c r="O31" s="191">
        <v>19097774757.830002</v>
      </c>
      <c r="P31" s="191">
        <v>18315646536.52</v>
      </c>
      <c r="Q31" s="191">
        <v>18302236150.310001</v>
      </c>
      <c r="R31" s="191">
        <v>16660795222.92</v>
      </c>
      <c r="S31" s="191">
        <v>16579774564.629999</v>
      </c>
      <c r="T31" s="191">
        <v>15583608259.01</v>
      </c>
      <c r="U31" s="191">
        <v>13522567242.82</v>
      </c>
      <c r="V31" s="191">
        <v>9433590713.1000004</v>
      </c>
      <c r="W31" s="191">
        <v>8937733311.7900009</v>
      </c>
      <c r="X31" s="191">
        <v>9046122215.5200005</v>
      </c>
      <c r="Y31" s="191">
        <v>8773132339.5799999</v>
      </c>
      <c r="Z31" s="191">
        <v>7348983711.5200005</v>
      </c>
      <c r="AA31" s="191">
        <v>7287172510.8199997</v>
      </c>
      <c r="AB31" s="191">
        <v>7174957543.2700005</v>
      </c>
      <c r="AC31" s="191">
        <v>7071236794.9799995</v>
      </c>
      <c r="AD31" s="191">
        <v>5907593182.6300001</v>
      </c>
      <c r="AE31" s="191">
        <v>5450664776.8999996</v>
      </c>
      <c r="AF31" s="191">
        <v>5404910754.6800003</v>
      </c>
      <c r="AG31" s="191">
        <v>5287295112.3800001</v>
      </c>
      <c r="AH31" s="191">
        <v>4854322092.2399998</v>
      </c>
      <c r="AI31" s="191">
        <v>4750522574.4799995</v>
      </c>
      <c r="AJ31" s="191">
        <v>4223497907.46</v>
      </c>
      <c r="AK31" s="191">
        <v>4114037784.3299999</v>
      </c>
      <c r="AL31" s="191">
        <v>3893081948.3499999</v>
      </c>
      <c r="AM31" s="191">
        <v>3756937589.1599998</v>
      </c>
      <c r="AN31" s="191">
        <v>3728677824.9000001</v>
      </c>
      <c r="AO31" s="191">
        <v>3513436953.5100002</v>
      </c>
      <c r="AP31" s="191">
        <v>3739014271</v>
      </c>
      <c r="AQ31" s="191">
        <v>3526080172.4299998</v>
      </c>
      <c r="AR31" s="191">
        <v>3338338900.5300002</v>
      </c>
      <c r="AS31" s="191">
        <v>3209968937.0300002</v>
      </c>
      <c r="AT31" s="191">
        <v>3086136003.2399998</v>
      </c>
      <c r="AU31" s="191">
        <v>2952999545.0700002</v>
      </c>
      <c r="AV31" s="191">
        <v>2845284852.9899998</v>
      </c>
      <c r="AW31" s="191">
        <v>2638340763.6999998</v>
      </c>
      <c r="AX31" s="191">
        <v>2450389777.1900001</v>
      </c>
      <c r="AY31" s="191">
        <v>2263427977.0500002</v>
      </c>
      <c r="AZ31" s="191">
        <v>2115638921.48</v>
      </c>
      <c r="BA31" s="191">
        <v>2038076176.98</v>
      </c>
      <c r="BB31" s="191">
        <v>1904956898.72</v>
      </c>
      <c r="BC31" s="191">
        <v>1780876639.3299999</v>
      </c>
      <c r="BD31" s="191">
        <v>1685409788.29</v>
      </c>
      <c r="BE31" s="191">
        <v>1601014475.77</v>
      </c>
      <c r="BF31" s="191">
        <v>1463570659.45</v>
      </c>
      <c r="BG31" s="191">
        <v>1398793760.26</v>
      </c>
      <c r="BH31" s="191">
        <v>1332300138.5599999</v>
      </c>
      <c r="BI31" s="191">
        <v>1200336776.9300001</v>
      </c>
      <c r="BJ31" s="191">
        <v>1165910893.28</v>
      </c>
      <c r="BK31" s="191">
        <v>1092933336.0799999</v>
      </c>
      <c r="BL31" s="191">
        <v>1019774319.86</v>
      </c>
      <c r="BM31" s="191">
        <v>939648707.25</v>
      </c>
      <c r="BN31" s="191">
        <v>859601030.65999997</v>
      </c>
      <c r="BO31" s="191">
        <v>748821426.96000004</v>
      </c>
      <c r="BP31" s="191">
        <v>611201680.95000005</v>
      </c>
      <c r="BQ31" s="191">
        <v>593463444.27999997</v>
      </c>
      <c r="BR31" s="191">
        <v>203349614.99000001</v>
      </c>
      <c r="BS31" s="191">
        <v>3540915525.1199999</v>
      </c>
      <c r="BT31" s="191">
        <v>1786934979.5599999</v>
      </c>
      <c r="BU31" s="191">
        <v>1665815375.1099999</v>
      </c>
      <c r="BV31" s="191">
        <v>1686369507.6900001</v>
      </c>
    </row>
    <row r="32" spans="1:74" s="54" customFormat="1" ht="15" customHeight="1" x14ac:dyDescent="0.25">
      <c r="A32" s="273" t="s">
        <v>311</v>
      </c>
      <c r="B32" s="191">
        <v>0</v>
      </c>
      <c r="C32" s="191">
        <v>0</v>
      </c>
      <c r="D32" s="191">
        <v>0</v>
      </c>
      <c r="E32" s="191">
        <v>0</v>
      </c>
      <c r="F32" s="191">
        <v>0</v>
      </c>
      <c r="G32" s="191">
        <v>0</v>
      </c>
      <c r="H32" s="191">
        <v>0</v>
      </c>
      <c r="I32" s="191">
        <v>0</v>
      </c>
      <c r="J32" s="191">
        <v>0</v>
      </c>
      <c r="K32" s="191">
        <v>0</v>
      </c>
      <c r="L32" s="191">
        <v>0</v>
      </c>
      <c r="M32" s="191">
        <v>0</v>
      </c>
      <c r="N32" s="191">
        <v>0</v>
      </c>
      <c r="O32" s="191">
        <v>0</v>
      </c>
      <c r="P32" s="191">
        <v>0</v>
      </c>
      <c r="Q32" s="191">
        <v>0</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c r="AW32" s="191">
        <v>0</v>
      </c>
      <c r="AX32" s="191">
        <v>0</v>
      </c>
      <c r="AY32" s="191">
        <v>0</v>
      </c>
      <c r="AZ32" s="191">
        <v>0</v>
      </c>
      <c r="BA32" s="191">
        <v>0</v>
      </c>
      <c r="BB32" s="191">
        <v>0</v>
      </c>
      <c r="BC32" s="191">
        <v>0</v>
      </c>
      <c r="BD32" s="191">
        <v>0</v>
      </c>
      <c r="BE32" s="191">
        <v>0</v>
      </c>
      <c r="BF32" s="191">
        <v>0</v>
      </c>
      <c r="BG32" s="191">
        <v>0</v>
      </c>
      <c r="BH32" s="191">
        <v>0</v>
      </c>
      <c r="BI32" s="191">
        <v>0</v>
      </c>
      <c r="BJ32" s="191">
        <v>0</v>
      </c>
      <c r="BK32" s="191">
        <v>0</v>
      </c>
      <c r="BL32" s="191">
        <v>0</v>
      </c>
      <c r="BM32" s="191">
        <v>0</v>
      </c>
      <c r="BN32" s="191">
        <v>0</v>
      </c>
      <c r="BO32" s="191">
        <v>0</v>
      </c>
      <c r="BP32" s="191">
        <v>0</v>
      </c>
      <c r="BQ32" s="191">
        <v>0</v>
      </c>
      <c r="BR32" s="191">
        <v>0</v>
      </c>
      <c r="BS32" s="191">
        <v>0</v>
      </c>
      <c r="BT32" s="191">
        <v>0</v>
      </c>
      <c r="BU32" s="191">
        <v>0</v>
      </c>
      <c r="BV32" s="191">
        <v>0</v>
      </c>
    </row>
    <row r="33" spans="1:74" s="54" customFormat="1" ht="19.2" customHeight="1" x14ac:dyDescent="0.25">
      <c r="A33" s="273" t="s">
        <v>312</v>
      </c>
      <c r="B33" s="191">
        <v>29000000</v>
      </c>
      <c r="C33" s="191">
        <v>29000000</v>
      </c>
      <c r="D33" s="191">
        <v>29000000</v>
      </c>
      <c r="E33" s="191">
        <v>29000000</v>
      </c>
      <c r="F33" s="191">
        <v>29000000</v>
      </c>
      <c r="G33" s="191">
        <v>29000000</v>
      </c>
      <c r="H33" s="191">
        <v>29000000</v>
      </c>
      <c r="I33" s="191">
        <v>29000000</v>
      </c>
      <c r="J33" s="191">
        <v>29000000</v>
      </c>
      <c r="K33" s="191">
        <v>29000000</v>
      </c>
      <c r="L33" s="191">
        <v>29000000</v>
      </c>
      <c r="M33" s="191">
        <v>29000000</v>
      </c>
      <c r="N33" s="191">
        <v>29000000</v>
      </c>
      <c r="O33" s="191">
        <v>29000000</v>
      </c>
      <c r="P33" s="191">
        <v>4000000</v>
      </c>
      <c r="Q33" s="191">
        <v>4000000</v>
      </c>
      <c r="R33" s="191">
        <v>4000000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191">
        <v>0</v>
      </c>
      <c r="AX33" s="191">
        <v>0</v>
      </c>
      <c r="AY33" s="191">
        <v>0</v>
      </c>
      <c r="AZ33" s="191">
        <v>0</v>
      </c>
      <c r="BA33" s="191">
        <v>0</v>
      </c>
      <c r="BB33" s="191">
        <v>0</v>
      </c>
      <c r="BC33" s="191">
        <v>0</v>
      </c>
      <c r="BD33" s="191">
        <v>0</v>
      </c>
      <c r="BE33" s="191">
        <v>0</v>
      </c>
      <c r="BF33" s="191">
        <v>0</v>
      </c>
      <c r="BG33" s="191">
        <v>0</v>
      </c>
      <c r="BH33" s="191">
        <v>0</v>
      </c>
      <c r="BI33" s="191">
        <v>0</v>
      </c>
      <c r="BJ33" s="191">
        <v>0</v>
      </c>
      <c r="BK33" s="191">
        <v>0</v>
      </c>
      <c r="BL33" s="191">
        <v>0</v>
      </c>
      <c r="BM33" s="191">
        <v>0</v>
      </c>
      <c r="BN33" s="191">
        <v>0</v>
      </c>
      <c r="BO33" s="191">
        <v>0</v>
      </c>
      <c r="BP33" s="191">
        <v>0</v>
      </c>
      <c r="BQ33" s="191">
        <v>0</v>
      </c>
      <c r="BR33" s="191">
        <v>0</v>
      </c>
      <c r="BS33" s="191">
        <v>0</v>
      </c>
      <c r="BT33" s="191">
        <v>0</v>
      </c>
      <c r="BU33" s="191">
        <v>0</v>
      </c>
      <c r="BV33" s="191">
        <v>0</v>
      </c>
    </row>
    <row r="34" spans="1:74" s="44" customFormat="1" ht="15" thickBot="1" x14ac:dyDescent="0.3">
      <c r="A34" s="137" t="s">
        <v>315</v>
      </c>
      <c r="B34" s="49"/>
      <c r="C34" s="49"/>
      <c r="D34" s="49"/>
      <c r="E34" s="49">
        <f>E31-E32-E33</f>
        <v>22331930913.48</v>
      </c>
      <c r="F34" s="49">
        <f t="shared" ref="F34:BP34" si="81">F31-F32-F33</f>
        <v>22947741343</v>
      </c>
      <c r="G34" s="49">
        <f t="shared" si="81"/>
        <v>22955949774.959999</v>
      </c>
      <c r="H34" s="49">
        <f t="shared" si="81"/>
        <v>23060295953.759998</v>
      </c>
      <c r="I34" s="49">
        <f t="shared" si="81"/>
        <v>22724989474.84</v>
      </c>
      <c r="J34" s="49">
        <f t="shared" si="81"/>
        <v>21614145955.470001</v>
      </c>
      <c r="K34" s="49">
        <f t="shared" si="81"/>
        <v>21564032140.220001</v>
      </c>
      <c r="L34" s="49">
        <f t="shared" si="81"/>
        <v>21547653404.439999</v>
      </c>
      <c r="M34" s="49">
        <f t="shared" si="81"/>
        <v>21267949399.18</v>
      </c>
      <c r="N34" s="49">
        <f t="shared" si="81"/>
        <v>20232592117.09</v>
      </c>
      <c r="O34" s="49">
        <f t="shared" si="81"/>
        <v>19068774757.830002</v>
      </c>
      <c r="P34" s="49">
        <f t="shared" si="81"/>
        <v>18311646536.52</v>
      </c>
      <c r="Q34" s="49">
        <f t="shared" si="81"/>
        <v>18298236150.310001</v>
      </c>
      <c r="R34" s="49">
        <f t="shared" si="81"/>
        <v>16656795222.92</v>
      </c>
      <c r="S34" s="49">
        <f t="shared" si="81"/>
        <v>16579774564.629999</v>
      </c>
      <c r="T34" s="49">
        <f t="shared" si="81"/>
        <v>15583608259.01</v>
      </c>
      <c r="U34" s="49">
        <f t="shared" si="81"/>
        <v>13522567242.82</v>
      </c>
      <c r="V34" s="49">
        <f t="shared" si="81"/>
        <v>9433590713.1000004</v>
      </c>
      <c r="W34" s="49">
        <f t="shared" si="81"/>
        <v>8937733311.7900009</v>
      </c>
      <c r="X34" s="49">
        <f t="shared" si="81"/>
        <v>9046122215.5200005</v>
      </c>
      <c r="Y34" s="49">
        <f t="shared" si="81"/>
        <v>8773132339.5799999</v>
      </c>
      <c r="Z34" s="49">
        <f t="shared" si="81"/>
        <v>7348983711.5200005</v>
      </c>
      <c r="AA34" s="49">
        <f t="shared" si="81"/>
        <v>7287172510.8199997</v>
      </c>
      <c r="AB34" s="49">
        <f t="shared" si="81"/>
        <v>7174957543.2700005</v>
      </c>
      <c r="AC34" s="49">
        <f t="shared" si="81"/>
        <v>7071236794.9799995</v>
      </c>
      <c r="AD34" s="49">
        <f t="shared" si="81"/>
        <v>5907593182.6300001</v>
      </c>
      <c r="AE34" s="49">
        <f t="shared" si="81"/>
        <v>5450664776.8999996</v>
      </c>
      <c r="AF34" s="49">
        <f t="shared" si="81"/>
        <v>5404910754.6800003</v>
      </c>
      <c r="AG34" s="49">
        <f t="shared" si="81"/>
        <v>5287295112.3800001</v>
      </c>
      <c r="AH34" s="49">
        <f t="shared" si="81"/>
        <v>4854322092.2399998</v>
      </c>
      <c r="AI34" s="49">
        <f t="shared" si="81"/>
        <v>4750522574.4799995</v>
      </c>
      <c r="AJ34" s="49">
        <f t="shared" si="81"/>
        <v>4223497907.46</v>
      </c>
      <c r="AK34" s="49">
        <f t="shared" si="81"/>
        <v>4114037784.3299999</v>
      </c>
      <c r="AL34" s="49">
        <f t="shared" si="81"/>
        <v>3893081948.3499999</v>
      </c>
      <c r="AM34" s="49">
        <f t="shared" si="81"/>
        <v>3756937589.1599998</v>
      </c>
      <c r="AN34" s="49">
        <f t="shared" si="81"/>
        <v>3728677824.9000001</v>
      </c>
      <c r="AO34" s="49">
        <f t="shared" si="81"/>
        <v>3513436953.5100002</v>
      </c>
      <c r="AP34" s="49">
        <f t="shared" si="81"/>
        <v>3739014271</v>
      </c>
      <c r="AQ34" s="49">
        <f t="shared" si="81"/>
        <v>3526080172.4299998</v>
      </c>
      <c r="AR34" s="49">
        <f t="shared" si="81"/>
        <v>3338338900.5300002</v>
      </c>
      <c r="AS34" s="49">
        <f t="shared" si="81"/>
        <v>3209968937.0300002</v>
      </c>
      <c r="AT34" s="49">
        <f t="shared" si="81"/>
        <v>3086136003.2399998</v>
      </c>
      <c r="AU34" s="49">
        <f t="shared" si="81"/>
        <v>2952999545.0700002</v>
      </c>
      <c r="AV34" s="49">
        <f t="shared" si="81"/>
        <v>2845284852.9899998</v>
      </c>
      <c r="AW34" s="49">
        <f t="shared" si="81"/>
        <v>2638340763.6999998</v>
      </c>
      <c r="AX34" s="49">
        <f t="shared" si="81"/>
        <v>2450389777.1900001</v>
      </c>
      <c r="AY34" s="49">
        <f t="shared" si="81"/>
        <v>2263427977.0500002</v>
      </c>
      <c r="AZ34" s="49">
        <f t="shared" si="81"/>
        <v>2115638921.48</v>
      </c>
      <c r="BA34" s="49">
        <f t="shared" si="81"/>
        <v>2038076176.98</v>
      </c>
      <c r="BB34" s="49">
        <f t="shared" si="81"/>
        <v>1904956898.72</v>
      </c>
      <c r="BC34" s="49">
        <f t="shared" si="81"/>
        <v>1780876639.3299999</v>
      </c>
      <c r="BD34" s="49">
        <f t="shared" si="81"/>
        <v>1685409788.29</v>
      </c>
      <c r="BE34" s="49">
        <f t="shared" si="81"/>
        <v>1601014475.77</v>
      </c>
      <c r="BF34" s="49">
        <f t="shared" si="81"/>
        <v>1463570659.45</v>
      </c>
      <c r="BG34" s="49">
        <f t="shared" si="81"/>
        <v>1398793760.26</v>
      </c>
      <c r="BH34" s="49">
        <f t="shared" si="81"/>
        <v>1332300138.5599999</v>
      </c>
      <c r="BI34" s="49">
        <f t="shared" si="81"/>
        <v>1200336776.9300001</v>
      </c>
      <c r="BJ34" s="49">
        <f t="shared" si="81"/>
        <v>1165910893.28</v>
      </c>
      <c r="BK34" s="49">
        <f t="shared" si="81"/>
        <v>1092933336.0799999</v>
      </c>
      <c r="BL34" s="49">
        <f t="shared" si="81"/>
        <v>1019774319.86</v>
      </c>
      <c r="BM34" s="49">
        <f t="shared" si="81"/>
        <v>939648707.25</v>
      </c>
      <c r="BN34" s="49">
        <f t="shared" si="81"/>
        <v>859601030.65999997</v>
      </c>
      <c r="BO34" s="49">
        <f t="shared" si="81"/>
        <v>748821426.96000004</v>
      </c>
      <c r="BP34" s="49">
        <f t="shared" si="81"/>
        <v>611201680.95000005</v>
      </c>
      <c r="BQ34" s="49">
        <f>AP31-AP32-AP33</f>
        <v>3739014271</v>
      </c>
      <c r="BR34" s="49">
        <f>AQ31-AQ32-AQ33</f>
        <v>3526080172.4299998</v>
      </c>
      <c r="BS34" s="49">
        <f>AR31-AR32-AR33</f>
        <v>3338338900.5300002</v>
      </c>
      <c r="BT34" s="49"/>
      <c r="BU34" s="50"/>
    </row>
    <row r="35" spans="1:74" s="106" customFormat="1" ht="15" thickBot="1" x14ac:dyDescent="0.3">
      <c r="A35" s="138" t="s">
        <v>317</v>
      </c>
      <c r="B35" s="33">
        <f>SUM(B22:B31)</f>
        <v>5881423621.7700024</v>
      </c>
      <c r="C35" s="33">
        <f>SUM(C22:C31)</f>
        <v>8321052018.0500011</v>
      </c>
      <c r="D35" s="33">
        <f>SUM(D22:D31)</f>
        <v>22623599119.689999</v>
      </c>
      <c r="E35" s="33">
        <f>资产资本表!E17</f>
        <v>88172478529.229996</v>
      </c>
      <c r="F35" s="33">
        <f>资产资本表!F17</f>
        <v>81265615624.639999</v>
      </c>
      <c r="G35" s="33">
        <f>资产资本表!G17</f>
        <v>74045487984.549988</v>
      </c>
      <c r="H35" s="33">
        <f>资产资本表!H17</f>
        <v>73219258579.670013</v>
      </c>
      <c r="I35" s="33">
        <f>资产资本表!I17</f>
        <v>67085700492.129997</v>
      </c>
      <c r="J35" s="33">
        <f>资产资本表!J17</f>
        <v>62324058442.190002</v>
      </c>
      <c r="K35" s="33">
        <f>资产资本表!K17</f>
        <v>47808867372.299995</v>
      </c>
      <c r="L35" s="33">
        <f>资产资本表!L17</f>
        <v>44074809231.059998</v>
      </c>
      <c r="M35" s="33">
        <f>资产资本表!M17</f>
        <v>36934596946.529999</v>
      </c>
      <c r="N35" s="33">
        <f>资产资本表!N17</f>
        <v>30722903270.879997</v>
      </c>
      <c r="O35" s="33">
        <f>资产资本表!O17</f>
        <v>30482844449.870003</v>
      </c>
      <c r="P35" s="33">
        <f>资产资本表!P17</f>
        <v>28623123952.73</v>
      </c>
      <c r="Q35" s="33">
        <f>资产资本表!Q17</f>
        <v>27886130602.540001</v>
      </c>
      <c r="R35" s="33">
        <f>资产资本表!R17</f>
        <v>22910725708.920002</v>
      </c>
      <c r="S35" s="33">
        <f>资产资本表!S17</f>
        <v>21200304356.759998</v>
      </c>
      <c r="T35" s="33">
        <f>资产资本表!T17</f>
        <v>23500579727.43</v>
      </c>
      <c r="U35" s="33">
        <f>资产资本表!U17</f>
        <v>25514135978.91</v>
      </c>
      <c r="V35" s="33">
        <f>资产资本表!V17</f>
        <v>22377192030.630001</v>
      </c>
      <c r="W35" s="33">
        <f>资产资本表!W17</f>
        <v>18562670939.949997</v>
      </c>
      <c r="X35" s="33">
        <f>资产资本表!X17</f>
        <v>21955036844.350002</v>
      </c>
      <c r="Y35" s="33">
        <f>资产资本表!Y17</f>
        <v>22376612663.389999</v>
      </c>
      <c r="Z35" s="33">
        <f>资产资本表!Z17</f>
        <v>19005987757.170002</v>
      </c>
      <c r="AA35" s="33">
        <f>资产资本表!AA17</f>
        <v>21245645480.619999</v>
      </c>
      <c r="AB35" s="33">
        <f>资产资本表!AB17</f>
        <v>19056013006.079998</v>
      </c>
      <c r="AC35" s="33">
        <f>资产资本表!AC17</f>
        <v>18539872922.09</v>
      </c>
      <c r="AD35" s="33">
        <f>资产资本表!AD17</f>
        <v>18524435542.09</v>
      </c>
      <c r="AE35" s="33">
        <f>资产资本表!AE17</f>
        <v>17479293577.549999</v>
      </c>
      <c r="AF35" s="33">
        <f>资产资本表!AF17</f>
        <v>16097936940.57</v>
      </c>
      <c r="AG35" s="33">
        <f>资产资本表!AG17</f>
        <v>12991122314.630001</v>
      </c>
      <c r="AH35" s="33">
        <f>资产资本表!AH17</f>
        <v>11163366118.51</v>
      </c>
      <c r="AI35" s="33">
        <f>资产资本表!AI17</f>
        <v>10378305344.280001</v>
      </c>
      <c r="AJ35" s="33">
        <f>资产资本表!AJ17</f>
        <v>9990618883.5699997</v>
      </c>
      <c r="AK35" s="33">
        <f>资产资本表!AK17</f>
        <v>9755064755.2399998</v>
      </c>
      <c r="AL35" s="33">
        <f>资产资本表!AL17</f>
        <v>7923955837.8000002</v>
      </c>
      <c r="AM35" s="33">
        <f>资产资本表!AM17</f>
        <v>7824246321.21</v>
      </c>
      <c r="AN35" s="33">
        <f>资产资本表!AN17</f>
        <v>7717405756.3000002</v>
      </c>
      <c r="AO35" s="33">
        <f>资产资本表!AO17</f>
        <v>8138505441.1599998</v>
      </c>
      <c r="AP35" s="33">
        <f>资产资本表!AP17</f>
        <v>6441498269.54</v>
      </c>
      <c r="AQ35" s="33">
        <f>资产资本表!AQ17</f>
        <v>5105053230.8000002</v>
      </c>
      <c r="AR35" s="33">
        <f>资产资本表!AR17</f>
        <v>5603323644.29</v>
      </c>
      <c r="AS35" s="33">
        <f>资产资本表!AS17</f>
        <v>4784290700.0200005</v>
      </c>
      <c r="AT35" s="33">
        <f>资产资本表!AT17</f>
        <v>4814014936.3500004</v>
      </c>
      <c r="AU35" s="33">
        <f>资产资本表!AU17</f>
        <v>4870494456.1599998</v>
      </c>
      <c r="AV35" s="33">
        <f>资产资本表!AV17</f>
        <v>4715254931.29</v>
      </c>
      <c r="AW35" s="33">
        <f>资产资本表!AW17</f>
        <v>4505867488.6400003</v>
      </c>
      <c r="AX35" s="33">
        <f>资产资本表!AX17</f>
        <v>4083907788.3400002</v>
      </c>
      <c r="AY35" s="33">
        <f>资产资本表!AY17</f>
        <v>3419099920.6599998</v>
      </c>
      <c r="AZ35" s="33">
        <f>资产资本表!AZ17</f>
        <v>3975708186.8800001</v>
      </c>
      <c r="BA35" s="33">
        <f>资产资本表!BA17</f>
        <v>3891989433.5300002</v>
      </c>
      <c r="BB35" s="33">
        <f>资产资本表!BB17</f>
        <v>3217007276.75</v>
      </c>
      <c r="BC35" s="33">
        <f>资产资本表!BC17</f>
        <v>3065214770.1900001</v>
      </c>
      <c r="BD35" s="33">
        <f>资产资本表!BD17</f>
        <v>3024925341.3800001</v>
      </c>
      <c r="BE35" s="33">
        <f>资产资本表!BE17</f>
        <v>2898327418.8499999</v>
      </c>
      <c r="BF35" s="33">
        <f>资产资本表!BF17</f>
        <v>2419288966.46</v>
      </c>
      <c r="BG35" s="33">
        <f>资产资本表!BG17</f>
        <v>2172790156.5900002</v>
      </c>
      <c r="BH35" s="33">
        <f>资产资本表!BH17</f>
        <v>2101448845.7199998</v>
      </c>
      <c r="BI35" s="33">
        <f>资产资本表!BI17</f>
        <v>2340047386.8499999</v>
      </c>
      <c r="BJ35" s="33">
        <f>资产资本表!BJ17</f>
        <v>1868792963.71</v>
      </c>
      <c r="BK35" s="33">
        <f>资产资本表!BK17</f>
        <v>1536249315.6400001</v>
      </c>
      <c r="BL35" s="33">
        <f>资产资本表!BL17</f>
        <v>1684957738.5599999</v>
      </c>
      <c r="BM35" s="33">
        <f>资产资本表!BM17</f>
        <v>1780307690.6400001</v>
      </c>
      <c r="BN35" s="33">
        <f>资产资本表!BN17</f>
        <v>1677224920.04</v>
      </c>
      <c r="BO35" s="33">
        <f>资产资本表!BO17</f>
        <v>1513800289.8299999</v>
      </c>
      <c r="BP35" s="33">
        <f>资产资本表!BP17</f>
        <v>1877929846.0899999</v>
      </c>
      <c r="BQ35" s="33">
        <f>资产资本表!BQ17</f>
        <v>1956436570.0999999</v>
      </c>
      <c r="BR35" s="33">
        <f>资产资本表!BR17</f>
        <v>336439213.5</v>
      </c>
      <c r="BS35" s="33">
        <f>资产资本表!BS17</f>
        <v>460983583.45999998</v>
      </c>
      <c r="BT35" s="33">
        <f>资产资本表!BT17</f>
        <v>198390615.12</v>
      </c>
      <c r="BU35" s="33">
        <f>资产资本表!BU17</f>
        <v>124765368.73999999</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25569</v>
      </c>
      <c r="BS38" s="1">
        <v>36525</v>
      </c>
      <c r="BT38" s="1">
        <v>36341</v>
      </c>
      <c r="BU38" s="1">
        <v>36160</v>
      </c>
      <c r="BV38" s="1">
        <v>25569</v>
      </c>
    </row>
    <row r="39" spans="1:74" s="48" customFormat="1" x14ac:dyDescent="0.25">
      <c r="A39" s="46" t="s">
        <v>319</v>
      </c>
    </row>
    <row r="40" spans="1:74" s="191" customFormat="1" x14ac:dyDescent="0.25">
      <c r="A40" s="191" t="s">
        <v>742</v>
      </c>
      <c r="B40" s="188">
        <v>0</v>
      </c>
      <c r="C40" s="188">
        <v>0</v>
      </c>
      <c r="D40" s="188">
        <v>0</v>
      </c>
      <c r="E40" s="188">
        <v>6000000</v>
      </c>
      <c r="F40" s="188">
        <v>6000000</v>
      </c>
      <c r="G40" s="188">
        <v>6000000</v>
      </c>
      <c r="H40" s="188">
        <v>0</v>
      </c>
      <c r="I40" s="188">
        <v>16000000</v>
      </c>
      <c r="J40" s="188">
        <v>0</v>
      </c>
      <c r="K40" s="188">
        <v>0</v>
      </c>
      <c r="L40" s="188">
        <v>0</v>
      </c>
      <c r="M40" s="188">
        <v>0</v>
      </c>
      <c r="N40" s="188">
        <v>0</v>
      </c>
      <c r="O40" s="188">
        <v>0</v>
      </c>
      <c r="P40" s="188">
        <v>0</v>
      </c>
      <c r="Q40" s="188">
        <v>34800000</v>
      </c>
      <c r="R40" s="188">
        <v>6000000</v>
      </c>
      <c r="S40" s="188">
        <v>0</v>
      </c>
      <c r="T40" s="188">
        <v>0</v>
      </c>
      <c r="U40" s="188">
        <v>6000000</v>
      </c>
      <c r="V40" s="188">
        <v>0</v>
      </c>
      <c r="W40" s="188">
        <v>0</v>
      </c>
      <c r="X40" s="188">
        <v>0</v>
      </c>
      <c r="Y40" s="188">
        <v>392000000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c r="BH40" s="188">
        <v>0</v>
      </c>
      <c r="BI40" s="188">
        <v>0</v>
      </c>
      <c r="BJ40" s="188">
        <v>0</v>
      </c>
      <c r="BK40" s="188">
        <v>0</v>
      </c>
      <c r="BL40" s="188">
        <v>0</v>
      </c>
      <c r="BM40" s="188">
        <v>0</v>
      </c>
      <c r="BN40" s="188">
        <v>0</v>
      </c>
      <c r="BO40" s="188">
        <v>2016922206.52</v>
      </c>
      <c r="BP40" s="188">
        <v>0</v>
      </c>
      <c r="BQ40" s="188">
        <v>500000</v>
      </c>
      <c r="BR40" s="188">
        <v>0</v>
      </c>
      <c r="BS40" s="191">
        <v>0</v>
      </c>
      <c r="BT40" s="191">
        <v>0</v>
      </c>
      <c r="BU40" s="191">
        <v>1165397962.47</v>
      </c>
      <c r="BV40" s="191">
        <v>0</v>
      </c>
    </row>
    <row r="41" spans="1:74" s="53" customFormat="1" ht="21.75" customHeight="1" x14ac:dyDescent="0.25">
      <c r="A41" s="139" t="s">
        <v>633</v>
      </c>
      <c r="B41" s="53">
        <v>1419647033.29</v>
      </c>
      <c r="C41" s="53">
        <v>682396282.87</v>
      </c>
      <c r="D41" s="53">
        <v>73246783.790000007</v>
      </c>
      <c r="E41" s="53">
        <v>8525814475.1899996</v>
      </c>
      <c r="I41" s="53">
        <v>7751996623.8100004</v>
      </c>
      <c r="M41" s="53">
        <v>4995099252</v>
      </c>
      <c r="Q41" s="53">
        <v>4540999320</v>
      </c>
      <c r="U41" s="53">
        <v>6664077420.2200003</v>
      </c>
      <c r="Y41" s="53">
        <v>4149605460.23</v>
      </c>
      <c r="AC41" s="53">
        <v>2170740000</v>
      </c>
      <c r="AG41" s="53">
        <v>1118403000.27</v>
      </c>
      <c r="AK41" s="53">
        <v>1091032798.3900001</v>
      </c>
    </row>
    <row r="42" spans="1:74" s="26" customFormat="1" x14ac:dyDescent="0.25">
      <c r="A42" s="17" t="s">
        <v>322</v>
      </c>
      <c r="E42" s="26">
        <f>E40-E41</f>
        <v>-8519814475.1899996</v>
      </c>
      <c r="F42" s="26">
        <f t="shared" ref="F42:Y42" si="82">F40-F41</f>
        <v>6000000</v>
      </c>
      <c r="G42" s="26">
        <f t="shared" si="82"/>
        <v>6000000</v>
      </c>
      <c r="H42" s="26">
        <f t="shared" si="82"/>
        <v>0</v>
      </c>
      <c r="I42" s="26">
        <f>I40-I41</f>
        <v>-7735996623.8100004</v>
      </c>
      <c r="J42" s="26">
        <f t="shared" si="82"/>
        <v>0</v>
      </c>
      <c r="K42" s="26">
        <f t="shared" si="82"/>
        <v>0</v>
      </c>
      <c r="L42" s="26">
        <f t="shared" si="82"/>
        <v>0</v>
      </c>
      <c r="M42" s="26">
        <f t="shared" si="82"/>
        <v>-4995099252</v>
      </c>
      <c r="N42" s="26">
        <f t="shared" si="82"/>
        <v>0</v>
      </c>
      <c r="O42" s="26">
        <f t="shared" si="82"/>
        <v>0</v>
      </c>
      <c r="P42" s="26">
        <f t="shared" si="82"/>
        <v>0</v>
      </c>
      <c r="Q42" s="26">
        <f t="shared" si="82"/>
        <v>-4506199320</v>
      </c>
      <c r="R42" s="26">
        <f t="shared" si="82"/>
        <v>6000000</v>
      </c>
      <c r="S42" s="26">
        <f t="shared" si="82"/>
        <v>0</v>
      </c>
      <c r="T42" s="26">
        <f t="shared" si="82"/>
        <v>0</v>
      </c>
      <c r="U42" s="26">
        <f t="shared" si="82"/>
        <v>-6658077420.2200003</v>
      </c>
      <c r="V42" s="26">
        <f t="shared" si="82"/>
        <v>0</v>
      </c>
      <c r="W42" s="26">
        <f t="shared" si="82"/>
        <v>0</v>
      </c>
      <c r="X42" s="26">
        <f t="shared" si="82"/>
        <v>0</v>
      </c>
      <c r="Y42" s="26">
        <f t="shared" si="82"/>
        <v>-3757605460.23</v>
      </c>
      <c r="Z42" s="26">
        <f t="shared" ref="Z42:BQ42" si="83">Z40-Z41</f>
        <v>0</v>
      </c>
      <c r="AA42" s="26">
        <f t="shared" si="83"/>
        <v>0</v>
      </c>
      <c r="AB42" s="26">
        <f t="shared" si="83"/>
        <v>0</v>
      </c>
      <c r="AC42" s="26">
        <f t="shared" si="83"/>
        <v>-2170740000</v>
      </c>
      <c r="AD42" s="26">
        <f t="shared" si="83"/>
        <v>0</v>
      </c>
      <c r="AE42" s="26">
        <f t="shared" si="83"/>
        <v>0</v>
      </c>
      <c r="AF42" s="26">
        <f t="shared" si="83"/>
        <v>0</v>
      </c>
      <c r="AG42" s="26">
        <f t="shared" si="83"/>
        <v>-1118403000.27</v>
      </c>
      <c r="AH42" s="26">
        <f t="shared" si="83"/>
        <v>0</v>
      </c>
      <c r="AI42" s="26">
        <f t="shared" si="83"/>
        <v>0</v>
      </c>
      <c r="AJ42" s="26">
        <f t="shared" si="83"/>
        <v>0</v>
      </c>
      <c r="AK42" s="26">
        <f t="shared" si="83"/>
        <v>-1091032798.3900001</v>
      </c>
      <c r="AL42" s="191">
        <f t="shared" si="83"/>
        <v>0</v>
      </c>
      <c r="AM42" s="191">
        <f t="shared" si="83"/>
        <v>0</v>
      </c>
      <c r="AN42" s="191">
        <f t="shared" si="83"/>
        <v>0</v>
      </c>
      <c r="AO42" s="191">
        <f t="shared" si="83"/>
        <v>0</v>
      </c>
      <c r="AP42" s="191">
        <f t="shared" si="83"/>
        <v>0</v>
      </c>
      <c r="AQ42" s="191">
        <f t="shared" si="83"/>
        <v>0</v>
      </c>
      <c r="AR42" s="191">
        <f t="shared" si="83"/>
        <v>0</v>
      </c>
      <c r="AS42" s="191">
        <f t="shared" si="83"/>
        <v>0</v>
      </c>
      <c r="AT42" s="191">
        <f t="shared" si="83"/>
        <v>0</v>
      </c>
      <c r="AU42" s="191">
        <f t="shared" si="83"/>
        <v>0</v>
      </c>
      <c r="AV42" s="191">
        <f t="shared" si="83"/>
        <v>0</v>
      </c>
      <c r="AW42" s="191">
        <f t="shared" si="83"/>
        <v>0</v>
      </c>
      <c r="AX42" s="191">
        <f t="shared" si="83"/>
        <v>0</v>
      </c>
      <c r="AY42" s="191">
        <f t="shared" si="83"/>
        <v>0</v>
      </c>
      <c r="AZ42" s="191">
        <f t="shared" si="83"/>
        <v>0</v>
      </c>
      <c r="BA42" s="26">
        <f t="shared" si="83"/>
        <v>0</v>
      </c>
      <c r="BB42" s="26">
        <f t="shared" si="83"/>
        <v>0</v>
      </c>
      <c r="BC42" s="26">
        <f t="shared" si="83"/>
        <v>0</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2016922206.52</v>
      </c>
      <c r="BP42" s="26">
        <f t="shared" si="83"/>
        <v>0</v>
      </c>
      <c r="BQ42" s="26">
        <f t="shared" si="83"/>
        <v>500000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0" t="s">
        <v>321</v>
      </c>
    </row>
    <row r="44" spans="1:74" s="191" customFormat="1" x14ac:dyDescent="0.25">
      <c r="A44" s="191" t="s">
        <v>324</v>
      </c>
      <c r="B44" s="188">
        <v>0</v>
      </c>
      <c r="C44" s="188">
        <v>0</v>
      </c>
      <c r="D44" s="188">
        <v>0</v>
      </c>
      <c r="E44" s="188">
        <v>0</v>
      </c>
      <c r="F44" s="188">
        <v>0</v>
      </c>
      <c r="G44" s="188">
        <v>0</v>
      </c>
      <c r="H44" s="188">
        <v>0</v>
      </c>
      <c r="I44" s="188">
        <v>0</v>
      </c>
      <c r="J44" s="188">
        <v>0</v>
      </c>
      <c r="K44" s="188">
        <v>0</v>
      </c>
      <c r="L44" s="188">
        <v>0</v>
      </c>
      <c r="M44" s="188">
        <v>0</v>
      </c>
      <c r="N44" s="188">
        <v>0</v>
      </c>
      <c r="O44" s="188">
        <v>0</v>
      </c>
      <c r="P44" s="188">
        <v>0</v>
      </c>
      <c r="Q44" s="188">
        <v>67382607</v>
      </c>
      <c r="R44" s="188">
        <v>0</v>
      </c>
      <c r="S44" s="188">
        <v>0</v>
      </c>
      <c r="T44" s="188">
        <v>0</v>
      </c>
      <c r="U44" s="188">
        <v>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v>0</v>
      </c>
      <c r="BI44" s="188">
        <v>0</v>
      </c>
      <c r="BJ44" s="188">
        <v>0</v>
      </c>
      <c r="BK44" s="188">
        <v>0</v>
      </c>
      <c r="BL44" s="188">
        <v>0</v>
      </c>
      <c r="BM44" s="188">
        <v>0</v>
      </c>
      <c r="BN44" s="188">
        <v>0</v>
      </c>
      <c r="BO44" s="188">
        <v>0</v>
      </c>
      <c r="BP44" s="188">
        <v>0</v>
      </c>
      <c r="BQ44" s="188">
        <v>129000000</v>
      </c>
      <c r="BR44" s="188">
        <v>0</v>
      </c>
      <c r="BS44" s="188">
        <v>0</v>
      </c>
      <c r="BT44" s="188">
        <v>0</v>
      </c>
      <c r="BU44" s="188">
        <v>0</v>
      </c>
      <c r="BV44" s="188">
        <v>0</v>
      </c>
    </row>
    <row r="45" spans="1:74" s="191" customFormat="1" x14ac:dyDescent="0.25">
      <c r="A45" s="191" t="s">
        <v>323</v>
      </c>
      <c r="E45" s="191">
        <f>股权价值增加表!E53</f>
        <v>880974.99</v>
      </c>
      <c r="F45" s="191">
        <f>股权价值增加表!F53</f>
        <v>0</v>
      </c>
      <c r="G45" s="191">
        <f>股权价值增加表!G53</f>
        <v>0</v>
      </c>
      <c r="H45" s="191">
        <f>股权价值增加表!H53</f>
        <v>0</v>
      </c>
      <c r="I45" s="191">
        <f>股权价值增加表!I53</f>
        <v>37529578.909999996</v>
      </c>
      <c r="J45" s="191">
        <f>股权价值增加表!J53</f>
        <v>0</v>
      </c>
      <c r="K45" s="191">
        <f>股权价值增加表!K53</f>
        <v>0</v>
      </c>
      <c r="L45" s="191">
        <f>股权价值增加表!L53</f>
        <v>0</v>
      </c>
      <c r="M45" s="191">
        <f>股权价值增加表!M53</f>
        <v>41360986.93</v>
      </c>
      <c r="N45" s="191">
        <f>股权价值增加表!N53</f>
        <v>0</v>
      </c>
      <c r="O45" s="191">
        <f>股权价值增加表!O53</f>
        <v>0</v>
      </c>
      <c r="P45" s="191">
        <f>股权价值增加表!P53</f>
        <v>0</v>
      </c>
      <c r="Q45" s="191">
        <f>股权价值增加表!Q53</f>
        <v>10292572.550000001</v>
      </c>
      <c r="R45" s="191">
        <f>股权价值增加表!R53</f>
        <v>0</v>
      </c>
      <c r="S45" s="191">
        <f>股权价值增加表!S53</f>
        <v>0</v>
      </c>
      <c r="T45" s="191">
        <f>股权价值增加表!T53</f>
        <v>0</v>
      </c>
      <c r="U45" s="191">
        <f>股权价值增加表!U53</f>
        <v>0</v>
      </c>
      <c r="V45" s="191">
        <f>股权价值增加表!V53</f>
        <v>0</v>
      </c>
      <c r="W45" s="191">
        <f>股权价值增加表!W53</f>
        <v>0</v>
      </c>
      <c r="X45" s="191">
        <f>股权价值增加表!X53</f>
        <v>0</v>
      </c>
      <c r="Y45" s="191">
        <f>股权价值增加表!Y53</f>
        <v>132222.22</v>
      </c>
      <c r="Z45" s="191">
        <f>股权价值增加表!Z53</f>
        <v>0</v>
      </c>
      <c r="AA45" s="191">
        <f>股权价值增加表!AA53</f>
        <v>0</v>
      </c>
      <c r="AB45" s="191">
        <f>股权价值增加表!AB53</f>
        <v>0</v>
      </c>
      <c r="AC45" s="191">
        <f>股权价值增加表!AC53</f>
        <v>0</v>
      </c>
      <c r="AD45" s="191">
        <f>股权价值增加表!AD53</f>
        <v>0</v>
      </c>
      <c r="AE45" s="191">
        <f>股权价值增加表!AE53</f>
        <v>0</v>
      </c>
      <c r="AF45" s="191">
        <f>股权价值增加表!AF53</f>
        <v>0</v>
      </c>
      <c r="AG45" s="191">
        <f>股权价值增加表!AG53</f>
        <v>0</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88">
        <v>33820916.549999997</v>
      </c>
      <c r="C46" s="188">
        <v>30777833.539999999</v>
      </c>
      <c r="D46" s="188">
        <v>14307389.24</v>
      </c>
      <c r="E46" s="188">
        <v>23414593.670000002</v>
      </c>
      <c r="F46" s="188">
        <v>24740964.149999999</v>
      </c>
      <c r="G46" s="188">
        <v>39370998.079999998</v>
      </c>
      <c r="H46" s="188">
        <v>39606282.75</v>
      </c>
      <c r="I46" s="188">
        <v>34481635.329999998</v>
      </c>
      <c r="J46" s="188">
        <v>21599948.09</v>
      </c>
      <c r="K46" s="188">
        <v>46904631.719999999</v>
      </c>
      <c r="L46" s="188">
        <v>40428159.979999997</v>
      </c>
      <c r="M46" s="188">
        <v>27409447.399999999</v>
      </c>
      <c r="N46" s="188">
        <v>15831375.970000001</v>
      </c>
      <c r="O46" s="188">
        <v>33124441.800000001</v>
      </c>
      <c r="P46" s="188">
        <v>23734467.609999999</v>
      </c>
      <c r="Q46" s="188">
        <v>15365197.91</v>
      </c>
      <c r="R46" s="188">
        <v>7473820.4900000002</v>
      </c>
      <c r="S46" s="188">
        <v>33684820.810000002</v>
      </c>
      <c r="T46" s="188">
        <v>24308411.109999999</v>
      </c>
      <c r="U46" s="188">
        <v>27383888.890000001</v>
      </c>
      <c r="V46" s="188">
        <v>13514111.109999999</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0</v>
      </c>
      <c r="BB46" s="188">
        <v>0</v>
      </c>
      <c r="BC46" s="188">
        <v>0</v>
      </c>
      <c r="BD46" s="188">
        <v>0</v>
      </c>
      <c r="BE46" s="188">
        <v>0</v>
      </c>
      <c r="BF46" s="188">
        <v>0</v>
      </c>
      <c r="BG46" s="188">
        <v>0</v>
      </c>
      <c r="BH46" s="188">
        <v>0</v>
      </c>
      <c r="BI46" s="188">
        <v>0</v>
      </c>
      <c r="BJ46" s="188">
        <v>0</v>
      </c>
      <c r="BK46" s="188">
        <v>0</v>
      </c>
      <c r="BL46" s="188">
        <v>0</v>
      </c>
      <c r="BM46" s="188">
        <v>0</v>
      </c>
      <c r="BN46" s="188">
        <v>0</v>
      </c>
      <c r="BO46" s="188">
        <v>0</v>
      </c>
      <c r="BP46" s="188">
        <v>0</v>
      </c>
      <c r="BQ46" s="188">
        <v>0</v>
      </c>
      <c r="BR46" s="188">
        <v>0</v>
      </c>
      <c r="BS46" s="188">
        <v>0</v>
      </c>
      <c r="BT46" s="188">
        <v>0</v>
      </c>
      <c r="BU46" s="188">
        <v>0</v>
      </c>
      <c r="BV46" s="188">
        <v>0</v>
      </c>
    </row>
    <row r="47" spans="1:74" s="191" customFormat="1" x14ac:dyDescent="0.25">
      <c r="A47" s="191" t="s">
        <v>326</v>
      </c>
      <c r="B47" s="188">
        <v>0</v>
      </c>
      <c r="C47" s="188">
        <v>0</v>
      </c>
      <c r="D47" s="188">
        <v>0</v>
      </c>
      <c r="E47" s="188">
        <v>0</v>
      </c>
      <c r="F47" s="188">
        <v>0</v>
      </c>
      <c r="G47" s="188">
        <v>0</v>
      </c>
      <c r="H47" s="188">
        <v>0</v>
      </c>
      <c r="I47" s="188">
        <v>0</v>
      </c>
      <c r="J47" s="188">
        <v>0</v>
      </c>
      <c r="K47" s="188">
        <v>0</v>
      </c>
      <c r="L47" s="188">
        <v>0</v>
      </c>
      <c r="M47" s="188">
        <v>55917672</v>
      </c>
      <c r="N47" s="188">
        <v>55917672</v>
      </c>
      <c r="O47" s="188">
        <v>55917672</v>
      </c>
      <c r="P47" s="188">
        <v>55917672</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191703825.81999999</v>
      </c>
      <c r="BB47" s="188">
        <v>0</v>
      </c>
      <c r="BC47" s="188">
        <v>0</v>
      </c>
      <c r="BD47" s="188">
        <v>0</v>
      </c>
      <c r="BE47" s="188">
        <v>0</v>
      </c>
      <c r="BF47" s="188">
        <v>0</v>
      </c>
      <c r="BG47" s="188">
        <v>0</v>
      </c>
      <c r="BH47" s="188">
        <v>0</v>
      </c>
      <c r="BI47" s="188">
        <v>0</v>
      </c>
      <c r="BJ47" s="188">
        <v>0</v>
      </c>
      <c r="BK47" s="188">
        <v>0</v>
      </c>
      <c r="BL47" s="188">
        <v>0</v>
      </c>
      <c r="BM47" s="188">
        <v>0</v>
      </c>
      <c r="BN47" s="188">
        <v>0</v>
      </c>
      <c r="BO47" s="188">
        <v>129000000</v>
      </c>
      <c r="BP47" s="188">
        <v>0</v>
      </c>
      <c r="BQ47" s="188">
        <v>174460000</v>
      </c>
      <c r="BR47" s="188">
        <v>0</v>
      </c>
      <c r="BS47" s="188">
        <v>0</v>
      </c>
      <c r="BT47" s="188">
        <v>0</v>
      </c>
      <c r="BU47" s="188">
        <v>70000000</v>
      </c>
      <c r="BV47" s="188">
        <v>0</v>
      </c>
    </row>
    <row r="48" spans="1:74" s="191" customFormat="1" x14ac:dyDescent="0.25">
      <c r="A48" s="191" t="s">
        <v>597</v>
      </c>
      <c r="B48" s="188">
        <v>0</v>
      </c>
      <c r="C48" s="188">
        <v>0</v>
      </c>
      <c r="D48" s="188">
        <v>0</v>
      </c>
      <c r="E48" s="188">
        <v>0</v>
      </c>
      <c r="F48" s="188">
        <v>0</v>
      </c>
      <c r="G48" s="188">
        <v>0</v>
      </c>
      <c r="H48" s="188">
        <v>0</v>
      </c>
      <c r="I48" s="188">
        <v>0</v>
      </c>
      <c r="J48" s="188">
        <v>0</v>
      </c>
      <c r="K48" s="188">
        <v>0</v>
      </c>
      <c r="L48" s="188">
        <v>0</v>
      </c>
      <c r="M48" s="188">
        <v>0</v>
      </c>
      <c r="N48" s="188">
        <v>0</v>
      </c>
      <c r="O48" s="188">
        <v>0</v>
      </c>
      <c r="P48" s="188">
        <v>0</v>
      </c>
      <c r="Q48" s="188">
        <v>0</v>
      </c>
      <c r="R48" s="188">
        <v>0</v>
      </c>
      <c r="S48" s="188">
        <v>0</v>
      </c>
      <c r="T48" s="188">
        <v>0</v>
      </c>
      <c r="U48" s="188">
        <v>0</v>
      </c>
      <c r="V48" s="188">
        <v>0</v>
      </c>
      <c r="W48" s="188">
        <v>0</v>
      </c>
      <c r="X48" s="188">
        <v>0</v>
      </c>
      <c r="Y48" s="188">
        <v>0</v>
      </c>
      <c r="Z48" s="188">
        <v>0</v>
      </c>
      <c r="AA48" s="188">
        <v>0</v>
      </c>
      <c r="AB48" s="188">
        <v>0</v>
      </c>
      <c r="AC48" s="188">
        <v>0</v>
      </c>
      <c r="AD48" s="188">
        <v>0</v>
      </c>
      <c r="AE48" s="188">
        <v>0</v>
      </c>
      <c r="AF48" s="188">
        <v>0</v>
      </c>
      <c r="AG48" s="188">
        <v>0</v>
      </c>
      <c r="AH48" s="188">
        <v>0</v>
      </c>
      <c r="AI48" s="188">
        <v>0</v>
      </c>
      <c r="AJ48" s="188">
        <v>0</v>
      </c>
      <c r="AK48" s="188">
        <v>0</v>
      </c>
      <c r="AL48" s="188">
        <v>0</v>
      </c>
      <c r="AM48" s="188">
        <v>0</v>
      </c>
      <c r="AN48" s="188">
        <v>0</v>
      </c>
      <c r="AO48" s="188">
        <v>0</v>
      </c>
      <c r="AP48" s="188">
        <v>0</v>
      </c>
      <c r="AQ48" s="188">
        <v>0</v>
      </c>
      <c r="AR48" s="188">
        <v>0</v>
      </c>
      <c r="AS48" s="188">
        <v>0</v>
      </c>
      <c r="AT48" s="188">
        <v>0</v>
      </c>
      <c r="AU48" s="188">
        <v>0</v>
      </c>
      <c r="AV48" s="188">
        <v>0</v>
      </c>
      <c r="AW48" s="188">
        <v>0</v>
      </c>
      <c r="AX48" s="188">
        <v>0</v>
      </c>
      <c r="AY48" s="188">
        <v>0</v>
      </c>
      <c r="AZ48" s="188">
        <v>0</v>
      </c>
      <c r="BA48" s="188">
        <v>0</v>
      </c>
      <c r="BB48" s="188">
        <v>0</v>
      </c>
      <c r="BC48" s="188">
        <v>0</v>
      </c>
      <c r="BD48" s="188">
        <v>0</v>
      </c>
      <c r="BE48" s="188">
        <v>0</v>
      </c>
      <c r="BF48" s="188">
        <v>0</v>
      </c>
      <c r="BG48" s="188">
        <v>0</v>
      </c>
      <c r="BH48" s="188">
        <v>0</v>
      </c>
      <c r="BI48" s="188">
        <v>0</v>
      </c>
      <c r="BJ48" s="188">
        <v>0</v>
      </c>
      <c r="BK48" s="188">
        <v>0</v>
      </c>
      <c r="BL48" s="188">
        <v>0</v>
      </c>
      <c r="BM48" s="188">
        <v>0</v>
      </c>
      <c r="BN48" s="188">
        <v>0</v>
      </c>
      <c r="BO48" s="188">
        <v>0</v>
      </c>
      <c r="BP48" s="188">
        <v>0</v>
      </c>
      <c r="BQ48" s="188">
        <v>0</v>
      </c>
      <c r="BR48" s="188">
        <v>0</v>
      </c>
      <c r="BS48" s="188">
        <v>0</v>
      </c>
      <c r="BT48" s="188">
        <v>0</v>
      </c>
      <c r="BU48" s="188">
        <v>0</v>
      </c>
      <c r="BV48" s="188">
        <v>0</v>
      </c>
    </row>
    <row r="49" spans="1:74" s="191" customFormat="1" x14ac:dyDescent="0.25">
      <c r="A49" s="191" t="s">
        <v>598</v>
      </c>
      <c r="E49" s="191">
        <f>E44+E48-E45-E46-E47</f>
        <v>-24295568.66</v>
      </c>
      <c r="F49" s="191">
        <f t="shared" ref="F49:BQ49" si="85">F44+F48-F45-F46-F47</f>
        <v>-24740964.149999999</v>
      </c>
      <c r="G49" s="191">
        <f t="shared" si="85"/>
        <v>-39370998.079999998</v>
      </c>
      <c r="H49" s="191">
        <f t="shared" si="85"/>
        <v>-39606282.75</v>
      </c>
      <c r="I49" s="191">
        <f t="shared" si="85"/>
        <v>-72011214.239999995</v>
      </c>
      <c r="J49" s="191">
        <f t="shared" si="85"/>
        <v>-21599948.09</v>
      </c>
      <c r="K49" s="191">
        <f t="shared" si="85"/>
        <v>-46904631.719999999</v>
      </c>
      <c r="L49" s="191">
        <f t="shared" si="85"/>
        <v>-40428159.979999997</v>
      </c>
      <c r="M49" s="191">
        <f t="shared" si="85"/>
        <v>-124688106.33</v>
      </c>
      <c r="N49" s="191">
        <f t="shared" si="85"/>
        <v>-71749047.969999999</v>
      </c>
      <c r="O49" s="191">
        <f t="shared" si="85"/>
        <v>-89042113.799999997</v>
      </c>
      <c r="P49" s="191">
        <f t="shared" si="85"/>
        <v>-79652139.609999999</v>
      </c>
      <c r="Q49" s="191">
        <f t="shared" si="85"/>
        <v>41724836.540000007</v>
      </c>
      <c r="R49" s="191">
        <f t="shared" si="85"/>
        <v>-7473820.4900000002</v>
      </c>
      <c r="S49" s="191">
        <f t="shared" si="85"/>
        <v>-33684820.810000002</v>
      </c>
      <c r="T49" s="191">
        <f t="shared" si="85"/>
        <v>-24308411.109999999</v>
      </c>
      <c r="U49" s="191">
        <f t="shared" si="85"/>
        <v>-27383888.890000001</v>
      </c>
      <c r="V49" s="191">
        <f t="shared" si="85"/>
        <v>-13514111.109999999</v>
      </c>
      <c r="W49" s="191">
        <f t="shared" si="85"/>
        <v>0</v>
      </c>
      <c r="X49" s="191">
        <f t="shared" si="85"/>
        <v>0</v>
      </c>
      <c r="Y49" s="191">
        <f t="shared" si="85"/>
        <v>-132222.22</v>
      </c>
      <c r="Z49" s="191">
        <f t="shared" si="85"/>
        <v>0</v>
      </c>
      <c r="AA49" s="191">
        <f t="shared" si="85"/>
        <v>0</v>
      </c>
      <c r="AB49" s="191">
        <f t="shared" si="85"/>
        <v>0</v>
      </c>
      <c r="AC49" s="191">
        <f t="shared" si="85"/>
        <v>0</v>
      </c>
      <c r="AD49" s="191">
        <f t="shared" si="85"/>
        <v>0</v>
      </c>
      <c r="AE49" s="191">
        <f t="shared" si="85"/>
        <v>0</v>
      </c>
      <c r="AF49" s="191">
        <f t="shared" si="85"/>
        <v>0</v>
      </c>
      <c r="AG49" s="191">
        <f t="shared" si="85"/>
        <v>0</v>
      </c>
      <c r="AH49" s="191">
        <f t="shared" si="85"/>
        <v>0</v>
      </c>
      <c r="AI49" s="191">
        <f t="shared" si="85"/>
        <v>0</v>
      </c>
      <c r="AJ49" s="191">
        <f t="shared" si="85"/>
        <v>0</v>
      </c>
      <c r="AK49" s="191">
        <f t="shared" si="85"/>
        <v>0</v>
      </c>
      <c r="AL49" s="191">
        <f t="shared" si="85"/>
        <v>0</v>
      </c>
      <c r="AM49" s="191">
        <f t="shared" si="85"/>
        <v>0</v>
      </c>
      <c r="AN49" s="191">
        <f t="shared" si="85"/>
        <v>0</v>
      </c>
      <c r="AO49" s="191">
        <f t="shared" si="85"/>
        <v>0</v>
      </c>
      <c r="AP49" s="191">
        <f t="shared" si="85"/>
        <v>0</v>
      </c>
      <c r="AQ49" s="191">
        <f t="shared" si="85"/>
        <v>0</v>
      </c>
      <c r="AR49" s="191">
        <f t="shared" si="85"/>
        <v>0</v>
      </c>
      <c r="AS49" s="191">
        <f t="shared" si="85"/>
        <v>0</v>
      </c>
      <c r="AT49" s="191">
        <f t="shared" si="85"/>
        <v>0</v>
      </c>
      <c r="AU49" s="191">
        <f t="shared" si="85"/>
        <v>0</v>
      </c>
      <c r="AV49" s="191">
        <f t="shared" si="85"/>
        <v>0</v>
      </c>
      <c r="AW49" s="191">
        <f t="shared" si="85"/>
        <v>0</v>
      </c>
      <c r="AX49" s="191">
        <f t="shared" si="85"/>
        <v>0</v>
      </c>
      <c r="AY49" s="191">
        <f t="shared" si="85"/>
        <v>0</v>
      </c>
      <c r="AZ49" s="191">
        <f t="shared" si="85"/>
        <v>0</v>
      </c>
      <c r="BA49" s="191">
        <f t="shared" si="85"/>
        <v>-191703825.81999999</v>
      </c>
      <c r="BB49" s="191">
        <f t="shared" si="85"/>
        <v>0</v>
      </c>
      <c r="BC49" s="191">
        <f t="shared" si="85"/>
        <v>0</v>
      </c>
      <c r="BD49" s="191">
        <f t="shared" si="85"/>
        <v>0</v>
      </c>
      <c r="BE49" s="191">
        <f t="shared" si="85"/>
        <v>0</v>
      </c>
      <c r="BF49" s="191">
        <f t="shared" si="85"/>
        <v>0</v>
      </c>
      <c r="BG49" s="191">
        <f t="shared" si="85"/>
        <v>0</v>
      </c>
      <c r="BH49" s="191">
        <f t="shared" si="85"/>
        <v>0</v>
      </c>
      <c r="BI49" s="191">
        <f t="shared" si="85"/>
        <v>0</v>
      </c>
      <c r="BJ49" s="191">
        <f t="shared" si="85"/>
        <v>0</v>
      </c>
      <c r="BK49" s="191">
        <f t="shared" si="85"/>
        <v>0</v>
      </c>
      <c r="BL49" s="191">
        <f t="shared" si="85"/>
        <v>0</v>
      </c>
      <c r="BM49" s="191">
        <f t="shared" si="85"/>
        <v>0</v>
      </c>
      <c r="BN49" s="191">
        <f t="shared" si="85"/>
        <v>0</v>
      </c>
      <c r="BO49" s="191">
        <f t="shared" si="85"/>
        <v>-129000000</v>
      </c>
      <c r="BP49" s="191">
        <f t="shared" si="85"/>
        <v>0</v>
      </c>
      <c r="BQ49" s="191">
        <f t="shared" si="85"/>
        <v>-45460000</v>
      </c>
      <c r="BR49" s="191">
        <f t="shared" ref="BR49:BV49" si="86">BR44+BR48-BR45-BR46-BR47</f>
        <v>0</v>
      </c>
      <c r="BS49" s="191">
        <f t="shared" si="86"/>
        <v>0</v>
      </c>
      <c r="BT49" s="191">
        <f t="shared" si="86"/>
        <v>0</v>
      </c>
      <c r="BU49" s="191">
        <f t="shared" si="86"/>
        <v>-70000000</v>
      </c>
      <c r="BV49" s="191">
        <f t="shared" si="86"/>
        <v>0</v>
      </c>
    </row>
    <row r="50" spans="1:74" s="26" customFormat="1" x14ac:dyDescent="0.25"/>
    <row r="51" spans="1:74" s="16" customFormat="1" ht="120" customHeight="1" x14ac:dyDescent="0.25">
      <c r="A51" s="276" t="s">
        <v>666</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1.5546875" bestFit="1" customWidth="1"/>
    <col min="6" max="6" width="21.5546875" hidden="1" customWidth="1"/>
    <col min="7"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2" width="20.44140625" hidden="1" customWidth="1"/>
    <col min="43"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7.21875" hidden="1" customWidth="1"/>
    <col min="71" max="71" width="17.21875" bestFit="1" customWidth="1"/>
    <col min="72" max="72" width="17.21875" hidden="1" customWidth="1"/>
    <col min="73" max="73" width="17.21875" bestFit="1" customWidth="1"/>
    <col min="74" max="74" width="9.5546875" hidden="1" customWidth="1"/>
  </cols>
  <sheetData>
    <row r="1" spans="1:74"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880974.99</v>
      </c>
      <c r="F3" s="26">
        <f>股权价值增加表!F53</f>
        <v>0</v>
      </c>
      <c r="G3" s="26">
        <f>股权价值增加表!G53</f>
        <v>0</v>
      </c>
      <c r="H3" s="26">
        <f>股权价值增加表!H53</f>
        <v>0</v>
      </c>
      <c r="I3" s="26">
        <f>股权价值增加表!I53</f>
        <v>37529578.909999996</v>
      </c>
      <c r="J3" s="26">
        <f>股权价值增加表!J53</f>
        <v>0</v>
      </c>
      <c r="K3" s="26">
        <f>股权价值增加表!K53</f>
        <v>0</v>
      </c>
      <c r="L3" s="26">
        <f>股权价值增加表!L53</f>
        <v>0</v>
      </c>
      <c r="M3" s="26">
        <f>股权价值增加表!M53</f>
        <v>41360986.93</v>
      </c>
      <c r="N3" s="26">
        <f>股权价值增加表!N53</f>
        <v>0</v>
      </c>
      <c r="O3" s="26">
        <f>股权价值增加表!O53</f>
        <v>0</v>
      </c>
      <c r="P3" s="26">
        <f>股权价值增加表!P53</f>
        <v>0</v>
      </c>
      <c r="Q3" s="26">
        <f>股权价值增加表!Q53</f>
        <v>10292572.550000001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132222.22</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23414593.670000002</v>
      </c>
      <c r="F4" s="26">
        <f>资产资本表!F89</f>
        <v>24740964.149999999</v>
      </c>
      <c r="G4" s="26">
        <f>资产资本表!G89</f>
        <v>39370998.079999998</v>
      </c>
      <c r="H4" s="26">
        <f>资产资本表!H89</f>
        <v>39606282.75</v>
      </c>
      <c r="I4" s="26">
        <f>资产资本表!I89</f>
        <v>34481635.329999998</v>
      </c>
      <c r="J4" s="26">
        <f>资产资本表!J89</f>
        <v>21599948.09</v>
      </c>
      <c r="K4" s="26">
        <f>资产资本表!K89</f>
        <v>46904631.719999999</v>
      </c>
      <c r="L4" s="26">
        <f>资产资本表!L89</f>
        <v>40428159.979999997</v>
      </c>
      <c r="M4" s="26">
        <f>资产资本表!M89</f>
        <v>27409447.399999999</v>
      </c>
      <c r="N4" s="26">
        <f>资产资本表!N89</f>
        <v>15831375.970000001</v>
      </c>
      <c r="O4" s="26">
        <f>资产资本表!O89</f>
        <v>33124441.800000001</v>
      </c>
      <c r="P4" s="26">
        <f>资产资本表!P89</f>
        <v>23734467.609999999</v>
      </c>
      <c r="Q4" s="26">
        <f>资产资本表!Q89</f>
        <v>77917681.909999996</v>
      </c>
      <c r="R4" s="26">
        <f>资产资本表!R89</f>
        <v>7473820.4900000002</v>
      </c>
      <c r="S4" s="26">
        <f>资产资本表!S89</f>
        <v>33684820.810000002</v>
      </c>
      <c r="T4" s="26">
        <f>资产资本表!T89</f>
        <v>24308411.109999999</v>
      </c>
      <c r="U4" s="26">
        <f>资产资本表!U89</f>
        <v>27383888.890000001</v>
      </c>
      <c r="V4" s="26">
        <f>资产资本表!V89</f>
        <v>13514111.109999999</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300000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109000000</v>
      </c>
      <c r="BS4" s="26">
        <f>资产资本表!BS89</f>
        <v>129000000</v>
      </c>
      <c r="BT4" s="26">
        <f>资产资本表!BT89</f>
        <v>174460000</v>
      </c>
      <c r="BU4" s="26">
        <f>资产资本表!BU89</f>
        <v>207360000</v>
      </c>
      <c r="BV4" s="26">
        <f>资产资本表!BV89</f>
        <v>0</v>
      </c>
    </row>
    <row r="5" spans="1:74" s="63" customFormat="1" x14ac:dyDescent="0.25">
      <c r="A5" s="63" t="s">
        <v>333</v>
      </c>
      <c r="E5" s="63">
        <f>IF(E4+I4=0,0,E3/((E4+I4)/2))</f>
        <v>3.0432897106303761E-2</v>
      </c>
      <c r="F5" s="63">
        <f t="shared" ref="F5:BQ5" si="0">IF(F4+J4=0,0,F3/((F4+J4)/2))</f>
        <v>0</v>
      </c>
      <c r="G5" s="63">
        <f t="shared" si="0"/>
        <v>0</v>
      </c>
      <c r="H5" s="63">
        <f t="shared" si="0"/>
        <v>0</v>
      </c>
      <c r="I5" s="63">
        <f t="shared" si="0"/>
        <v>1.2127620734548425</v>
      </c>
      <c r="J5" s="63">
        <f t="shared" si="0"/>
        <v>0</v>
      </c>
      <c r="K5" s="63">
        <f t="shared" si="0"/>
        <v>0</v>
      </c>
      <c r="L5" s="63">
        <f t="shared" si="0"/>
        <v>0</v>
      </c>
      <c r="M5" s="63">
        <f t="shared" si="0"/>
        <v>0.78538145302082374</v>
      </c>
      <c r="N5" s="63">
        <f t="shared" si="0"/>
        <v>0</v>
      </c>
      <c r="O5" s="63">
        <f t="shared" si="0"/>
        <v>0</v>
      </c>
      <c r="P5" s="63">
        <f t="shared" si="0"/>
        <v>0</v>
      </c>
      <c r="Q5" s="63">
        <f t="shared" si="0"/>
        <v>0.19548754062840629</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0.27015254618342344</v>
      </c>
      <c r="F6" s="63">
        <f>股权价值增加表!F41</f>
        <v>0.26842469650632933</v>
      </c>
      <c r="G6" s="63">
        <f>股权价值增加表!G41</f>
        <v>0.27195263308090589</v>
      </c>
      <c r="H6" s="63">
        <f>股权价值增加表!H41</f>
        <v>0.27006693682087751</v>
      </c>
      <c r="I6" s="63">
        <f>股权价值增加表!I41</f>
        <v>0.26447981947221855</v>
      </c>
      <c r="J6" s="63">
        <f>股权价值增加表!J41</f>
        <v>0.27325120557859628</v>
      </c>
      <c r="K6" s="63">
        <f>股权价值增加表!K41</f>
        <v>0.27636836454168473</v>
      </c>
      <c r="L6" s="63">
        <f>股权价值增加表!L41</f>
        <v>0.28595297089994853</v>
      </c>
      <c r="M6" s="63">
        <f>股权价值增加表!M41</f>
        <v>0.26072005642698542</v>
      </c>
      <c r="N6" s="63">
        <f>股权价值增加表!N41</f>
        <v>0.2584616934710926</v>
      </c>
      <c r="O6" s="63">
        <f>股权价值增加表!O41</f>
        <v>0.25891842499913231</v>
      </c>
      <c r="P6" s="63">
        <f>股权价值增加表!P41</f>
        <v>0.26273074750831404</v>
      </c>
      <c r="Q6" s="63">
        <f>股权价值增加表!Q41</f>
        <v>0.26355811426428855</v>
      </c>
      <c r="R6" s="63">
        <f>股权价值增加表!R41</f>
        <v>0.25754979486674218</v>
      </c>
      <c r="S6" s="63">
        <f>股权价值增加表!S41</f>
        <v>0.2569430847288533</v>
      </c>
      <c r="T6" s="63">
        <f>股权价值增加表!T41</f>
        <v>0.26165922359896077</v>
      </c>
      <c r="U6" s="63">
        <f>股权价值增加表!U41</f>
        <v>0.25646278720461135</v>
      </c>
      <c r="V6" s="63">
        <f>股权价值增加表!V41</f>
        <v>0.25648098221904508</v>
      </c>
      <c r="W6" s="63">
        <f>股权价值增加表!W41</f>
        <v>0.2475780198818984</v>
      </c>
      <c r="X6" s="63">
        <f>股权价值增加表!X41</f>
        <v>0.26271089271084491</v>
      </c>
      <c r="Y6" s="63">
        <f>股权价值增加表!Y41</f>
        <v>0.25091272995193853</v>
      </c>
      <c r="Z6" s="63">
        <f>股权价值增加表!Z41</f>
        <v>0.2500660062639079</v>
      </c>
      <c r="AA6" s="63">
        <f>股权价值增加表!AA41</f>
        <v>0.25012169137886026</v>
      </c>
      <c r="AB6" s="63">
        <f>股权价值增加表!AB41</f>
        <v>0.2504086129341257</v>
      </c>
      <c r="AC6" s="63">
        <f>股权价值增加表!AC41</f>
        <v>0.25008419330948917</v>
      </c>
      <c r="AD6" s="63">
        <f>股权价值增加表!AD41</f>
        <v>0.25311991022275282</v>
      </c>
      <c r="AE6" s="63">
        <f>股权价值增加表!AE41</f>
        <v>0.24988442210872872</v>
      </c>
      <c r="AF6" s="63">
        <f>股权价值增加表!AF41</f>
        <v>0.24973181663249747</v>
      </c>
      <c r="AG6" s="63">
        <f>股权价值增加表!AG41</f>
        <v>0.2544849906844846</v>
      </c>
      <c r="AH6" s="63">
        <f>股权价值增加表!AH41</f>
        <v>0.25182058693039916</v>
      </c>
      <c r="AI6" s="63">
        <f>股权价值增加表!AI41</f>
        <v>0.25195878916323433</v>
      </c>
      <c r="AJ6" s="63">
        <f>股权价值增加表!AJ41</f>
        <v>0.25011306763887708</v>
      </c>
      <c r="AK6" s="63">
        <f>股权价值增加表!AK41</f>
        <v>0.25123606943175986</v>
      </c>
      <c r="AL6" s="63">
        <f>股权价值增加表!AL41</f>
        <v>0.24985477491233496</v>
      </c>
      <c r="AM6" s="63">
        <f>股权价值增加表!AM41</f>
        <v>0.25012983582665527</v>
      </c>
      <c r="AN6" s="63">
        <f>股权价值增加表!AN41</f>
        <v>0.24996586739042509</v>
      </c>
      <c r="AO6" s="63">
        <f>股权价值增加表!AO41</f>
        <v>0.25709637921404088</v>
      </c>
      <c r="AP6" s="63">
        <f>股权价值增加表!AP41</f>
        <v>0.24970921366505683</v>
      </c>
      <c r="AQ6" s="63">
        <f>股权价值增加表!AQ41</f>
        <v>0.24990558516436456</v>
      </c>
      <c r="AR6" s="63">
        <f>股权价值增加表!AR41</f>
        <v>0.24989332923575591</v>
      </c>
      <c r="AS6" s="63">
        <f>股权价值增加表!AS41</f>
        <v>0.34408754960414539</v>
      </c>
      <c r="AT6" s="63">
        <f>股权价值增加表!AT41</f>
        <v>0.33445341676662876</v>
      </c>
      <c r="AU6" s="63">
        <f>股权价值增加表!AU41</f>
        <v>0.34319720586610747</v>
      </c>
      <c r="AV6" s="63">
        <f>股权价值增加表!AV41</f>
        <v>0.35774308387671933</v>
      </c>
      <c r="AW6" s="63">
        <f>股权价值增加表!AW41</f>
        <v>0.36740844790858573</v>
      </c>
      <c r="AX6" s="63">
        <f>股权价值增加表!AX41</f>
        <v>0.36585176937088781</v>
      </c>
      <c r="AY6" s="63">
        <f>股权价值增加表!AY41</f>
        <v>0.34772903410157363</v>
      </c>
      <c r="AZ6" s="63">
        <f>股权价值增加表!AZ41</f>
        <v>0.30327802402172394</v>
      </c>
      <c r="BA6" s="63">
        <f>股权价值增加表!BA41</f>
        <v>0.39117032365857002</v>
      </c>
      <c r="BB6" s="63">
        <f>股权价值增加表!BB41</f>
        <v>0.36163662255362922</v>
      </c>
      <c r="BC6" s="63">
        <f>股权价值增加表!BC41</f>
        <v>0.33576402618666223</v>
      </c>
      <c r="BD6" s="63">
        <f>股权价值增加表!BD41</f>
        <v>0.31132739665602677</v>
      </c>
      <c r="BE6" s="63">
        <f>股权价值增加表!BE41</f>
        <v>0.42698925270265475</v>
      </c>
      <c r="BF6" s="63">
        <f>股权价值增加表!BF41</f>
        <v>0.38569251683415934</v>
      </c>
      <c r="BG6" s="63">
        <f>股权价值增加表!BG41</f>
        <v>0.36098947524892333</v>
      </c>
      <c r="BH6" s="63">
        <f>股权价值增加表!BH41</f>
        <v>0.32365170120879005</v>
      </c>
      <c r="BI6" s="63">
        <f>股权价值增加表!BI41</f>
        <v>0.3777548579993012</v>
      </c>
      <c r="BJ6" s="63">
        <f>股权价值增加表!BJ41</f>
        <v>0.38133975423386446</v>
      </c>
      <c r="BK6" s="63">
        <f>股权价值增加表!BK41</f>
        <v>0.36324726933368362</v>
      </c>
      <c r="BL6" s="63">
        <f>股权价值增加表!BL41</f>
        <v>0.3420065120058261</v>
      </c>
      <c r="BM6" s="63">
        <f>股权价值增加表!BM41</f>
        <v>0.39748630107203714</v>
      </c>
      <c r="BN6" s="63">
        <f>股权价值增加表!BN41</f>
        <v>0.39606301251284176</v>
      </c>
      <c r="BO6" s="63">
        <f>股权价值增加表!BO41</f>
        <v>0.38772317734543194</v>
      </c>
      <c r="BP6" s="63">
        <f>股权价值增加表!BP41</f>
        <v>0.36831802662574331</v>
      </c>
      <c r="BQ6" s="63">
        <f>股权价值增加表!BQ41</f>
        <v>0.43711037137826497</v>
      </c>
      <c r="BR6" s="63">
        <f>股权价值增加表!BR41</f>
        <v>0.38417695546277741</v>
      </c>
      <c r="BS6" s="63">
        <f>股权价值增加表!BS41</f>
        <v>0.42521931437011395</v>
      </c>
      <c r="BT6" s="63">
        <f>股权价值增加表!BT41</f>
        <v>0.39042253233306584</v>
      </c>
      <c r="BU6" s="63">
        <f>股权价值增加表!BU41</f>
        <v>0.33071797793860147</v>
      </c>
    </row>
    <row r="7" spans="1:74" s="63" customFormat="1" x14ac:dyDescent="0.25">
      <c r="A7" s="63" t="s">
        <v>330</v>
      </c>
      <c r="E7" s="63">
        <f>E5*(1-E6)</f>
        <v>2.2211372465297662E-2</v>
      </c>
      <c r="F7" s="63">
        <f t="shared" ref="F7:BQ7" si="2">F5*(1-F6)</f>
        <v>0</v>
      </c>
      <c r="G7" s="63">
        <f t="shared" si="2"/>
        <v>0</v>
      </c>
      <c r="H7" s="63">
        <f t="shared" si="2"/>
        <v>0</v>
      </c>
      <c r="I7" s="63">
        <f t="shared" si="2"/>
        <v>0.89201097920475236</v>
      </c>
      <c r="J7" s="63">
        <f t="shared" si="2"/>
        <v>0</v>
      </c>
      <c r="K7" s="63">
        <f t="shared" si="2"/>
        <v>0</v>
      </c>
      <c r="L7" s="63">
        <f t="shared" si="2"/>
        <v>0</v>
      </c>
      <c r="M7" s="63">
        <f t="shared" si="2"/>
        <v>0.58061675627252685</v>
      </c>
      <c r="N7" s="63">
        <f t="shared" si="2"/>
        <v>0</v>
      </c>
      <c r="O7" s="63">
        <f t="shared" si="2"/>
        <v>0</v>
      </c>
      <c r="P7" s="63">
        <f t="shared" si="2"/>
        <v>0</v>
      </c>
      <c r="Q7" s="63">
        <f t="shared" si="2"/>
        <v>0.14396521305822002</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96019627475.080002</v>
      </c>
      <c r="F8" s="26">
        <f>资产资本表!F107</f>
        <v>88380845274.130005</v>
      </c>
      <c r="G8" s="26">
        <f>资产资本表!G107</f>
        <v>79063250670.459991</v>
      </c>
      <c r="H8" s="26">
        <f>资产资本表!H107</f>
        <v>82453887315.580002</v>
      </c>
      <c r="I8" s="26">
        <f>资产资本表!I107</f>
        <v>75898542854.720001</v>
      </c>
      <c r="J8" s="26">
        <f>资产资本表!J107</f>
        <v>71283503461.069992</v>
      </c>
      <c r="K8" s="26">
        <f>资产资本表!K107</f>
        <v>67353161683.379997</v>
      </c>
      <c r="L8" s="26">
        <f>资产资本表!L107</f>
        <v>70941258989.619995</v>
      </c>
      <c r="M8" s="26">
        <f>资产资本表!M107</f>
        <v>66234170421.290001</v>
      </c>
      <c r="N8" s="26">
        <f>资产资本表!N107</f>
        <v>61918842558.079994</v>
      </c>
      <c r="O8" s="26">
        <f>资产资本表!O107</f>
        <v>63661782189.540001</v>
      </c>
      <c r="P8" s="26">
        <f>资产资本表!P107</f>
        <v>59930148126.959999</v>
      </c>
      <c r="Q8" s="26">
        <f>资产资本表!Q107</f>
        <v>55311550841.119995</v>
      </c>
      <c r="R8" s="26">
        <f>资产资本表!R107</f>
        <v>50341328571.509995</v>
      </c>
      <c r="S8" s="26">
        <f>资产资本表!S107</f>
        <v>46624176881.220001</v>
      </c>
      <c r="T8" s="26">
        <f>资产资本表!T107</f>
        <v>47453571644.629997</v>
      </c>
      <c r="U8" s="26">
        <f>资产资本表!U107</f>
        <v>44129092273.259995</v>
      </c>
      <c r="V8" s="26">
        <f>资产资本表!V107</f>
        <v>39820367702.190002</v>
      </c>
      <c r="W8" s="26">
        <f>资产资本表!W107</f>
        <v>35779107183.520004</v>
      </c>
      <c r="X8" s="26">
        <f>资产资本表!X107</f>
        <v>38595633055.419998</v>
      </c>
      <c r="Y8" s="26">
        <f>资产资本表!Y107</f>
        <v>35454036397.25</v>
      </c>
      <c r="Z8" s="26">
        <f>资产资本表!Z107</f>
        <v>31991565468.779999</v>
      </c>
      <c r="AA8" s="26">
        <f>资产资本表!AA107</f>
        <v>28404775233.629997</v>
      </c>
      <c r="AB8" s="26">
        <f>资产资本表!AB107</f>
        <v>28530620402.029999</v>
      </c>
      <c r="AC8" s="26">
        <f>资产资本表!AC107</f>
        <v>25403379611.289997</v>
      </c>
      <c r="AD8" s="26">
        <f>资产资本表!AD107</f>
        <v>23083770116.279999</v>
      </c>
      <c r="AE8" s="26">
        <f>资产资本表!AE107</f>
        <v>21544955887.150002</v>
      </c>
      <c r="AF8" s="26">
        <f>资产资本表!AF107</f>
        <v>20540681024.259998</v>
      </c>
      <c r="AG8" s="26">
        <f>资产资本表!AG107</f>
        <v>18549389694.619999</v>
      </c>
      <c r="AH8" s="26">
        <f>资产资本表!AH107</f>
        <v>17721770193.439999</v>
      </c>
      <c r="AI8" s="26">
        <f>资产资本表!AI107</f>
        <v>16737213296.220001</v>
      </c>
      <c r="AJ8" s="26">
        <f>资产资本表!AJ107</f>
        <v>15995948192.019999</v>
      </c>
      <c r="AK8" s="26">
        <f>资产资本表!AK107</f>
        <v>14651565394.209999</v>
      </c>
      <c r="AL8" s="26">
        <f>资产资本表!AL107</f>
        <v>14215679731.030001</v>
      </c>
      <c r="AM8" s="26">
        <f>资产资本表!AM107</f>
        <v>13166976369.08</v>
      </c>
      <c r="AN8" s="26">
        <f>资产资本表!AN107</f>
        <v>12608007479.039999</v>
      </c>
      <c r="AO8" s="26">
        <f>资产资本表!AO107</f>
        <v>11503418295.949999</v>
      </c>
      <c r="AP8" s="26">
        <f>资产资本表!AP107</f>
        <v>10807004733.84</v>
      </c>
      <c r="AQ8" s="26">
        <f>资产资本表!AQ107</f>
        <v>9854634976.4699993</v>
      </c>
      <c r="AR8" s="26">
        <f>资产资本表!AR107</f>
        <v>9285941265.0299988</v>
      </c>
      <c r="AS8" s="26">
        <f>资产资本表!AS107</f>
        <v>8368855770.4400005</v>
      </c>
      <c r="AT8" s="26">
        <f>资产资本表!AT107</f>
        <v>6952899324.3299999</v>
      </c>
      <c r="AU8" s="26">
        <f>资产资本表!AU107</f>
        <v>6219411895.4899998</v>
      </c>
      <c r="AV8" s="26">
        <f>资产资本表!AV107</f>
        <v>5888376793.5900002</v>
      </c>
      <c r="AW8" s="26">
        <f>资产资本表!AW107</f>
        <v>5995028649.4300003</v>
      </c>
      <c r="AX8" s="26">
        <f>资产资本表!AX107</f>
        <v>5415044428.1099997</v>
      </c>
      <c r="AY8" s="26">
        <f>资产资本表!AY107</f>
        <v>5058474356.1400003</v>
      </c>
      <c r="AZ8" s="26">
        <f>资产资本表!AZ107</f>
        <v>5588295571.7399998</v>
      </c>
      <c r="BA8" s="26">
        <f>资产资本表!BA107</f>
        <v>5162395081.5200005</v>
      </c>
      <c r="BB8" s="26">
        <f>资产资本表!BB107</f>
        <v>4765503347.0299997</v>
      </c>
      <c r="BC8" s="26">
        <f>资产资本表!BC107</f>
        <v>4691837330.75</v>
      </c>
      <c r="BD8" s="26">
        <f>资产资本表!BD107</f>
        <v>4600649163.9900007</v>
      </c>
      <c r="BE8" s="26">
        <f>资产资本表!BE107</f>
        <v>4216707746.73</v>
      </c>
      <c r="BF8" s="26">
        <f>资产资本表!BF107</f>
        <v>3900474366.1300001</v>
      </c>
      <c r="BG8" s="26">
        <f>资产资本表!BG107</f>
        <v>3817145295.6799998</v>
      </c>
      <c r="BH8" s="26">
        <f>资产资本表!BH107</f>
        <v>3727794494.04</v>
      </c>
      <c r="BI8" s="26">
        <f>资产资本表!BI107</f>
        <v>3470524090.9299998</v>
      </c>
      <c r="BJ8" s="26">
        <f>资产资本表!BJ107</f>
        <v>3231516625.3400002</v>
      </c>
      <c r="BK8" s="26">
        <f>资产资本表!BK107</f>
        <v>3124773172.54</v>
      </c>
      <c r="BL8" s="26">
        <f>资产资本表!BL107</f>
        <v>3100472676.3099999</v>
      </c>
      <c r="BM8" s="26">
        <f>资产资本表!BM107</f>
        <v>2874733972.6900001</v>
      </c>
      <c r="BN8" s="26">
        <f>资产资本表!BN107</f>
        <v>2857804350.4700003</v>
      </c>
      <c r="BO8" s="26">
        <f>资产资本表!BO107</f>
        <v>2784052740.7799997</v>
      </c>
      <c r="BP8" s="26">
        <f>资产资本表!BP107</f>
        <v>2751462376.5999999</v>
      </c>
      <c r="BQ8" s="26">
        <f>资产资本表!BQ107</f>
        <v>2537631703.8100004</v>
      </c>
      <c r="BR8" s="26">
        <f>资产资本表!BR107</f>
        <v>561545403.24000001</v>
      </c>
      <c r="BS8" s="26">
        <f>资产资本表!BS107</f>
        <v>443779623.04000002</v>
      </c>
      <c r="BT8" s="26">
        <f>资产资本表!BT107</f>
        <v>285361855.23000002</v>
      </c>
      <c r="BU8" s="26">
        <f>资产资本表!BU107</f>
        <v>234091527.97999999</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106505655822.89</v>
      </c>
      <c r="F10" s="26">
        <f>资产资本表!F70</f>
        <v>100304234156.42999</v>
      </c>
      <c r="G10" s="26">
        <f>资产资本表!G70</f>
        <v>96420957735.519989</v>
      </c>
      <c r="H10" s="26">
        <f>资产资本表!H70</f>
        <v>93038921689.440018</v>
      </c>
      <c r="I10" s="26">
        <f>资产资本表!I70</f>
        <v>86321842822.179993</v>
      </c>
      <c r="J10" s="26">
        <f>资产资本表!J70</f>
        <v>83786221873.680008</v>
      </c>
      <c r="K10" s="26">
        <f>资产资本表!K70</f>
        <v>80057188116.410004</v>
      </c>
      <c r="L10" s="26">
        <f>资产资本表!L70</f>
        <v>77540333161.610001</v>
      </c>
      <c r="M10" s="26">
        <f>资产资本表!M70</f>
        <v>72229202167.820007</v>
      </c>
      <c r="N10" s="26">
        <f>资产资本表!N70</f>
        <v>68301112590.480003</v>
      </c>
      <c r="O10" s="26">
        <f>资产资本表!O70</f>
        <v>66743865893.57</v>
      </c>
      <c r="P10" s="26">
        <f>资产资本表!P70</f>
        <v>62788380577.899994</v>
      </c>
      <c r="Q10" s="26">
        <f>资产资本表!Q70</f>
        <v>59345919232.220001</v>
      </c>
      <c r="R10" s="26">
        <f>资产资本表!R70</f>
        <v>54427056884.389999</v>
      </c>
      <c r="S10" s="26">
        <f>资产资本表!S70</f>
        <v>50807882716.389999</v>
      </c>
      <c r="T10" s="26">
        <f>资产资本表!T70</f>
        <v>50513113858.5</v>
      </c>
      <c r="U10" s="26">
        <f>资产资本表!U70</f>
        <v>46929665261.690002</v>
      </c>
      <c r="V10" s="26">
        <f>资产资本表!V70</f>
        <v>43046712748.440002</v>
      </c>
      <c r="W10" s="26">
        <f>资产资本表!W70</f>
        <v>39430754998.509995</v>
      </c>
      <c r="X10" s="26">
        <f>资产资本表!X70</f>
        <v>39225149640.240005</v>
      </c>
      <c r="Y10" s="26">
        <f>资产资本表!Y70</f>
        <v>35454036397.25</v>
      </c>
      <c r="Z10" s="26">
        <f>资产资本表!Z70</f>
        <v>32187253924.760002</v>
      </c>
      <c r="AA10" s="26">
        <f>资产资本表!AA70</f>
        <v>32638540497.200001</v>
      </c>
      <c r="AB10" s="26">
        <f>资产资本表!AB70</f>
        <v>28532870402.029999</v>
      </c>
      <c r="AC10" s="26">
        <f>资产资本表!AC70</f>
        <v>25403379611.290001</v>
      </c>
      <c r="AD10" s="26">
        <f>资产资本表!AD70</f>
        <v>23309364007.230003</v>
      </c>
      <c r="AE10" s="26">
        <f>资产资本表!AE70</f>
        <v>23814033405.110001</v>
      </c>
      <c r="AF10" s="26">
        <f>资产资本表!AF70</f>
        <v>20859265220.550003</v>
      </c>
      <c r="AG10" s="26">
        <f>资产资本表!AG70</f>
        <v>18867973890.910004</v>
      </c>
      <c r="AH10" s="26">
        <f>资产资本表!AH70</f>
        <v>17942016871.77</v>
      </c>
      <c r="AI10" s="26">
        <f>资产资本表!AI70</f>
        <v>17923877994.279999</v>
      </c>
      <c r="AJ10" s="26">
        <f>资产资本表!AJ70</f>
        <v>15995948192.019999</v>
      </c>
      <c r="AK10" s="26">
        <f>资产资本表!AK70</f>
        <v>14788773056.830002</v>
      </c>
      <c r="AL10" s="26">
        <f>资产资本表!AL70</f>
        <v>14215679731.029999</v>
      </c>
      <c r="AM10" s="26">
        <f>资产资本表!AM70</f>
        <v>14225618797.950001</v>
      </c>
      <c r="AN10" s="26">
        <f>资产资本表!AN70</f>
        <v>12780458863.77</v>
      </c>
      <c r="AO10" s="26">
        <f>资产资本表!AO70</f>
        <v>11503418295.949999</v>
      </c>
      <c r="AP10" s="26">
        <f>资产资本表!AP70</f>
        <v>10922391711.51</v>
      </c>
      <c r="AQ10" s="26">
        <f>资产资本表!AQ70</f>
        <v>9972821285.0900002</v>
      </c>
      <c r="AR10" s="26">
        <f>资产资本表!AR70</f>
        <v>9327748223.0699997</v>
      </c>
      <c r="AS10" s="26">
        <f>资产资本表!AS70</f>
        <v>8410662728.4800005</v>
      </c>
      <c r="AT10" s="26">
        <f>资产资本表!AT70</f>
        <v>6994706282.3699999</v>
      </c>
      <c r="AU10" s="26">
        <f>资产资本表!AU70</f>
        <v>6942283668.4399996</v>
      </c>
      <c r="AV10" s="26">
        <f>资产资本表!AV70</f>
        <v>6611065299.210001</v>
      </c>
      <c r="AW10" s="26">
        <f>资产资本表!AW70</f>
        <v>6003989385.0299997</v>
      </c>
      <c r="AX10" s="26">
        <f>资产资本表!AX70</f>
        <v>5472067233.3999996</v>
      </c>
      <c r="AY10" s="26">
        <f>资产资本表!AY70</f>
        <v>5060632616.039999</v>
      </c>
      <c r="AZ10" s="26">
        <f>资产资本表!AZ70</f>
        <v>5674270668.8800001</v>
      </c>
      <c r="BA10" s="26">
        <f>资产资本表!BA70</f>
        <v>5209296403.71</v>
      </c>
      <c r="BB10" s="26">
        <f>资产资本表!BB70</f>
        <v>4815192644.5100002</v>
      </c>
      <c r="BC10" s="26">
        <f>资产资本表!BC70</f>
        <v>4730662106.0300007</v>
      </c>
      <c r="BD10" s="26">
        <f>资产资本表!BD70</f>
        <v>4669283111.6100006</v>
      </c>
      <c r="BE10" s="26">
        <f>资产资本表!BE70</f>
        <v>4249197059.9699998</v>
      </c>
      <c r="BF10" s="26">
        <f>资产资本表!BF70</f>
        <v>4028965574.3800001</v>
      </c>
      <c r="BG10" s="26">
        <f>资产资本表!BG70</f>
        <v>3889604003.73</v>
      </c>
      <c r="BH10" s="26">
        <f>资产资本表!BH70</f>
        <v>3808412072.9599991</v>
      </c>
      <c r="BI10" s="26">
        <f>资产资本表!BI70</f>
        <v>3485998413.9099998</v>
      </c>
      <c r="BJ10" s="26">
        <f>资产资本表!BJ70</f>
        <v>3301456325.0599999</v>
      </c>
      <c r="BK10" s="26">
        <f>资产资本表!BK70</f>
        <v>3197373661.6199999</v>
      </c>
      <c r="BL10" s="26">
        <f>资产资本表!BL70</f>
        <v>3170177508.0599999</v>
      </c>
      <c r="BM10" s="26">
        <f>资产资本表!BM70</f>
        <v>2940818296.5799999</v>
      </c>
      <c r="BN10" s="26">
        <f>资产资本表!BN70</f>
        <v>3005997323.8400002</v>
      </c>
      <c r="BO10" s="26">
        <f>资产资本表!BO70</f>
        <v>2956017232.4400001</v>
      </c>
      <c r="BP10" s="26">
        <f>资产资本表!BP70</f>
        <v>2927390204.21</v>
      </c>
      <c r="BQ10" s="26">
        <f>资产资本表!BQ70</f>
        <v>2680638605.27</v>
      </c>
      <c r="BR10" s="26">
        <f>资产资本表!BR70</f>
        <v>837537565.01999998</v>
      </c>
      <c r="BS10" s="26">
        <f>资产资本表!BS70</f>
        <v>556380029.31999993</v>
      </c>
      <c r="BT10" s="26">
        <f>资产资本表!BT70</f>
        <v>457127839.95000005</v>
      </c>
      <c r="BU10" s="26">
        <f>资产资本表!BU70</f>
        <v>449423890.09000003</v>
      </c>
    </row>
    <row r="11" spans="1:74" s="63" customFormat="1" x14ac:dyDescent="0.25">
      <c r="A11" s="17" t="s">
        <v>347</v>
      </c>
      <c r="E11" s="63">
        <f>E4/E10</f>
        <v>2.198436645368065E-4</v>
      </c>
      <c r="F11" s="63">
        <f t="shared" ref="F11:BQ11" si="3">F4/F10</f>
        <v>2.4665921990307105E-4</v>
      </c>
      <c r="G11" s="63">
        <f t="shared" si="3"/>
        <v>4.083240719096937E-4</v>
      </c>
      <c r="H11" s="63">
        <f t="shared" si="3"/>
        <v>4.2569584890723576E-4</v>
      </c>
      <c r="I11" s="63">
        <f t="shared" si="3"/>
        <v>3.9945434669450897E-4</v>
      </c>
      <c r="J11" s="63">
        <f t="shared" si="3"/>
        <v>2.5779833016656466E-4</v>
      </c>
      <c r="K11" s="63">
        <f t="shared" si="3"/>
        <v>5.8588907284373574E-4</v>
      </c>
      <c r="L11" s="63">
        <f t="shared" si="3"/>
        <v>5.2138233525176366E-4</v>
      </c>
      <c r="M11" s="63">
        <f t="shared" si="3"/>
        <v>3.7947875066259034E-4</v>
      </c>
      <c r="N11" s="63">
        <f t="shared" si="3"/>
        <v>2.3178796610418058E-4</v>
      </c>
      <c r="O11" s="63">
        <f t="shared" si="3"/>
        <v>4.962919267041012E-4</v>
      </c>
      <c r="P11" s="63">
        <f t="shared" si="3"/>
        <v>3.7800732223939476E-4</v>
      </c>
      <c r="Q11" s="63">
        <f t="shared" si="3"/>
        <v>1.312940854536415E-3</v>
      </c>
      <c r="R11" s="63">
        <f t="shared" si="3"/>
        <v>1.3731810826874853E-4</v>
      </c>
      <c r="S11" s="63">
        <f t="shared" si="3"/>
        <v>6.6298414751956767E-4</v>
      </c>
      <c r="T11" s="63">
        <f t="shared" si="3"/>
        <v>4.8122970953827959E-4</v>
      </c>
      <c r="U11" s="63">
        <f t="shared" si="3"/>
        <v>5.8350914581004336E-4</v>
      </c>
      <c r="V11" s="63">
        <f t="shared" si="3"/>
        <v>3.1394060654468315E-4</v>
      </c>
      <c r="W11" s="63">
        <f t="shared" si="3"/>
        <v>0</v>
      </c>
      <c r="X11" s="63">
        <f t="shared" si="3"/>
        <v>0</v>
      </c>
      <c r="Y11" s="63">
        <f t="shared" si="3"/>
        <v>0</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0</v>
      </c>
      <c r="AP11" s="63">
        <f t="shared" si="3"/>
        <v>0</v>
      </c>
      <c r="AQ11" s="63">
        <f t="shared" si="3"/>
        <v>0</v>
      </c>
      <c r="AR11" s="63">
        <f t="shared" si="3"/>
        <v>0</v>
      </c>
      <c r="AS11" s="63">
        <f t="shared" si="3"/>
        <v>0</v>
      </c>
      <c r="AT11" s="63">
        <f t="shared" si="3"/>
        <v>0</v>
      </c>
      <c r="AU11" s="63">
        <f t="shared" si="3"/>
        <v>0</v>
      </c>
      <c r="AV11" s="63">
        <f t="shared" si="3"/>
        <v>0</v>
      </c>
      <c r="AW11" s="63">
        <f t="shared" si="3"/>
        <v>0</v>
      </c>
      <c r="AX11" s="63">
        <f t="shared" si="3"/>
        <v>0</v>
      </c>
      <c r="AY11" s="63">
        <f t="shared" si="3"/>
        <v>0</v>
      </c>
      <c r="AZ11" s="63">
        <f t="shared" si="3"/>
        <v>0</v>
      </c>
      <c r="BA11" s="63">
        <f t="shared" si="3"/>
        <v>0</v>
      </c>
      <c r="BB11" s="63">
        <f t="shared" si="3"/>
        <v>0</v>
      </c>
      <c r="BC11" s="63">
        <f t="shared" si="3"/>
        <v>0</v>
      </c>
      <c r="BD11" s="63">
        <f t="shared" si="3"/>
        <v>0</v>
      </c>
      <c r="BE11" s="63">
        <f t="shared" si="3"/>
        <v>7.060157384231035E-5</v>
      </c>
      <c r="BF11" s="63">
        <f t="shared" si="3"/>
        <v>0</v>
      </c>
      <c r="BG11" s="63">
        <f t="shared" si="3"/>
        <v>0</v>
      </c>
      <c r="BH11" s="63">
        <f t="shared" si="3"/>
        <v>0</v>
      </c>
      <c r="BI11" s="63">
        <f t="shared" si="3"/>
        <v>0</v>
      </c>
      <c r="BJ11" s="63">
        <f t="shared" si="3"/>
        <v>0</v>
      </c>
      <c r="BK11" s="63">
        <f t="shared" si="3"/>
        <v>0</v>
      </c>
      <c r="BL11" s="63">
        <f t="shared" si="3"/>
        <v>0</v>
      </c>
      <c r="BM11" s="63">
        <f t="shared" si="3"/>
        <v>0</v>
      </c>
      <c r="BN11" s="63">
        <f t="shared" si="3"/>
        <v>0</v>
      </c>
      <c r="BO11" s="63">
        <f t="shared" si="3"/>
        <v>0</v>
      </c>
      <c r="BP11" s="63">
        <f t="shared" si="3"/>
        <v>0</v>
      </c>
      <c r="BQ11" s="63">
        <f t="shared" si="3"/>
        <v>0</v>
      </c>
      <c r="BR11" s="63">
        <f>BR4/BR10</f>
        <v>0.1301434163104041</v>
      </c>
      <c r="BS11" s="63">
        <f>BS4/BS10</f>
        <v>0.23185591358780802</v>
      </c>
      <c r="BT11" s="63">
        <f>BT4/BT10</f>
        <v>0.38164378704014651</v>
      </c>
      <c r="BU11" s="63">
        <f>BU4/BU10</f>
        <v>0.46139069277887035</v>
      </c>
      <c r="BV11" s="63" t="e">
        <f>BV4/BV10*100</f>
        <v>#DIV/0!</v>
      </c>
    </row>
    <row r="12" spans="1:74" s="63" customFormat="1" x14ac:dyDescent="0.25">
      <c r="A12" s="17" t="s">
        <v>348</v>
      </c>
      <c r="E12" s="63">
        <f>E8/E10</f>
        <v>0.9015448685162093</v>
      </c>
      <c r="F12" s="63">
        <f t="shared" ref="F12:BQ12" si="4">F8/F10</f>
        <v>0.88112776113015523</v>
      </c>
      <c r="G12" s="63">
        <f t="shared" si="4"/>
        <v>0.81997993514364687</v>
      </c>
      <c r="H12" s="63">
        <f t="shared" si="4"/>
        <v>0.88623004027075447</v>
      </c>
      <c r="I12" s="63">
        <f t="shared" si="4"/>
        <v>0.87925072465225718</v>
      </c>
      <c r="J12" s="63">
        <f t="shared" si="4"/>
        <v>0.85077834836066846</v>
      </c>
      <c r="K12" s="63">
        <f t="shared" si="4"/>
        <v>0.84131310714339269</v>
      </c>
      <c r="L12" s="63">
        <f t="shared" si="4"/>
        <v>0.91489494688865758</v>
      </c>
      <c r="M12" s="63">
        <f t="shared" si="4"/>
        <v>0.91699988970387725</v>
      </c>
      <c r="N12" s="63">
        <f t="shared" si="4"/>
        <v>0.9065568657619556</v>
      </c>
      <c r="O12" s="63">
        <f t="shared" si="4"/>
        <v>0.95382221777586718</v>
      </c>
      <c r="P12" s="63">
        <f t="shared" si="4"/>
        <v>0.95447832187049553</v>
      </c>
      <c r="Q12" s="63">
        <f t="shared" si="4"/>
        <v>0.93201944727970998</v>
      </c>
      <c r="R12" s="63">
        <f t="shared" si="4"/>
        <v>0.9249320366236482</v>
      </c>
      <c r="S12" s="63">
        <f t="shared" si="4"/>
        <v>0.91765636331426215</v>
      </c>
      <c r="T12" s="63">
        <f t="shared" si="4"/>
        <v>0.93943073431504232</v>
      </c>
      <c r="U12" s="63">
        <f t="shared" si="4"/>
        <v>0.94032403655953212</v>
      </c>
      <c r="V12" s="63">
        <f t="shared" si="4"/>
        <v>0.92505014110823314</v>
      </c>
      <c r="W12" s="63">
        <f t="shared" si="4"/>
        <v>0.9073908725529608</v>
      </c>
      <c r="X12" s="63">
        <f t="shared" si="4"/>
        <v>0.98395119991654023</v>
      </c>
      <c r="Y12" s="63">
        <f t="shared" si="4"/>
        <v>1</v>
      </c>
      <c r="Z12" s="63">
        <f t="shared" si="4"/>
        <v>0.99392031216961096</v>
      </c>
      <c r="AA12" s="63">
        <f t="shared" si="4"/>
        <v>0.87028325411998098</v>
      </c>
      <c r="AB12" s="63">
        <f t="shared" si="4"/>
        <v>0.99992114358042861</v>
      </c>
      <c r="AC12" s="63">
        <f t="shared" si="4"/>
        <v>0.99999999999999989</v>
      </c>
      <c r="AD12" s="63">
        <f t="shared" si="4"/>
        <v>0.99032174833770537</v>
      </c>
      <c r="AE12" s="63">
        <f t="shared" si="4"/>
        <v>0.90471679117267456</v>
      </c>
      <c r="AF12" s="63">
        <f t="shared" si="4"/>
        <v>0.98472696938643156</v>
      </c>
      <c r="AG12" s="63">
        <f t="shared" si="4"/>
        <v>0.98311508177126061</v>
      </c>
      <c r="AH12" s="63">
        <f t="shared" si="4"/>
        <v>0.98772453064200727</v>
      </c>
      <c r="AI12" s="63">
        <f t="shared" si="4"/>
        <v>0.93379419908801575</v>
      </c>
      <c r="AJ12" s="63">
        <f t="shared" si="4"/>
        <v>1</v>
      </c>
      <c r="AK12" s="63">
        <f t="shared" si="4"/>
        <v>0.99072217403751184</v>
      </c>
      <c r="AL12" s="63">
        <f t="shared" si="4"/>
        <v>1.0000000000000002</v>
      </c>
      <c r="AM12" s="63">
        <f t="shared" si="4"/>
        <v>0.92558197686117116</v>
      </c>
      <c r="AN12" s="63">
        <f t="shared" si="4"/>
        <v>0.98650663590656629</v>
      </c>
      <c r="AO12" s="63">
        <f t="shared" si="4"/>
        <v>1</v>
      </c>
      <c r="AP12" s="63">
        <f t="shared" si="4"/>
        <v>0.98943574075004059</v>
      </c>
      <c r="AQ12" s="63">
        <f t="shared" si="4"/>
        <v>0.98814916007803155</v>
      </c>
      <c r="AR12" s="63">
        <f t="shared" si="4"/>
        <v>0.99551800101801624</v>
      </c>
      <c r="AS12" s="63">
        <f t="shared" si="4"/>
        <v>0.99502929086688563</v>
      </c>
      <c r="AT12" s="63">
        <f t="shared" si="4"/>
        <v>0.99402305738764563</v>
      </c>
      <c r="AU12" s="63">
        <f t="shared" si="4"/>
        <v>0.89587406572908934</v>
      </c>
      <c r="AV12" s="63">
        <f t="shared" si="4"/>
        <v>0.89068501475755213</v>
      </c>
      <c r="AW12" s="63">
        <f t="shared" si="4"/>
        <v>0.99850753640198942</v>
      </c>
      <c r="AX12" s="63">
        <f t="shared" si="4"/>
        <v>0.9895792937371185</v>
      </c>
      <c r="AY12" s="63">
        <f t="shared" si="4"/>
        <v>0.99957351974273767</v>
      </c>
      <c r="AZ12" s="63">
        <f t="shared" si="4"/>
        <v>0.98484825589806235</v>
      </c>
      <c r="BA12" s="63">
        <f t="shared" si="4"/>
        <v>0.99099661095179825</v>
      </c>
      <c r="BB12" s="63">
        <f t="shared" si="4"/>
        <v>0.98968072491623915</v>
      </c>
      <c r="BC12" s="63">
        <f t="shared" si="4"/>
        <v>0.99179295109018417</v>
      </c>
      <c r="BD12" s="63">
        <f t="shared" si="4"/>
        <v>0.98530096676953594</v>
      </c>
      <c r="BE12" s="63">
        <f t="shared" si="4"/>
        <v>0.99235401117400068</v>
      </c>
      <c r="BF12" s="63">
        <f t="shared" si="4"/>
        <v>0.96810813945220342</v>
      </c>
      <c r="BG12" s="63">
        <f t="shared" si="4"/>
        <v>0.9813711863777097</v>
      </c>
      <c r="BH12" s="63">
        <f t="shared" si="4"/>
        <v>0.97883170797288721</v>
      </c>
      <c r="BI12" s="63">
        <f t="shared" si="4"/>
        <v>0.99556100687876004</v>
      </c>
      <c r="BJ12" s="63">
        <f t="shared" si="4"/>
        <v>0.97881550054467892</v>
      </c>
      <c r="BK12" s="63">
        <f t="shared" si="4"/>
        <v>0.97729371141338051</v>
      </c>
      <c r="BL12" s="63">
        <f t="shared" si="4"/>
        <v>0.97801232531213811</v>
      </c>
      <c r="BM12" s="63">
        <f t="shared" si="4"/>
        <v>0.97752859332830866</v>
      </c>
      <c r="BN12" s="63">
        <f t="shared" si="4"/>
        <v>0.95070089643969102</v>
      </c>
      <c r="BO12" s="63">
        <f t="shared" si="4"/>
        <v>0.94182561259358599</v>
      </c>
      <c r="BP12" s="63">
        <f t="shared" si="4"/>
        <v>0.93990284337325747</v>
      </c>
      <c r="BQ12" s="63">
        <f t="shared" si="4"/>
        <v>0.94665192794774533</v>
      </c>
      <c r="BR12" s="63">
        <f>BR8/BR10</f>
        <v>0.67047190083538588</v>
      </c>
      <c r="BS12" s="63">
        <f>BS8/BS10</f>
        <v>0.79761961187280828</v>
      </c>
      <c r="BT12" s="63">
        <f>BT8/BT10</f>
        <v>0.62424956498211193</v>
      </c>
      <c r="BU12" s="63">
        <f>BU8/BU10</f>
        <v>0.52087023663366372</v>
      </c>
      <c r="BV12" s="63" t="e">
        <f>BV8/BV10*100</f>
        <v>#DIV/0!</v>
      </c>
    </row>
    <row r="13" spans="1:74" s="63" customFormat="1" x14ac:dyDescent="0.25">
      <c r="A13" s="63" t="s">
        <v>349</v>
      </c>
      <c r="E13" s="63">
        <f>E5*E11*(1-E6)+E9*E12</f>
        <v>7.2128472510813904E-2</v>
      </c>
      <c r="F13" s="63">
        <f t="shared" ref="F13:J13" si="5">F5*F11*(1-F6)+F9*F12</f>
        <v>7.0490220890412417E-2</v>
      </c>
      <c r="G13" s="63">
        <f t="shared" si="5"/>
        <v>6.5598394811491753E-2</v>
      </c>
      <c r="H13" s="63">
        <f t="shared" si="5"/>
        <v>7.0898403221660355E-2</v>
      </c>
      <c r="I13" s="63">
        <f t="shared" si="5"/>
        <v>7.0696375635123127E-2</v>
      </c>
      <c r="J13" s="63">
        <f t="shared" si="5"/>
        <v>6.8062267868853485E-2</v>
      </c>
      <c r="K13" s="63">
        <f t="shared" ref="K13" si="6">K5*K11*(1-K6)+K9*K12</f>
        <v>6.7305048571471418E-2</v>
      </c>
      <c r="L13" s="63">
        <f t="shared" ref="L13" si="7">L5*L11*(1-L6)+L9*L12</f>
        <v>7.3191595751092603E-2</v>
      </c>
      <c r="M13" s="63">
        <f t="shared" ref="M13" si="8">M5*M11*(1-M6)+M9*M12</f>
        <v>7.3580322897594252E-2</v>
      </c>
      <c r="N13" s="63">
        <f t="shared" ref="N13:O13" si="9">N5*N11*(1-N6)+N9*N12</f>
        <v>7.2524549260956445E-2</v>
      </c>
      <c r="O13" s="63">
        <f t="shared" si="9"/>
        <v>7.6305777422069371E-2</v>
      </c>
      <c r="P13" s="63">
        <f t="shared" ref="P13" si="10">P5*P11*(1-P6)+P9*P12</f>
        <v>7.6358265749639651E-2</v>
      </c>
      <c r="Q13" s="63">
        <f t="shared" ref="Q13" si="11">Q5*Q11*(1-Q6)+Q9*Q12</f>
        <v>7.4750573592232986E-2</v>
      </c>
      <c r="R13" s="63">
        <f t="shared" ref="R13" si="12">R5*R11*(1-R6)+R9*R12</f>
        <v>7.3994562929891858E-2</v>
      </c>
      <c r="S13" s="63">
        <f t="shared" ref="S13:T13" si="13">S5*S11*(1-S6)+S9*S12</f>
        <v>7.3412509065140977E-2</v>
      </c>
      <c r="T13" s="63">
        <f t="shared" si="13"/>
        <v>7.5154458745203392E-2</v>
      </c>
      <c r="U13" s="63">
        <f t="shared" ref="U13" si="14">U5*U11*(1-U6)+U9*U12</f>
        <v>7.5225922924762573E-2</v>
      </c>
      <c r="V13" s="63">
        <f t="shared" ref="V13" si="15">V5*V11*(1-V6)+V9*V12</f>
        <v>7.4004011288658647E-2</v>
      </c>
      <c r="W13" s="63">
        <f t="shared" ref="W13" si="16">W5*W11*(1-W6)+W9*W12</f>
        <v>7.2591269804236871E-2</v>
      </c>
      <c r="X13" s="63">
        <f t="shared" ref="X13:Y13" si="17">X5*X11*(1-X6)+X9*X12</f>
        <v>7.8716095993323215E-2</v>
      </c>
      <c r="Y13" s="63">
        <f t="shared" si="17"/>
        <v>0.08</v>
      </c>
      <c r="Z13" s="63">
        <f t="shared" ref="Z13" si="18">Z5*Z11*(1-Z6)+Z9*Z12</f>
        <v>7.9513624973568883E-2</v>
      </c>
      <c r="AA13" s="63">
        <f t="shared" ref="AA13" si="19">AA5*AA11*(1-AA6)+AA9*AA12</f>
        <v>6.9622660329598476E-2</v>
      </c>
      <c r="AB13" s="63">
        <f t="shared" ref="AB13" si="20">AB5*AB11*(1-AB6)+AB9*AB12</f>
        <v>7.9993691486434287E-2</v>
      </c>
      <c r="AC13" s="63">
        <f t="shared" ref="AC13:AD13" si="21">AC5*AC11*(1-AC6)+AC9*AC12</f>
        <v>7.9999999999999988E-2</v>
      </c>
      <c r="AD13" s="63">
        <f t="shared" si="21"/>
        <v>7.9225739867016434E-2</v>
      </c>
      <c r="AE13" s="63">
        <f t="shared" ref="AE13" si="22">AE5*AE11*(1-AE6)+AE9*AE12</f>
        <v>7.237734329381397E-2</v>
      </c>
      <c r="AF13" s="63">
        <f t="shared" ref="AF13" si="23">AF5*AF11*(1-AF6)+AF9*AF12</f>
        <v>7.8778157550914524E-2</v>
      </c>
      <c r="AG13" s="63">
        <f t="shared" ref="AG13" si="24">AG5*AG11*(1-AG6)+AG9*AG12</f>
        <v>7.864920654170085E-2</v>
      </c>
      <c r="AH13" s="63">
        <f t="shared" ref="AH13:AI13" si="25">AH5*AH11*(1-AH6)+AH9*AH12</f>
        <v>7.9017962451360585E-2</v>
      </c>
      <c r="AI13" s="63">
        <f t="shared" si="25"/>
        <v>7.4703535927041265E-2</v>
      </c>
      <c r="AJ13" s="63">
        <f t="shared" ref="AJ13" si="26">AJ5*AJ11*(1-AJ6)+AJ9*AJ12</f>
        <v>0.08</v>
      </c>
      <c r="AK13" s="63">
        <f t="shared" ref="AK13" si="27">AK5*AK11*(1-AK6)+AK9*AK12</f>
        <v>7.9257773923000943E-2</v>
      </c>
      <c r="AL13" s="63">
        <f t="shared" ref="AL13" si="28">AL5*AL11*(1-AL6)+AL9*AL12</f>
        <v>8.0000000000000016E-2</v>
      </c>
      <c r="AM13" s="63">
        <f t="shared" ref="AM13:AN13" si="29">AM5*AM11*(1-AM6)+AM9*AM12</f>
        <v>7.4046558148893701E-2</v>
      </c>
      <c r="AN13" s="63">
        <f t="shared" si="29"/>
        <v>7.8920530872525305E-2</v>
      </c>
      <c r="AO13" s="63">
        <f t="shared" ref="AO13" si="30">AO5*AO11*(1-AO6)+AO9*AO12</f>
        <v>0.08</v>
      </c>
      <c r="AP13" s="63">
        <f t="shared" ref="AP13" si="31">AP5*AP11*(1-AP6)+AP9*AP12</f>
        <v>7.9154859260003249E-2</v>
      </c>
      <c r="AQ13" s="63">
        <f t="shared" ref="AQ13" si="32">AQ5*AQ11*(1-AQ6)+AQ9*AQ12</f>
        <v>7.9051932806242523E-2</v>
      </c>
      <c r="AR13" s="63">
        <f t="shared" ref="AR13:AS13" si="33">AR5*AR11*(1-AR6)+AR9*AR12</f>
        <v>7.9641440081441306E-2</v>
      </c>
      <c r="AS13" s="63">
        <f t="shared" si="33"/>
        <v>7.9602343269350853E-2</v>
      </c>
      <c r="AT13" s="63">
        <f t="shared" ref="AT13" si="34">AT5*AT11*(1-AT6)+AT9*AT12</f>
        <v>7.9521844591011651E-2</v>
      </c>
      <c r="AU13" s="63">
        <f t="shared" ref="AU13" si="35">AU5*AU11*(1-AU6)+AU9*AU12</f>
        <v>7.1669925258327147E-2</v>
      </c>
      <c r="AV13" s="63">
        <f t="shared" ref="AV13" si="36">AV5*AV11*(1-AV6)+AV9*AV12</f>
        <v>7.1254801180604177E-2</v>
      </c>
      <c r="AW13" s="63">
        <f t="shared" ref="AW13:AX13" si="37">AW5*AW11*(1-AW6)+AW9*AW12</f>
        <v>7.9880602912159149E-2</v>
      </c>
      <c r="AX13" s="63">
        <f t="shared" si="37"/>
        <v>7.9166343498969477E-2</v>
      </c>
      <c r="AY13" s="63">
        <f t="shared" ref="AY13" si="38">AY5*AY11*(1-AY6)+AY9*AY12</f>
        <v>7.9965881579419015E-2</v>
      </c>
      <c r="AZ13" s="63">
        <f t="shared" ref="AZ13" si="39">AZ5*AZ11*(1-AZ6)+AZ9*AZ12</f>
        <v>7.8787860471844995E-2</v>
      </c>
      <c r="BA13" s="63">
        <f t="shared" ref="BA13" si="40">BA5*BA11*(1-BA6)+BA9*BA12</f>
        <v>7.927972887614386E-2</v>
      </c>
      <c r="BB13" s="63">
        <f t="shared" ref="BB13:BC13" si="41">BB5*BB11*(1-BB6)+BB9*BB12</f>
        <v>7.9174457993299127E-2</v>
      </c>
      <c r="BC13" s="63">
        <f t="shared" si="41"/>
        <v>7.9343436087214739E-2</v>
      </c>
      <c r="BD13" s="63">
        <f t="shared" ref="BD13" si="42">BD5*BD11*(1-BD6)+BD9*BD12</f>
        <v>7.8824077341562881E-2</v>
      </c>
      <c r="BE13" s="63">
        <f t="shared" ref="BE13" si="43">BE5*BE11*(1-BE6)+BE9*BE12</f>
        <v>7.9388320893920061E-2</v>
      </c>
      <c r="BF13" s="63">
        <f t="shared" ref="BF13" si="44">BF5*BF11*(1-BF6)+BF9*BF12</f>
        <v>7.7448651156176274E-2</v>
      </c>
      <c r="BG13" s="63">
        <f t="shared" ref="BG13:BH13" si="45">BG5*BG11*(1-BG6)+BG9*BG12</f>
        <v>7.8509694910216782E-2</v>
      </c>
      <c r="BH13" s="63">
        <f t="shared" si="45"/>
        <v>7.8306536637830979E-2</v>
      </c>
      <c r="BI13" s="63">
        <f t="shared" ref="BI13" si="46">BI5*BI11*(1-BI6)+BI9*BI12</f>
        <v>7.9644880550300806E-2</v>
      </c>
      <c r="BJ13" s="63">
        <f t="shared" ref="BJ13" si="47">BJ5*BJ11*(1-BJ6)+BJ9*BJ12</f>
        <v>7.8305240043574309E-2</v>
      </c>
      <c r="BK13" s="63">
        <f t="shared" ref="BK13" si="48">BK5*BK11*(1-BK6)+BK9*BK12</f>
        <v>7.8183496913070444E-2</v>
      </c>
      <c r="BL13" s="63">
        <f t="shared" ref="BL13:BM13" si="49">BL5*BL11*(1-BL6)+BL9*BL12</f>
        <v>7.8240986024971051E-2</v>
      </c>
      <c r="BM13" s="63">
        <f t="shared" si="49"/>
        <v>7.8202287466264689E-2</v>
      </c>
      <c r="BN13" s="63">
        <f t="shared" ref="BN13" si="50">BN5*BN11*(1-BN6)+BN9*BN12</f>
        <v>7.6056071715175283E-2</v>
      </c>
      <c r="BO13" s="63">
        <f t="shared" ref="BO13" si="51">BO5*BO11*(1-BO6)+BO9*BO12</f>
        <v>7.5346049007486884E-2</v>
      </c>
      <c r="BP13" s="63">
        <f t="shared" ref="BP13" si="52">BP5*BP11*(1-BP6)+BP9*BP12</f>
        <v>7.5192227469860595E-2</v>
      </c>
      <c r="BQ13" s="63">
        <f t="shared" ref="BQ13:BR13" si="53">BQ5*BQ11*(1-BQ6)+BQ9*BQ12</f>
        <v>7.5732154235819624E-2</v>
      </c>
      <c r="BR13" s="63">
        <f t="shared" si="53"/>
        <v>5.3637752066830871E-2</v>
      </c>
      <c r="BS13" s="63">
        <f t="shared" ref="BS13" si="54">BS5*BS11*(1-BS6)+BS9*BS12</f>
        <v>6.380956894982466E-2</v>
      </c>
      <c r="BT13" s="63">
        <f t="shared" ref="BT13" si="55">BT5*BT11*(1-BT6)+BT9*BT12</f>
        <v>4.9939965198568956E-2</v>
      </c>
      <c r="BU13" s="63">
        <f t="shared" ref="BU13" si="56">BU5*BU11*(1-BU6)+BU9*BU12</f>
        <v>4.1669618930693098E-2</v>
      </c>
      <c r="BV13" s="63" t="e">
        <f t="shared" ref="BV13" si="57">BV5*BV11*(1-BV6)+BV9*BV12</f>
        <v>#DIV/0!</v>
      </c>
    </row>
    <row r="14" spans="1:74" s="16" customFormat="1" ht="56.4" customHeight="1" x14ac:dyDescent="0.25">
      <c r="A14" s="278" t="s">
        <v>667</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31" workbookViewId="0">
      <selection activeCell="E45" sqref="E45"/>
    </sheetView>
  </sheetViews>
  <sheetFormatPr defaultRowHeight="14.4" x14ac:dyDescent="0.25"/>
  <cols>
    <col min="1" max="1" width="37.33203125" style="17" bestFit="1" customWidth="1"/>
    <col min="2" max="4" width="9.5546875" hidden="1" customWidth="1"/>
    <col min="5" max="5" width="23.88671875" bestFit="1" customWidth="1"/>
    <col min="6" max="6" width="23.88671875" hidden="1" customWidth="1"/>
    <col min="7"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2" width="22.6640625" hidden="1" customWidth="1"/>
    <col min="43"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19" hidden="1" customWidth="1"/>
    <col min="71" max="73" width="19" bestFit="1" customWidth="1"/>
    <col min="74" max="74" width="9.5546875" hidden="1" customWidth="1"/>
    <col min="75" max="90" width="8.5546875" bestFit="1" customWidth="1"/>
  </cols>
  <sheetData>
    <row r="1" spans="1:90" s="26" customFormat="1"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88"/>
      <c r="BX1" s="188"/>
      <c r="BY1" s="188"/>
      <c r="BZ1" s="188"/>
      <c r="CA1" s="188"/>
      <c r="CB1" s="188"/>
      <c r="CC1" s="188"/>
      <c r="CD1" s="188"/>
      <c r="CE1" s="188"/>
      <c r="CF1" s="188"/>
      <c r="CG1" s="188"/>
      <c r="CH1" s="188"/>
      <c r="CI1" s="188"/>
      <c r="CJ1" s="188"/>
      <c r="CK1" s="188"/>
      <c r="CL1" s="188"/>
    </row>
    <row r="2" spans="1:90" s="26" customFormat="1" x14ac:dyDescent="0.25">
      <c r="A2" s="41" t="s">
        <v>551</v>
      </c>
      <c r="E2" s="26">
        <f>资产资本表!E17</f>
        <v>88172478529.229996</v>
      </c>
      <c r="F2" s="26">
        <f>资产资本表!F17</f>
        <v>81265615624.639999</v>
      </c>
      <c r="G2" s="26">
        <f>资产资本表!G17</f>
        <v>74045487984.549988</v>
      </c>
      <c r="H2" s="26">
        <f>资产资本表!H17</f>
        <v>73219258579.670013</v>
      </c>
      <c r="I2" s="26">
        <f>资产资本表!I17</f>
        <v>67085700492.129997</v>
      </c>
      <c r="J2" s="26">
        <f>资产资本表!J17</f>
        <v>62324058442.190002</v>
      </c>
      <c r="K2" s="26">
        <f>资产资本表!K17</f>
        <v>47808867372.299995</v>
      </c>
      <c r="L2" s="26">
        <f>资产资本表!L17</f>
        <v>44074809231.059998</v>
      </c>
      <c r="M2" s="26">
        <f>资产资本表!M17</f>
        <v>36934596946.529999</v>
      </c>
      <c r="N2" s="26">
        <f>资产资本表!N17</f>
        <v>30722903270.879997</v>
      </c>
      <c r="O2" s="26">
        <f>资产资本表!O17</f>
        <v>30482844449.870003</v>
      </c>
      <c r="P2" s="26">
        <f>资产资本表!P17</f>
        <v>28623123952.73</v>
      </c>
      <c r="Q2" s="26">
        <f>资产资本表!Q17</f>
        <v>27886130602.540001</v>
      </c>
      <c r="R2" s="26">
        <f>资产资本表!R17</f>
        <v>22910725708.920002</v>
      </c>
      <c r="S2" s="26">
        <f>资产资本表!S17</f>
        <v>21200304356.759998</v>
      </c>
      <c r="T2" s="26">
        <f>资产资本表!T17</f>
        <v>23500579727.43</v>
      </c>
      <c r="U2" s="26">
        <f>资产资本表!U17</f>
        <v>25514135978.91</v>
      </c>
      <c r="V2" s="26">
        <f>资产资本表!V17</f>
        <v>22377192030.630001</v>
      </c>
      <c r="W2" s="26">
        <f>资产资本表!W17</f>
        <v>18562670939.949997</v>
      </c>
      <c r="X2" s="26">
        <f>资产资本表!X17</f>
        <v>21955036844.350002</v>
      </c>
      <c r="Y2" s="26">
        <f>资产资本表!Y17</f>
        <v>22376612663.389999</v>
      </c>
      <c r="Z2" s="26">
        <f>资产资本表!Z17</f>
        <v>19005987757.170002</v>
      </c>
      <c r="AA2" s="26">
        <f>资产资本表!AA17</f>
        <v>21245645480.619999</v>
      </c>
      <c r="AB2" s="26">
        <f>资产资本表!AB17</f>
        <v>19056013006.079998</v>
      </c>
      <c r="AC2" s="26">
        <f>资产资本表!AC17</f>
        <v>18539872922.09</v>
      </c>
      <c r="AD2" s="26">
        <f>资产资本表!AD17</f>
        <v>18524435542.09</v>
      </c>
      <c r="AE2" s="26">
        <f>资产资本表!AE17</f>
        <v>17479293577.549999</v>
      </c>
      <c r="AF2" s="26">
        <f>资产资本表!AF17</f>
        <v>16097936940.57</v>
      </c>
      <c r="AG2" s="26">
        <f>资产资本表!AG17</f>
        <v>12991122314.630001</v>
      </c>
      <c r="AH2" s="26">
        <f>资产资本表!AH17</f>
        <v>11163366118.51</v>
      </c>
      <c r="AI2" s="26">
        <f>资产资本表!AI17</f>
        <v>10378305344.280001</v>
      </c>
      <c r="AJ2" s="26">
        <f>资产资本表!AJ17</f>
        <v>9990618883.5699997</v>
      </c>
      <c r="AK2" s="26">
        <f>资产资本表!AK17</f>
        <v>9755064755.2399998</v>
      </c>
      <c r="AL2" s="26">
        <f>资产资本表!AL17</f>
        <v>7923955837.8000002</v>
      </c>
      <c r="AM2" s="26">
        <f>资产资本表!AM17</f>
        <v>7824246321.21</v>
      </c>
      <c r="AN2" s="26">
        <f>资产资本表!AN17</f>
        <v>7717405756.3000002</v>
      </c>
      <c r="AO2" s="26">
        <f>资产资本表!AO17</f>
        <v>8138505441.1599998</v>
      </c>
      <c r="AP2" s="26">
        <f>资产资本表!AP17</f>
        <v>6441498269.54</v>
      </c>
      <c r="AQ2" s="26">
        <f>资产资本表!AQ17</f>
        <v>5105053230.8000002</v>
      </c>
      <c r="AR2" s="26">
        <f>资产资本表!AR17</f>
        <v>5603323644.29</v>
      </c>
      <c r="AS2" s="26">
        <f>资产资本表!AS17</f>
        <v>4784290700.0200005</v>
      </c>
      <c r="AT2" s="26">
        <f>资产资本表!AT17</f>
        <v>4814014936.3500004</v>
      </c>
      <c r="AU2" s="26">
        <f>资产资本表!AU17</f>
        <v>4870494456.1599998</v>
      </c>
      <c r="AV2" s="26">
        <f>资产资本表!AV17</f>
        <v>4715254931.29</v>
      </c>
      <c r="AW2" s="26">
        <f>资产资本表!AW17</f>
        <v>4505867488.6400003</v>
      </c>
      <c r="AX2" s="26">
        <f>资产资本表!AX17</f>
        <v>4083907788.3400002</v>
      </c>
      <c r="AY2" s="26">
        <f>资产资本表!AY17</f>
        <v>3419099920.6599998</v>
      </c>
      <c r="AZ2" s="26">
        <f>资产资本表!AZ17</f>
        <v>3975708186.8800001</v>
      </c>
      <c r="BA2" s="26">
        <f>资产资本表!BA17</f>
        <v>3891989433.5300002</v>
      </c>
      <c r="BB2" s="26">
        <f>资产资本表!BB17</f>
        <v>3217007276.75</v>
      </c>
      <c r="BC2" s="26">
        <f>资产资本表!BC17</f>
        <v>3065214770.1900001</v>
      </c>
      <c r="BD2" s="26">
        <f>资产资本表!BD17</f>
        <v>3024925341.3800001</v>
      </c>
      <c r="BE2" s="26">
        <f>资产资本表!BE17</f>
        <v>2898327418.8499999</v>
      </c>
      <c r="BF2" s="26">
        <f>资产资本表!BF17</f>
        <v>2419288966.46</v>
      </c>
      <c r="BG2" s="26">
        <f>资产资本表!BG17</f>
        <v>2172790156.5900002</v>
      </c>
      <c r="BH2" s="26">
        <f>资产资本表!BH17</f>
        <v>2101448845.7199998</v>
      </c>
      <c r="BI2" s="26">
        <f>资产资本表!BI17</f>
        <v>2340047386.8499999</v>
      </c>
      <c r="BJ2" s="26">
        <f>资产资本表!BJ17</f>
        <v>1868792963.71</v>
      </c>
      <c r="BK2" s="26">
        <f>资产资本表!BK17</f>
        <v>1536249315.6400001</v>
      </c>
      <c r="BL2" s="26">
        <f>资产资本表!BL17</f>
        <v>1684957738.5599999</v>
      </c>
      <c r="BM2" s="26">
        <f>资产资本表!BM17</f>
        <v>1780307690.6400001</v>
      </c>
      <c r="BN2" s="26">
        <f>资产资本表!BN17</f>
        <v>1677224920.04</v>
      </c>
      <c r="BO2" s="26">
        <f>资产资本表!BO17</f>
        <v>1513800289.8299999</v>
      </c>
      <c r="BP2" s="26">
        <f>资产资本表!BP17</f>
        <v>1877929846.0899999</v>
      </c>
      <c r="BQ2" s="26">
        <f>资产资本表!BQ17</f>
        <v>1956436570.0999999</v>
      </c>
      <c r="BR2" s="26">
        <f>资产资本表!BR17</f>
        <v>336439213.5</v>
      </c>
      <c r="BS2" s="26">
        <f>资产资本表!BS17</f>
        <v>460983583.45999998</v>
      </c>
      <c r="BT2" s="26">
        <f>资产资本表!BT17</f>
        <v>198390615.12</v>
      </c>
      <c r="BU2" s="26">
        <f>资产资本表!BU17</f>
        <v>124765368.73999999</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0</v>
      </c>
      <c r="O3" s="26">
        <f>资产资本表!O19</f>
        <v>0</v>
      </c>
      <c r="P3" s="26">
        <f>资产资本表!P19</f>
        <v>0</v>
      </c>
      <c r="Q3" s="26">
        <f>资产资本表!Q19</f>
        <v>0</v>
      </c>
      <c r="R3" s="26">
        <f>资产资本表!R19</f>
        <v>2750000</v>
      </c>
      <c r="S3" s="26">
        <f>资产资本表!S19</f>
        <v>6750000</v>
      </c>
      <c r="T3" s="26">
        <f>资产资本表!T19</f>
        <v>6750000</v>
      </c>
      <c r="U3" s="26">
        <f>资产资本表!U19</f>
        <v>4000000</v>
      </c>
      <c r="V3" s="26">
        <f>资产资本表!V19</f>
        <v>4000000</v>
      </c>
      <c r="W3" s="26">
        <f>资产资本表!W19</f>
        <v>4000000</v>
      </c>
      <c r="X3" s="26">
        <f>资产资本表!X19</f>
        <v>4000000</v>
      </c>
      <c r="Y3" s="26">
        <f>资产资本表!Y19</f>
        <v>4000000</v>
      </c>
      <c r="Z3" s="26">
        <f>资产资本表!Z19</f>
        <v>4000000</v>
      </c>
      <c r="AA3" s="26">
        <f>资产资本表!AA19</f>
        <v>4000000</v>
      </c>
      <c r="AB3" s="26">
        <f>资产资本表!AB19</f>
        <v>4000000</v>
      </c>
      <c r="AC3" s="26">
        <f>资产资本表!AC19</f>
        <v>4000000</v>
      </c>
      <c r="AD3" s="26">
        <f>资产资本表!AD19</f>
        <v>4000000</v>
      </c>
      <c r="AE3" s="26">
        <f>资产资本表!AE19</f>
        <v>4000000</v>
      </c>
      <c r="AF3" s="26">
        <f>资产资本表!AF19</f>
        <v>4000000</v>
      </c>
      <c r="AG3" s="26">
        <f>资产资本表!AG19</f>
        <v>4000000</v>
      </c>
      <c r="AH3" s="26">
        <f>资产资本表!AH19</f>
        <v>4000000</v>
      </c>
      <c r="AI3" s="26">
        <f>资产资本表!AI19</f>
        <v>4000000</v>
      </c>
      <c r="AJ3" s="26">
        <f>资产资本表!AJ19</f>
        <v>4000000</v>
      </c>
      <c r="AK3" s="26">
        <f>资产资本表!AK19</f>
        <v>4000000</v>
      </c>
      <c r="AL3" s="26">
        <f>资产资本表!AL19</f>
        <v>4000000</v>
      </c>
      <c r="AM3" s="26">
        <f>资产资本表!AM19</f>
        <v>4000000</v>
      </c>
      <c r="AN3" s="26">
        <f>资产资本表!AN19</f>
        <v>4000000</v>
      </c>
      <c r="AO3" s="26">
        <f>资产资本表!AO19</f>
        <v>4000000</v>
      </c>
      <c r="AP3" s="26">
        <f>资产资本表!AP19</f>
        <v>4000000</v>
      </c>
      <c r="AQ3" s="26">
        <f>资产资本表!AQ19</f>
        <v>4000000</v>
      </c>
      <c r="AR3" s="26">
        <f>资产资本表!AR19</f>
        <v>4000000</v>
      </c>
      <c r="AS3" s="26">
        <f>资产资本表!AS19</f>
        <v>4000000</v>
      </c>
      <c r="AT3" s="26">
        <f>资产资本表!AT19</f>
        <v>4000000</v>
      </c>
      <c r="AU3" s="26">
        <f>资产资本表!AU19</f>
        <v>4000000</v>
      </c>
      <c r="AV3" s="26">
        <f>资产资本表!AV19</f>
        <v>4000000</v>
      </c>
      <c r="AW3" s="26">
        <f>资产资本表!AW19</f>
        <v>11486496.289999999</v>
      </c>
      <c r="AX3" s="26">
        <f>资产资本表!AX19</f>
        <v>10767452.710000001</v>
      </c>
      <c r="AY3" s="26">
        <f>资产资本表!AY19</f>
        <v>10387452.699999999</v>
      </c>
      <c r="AZ3" s="26">
        <f>资产资本表!AZ19</f>
        <v>10243017.33</v>
      </c>
      <c r="BA3" s="26">
        <f>资产资本表!BA19</f>
        <v>10243017.33</v>
      </c>
      <c r="BB3" s="26">
        <f>资产资本表!BB19</f>
        <v>9838781.9600000009</v>
      </c>
      <c r="BC3" s="26">
        <f>资产资本表!BC19</f>
        <v>9838781.9600000009</v>
      </c>
      <c r="BD3" s="26">
        <f>资产资本表!BD19</f>
        <v>9627405.1300000008</v>
      </c>
      <c r="BE3" s="26">
        <f>资产资本表!BE19</f>
        <v>9815063.7300000004</v>
      </c>
      <c r="BF3" s="26">
        <f>资产资本表!BF19</f>
        <v>4000000</v>
      </c>
      <c r="BG3" s="26">
        <f>资产资本表!BG19</f>
        <v>4000000</v>
      </c>
      <c r="BH3" s="26">
        <f>资产资本表!BH19</f>
        <v>4000000</v>
      </c>
      <c r="BI3" s="26">
        <f>资产资本表!BI19</f>
        <v>4000000</v>
      </c>
      <c r="BJ3" s="26">
        <f>资产资本表!BJ19</f>
        <v>4000000</v>
      </c>
      <c r="BK3" s="26">
        <f>资产资本表!BK19</f>
        <v>4000000</v>
      </c>
      <c r="BL3" s="26">
        <f>资产资本表!BL19</f>
        <v>4000000</v>
      </c>
      <c r="BM3" s="26">
        <f>资产资本表!BM19</f>
        <v>4000000</v>
      </c>
      <c r="BN3" s="26">
        <f>资产资本表!BN19</f>
        <v>4000000</v>
      </c>
      <c r="BO3" s="26">
        <f>资产资本表!BO19</f>
        <v>4000000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-3965603619.8199997</v>
      </c>
      <c r="F4" s="26">
        <f>资产资本表!F50</f>
        <v>-3879872811.2099953</v>
      </c>
      <c r="G4" s="26">
        <f>资产资本表!G50</f>
        <v>-356230023.98999786</v>
      </c>
      <c r="H4" s="26">
        <f>资产资本表!H50</f>
        <v>-2997931597.6099968</v>
      </c>
      <c r="I4" s="26">
        <f>资产资本表!I50</f>
        <v>-3428013627.7599945</v>
      </c>
      <c r="J4" s="26">
        <f>资产资本表!J50</f>
        <v>17890197.009998322</v>
      </c>
      <c r="K4" s="26">
        <f>资产资本表!K50</f>
        <v>10855927043.779999</v>
      </c>
      <c r="L4" s="26">
        <f>资产资本表!L50</f>
        <v>12054370526.109999</v>
      </c>
      <c r="M4" s="26">
        <f>资产资本表!M50</f>
        <v>14046155822.110003</v>
      </c>
      <c r="N4" s="26">
        <f>资产资本表!N50</f>
        <v>17366677202.509998</v>
      </c>
      <c r="O4" s="26">
        <f>资产资本表!O50</f>
        <v>17273056685.869999</v>
      </c>
      <c r="P4" s="26">
        <f>资产资本表!P50</f>
        <v>15934420088.649998</v>
      </c>
      <c r="Q4" s="26">
        <f>资产资本表!Q50</f>
        <v>13252362479.369999</v>
      </c>
      <c r="R4" s="26">
        <f>资产资本表!R50</f>
        <v>14934385952.550001</v>
      </c>
      <c r="S4" s="26">
        <f>资产资本表!S50</f>
        <v>13092803795</v>
      </c>
      <c r="T4" s="26">
        <f>资产资本表!T50</f>
        <v>11495522122.059999</v>
      </c>
      <c r="U4" s="26">
        <f>资产资本表!U50</f>
        <v>8033489539.96</v>
      </c>
      <c r="V4" s="26">
        <f>资产资本表!V50</f>
        <v>11310680004.709999</v>
      </c>
      <c r="W4" s="26">
        <f>资产资本表!W50</f>
        <v>11980350746.769999</v>
      </c>
      <c r="X4" s="26">
        <f>资产资本表!X50</f>
        <v>8273990580.3700008</v>
      </c>
      <c r="Y4" s="26">
        <f>资产资本表!Y50</f>
        <v>4354291394.2799988</v>
      </c>
      <c r="Z4" s="26">
        <f>资产资本表!Z50</f>
        <v>5882282456.0699997</v>
      </c>
      <c r="AA4" s="26">
        <f>资产资本表!AA50</f>
        <v>4155722505.7600012</v>
      </c>
      <c r="AB4" s="26">
        <f>资产资本表!AB50</f>
        <v>2351899852.6799994</v>
      </c>
      <c r="AC4" s="26">
        <f>资产资本表!AC50</f>
        <v>-147730105.78000069</v>
      </c>
      <c r="AD4" s="26">
        <f>资产资本表!AD50</f>
        <v>-1062664717.4899979</v>
      </c>
      <c r="AE4" s="26">
        <f>资产资本表!AE50</f>
        <v>944075050.65999985</v>
      </c>
      <c r="AF4" s="26">
        <f>资产资本表!AF50</f>
        <v>-583582474.69999886</v>
      </c>
      <c r="AG4" s="26">
        <f>资产资本表!AG50</f>
        <v>649556463.90000057</v>
      </c>
      <c r="AH4" s="26">
        <f>资产资本表!AH50</f>
        <v>1984328661.0199995</v>
      </c>
      <c r="AI4" s="26">
        <f>资产资本表!AI50</f>
        <v>2855050075.5199995</v>
      </c>
      <c r="AJ4" s="26">
        <f>资产资本表!AJ50</f>
        <v>1791831400.9899998</v>
      </c>
      <c r="AK4" s="26">
        <f>资产资本表!AK50</f>
        <v>929670517.26000118</v>
      </c>
      <c r="AL4" s="26">
        <f>资产资本表!AL50</f>
        <v>2425641944.8799996</v>
      </c>
      <c r="AM4" s="26">
        <f>资产资本表!AM50</f>
        <v>2671434887.5800009</v>
      </c>
      <c r="AN4" s="26">
        <f>资产资本表!AN50</f>
        <v>1386375282.5700002</v>
      </c>
      <c r="AO4" s="26">
        <f>资产资本表!AO50</f>
        <v>-106524098.72000027</v>
      </c>
      <c r="AP4" s="26">
        <f>资产资本表!AP50</f>
        <v>778879170.97000027</v>
      </c>
      <c r="AQ4" s="26">
        <f>资产资本表!AQ50</f>
        <v>1378687881.8600001</v>
      </c>
      <c r="AR4" s="26">
        <f>资产资本表!AR50</f>
        <v>423085678.25</v>
      </c>
      <c r="AS4" s="26">
        <f>资产资本表!AS50</f>
        <v>474403091.43000007</v>
      </c>
      <c r="AT4" s="26">
        <f>资产资本表!AT50</f>
        <v>-847444657.22000027</v>
      </c>
      <c r="AU4" s="26">
        <f>资产资本表!AU50</f>
        <v>-823210332.78999996</v>
      </c>
      <c r="AV4" s="26">
        <f>资产资本表!AV50</f>
        <v>-889705035.06999922</v>
      </c>
      <c r="AW4" s="26">
        <f>资产资本表!AW50</f>
        <v>-1097449417.3099999</v>
      </c>
      <c r="AX4" s="26">
        <f>资产资本表!AX50</f>
        <v>-1062230332.1300006</v>
      </c>
      <c r="AY4" s="26">
        <f>资产资本表!AY50</f>
        <v>-621895281.67000008</v>
      </c>
      <c r="AZ4" s="26">
        <f>资产资本表!AZ50</f>
        <v>-417076439.48000026</v>
      </c>
      <c r="BA4" s="26">
        <f>资产资本表!BA50</f>
        <v>-720769206.80000019</v>
      </c>
      <c r="BB4" s="26">
        <f>资产资本表!BB50</f>
        <v>-306771530.96000004</v>
      </c>
      <c r="BC4" s="26">
        <f>资产资本表!BC50</f>
        <v>-115429303.48999977</v>
      </c>
      <c r="BD4" s="26">
        <f>资产资本表!BD50</f>
        <v>-41052018.059999943</v>
      </c>
      <c r="BE4" s="26">
        <f>资产资本表!BE50</f>
        <v>-250144834.6500001</v>
      </c>
      <c r="BF4" s="26">
        <f>资产资本表!BF50</f>
        <v>146105948.47000003</v>
      </c>
      <c r="BG4" s="26">
        <f>资产资本表!BG50</f>
        <v>318020086.88000011</v>
      </c>
      <c r="BH4" s="26">
        <f>资产资本表!BH50</f>
        <v>374663088.67999983</v>
      </c>
      <c r="BI4" s="26">
        <f>资产资本表!BI50</f>
        <v>-54385749.870000124</v>
      </c>
      <c r="BJ4" s="26">
        <f>资产资本表!BJ50</f>
        <v>266752468.06999993</v>
      </c>
      <c r="BK4" s="26">
        <f>资产资本表!BK50</f>
        <v>568191009.9000001</v>
      </c>
      <c r="BL4" s="26">
        <f>资产资本表!BL50</f>
        <v>465445449.63999999</v>
      </c>
      <c r="BM4" s="26">
        <f>资产资本表!BM50</f>
        <v>220861898.69000006</v>
      </c>
      <c r="BN4" s="26">
        <f>资产资本表!BN50</f>
        <v>469171373.13999999</v>
      </c>
      <c r="BO4" s="26">
        <f>资产资本表!BO50</f>
        <v>693395515.64999998</v>
      </c>
      <c r="BP4" s="26">
        <f>资产资本表!BP50</f>
        <v>438258677.16999996</v>
      </c>
      <c r="BQ4" s="26">
        <f>资产资本表!BQ50</f>
        <v>130738590.88999999</v>
      </c>
      <c r="BR4" s="26">
        <f>资产资本表!BR50</f>
        <v>306413823.19999993</v>
      </c>
      <c r="BS4" s="26">
        <f>资产资本表!BS50</f>
        <v>-103489887.68000007</v>
      </c>
      <c r="BT4" s="26">
        <f>资产资本表!BT50</f>
        <v>64397571.980000019</v>
      </c>
      <c r="BU4" s="26">
        <f>资产资本表!BU50</f>
        <v>103717141.55000001</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24138857432.369999</v>
      </c>
      <c r="F5" s="26">
        <f>资产资本表!F33</f>
        <v>23595929165.560001</v>
      </c>
      <c r="G5" s="26">
        <f>资产资本表!G33</f>
        <v>23605552208.440002</v>
      </c>
      <c r="H5" s="26">
        <f>资产资本表!H33</f>
        <v>22941865733.029999</v>
      </c>
      <c r="I5" s="26">
        <f>资产资本表!I33</f>
        <v>22794681830.470001</v>
      </c>
      <c r="J5" s="26">
        <f>资产资本表!J33</f>
        <v>21377700608.459999</v>
      </c>
      <c r="K5" s="26">
        <f>资产资本表!K33</f>
        <v>26345238100.209999</v>
      </c>
      <c r="L5" s="26">
        <f>资产资本表!L33</f>
        <v>24804486886.380001</v>
      </c>
      <c r="M5" s="26">
        <f>资产资本表!M33</f>
        <v>28118417077.060001</v>
      </c>
      <c r="N5" s="26">
        <f>资产资本表!N33</f>
        <v>26624598801.169998</v>
      </c>
      <c r="O5" s="26">
        <f>资产资本表!O33</f>
        <v>22866934997.23</v>
      </c>
      <c r="P5" s="26">
        <f>资产资本表!P33</f>
        <v>21915060149.169998</v>
      </c>
      <c r="Q5" s="26">
        <f>资产资本表!Q33</f>
        <v>19779608471.779999</v>
      </c>
      <c r="R5" s="26">
        <f>资产资本表!R33</f>
        <v>19158884184.810001</v>
      </c>
      <c r="S5" s="26">
        <f>资产资本表!S33</f>
        <v>17503052584.119999</v>
      </c>
      <c r="T5" s="26">
        <f>资产资本表!T33</f>
        <v>17012033967.67</v>
      </c>
      <c r="U5" s="26">
        <f>资产资本表!U33</f>
        <v>16557974955.32</v>
      </c>
      <c r="V5" s="26">
        <f>资产资本表!V33</f>
        <v>17538405136.98</v>
      </c>
      <c r="W5" s="26">
        <f>资产资本表!W33</f>
        <v>16170306129.949999</v>
      </c>
      <c r="X5" s="26">
        <f>资产资本表!X33</f>
        <v>14951060926.220001</v>
      </c>
      <c r="Y5" s="26">
        <f>资产资本表!Y33</f>
        <v>13898463950.49</v>
      </c>
      <c r="Z5" s="26">
        <f>资产资本表!Z33</f>
        <v>12529904994.02</v>
      </c>
      <c r="AA5" s="26">
        <f>资产资本表!AA33</f>
        <v>11228633973.92</v>
      </c>
      <c r="AB5" s="26">
        <f>资产资本表!AB33</f>
        <v>10226614186.25</v>
      </c>
      <c r="AC5" s="26">
        <f>资产资本表!AC33</f>
        <v>9349759258.3400002</v>
      </c>
      <c r="AD5" s="26">
        <f>资产资本表!AD33</f>
        <v>8522229530.6100006</v>
      </c>
      <c r="AE5" s="26">
        <f>资产资本表!AE33</f>
        <v>8050190746.9799995</v>
      </c>
      <c r="AF5" s="26">
        <f>资产资本表!AF33</f>
        <v>7718852488.3199997</v>
      </c>
      <c r="AG5" s="26">
        <f>资产资本表!AG33</f>
        <v>7369162513.6800003</v>
      </c>
      <c r="AH5" s="26">
        <f>资产资本表!AH33</f>
        <v>6852340552.8899994</v>
      </c>
      <c r="AI5" s="26">
        <f>资产资本表!AI33</f>
        <v>6265000796.7699995</v>
      </c>
      <c r="AJ5" s="26">
        <f>资产资本表!AJ33</f>
        <v>6225982686.7600002</v>
      </c>
      <c r="AK5" s="26">
        <f>资产资本表!AK33</f>
        <v>5910520608.1500006</v>
      </c>
      <c r="AL5" s="26">
        <f>资产资本表!AL33</f>
        <v>4947902543.1499996</v>
      </c>
      <c r="AM5" s="26">
        <f>资产资本表!AM33</f>
        <v>4419566105.1100006</v>
      </c>
      <c r="AN5" s="26">
        <f>资产资本表!AN33</f>
        <v>4231419903.0100002</v>
      </c>
      <c r="AO5" s="26">
        <f>资产资本表!AO33</f>
        <v>4144245441.6799998</v>
      </c>
      <c r="AP5" s="26">
        <f>资产资本表!AP33</f>
        <v>2845937380.8200002</v>
      </c>
      <c r="AQ5" s="26">
        <f>资产资本表!AQ33</f>
        <v>2681963679.4700003</v>
      </c>
      <c r="AR5" s="26">
        <f>资产资本表!AR33</f>
        <v>2652214381.6599998</v>
      </c>
      <c r="AS5" s="26">
        <f>资产资本表!AS33</f>
        <v>2545212203.4000001</v>
      </c>
      <c r="AT5" s="26">
        <f>资产资本表!AT33</f>
        <v>2352044590.3999996</v>
      </c>
      <c r="AU5" s="26">
        <f>资产资本表!AU33</f>
        <v>2461437688.46</v>
      </c>
      <c r="AV5" s="26">
        <f>资产资本表!AV33</f>
        <v>2382534278.9700003</v>
      </c>
      <c r="AW5" s="26">
        <f>资产资本表!AW33</f>
        <v>2287476201.6500001</v>
      </c>
      <c r="AX5" s="26">
        <f>资产资本表!AX33</f>
        <v>2270041289.4899998</v>
      </c>
      <c r="AY5" s="26">
        <f>资产资本表!AY33</f>
        <v>2113171578.8499999</v>
      </c>
      <c r="AZ5" s="26">
        <f>资产资本表!AZ33</f>
        <v>2005804055.6600001</v>
      </c>
      <c r="BA5" s="26">
        <f>资产资本表!BA33</f>
        <v>2127530854.0799999</v>
      </c>
      <c r="BB5" s="26">
        <f>资产资本表!BB33</f>
        <v>1947680656.1199999</v>
      </c>
      <c r="BC5" s="26">
        <f>资产资本表!BC33</f>
        <v>1879141876.6300001</v>
      </c>
      <c r="BD5" s="26">
        <f>资产资本表!BD33</f>
        <v>1858021468.49</v>
      </c>
      <c r="BE5" s="26">
        <f>资产资本表!BE33</f>
        <v>1874311088.9499998</v>
      </c>
      <c r="BF5" s="26">
        <f>资产资本表!BF33</f>
        <v>1743815485.75</v>
      </c>
      <c r="BG5" s="26">
        <f>资产资本表!BG33</f>
        <v>1466840688.1500001</v>
      </c>
      <c r="BH5" s="26">
        <f>资产资本表!BH33</f>
        <v>1417365449.8499999</v>
      </c>
      <c r="BI5" s="26">
        <f>资产资本表!BI33</f>
        <v>1415075638.6099999</v>
      </c>
      <c r="BJ5" s="26">
        <f>资产资本表!BJ33</f>
        <v>1423630802.76</v>
      </c>
      <c r="BK5" s="26">
        <f>资产资本表!BK33</f>
        <v>1298905532.2</v>
      </c>
      <c r="BL5" s="26">
        <f>资产资本表!BL33</f>
        <v>1183525092.25</v>
      </c>
      <c r="BM5" s="26">
        <f>资产资本表!BM33</f>
        <v>1207680923.6900001</v>
      </c>
      <c r="BN5" s="26">
        <f>资产资本表!BN33</f>
        <v>1148546126.73</v>
      </c>
      <c r="BO5" s="26">
        <f>资产资本表!BO33</f>
        <v>1143347443.8099999</v>
      </c>
      <c r="BP5" s="26">
        <f>资产资本表!BP33</f>
        <v>938818463.08999991</v>
      </c>
      <c r="BQ5" s="26">
        <f>资产资本表!BQ33</f>
        <v>881141752.38999999</v>
      </c>
      <c r="BR5" s="26">
        <f>资产资本表!BR33</f>
        <v>678350402.54999995</v>
      </c>
      <c r="BS5" s="26">
        <f>资产资本表!BS33</f>
        <v>587757000.11000001</v>
      </c>
      <c r="BT5" s="26">
        <f>资产资本表!BT33</f>
        <v>521239540.63</v>
      </c>
      <c r="BU5" s="26">
        <f>资产资本表!BU33</f>
        <v>399771676.87</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28104461052.189999</v>
      </c>
      <c r="F6" s="26">
        <f>资产资本表!F49</f>
        <v>27475801976.769997</v>
      </c>
      <c r="G6" s="26">
        <f>资产资本表!G49</f>
        <v>23961782232.43</v>
      </c>
      <c r="H6" s="26">
        <f>资产资本表!H49</f>
        <v>25939797330.639996</v>
      </c>
      <c r="I6" s="26">
        <f>资产资本表!I49</f>
        <v>26222695458.229996</v>
      </c>
      <c r="J6" s="26">
        <f>资产资本表!J49</f>
        <v>21359810411.450001</v>
      </c>
      <c r="K6" s="26">
        <f>资产资本表!K49</f>
        <v>15489311056.43</v>
      </c>
      <c r="L6" s="26">
        <f>资产资本表!L49</f>
        <v>12750116360.270002</v>
      </c>
      <c r="M6" s="26">
        <f>资产资本表!M49</f>
        <v>14072261254.949999</v>
      </c>
      <c r="N6" s="26">
        <f>资产资本表!N49</f>
        <v>9257921598.6599998</v>
      </c>
      <c r="O6" s="26">
        <f>资产资本表!O49</f>
        <v>5593878311.3600006</v>
      </c>
      <c r="P6" s="26">
        <f>资产资本表!P49</f>
        <v>5980640060.5200005</v>
      </c>
      <c r="Q6" s="26">
        <f>资产资本表!Q49</f>
        <v>6527245992.4099998</v>
      </c>
      <c r="R6" s="26">
        <f>资产资本表!R49</f>
        <v>4224498232.2599998</v>
      </c>
      <c r="S6" s="26">
        <f>资产资本表!S49</f>
        <v>4410248789.1199999</v>
      </c>
      <c r="T6" s="26">
        <f>资产资本表!T49</f>
        <v>5516511845.6100006</v>
      </c>
      <c r="U6" s="26">
        <f>资产资本表!U49</f>
        <v>8524485415.3599997</v>
      </c>
      <c r="V6" s="26">
        <f>资产资本表!V49</f>
        <v>6227725132.2700005</v>
      </c>
      <c r="W6" s="26">
        <f>资产资本表!W49</f>
        <v>4189955383.1799998</v>
      </c>
      <c r="X6" s="26">
        <f>资产资本表!X49</f>
        <v>6677070345.8500004</v>
      </c>
      <c r="Y6" s="26">
        <f>资产资本表!Y49</f>
        <v>9544172556.210001</v>
      </c>
      <c r="Z6" s="26">
        <f>资产资本表!Z49</f>
        <v>6647622537.9500008</v>
      </c>
      <c r="AA6" s="26">
        <f>资产资本表!AA49</f>
        <v>7072911468.1599989</v>
      </c>
      <c r="AB6" s="26">
        <f>资产资本表!AB49</f>
        <v>7874714333.5700006</v>
      </c>
      <c r="AC6" s="26">
        <f>资产资本表!AC49</f>
        <v>9497489364.1200008</v>
      </c>
      <c r="AD6" s="26">
        <f>资产资本表!AD49</f>
        <v>9584894248.0999985</v>
      </c>
      <c r="AE6" s="26">
        <f>资产资本表!AE49</f>
        <v>7106115696.3199997</v>
      </c>
      <c r="AF6" s="26">
        <f>资产资本表!AF49</f>
        <v>8302434963.0199986</v>
      </c>
      <c r="AG6" s="26">
        <f>资产资本表!AG49</f>
        <v>6719606049.7799997</v>
      </c>
      <c r="AH6" s="26">
        <f>资产资本表!AH49</f>
        <v>4868011891.8699999</v>
      </c>
      <c r="AI6" s="26">
        <f>资产资本表!AI49</f>
        <v>3409950721.25</v>
      </c>
      <c r="AJ6" s="26">
        <f>资产资本表!AJ49</f>
        <v>4434151285.7700005</v>
      </c>
      <c r="AK6" s="26">
        <f>资产资本表!AK49</f>
        <v>4980850090.8899994</v>
      </c>
      <c r="AL6" s="26">
        <f>资产资本表!AL49</f>
        <v>2522260598.27</v>
      </c>
      <c r="AM6" s="26">
        <f>资产资本表!AM49</f>
        <v>1748131217.53</v>
      </c>
      <c r="AN6" s="26">
        <f>资产资本表!AN49</f>
        <v>2845044620.4400001</v>
      </c>
      <c r="AO6" s="26">
        <f>资产资本表!AO49</f>
        <v>4250769540.4000001</v>
      </c>
      <c r="AP6" s="26">
        <f>资产资本表!AP49</f>
        <v>2067058209.8499999</v>
      </c>
      <c r="AQ6" s="26">
        <f>资产资本表!AQ49</f>
        <v>1303275797.6100001</v>
      </c>
      <c r="AR6" s="26">
        <f>资产资本表!AR49</f>
        <v>2229128703.4099998</v>
      </c>
      <c r="AS6" s="26">
        <f>资产资本表!AS49</f>
        <v>2070809111.97</v>
      </c>
      <c r="AT6" s="26">
        <f>资产资本表!AT49</f>
        <v>3199489247.6199999</v>
      </c>
      <c r="AU6" s="26">
        <f>资产资本表!AU49</f>
        <v>3284648021.25</v>
      </c>
      <c r="AV6" s="26">
        <f>资产资本表!AV49</f>
        <v>3272239314.0399995</v>
      </c>
      <c r="AW6" s="26">
        <f>资产资本表!AW49</f>
        <v>3384925618.96</v>
      </c>
      <c r="AX6" s="26">
        <f>资产资本表!AX49</f>
        <v>3332271621.6200004</v>
      </c>
      <c r="AY6" s="26">
        <f>资产资本表!AY49</f>
        <v>2735066860.52</v>
      </c>
      <c r="AZ6" s="26">
        <f>资产资本表!AZ49</f>
        <v>2422880495.1400003</v>
      </c>
      <c r="BA6" s="26">
        <f>资产资本表!BA49</f>
        <v>2848300060.8800001</v>
      </c>
      <c r="BB6" s="26">
        <f>资产资本表!BB49</f>
        <v>2254452187.0799999</v>
      </c>
      <c r="BC6" s="26">
        <f>资产资本表!BC49</f>
        <v>1994571180.1199999</v>
      </c>
      <c r="BD6" s="26">
        <f>资产资本表!BD49</f>
        <v>1899073486.55</v>
      </c>
      <c r="BE6" s="26">
        <f>资产资本表!BE49</f>
        <v>2124455923.5999999</v>
      </c>
      <c r="BF6" s="26">
        <f>资产资本表!BF49</f>
        <v>1597709537.28</v>
      </c>
      <c r="BG6" s="26">
        <f>资产资本表!BG49</f>
        <v>1148820601.27</v>
      </c>
      <c r="BH6" s="26">
        <f>资产资本表!BH49</f>
        <v>1042702361.1700001</v>
      </c>
      <c r="BI6" s="26">
        <f>资产资本表!BI49</f>
        <v>1469461388.48</v>
      </c>
      <c r="BJ6" s="26">
        <f>资产资本表!BJ49</f>
        <v>1156878334.6900001</v>
      </c>
      <c r="BK6" s="26">
        <f>资产资本表!BK49</f>
        <v>730714522.29999995</v>
      </c>
      <c r="BL6" s="26">
        <f>资产资本表!BL49</f>
        <v>718079642.61000001</v>
      </c>
      <c r="BM6" s="26">
        <f>资产资本表!BM49</f>
        <v>986819025</v>
      </c>
      <c r="BN6" s="26">
        <f>资产资本表!BN49</f>
        <v>679374753.59000003</v>
      </c>
      <c r="BO6" s="26">
        <f>资产资本表!BO49</f>
        <v>449951928.15999997</v>
      </c>
      <c r="BP6" s="26">
        <f>资产资本表!BP49</f>
        <v>500559785.91999996</v>
      </c>
      <c r="BQ6" s="26">
        <f>资产资本表!BQ49</f>
        <v>750403161.5</v>
      </c>
      <c r="BR6" s="26">
        <f>资产资本表!BR49</f>
        <v>371936579.35000002</v>
      </c>
      <c r="BS6" s="26">
        <f>资产资本表!BS49</f>
        <v>691246887.79000008</v>
      </c>
      <c r="BT6" s="26">
        <f>资产资本表!BT49</f>
        <v>456841968.64999998</v>
      </c>
      <c r="BU6" s="26">
        <f>资产资本表!BU49</f>
        <v>296054535.31999999</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22298780913.480003</v>
      </c>
      <c r="F7" s="26">
        <f>资产资本表!F68</f>
        <v>22918491342.999996</v>
      </c>
      <c r="G7" s="26">
        <f>资产资本表!G68</f>
        <v>22731699774.959999</v>
      </c>
      <c r="H7" s="26">
        <f>资产资本表!H68</f>
        <v>22817594707.380001</v>
      </c>
      <c r="I7" s="26">
        <f>资产资本表!I68</f>
        <v>22664155957.809998</v>
      </c>
      <c r="J7" s="26">
        <f>资产资本表!J68</f>
        <v>21444273234.480003</v>
      </c>
      <c r="K7" s="26">
        <f>资产资本表!K68</f>
        <v>21392393700.330002</v>
      </c>
      <c r="L7" s="26">
        <f>资产资本表!L68</f>
        <v>21411153404.440002</v>
      </c>
      <c r="M7" s="26">
        <f>资产资本表!M68</f>
        <v>21248449399.18</v>
      </c>
      <c r="N7" s="26">
        <f>资产资本表!N68</f>
        <v>20211532117.090004</v>
      </c>
      <c r="O7" s="26">
        <f>资产资本表!O68</f>
        <v>18987964757.829998</v>
      </c>
      <c r="P7" s="26">
        <f>资产资本表!P68</f>
        <v>18230836536.52</v>
      </c>
      <c r="Q7" s="26">
        <f>资产资本表!Q68</f>
        <v>18207426150.310001</v>
      </c>
      <c r="R7" s="26">
        <f>资产资本表!R68</f>
        <v>16579195222.92</v>
      </c>
      <c r="S7" s="26">
        <f>资产资本表!S68</f>
        <v>16508024564.630001</v>
      </c>
      <c r="T7" s="26">
        <f>资产资本表!T68</f>
        <v>15510262009.01</v>
      </c>
      <c r="U7" s="26">
        <f>资产资本表!U68</f>
        <v>13378039742.819998</v>
      </c>
      <c r="V7" s="26">
        <f>资产资本表!V68</f>
        <v>9354840713.1000004</v>
      </c>
      <c r="W7" s="26">
        <f>资产资本表!W68</f>
        <v>8883733311.7900009</v>
      </c>
      <c r="X7" s="26">
        <f>资产资本表!X68</f>
        <v>8992122215.5200005</v>
      </c>
      <c r="Y7" s="26">
        <f>资产资本表!Y68</f>
        <v>8719132339.5799999</v>
      </c>
      <c r="Z7" s="26">
        <f>资产资本表!Z68</f>
        <v>7294983711.5200014</v>
      </c>
      <c r="AA7" s="26">
        <f>资产资本表!AA68</f>
        <v>7233172510.8199997</v>
      </c>
      <c r="AB7" s="26">
        <f>资产资本表!AB68</f>
        <v>7120957543.2699995</v>
      </c>
      <c r="AC7" s="26">
        <f>资产资本表!AC68</f>
        <v>7007236794.9799995</v>
      </c>
      <c r="AD7" s="26">
        <f>资产资本表!AD68</f>
        <v>5843593182.6300001</v>
      </c>
      <c r="AE7" s="26">
        <f>资产资本表!AE68</f>
        <v>5386664776.8999996</v>
      </c>
      <c r="AF7" s="26">
        <f>资产资本表!AF68</f>
        <v>5340910754.6800003</v>
      </c>
      <c r="AG7" s="26">
        <f>资产资本表!AG68</f>
        <v>5223295112.3800001</v>
      </c>
      <c r="AH7" s="26">
        <f>资产资本表!AH68</f>
        <v>4790322092.2399998</v>
      </c>
      <c r="AI7" s="26">
        <f>资产资本表!AI68</f>
        <v>4686522574.4800005</v>
      </c>
      <c r="AJ7" s="26">
        <f>资产资本表!AJ68</f>
        <v>4209497907.4599996</v>
      </c>
      <c r="AK7" s="26">
        <f>资产资本表!AK68</f>
        <v>4100037784.3299999</v>
      </c>
      <c r="AL7" s="26">
        <f>资产资本表!AL68</f>
        <v>3862081948.3500004</v>
      </c>
      <c r="AM7" s="26">
        <f>资产资本表!AM68</f>
        <v>3725937589.1599998</v>
      </c>
      <c r="AN7" s="26">
        <f>资产资本表!AN68</f>
        <v>3672677824.8999996</v>
      </c>
      <c r="AO7" s="26">
        <f>资产资本表!AO68</f>
        <v>3467436953.5099998</v>
      </c>
      <c r="AP7" s="26">
        <f>资产资本表!AP68</f>
        <v>3698014271</v>
      </c>
      <c r="AQ7" s="26">
        <f>资产资本表!AQ68</f>
        <v>3485080172.4299998</v>
      </c>
      <c r="AR7" s="26">
        <f>资产资本表!AR68</f>
        <v>3297338900.5300002</v>
      </c>
      <c r="AS7" s="26">
        <f>资产资本表!AS68</f>
        <v>3147968937.0299997</v>
      </c>
      <c r="AT7" s="26">
        <f>资产资本表!AT68</f>
        <v>3024136003.2399998</v>
      </c>
      <c r="AU7" s="26">
        <f>资产资本表!AU68</f>
        <v>2890999545.0699997</v>
      </c>
      <c r="AV7" s="26">
        <f>资产资本表!AV68</f>
        <v>2781515402.9900002</v>
      </c>
      <c r="AW7" s="26">
        <f>资产资本表!AW68</f>
        <v>2584084817.4099994</v>
      </c>
      <c r="AX7" s="26">
        <f>资产资本表!AX68</f>
        <v>2439622324.4800005</v>
      </c>
      <c r="AY7" s="26">
        <f>资产资本表!AY68</f>
        <v>2253040524.3499999</v>
      </c>
      <c r="AZ7" s="26">
        <f>资产资本表!AZ68</f>
        <v>2105395904.1500001</v>
      </c>
      <c r="BA7" s="26">
        <f>资产资本表!BA68</f>
        <v>2027833159.6499999</v>
      </c>
      <c r="BB7" s="26">
        <f>资产资本表!BB68</f>
        <v>1895118116.76</v>
      </c>
      <c r="BC7" s="26">
        <f>资产资本表!BC68</f>
        <v>1771037857.3700001</v>
      </c>
      <c r="BD7" s="26">
        <f>资产资本表!BD68</f>
        <v>1675782383.1600001</v>
      </c>
      <c r="BE7" s="26">
        <f>资产资本表!BE68</f>
        <v>1591199412.04</v>
      </c>
      <c r="BF7" s="26">
        <f>资产资本表!BF68</f>
        <v>1459570659.4500003</v>
      </c>
      <c r="BG7" s="26">
        <f>资产资本表!BG68</f>
        <v>1394793760.2599998</v>
      </c>
      <c r="BH7" s="26">
        <f>资产资本表!BH68</f>
        <v>1328300138.5599997</v>
      </c>
      <c r="BI7" s="26">
        <f>资产资本表!BI68</f>
        <v>1196336776.9300001</v>
      </c>
      <c r="BJ7" s="26">
        <f>资产资本表!BJ68</f>
        <v>1161910893.28</v>
      </c>
      <c r="BK7" s="26">
        <f>资产资本表!BK68</f>
        <v>1088933336.0799999</v>
      </c>
      <c r="BL7" s="26">
        <f>资产资本表!BL68</f>
        <v>1015774319.86</v>
      </c>
      <c r="BM7" s="26">
        <f>资产资本表!BM68</f>
        <v>935648707.24999988</v>
      </c>
      <c r="BN7" s="26">
        <f>资产资本表!BN68</f>
        <v>855601030.65999997</v>
      </c>
      <c r="BO7" s="26">
        <f>资产资本表!BO68</f>
        <v>744821426.96000004</v>
      </c>
      <c r="BP7" s="26">
        <f>资产资本表!BP68</f>
        <v>611201680.95000005</v>
      </c>
      <c r="BQ7" s="26">
        <f>资产资本表!BQ68</f>
        <v>593463444.28000009</v>
      </c>
      <c r="BR7" s="26">
        <f>资产资本表!BR68</f>
        <v>194684528.31999999</v>
      </c>
      <c r="BS7" s="26">
        <f>资产资本表!BS68</f>
        <v>198886333.54000002</v>
      </c>
      <c r="BT7" s="26">
        <f>资产资本表!BT68</f>
        <v>194339652.84999999</v>
      </c>
      <c r="BU7" s="26">
        <f>资产资本表!BU68</f>
        <v>220941379.79999998</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18333177293.660004</v>
      </c>
      <c r="F8" s="26">
        <f>资产资本表!F69</f>
        <v>19038618531.790001</v>
      </c>
      <c r="G8" s="26">
        <f>资产资本表!G69</f>
        <v>22375469750.970001</v>
      </c>
      <c r="H8" s="26">
        <f>资产资本表!H69</f>
        <v>19819663109.770004</v>
      </c>
      <c r="I8" s="26">
        <f>资产资本表!I69</f>
        <v>19236142330.050003</v>
      </c>
      <c r="J8" s="26">
        <f>资产资本表!J69</f>
        <v>21462163431.490002</v>
      </c>
      <c r="K8" s="26">
        <f>资产资本表!K69</f>
        <v>32248320744.110001</v>
      </c>
      <c r="L8" s="26">
        <f>资产资本表!L69</f>
        <v>33465523930.550003</v>
      </c>
      <c r="M8" s="26">
        <f>资产资本表!M69</f>
        <v>35294605221.290001</v>
      </c>
      <c r="N8" s="26">
        <f>资产资本表!N69</f>
        <v>37578209319.600006</v>
      </c>
      <c r="O8" s="26">
        <f>资产资本表!O69</f>
        <v>36261021443.699997</v>
      </c>
      <c r="P8" s="26">
        <f>资产资本表!P69</f>
        <v>34165256625.169998</v>
      </c>
      <c r="Q8" s="26">
        <f>资产资本表!Q69</f>
        <v>31459788629.68</v>
      </c>
      <c r="R8" s="26">
        <f>资产资本表!R69</f>
        <v>31513581175.470001</v>
      </c>
      <c r="S8" s="26">
        <f>资产资本表!S69</f>
        <v>29600828359.630001</v>
      </c>
      <c r="T8" s="26">
        <f>资产资本表!T69</f>
        <v>27005784131.07</v>
      </c>
      <c r="U8" s="26">
        <f>资产资本表!U69</f>
        <v>21411529282.779999</v>
      </c>
      <c r="V8" s="26">
        <f>资产资本表!V69</f>
        <v>20665520717.809998</v>
      </c>
      <c r="W8" s="26">
        <f>资产资本表!W69</f>
        <v>20864084058.559998</v>
      </c>
      <c r="X8" s="26">
        <f>资产资本表!X69</f>
        <v>17266112795.889999</v>
      </c>
      <c r="Y8" s="26">
        <f>资产资本表!Y69</f>
        <v>13073423733.859999</v>
      </c>
      <c r="Z8" s="26">
        <f>资产资本表!Z69</f>
        <v>13177266167.59</v>
      </c>
      <c r="AA8" s="26">
        <f>资产资本表!AA69</f>
        <v>11388895016.580002</v>
      </c>
      <c r="AB8" s="26">
        <f>资产资本表!AB69</f>
        <v>9472857395.9499989</v>
      </c>
      <c r="AC8" s="26">
        <f>资产资本表!AC69</f>
        <v>6859506689.1999989</v>
      </c>
      <c r="AD8" s="26">
        <f>资产资本表!AD69</f>
        <v>4780928465.1400023</v>
      </c>
      <c r="AE8" s="26">
        <f>资产资本表!AE69</f>
        <v>6330739827.5599995</v>
      </c>
      <c r="AF8" s="26">
        <f>资产资本表!AF69</f>
        <v>4757328279.9800014</v>
      </c>
      <c r="AG8" s="26">
        <f>资产资本表!AG69</f>
        <v>5872851576.2800007</v>
      </c>
      <c r="AH8" s="26">
        <f>资产资本表!AH69</f>
        <v>6774650753.2599993</v>
      </c>
      <c r="AI8" s="26">
        <f>资产资本表!AI69</f>
        <v>7541572650</v>
      </c>
      <c r="AJ8" s="26">
        <f>资产资本表!AJ69</f>
        <v>6001329308.4499989</v>
      </c>
      <c r="AK8" s="26">
        <f>资产资本表!AK69</f>
        <v>5029708301.5900011</v>
      </c>
      <c r="AL8" s="26">
        <f>资产资本表!AL69</f>
        <v>6287723893.2299995</v>
      </c>
      <c r="AM8" s="26">
        <f>资产资本表!AM69</f>
        <v>6397372476.7400007</v>
      </c>
      <c r="AN8" s="26">
        <f>资产资本表!AN69</f>
        <v>5059053107.4699993</v>
      </c>
      <c r="AO8" s="26">
        <f>资产资本表!AO69</f>
        <v>3360912854.7899995</v>
      </c>
      <c r="AP8" s="26">
        <f>资产资本表!AP69</f>
        <v>4476893441.9700003</v>
      </c>
      <c r="AQ8" s="26">
        <f>资产资本表!AQ69</f>
        <v>4863768054.29</v>
      </c>
      <c r="AR8" s="26">
        <f>资产资本表!AR69</f>
        <v>3720424578.7800002</v>
      </c>
      <c r="AS8" s="26">
        <f>资产资本表!AS69</f>
        <v>3622372028.46</v>
      </c>
      <c r="AT8" s="26">
        <f>资产资本表!AT69</f>
        <v>2176691346.0199995</v>
      </c>
      <c r="AU8" s="26">
        <f>资产资本表!AU69</f>
        <v>2067789212.2799997</v>
      </c>
      <c r="AV8" s="26">
        <f>资产资本表!AV69</f>
        <v>1891810367.920001</v>
      </c>
      <c r="AW8" s="26">
        <f>资产资本表!AW69</f>
        <v>1486635400.0999994</v>
      </c>
      <c r="AX8" s="26">
        <f>资产资本表!AX69</f>
        <v>1377391992.3499999</v>
      </c>
      <c r="AY8" s="26">
        <f>资产资本表!AY69</f>
        <v>1631145242.6799998</v>
      </c>
      <c r="AZ8" s="26">
        <f>资产资本表!AZ69</f>
        <v>1688319464.6699998</v>
      </c>
      <c r="BA8" s="26">
        <f>资产资本表!BA69</f>
        <v>1307063952.8499997</v>
      </c>
      <c r="BB8" s="26">
        <f>资产资本表!BB69</f>
        <v>1588346585.8</v>
      </c>
      <c r="BC8" s="26">
        <f>资产资本表!BC69</f>
        <v>1655608553.8800004</v>
      </c>
      <c r="BD8" s="26">
        <f>资产资本表!BD69</f>
        <v>1634730365.1000001</v>
      </c>
      <c r="BE8" s="26">
        <f>资产资本表!BE69</f>
        <v>1341054577.3899999</v>
      </c>
      <c r="BF8" s="26">
        <f>资产资本表!BF69</f>
        <v>1605676607.9200003</v>
      </c>
      <c r="BG8" s="26">
        <f>资产资本表!BG69</f>
        <v>1712813847.1399999</v>
      </c>
      <c r="BH8" s="26">
        <f>资产资本表!BH69</f>
        <v>1702963227.2399995</v>
      </c>
      <c r="BI8" s="26">
        <f>资产资本表!BI69</f>
        <v>1141951027.0599999</v>
      </c>
      <c r="BJ8" s="26">
        <f>资产资本表!BJ69</f>
        <v>1428663361.3499999</v>
      </c>
      <c r="BK8" s="26">
        <f>资产资本表!BK69</f>
        <v>1657124345.98</v>
      </c>
      <c r="BL8" s="26">
        <f>资产资本表!BL69</f>
        <v>1481219769.5</v>
      </c>
      <c r="BM8" s="26">
        <f>资产资本表!BM69</f>
        <v>1156510605.9400001</v>
      </c>
      <c r="BN8" s="26">
        <f>资产资本表!BN69</f>
        <v>1324772403.8</v>
      </c>
      <c r="BO8" s="26">
        <f>资产资本表!BO69</f>
        <v>1438216942.6100001</v>
      </c>
      <c r="BP8" s="26">
        <f>资产资本表!BP69</f>
        <v>1049460358.12</v>
      </c>
      <c r="BQ8" s="26">
        <f>资产资本表!BQ69</f>
        <v>724202035.17000008</v>
      </c>
      <c r="BR8" s="26">
        <f>资产资本表!BR69</f>
        <v>501098351.51999992</v>
      </c>
      <c r="BS8" s="26">
        <f>资产资本表!BS69</f>
        <v>95396445.859999955</v>
      </c>
      <c r="BT8" s="26">
        <f>资产资本表!BT69</f>
        <v>258737224.83000001</v>
      </c>
      <c r="BU8" s="26">
        <f>资产资本表!BU69</f>
        <v>324658521.35000002</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106505655822.89</v>
      </c>
      <c r="F9" s="48">
        <f>资产资本表!F70</f>
        <v>100304234156.42999</v>
      </c>
      <c r="G9" s="48">
        <f>资产资本表!G70</f>
        <v>96420957735.519989</v>
      </c>
      <c r="H9" s="48">
        <f>资产资本表!H70</f>
        <v>93038921689.440018</v>
      </c>
      <c r="I9" s="48">
        <f>资产资本表!I70</f>
        <v>86321842822.179993</v>
      </c>
      <c r="J9" s="48">
        <f>资产资本表!J70</f>
        <v>83786221873.680008</v>
      </c>
      <c r="K9" s="48">
        <f>资产资本表!K70</f>
        <v>80057188116.410004</v>
      </c>
      <c r="L9" s="48">
        <f>资产资本表!L70</f>
        <v>77540333161.610001</v>
      </c>
      <c r="M9" s="48">
        <f>资产资本表!M70</f>
        <v>72229202167.820007</v>
      </c>
      <c r="N9" s="48">
        <f>资产资本表!N70</f>
        <v>68301112590.480003</v>
      </c>
      <c r="O9" s="48">
        <f>资产资本表!O70</f>
        <v>66743865893.57</v>
      </c>
      <c r="P9" s="48">
        <f>资产资本表!P70</f>
        <v>62788380577.899994</v>
      </c>
      <c r="Q9" s="48">
        <f>资产资本表!Q70</f>
        <v>59345919232.220001</v>
      </c>
      <c r="R9" s="48">
        <f>资产资本表!R70</f>
        <v>54427056884.389999</v>
      </c>
      <c r="S9" s="48">
        <f>资产资本表!S70</f>
        <v>50807882716.389999</v>
      </c>
      <c r="T9" s="48">
        <f>资产资本表!T70</f>
        <v>50513113858.5</v>
      </c>
      <c r="U9" s="48">
        <f>资产资本表!U70</f>
        <v>46929665261.690002</v>
      </c>
      <c r="V9" s="48">
        <f>资产资本表!V70</f>
        <v>43046712748.440002</v>
      </c>
      <c r="W9" s="48">
        <f>资产资本表!W70</f>
        <v>39430754998.509995</v>
      </c>
      <c r="X9" s="48">
        <f>资产资本表!X70</f>
        <v>39225149640.240005</v>
      </c>
      <c r="Y9" s="48">
        <f>资产资本表!Y70</f>
        <v>35454036397.25</v>
      </c>
      <c r="Z9" s="48">
        <f>资产资本表!Z70</f>
        <v>32187253924.760002</v>
      </c>
      <c r="AA9" s="48">
        <f>资产资本表!AA70</f>
        <v>32638540497.200001</v>
      </c>
      <c r="AB9" s="48">
        <f>资产资本表!AB70</f>
        <v>28532870402.029999</v>
      </c>
      <c r="AC9" s="48">
        <f>资产资本表!AC70</f>
        <v>25403379611.290001</v>
      </c>
      <c r="AD9" s="48">
        <f>资产资本表!AD70</f>
        <v>23309364007.230003</v>
      </c>
      <c r="AE9" s="48">
        <f>资产资本表!AE70</f>
        <v>23814033405.110001</v>
      </c>
      <c r="AF9" s="48">
        <f>资产资本表!AF70</f>
        <v>20859265220.550003</v>
      </c>
      <c r="AG9" s="48">
        <f>资产资本表!AG70</f>
        <v>18867973890.910004</v>
      </c>
      <c r="AH9" s="48">
        <f>资产资本表!AH70</f>
        <v>17942016871.77</v>
      </c>
      <c r="AI9" s="48">
        <f>资产资本表!AI70</f>
        <v>17923877994.279999</v>
      </c>
      <c r="AJ9" s="48">
        <f>资产资本表!AJ70</f>
        <v>15995948192.019999</v>
      </c>
      <c r="AK9" s="48">
        <f>资产资本表!AK70</f>
        <v>14788773056.830002</v>
      </c>
      <c r="AL9" s="48">
        <f>资产资本表!AL70</f>
        <v>14215679731.029999</v>
      </c>
      <c r="AM9" s="48">
        <f>资产资本表!AM70</f>
        <v>14225618797.950001</v>
      </c>
      <c r="AN9" s="48">
        <f>资产资本表!AN70</f>
        <v>12780458863.77</v>
      </c>
      <c r="AO9" s="48">
        <f>资产资本表!AO70</f>
        <v>11503418295.949999</v>
      </c>
      <c r="AP9" s="48">
        <f>资产资本表!AP70</f>
        <v>10922391711.51</v>
      </c>
      <c r="AQ9" s="48">
        <f>资产资本表!AQ70</f>
        <v>9972821285.0900002</v>
      </c>
      <c r="AR9" s="48">
        <f>资产资本表!AR70</f>
        <v>9327748223.0699997</v>
      </c>
      <c r="AS9" s="48">
        <f>资产资本表!AS70</f>
        <v>8410662728.4800005</v>
      </c>
      <c r="AT9" s="48">
        <f>资产资本表!AT70</f>
        <v>6994706282.3699999</v>
      </c>
      <c r="AU9" s="48">
        <f>资产资本表!AU70</f>
        <v>6942283668.4399996</v>
      </c>
      <c r="AV9" s="48">
        <f>资产资本表!AV70</f>
        <v>6611065299.210001</v>
      </c>
      <c r="AW9" s="48">
        <f>资产资本表!AW70</f>
        <v>6003989385.0299997</v>
      </c>
      <c r="AX9" s="48">
        <f>资产资本表!AX70</f>
        <v>5472067233.3999996</v>
      </c>
      <c r="AY9" s="48">
        <f>资产资本表!AY70</f>
        <v>5060632616.039999</v>
      </c>
      <c r="AZ9" s="48">
        <f>资产资本表!AZ70</f>
        <v>5674270668.8800001</v>
      </c>
      <c r="BA9" s="48">
        <f>资产资本表!BA70</f>
        <v>5209296403.71</v>
      </c>
      <c r="BB9" s="48">
        <f>资产资本表!BB70</f>
        <v>4815192644.5100002</v>
      </c>
      <c r="BC9" s="48">
        <f>资产资本表!BC70</f>
        <v>4730662106.0300007</v>
      </c>
      <c r="BD9" s="48">
        <f>资产资本表!BD70</f>
        <v>4669283111.6100006</v>
      </c>
      <c r="BE9" s="48">
        <f>资产资本表!BE70</f>
        <v>4249197059.9699998</v>
      </c>
      <c r="BF9" s="48">
        <f>资产资本表!BF70</f>
        <v>4028965574.3800001</v>
      </c>
      <c r="BG9" s="48">
        <f>资产资本表!BG70</f>
        <v>3889604003.73</v>
      </c>
      <c r="BH9" s="48">
        <f>资产资本表!BH70</f>
        <v>3808412072.9599991</v>
      </c>
      <c r="BI9" s="48">
        <f>资产资本表!BI70</f>
        <v>3485998413.9099998</v>
      </c>
      <c r="BJ9" s="48">
        <f>资产资本表!BJ70</f>
        <v>3301456325.0599999</v>
      </c>
      <c r="BK9" s="48">
        <f>资产资本表!BK70</f>
        <v>3197373661.6199999</v>
      </c>
      <c r="BL9" s="48">
        <f>资产资本表!BL70</f>
        <v>3170177508.0599999</v>
      </c>
      <c r="BM9" s="48">
        <f>资产资本表!BM70</f>
        <v>2940818296.5799999</v>
      </c>
      <c r="BN9" s="48">
        <f>资产资本表!BN70</f>
        <v>3005997323.8400002</v>
      </c>
      <c r="BO9" s="48">
        <f>资产资本表!BO70</f>
        <v>2956017232.4400001</v>
      </c>
      <c r="BP9" s="48">
        <f>资产资本表!BP70</f>
        <v>2927390204.21</v>
      </c>
      <c r="BQ9" s="48">
        <f>资产资本表!BQ70</f>
        <v>2680638605.27</v>
      </c>
      <c r="BR9" s="48">
        <f>资产资本表!BR70</f>
        <v>837537565.01999998</v>
      </c>
      <c r="BS9" s="48">
        <f>资产资本表!BS70</f>
        <v>556380029.31999993</v>
      </c>
      <c r="BT9" s="48">
        <f>资产资本表!BT70</f>
        <v>457127839.95000005</v>
      </c>
      <c r="BU9" s="48">
        <f>资产资本表!BU70</f>
        <v>449423890.09000003</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23414593.670000002</v>
      </c>
      <c r="F10" s="26">
        <f>资产资本表!F72</f>
        <v>24740964.149999999</v>
      </c>
      <c r="G10" s="26">
        <f>资产资本表!G72</f>
        <v>39370998.079999998</v>
      </c>
      <c r="H10" s="26">
        <f>资产资本表!H72</f>
        <v>39606282.75</v>
      </c>
      <c r="I10" s="26">
        <f>资产资本表!I72</f>
        <v>34481635.329999998</v>
      </c>
      <c r="J10" s="26">
        <f>资产资本表!J72</f>
        <v>21599948.09</v>
      </c>
      <c r="K10" s="26">
        <f>资产资本表!K72</f>
        <v>46904631.719999999</v>
      </c>
      <c r="L10" s="26">
        <f>资产资本表!L72</f>
        <v>40428159.979999997</v>
      </c>
      <c r="M10" s="26">
        <f>资产资本表!M72</f>
        <v>27409447.399999999</v>
      </c>
      <c r="N10" s="26">
        <f>资产资本表!N72</f>
        <v>15831375.970000001</v>
      </c>
      <c r="O10" s="26">
        <f>资产资本表!O72</f>
        <v>33124441.800000001</v>
      </c>
      <c r="P10" s="26">
        <f>资产资本表!P72</f>
        <v>23734467.609999999</v>
      </c>
      <c r="Q10" s="26">
        <f>资产资本表!Q72</f>
        <v>77917681.909999996</v>
      </c>
      <c r="R10" s="26">
        <f>资产资本表!R72</f>
        <v>7473820.4900000002</v>
      </c>
      <c r="S10" s="26">
        <f>资产资本表!S72</f>
        <v>33684820.810000002</v>
      </c>
      <c r="T10" s="26">
        <f>资产资本表!T72</f>
        <v>24308411.109999999</v>
      </c>
      <c r="U10" s="26">
        <f>资产资本表!U72</f>
        <v>27383888.890000001</v>
      </c>
      <c r="V10" s="26">
        <f>资产资本表!V72</f>
        <v>13514111.109999999</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109000000</v>
      </c>
      <c r="BS10" s="26">
        <f>资产资本表!BS72</f>
        <v>129000000</v>
      </c>
      <c r="BT10" s="26">
        <f>资产资本表!BT72</f>
        <v>174460000</v>
      </c>
      <c r="BU10" s="26">
        <f>资产资本表!BU72</f>
        <v>147000000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300000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60360000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23414593.670000002</v>
      </c>
      <c r="F12" s="26">
        <f>资产资本表!F89</f>
        <v>24740964.149999999</v>
      </c>
      <c r="G12" s="26">
        <f>资产资本表!G89</f>
        <v>39370998.079999998</v>
      </c>
      <c r="H12" s="26">
        <f>资产资本表!H89</f>
        <v>39606282.75</v>
      </c>
      <c r="I12" s="26">
        <f>资产资本表!I89</f>
        <v>34481635.329999998</v>
      </c>
      <c r="J12" s="26">
        <f>资产资本表!J89</f>
        <v>21599948.09</v>
      </c>
      <c r="K12" s="26">
        <f>资产资本表!K89</f>
        <v>46904631.719999999</v>
      </c>
      <c r="L12" s="26">
        <f>资产资本表!L89</f>
        <v>40428159.979999997</v>
      </c>
      <c r="M12" s="26">
        <f>资产资本表!M89</f>
        <v>27409447.399999999</v>
      </c>
      <c r="N12" s="26">
        <f>资产资本表!N89</f>
        <v>15831375.970000001</v>
      </c>
      <c r="O12" s="26">
        <f>资产资本表!O89</f>
        <v>33124441.800000001</v>
      </c>
      <c r="P12" s="26">
        <f>资产资本表!P89</f>
        <v>23734467.609999999</v>
      </c>
      <c r="Q12" s="26">
        <f>资产资本表!Q89</f>
        <v>77917681.909999996</v>
      </c>
      <c r="R12" s="26">
        <f>资产资本表!R89</f>
        <v>7473820.4900000002</v>
      </c>
      <c r="S12" s="26">
        <f>资产资本表!S89</f>
        <v>33684820.810000002</v>
      </c>
      <c r="T12" s="26">
        <f>资产资本表!T89</f>
        <v>24308411.109999999</v>
      </c>
      <c r="U12" s="26">
        <f>资产资本表!U89</f>
        <v>27383888.890000001</v>
      </c>
      <c r="V12" s="26">
        <f>资产资本表!V89</f>
        <v>13514111.109999999</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300000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109000000</v>
      </c>
      <c r="BS12" s="26">
        <f>资产资本表!BS89</f>
        <v>129000000</v>
      </c>
      <c r="BT12" s="26">
        <f>资产资本表!BT89</f>
        <v>174460000</v>
      </c>
      <c r="BU12" s="26">
        <f>资产资本表!BU89</f>
        <v>207360000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106482241229.22</v>
      </c>
      <c r="F13" s="26">
        <f t="shared" ref="F13:BQ13" si="0">F9-F12</f>
        <v>100279493192.28</v>
      </c>
      <c r="G13" s="26">
        <f t="shared" si="0"/>
        <v>96381586737.439987</v>
      </c>
      <c r="H13" s="26">
        <f t="shared" si="0"/>
        <v>92999315406.690018</v>
      </c>
      <c r="I13" s="26">
        <f t="shared" si="0"/>
        <v>86287361186.849991</v>
      </c>
      <c r="J13" s="26">
        <f t="shared" si="0"/>
        <v>83764621925.590012</v>
      </c>
      <c r="K13" s="26">
        <f t="shared" si="0"/>
        <v>80010283484.690002</v>
      </c>
      <c r="L13" s="26">
        <f t="shared" si="0"/>
        <v>77499905001.630005</v>
      </c>
      <c r="M13" s="26">
        <f t="shared" si="0"/>
        <v>72201792720.420013</v>
      </c>
      <c r="N13" s="26">
        <f t="shared" si="0"/>
        <v>68285281214.510002</v>
      </c>
      <c r="O13" s="26">
        <f t="shared" si="0"/>
        <v>66710741451.769997</v>
      </c>
      <c r="P13" s="26">
        <f t="shared" si="0"/>
        <v>62764646110.289993</v>
      </c>
      <c r="Q13" s="26">
        <f t="shared" si="0"/>
        <v>59268001550.309998</v>
      </c>
      <c r="R13" s="26">
        <f t="shared" si="0"/>
        <v>54419583063.900002</v>
      </c>
      <c r="S13" s="26">
        <f t="shared" si="0"/>
        <v>50774197895.580002</v>
      </c>
      <c r="T13" s="26">
        <f t="shared" si="0"/>
        <v>50488805447.389999</v>
      </c>
      <c r="U13" s="26">
        <f t="shared" si="0"/>
        <v>46902281372.800003</v>
      </c>
      <c r="V13" s="26">
        <f t="shared" si="0"/>
        <v>43033198637.330002</v>
      </c>
      <c r="W13" s="26">
        <f t="shared" si="0"/>
        <v>39430754998.509995</v>
      </c>
      <c r="X13" s="26">
        <f t="shared" si="0"/>
        <v>39225149640.240005</v>
      </c>
      <c r="Y13" s="26">
        <f t="shared" si="0"/>
        <v>35454036397.25</v>
      </c>
      <c r="Z13" s="26">
        <f t="shared" si="0"/>
        <v>32187253924.760002</v>
      </c>
      <c r="AA13" s="26">
        <f t="shared" si="0"/>
        <v>32638540497.200001</v>
      </c>
      <c r="AB13" s="26">
        <f t="shared" si="0"/>
        <v>28532870402.029999</v>
      </c>
      <c r="AC13" s="26">
        <f t="shared" si="0"/>
        <v>25403379611.290001</v>
      </c>
      <c r="AD13" s="26">
        <f t="shared" si="0"/>
        <v>23309364007.230003</v>
      </c>
      <c r="AE13" s="26">
        <f t="shared" si="0"/>
        <v>23814033405.110001</v>
      </c>
      <c r="AF13" s="26">
        <f t="shared" si="0"/>
        <v>20859265220.550003</v>
      </c>
      <c r="AG13" s="26">
        <f t="shared" si="0"/>
        <v>18867973890.910004</v>
      </c>
      <c r="AH13" s="26">
        <f t="shared" si="0"/>
        <v>17942016871.77</v>
      </c>
      <c r="AI13" s="26">
        <f t="shared" si="0"/>
        <v>17923877994.279999</v>
      </c>
      <c r="AJ13" s="26">
        <f t="shared" si="0"/>
        <v>15995948192.019999</v>
      </c>
      <c r="AK13" s="26">
        <f t="shared" si="0"/>
        <v>14788773056.830002</v>
      </c>
      <c r="AL13" s="26">
        <f t="shared" si="0"/>
        <v>14215679731.029999</v>
      </c>
      <c r="AM13" s="26">
        <f t="shared" si="0"/>
        <v>14225618797.950001</v>
      </c>
      <c r="AN13" s="26">
        <f t="shared" si="0"/>
        <v>12780458863.77</v>
      </c>
      <c r="AO13" s="26">
        <f t="shared" si="0"/>
        <v>11503418295.949999</v>
      </c>
      <c r="AP13" s="26">
        <f t="shared" si="0"/>
        <v>10922391711.51</v>
      </c>
      <c r="AQ13" s="26">
        <f t="shared" si="0"/>
        <v>9972821285.0900002</v>
      </c>
      <c r="AR13" s="26">
        <f t="shared" si="0"/>
        <v>9327748223.0699997</v>
      </c>
      <c r="AS13" s="26">
        <f t="shared" si="0"/>
        <v>8410662728.4800005</v>
      </c>
      <c r="AT13" s="26">
        <f t="shared" si="0"/>
        <v>6994706282.3699999</v>
      </c>
      <c r="AU13" s="26">
        <f t="shared" si="0"/>
        <v>6942283668.4399996</v>
      </c>
      <c r="AV13" s="26">
        <f t="shared" si="0"/>
        <v>6611065299.210001</v>
      </c>
      <c r="AW13" s="26">
        <f t="shared" si="0"/>
        <v>6003989385.0299997</v>
      </c>
      <c r="AX13" s="26">
        <f t="shared" si="0"/>
        <v>5472067233.3999996</v>
      </c>
      <c r="AY13" s="26">
        <f t="shared" si="0"/>
        <v>5060632616.039999</v>
      </c>
      <c r="AZ13" s="26">
        <f t="shared" si="0"/>
        <v>5674270668.8800001</v>
      </c>
      <c r="BA13" s="26">
        <f t="shared" si="0"/>
        <v>5209296403.71</v>
      </c>
      <c r="BB13" s="26">
        <f t="shared" si="0"/>
        <v>4815192644.5100002</v>
      </c>
      <c r="BC13" s="26">
        <f t="shared" si="0"/>
        <v>4730662106.0300007</v>
      </c>
      <c r="BD13" s="26">
        <f t="shared" si="0"/>
        <v>4669283111.6100006</v>
      </c>
      <c r="BE13" s="26">
        <f t="shared" si="0"/>
        <v>4248897059.9699998</v>
      </c>
      <c r="BF13" s="26">
        <f t="shared" si="0"/>
        <v>4028965574.3800001</v>
      </c>
      <c r="BG13" s="26">
        <f t="shared" si="0"/>
        <v>3889604003.73</v>
      </c>
      <c r="BH13" s="26">
        <f t="shared" si="0"/>
        <v>3808412072.9599991</v>
      </c>
      <c r="BI13" s="26">
        <f t="shared" si="0"/>
        <v>3485998413.9099998</v>
      </c>
      <c r="BJ13" s="26">
        <f t="shared" si="0"/>
        <v>3301456325.0599999</v>
      </c>
      <c r="BK13" s="26">
        <f t="shared" si="0"/>
        <v>3197373661.6199999</v>
      </c>
      <c r="BL13" s="26">
        <f t="shared" si="0"/>
        <v>3170177508.0599999</v>
      </c>
      <c r="BM13" s="26">
        <f t="shared" si="0"/>
        <v>2940818296.5799999</v>
      </c>
      <c r="BN13" s="26">
        <f t="shared" si="0"/>
        <v>3005997323.8400002</v>
      </c>
      <c r="BO13" s="26">
        <f t="shared" si="0"/>
        <v>2956017232.4400001</v>
      </c>
      <c r="BP13" s="26">
        <f t="shared" si="0"/>
        <v>2927390204.21</v>
      </c>
      <c r="BQ13" s="26">
        <f t="shared" si="0"/>
        <v>2680638605.27</v>
      </c>
      <c r="BR13" s="26">
        <f t="shared" ref="BR13:CL13" si="1">BR9-BR12</f>
        <v>728537565.01999998</v>
      </c>
      <c r="BS13" s="26">
        <f t="shared" si="1"/>
        <v>427380029.31999993</v>
      </c>
      <c r="BT13" s="26">
        <f t="shared" si="1"/>
        <v>282667839.95000005</v>
      </c>
      <c r="BU13" s="26">
        <f t="shared" si="1"/>
        <v>242063890.09000003</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106505655822.89</v>
      </c>
      <c r="F14" s="48">
        <f t="shared" ref="F14:BQ14" si="2">F9</f>
        <v>100304234156.42999</v>
      </c>
      <c r="G14" s="48">
        <f t="shared" si="2"/>
        <v>96420957735.519989</v>
      </c>
      <c r="H14" s="48">
        <f t="shared" si="2"/>
        <v>93038921689.440018</v>
      </c>
      <c r="I14" s="48">
        <f t="shared" si="2"/>
        <v>86321842822.179993</v>
      </c>
      <c r="J14" s="48">
        <f t="shared" si="2"/>
        <v>83786221873.680008</v>
      </c>
      <c r="K14" s="48">
        <f t="shared" si="2"/>
        <v>80057188116.410004</v>
      </c>
      <c r="L14" s="48">
        <f t="shared" si="2"/>
        <v>77540333161.610001</v>
      </c>
      <c r="M14" s="48">
        <f t="shared" si="2"/>
        <v>72229202167.820007</v>
      </c>
      <c r="N14" s="48">
        <f t="shared" si="2"/>
        <v>68301112590.480003</v>
      </c>
      <c r="O14" s="48">
        <f t="shared" si="2"/>
        <v>66743865893.57</v>
      </c>
      <c r="P14" s="48">
        <f t="shared" si="2"/>
        <v>62788380577.899994</v>
      </c>
      <c r="Q14" s="48">
        <f t="shared" si="2"/>
        <v>59345919232.220001</v>
      </c>
      <c r="R14" s="48">
        <f t="shared" si="2"/>
        <v>54427056884.389999</v>
      </c>
      <c r="S14" s="48">
        <f t="shared" si="2"/>
        <v>50807882716.389999</v>
      </c>
      <c r="T14" s="48">
        <f t="shared" si="2"/>
        <v>50513113858.5</v>
      </c>
      <c r="U14" s="48">
        <f t="shared" si="2"/>
        <v>46929665261.690002</v>
      </c>
      <c r="V14" s="48">
        <f t="shared" si="2"/>
        <v>43046712748.440002</v>
      </c>
      <c r="W14" s="48">
        <f t="shared" si="2"/>
        <v>39430754998.509995</v>
      </c>
      <c r="X14" s="48">
        <f t="shared" si="2"/>
        <v>39225149640.240005</v>
      </c>
      <c r="Y14" s="48">
        <f t="shared" si="2"/>
        <v>35454036397.25</v>
      </c>
      <c r="Z14" s="48">
        <f t="shared" si="2"/>
        <v>32187253924.760002</v>
      </c>
      <c r="AA14" s="48">
        <f t="shared" si="2"/>
        <v>32638540497.200001</v>
      </c>
      <c r="AB14" s="48">
        <f t="shared" si="2"/>
        <v>28532870402.029999</v>
      </c>
      <c r="AC14" s="48">
        <f t="shared" si="2"/>
        <v>25403379611.290001</v>
      </c>
      <c r="AD14" s="48">
        <f t="shared" si="2"/>
        <v>23309364007.230003</v>
      </c>
      <c r="AE14" s="48">
        <f t="shared" si="2"/>
        <v>23814033405.110001</v>
      </c>
      <c r="AF14" s="48">
        <f t="shared" si="2"/>
        <v>20859265220.550003</v>
      </c>
      <c r="AG14" s="48">
        <f t="shared" si="2"/>
        <v>18867973890.910004</v>
      </c>
      <c r="AH14" s="48">
        <f t="shared" si="2"/>
        <v>17942016871.77</v>
      </c>
      <c r="AI14" s="48">
        <f t="shared" si="2"/>
        <v>17923877994.279999</v>
      </c>
      <c r="AJ14" s="48">
        <f t="shared" si="2"/>
        <v>15995948192.019999</v>
      </c>
      <c r="AK14" s="48">
        <f t="shared" si="2"/>
        <v>14788773056.830002</v>
      </c>
      <c r="AL14" s="48">
        <f t="shared" si="2"/>
        <v>14215679731.029999</v>
      </c>
      <c r="AM14" s="48">
        <f t="shared" si="2"/>
        <v>14225618797.950001</v>
      </c>
      <c r="AN14" s="48">
        <f t="shared" si="2"/>
        <v>12780458863.77</v>
      </c>
      <c r="AO14" s="48">
        <f t="shared" si="2"/>
        <v>11503418295.949999</v>
      </c>
      <c r="AP14" s="48">
        <f t="shared" si="2"/>
        <v>10922391711.51</v>
      </c>
      <c r="AQ14" s="48">
        <f t="shared" si="2"/>
        <v>9972821285.0900002</v>
      </c>
      <c r="AR14" s="48">
        <f t="shared" si="2"/>
        <v>9327748223.0699997</v>
      </c>
      <c r="AS14" s="48">
        <f t="shared" si="2"/>
        <v>8410662728.4800005</v>
      </c>
      <c r="AT14" s="48">
        <f t="shared" si="2"/>
        <v>6994706282.3699999</v>
      </c>
      <c r="AU14" s="48">
        <f t="shared" si="2"/>
        <v>6942283668.4399996</v>
      </c>
      <c r="AV14" s="48">
        <f t="shared" si="2"/>
        <v>6611065299.210001</v>
      </c>
      <c r="AW14" s="48">
        <f t="shared" si="2"/>
        <v>6003989385.0299997</v>
      </c>
      <c r="AX14" s="48">
        <f t="shared" si="2"/>
        <v>5472067233.3999996</v>
      </c>
      <c r="AY14" s="48">
        <f t="shared" si="2"/>
        <v>5060632616.039999</v>
      </c>
      <c r="AZ14" s="48">
        <f t="shared" si="2"/>
        <v>5674270668.8800001</v>
      </c>
      <c r="BA14" s="48">
        <f t="shared" si="2"/>
        <v>5209296403.71</v>
      </c>
      <c r="BB14" s="48">
        <f t="shared" si="2"/>
        <v>4815192644.5100002</v>
      </c>
      <c r="BC14" s="48">
        <f t="shared" si="2"/>
        <v>4730662106.0300007</v>
      </c>
      <c r="BD14" s="48">
        <f t="shared" si="2"/>
        <v>4669283111.6100006</v>
      </c>
      <c r="BE14" s="48">
        <f t="shared" si="2"/>
        <v>4249197059.9699998</v>
      </c>
      <c r="BF14" s="48">
        <f t="shared" si="2"/>
        <v>4028965574.3800001</v>
      </c>
      <c r="BG14" s="48">
        <f t="shared" si="2"/>
        <v>3889604003.73</v>
      </c>
      <c r="BH14" s="48">
        <f t="shared" si="2"/>
        <v>3808412072.9599991</v>
      </c>
      <c r="BI14" s="48">
        <f t="shared" si="2"/>
        <v>3485998413.9099998</v>
      </c>
      <c r="BJ14" s="48">
        <f t="shared" si="2"/>
        <v>3301456325.0599999</v>
      </c>
      <c r="BK14" s="48">
        <f t="shared" si="2"/>
        <v>3197373661.6199999</v>
      </c>
      <c r="BL14" s="48">
        <f t="shared" si="2"/>
        <v>3170177508.0599999</v>
      </c>
      <c r="BM14" s="48">
        <f t="shared" si="2"/>
        <v>2940818296.5799999</v>
      </c>
      <c r="BN14" s="48">
        <f t="shared" si="2"/>
        <v>3005997323.8400002</v>
      </c>
      <c r="BO14" s="48">
        <f t="shared" si="2"/>
        <v>2956017232.4400001</v>
      </c>
      <c r="BP14" s="48">
        <f t="shared" si="2"/>
        <v>2927390204.21</v>
      </c>
      <c r="BQ14" s="48">
        <f t="shared" si="2"/>
        <v>2680638605.27</v>
      </c>
      <c r="BR14" s="48">
        <f t="shared" ref="BR14:CL14" si="3">BR9</f>
        <v>837537565.01999998</v>
      </c>
      <c r="BS14" s="48">
        <f t="shared" si="3"/>
        <v>556380029.31999993</v>
      </c>
      <c r="BT14" s="48">
        <f t="shared" si="3"/>
        <v>457127839.95000005</v>
      </c>
      <c r="BU14" s="48">
        <f t="shared" si="3"/>
        <v>449423890.09000003</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88149063935.559998</v>
      </c>
      <c r="F15" s="58">
        <f t="shared" ref="F15:BQ15" si="4">F11+F13-F3-F4-F7</f>
        <v>81240874660.48999</v>
      </c>
      <c r="G15" s="58">
        <f t="shared" si="4"/>
        <v>74006116986.470001</v>
      </c>
      <c r="H15" s="58">
        <f t="shared" si="4"/>
        <v>73179652296.920013</v>
      </c>
      <c r="I15" s="58">
        <f t="shared" si="4"/>
        <v>67051218856.799988</v>
      </c>
      <c r="J15" s="58">
        <f t="shared" si="4"/>
        <v>62302458494.100014</v>
      </c>
      <c r="K15" s="58">
        <f t="shared" si="4"/>
        <v>47761962740.580002</v>
      </c>
      <c r="L15" s="58">
        <f t="shared" si="4"/>
        <v>44034381071.080002</v>
      </c>
      <c r="M15" s="58">
        <f t="shared" si="4"/>
        <v>36907187499.130013</v>
      </c>
      <c r="N15" s="58">
        <f t="shared" si="4"/>
        <v>30707071894.909996</v>
      </c>
      <c r="O15" s="58">
        <f t="shared" si="4"/>
        <v>30449720008.069996</v>
      </c>
      <c r="P15" s="58">
        <f t="shared" si="4"/>
        <v>28599389485.119999</v>
      </c>
      <c r="Q15" s="58">
        <f t="shared" si="4"/>
        <v>27808212920.630001</v>
      </c>
      <c r="R15" s="58">
        <f t="shared" si="4"/>
        <v>22903251888.43</v>
      </c>
      <c r="S15" s="58">
        <f t="shared" si="4"/>
        <v>21166619535.950001</v>
      </c>
      <c r="T15" s="58">
        <f t="shared" si="4"/>
        <v>23476271316.32</v>
      </c>
      <c r="U15" s="58">
        <f t="shared" si="4"/>
        <v>25486752090.020004</v>
      </c>
      <c r="V15" s="58">
        <f t="shared" si="4"/>
        <v>22363677919.520004</v>
      </c>
      <c r="W15" s="58">
        <f t="shared" si="4"/>
        <v>18562670939.949997</v>
      </c>
      <c r="X15" s="58">
        <f t="shared" si="4"/>
        <v>21955036844.350002</v>
      </c>
      <c r="Y15" s="58">
        <f t="shared" si="4"/>
        <v>22376612663.389999</v>
      </c>
      <c r="Z15" s="58">
        <f t="shared" si="4"/>
        <v>19005987757.170002</v>
      </c>
      <c r="AA15" s="58">
        <f t="shared" si="4"/>
        <v>21245645480.619999</v>
      </c>
      <c r="AB15" s="58">
        <f t="shared" si="4"/>
        <v>19056013006.079998</v>
      </c>
      <c r="AC15" s="58">
        <f t="shared" si="4"/>
        <v>18539872922.09</v>
      </c>
      <c r="AD15" s="58">
        <f t="shared" si="4"/>
        <v>18524435542.09</v>
      </c>
      <c r="AE15" s="58">
        <f t="shared" si="4"/>
        <v>17479293577.550003</v>
      </c>
      <c r="AF15" s="58">
        <f t="shared" si="4"/>
        <v>16097936940.57</v>
      </c>
      <c r="AG15" s="58">
        <f t="shared" si="4"/>
        <v>12991122314.630001</v>
      </c>
      <c r="AH15" s="58">
        <f t="shared" si="4"/>
        <v>11163366118.51</v>
      </c>
      <c r="AI15" s="58">
        <f t="shared" si="4"/>
        <v>10378305344.279999</v>
      </c>
      <c r="AJ15" s="58">
        <f t="shared" si="4"/>
        <v>9990618883.5699997</v>
      </c>
      <c r="AK15" s="58">
        <f t="shared" si="4"/>
        <v>9755064755.2399998</v>
      </c>
      <c r="AL15" s="58">
        <f t="shared" si="4"/>
        <v>7923955837.7999992</v>
      </c>
      <c r="AM15" s="58">
        <f t="shared" si="4"/>
        <v>7824246321.2099991</v>
      </c>
      <c r="AN15" s="58">
        <f t="shared" si="4"/>
        <v>7717405756.3000011</v>
      </c>
      <c r="AO15" s="58">
        <f t="shared" si="4"/>
        <v>8138505441.1599979</v>
      </c>
      <c r="AP15" s="58">
        <f t="shared" si="4"/>
        <v>6441498269.5400009</v>
      </c>
      <c r="AQ15" s="58">
        <f t="shared" si="4"/>
        <v>5105053230.7999992</v>
      </c>
      <c r="AR15" s="58">
        <f t="shared" si="4"/>
        <v>5603323644.289999</v>
      </c>
      <c r="AS15" s="58">
        <f t="shared" si="4"/>
        <v>4784290700.0200005</v>
      </c>
      <c r="AT15" s="58">
        <f t="shared" si="4"/>
        <v>4814014936.3500004</v>
      </c>
      <c r="AU15" s="58">
        <f t="shared" si="4"/>
        <v>4870494456.1599998</v>
      </c>
      <c r="AV15" s="58">
        <f t="shared" si="4"/>
        <v>4715254931.2900009</v>
      </c>
      <c r="AW15" s="58">
        <f t="shared" si="4"/>
        <v>4505867488.6399994</v>
      </c>
      <c r="AX15" s="58">
        <f t="shared" si="4"/>
        <v>4083907788.3399992</v>
      </c>
      <c r="AY15" s="58">
        <f t="shared" si="4"/>
        <v>3419099920.6599994</v>
      </c>
      <c r="AZ15" s="58">
        <f t="shared" si="4"/>
        <v>3975708186.8800006</v>
      </c>
      <c r="BA15" s="58">
        <f t="shared" si="4"/>
        <v>3891989433.5300007</v>
      </c>
      <c r="BB15" s="58">
        <f t="shared" si="4"/>
        <v>3217007276.75</v>
      </c>
      <c r="BC15" s="58">
        <f t="shared" si="4"/>
        <v>3065214770.1900005</v>
      </c>
      <c r="BD15" s="58">
        <f t="shared" si="4"/>
        <v>3024925341.3800011</v>
      </c>
      <c r="BE15" s="58">
        <f t="shared" si="4"/>
        <v>2898327418.8499994</v>
      </c>
      <c r="BF15" s="58">
        <f t="shared" si="4"/>
        <v>2419288966.4599996</v>
      </c>
      <c r="BG15" s="58">
        <f t="shared" si="4"/>
        <v>2172790156.5900002</v>
      </c>
      <c r="BH15" s="58">
        <f t="shared" si="4"/>
        <v>2101448845.7199996</v>
      </c>
      <c r="BI15" s="58">
        <f t="shared" si="4"/>
        <v>2340047386.8499994</v>
      </c>
      <c r="BJ15" s="58">
        <f t="shared" si="4"/>
        <v>1868792963.7099998</v>
      </c>
      <c r="BK15" s="58">
        <f t="shared" si="4"/>
        <v>1536249315.6399999</v>
      </c>
      <c r="BL15" s="58">
        <f t="shared" si="4"/>
        <v>1684957738.5599999</v>
      </c>
      <c r="BM15" s="58">
        <f t="shared" si="4"/>
        <v>1780307690.6399999</v>
      </c>
      <c r="BN15" s="58">
        <f t="shared" si="4"/>
        <v>1677224920.0400004</v>
      </c>
      <c r="BO15" s="58">
        <f t="shared" si="4"/>
        <v>1513800289.8299999</v>
      </c>
      <c r="BP15" s="58">
        <f t="shared" si="4"/>
        <v>1877929846.0899999</v>
      </c>
      <c r="BQ15" s="58">
        <f t="shared" si="4"/>
        <v>1956436570.0999999</v>
      </c>
      <c r="BR15" s="58">
        <f t="shared" ref="BR15:CL15" si="5">BR11+BR13-BR3-BR4-BR7</f>
        <v>227439213.50000006</v>
      </c>
      <c r="BS15" s="58">
        <f t="shared" si="5"/>
        <v>331983583.45999998</v>
      </c>
      <c r="BT15" s="58">
        <f t="shared" si="5"/>
        <v>23930615.120000035</v>
      </c>
      <c r="BU15" s="58">
        <f t="shared" si="5"/>
        <v>-22234631.259999961</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-88149063935.559998</v>
      </c>
      <c r="F16" s="58">
        <f t="shared" ref="F16:BQ16" si="6">F10-F2</f>
        <v>-81240874660.490005</v>
      </c>
      <c r="G16" s="58">
        <f t="shared" si="6"/>
        <v>-74006116986.469986</v>
      </c>
      <c r="H16" s="58">
        <f t="shared" si="6"/>
        <v>-73179652296.920013</v>
      </c>
      <c r="I16" s="58">
        <f t="shared" si="6"/>
        <v>-67051218856.799995</v>
      </c>
      <c r="J16" s="58">
        <f t="shared" si="6"/>
        <v>-62302458494.100006</v>
      </c>
      <c r="K16" s="58">
        <f t="shared" si="6"/>
        <v>-47761962740.579994</v>
      </c>
      <c r="L16" s="58">
        <f t="shared" si="6"/>
        <v>-44034381071.079994</v>
      </c>
      <c r="M16" s="58">
        <f t="shared" si="6"/>
        <v>-36907187499.129997</v>
      </c>
      <c r="N16" s="58">
        <f t="shared" si="6"/>
        <v>-30707071894.909996</v>
      </c>
      <c r="O16" s="58">
        <f t="shared" si="6"/>
        <v>-30449720008.070004</v>
      </c>
      <c r="P16" s="58">
        <f t="shared" si="6"/>
        <v>-28599389485.119999</v>
      </c>
      <c r="Q16" s="58">
        <f t="shared" si="6"/>
        <v>-27808212920.630001</v>
      </c>
      <c r="R16" s="58">
        <f t="shared" si="6"/>
        <v>-22903251888.43</v>
      </c>
      <c r="S16" s="58">
        <f t="shared" si="6"/>
        <v>-21166619535.949997</v>
      </c>
      <c r="T16" s="58">
        <f t="shared" si="6"/>
        <v>-23476271316.32</v>
      </c>
      <c r="U16" s="58">
        <f t="shared" si="6"/>
        <v>-25486752090.02</v>
      </c>
      <c r="V16" s="58">
        <f t="shared" si="6"/>
        <v>-22363677919.52</v>
      </c>
      <c r="W16" s="58">
        <f t="shared" si="6"/>
        <v>-18562670939.949997</v>
      </c>
      <c r="X16" s="58">
        <f t="shared" si="6"/>
        <v>-21955036844.350002</v>
      </c>
      <c r="Y16" s="58">
        <f t="shared" si="6"/>
        <v>-22376612663.389999</v>
      </c>
      <c r="Z16" s="58">
        <f t="shared" si="6"/>
        <v>-19005987757.170002</v>
      </c>
      <c r="AA16" s="58">
        <f t="shared" si="6"/>
        <v>-21245645480.619999</v>
      </c>
      <c r="AB16" s="58">
        <f t="shared" si="6"/>
        <v>-19056013006.079998</v>
      </c>
      <c r="AC16" s="58">
        <f t="shared" si="6"/>
        <v>-18539872922.09</v>
      </c>
      <c r="AD16" s="58">
        <f t="shared" si="6"/>
        <v>-18524435542.09</v>
      </c>
      <c r="AE16" s="58">
        <f t="shared" si="6"/>
        <v>-17479293577.549999</v>
      </c>
      <c r="AF16" s="58">
        <f t="shared" si="6"/>
        <v>-16097936940.57</v>
      </c>
      <c r="AG16" s="58">
        <f t="shared" si="6"/>
        <v>-12991122314.630001</v>
      </c>
      <c r="AH16" s="58">
        <f t="shared" si="6"/>
        <v>-11163366118.51</v>
      </c>
      <c r="AI16" s="58">
        <f t="shared" si="6"/>
        <v>-10378305344.280001</v>
      </c>
      <c r="AJ16" s="58">
        <f t="shared" si="6"/>
        <v>-9990618883.5699997</v>
      </c>
      <c r="AK16" s="58">
        <f t="shared" si="6"/>
        <v>-9755064755.2399998</v>
      </c>
      <c r="AL16" s="58">
        <f t="shared" si="6"/>
        <v>-7923955837.8000002</v>
      </c>
      <c r="AM16" s="58">
        <f t="shared" si="6"/>
        <v>-7824246321.21</v>
      </c>
      <c r="AN16" s="58">
        <f t="shared" si="6"/>
        <v>-7717405756.3000002</v>
      </c>
      <c r="AO16" s="58">
        <f t="shared" si="6"/>
        <v>-8138505441.1599998</v>
      </c>
      <c r="AP16" s="58">
        <f t="shared" si="6"/>
        <v>-6441498269.54</v>
      </c>
      <c r="AQ16" s="58">
        <f t="shared" si="6"/>
        <v>-5105053230.8000002</v>
      </c>
      <c r="AR16" s="58">
        <f t="shared" si="6"/>
        <v>-5603323644.29</v>
      </c>
      <c r="AS16" s="58">
        <f t="shared" si="6"/>
        <v>-4784290700.0200005</v>
      </c>
      <c r="AT16" s="58">
        <f t="shared" si="6"/>
        <v>-4814014936.3500004</v>
      </c>
      <c r="AU16" s="58">
        <f t="shared" si="6"/>
        <v>-4870494456.1599998</v>
      </c>
      <c r="AV16" s="58">
        <f t="shared" si="6"/>
        <v>-4715254931.29</v>
      </c>
      <c r="AW16" s="58">
        <f t="shared" si="6"/>
        <v>-4505867488.6400003</v>
      </c>
      <c r="AX16" s="58">
        <f t="shared" si="6"/>
        <v>-4083907788.3400002</v>
      </c>
      <c r="AY16" s="58">
        <f t="shared" si="6"/>
        <v>-3419099920.6599998</v>
      </c>
      <c r="AZ16" s="58">
        <f t="shared" si="6"/>
        <v>-3975708186.8800001</v>
      </c>
      <c r="BA16" s="58">
        <f t="shared" si="6"/>
        <v>-3891989433.5300002</v>
      </c>
      <c r="BB16" s="58">
        <f t="shared" si="6"/>
        <v>-3217007276.75</v>
      </c>
      <c r="BC16" s="58">
        <f t="shared" si="6"/>
        <v>-3065214770.1900001</v>
      </c>
      <c r="BD16" s="58">
        <f t="shared" si="6"/>
        <v>-3024925341.3800001</v>
      </c>
      <c r="BE16" s="58">
        <f t="shared" si="6"/>
        <v>-2898327418.8499999</v>
      </c>
      <c r="BF16" s="58">
        <f t="shared" si="6"/>
        <v>-2419288966.46</v>
      </c>
      <c r="BG16" s="58">
        <f t="shared" si="6"/>
        <v>-2172790156.5900002</v>
      </c>
      <c r="BH16" s="58">
        <f t="shared" si="6"/>
        <v>-2101448845.7199998</v>
      </c>
      <c r="BI16" s="58">
        <f t="shared" si="6"/>
        <v>-2340047386.8499999</v>
      </c>
      <c r="BJ16" s="58">
        <f t="shared" si="6"/>
        <v>-1868792963.71</v>
      </c>
      <c r="BK16" s="58">
        <f t="shared" si="6"/>
        <v>-1536249315.6400001</v>
      </c>
      <c r="BL16" s="58">
        <f t="shared" si="6"/>
        <v>-1684957738.5599999</v>
      </c>
      <c r="BM16" s="58">
        <f t="shared" si="6"/>
        <v>-1780307690.6400001</v>
      </c>
      <c r="BN16" s="58">
        <f t="shared" si="6"/>
        <v>-1677224920.04</v>
      </c>
      <c r="BO16" s="58">
        <f t="shared" si="6"/>
        <v>-1513800289.8299999</v>
      </c>
      <c r="BP16" s="58">
        <f t="shared" si="6"/>
        <v>-1877929846.0899999</v>
      </c>
      <c r="BQ16" s="58">
        <f t="shared" si="6"/>
        <v>-1956436570.0999999</v>
      </c>
      <c r="BR16" s="58">
        <f t="shared" ref="BR16:CL16" si="7">BR10-BR2</f>
        <v>-227439213.5</v>
      </c>
      <c r="BS16" s="58">
        <f t="shared" si="7"/>
        <v>-331983583.45999998</v>
      </c>
      <c r="BT16" s="58">
        <f t="shared" si="7"/>
        <v>-23930615.120000005</v>
      </c>
      <c r="BU16" s="58">
        <f t="shared" si="7"/>
        <v>22234631.260000005</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-21.228410195863475</v>
      </c>
      <c r="F17" s="59">
        <f t="shared" ref="F17:BQ17" si="8">(F11+F13-F7-F3)/F4</f>
        <v>-19.939056153016995</v>
      </c>
      <c r="G17" s="59">
        <f t="shared" si="8"/>
        <v>-206.74811779634808</v>
      </c>
      <c r="H17" s="59">
        <f t="shared" si="8"/>
        <v>-23.4100473657438</v>
      </c>
      <c r="I17" s="59">
        <f t="shared" si="8"/>
        <v>-18.559787718992826</v>
      </c>
      <c r="J17" s="59">
        <f t="shared" si="8"/>
        <v>3483.4914705679844</v>
      </c>
      <c r="K17" s="59">
        <f t="shared" si="8"/>
        <v>5.3996208290608996</v>
      </c>
      <c r="L17" s="59">
        <f t="shared" si="8"/>
        <v>4.6529805497268137</v>
      </c>
      <c r="M17" s="59">
        <f t="shared" si="8"/>
        <v>3.6275650054397475</v>
      </c>
      <c r="N17" s="59">
        <f t="shared" si="8"/>
        <v>2.7681604567667049</v>
      </c>
      <c r="O17" s="59">
        <f t="shared" si="8"/>
        <v>2.7628449070614702</v>
      </c>
      <c r="P17" s="59">
        <f t="shared" si="8"/>
        <v>2.7948183445653716</v>
      </c>
      <c r="Q17" s="59">
        <f t="shared" si="8"/>
        <v>3.0983589125274191</v>
      </c>
      <c r="R17" s="59">
        <f t="shared" si="8"/>
        <v>2.5335918035866309</v>
      </c>
      <c r="S17" s="59">
        <f t="shared" si="8"/>
        <v>2.6166605615852352</v>
      </c>
      <c r="T17" s="59">
        <f t="shared" si="8"/>
        <v>3.0422100942478152</v>
      </c>
      <c r="U17" s="59">
        <f t="shared" si="8"/>
        <v>4.1725630516159118</v>
      </c>
      <c r="V17" s="59">
        <f t="shared" si="8"/>
        <v>2.9772178074357432</v>
      </c>
      <c r="W17" s="59">
        <f t="shared" si="8"/>
        <v>2.5494263341959869</v>
      </c>
      <c r="X17" s="59">
        <f t="shared" si="8"/>
        <v>3.6535003431643025</v>
      </c>
      <c r="Y17" s="59">
        <f t="shared" si="8"/>
        <v>6.1389791442954333</v>
      </c>
      <c r="Z17" s="59">
        <f t="shared" si="8"/>
        <v>4.2310566347519556</v>
      </c>
      <c r="AA17" s="59">
        <f t="shared" si="8"/>
        <v>6.1123830937153931</v>
      </c>
      <c r="AB17" s="59">
        <f t="shared" si="8"/>
        <v>9.1023913430521262</v>
      </c>
      <c r="AC17" s="59">
        <f t="shared" si="8"/>
        <v>-124.49827148773274</v>
      </c>
      <c r="AD17" s="59">
        <f t="shared" si="8"/>
        <v>-16.432060401746007</v>
      </c>
      <c r="AE17" s="59">
        <f t="shared" si="8"/>
        <v>19.51472885056149</v>
      </c>
      <c r="AF17" s="59">
        <f t="shared" si="8"/>
        <v>-26.584681923228484</v>
      </c>
      <c r="AG17" s="59">
        <f t="shared" si="8"/>
        <v>20.999989279807998</v>
      </c>
      <c r="AH17" s="59">
        <f t="shared" si="8"/>
        <v>6.6257646920101045</v>
      </c>
      <c r="AI17" s="59">
        <f t="shared" si="8"/>
        <v>4.6350694627973432</v>
      </c>
      <c r="AJ17" s="59">
        <f t="shared" si="8"/>
        <v>6.5756467254955524</v>
      </c>
      <c r="AK17" s="59">
        <f t="shared" si="8"/>
        <v>11.493034439761415</v>
      </c>
      <c r="AL17" s="59">
        <f t="shared" si="8"/>
        <v>4.2667458833014242</v>
      </c>
      <c r="AM17" s="59">
        <f t="shared" si="8"/>
        <v>3.9288553344819972</v>
      </c>
      <c r="AN17" s="59">
        <f t="shared" si="8"/>
        <v>6.566606569899184</v>
      </c>
      <c r="AO17" s="59">
        <f t="shared" si="8"/>
        <v>-75.400603609443792</v>
      </c>
      <c r="AP17" s="59">
        <f t="shared" si="8"/>
        <v>9.2702150855027856</v>
      </c>
      <c r="AQ17" s="59">
        <f t="shared" si="8"/>
        <v>4.7028346284677038</v>
      </c>
      <c r="AR17" s="59">
        <f t="shared" si="8"/>
        <v>14.243945452058089</v>
      </c>
      <c r="AS17" s="59">
        <f t="shared" si="8"/>
        <v>11.084864088045135</v>
      </c>
      <c r="AT17" s="59">
        <f t="shared" si="8"/>
        <v>-4.680624563900297</v>
      </c>
      <c r="AU17" s="59">
        <f t="shared" si="8"/>
        <v>-4.9164641916641951</v>
      </c>
      <c r="AV17" s="59">
        <f t="shared" si="8"/>
        <v>-4.2997957136648308</v>
      </c>
      <c r="AW17" s="59">
        <f t="shared" si="8"/>
        <v>-3.1057632521091532</v>
      </c>
      <c r="AX17" s="59">
        <f t="shared" si="8"/>
        <v>-2.8446537109808236</v>
      </c>
      <c r="AY17" s="59">
        <f t="shared" si="8"/>
        <v>-4.4978708175411057</v>
      </c>
      <c r="AZ17" s="59">
        <f t="shared" si="8"/>
        <v>-8.5323250381556122</v>
      </c>
      <c r="BA17" s="59">
        <f t="shared" si="8"/>
        <v>-4.3997720724075746</v>
      </c>
      <c r="BB17" s="59">
        <f t="shared" si="8"/>
        <v>-9.4866552208505475</v>
      </c>
      <c r="BC17" s="59">
        <f t="shared" si="8"/>
        <v>-25.554910040287609</v>
      </c>
      <c r="BD17" s="59">
        <f t="shared" si="8"/>
        <v>-72.685180030830495</v>
      </c>
      <c r="BE17" s="59">
        <f t="shared" si="8"/>
        <v>-10.586597112450104</v>
      </c>
      <c r="BF17" s="59">
        <f t="shared" si="8"/>
        <v>17.55845632429369</v>
      </c>
      <c r="BG17" s="59">
        <f t="shared" si="8"/>
        <v>7.8322418810289438</v>
      </c>
      <c r="BH17" s="59">
        <f t="shared" si="8"/>
        <v>6.6089027961728295</v>
      </c>
      <c r="BI17" s="59">
        <f t="shared" si="8"/>
        <v>-42.02684788650491</v>
      </c>
      <c r="BJ17" s="59">
        <f t="shared" si="8"/>
        <v>8.0057194868000252</v>
      </c>
      <c r="BK17" s="59">
        <f t="shared" si="8"/>
        <v>3.7037550557344705</v>
      </c>
      <c r="BL17" s="59">
        <f t="shared" si="8"/>
        <v>4.6200971346120898</v>
      </c>
      <c r="BM17" s="59">
        <f t="shared" si="8"/>
        <v>9.0607279988062821</v>
      </c>
      <c r="BN17" s="59">
        <f t="shared" si="8"/>
        <v>4.5748662771450022</v>
      </c>
      <c r="BO17" s="59">
        <f t="shared" si="8"/>
        <v>3.1831700027810816</v>
      </c>
      <c r="BP17" s="59">
        <f t="shared" si="8"/>
        <v>5.284980409781034</v>
      </c>
      <c r="BQ17" s="59">
        <f t="shared" si="8"/>
        <v>15.964491790691657</v>
      </c>
      <c r="BR17" s="59">
        <f t="shared" ref="BR17:CL17" si="9">(BR11+BR13-BR7-BR3)/BR4</f>
        <v>1.7422615961798427</v>
      </c>
      <c r="BS17" s="59">
        <f t="shared" si="9"/>
        <v>-2.2078842764475959</v>
      </c>
      <c r="BT17" s="59">
        <f t="shared" si="9"/>
        <v>1.3716074128917808</v>
      </c>
      <c r="BU17" s="59">
        <f t="shared" si="9"/>
        <v>0.78562240601973132</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743</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0.17810783124359952</v>
      </c>
      <c r="F20" s="115"/>
      <c r="G20" s="115"/>
      <c r="H20" s="115"/>
      <c r="I20" s="115">
        <f>POWER(E9/Y9,1/6)-1</f>
        <v>0.20120693476772056</v>
      </c>
      <c r="M20" s="115">
        <f>POWER(E9/AC9,1/7)-1</f>
        <v>0.22722977011277012</v>
      </c>
    </row>
    <row r="21" spans="1:90" s="63" customFormat="1" ht="14.25" customHeight="1" x14ac:dyDescent="0.25">
      <c r="A21" s="113" t="s">
        <v>572</v>
      </c>
      <c r="B21" s="115"/>
      <c r="C21" s="115"/>
      <c r="D21" s="115"/>
      <c r="E21" s="115">
        <f>POWER(E4/U4,1/5)-1</f>
        <v>-1.8683224186942096</v>
      </c>
      <c r="F21" s="115"/>
      <c r="G21" s="115"/>
      <c r="H21" s="115"/>
      <c r="I21" s="115" t="e">
        <f>POWER(E4/Y4,1/6)-1</f>
        <v>#NUM!</v>
      </c>
      <c r="M21" s="115">
        <f>POWER(E4/AC4,1/7)-1</f>
        <v>0.60000021838210538</v>
      </c>
    </row>
    <row r="22" spans="1:90" s="63" customFormat="1" ht="14.25" customHeight="1" x14ac:dyDescent="0.25">
      <c r="A22" s="113" t="s">
        <v>575</v>
      </c>
      <c r="B22" s="115"/>
      <c r="C22" s="115"/>
      <c r="D22" s="115"/>
      <c r="E22" s="115">
        <f>POWER(E5/U5,1/5)-1</f>
        <v>7.8305691920596221E-2</v>
      </c>
      <c r="F22" s="115"/>
      <c r="G22" s="115"/>
      <c r="H22" s="115"/>
      <c r="I22" s="115">
        <f>POWER(E5/Y5,1/6)-1</f>
        <v>9.6372963860611227E-2</v>
      </c>
      <c r="M22" s="115">
        <f>POWER(E5/AC5,1/7)-1</f>
        <v>0.14510466259551413</v>
      </c>
    </row>
    <row r="23" spans="1:90" s="63" customFormat="1" ht="14.25" customHeight="1" x14ac:dyDescent="0.25">
      <c r="A23" s="113" t="s">
        <v>576</v>
      </c>
      <c r="B23" s="115"/>
      <c r="C23" s="115"/>
      <c r="D23" s="115"/>
      <c r="E23" s="115">
        <f>POWER(E6/U6,1/5)-1</f>
        <v>0.26946700605237184</v>
      </c>
      <c r="F23" s="115"/>
      <c r="G23" s="115"/>
      <c r="H23" s="115"/>
      <c r="I23" s="115">
        <f>POWER(E6/Y6,1/6)-1</f>
        <v>0.1972168753237713</v>
      </c>
      <c r="M23" s="115">
        <f>POWER(E6/AC6,1/7)-1</f>
        <v>0.16764141948351741</v>
      </c>
    </row>
    <row r="24" spans="1:90" s="63" customFormat="1" ht="14.25" customHeight="1" x14ac:dyDescent="0.25">
      <c r="A24" s="113" t="s">
        <v>577</v>
      </c>
      <c r="B24" s="115"/>
      <c r="C24" s="115"/>
      <c r="D24" s="115"/>
      <c r="E24" s="115">
        <f>POWER(E7/U7,1/5)-1</f>
        <v>0.10758668902961999</v>
      </c>
      <c r="F24" s="115"/>
      <c r="G24" s="115"/>
      <c r="H24" s="115"/>
      <c r="I24" s="115">
        <f>POWER(E7/Y7,1/6)-1</f>
        <v>0.16941315547897373</v>
      </c>
      <c r="M24" s="115">
        <f>POWER(E7/AC7,1/7)-1</f>
        <v>0.1798293332987797</v>
      </c>
    </row>
    <row r="25" spans="1:90" s="107" customFormat="1" x14ac:dyDescent="0.25">
      <c r="A25" s="141" t="s">
        <v>553</v>
      </c>
      <c r="B25" s="108"/>
      <c r="C25" s="108"/>
      <c r="D25" s="108"/>
      <c r="E25" s="108">
        <f>(E2-I2)/I2</f>
        <v>0.31432597233703691</v>
      </c>
      <c r="F25" s="108">
        <f t="shared" ref="F25:BQ25" si="10">(F2-J2)/J2</f>
        <v>0.30392047077646006</v>
      </c>
      <c r="G25" s="108">
        <f t="shared" si="10"/>
        <v>0.54878147202146943</v>
      </c>
      <c r="H25" s="108">
        <f t="shared" si="10"/>
        <v>0.66124958580811288</v>
      </c>
      <c r="I25" s="108">
        <f t="shared" si="10"/>
        <v>0.81633768981558341</v>
      </c>
      <c r="J25" s="107">
        <f t="shared" si="10"/>
        <v>1.0285862274371198</v>
      </c>
      <c r="K25" s="107">
        <f t="shared" si="10"/>
        <v>0.56838602942462224</v>
      </c>
      <c r="L25" s="107">
        <f t="shared" si="10"/>
        <v>0.53983224555949483</v>
      </c>
      <c r="M25" s="108">
        <f t="shared" si="10"/>
        <v>0.32447909223970356</v>
      </c>
      <c r="N25" s="108">
        <f t="shared" si="10"/>
        <v>0.34098341803805993</v>
      </c>
      <c r="O25" s="108">
        <f t="shared" si="10"/>
        <v>0.43784937880621244</v>
      </c>
      <c r="P25" s="108">
        <f t="shared" si="10"/>
        <v>0.21797522804601022</v>
      </c>
      <c r="Q25" s="108">
        <f t="shared" si="10"/>
        <v>9.2967860075320333E-2</v>
      </c>
      <c r="R25" s="108">
        <f t="shared" si="10"/>
        <v>2.3842744771537805E-2</v>
      </c>
      <c r="S25" s="108">
        <f t="shared" si="10"/>
        <v>0.14209342100297484</v>
      </c>
      <c r="T25" s="108">
        <f t="shared" si="10"/>
        <v>7.0395822791695026E-2</v>
      </c>
      <c r="U25" s="108">
        <f t="shared" si="10"/>
        <v>0.14021439986103212</v>
      </c>
      <c r="V25" s="107">
        <f t="shared" si="10"/>
        <v>0.17737590471656561</v>
      </c>
      <c r="W25" s="107">
        <f t="shared" si="10"/>
        <v>-0.12628350327681861</v>
      </c>
      <c r="X25" s="107">
        <f t="shared" si="10"/>
        <v>0.15213170967846443</v>
      </c>
      <c r="Y25" s="107">
        <f t="shared" si="10"/>
        <v>0.20694530957267659</v>
      </c>
      <c r="Z25" s="107">
        <f t="shared" si="10"/>
        <v>2.5995513546734024E-2</v>
      </c>
      <c r="AA25" s="107">
        <f t="shared" si="10"/>
        <v>0.21547506404420227</v>
      </c>
      <c r="AB25" s="107">
        <f t="shared" si="10"/>
        <v>0.1837549790653645</v>
      </c>
      <c r="AC25" s="107">
        <f t="shared" si="10"/>
        <v>0.42711864864910498</v>
      </c>
      <c r="AD25" s="107">
        <f t="shared" si="10"/>
        <v>0.65939514528459253</v>
      </c>
      <c r="AE25" s="107">
        <f t="shared" si="10"/>
        <v>0.68421461864038391</v>
      </c>
      <c r="AF25" s="107">
        <f t="shared" si="10"/>
        <v>0.61130527829899961</v>
      </c>
      <c r="AG25" s="107">
        <f t="shared" si="10"/>
        <v>0.33173101774149993</v>
      </c>
      <c r="AH25" s="107">
        <f t="shared" si="10"/>
        <v>0.40881225829867662</v>
      </c>
      <c r="AI25" s="107">
        <f t="shared" si="10"/>
        <v>0.3264287598086536</v>
      </c>
      <c r="AJ25" s="107">
        <f t="shared" si="10"/>
        <v>0.29455664235540457</v>
      </c>
      <c r="AK25" s="107">
        <f t="shared" si="10"/>
        <v>0.19863098031542115</v>
      </c>
      <c r="AL25" s="107">
        <f t="shared" si="10"/>
        <v>0.23014173197408394</v>
      </c>
      <c r="AM25" s="107">
        <f t="shared" si="10"/>
        <v>0.53264735301964361</v>
      </c>
      <c r="AN25" s="107">
        <f t="shared" si="10"/>
        <v>0.37729073782206574</v>
      </c>
      <c r="AO25" s="107">
        <f t="shared" si="10"/>
        <v>0.70108924215787671</v>
      </c>
      <c r="AP25" s="107">
        <f t="shared" si="10"/>
        <v>0.33807193261929552</v>
      </c>
      <c r="AQ25" s="107">
        <f t="shared" si="10"/>
        <v>4.8159129786779678E-2</v>
      </c>
      <c r="AR25" s="107">
        <f t="shared" si="10"/>
        <v>0.1883394908527336</v>
      </c>
      <c r="AS25" s="107">
        <f t="shared" si="10"/>
        <v>6.1791255975003428E-2</v>
      </c>
      <c r="AT25" s="107">
        <f t="shared" si="10"/>
        <v>0.1787765997299291</v>
      </c>
      <c r="AU25" s="107">
        <f t="shared" si="10"/>
        <v>0.42449608644950998</v>
      </c>
      <c r="AV25" s="107">
        <f t="shared" si="10"/>
        <v>0.18601635473411615</v>
      </c>
      <c r="AW25" s="107">
        <f t="shared" si="10"/>
        <v>0.15772860270928796</v>
      </c>
      <c r="AX25" s="107">
        <f t="shared" si="10"/>
        <v>0.26947421532281746</v>
      </c>
      <c r="AY25" s="107">
        <f t="shared" si="10"/>
        <v>0.11545199178590149</v>
      </c>
      <c r="AZ25" s="107">
        <f t="shared" si="10"/>
        <v>0.31431613616825455</v>
      </c>
      <c r="BA25" s="107">
        <f t="shared" si="10"/>
        <v>0.34283980761368432</v>
      </c>
      <c r="BB25" s="107">
        <f t="shared" si="10"/>
        <v>0.32973254594603191</v>
      </c>
      <c r="BC25" s="107">
        <f t="shared" si="10"/>
        <v>0.4107274744840434</v>
      </c>
      <c r="BD25" s="107">
        <f t="shared" si="10"/>
        <v>0.43944752571105206</v>
      </c>
      <c r="BE25" s="107">
        <f t="shared" si="10"/>
        <v>0.23857637889611955</v>
      </c>
      <c r="BF25" s="107">
        <f t="shared" si="10"/>
        <v>0.29457302838787131</v>
      </c>
      <c r="BG25" s="107">
        <f t="shared" si="10"/>
        <v>0.41434735525647259</v>
      </c>
      <c r="BH25" s="107">
        <f t="shared" si="10"/>
        <v>0.24718193081563092</v>
      </c>
      <c r="BI25" s="107">
        <f t="shared" si="10"/>
        <v>0.31440615526902532</v>
      </c>
      <c r="BJ25" s="107">
        <f t="shared" si="10"/>
        <v>0.11421726530597422</v>
      </c>
      <c r="BK25" s="107">
        <f t="shared" si="10"/>
        <v>1.482958218519116E-2</v>
      </c>
      <c r="BL25" s="107">
        <f t="shared" si="10"/>
        <v>-0.10275788945565956</v>
      </c>
      <c r="BM25" s="107">
        <f t="shared" si="10"/>
        <v>-9.0025346158294967E-2</v>
      </c>
      <c r="BN25" s="107">
        <f t="shared" si="10"/>
        <v>3.9852242329058947</v>
      </c>
      <c r="BO25" s="107">
        <f t="shared" si="10"/>
        <v>2.2838485884201858</v>
      </c>
      <c r="BP25" s="107">
        <f t="shared" si="10"/>
        <v>8.4658199681174509</v>
      </c>
      <c r="BQ25" s="107">
        <f t="shared" si="10"/>
        <v>14.680926445038132</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1" t="s">
        <v>561</v>
      </c>
      <c r="E26" s="108">
        <f>E2/E9</f>
        <v>0.82786663156981499</v>
      </c>
      <c r="F26" s="108">
        <f t="shared" ref="F26:BQ26" si="12">F2/F9</f>
        <v>0.81019127764738008</v>
      </c>
      <c r="G26" s="108">
        <f t="shared" si="12"/>
        <v>0.76793976873424874</v>
      </c>
      <c r="H26" s="108">
        <f t="shared" si="12"/>
        <v>0.78697449680331422</v>
      </c>
      <c r="I26" s="108">
        <f t="shared" si="12"/>
        <v>0.77715788146835807</v>
      </c>
      <c r="J26" s="108">
        <f t="shared" si="12"/>
        <v>0.74384614854877507</v>
      </c>
      <c r="K26" s="108">
        <f t="shared" si="12"/>
        <v>0.5971839443421596</v>
      </c>
      <c r="L26" s="108">
        <f t="shared" si="12"/>
        <v>0.56841139873875746</v>
      </c>
      <c r="M26" s="108">
        <f t="shared" si="12"/>
        <v>0.51135269168161079</v>
      </c>
      <c r="N26" s="108">
        <f t="shared" si="12"/>
        <v>0.44981556091316499</v>
      </c>
      <c r="O26" s="108">
        <f t="shared" si="12"/>
        <v>0.45671379746684215</v>
      </c>
      <c r="P26" s="108">
        <f t="shared" si="12"/>
        <v>0.45586657418593551</v>
      </c>
      <c r="Q26" s="108">
        <f t="shared" si="12"/>
        <v>0.46989129098197713</v>
      </c>
      <c r="R26" s="108">
        <f t="shared" si="12"/>
        <v>0.42094368169833801</v>
      </c>
      <c r="S26" s="108">
        <f t="shared" si="12"/>
        <v>0.41726407839311597</v>
      </c>
      <c r="T26" s="108">
        <f t="shared" si="12"/>
        <v>0.46523720143765168</v>
      </c>
      <c r="U26" s="108">
        <f t="shared" si="12"/>
        <v>0.54366754667090933</v>
      </c>
      <c r="V26" s="108">
        <f t="shared" si="12"/>
        <v>0.51983509545548146</v>
      </c>
      <c r="W26" s="108">
        <f t="shared" si="12"/>
        <v>0.47076630768676486</v>
      </c>
      <c r="X26" s="108">
        <f t="shared" si="12"/>
        <v>0.55971837062992191</v>
      </c>
      <c r="Y26" s="108">
        <f t="shared" si="12"/>
        <v>0.63114429095372748</v>
      </c>
      <c r="Z26" s="108">
        <f t="shared" si="12"/>
        <v>0.5904818038096028</v>
      </c>
      <c r="AA26" s="108">
        <f t="shared" si="12"/>
        <v>0.65093736291433202</v>
      </c>
      <c r="AB26" s="108">
        <f t="shared" si="12"/>
        <v>0.66786175865167208</v>
      </c>
      <c r="AC26" s="108">
        <f t="shared" si="12"/>
        <v>0.7298191502775615</v>
      </c>
      <c r="AD26" s="108">
        <f t="shared" si="12"/>
        <v>0.79472076270910552</v>
      </c>
      <c r="AE26" s="108">
        <f t="shared" si="12"/>
        <v>0.73399131009026397</v>
      </c>
      <c r="AF26" s="108">
        <f t="shared" si="12"/>
        <v>0.77174036431114235</v>
      </c>
      <c r="AG26" s="108">
        <f t="shared" si="12"/>
        <v>0.68852768133671816</v>
      </c>
      <c r="AH26" s="108">
        <f t="shared" si="12"/>
        <v>0.62219126190180207</v>
      </c>
      <c r="AI26" s="108">
        <f t="shared" si="12"/>
        <v>0.5790211999653202</v>
      </c>
      <c r="AJ26" s="108">
        <f t="shared" si="12"/>
        <v>0.624571845547367</v>
      </c>
      <c r="AK26" s="108">
        <f t="shared" si="12"/>
        <v>0.65962637453110085</v>
      </c>
      <c r="AL26" s="108">
        <f t="shared" si="12"/>
        <v>0.55740956378635786</v>
      </c>
      <c r="AM26" s="108">
        <f t="shared" si="12"/>
        <v>0.55001096488945156</v>
      </c>
      <c r="AN26" s="108">
        <f t="shared" si="12"/>
        <v>0.60384418420040264</v>
      </c>
      <c r="AO26" s="108">
        <f t="shared" si="12"/>
        <v>0.70748583001848397</v>
      </c>
      <c r="AP26" s="108">
        <f t="shared" si="12"/>
        <v>0.58975162580480966</v>
      </c>
      <c r="AQ26" s="108">
        <f t="shared" si="12"/>
        <v>0.51189659223437389</v>
      </c>
      <c r="AR26" s="108">
        <f t="shared" si="12"/>
        <v>0.6007155757518724</v>
      </c>
      <c r="AS26" s="108">
        <f t="shared" si="12"/>
        <v>0.56883635148268885</v>
      </c>
      <c r="AT26" s="108">
        <f t="shared" si="12"/>
        <v>0.68823689544815014</v>
      </c>
      <c r="AU26" s="108">
        <f t="shared" si="12"/>
        <v>0.70156949625978748</v>
      </c>
      <c r="AV26" s="108">
        <f t="shared" si="12"/>
        <v>0.71323678074295471</v>
      </c>
      <c r="AW26" s="108">
        <f t="shared" si="12"/>
        <v>0.75047892320973619</v>
      </c>
      <c r="AX26" s="108">
        <f t="shared" si="12"/>
        <v>0.74631900781718208</v>
      </c>
      <c r="AY26" s="108">
        <f t="shared" si="12"/>
        <v>0.67562697790449044</v>
      </c>
      <c r="AZ26" s="108">
        <f t="shared" si="12"/>
        <v>0.70065536504707027</v>
      </c>
      <c r="BA26" s="108">
        <f t="shared" si="12"/>
        <v>0.74712382093638807</v>
      </c>
      <c r="BB26" s="108">
        <f t="shared" si="12"/>
        <v>0.66809523818695871</v>
      </c>
      <c r="BC26" s="108">
        <f t="shared" si="12"/>
        <v>0.64794624969787706</v>
      </c>
      <c r="BD26" s="108">
        <f t="shared" si="12"/>
        <v>0.64783506784127842</v>
      </c>
      <c r="BE26" s="108">
        <f t="shared" si="12"/>
        <v>0.68208825760377012</v>
      </c>
      <c r="BF26" s="108">
        <f t="shared" si="12"/>
        <v>0.60047397323127882</v>
      </c>
      <c r="BG26" s="108">
        <f t="shared" si="12"/>
        <v>0.55861474702986913</v>
      </c>
      <c r="BH26" s="108">
        <f t="shared" si="12"/>
        <v>0.55179135173959726</v>
      </c>
      <c r="BI26" s="108">
        <f t="shared" si="12"/>
        <v>0.6712703532831884</v>
      </c>
      <c r="BJ26" s="108">
        <f t="shared" si="12"/>
        <v>0.56605109373241125</v>
      </c>
      <c r="BK26" s="108">
        <f t="shared" si="12"/>
        <v>0.48047224948417044</v>
      </c>
      <c r="BL26" s="108">
        <f t="shared" si="12"/>
        <v>0.53150264749405629</v>
      </c>
      <c r="BM26" s="108">
        <f t="shared" si="12"/>
        <v>0.60537833728469181</v>
      </c>
      <c r="BN26" s="108">
        <f t="shared" si="12"/>
        <v>0.55795955197239999</v>
      </c>
      <c r="BO26" s="108">
        <f t="shared" si="12"/>
        <v>0.51210807339592412</v>
      </c>
      <c r="BP26" s="108">
        <f t="shared" si="12"/>
        <v>0.64150308468931538</v>
      </c>
      <c r="BQ26" s="108">
        <f t="shared" si="12"/>
        <v>0.72983973529805346</v>
      </c>
      <c r="BR26" s="108">
        <f t="shared" ref="BR26:CK26" si="13">BR2/BR9</f>
        <v>0.40170044610711403</v>
      </c>
      <c r="BS26" s="108">
        <f t="shared" si="13"/>
        <v>0.82854085187674298</v>
      </c>
      <c r="BT26" s="108">
        <f t="shared" si="13"/>
        <v>0.43399372731641039</v>
      </c>
      <c r="BU26" s="108">
        <f t="shared" si="13"/>
        <v>0.27761178586882623</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2" t="s">
        <v>554</v>
      </c>
      <c r="E27" s="109" t="e">
        <f>(E3-I3)/I3</f>
        <v>#DIV/0!</v>
      </c>
      <c r="F27" s="109" t="e">
        <f t="shared" ref="F27:BQ27" si="14">(F3-J3)/J3</f>
        <v>#DIV/0!</v>
      </c>
      <c r="G27" s="109" t="e">
        <f t="shared" si="14"/>
        <v>#DIV/0!</v>
      </c>
      <c r="H27" s="109" t="e">
        <f t="shared" si="14"/>
        <v>#DIV/0!</v>
      </c>
      <c r="I27" s="109" t="e">
        <f t="shared" si="14"/>
        <v>#DIV/0!</v>
      </c>
      <c r="J27" s="109" t="e">
        <f t="shared" si="14"/>
        <v>#DIV/0!</v>
      </c>
      <c r="K27" s="109" t="e">
        <f t="shared" si="14"/>
        <v>#DIV/0!</v>
      </c>
      <c r="L27" s="109" t="e">
        <f t="shared" si="14"/>
        <v>#DIV/0!</v>
      </c>
      <c r="M27" s="109" t="e">
        <f t="shared" si="14"/>
        <v>#DIV/0!</v>
      </c>
      <c r="N27" s="109">
        <f t="shared" si="14"/>
        <v>-1</v>
      </c>
      <c r="O27" s="109">
        <f t="shared" si="14"/>
        <v>-1</v>
      </c>
      <c r="P27" s="109">
        <f t="shared" si="14"/>
        <v>-1</v>
      </c>
      <c r="Q27" s="109">
        <f t="shared" si="14"/>
        <v>-1</v>
      </c>
      <c r="R27" s="109">
        <f t="shared" si="14"/>
        <v>-0.3125</v>
      </c>
      <c r="S27" s="109">
        <f t="shared" si="14"/>
        <v>0.6875</v>
      </c>
      <c r="T27" s="109">
        <f t="shared" si="14"/>
        <v>0.6875</v>
      </c>
      <c r="U27" s="109">
        <f t="shared" si="14"/>
        <v>0</v>
      </c>
      <c r="V27" s="109">
        <f t="shared" si="14"/>
        <v>0</v>
      </c>
      <c r="W27" s="109">
        <f t="shared" si="14"/>
        <v>0</v>
      </c>
      <c r="X27" s="109">
        <f t="shared" si="14"/>
        <v>0</v>
      </c>
      <c r="Y27" s="109">
        <f t="shared" si="14"/>
        <v>0</v>
      </c>
      <c r="Z27" s="109">
        <f t="shared" si="14"/>
        <v>0</v>
      </c>
      <c r="AA27" s="109">
        <f t="shared" si="14"/>
        <v>0</v>
      </c>
      <c r="AB27" s="109">
        <f t="shared" si="14"/>
        <v>0</v>
      </c>
      <c r="AC27" s="109">
        <f t="shared" si="14"/>
        <v>0</v>
      </c>
      <c r="AD27" s="109">
        <f t="shared" si="14"/>
        <v>0</v>
      </c>
      <c r="AE27" s="109">
        <f t="shared" si="14"/>
        <v>0</v>
      </c>
      <c r="AF27" s="109">
        <f t="shared" si="14"/>
        <v>0</v>
      </c>
      <c r="AG27" s="109">
        <f t="shared" si="14"/>
        <v>0</v>
      </c>
      <c r="AH27" s="109">
        <f t="shared" si="14"/>
        <v>0</v>
      </c>
      <c r="AI27" s="109">
        <f t="shared" si="14"/>
        <v>0</v>
      </c>
      <c r="AJ27" s="109">
        <f t="shared" si="14"/>
        <v>0</v>
      </c>
      <c r="AK27" s="109">
        <f t="shared" si="14"/>
        <v>0</v>
      </c>
      <c r="AL27" s="109">
        <f t="shared" si="14"/>
        <v>0</v>
      </c>
      <c r="AM27" s="109">
        <f t="shared" si="14"/>
        <v>0</v>
      </c>
      <c r="AN27" s="109">
        <f t="shared" si="14"/>
        <v>0</v>
      </c>
      <c r="AO27" s="109">
        <f t="shared" si="14"/>
        <v>0</v>
      </c>
      <c r="AP27" s="109">
        <f t="shared" si="14"/>
        <v>0</v>
      </c>
      <c r="AQ27" s="109">
        <f t="shared" si="14"/>
        <v>0</v>
      </c>
      <c r="AR27" s="109">
        <f t="shared" si="14"/>
        <v>0</v>
      </c>
      <c r="AS27" s="109">
        <f t="shared" si="14"/>
        <v>-0.65176500309477747</v>
      </c>
      <c r="AT27" s="109">
        <f t="shared" si="14"/>
        <v>-0.62851009354467835</v>
      </c>
      <c r="AU27" s="109">
        <f t="shared" si="14"/>
        <v>-0.61492002750587738</v>
      </c>
      <c r="AV27" s="109">
        <f t="shared" si="14"/>
        <v>-0.60949006809890849</v>
      </c>
      <c r="AW27" s="109">
        <f t="shared" si="14"/>
        <v>0.12139772099750992</v>
      </c>
      <c r="AX27" s="109">
        <f t="shared" si="14"/>
        <v>9.4388792614324785E-2</v>
      </c>
      <c r="AY27" s="109">
        <f t="shared" si="14"/>
        <v>5.5766124529504087E-2</v>
      </c>
      <c r="AZ27" s="109">
        <f t="shared" si="14"/>
        <v>6.3943730598984283E-2</v>
      </c>
      <c r="BA27" s="109">
        <f t="shared" si="14"/>
        <v>4.3601713832172907E-2</v>
      </c>
      <c r="BB27" s="109">
        <f t="shared" si="14"/>
        <v>1.4596954900000003</v>
      </c>
      <c r="BC27" s="109">
        <f t="shared" si="14"/>
        <v>1.4596954900000003</v>
      </c>
      <c r="BD27" s="109">
        <f t="shared" si="14"/>
        <v>1.4068512825000001</v>
      </c>
      <c r="BE27" s="109">
        <f t="shared" si="14"/>
        <v>1.4537659325000001</v>
      </c>
      <c r="BF27" s="109">
        <f t="shared" si="14"/>
        <v>0</v>
      </c>
      <c r="BG27" s="109">
        <f t="shared" si="14"/>
        <v>0</v>
      </c>
      <c r="BH27" s="109">
        <f t="shared" si="14"/>
        <v>0</v>
      </c>
      <c r="BI27" s="109">
        <f t="shared" si="14"/>
        <v>0</v>
      </c>
      <c r="BJ27" s="109">
        <f t="shared" si="14"/>
        <v>0</v>
      </c>
      <c r="BK27" s="109">
        <f t="shared" si="14"/>
        <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2" t="s">
        <v>562</v>
      </c>
      <c r="E28" s="109">
        <f>E3/E9</f>
        <v>0</v>
      </c>
      <c r="F28" s="109">
        <f t="shared" ref="F28:BQ28" si="16">F3/F9</f>
        <v>0</v>
      </c>
      <c r="G28" s="109">
        <f t="shared" si="16"/>
        <v>0</v>
      </c>
      <c r="H28" s="109">
        <f t="shared" si="16"/>
        <v>0</v>
      </c>
      <c r="I28" s="109">
        <f t="shared" si="16"/>
        <v>0</v>
      </c>
      <c r="J28" s="109">
        <f t="shared" si="16"/>
        <v>0</v>
      </c>
      <c r="K28" s="109">
        <f t="shared" si="16"/>
        <v>0</v>
      </c>
      <c r="L28" s="109">
        <f t="shared" si="16"/>
        <v>0</v>
      </c>
      <c r="M28" s="109">
        <f t="shared" si="16"/>
        <v>0</v>
      </c>
      <c r="N28" s="109">
        <f t="shared" si="16"/>
        <v>0</v>
      </c>
      <c r="O28" s="109">
        <f t="shared" si="16"/>
        <v>0</v>
      </c>
      <c r="P28" s="109">
        <f t="shared" si="16"/>
        <v>0</v>
      </c>
      <c r="Q28" s="109">
        <f t="shared" si="16"/>
        <v>0</v>
      </c>
      <c r="R28" s="109">
        <f t="shared" si="16"/>
        <v>5.052634034284364E-5</v>
      </c>
      <c r="S28" s="109">
        <f t="shared" si="16"/>
        <v>1.3285340067561077E-4</v>
      </c>
      <c r="T28" s="109">
        <f t="shared" si="16"/>
        <v>1.3362866559579867E-4</v>
      </c>
      <c r="U28" s="109">
        <f t="shared" si="16"/>
        <v>8.5233934179907992E-5</v>
      </c>
      <c r="V28" s="109">
        <f t="shared" si="16"/>
        <v>9.2922310313810403E-5</v>
      </c>
      <c r="W28" s="109">
        <f t="shared" si="16"/>
        <v>1.0144365737230118E-4</v>
      </c>
      <c r="X28" s="109">
        <f t="shared" si="16"/>
        <v>1.0197539172410217E-4</v>
      </c>
      <c r="Y28" s="109">
        <f t="shared" si="16"/>
        <v>1.1282213272365967E-4</v>
      </c>
      <c r="Z28" s="109">
        <f t="shared" si="16"/>
        <v>1.2427279473266916E-4</v>
      </c>
      <c r="AA28" s="109">
        <f t="shared" si="16"/>
        <v>1.2255449965181968E-4</v>
      </c>
      <c r="AB28" s="109">
        <f t="shared" si="16"/>
        <v>1.4018919034922671E-4</v>
      </c>
      <c r="AC28" s="109">
        <f t="shared" si="16"/>
        <v>1.5745936411635101E-4</v>
      </c>
      <c r="AD28" s="109">
        <f t="shared" si="16"/>
        <v>1.7160485368709745E-4</v>
      </c>
      <c r="AE28" s="109">
        <f t="shared" si="16"/>
        <v>1.6796818631915089E-4</v>
      </c>
      <c r="AF28" s="109">
        <f t="shared" si="16"/>
        <v>1.9176130883360667E-4</v>
      </c>
      <c r="AG28" s="109">
        <f t="shared" si="16"/>
        <v>2.1199944536318626E-4</v>
      </c>
      <c r="AH28" s="109">
        <f t="shared" si="16"/>
        <v>2.2294037669163085E-4</v>
      </c>
      <c r="AI28" s="109">
        <f t="shared" si="16"/>
        <v>2.231659912702212E-4</v>
      </c>
      <c r="AJ28" s="109">
        <f t="shared" si="16"/>
        <v>2.5006332553611957E-4</v>
      </c>
      <c r="AK28" s="109">
        <f t="shared" si="16"/>
        <v>2.7047544678851179E-4</v>
      </c>
      <c r="AL28" s="109">
        <f t="shared" si="16"/>
        <v>2.8137943986377215E-4</v>
      </c>
      <c r="AM28" s="109">
        <f t="shared" si="16"/>
        <v>2.8118284742568983E-4</v>
      </c>
      <c r="AN28" s="109">
        <f t="shared" si="16"/>
        <v>3.1297780796737945E-4</v>
      </c>
      <c r="AO28" s="109">
        <f t="shared" si="16"/>
        <v>3.47722728765612E-4</v>
      </c>
      <c r="AP28" s="109">
        <f t="shared" si="16"/>
        <v>3.662201563220632E-4</v>
      </c>
      <c r="AQ28" s="109">
        <f t="shared" si="16"/>
        <v>4.0109011137903907E-4</v>
      </c>
      <c r="AR28" s="109">
        <f t="shared" si="16"/>
        <v>4.288280412744136E-4</v>
      </c>
      <c r="AS28" s="109">
        <f t="shared" si="16"/>
        <v>4.7558677944073164E-4</v>
      </c>
      <c r="AT28" s="109">
        <f t="shared" si="16"/>
        <v>5.7186103869463539E-4</v>
      </c>
      <c r="AU28" s="109">
        <f t="shared" si="16"/>
        <v>5.761792791879448E-4</v>
      </c>
      <c r="AV28" s="109">
        <f t="shared" si="16"/>
        <v>6.0504620949334534E-4</v>
      </c>
      <c r="AW28" s="109">
        <f t="shared" si="16"/>
        <v>1.913144003658595E-3</v>
      </c>
      <c r="AX28" s="109">
        <f t="shared" si="16"/>
        <v>1.9677120639670542E-3</v>
      </c>
      <c r="AY28" s="109">
        <f t="shared" si="16"/>
        <v>2.0525996427949154E-3</v>
      </c>
      <c r="AZ28" s="109">
        <f t="shared" si="16"/>
        <v>1.8051689684415054E-3</v>
      </c>
      <c r="BA28" s="109">
        <f t="shared" si="16"/>
        <v>1.9662957405735338E-3</v>
      </c>
      <c r="BB28" s="109">
        <f t="shared" si="16"/>
        <v>2.0432789893084758E-3</v>
      </c>
      <c r="BC28" s="109">
        <f t="shared" si="16"/>
        <v>2.0797896234142081E-3</v>
      </c>
      <c r="BD28" s="109">
        <f t="shared" si="16"/>
        <v>2.0618593689600471E-3</v>
      </c>
      <c r="BE28" s="109">
        <f t="shared" si="16"/>
        <v>2.3098631556685905E-3</v>
      </c>
      <c r="BF28" s="109">
        <f t="shared" si="16"/>
        <v>9.9281066719353697E-4</v>
      </c>
      <c r="BG28" s="109">
        <f t="shared" si="16"/>
        <v>1.0283823227670822E-3</v>
      </c>
      <c r="BH28" s="109">
        <f t="shared" si="16"/>
        <v>1.0503065118400105E-3</v>
      </c>
      <c r="BI28" s="109">
        <f t="shared" si="16"/>
        <v>1.1474474526548854E-3</v>
      </c>
      <c r="BJ28" s="109">
        <f t="shared" si="16"/>
        <v>1.2115865261150486E-3</v>
      </c>
      <c r="BK28" s="109">
        <f t="shared" si="16"/>
        <v>1.2510267561200016E-3</v>
      </c>
      <c r="BL28" s="109">
        <f t="shared" si="16"/>
        <v>1.2617589992453806E-3</v>
      </c>
      <c r="BM28" s="109">
        <f t="shared" si="16"/>
        <v>1.3601656398328883E-3</v>
      </c>
      <c r="BN28" s="109">
        <f t="shared" si="16"/>
        <v>1.3306731740167404E-3</v>
      </c>
      <c r="BO28" s="109">
        <f t="shared" si="16"/>
        <v>1.3531720844192306E-3</v>
      </c>
      <c r="BP28" s="109">
        <f t="shared" si="16"/>
        <v>0</v>
      </c>
      <c r="BQ28" s="109">
        <f t="shared" si="16"/>
        <v>0</v>
      </c>
      <c r="BR28" s="109">
        <f t="shared" ref="BR28:CK28" si="17">BR3/BR9</f>
        <v>0</v>
      </c>
      <c r="BS28" s="109">
        <f t="shared" si="17"/>
        <v>0</v>
      </c>
      <c r="BT28" s="109">
        <f t="shared" si="17"/>
        <v>0</v>
      </c>
      <c r="BU28" s="109">
        <f t="shared" si="17"/>
        <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1" t="s">
        <v>571</v>
      </c>
      <c r="E29" s="108">
        <f>(E4-I4)/I4</f>
        <v>0.15682259478393284</v>
      </c>
      <c r="F29" s="108">
        <f t="shared" ref="F29:BQ29" si="18">(F4-J4)/J4</f>
        <v>-217.87144132854684</v>
      </c>
      <c r="G29" s="108">
        <f t="shared" si="18"/>
        <v>-1.0328143347457464</v>
      </c>
      <c r="H29" s="108">
        <f t="shared" si="18"/>
        <v>-1.2487008003542299</v>
      </c>
      <c r="I29" s="108">
        <f t="shared" si="18"/>
        <v>-1.2440535098125545</v>
      </c>
      <c r="J29" s="108">
        <f t="shared" si="18"/>
        <v>-0.99896985492380708</v>
      </c>
      <c r="K29" s="108">
        <f t="shared" si="18"/>
        <v>-0.37151094671850698</v>
      </c>
      <c r="L29" s="108">
        <f t="shared" si="18"/>
        <v>-0.24350114663436906</v>
      </c>
      <c r="M29" s="108">
        <f t="shared" si="18"/>
        <v>5.9898251649523213E-2</v>
      </c>
      <c r="N29" s="108">
        <f t="shared" si="18"/>
        <v>0.16286516618011274</v>
      </c>
      <c r="O29" s="108">
        <f t="shared" si="18"/>
        <v>0.31927866302146773</v>
      </c>
      <c r="P29" s="108">
        <f t="shared" si="18"/>
        <v>0.38614148356704192</v>
      </c>
      <c r="Q29" s="108">
        <f t="shared" si="18"/>
        <v>0.64963960100407181</v>
      </c>
      <c r="R29" s="108">
        <f t="shared" si="18"/>
        <v>0.32037914133641981</v>
      </c>
      <c r="S29" s="108">
        <f t="shared" si="18"/>
        <v>9.2856467372620793E-2</v>
      </c>
      <c r="T29" s="108">
        <f t="shared" si="18"/>
        <v>0.3893564429881109</v>
      </c>
      <c r="U29" s="108">
        <f t="shared" si="18"/>
        <v>0.84495910184448575</v>
      </c>
      <c r="V29" s="108">
        <f t="shared" si="18"/>
        <v>0.92283864115337899</v>
      </c>
      <c r="W29" s="108">
        <f t="shared" si="18"/>
        <v>1.8828562855591882</v>
      </c>
      <c r="X29" s="108">
        <f t="shared" si="18"/>
        <v>2.5180029332208833</v>
      </c>
      <c r="Y29" s="108">
        <f t="shared" si="18"/>
        <v>-30.474638031901222</v>
      </c>
      <c r="Z29" s="108">
        <f t="shared" si="18"/>
        <v>-6.5354076965723342</v>
      </c>
      <c r="AA29" s="108">
        <f t="shared" si="18"/>
        <v>3.4018984537879153</v>
      </c>
      <c r="AB29" s="108">
        <f t="shared" si="18"/>
        <v>-5.0301070622263566</v>
      </c>
      <c r="AC29" s="108">
        <f t="shared" si="18"/>
        <v>-1.2274322772388633</v>
      </c>
      <c r="AD29" s="108">
        <f t="shared" si="18"/>
        <v>-1.5355285837295516</v>
      </c>
      <c r="AE29" s="108">
        <f t="shared" si="18"/>
        <v>-0.6693315263522821</v>
      </c>
      <c r="AF29" s="108">
        <f t="shared" si="18"/>
        <v>-1.325690505466957</v>
      </c>
      <c r="AG29" s="108">
        <f t="shared" si="18"/>
        <v>-0.30130465380958299</v>
      </c>
      <c r="AH29" s="108">
        <f t="shared" si="18"/>
        <v>-0.18193669712527691</v>
      </c>
      <c r="AI29" s="108">
        <f t="shared" si="18"/>
        <v>6.8732795545068268E-2</v>
      </c>
      <c r="AJ29" s="108">
        <f t="shared" si="18"/>
        <v>0.29245769418824552</v>
      </c>
      <c r="AK29" s="108">
        <f t="shared" si="18"/>
        <v>-9.7273258204573043</v>
      </c>
      <c r="AL29" s="108">
        <f t="shared" si="18"/>
        <v>2.1142724510903976</v>
      </c>
      <c r="AM29" s="108">
        <f t="shared" si="18"/>
        <v>0.93766473378727622</v>
      </c>
      <c r="AN29" s="108">
        <f t="shared" si="18"/>
        <v>2.2768192208831879</v>
      </c>
      <c r="AO29" s="108">
        <f t="shared" si="18"/>
        <v>-1.2245434328830007</v>
      </c>
      <c r="AP29" s="108">
        <f t="shared" si="18"/>
        <v>-1.9190914879622634</v>
      </c>
      <c r="AQ29" s="108">
        <f t="shared" si="18"/>
        <v>-2.6747698940893905</v>
      </c>
      <c r="AR29" s="108">
        <f t="shared" si="18"/>
        <v>-1.4755347689099152</v>
      </c>
      <c r="AS29" s="108">
        <f t="shared" si="18"/>
        <v>-1.4322778653369077</v>
      </c>
      <c r="AT29" s="108">
        <f t="shared" si="18"/>
        <v>-0.20220254347219477</v>
      </c>
      <c r="AU29" s="108">
        <f t="shared" si="18"/>
        <v>0.32371213780461655</v>
      </c>
      <c r="AV29" s="108">
        <f t="shared" si="18"/>
        <v>1.1331941842105961</v>
      </c>
      <c r="AW29" s="108">
        <f t="shared" si="18"/>
        <v>0.52260863388205403</v>
      </c>
      <c r="AX29" s="108">
        <f t="shared" si="18"/>
        <v>2.462610525839521</v>
      </c>
      <c r="AY29" s="108">
        <f t="shared" si="18"/>
        <v>4.3876724788855546</v>
      </c>
      <c r="AZ29" s="108">
        <f t="shared" si="18"/>
        <v>9.1597061287076915</v>
      </c>
      <c r="BA29" s="108">
        <f t="shared" si="18"/>
        <v>1.8814075166033013</v>
      </c>
      <c r="BB29" s="108">
        <f t="shared" si="18"/>
        <v>-3.0996512063503663</v>
      </c>
      <c r="BC29" s="108">
        <f t="shared" si="18"/>
        <v>-1.3629623041187182</v>
      </c>
      <c r="BD29" s="108">
        <f t="shared" si="18"/>
        <v>-1.1095704895954204</v>
      </c>
      <c r="BE29" s="108">
        <f t="shared" si="18"/>
        <v>3.5994554685359446</v>
      </c>
      <c r="BF29" s="108">
        <f t="shared" si="18"/>
        <v>-0.45227892537564229</v>
      </c>
      <c r="BG29" s="108">
        <f t="shared" si="18"/>
        <v>-0.44029370169730303</v>
      </c>
      <c r="BH29" s="108">
        <f t="shared" si="18"/>
        <v>-0.19504404013449056</v>
      </c>
      <c r="BI29" s="108">
        <f t="shared" si="18"/>
        <v>-1.2462432415576374</v>
      </c>
      <c r="BJ29" s="108">
        <f t="shared" si="18"/>
        <v>-0.43143916414865868</v>
      </c>
      <c r="BK29" s="108">
        <f t="shared" si="18"/>
        <v>-0.18056722739637449</v>
      </c>
      <c r="BL29" s="108">
        <f t="shared" si="18"/>
        <v>6.2033620521914537E-2</v>
      </c>
      <c r="BM29" s="108">
        <f t="shared" si="18"/>
        <v>0.68933975183981788</v>
      </c>
      <c r="BN29" s="108">
        <f t="shared" si="18"/>
        <v>0.53116908447621269</v>
      </c>
      <c r="BO29" s="108">
        <f t="shared" si="18"/>
        <v>-7.7001282076374507</v>
      </c>
      <c r="BP29" s="108">
        <f t="shared" si="18"/>
        <v>5.8055155449977232</v>
      </c>
      <c r="BQ29" s="108">
        <f t="shared" si="18"/>
        <v>0.26053021647317054</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1" t="s">
        <v>555</v>
      </c>
      <c r="E30" s="108">
        <f>(E5-I5)/I5</f>
        <v>5.8968824917012774E-2</v>
      </c>
      <c r="F30" s="108">
        <f t="shared" ref="F30:BQ30" si="20">(F5-J5)/J5</f>
        <v>0.10376366465821688</v>
      </c>
      <c r="G30" s="108">
        <f t="shared" si="20"/>
        <v>-0.10399169221204185</v>
      </c>
      <c r="H30" s="108">
        <f t="shared" si="20"/>
        <v>-7.5092105790455055E-2</v>
      </c>
      <c r="I30" s="108">
        <f t="shared" si="20"/>
        <v>-0.18933267943213244</v>
      </c>
      <c r="J30" s="108">
        <f t="shared" si="20"/>
        <v>-0.19706956833014994</v>
      </c>
      <c r="K30" s="108">
        <f t="shared" si="20"/>
        <v>0.1521105956439438</v>
      </c>
      <c r="L30" s="108">
        <f t="shared" si="20"/>
        <v>0.13184662590667978</v>
      </c>
      <c r="M30" s="108">
        <f t="shared" si="20"/>
        <v>0.421586130846683</v>
      </c>
      <c r="N30" s="108">
        <f t="shared" si="20"/>
        <v>0.38967376932520637</v>
      </c>
      <c r="O30" s="108">
        <f t="shared" si="20"/>
        <v>0.30645411063762057</v>
      </c>
      <c r="P30" s="108">
        <f t="shared" si="20"/>
        <v>0.28820928707395038</v>
      </c>
      <c r="Q30" s="108">
        <f t="shared" si="20"/>
        <v>0.1945668794132886</v>
      </c>
      <c r="R30" s="108">
        <f t="shared" si="20"/>
        <v>9.2396032317282745E-2</v>
      </c>
      <c r="S30" s="108">
        <f t="shared" si="20"/>
        <v>8.2419370632788452E-2</v>
      </c>
      <c r="T30" s="108">
        <f t="shared" si="20"/>
        <v>0.13784794615047188</v>
      </c>
      <c r="U30" s="108">
        <f t="shared" si="20"/>
        <v>0.19135287282852845</v>
      </c>
      <c r="V30" s="108">
        <f t="shared" si="20"/>
        <v>0.39972371261796052</v>
      </c>
      <c r="W30" s="108">
        <f t="shared" si="20"/>
        <v>0.44009557774415758</v>
      </c>
      <c r="X30" s="108">
        <f t="shared" si="20"/>
        <v>0.46197565038897881</v>
      </c>
      <c r="Y30" s="108">
        <f t="shared" si="20"/>
        <v>0.48650500686341713</v>
      </c>
      <c r="Z30" s="108">
        <f t="shared" si="20"/>
        <v>0.47026138512408033</v>
      </c>
      <c r="AA30" s="108">
        <f t="shared" si="20"/>
        <v>0.39482831237662069</v>
      </c>
      <c r="AB30" s="108">
        <f t="shared" si="20"/>
        <v>0.32488788997129964</v>
      </c>
      <c r="AC30" s="108">
        <f t="shared" si="20"/>
        <v>0.2687682271877232</v>
      </c>
      <c r="AD30" s="108">
        <f t="shared" si="20"/>
        <v>0.24369614510996823</v>
      </c>
      <c r="AE30" s="108">
        <f t="shared" si="20"/>
        <v>0.28494648414576057</v>
      </c>
      <c r="AF30" s="108">
        <f t="shared" si="20"/>
        <v>0.23978058993557666</v>
      </c>
      <c r="AG30" s="108">
        <f t="shared" si="20"/>
        <v>0.24678738172720055</v>
      </c>
      <c r="AH30" s="108">
        <f t="shared" si="20"/>
        <v>0.38489804379363768</v>
      </c>
      <c r="AI30" s="108">
        <f t="shared" si="20"/>
        <v>0.4175601513293955</v>
      </c>
      <c r="AJ30" s="108">
        <f t="shared" si="20"/>
        <v>0.4713696181112107</v>
      </c>
      <c r="AK30" s="108">
        <f t="shared" si="20"/>
        <v>0.42619945930470415</v>
      </c>
      <c r="AL30" s="108">
        <f t="shared" si="20"/>
        <v>0.73858447360649937</v>
      </c>
      <c r="AM30" s="108">
        <f t="shared" si="20"/>
        <v>0.64788439863711311</v>
      </c>
      <c r="AN30" s="108">
        <f t="shared" si="20"/>
        <v>0.59542906194543299</v>
      </c>
      <c r="AO30" s="108">
        <f t="shared" si="20"/>
        <v>0.62825144250995846</v>
      </c>
      <c r="AP30" s="108">
        <f t="shared" si="20"/>
        <v>0.20998445031010524</v>
      </c>
      <c r="AQ30" s="108">
        <f t="shared" si="20"/>
        <v>8.9592351674753323E-2</v>
      </c>
      <c r="AR30" s="108">
        <f t="shared" si="20"/>
        <v>0.11319043972227158</v>
      </c>
      <c r="AS30" s="108">
        <f t="shared" si="20"/>
        <v>0.11267264838169251</v>
      </c>
      <c r="AT30" s="108">
        <f t="shared" si="20"/>
        <v>3.612414509360011E-2</v>
      </c>
      <c r="AU30" s="108">
        <f t="shared" si="20"/>
        <v>0.16480730343701128</v>
      </c>
      <c r="AV30" s="108">
        <f t="shared" si="20"/>
        <v>0.18782005263522061</v>
      </c>
      <c r="AW30" s="108">
        <f t="shared" si="20"/>
        <v>7.5178861572451669E-2</v>
      </c>
      <c r="AX30" s="108">
        <f t="shared" si="20"/>
        <v>0.16551000409491087</v>
      </c>
      <c r="AY30" s="108">
        <f t="shared" si="20"/>
        <v>0.12454073060183302</v>
      </c>
      <c r="AZ30" s="108">
        <f t="shared" si="20"/>
        <v>7.9537610127886127E-2</v>
      </c>
      <c r="BA30" s="108">
        <f t="shared" si="20"/>
        <v>0.13510017980625369</v>
      </c>
      <c r="BB30" s="108">
        <f t="shared" si="20"/>
        <v>0.1169075352501066</v>
      </c>
      <c r="BC30" s="108">
        <f t="shared" si="20"/>
        <v>0.28108109613457755</v>
      </c>
      <c r="BD30" s="108">
        <f t="shared" si="20"/>
        <v>0.31089795414911153</v>
      </c>
      <c r="BE30" s="108">
        <f t="shared" si="20"/>
        <v>0.32453067370384353</v>
      </c>
      <c r="BF30" s="108">
        <f t="shared" si="20"/>
        <v>0.22490710538803768</v>
      </c>
      <c r="BG30" s="108">
        <f t="shared" si="20"/>
        <v>0.12928973800393523</v>
      </c>
      <c r="BH30" s="108">
        <f t="shared" si="20"/>
        <v>0.1975795520781447</v>
      </c>
      <c r="BI30" s="108">
        <f t="shared" si="20"/>
        <v>0.17172972666183808</v>
      </c>
      <c r="BJ30" s="108">
        <f t="shared" si="20"/>
        <v>0.23950685969677804</v>
      </c>
      <c r="BK30" s="108">
        <f t="shared" si="20"/>
        <v>0.13605495795016667</v>
      </c>
      <c r="BL30" s="108">
        <f t="shared" si="20"/>
        <v>0.26065383115131735</v>
      </c>
      <c r="BM30" s="108">
        <f t="shared" si="20"/>
        <v>0.37058642427770394</v>
      </c>
      <c r="BN30" s="108">
        <f t="shared" si="20"/>
        <v>0.69314578780004898</v>
      </c>
      <c r="BO30" s="108">
        <f t="shared" si="20"/>
        <v>0.9452723550651374</v>
      </c>
      <c r="BP30" s="108">
        <f t="shared" si="20"/>
        <v>0.80112671796788493</v>
      </c>
      <c r="BQ30" s="108">
        <f t="shared" si="20"/>
        <v>1.2041125056403998</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1" t="s">
        <v>556</v>
      </c>
      <c r="E31" s="108">
        <f>(E6-I6)/I6</f>
        <v>7.176095214763327E-2</v>
      </c>
      <c r="F31" s="108">
        <f t="shared" ref="F31:BQ31" si="22">(F6-J6)/J6</f>
        <v>0.28633173457576649</v>
      </c>
      <c r="G31" s="108">
        <f t="shared" si="22"/>
        <v>0.54698825177785204</v>
      </c>
      <c r="H31" s="108">
        <f t="shared" si="22"/>
        <v>1.0344753410619605</v>
      </c>
      <c r="I31" s="108">
        <f t="shared" si="22"/>
        <v>0.86343153976096143</v>
      </c>
      <c r="J31" s="108">
        <f t="shared" si="22"/>
        <v>1.3071928384597293</v>
      </c>
      <c r="K31" s="108">
        <f t="shared" si="22"/>
        <v>1.768975332369036</v>
      </c>
      <c r="L31" s="108">
        <f t="shared" si="22"/>
        <v>1.1318982970463891</v>
      </c>
      <c r="M31" s="108">
        <f t="shared" si="22"/>
        <v>1.1559262928520666</v>
      </c>
      <c r="N31" s="108">
        <f t="shared" si="22"/>
        <v>1.1914843111929165</v>
      </c>
      <c r="O31" s="108">
        <f t="shared" si="22"/>
        <v>0.26838157637727655</v>
      </c>
      <c r="P31" s="108">
        <f t="shared" si="22"/>
        <v>8.4134363869688714E-2</v>
      </c>
      <c r="Q31" s="108">
        <f t="shared" si="22"/>
        <v>-0.23429442665843941</v>
      </c>
      <c r="R31" s="108">
        <f t="shared" si="22"/>
        <v>-0.32166270306792205</v>
      </c>
      <c r="S31" s="108">
        <f t="shared" si="22"/>
        <v>5.2576551727576304E-2</v>
      </c>
      <c r="T31" s="108">
        <f t="shared" si="22"/>
        <v>-0.17381253156353546</v>
      </c>
      <c r="U31" s="108">
        <f t="shared" si="22"/>
        <v>-0.10683871596459484</v>
      </c>
      <c r="V31" s="108">
        <f t="shared" si="22"/>
        <v>-6.3165049351536828E-2</v>
      </c>
      <c r="W31" s="108">
        <f t="shared" si="22"/>
        <v>-0.4076052836173833</v>
      </c>
      <c r="X31" s="108">
        <f t="shared" si="22"/>
        <v>-0.15208729320052028</v>
      </c>
      <c r="Y31" s="108">
        <f t="shared" si="22"/>
        <v>4.915319228085877E-3</v>
      </c>
      <c r="Z31" s="108">
        <f t="shared" si="22"/>
        <v>-0.30644800392369997</v>
      </c>
      <c r="AA31" s="108">
        <f t="shared" si="22"/>
        <v>-4.6726270129820811E-3</v>
      </c>
      <c r="AB31" s="108">
        <f t="shared" si="22"/>
        <v>-5.1517492320640249E-2</v>
      </c>
      <c r="AC31" s="108">
        <f t="shared" si="22"/>
        <v>0.41339972816277659</v>
      </c>
      <c r="AD31" s="108">
        <f t="shared" si="22"/>
        <v>0.96895456728600016</v>
      </c>
      <c r="AE31" s="108">
        <f t="shared" si="22"/>
        <v>1.0839350117397242</v>
      </c>
      <c r="AF31" s="108">
        <f t="shared" si="22"/>
        <v>0.87238423498630402</v>
      </c>
      <c r="AG31" s="108">
        <f t="shared" si="22"/>
        <v>0.34908819321227796</v>
      </c>
      <c r="AH31" s="108">
        <f t="shared" si="22"/>
        <v>0.93001940212241885</v>
      </c>
      <c r="AI31" s="108">
        <f t="shared" si="22"/>
        <v>0.95062629570110135</v>
      </c>
      <c r="AJ31" s="108">
        <f t="shared" si="22"/>
        <v>0.55855245781144802</v>
      </c>
      <c r="AK31" s="108">
        <f t="shared" si="22"/>
        <v>0.17175255998971384</v>
      </c>
      <c r="AL31" s="108">
        <f t="shared" si="22"/>
        <v>0.22021749859334283</v>
      </c>
      <c r="AM31" s="108">
        <f t="shared" si="22"/>
        <v>0.34133636236918824</v>
      </c>
      <c r="AN31" s="108">
        <f t="shared" si="22"/>
        <v>0.27630343465041096</v>
      </c>
      <c r="AO31" s="108">
        <f t="shared" si="22"/>
        <v>1.0527095017252279</v>
      </c>
      <c r="AP31" s="108">
        <f t="shared" si="22"/>
        <v>-0.35394119189879447</v>
      </c>
      <c r="AQ31" s="108">
        <f t="shared" si="22"/>
        <v>-0.60322208371232799</v>
      </c>
      <c r="AR31" s="108">
        <f t="shared" si="22"/>
        <v>-0.31877577112235894</v>
      </c>
      <c r="AS31" s="108">
        <f t="shared" si="22"/>
        <v>-0.38822611038459248</v>
      </c>
      <c r="AT31" s="108">
        <f t="shared" si="22"/>
        <v>-3.9847404136715503E-2</v>
      </c>
      <c r="AU31" s="108">
        <f t="shared" si="22"/>
        <v>0.20093883943499349</v>
      </c>
      <c r="AV31" s="108">
        <f t="shared" si="22"/>
        <v>0.35055745448597581</v>
      </c>
      <c r="AW31" s="108">
        <f t="shared" si="22"/>
        <v>0.18840204564479984</v>
      </c>
      <c r="AX31" s="108">
        <f t="shared" si="22"/>
        <v>0.47808484948887214</v>
      </c>
      <c r="AY31" s="108">
        <f t="shared" si="22"/>
        <v>0.37125558003673226</v>
      </c>
      <c r="AZ31" s="108">
        <f t="shared" si="22"/>
        <v>0.27582240092329852</v>
      </c>
      <c r="BA31" s="108">
        <f t="shared" si="22"/>
        <v>0.340719771702022</v>
      </c>
      <c r="BB31" s="108">
        <f t="shared" si="22"/>
        <v>0.41105259402661076</v>
      </c>
      <c r="BC31" s="108">
        <f t="shared" si="22"/>
        <v>0.73619029630478272</v>
      </c>
      <c r="BD31" s="108">
        <f t="shared" si="22"/>
        <v>0.82129968941384113</v>
      </c>
      <c r="BE31" s="108">
        <f t="shared" si="22"/>
        <v>0.44573783309646631</v>
      </c>
      <c r="BF31" s="108">
        <f t="shared" si="22"/>
        <v>0.38105234523916132</v>
      </c>
      <c r="BG31" s="108">
        <f t="shared" si="22"/>
        <v>0.57218799710448842</v>
      </c>
      <c r="BH31" s="108">
        <f t="shared" si="22"/>
        <v>0.45207063297337841</v>
      </c>
      <c r="BI31" s="108">
        <f t="shared" si="22"/>
        <v>0.48908903380738938</v>
      </c>
      <c r="BJ31" s="108">
        <f t="shared" si="22"/>
        <v>0.70285741202001084</v>
      </c>
      <c r="BK31" s="108">
        <f t="shared" si="22"/>
        <v>0.62398353372576865</v>
      </c>
      <c r="BL31" s="108">
        <f t="shared" si="22"/>
        <v>0.43455319985446123</v>
      </c>
      <c r="BM31" s="108">
        <f t="shared" si="22"/>
        <v>0.31505179566064501</v>
      </c>
      <c r="BN31" s="108">
        <f t="shared" si="22"/>
        <v>0.82658762624875981</v>
      </c>
      <c r="BO31" s="108">
        <f t="shared" si="22"/>
        <v>-0.34907203763542327</v>
      </c>
      <c r="BP31" s="108">
        <f t="shared" si="22"/>
        <v>9.5695711580941645E-2</v>
      </c>
      <c r="BQ31" s="108">
        <f t="shared" si="22"/>
        <v>1.5346788242541287</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2" t="s">
        <v>558</v>
      </c>
      <c r="E32" s="109">
        <f>(E7-I7)/I7</f>
        <v>-1.6121272947916116E-2</v>
      </c>
      <c r="F32" s="109">
        <f t="shared" ref="F32:BQ32" si="24">(F7-J7)/J7</f>
        <v>6.8746471022837666E-2</v>
      </c>
      <c r="G32" s="109">
        <f t="shared" si="24"/>
        <v>6.260664857758938E-2</v>
      </c>
      <c r="H32" s="109">
        <f t="shared" si="24"/>
        <v>6.5687320826366441E-2</v>
      </c>
      <c r="I32" s="109">
        <f t="shared" si="24"/>
        <v>6.6626346799904881E-2</v>
      </c>
      <c r="J32" s="109">
        <f t="shared" si="24"/>
        <v>6.0991967865100458E-2</v>
      </c>
      <c r="K32" s="109">
        <f t="shared" si="24"/>
        <v>0.12662910286414442</v>
      </c>
      <c r="L32" s="109">
        <f t="shared" si="24"/>
        <v>0.17444711665036286</v>
      </c>
      <c r="M32" s="109">
        <f t="shared" si="24"/>
        <v>0.16702103986390313</v>
      </c>
      <c r="N32" s="109">
        <f t="shared" si="24"/>
        <v>0.21909006108743201</v>
      </c>
      <c r="O32" s="109">
        <f t="shared" si="24"/>
        <v>0.15022634498094356</v>
      </c>
      <c r="P32" s="109">
        <f t="shared" si="24"/>
        <v>0.17540480785750767</v>
      </c>
      <c r="Q32" s="109">
        <f t="shared" si="24"/>
        <v>0.36099357606423155</v>
      </c>
      <c r="R32" s="109">
        <f t="shared" si="24"/>
        <v>0.77225842014641832</v>
      </c>
      <c r="S32" s="109">
        <f t="shared" si="24"/>
        <v>0.85823054173873736</v>
      </c>
      <c r="T32" s="109">
        <f t="shared" si="24"/>
        <v>0.72487224231005021</v>
      </c>
      <c r="U32" s="109">
        <f t="shared" si="24"/>
        <v>0.53433153917060705</v>
      </c>
      <c r="V32" s="109">
        <f t="shared" si="24"/>
        <v>0.28236622356361668</v>
      </c>
      <c r="W32" s="109">
        <f t="shared" si="24"/>
        <v>0.22819320270613633</v>
      </c>
      <c r="X32" s="109">
        <f t="shared" si="24"/>
        <v>0.26276868818273386</v>
      </c>
      <c r="Y32" s="109">
        <f t="shared" si="24"/>
        <v>0.24430393815525206</v>
      </c>
      <c r="Z32" s="109">
        <f t="shared" si="24"/>
        <v>0.2483729588165445</v>
      </c>
      <c r="AA32" s="109">
        <f t="shared" si="24"/>
        <v>0.34279239759609781</v>
      </c>
      <c r="AB32" s="109">
        <f t="shared" si="24"/>
        <v>0.33328525233832529</v>
      </c>
      <c r="AC32" s="109">
        <f t="shared" si="24"/>
        <v>0.34153568661510003</v>
      </c>
      <c r="AD32" s="109">
        <f t="shared" si="24"/>
        <v>0.21987479549574104</v>
      </c>
      <c r="AE32" s="109">
        <f t="shared" si="24"/>
        <v>0.14939482127591894</v>
      </c>
      <c r="AF32" s="109">
        <f t="shared" si="24"/>
        <v>0.26877619898917882</v>
      </c>
      <c r="AG32" s="109">
        <f t="shared" si="24"/>
        <v>0.27396267720824313</v>
      </c>
      <c r="AH32" s="109">
        <f t="shared" si="24"/>
        <v>0.24034708644299274</v>
      </c>
      <c r="AI32" s="109">
        <f t="shared" si="24"/>
        <v>0.25781027253775374</v>
      </c>
      <c r="AJ32" s="109">
        <f t="shared" si="24"/>
        <v>0.14616585177182445</v>
      </c>
      <c r="AK32" s="109">
        <f t="shared" si="24"/>
        <v>0.18244047095928714</v>
      </c>
      <c r="AL32" s="109">
        <f t="shared" si="24"/>
        <v>4.4366426229510994E-2</v>
      </c>
      <c r="AM32" s="109">
        <f t="shared" si="24"/>
        <v>6.9111011745265044E-2</v>
      </c>
      <c r="AN32" s="109">
        <f t="shared" si="24"/>
        <v>0.11383086048864102</v>
      </c>
      <c r="AO32" s="109">
        <f t="shared" si="24"/>
        <v>0.10148385288115552</v>
      </c>
      <c r="AP32" s="109">
        <f t="shared" si="24"/>
        <v>0.22283332067010886</v>
      </c>
      <c r="AQ32" s="109">
        <f t="shared" si="24"/>
        <v>0.20549315836907739</v>
      </c>
      <c r="AR32" s="109">
        <f t="shared" si="24"/>
        <v>0.18544693190823736</v>
      </c>
      <c r="AS32" s="109">
        <f t="shared" si="24"/>
        <v>0.21821424584088359</v>
      </c>
      <c r="AT32" s="109">
        <f t="shared" si="24"/>
        <v>0.23959187161668022</v>
      </c>
      <c r="AU32" s="109">
        <f t="shared" si="24"/>
        <v>0.28315470308908464</v>
      </c>
      <c r="AV32" s="109">
        <f t="shared" si="24"/>
        <v>0.32113651285598288</v>
      </c>
      <c r="AW32" s="109">
        <f t="shared" si="24"/>
        <v>0.2743083942152359</v>
      </c>
      <c r="AX32" s="109">
        <f t="shared" si="24"/>
        <v>0.28731940394877092</v>
      </c>
      <c r="AY32" s="109">
        <f t="shared" si="24"/>
        <v>0.27215830817742998</v>
      </c>
      <c r="AZ32" s="109">
        <f t="shared" si="24"/>
        <v>0.2563659370734544</v>
      </c>
      <c r="BA32" s="109">
        <f t="shared" si="24"/>
        <v>0.27440542291943965</v>
      </c>
      <c r="BB32" s="109">
        <f t="shared" si="24"/>
        <v>0.29840792872208322</v>
      </c>
      <c r="BC32" s="109">
        <f t="shared" si="24"/>
        <v>0.26974891043380184</v>
      </c>
      <c r="BD32" s="109">
        <f t="shared" si="24"/>
        <v>0.26159919321901398</v>
      </c>
      <c r="BE32" s="109">
        <f t="shared" si="24"/>
        <v>0.33005976471214349</v>
      </c>
      <c r="BF32" s="109">
        <f t="shared" si="24"/>
        <v>0.2561812337689045</v>
      </c>
      <c r="BG32" s="109">
        <f t="shared" si="24"/>
        <v>0.28088076105838805</v>
      </c>
      <c r="BH32" s="109">
        <f t="shared" si="24"/>
        <v>0.30767249436181243</v>
      </c>
      <c r="BI32" s="109">
        <f t="shared" si="24"/>
        <v>0.27861746364850781</v>
      </c>
      <c r="BJ32" s="109">
        <f t="shared" si="24"/>
        <v>0.35800548578549091</v>
      </c>
      <c r="BK32" s="109">
        <f t="shared" si="24"/>
        <v>0.46200592070034541</v>
      </c>
      <c r="BL32" s="109">
        <f t="shared" si="24"/>
        <v>0.66192985313974684</v>
      </c>
      <c r="BM32" s="109">
        <f t="shared" si="24"/>
        <v>0.57659029594509359</v>
      </c>
      <c r="BN32" s="109">
        <f t="shared" si="24"/>
        <v>3.3948075280726036</v>
      </c>
      <c r="BO32" s="109">
        <f t="shared" si="24"/>
        <v>2.7449603183026228</v>
      </c>
      <c r="BP32" s="109">
        <f t="shared" si="24"/>
        <v>2.145017869419334</v>
      </c>
      <c r="BQ32" s="109">
        <f t="shared" si="24"/>
        <v>1.6860674302713854</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2" t="s">
        <v>565</v>
      </c>
      <c r="E33" s="109">
        <f>E7/E9</f>
        <v>0.20936710582357251</v>
      </c>
      <c r="F33" s="109">
        <f t="shared" ref="F33:BQ33" si="26">F7/F9</f>
        <v>0.22848976950721087</v>
      </c>
      <c r="G33" s="109">
        <f t="shared" si="26"/>
        <v>0.23575476025982256</v>
      </c>
      <c r="H33" s="109">
        <f t="shared" si="26"/>
        <v>0.24524784136626354</v>
      </c>
      <c r="I33" s="109">
        <f t="shared" si="26"/>
        <v>0.26255412554731222</v>
      </c>
      <c r="J33" s="109">
        <f t="shared" si="26"/>
        <v>0.25594032950680584</v>
      </c>
      <c r="K33" s="109">
        <f t="shared" si="26"/>
        <v>0.26721390300673104</v>
      </c>
      <c r="L33" s="109">
        <f t="shared" si="26"/>
        <v>0.27612924179490894</v>
      </c>
      <c r="M33" s="109">
        <f t="shared" si="26"/>
        <v>0.29418086814541528</v>
      </c>
      <c r="N33" s="109">
        <f t="shared" si="26"/>
        <v>0.29591805097340601</v>
      </c>
      <c r="O33" s="109">
        <f t="shared" si="26"/>
        <v>0.28449003520575616</v>
      </c>
      <c r="P33" s="109">
        <f t="shared" si="26"/>
        <v>0.29035366685244335</v>
      </c>
      <c r="Q33" s="109">
        <f t="shared" si="26"/>
        <v>0.30680165352337913</v>
      </c>
      <c r="R33" s="109">
        <f t="shared" si="26"/>
        <v>0.30461311288861936</v>
      </c>
      <c r="S33" s="109">
        <f t="shared" si="26"/>
        <v>0.32491069657001698</v>
      </c>
      <c r="T33" s="109">
        <f t="shared" si="26"/>
        <v>0.30705416523040263</v>
      </c>
      <c r="U33" s="109">
        <f t="shared" si="26"/>
        <v>0.28506573972392824</v>
      </c>
      <c r="V33" s="109">
        <f t="shared" si="26"/>
        <v>0.21731835291973639</v>
      </c>
      <c r="W33" s="109">
        <f t="shared" si="26"/>
        <v>0.22529959956703083</v>
      </c>
      <c r="X33" s="109">
        <f t="shared" si="26"/>
        <v>0.22924379633966338</v>
      </c>
      <c r="Y33" s="109">
        <f t="shared" si="26"/>
        <v>0.245927776512812</v>
      </c>
      <c r="Z33" s="109">
        <f t="shared" si="26"/>
        <v>0.22664200333997256</v>
      </c>
      <c r="AA33" s="109">
        <f t="shared" si="26"/>
        <v>0.22161445948971034</v>
      </c>
      <c r="AB33" s="109">
        <f t="shared" si="26"/>
        <v>0.24957031812555991</v>
      </c>
      <c r="AC33" s="109">
        <f t="shared" si="26"/>
        <v>0.27583876248756206</v>
      </c>
      <c r="AD33" s="109">
        <f t="shared" si="26"/>
        <v>0.25069723827803531</v>
      </c>
      <c r="AE33" s="109">
        <f t="shared" si="26"/>
        <v>0.22619707822128662</v>
      </c>
      <c r="AF33" s="109">
        <f t="shared" si="26"/>
        <v>0.25604500917023071</v>
      </c>
      <c r="AG33" s="109">
        <f t="shared" si="26"/>
        <v>0.2768339166982004</v>
      </c>
      <c r="AH33" s="109">
        <f t="shared" si="26"/>
        <v>0.26698905292955671</v>
      </c>
      <c r="AI33" s="109">
        <f t="shared" si="26"/>
        <v>0.2614681139860246</v>
      </c>
      <c r="AJ33" s="109">
        <f t="shared" si="26"/>
        <v>0.26316026139419602</v>
      </c>
      <c r="AK33" s="109">
        <f t="shared" si="26"/>
        <v>0.27723988789160919</v>
      </c>
      <c r="AL33" s="109">
        <f t="shared" si="26"/>
        <v>0.27167761383367722</v>
      </c>
      <c r="AM33" s="109">
        <f t="shared" si="26"/>
        <v>0.26191743516260468</v>
      </c>
      <c r="AN33" s="109">
        <f t="shared" si="26"/>
        <v>0.28736666375190123</v>
      </c>
      <c r="AO33" s="109">
        <f t="shared" si="26"/>
        <v>0.30142665982430439</v>
      </c>
      <c r="AP33" s="109">
        <f t="shared" si="26"/>
        <v>0.33857184110171018</v>
      </c>
      <c r="AQ33" s="109">
        <f t="shared" si="26"/>
        <v>0.34945779863120735</v>
      </c>
      <c r="AR33" s="109">
        <f t="shared" si="26"/>
        <v>0.35349784553305214</v>
      </c>
      <c r="AS33" s="109">
        <f t="shared" si="26"/>
        <v>0.37428310213539023</v>
      </c>
      <c r="AT33" s="109">
        <f t="shared" si="26"/>
        <v>0.43234638899166739</v>
      </c>
      <c r="AU33" s="109">
        <f t="shared" si="26"/>
        <v>0.41643350850277716</v>
      </c>
      <c r="AV33" s="109">
        <f t="shared" si="26"/>
        <v>0.42073633780661363</v>
      </c>
      <c r="AW33" s="109">
        <f t="shared" si="26"/>
        <v>0.43039463458296701</v>
      </c>
      <c r="AX33" s="109">
        <f t="shared" si="26"/>
        <v>0.44583193524911646</v>
      </c>
      <c r="AY33" s="109">
        <f t="shared" si="26"/>
        <v>0.44520926439292269</v>
      </c>
      <c r="AZ33" s="109">
        <f t="shared" si="26"/>
        <v>0.37104255806774333</v>
      </c>
      <c r="BA33" s="109">
        <f t="shared" si="26"/>
        <v>0.38927198655960538</v>
      </c>
      <c r="BB33" s="109">
        <f t="shared" si="26"/>
        <v>0.39357057062310941</v>
      </c>
      <c r="BC33" s="109">
        <f t="shared" si="26"/>
        <v>0.37437420337261529</v>
      </c>
      <c r="BD33" s="109">
        <f t="shared" si="26"/>
        <v>0.35889500445865635</v>
      </c>
      <c r="BE33" s="109">
        <f t="shared" si="26"/>
        <v>0.37447060928994291</v>
      </c>
      <c r="BF33" s="109">
        <f t="shared" si="26"/>
        <v>0.36226933005616641</v>
      </c>
      <c r="BG33" s="109">
        <f t="shared" si="26"/>
        <v>0.35859531173930281</v>
      </c>
      <c r="BH33" s="109">
        <f t="shared" si="26"/>
        <v>0.34878057130188894</v>
      </c>
      <c r="BI33" s="109">
        <f t="shared" si="26"/>
        <v>0.34318339680142113</v>
      </c>
      <c r="BJ33" s="109">
        <f t="shared" si="26"/>
        <v>0.35193889571108705</v>
      </c>
      <c r="BK33" s="109">
        <f t="shared" si="26"/>
        <v>0.34057118476677345</v>
      </c>
      <c r="BL33" s="109">
        <f t="shared" si="26"/>
        <v>0.32041559732142766</v>
      </c>
      <c r="BM33" s="109">
        <f t="shared" si="26"/>
        <v>0.31815930563887768</v>
      </c>
      <c r="BN33" s="109">
        <f t="shared" si="26"/>
        <v>0.28463133479008412</v>
      </c>
      <c r="BO33" s="109">
        <f t="shared" si="26"/>
        <v>0.25196789070989223</v>
      </c>
      <c r="BP33" s="109">
        <f t="shared" si="26"/>
        <v>0.20878722627103344</v>
      </c>
      <c r="BQ33" s="109">
        <f t="shared" si="26"/>
        <v>0.22138882992779443</v>
      </c>
      <c r="BR33" s="109">
        <f t="shared" ref="BR33:CK33" si="27">BR7/BR9</f>
        <v>0.23244871209490289</v>
      </c>
      <c r="BS33" s="109">
        <f t="shared" si="27"/>
        <v>0.3574649035895055</v>
      </c>
      <c r="BT33" s="109">
        <f t="shared" si="27"/>
        <v>0.42513195624063627</v>
      </c>
      <c r="BU33" s="109">
        <f t="shared" si="27"/>
        <v>0.49161022516127267</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1" t="s">
        <v>559</v>
      </c>
      <c r="E34" s="108">
        <f>(E10-I10)/I10</f>
        <v>-0.3209546633761699</v>
      </c>
      <c r="F34" s="108">
        <f t="shared" ref="F34:BQ34" si="28">(F10-J10)/J10</f>
        <v>0.14541775965906956</v>
      </c>
      <c r="G34" s="108">
        <f t="shared" si="28"/>
        <v>-0.16061598532470048</v>
      </c>
      <c r="H34" s="108">
        <f t="shared" si="28"/>
        <v>-2.0329325658317948E-2</v>
      </c>
      <c r="I34" s="108">
        <f t="shared" si="28"/>
        <v>0.25802008434507878</v>
      </c>
      <c r="J34" s="108">
        <f t="shared" si="28"/>
        <v>0.36437591596152324</v>
      </c>
      <c r="K34" s="108">
        <f t="shared" si="28"/>
        <v>0.41601274379814601</v>
      </c>
      <c r="L34" s="108">
        <f t="shared" si="28"/>
        <v>0.70335229946200584</v>
      </c>
      <c r="M34" s="108">
        <f t="shared" si="28"/>
        <v>-0.64822557950761805</v>
      </c>
      <c r="N34" s="108">
        <f t="shared" si="28"/>
        <v>1.118244074925594</v>
      </c>
      <c r="O34" s="108">
        <f t="shared" si="28"/>
        <v>-1.6635950452603923E-2</v>
      </c>
      <c r="P34" s="108">
        <f t="shared" si="28"/>
        <v>-2.3610901486024769E-2</v>
      </c>
      <c r="Q34" s="108">
        <f t="shared" si="28"/>
        <v>1.8453840951149139</v>
      </c>
      <c r="R34" s="108">
        <f t="shared" si="28"/>
        <v>-0.44696174027534685</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f t="shared" si="28"/>
        <v>-1</v>
      </c>
      <c r="BO34" s="108">
        <f t="shared" si="28"/>
        <v>-1</v>
      </c>
      <c r="BP34" s="108">
        <f t="shared" si="28"/>
        <v>-1</v>
      </c>
      <c r="BQ34" s="108">
        <f t="shared" si="28"/>
        <v>-1</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1" t="s">
        <v>563</v>
      </c>
      <c r="E35" s="108">
        <f>E10/E12</f>
        <v>1</v>
      </c>
      <c r="F35" s="108">
        <f t="shared" ref="F35:BQ35" si="30">F10/F12</f>
        <v>1</v>
      </c>
      <c r="G35" s="108">
        <f t="shared" si="30"/>
        <v>1</v>
      </c>
      <c r="H35" s="108">
        <f t="shared" si="30"/>
        <v>1</v>
      </c>
      <c r="I35" s="108">
        <f t="shared" si="30"/>
        <v>1</v>
      </c>
      <c r="J35" s="108">
        <f t="shared" si="30"/>
        <v>1</v>
      </c>
      <c r="K35" s="108">
        <f t="shared" si="30"/>
        <v>1</v>
      </c>
      <c r="L35" s="108">
        <f t="shared" si="30"/>
        <v>1</v>
      </c>
      <c r="M35" s="108">
        <f t="shared" si="30"/>
        <v>1</v>
      </c>
      <c r="N35" s="108">
        <f t="shared" si="30"/>
        <v>1</v>
      </c>
      <c r="O35" s="108">
        <f t="shared" si="30"/>
        <v>1</v>
      </c>
      <c r="P35" s="108">
        <f t="shared" si="30"/>
        <v>1</v>
      </c>
      <c r="Q35" s="108">
        <f t="shared" si="30"/>
        <v>1</v>
      </c>
      <c r="R35" s="108">
        <f t="shared" si="30"/>
        <v>1</v>
      </c>
      <c r="S35" s="108">
        <f t="shared" si="30"/>
        <v>1</v>
      </c>
      <c r="T35" s="108">
        <f t="shared" si="30"/>
        <v>1</v>
      </c>
      <c r="U35" s="108">
        <f t="shared" si="30"/>
        <v>1</v>
      </c>
      <c r="V35" s="108">
        <f t="shared" si="30"/>
        <v>1</v>
      </c>
      <c r="W35" s="108" t="e">
        <f t="shared" si="30"/>
        <v>#DIV/0!</v>
      </c>
      <c r="X35" s="108" t="e">
        <f t="shared" si="30"/>
        <v>#DIV/0!</v>
      </c>
      <c r="Y35" s="108" t="e">
        <f t="shared" si="30"/>
        <v>#DIV/0!</v>
      </c>
      <c r="Z35" s="108" t="e">
        <f t="shared" si="30"/>
        <v>#DIV/0!</v>
      </c>
      <c r="AA35" s="108" t="e">
        <f t="shared" si="30"/>
        <v>#DIV/0!</v>
      </c>
      <c r="AB35" s="108" t="e">
        <f t="shared" si="30"/>
        <v>#DIV/0!</v>
      </c>
      <c r="AC35" s="108" t="e">
        <f t="shared" si="30"/>
        <v>#DIV/0!</v>
      </c>
      <c r="AD35" s="108" t="e">
        <f t="shared" si="30"/>
        <v>#DIV/0!</v>
      </c>
      <c r="AE35" s="108" t="e">
        <f t="shared" si="30"/>
        <v>#DIV/0!</v>
      </c>
      <c r="AF35" s="108" t="e">
        <f t="shared" si="30"/>
        <v>#DIV/0!</v>
      </c>
      <c r="AG35" s="108" t="e">
        <f t="shared" si="30"/>
        <v>#DIV/0!</v>
      </c>
      <c r="AH35" s="108" t="e">
        <f t="shared" si="30"/>
        <v>#DIV/0!</v>
      </c>
      <c r="AI35" s="108" t="e">
        <f t="shared" si="30"/>
        <v>#DIV/0!</v>
      </c>
      <c r="AJ35" s="108" t="e">
        <f t="shared" si="30"/>
        <v>#DIV/0!</v>
      </c>
      <c r="AK35" s="108" t="e">
        <f t="shared" si="30"/>
        <v>#DIV/0!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f t="shared" si="30"/>
        <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f t="shared" ref="BR35:CK35" si="31">BR10/BR12</f>
        <v>1</v>
      </c>
      <c r="BS35" s="108">
        <f t="shared" si="31"/>
        <v>1</v>
      </c>
      <c r="BT35" s="108">
        <f t="shared" si="31"/>
        <v>1</v>
      </c>
      <c r="BU35" s="108">
        <f t="shared" si="31"/>
        <v>0.70891203703703709</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1" t="s">
        <v>560</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t="e">
        <f t="shared" si="32"/>
        <v>#DIV/0!</v>
      </c>
      <c r="O36" s="108" t="e">
        <f t="shared" si="32"/>
        <v>#DIV/0!</v>
      </c>
      <c r="P36" s="108" t="e">
        <f t="shared" si="32"/>
        <v>#DIV/0!</v>
      </c>
      <c r="Q36" s="108" t="e">
        <f t="shared" si="32"/>
        <v>#DIV/0!</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f t="shared" si="32"/>
        <v>-1</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f t="shared" si="32"/>
        <v>-1</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1" t="s">
        <v>564</v>
      </c>
      <c r="B37" s="108"/>
      <c r="C37" s="108"/>
      <c r="D37" s="108"/>
      <c r="E37" s="108">
        <f>E11/E12</f>
        <v>0</v>
      </c>
      <c r="F37" s="108">
        <f t="shared" ref="F37:BQ37" si="34">F11/F12</f>
        <v>0</v>
      </c>
      <c r="G37" s="108">
        <f t="shared" si="34"/>
        <v>0</v>
      </c>
      <c r="H37" s="108">
        <f t="shared" si="34"/>
        <v>0</v>
      </c>
      <c r="I37" s="108">
        <f t="shared" si="34"/>
        <v>0</v>
      </c>
      <c r="J37" s="108">
        <f t="shared" si="34"/>
        <v>0</v>
      </c>
      <c r="K37" s="108">
        <f t="shared" si="34"/>
        <v>0</v>
      </c>
      <c r="L37" s="108">
        <f t="shared" si="34"/>
        <v>0</v>
      </c>
      <c r="M37" s="108">
        <f t="shared" si="34"/>
        <v>0</v>
      </c>
      <c r="N37" s="108">
        <f t="shared" si="34"/>
        <v>0</v>
      </c>
      <c r="O37" s="110">
        <f t="shared" si="34"/>
        <v>0</v>
      </c>
      <c r="P37" s="110">
        <f t="shared" si="34"/>
        <v>0</v>
      </c>
      <c r="Q37" s="110">
        <f t="shared" si="34"/>
        <v>0</v>
      </c>
      <c r="R37" s="110">
        <f t="shared" si="34"/>
        <v>0</v>
      </c>
      <c r="S37" s="110">
        <f t="shared" si="34"/>
        <v>0</v>
      </c>
      <c r="T37" s="110">
        <f t="shared" si="34"/>
        <v>0</v>
      </c>
      <c r="U37" s="110">
        <f t="shared" si="34"/>
        <v>0</v>
      </c>
      <c r="V37" s="110">
        <f t="shared" si="34"/>
        <v>0</v>
      </c>
      <c r="W37" s="110" t="e">
        <f t="shared" si="34"/>
        <v>#DIV/0!</v>
      </c>
      <c r="X37" s="110" t="e">
        <f t="shared" si="34"/>
        <v>#DIV/0!</v>
      </c>
      <c r="Y37" s="110" t="e">
        <f t="shared" si="34"/>
        <v>#DIV/0!</v>
      </c>
      <c r="Z37" s="110" t="e">
        <f t="shared" si="34"/>
        <v>#DIV/0!</v>
      </c>
      <c r="AA37" s="110" t="e">
        <f t="shared" si="34"/>
        <v>#DIV/0!</v>
      </c>
      <c r="AB37" s="110" t="e">
        <f t="shared" si="34"/>
        <v>#DIV/0!</v>
      </c>
      <c r="AC37" s="110" t="e">
        <f t="shared" si="34"/>
        <v>#DIV/0!</v>
      </c>
      <c r="AD37" s="110" t="e">
        <f t="shared" si="34"/>
        <v>#DIV/0!</v>
      </c>
      <c r="AE37" s="110" t="e">
        <f t="shared" si="34"/>
        <v>#DIV/0!</v>
      </c>
      <c r="AF37" s="110" t="e">
        <f t="shared" si="34"/>
        <v>#DIV/0!</v>
      </c>
      <c r="AG37" s="110" t="e">
        <f t="shared" si="34"/>
        <v>#DIV/0!</v>
      </c>
      <c r="AH37" s="110" t="e">
        <f t="shared" si="34"/>
        <v>#DIV/0!</v>
      </c>
      <c r="AI37" s="110" t="e">
        <f t="shared" si="34"/>
        <v>#DIV/0!</v>
      </c>
      <c r="AJ37" s="110" t="e">
        <f t="shared" si="34"/>
        <v>#DIV/0!</v>
      </c>
      <c r="AK37" s="110" t="e">
        <f t="shared" si="34"/>
        <v>#DIV/0!</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f t="shared" si="34"/>
        <v>1</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f t="shared" ref="BR37:CK37" si="35">BR11/BR12</f>
        <v>0</v>
      </c>
      <c r="BS37" s="110">
        <f t="shared" si="35"/>
        <v>0</v>
      </c>
      <c r="BT37" s="110">
        <f t="shared" si="35"/>
        <v>0</v>
      </c>
      <c r="BU37" s="110">
        <f t="shared" si="35"/>
        <v>0.29108796296296297</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7" customFormat="1" x14ac:dyDescent="0.25">
      <c r="A38" s="184" t="s">
        <v>634</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551</v>
      </c>
      <c r="B39" s="221"/>
      <c r="C39" s="221"/>
      <c r="D39" s="221"/>
      <c r="E39" s="222">
        <f>E2/E9</f>
        <v>0.82786663156981499</v>
      </c>
      <c r="F39" s="222">
        <f t="shared" ref="F39:U39" si="37">F2/F9</f>
        <v>0.81019127764738008</v>
      </c>
      <c r="G39" s="222">
        <f t="shared" si="37"/>
        <v>0.76793976873424874</v>
      </c>
      <c r="H39" s="222">
        <f t="shared" si="37"/>
        <v>0.78697449680331422</v>
      </c>
      <c r="I39" s="222">
        <f t="shared" si="37"/>
        <v>0.77715788146835807</v>
      </c>
      <c r="J39" s="222">
        <f t="shared" si="37"/>
        <v>0.74384614854877507</v>
      </c>
      <c r="K39" s="222">
        <f t="shared" si="37"/>
        <v>0.5971839443421596</v>
      </c>
      <c r="L39" s="222">
        <f t="shared" si="37"/>
        <v>0.56841139873875746</v>
      </c>
      <c r="M39" s="222">
        <f t="shared" si="37"/>
        <v>0.51135269168161079</v>
      </c>
      <c r="N39" s="222">
        <f t="shared" si="37"/>
        <v>0.44981556091316499</v>
      </c>
      <c r="O39" s="222">
        <f t="shared" si="37"/>
        <v>0.45671379746684215</v>
      </c>
      <c r="P39" s="222">
        <f t="shared" si="37"/>
        <v>0.45586657418593551</v>
      </c>
      <c r="Q39" s="222">
        <f t="shared" si="37"/>
        <v>0.46989129098197713</v>
      </c>
      <c r="R39" s="222">
        <f t="shared" si="37"/>
        <v>0.42094368169833801</v>
      </c>
      <c r="S39" s="222">
        <f t="shared" si="37"/>
        <v>0.41726407839311597</v>
      </c>
      <c r="T39" s="222">
        <f t="shared" si="37"/>
        <v>0.46523720143765168</v>
      </c>
      <c r="U39" s="222">
        <f t="shared" si="37"/>
        <v>0.54366754667090933</v>
      </c>
    </row>
    <row r="40" spans="1:89" s="223" customFormat="1" x14ac:dyDescent="0.25">
      <c r="A40" s="220" t="s">
        <v>552</v>
      </c>
      <c r="B40" s="221"/>
      <c r="C40" s="221"/>
      <c r="D40" s="221"/>
      <c r="E40" s="222">
        <f>E3/E9</f>
        <v>0</v>
      </c>
      <c r="F40" s="222">
        <f t="shared" ref="F40:U40" si="38">F3/F9</f>
        <v>0</v>
      </c>
      <c r="G40" s="222">
        <f t="shared" si="38"/>
        <v>0</v>
      </c>
      <c r="H40" s="222">
        <f t="shared" si="38"/>
        <v>0</v>
      </c>
      <c r="I40" s="222">
        <f t="shared" si="38"/>
        <v>0</v>
      </c>
      <c r="J40" s="222">
        <f t="shared" si="38"/>
        <v>0</v>
      </c>
      <c r="K40" s="222">
        <f t="shared" si="38"/>
        <v>0</v>
      </c>
      <c r="L40" s="222">
        <f t="shared" si="38"/>
        <v>0</v>
      </c>
      <c r="M40" s="222">
        <f t="shared" si="38"/>
        <v>0</v>
      </c>
      <c r="N40" s="222">
        <f t="shared" si="38"/>
        <v>0</v>
      </c>
      <c r="O40" s="222">
        <f t="shared" si="38"/>
        <v>0</v>
      </c>
      <c r="P40" s="222">
        <f t="shared" si="38"/>
        <v>0</v>
      </c>
      <c r="Q40" s="222">
        <f t="shared" si="38"/>
        <v>0</v>
      </c>
      <c r="R40" s="222">
        <f t="shared" si="38"/>
        <v>5.052634034284364E-5</v>
      </c>
      <c r="S40" s="222">
        <f t="shared" si="38"/>
        <v>1.3285340067561077E-4</v>
      </c>
      <c r="T40" s="222">
        <f t="shared" si="38"/>
        <v>1.3362866559579867E-4</v>
      </c>
      <c r="U40" s="222">
        <f t="shared" si="38"/>
        <v>8.5233934179907992E-5</v>
      </c>
    </row>
    <row r="41" spans="1:89" x14ac:dyDescent="0.25">
      <c r="A41" s="182" t="s">
        <v>557</v>
      </c>
      <c r="B41" s="64"/>
      <c r="C41" s="64"/>
      <c r="D41" s="64"/>
      <c r="E41" s="90">
        <f>E4/E9</f>
        <v>-3.7233737393387513E-2</v>
      </c>
      <c r="F41" s="90">
        <f t="shared" ref="F41:U41" si="39">F4/F9</f>
        <v>-3.8681047154590899E-2</v>
      </c>
      <c r="G41" s="90">
        <f t="shared" si="39"/>
        <v>-3.694528994071257E-3</v>
      </c>
      <c r="H41" s="90">
        <f t="shared" si="39"/>
        <v>-3.2222338169577737E-2</v>
      </c>
      <c r="I41" s="90">
        <f t="shared" si="39"/>
        <v>-3.971200701567023E-2</v>
      </c>
      <c r="J41" s="90">
        <f t="shared" si="39"/>
        <v>2.1352194441910045E-4</v>
      </c>
      <c r="K41" s="90">
        <f t="shared" si="39"/>
        <v>0.13560215265110925</v>
      </c>
      <c r="L41" s="90">
        <f t="shared" si="39"/>
        <v>0.15545935946633363</v>
      </c>
      <c r="M41" s="90">
        <f t="shared" si="39"/>
        <v>0.19446644017297385</v>
      </c>
      <c r="N41" s="212">
        <f t="shared" si="39"/>
        <v>0.25426638811342894</v>
      </c>
      <c r="O41" s="212">
        <f t="shared" si="39"/>
        <v>0.25879616732740168</v>
      </c>
      <c r="P41" s="212">
        <f t="shared" si="39"/>
        <v>0.25377975896162119</v>
      </c>
      <c r="Q41" s="212">
        <f t="shared" si="39"/>
        <v>0.22330705549464377</v>
      </c>
      <c r="R41" s="212">
        <f t="shared" si="39"/>
        <v>0.27439267907269982</v>
      </c>
      <c r="S41" s="212">
        <f t="shared" si="39"/>
        <v>0.25769237163619146</v>
      </c>
      <c r="T41" s="212">
        <f t="shared" si="39"/>
        <v>0.22757500466634986</v>
      </c>
      <c r="U41" s="212">
        <f t="shared" si="39"/>
        <v>0.17118147967098249</v>
      </c>
    </row>
    <row r="42" spans="1:89" x14ac:dyDescent="0.25">
      <c r="A42" s="182" t="s">
        <v>334</v>
      </c>
      <c r="B42" s="64"/>
      <c r="C42" s="64"/>
      <c r="D42" s="64"/>
      <c r="E42" s="90">
        <f>E5/E9</f>
        <v>0.22664390210892557</v>
      </c>
      <c r="F42" s="90">
        <f t="shared" ref="F42:U42" si="40">F5/F9</f>
        <v>0.23524360027275465</v>
      </c>
      <c r="G42" s="90">
        <f t="shared" si="40"/>
        <v>0.24481764922092328</v>
      </c>
      <c r="H42" s="90">
        <f t="shared" si="40"/>
        <v>0.24658352995114213</v>
      </c>
      <c r="I42" s="90">
        <f t="shared" si="40"/>
        <v>0.26406620949261078</v>
      </c>
      <c r="J42" s="90">
        <f t="shared" si="40"/>
        <v>0.25514577612402684</v>
      </c>
      <c r="K42" s="90">
        <f t="shared" si="40"/>
        <v>0.32908023276937692</v>
      </c>
      <c r="L42" s="90">
        <f t="shared" si="40"/>
        <v>0.31989141489348966</v>
      </c>
      <c r="M42" s="90">
        <f t="shared" si="40"/>
        <v>0.38929430525521558</v>
      </c>
      <c r="N42" s="212">
        <f t="shared" si="40"/>
        <v>0.38981208052650385</v>
      </c>
      <c r="O42" s="212">
        <f t="shared" si="40"/>
        <v>0.34260728969001725</v>
      </c>
      <c r="P42" s="212">
        <f t="shared" si="40"/>
        <v>0.34903050448929041</v>
      </c>
      <c r="Q42" s="212">
        <f t="shared" si="40"/>
        <v>0.3332934888813936</v>
      </c>
      <c r="R42" s="212">
        <f t="shared" si="40"/>
        <v>0.35201029196757622</v>
      </c>
      <c r="S42" s="212">
        <f t="shared" si="40"/>
        <v>0.34449482340805609</v>
      </c>
      <c r="T42" s="212">
        <f t="shared" si="40"/>
        <v>0.33678450343261368</v>
      </c>
      <c r="U42" s="212">
        <f t="shared" si="40"/>
        <v>0.35282533687357742</v>
      </c>
    </row>
    <row r="43" spans="1:89" x14ac:dyDescent="0.25">
      <c r="A43" s="182" t="s">
        <v>335</v>
      </c>
      <c r="B43" s="64"/>
      <c r="C43" s="64"/>
      <c r="D43" s="64"/>
      <c r="E43" s="90">
        <f>E6/E9</f>
        <v>0.26387763950231308</v>
      </c>
      <c r="F43" s="90">
        <f t="shared" ref="F43:U43" si="41">F6/F9</f>
        <v>0.27392464742734557</v>
      </c>
      <c r="G43" s="90">
        <f t="shared" si="41"/>
        <v>0.24851217821499455</v>
      </c>
      <c r="H43" s="90">
        <f t="shared" si="41"/>
        <v>0.27880586812071984</v>
      </c>
      <c r="I43" s="90">
        <f t="shared" si="41"/>
        <v>0.30377821650828102</v>
      </c>
      <c r="J43" s="90">
        <f t="shared" si="41"/>
        <v>0.25493225417960774</v>
      </c>
      <c r="K43" s="90">
        <f t="shared" si="41"/>
        <v>0.19347808011826767</v>
      </c>
      <c r="L43" s="90">
        <f t="shared" si="41"/>
        <v>0.16443205542715605</v>
      </c>
      <c r="M43" s="90">
        <f t="shared" si="41"/>
        <v>0.19482786508224173</v>
      </c>
      <c r="N43" s="212">
        <f t="shared" si="41"/>
        <v>0.1355456924130749</v>
      </c>
      <c r="O43" s="212">
        <f t="shared" si="41"/>
        <v>8.3811122362615592E-2</v>
      </c>
      <c r="P43" s="212">
        <f t="shared" si="41"/>
        <v>9.5250745527669212E-2</v>
      </c>
      <c r="Q43" s="212">
        <f t="shared" si="41"/>
        <v>0.10998643338674982</v>
      </c>
      <c r="R43" s="212">
        <f t="shared" si="41"/>
        <v>7.7617612894876384E-2</v>
      </c>
      <c r="S43" s="212">
        <f t="shared" si="41"/>
        <v>8.6802451771864672E-2</v>
      </c>
      <c r="T43" s="212">
        <f t="shared" si="41"/>
        <v>0.10920949876626385</v>
      </c>
      <c r="U43" s="212">
        <f t="shared" si="41"/>
        <v>0.18164385720259496</v>
      </c>
    </row>
    <row r="44" spans="1:89" x14ac:dyDescent="0.25">
      <c r="A44" s="182" t="s">
        <v>336</v>
      </c>
      <c r="B44" s="64"/>
      <c r="C44" s="64"/>
      <c r="D44" s="64"/>
      <c r="E44" s="90">
        <f>E7/E9</f>
        <v>0.20936710582357251</v>
      </c>
      <c r="F44" s="90">
        <f t="shared" ref="F44:U44" si="42">F7/F9</f>
        <v>0.22848976950721087</v>
      </c>
      <c r="G44" s="90">
        <f t="shared" si="42"/>
        <v>0.23575476025982256</v>
      </c>
      <c r="H44" s="90">
        <f t="shared" si="42"/>
        <v>0.24524784136626354</v>
      </c>
      <c r="I44" s="90">
        <f t="shared" si="42"/>
        <v>0.26255412554731222</v>
      </c>
      <c r="J44" s="90">
        <f t="shared" si="42"/>
        <v>0.25594032950680584</v>
      </c>
      <c r="K44" s="90">
        <f t="shared" si="42"/>
        <v>0.26721390300673104</v>
      </c>
      <c r="L44" s="90">
        <f t="shared" si="42"/>
        <v>0.27612924179490894</v>
      </c>
      <c r="M44" s="90">
        <f t="shared" si="42"/>
        <v>0.29418086814541528</v>
      </c>
      <c r="N44" s="212">
        <f t="shared" si="42"/>
        <v>0.29591805097340601</v>
      </c>
      <c r="O44" s="212">
        <f t="shared" si="42"/>
        <v>0.28449003520575616</v>
      </c>
      <c r="P44" s="212">
        <f t="shared" si="42"/>
        <v>0.29035366685244335</v>
      </c>
      <c r="Q44" s="212">
        <f t="shared" si="42"/>
        <v>0.30680165352337913</v>
      </c>
      <c r="R44" s="212">
        <f t="shared" si="42"/>
        <v>0.30461311288861936</v>
      </c>
      <c r="S44" s="212">
        <f t="shared" si="42"/>
        <v>0.32491069657001698</v>
      </c>
      <c r="T44" s="212">
        <f t="shared" si="42"/>
        <v>0.30705416523040263</v>
      </c>
      <c r="U44" s="212">
        <f t="shared" si="42"/>
        <v>0.28506573972392824</v>
      </c>
    </row>
    <row r="45" spans="1:89" s="223" customFormat="1" x14ac:dyDescent="0.25">
      <c r="A45" s="220" t="s">
        <v>337</v>
      </c>
      <c r="B45" s="221"/>
      <c r="C45" s="221"/>
      <c r="D45" s="221"/>
      <c r="E45" s="222">
        <f>E8/E9</f>
        <v>0.17213336843018501</v>
      </c>
      <c r="F45" s="222">
        <f t="shared" ref="F45:U45" si="43">F8/F9</f>
        <v>0.18980872235261997</v>
      </c>
      <c r="G45" s="222">
        <f t="shared" si="43"/>
        <v>0.23206023126575132</v>
      </c>
      <c r="H45" s="222">
        <f t="shared" si="43"/>
        <v>0.21302550319668581</v>
      </c>
      <c r="I45" s="222">
        <f t="shared" si="43"/>
        <v>0.22284211853164199</v>
      </c>
      <c r="J45" s="222">
        <f t="shared" si="43"/>
        <v>0.25615385145122493</v>
      </c>
      <c r="K45" s="222">
        <f t="shared" si="43"/>
        <v>0.40281605565784029</v>
      </c>
      <c r="L45" s="222">
        <f t="shared" si="43"/>
        <v>0.43158860126124254</v>
      </c>
      <c r="M45" s="222">
        <f t="shared" si="43"/>
        <v>0.4886473083183891</v>
      </c>
      <c r="N45" s="222">
        <f t="shared" si="43"/>
        <v>0.55018443908683501</v>
      </c>
      <c r="O45" s="222">
        <f t="shared" si="43"/>
        <v>0.54328620253315785</v>
      </c>
      <c r="P45" s="222">
        <f t="shared" si="43"/>
        <v>0.54413342581406454</v>
      </c>
      <c r="Q45" s="222">
        <f t="shared" si="43"/>
        <v>0.53010870901802287</v>
      </c>
      <c r="R45" s="222">
        <f t="shared" si="43"/>
        <v>0.57900579196131918</v>
      </c>
      <c r="S45" s="222">
        <f t="shared" si="43"/>
        <v>0.58260306820620844</v>
      </c>
      <c r="T45" s="222">
        <f t="shared" si="43"/>
        <v>0.53462916989675247</v>
      </c>
      <c r="U45" s="222">
        <f t="shared" si="43"/>
        <v>0.4562472193949107</v>
      </c>
    </row>
    <row r="46" spans="1:89" x14ac:dyDescent="0.25">
      <c r="A46" s="183"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339</v>
      </c>
      <c r="B47" s="64"/>
      <c r="C47" s="64"/>
      <c r="D47" s="64"/>
      <c r="E47" s="90">
        <f>E10/E14</f>
        <v>2.198436645368065E-4</v>
      </c>
      <c r="F47" s="90">
        <f t="shared" ref="F47:U47" si="45">F10/F14</f>
        <v>2.4665921990307105E-4</v>
      </c>
      <c r="G47" s="90">
        <f t="shared" si="45"/>
        <v>4.083240719096937E-4</v>
      </c>
      <c r="H47" s="90">
        <f t="shared" si="45"/>
        <v>4.2569584890723576E-4</v>
      </c>
      <c r="I47" s="90">
        <f t="shared" si="45"/>
        <v>3.9945434669450897E-4</v>
      </c>
      <c r="J47" s="90">
        <f t="shared" si="45"/>
        <v>2.5779833016656466E-4</v>
      </c>
      <c r="K47" s="90">
        <f t="shared" si="45"/>
        <v>5.8588907284373574E-4</v>
      </c>
      <c r="L47" s="90">
        <f t="shared" si="45"/>
        <v>5.2138233525176366E-4</v>
      </c>
      <c r="M47" s="90">
        <f t="shared" si="45"/>
        <v>3.7947875066259034E-4</v>
      </c>
      <c r="N47" s="212">
        <f t="shared" si="45"/>
        <v>2.3178796610418058E-4</v>
      </c>
      <c r="O47" s="212">
        <f t="shared" si="45"/>
        <v>4.962919267041012E-4</v>
      </c>
      <c r="P47" s="212">
        <f t="shared" si="45"/>
        <v>3.7800732223939476E-4</v>
      </c>
      <c r="Q47" s="212">
        <f t="shared" si="45"/>
        <v>1.312940854536415E-3</v>
      </c>
      <c r="R47" s="212">
        <f t="shared" si="45"/>
        <v>1.3731810826874853E-4</v>
      </c>
      <c r="S47" s="212">
        <f t="shared" si="45"/>
        <v>6.6298414751956767E-4</v>
      </c>
      <c r="T47" s="212">
        <f t="shared" si="45"/>
        <v>4.8122970953827959E-4</v>
      </c>
      <c r="U47" s="212">
        <f t="shared" si="45"/>
        <v>5.8350914581004336E-4</v>
      </c>
    </row>
    <row r="48" spans="1:89" x14ac:dyDescent="0.25">
      <c r="A48" s="182" t="s">
        <v>340</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2">
        <f t="shared" si="46"/>
        <v>0</v>
      </c>
      <c r="O48" s="212">
        <f t="shared" si="46"/>
        <v>0</v>
      </c>
      <c r="P48" s="212">
        <f t="shared" si="46"/>
        <v>0</v>
      </c>
      <c r="Q48" s="212">
        <f t="shared" si="46"/>
        <v>0</v>
      </c>
      <c r="R48" s="212">
        <f t="shared" si="46"/>
        <v>0</v>
      </c>
      <c r="S48" s="212">
        <f t="shared" si="46"/>
        <v>0</v>
      </c>
      <c r="T48" s="212">
        <f t="shared" si="46"/>
        <v>0</v>
      </c>
      <c r="U48" s="212">
        <f t="shared" si="46"/>
        <v>0</v>
      </c>
    </row>
    <row r="49" spans="1:21" x14ac:dyDescent="0.25">
      <c r="A49" s="182" t="s">
        <v>341</v>
      </c>
      <c r="B49" s="64"/>
      <c r="C49" s="64"/>
      <c r="D49" s="64"/>
      <c r="E49" s="90">
        <f>E12/E14</f>
        <v>2.198436645368065E-4</v>
      </c>
      <c r="F49" s="90">
        <f t="shared" ref="F49:U49" si="47">F12/F14</f>
        <v>2.4665921990307105E-4</v>
      </c>
      <c r="G49" s="90">
        <f t="shared" si="47"/>
        <v>4.083240719096937E-4</v>
      </c>
      <c r="H49" s="90">
        <f t="shared" si="47"/>
        <v>4.2569584890723576E-4</v>
      </c>
      <c r="I49" s="90">
        <f t="shared" si="47"/>
        <v>3.9945434669450897E-4</v>
      </c>
      <c r="J49" s="90">
        <f t="shared" si="47"/>
        <v>2.5779833016656466E-4</v>
      </c>
      <c r="K49" s="90">
        <f t="shared" si="47"/>
        <v>5.8588907284373574E-4</v>
      </c>
      <c r="L49" s="90">
        <f t="shared" si="47"/>
        <v>5.2138233525176366E-4</v>
      </c>
      <c r="M49" s="90">
        <f t="shared" si="47"/>
        <v>3.7947875066259034E-4</v>
      </c>
      <c r="N49" s="212">
        <f t="shared" si="47"/>
        <v>2.3178796610418058E-4</v>
      </c>
      <c r="O49" s="212">
        <f t="shared" si="47"/>
        <v>4.962919267041012E-4</v>
      </c>
      <c r="P49" s="212">
        <f t="shared" si="47"/>
        <v>3.7800732223939476E-4</v>
      </c>
      <c r="Q49" s="212">
        <f t="shared" si="47"/>
        <v>1.312940854536415E-3</v>
      </c>
      <c r="R49" s="212">
        <f t="shared" si="47"/>
        <v>1.3731810826874853E-4</v>
      </c>
      <c r="S49" s="212">
        <f t="shared" si="47"/>
        <v>6.6298414751956767E-4</v>
      </c>
      <c r="T49" s="212">
        <f t="shared" si="47"/>
        <v>4.8122970953827959E-4</v>
      </c>
      <c r="U49" s="212">
        <f t="shared" si="47"/>
        <v>5.8350914581004336E-4</v>
      </c>
    </row>
    <row r="50" spans="1:21" x14ac:dyDescent="0.25">
      <c r="A50" s="182" t="s">
        <v>345</v>
      </c>
      <c r="B50" s="64"/>
      <c r="C50" s="64"/>
      <c r="D50" s="64"/>
      <c r="E50" s="90">
        <f>E13/E14</f>
        <v>0.99978015633546324</v>
      </c>
      <c r="F50" s="90">
        <f t="shared" ref="F50:U50" si="48">F13/F14</f>
        <v>0.99975334078009703</v>
      </c>
      <c r="G50" s="90">
        <f t="shared" si="48"/>
        <v>0.99959167592809028</v>
      </c>
      <c r="H50" s="90">
        <f t="shared" si="48"/>
        <v>0.99957430415109272</v>
      </c>
      <c r="I50" s="90">
        <f t="shared" si="48"/>
        <v>0.99960054565330547</v>
      </c>
      <c r="J50" s="90">
        <f t="shared" si="48"/>
        <v>0.99974220166983352</v>
      </c>
      <c r="K50" s="90">
        <f t="shared" si="48"/>
        <v>0.99941411092715626</v>
      </c>
      <c r="L50" s="90">
        <f t="shared" si="48"/>
        <v>0.99947861766474833</v>
      </c>
      <c r="M50" s="90">
        <f t="shared" si="48"/>
        <v>0.99962052124933753</v>
      </c>
      <c r="N50" s="212">
        <f t="shared" si="48"/>
        <v>0.99976821203389576</v>
      </c>
      <c r="O50" s="212">
        <f t="shared" si="48"/>
        <v>0.9995037080732958</v>
      </c>
      <c r="P50" s="212">
        <f t="shared" si="48"/>
        <v>0.99962199267776064</v>
      </c>
      <c r="Q50" s="212">
        <f t="shared" si="48"/>
        <v>0.99868705914546352</v>
      </c>
      <c r="R50" s="212">
        <f t="shared" si="48"/>
        <v>0.99986268189173133</v>
      </c>
      <c r="S50" s="212">
        <f t="shared" si="48"/>
        <v>0.99933701585248047</v>
      </c>
      <c r="T50" s="212">
        <f t="shared" si="48"/>
        <v>0.99951877029046166</v>
      </c>
      <c r="U50" s="212">
        <f t="shared" si="48"/>
        <v>0.99941649085418993</v>
      </c>
    </row>
    <row r="51" spans="1:21" x14ac:dyDescent="0.25">
      <c r="A51" s="183"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640</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644</v>
      </c>
      <c r="B55" s="64"/>
      <c r="C55" s="64"/>
      <c r="D55" s="64"/>
      <c r="E55" s="212">
        <f>E2/E9</f>
        <v>0.82786663156981499</v>
      </c>
      <c r="F55" s="212">
        <f t="shared" ref="F55:U55" si="51">F2/F9</f>
        <v>0.81019127764738008</v>
      </c>
      <c r="G55" s="212">
        <f t="shared" si="51"/>
        <v>0.76793976873424874</v>
      </c>
      <c r="H55" s="212">
        <f t="shared" si="51"/>
        <v>0.78697449680331422</v>
      </c>
      <c r="I55" s="212">
        <f t="shared" si="51"/>
        <v>0.77715788146835807</v>
      </c>
      <c r="J55" s="212">
        <f t="shared" si="51"/>
        <v>0.74384614854877507</v>
      </c>
      <c r="K55" s="212">
        <f t="shared" si="51"/>
        <v>0.5971839443421596</v>
      </c>
      <c r="L55" s="212">
        <f t="shared" si="51"/>
        <v>0.56841139873875746</v>
      </c>
      <c r="M55" s="212">
        <f t="shared" si="51"/>
        <v>0.51135269168161079</v>
      </c>
      <c r="N55" s="212">
        <f t="shared" si="51"/>
        <v>0.44981556091316499</v>
      </c>
      <c r="O55" s="212">
        <f t="shared" si="51"/>
        <v>0.45671379746684215</v>
      </c>
      <c r="P55" s="212">
        <f t="shared" si="51"/>
        <v>0.45586657418593551</v>
      </c>
      <c r="Q55" s="212">
        <f t="shared" si="51"/>
        <v>0.46989129098197713</v>
      </c>
      <c r="R55" s="212">
        <f t="shared" si="51"/>
        <v>0.42094368169833801</v>
      </c>
      <c r="S55" s="212">
        <f t="shared" si="51"/>
        <v>0.41726407839311597</v>
      </c>
      <c r="T55" s="212">
        <f t="shared" si="51"/>
        <v>0.46523720143765168</v>
      </c>
      <c r="U55" s="212">
        <f t="shared" si="51"/>
        <v>0.54366754667090933</v>
      </c>
    </row>
    <row r="56" spans="1:21" x14ac:dyDescent="0.25">
      <c r="A56" s="182" t="s">
        <v>645</v>
      </c>
      <c r="B56" s="64"/>
      <c r="C56" s="64"/>
      <c r="D56" s="64"/>
      <c r="E56" s="212">
        <f>E4/E9</f>
        <v>-3.7233737393387513E-2</v>
      </c>
      <c r="F56" s="212">
        <f t="shared" ref="F56:U56" si="52">F4/F9</f>
        <v>-3.8681047154590899E-2</v>
      </c>
      <c r="G56" s="212">
        <f t="shared" si="52"/>
        <v>-3.694528994071257E-3</v>
      </c>
      <c r="H56" s="212">
        <f t="shared" si="52"/>
        <v>-3.2222338169577737E-2</v>
      </c>
      <c r="I56" s="212">
        <f t="shared" si="52"/>
        <v>-3.971200701567023E-2</v>
      </c>
      <c r="J56" s="212">
        <f t="shared" si="52"/>
        <v>2.1352194441910045E-4</v>
      </c>
      <c r="K56" s="212">
        <f t="shared" si="52"/>
        <v>0.13560215265110925</v>
      </c>
      <c r="L56" s="212">
        <f t="shared" si="52"/>
        <v>0.15545935946633363</v>
      </c>
      <c r="M56" s="212">
        <f t="shared" si="52"/>
        <v>0.19446644017297385</v>
      </c>
      <c r="N56" s="212">
        <f t="shared" si="52"/>
        <v>0.25426638811342894</v>
      </c>
      <c r="O56" s="212">
        <f t="shared" si="52"/>
        <v>0.25879616732740168</v>
      </c>
      <c r="P56" s="212">
        <f t="shared" si="52"/>
        <v>0.25377975896162119</v>
      </c>
      <c r="Q56" s="212">
        <f t="shared" si="52"/>
        <v>0.22330705549464377</v>
      </c>
      <c r="R56" s="212">
        <f t="shared" si="52"/>
        <v>0.27439267907269982</v>
      </c>
      <c r="S56" s="212">
        <f t="shared" si="52"/>
        <v>0.25769237163619146</v>
      </c>
      <c r="T56" s="212">
        <f t="shared" si="52"/>
        <v>0.22757500466634986</v>
      </c>
      <c r="U56" s="212">
        <f t="shared" si="52"/>
        <v>0.17118147967098249</v>
      </c>
    </row>
    <row r="57" spans="1:21" x14ac:dyDescent="0.25">
      <c r="A57" s="182" t="s">
        <v>646</v>
      </c>
      <c r="B57" s="64"/>
      <c r="C57" s="64"/>
      <c r="D57" s="64"/>
      <c r="E57" s="212">
        <f>E5/E9</f>
        <v>0.22664390210892557</v>
      </c>
      <c r="F57" s="212">
        <f t="shared" ref="F57:U57" si="53">F5/F9</f>
        <v>0.23524360027275465</v>
      </c>
      <c r="G57" s="212">
        <f t="shared" si="53"/>
        <v>0.24481764922092328</v>
      </c>
      <c r="H57" s="212">
        <f t="shared" si="53"/>
        <v>0.24658352995114213</v>
      </c>
      <c r="I57" s="212">
        <f t="shared" si="53"/>
        <v>0.26406620949261078</v>
      </c>
      <c r="J57" s="212">
        <f t="shared" si="53"/>
        <v>0.25514577612402684</v>
      </c>
      <c r="K57" s="212">
        <f t="shared" si="53"/>
        <v>0.32908023276937692</v>
      </c>
      <c r="L57" s="212">
        <f t="shared" si="53"/>
        <v>0.31989141489348966</v>
      </c>
      <c r="M57" s="212">
        <f t="shared" si="53"/>
        <v>0.38929430525521558</v>
      </c>
      <c r="N57" s="212">
        <f t="shared" si="53"/>
        <v>0.38981208052650385</v>
      </c>
      <c r="O57" s="212">
        <f t="shared" si="53"/>
        <v>0.34260728969001725</v>
      </c>
      <c r="P57" s="212">
        <f t="shared" si="53"/>
        <v>0.34903050448929041</v>
      </c>
      <c r="Q57" s="212">
        <f t="shared" si="53"/>
        <v>0.3332934888813936</v>
      </c>
      <c r="R57" s="212">
        <f t="shared" si="53"/>
        <v>0.35201029196757622</v>
      </c>
      <c r="S57" s="212">
        <f t="shared" si="53"/>
        <v>0.34449482340805609</v>
      </c>
      <c r="T57" s="212">
        <f t="shared" si="53"/>
        <v>0.33678450343261368</v>
      </c>
      <c r="U57" s="212">
        <f t="shared" si="53"/>
        <v>0.35282533687357742</v>
      </c>
    </row>
    <row r="58" spans="1:21" x14ac:dyDescent="0.25">
      <c r="A58" s="182" t="s">
        <v>647</v>
      </c>
      <c r="B58" s="64"/>
      <c r="C58" s="64"/>
      <c r="D58" s="64"/>
      <c r="E58" s="212">
        <f>E6/E9</f>
        <v>0.26387763950231308</v>
      </c>
      <c r="F58" s="212">
        <f t="shared" ref="F58:U58" si="54">F6/F9</f>
        <v>0.27392464742734557</v>
      </c>
      <c r="G58" s="212">
        <f t="shared" si="54"/>
        <v>0.24851217821499455</v>
      </c>
      <c r="H58" s="212">
        <f t="shared" si="54"/>
        <v>0.27880586812071984</v>
      </c>
      <c r="I58" s="212">
        <f t="shared" si="54"/>
        <v>0.30377821650828102</v>
      </c>
      <c r="J58" s="212">
        <f t="shared" si="54"/>
        <v>0.25493225417960774</v>
      </c>
      <c r="K58" s="212">
        <f t="shared" si="54"/>
        <v>0.19347808011826767</v>
      </c>
      <c r="L58" s="212">
        <f t="shared" si="54"/>
        <v>0.16443205542715605</v>
      </c>
      <c r="M58" s="212">
        <f t="shared" si="54"/>
        <v>0.19482786508224173</v>
      </c>
      <c r="N58" s="212">
        <f t="shared" si="54"/>
        <v>0.1355456924130749</v>
      </c>
      <c r="O58" s="212">
        <f t="shared" si="54"/>
        <v>8.3811122362615592E-2</v>
      </c>
      <c r="P58" s="212">
        <f t="shared" si="54"/>
        <v>9.5250745527669212E-2</v>
      </c>
      <c r="Q58" s="212">
        <f t="shared" si="54"/>
        <v>0.10998643338674982</v>
      </c>
      <c r="R58" s="212">
        <f t="shared" si="54"/>
        <v>7.7617612894876384E-2</v>
      </c>
      <c r="S58" s="212">
        <f t="shared" si="54"/>
        <v>8.6802451771864672E-2</v>
      </c>
      <c r="T58" s="212">
        <f t="shared" si="54"/>
        <v>0.10920949876626385</v>
      </c>
      <c r="U58" s="212">
        <f t="shared" si="54"/>
        <v>0.18164385720259496</v>
      </c>
    </row>
    <row r="59" spans="1:21" s="223" customFormat="1" x14ac:dyDescent="0.25">
      <c r="A59" s="225" t="s">
        <v>641</v>
      </c>
      <c r="B59" s="221"/>
      <c r="C59" s="221"/>
      <c r="D59" s="221"/>
      <c r="E59" s="222">
        <f>E55+E56</f>
        <v>0.79063289417642746</v>
      </c>
      <c r="F59" s="222">
        <f t="shared" ref="F59:U59" si="55">F55+F56</f>
        <v>0.77151023049278922</v>
      </c>
      <c r="G59" s="222">
        <f t="shared" si="55"/>
        <v>0.76424523974017744</v>
      </c>
      <c r="H59" s="222">
        <f t="shared" si="55"/>
        <v>0.75475215863373646</v>
      </c>
      <c r="I59" s="222">
        <f t="shared" si="55"/>
        <v>0.73744587445268783</v>
      </c>
      <c r="J59" s="222">
        <f t="shared" si="55"/>
        <v>0.74405967049319421</v>
      </c>
      <c r="K59" s="222">
        <f t="shared" si="55"/>
        <v>0.73278609699326891</v>
      </c>
      <c r="L59" s="222">
        <f t="shared" si="55"/>
        <v>0.72387075820509106</v>
      </c>
      <c r="M59" s="222">
        <f t="shared" si="55"/>
        <v>0.70581913185458467</v>
      </c>
      <c r="N59" s="222">
        <f t="shared" si="55"/>
        <v>0.70408194902659393</v>
      </c>
      <c r="O59" s="222">
        <f t="shared" si="55"/>
        <v>0.71550996479424378</v>
      </c>
      <c r="P59" s="222">
        <f t="shared" si="55"/>
        <v>0.70964633314755665</v>
      </c>
      <c r="Q59" s="222">
        <f t="shared" si="55"/>
        <v>0.69319834647662093</v>
      </c>
      <c r="R59" s="222">
        <f t="shared" si="55"/>
        <v>0.69533636077103789</v>
      </c>
      <c r="S59" s="222">
        <f t="shared" si="55"/>
        <v>0.67495645002930749</v>
      </c>
      <c r="T59" s="222">
        <f t="shared" si="55"/>
        <v>0.69281220610400152</v>
      </c>
      <c r="U59" s="222">
        <f t="shared" si="55"/>
        <v>0.71484902634189185</v>
      </c>
    </row>
    <row r="60" spans="1:21" x14ac:dyDescent="0.25">
      <c r="A60" s="182" t="s">
        <v>648</v>
      </c>
      <c r="B60" s="64"/>
      <c r="C60" s="64"/>
      <c r="D60" s="64"/>
      <c r="E60" s="212">
        <f>E3/E9</f>
        <v>0</v>
      </c>
      <c r="F60" s="212">
        <f t="shared" ref="F60:U60" si="56">F3/F9</f>
        <v>0</v>
      </c>
      <c r="G60" s="212">
        <f t="shared" si="56"/>
        <v>0</v>
      </c>
      <c r="H60" s="212">
        <f t="shared" si="56"/>
        <v>0</v>
      </c>
      <c r="I60" s="212">
        <f t="shared" si="56"/>
        <v>0</v>
      </c>
      <c r="J60" s="212">
        <f t="shared" si="56"/>
        <v>0</v>
      </c>
      <c r="K60" s="212">
        <f t="shared" si="56"/>
        <v>0</v>
      </c>
      <c r="L60" s="212">
        <f t="shared" si="56"/>
        <v>0</v>
      </c>
      <c r="M60" s="212">
        <f t="shared" si="56"/>
        <v>0</v>
      </c>
      <c r="N60" s="212">
        <f t="shared" si="56"/>
        <v>0</v>
      </c>
      <c r="O60" s="212">
        <f t="shared" si="56"/>
        <v>0</v>
      </c>
      <c r="P60" s="212">
        <f t="shared" si="56"/>
        <v>0</v>
      </c>
      <c r="Q60" s="212">
        <f t="shared" si="56"/>
        <v>0</v>
      </c>
      <c r="R60" s="212">
        <f t="shared" si="56"/>
        <v>5.052634034284364E-5</v>
      </c>
      <c r="S60" s="212">
        <f t="shared" si="56"/>
        <v>1.3285340067561077E-4</v>
      </c>
      <c r="T60" s="212">
        <f t="shared" si="56"/>
        <v>1.3362866559579867E-4</v>
      </c>
      <c r="U60" s="212">
        <f t="shared" si="56"/>
        <v>8.5233934179907992E-5</v>
      </c>
    </row>
    <row r="61" spans="1:21" x14ac:dyDescent="0.25">
      <c r="A61" s="182" t="s">
        <v>649</v>
      </c>
      <c r="B61" s="64"/>
      <c r="C61" s="64"/>
      <c r="D61" s="64"/>
      <c r="E61" s="212">
        <f>E7/E9</f>
        <v>0.20936710582357251</v>
      </c>
      <c r="F61" s="212">
        <f t="shared" ref="F61:U61" si="57">F7/F9</f>
        <v>0.22848976950721087</v>
      </c>
      <c r="G61" s="212">
        <f t="shared" si="57"/>
        <v>0.23575476025982256</v>
      </c>
      <c r="H61" s="212">
        <f t="shared" si="57"/>
        <v>0.24524784136626354</v>
      </c>
      <c r="I61" s="212">
        <f t="shared" si="57"/>
        <v>0.26255412554731222</v>
      </c>
      <c r="J61" s="212">
        <f t="shared" si="57"/>
        <v>0.25594032950680584</v>
      </c>
      <c r="K61" s="212">
        <f t="shared" si="57"/>
        <v>0.26721390300673104</v>
      </c>
      <c r="L61" s="212">
        <f t="shared" si="57"/>
        <v>0.27612924179490894</v>
      </c>
      <c r="M61" s="212">
        <f t="shared" si="57"/>
        <v>0.29418086814541528</v>
      </c>
      <c r="N61" s="212">
        <f t="shared" si="57"/>
        <v>0.29591805097340601</v>
      </c>
      <c r="O61" s="212">
        <f t="shared" si="57"/>
        <v>0.28449003520575616</v>
      </c>
      <c r="P61" s="212">
        <f t="shared" si="57"/>
        <v>0.29035366685244335</v>
      </c>
      <c r="Q61" s="212">
        <f t="shared" si="57"/>
        <v>0.30680165352337913</v>
      </c>
      <c r="R61" s="212">
        <f t="shared" si="57"/>
        <v>0.30461311288861936</v>
      </c>
      <c r="S61" s="212">
        <f t="shared" si="57"/>
        <v>0.32491069657001698</v>
      </c>
      <c r="T61" s="212">
        <f t="shared" si="57"/>
        <v>0.30705416523040263</v>
      </c>
      <c r="U61" s="212">
        <f t="shared" si="57"/>
        <v>0.28506573972392824</v>
      </c>
    </row>
    <row r="62" spans="1:21" s="223" customFormat="1" x14ac:dyDescent="0.25">
      <c r="A62" s="225" t="s">
        <v>642</v>
      </c>
      <c r="B62" s="221"/>
      <c r="C62" s="221"/>
      <c r="D62" s="221"/>
      <c r="E62" s="222">
        <f>E60+E61</f>
        <v>0.20936710582357251</v>
      </c>
      <c r="F62" s="222">
        <f t="shared" ref="F62:M62" si="58">F60+F61</f>
        <v>0.22848976950721087</v>
      </c>
      <c r="G62" s="222">
        <f t="shared" si="58"/>
        <v>0.23575476025982256</v>
      </c>
      <c r="H62" s="222">
        <f t="shared" si="58"/>
        <v>0.24524784136626354</v>
      </c>
      <c r="I62" s="222">
        <f t="shared" si="58"/>
        <v>0.26255412554731222</v>
      </c>
      <c r="J62" s="222">
        <f t="shared" si="58"/>
        <v>0.25594032950680584</v>
      </c>
      <c r="K62" s="222">
        <f t="shared" si="58"/>
        <v>0.26721390300673104</v>
      </c>
      <c r="L62" s="222">
        <f t="shared" si="58"/>
        <v>0.27612924179490894</v>
      </c>
      <c r="M62" s="222">
        <f t="shared" si="58"/>
        <v>0.29418086814541528</v>
      </c>
      <c r="N62" s="222">
        <f t="shared" ref="N62" si="59">N60+N61</f>
        <v>0.29591805097340601</v>
      </c>
      <c r="O62" s="222">
        <f t="shared" ref="O62" si="60">O60+O61</f>
        <v>0.28449003520575616</v>
      </c>
      <c r="P62" s="222">
        <f t="shared" ref="P62" si="61">P60+P61</f>
        <v>0.29035366685244335</v>
      </c>
      <c r="Q62" s="222">
        <f t="shared" ref="Q62" si="62">Q60+Q61</f>
        <v>0.30680165352337913</v>
      </c>
      <c r="R62" s="222">
        <f t="shared" ref="R62" si="63">R60+R61</f>
        <v>0.30466363922896222</v>
      </c>
      <c r="S62" s="222">
        <f t="shared" ref="S62" si="64">S60+S61</f>
        <v>0.32504354997069257</v>
      </c>
      <c r="T62" s="222">
        <f t="shared" ref="T62" si="65">T60+T61</f>
        <v>0.30718779389599843</v>
      </c>
      <c r="U62" s="222">
        <f t="shared" ref="U62" si="66">U60+U61</f>
        <v>0.28515097365810815</v>
      </c>
    </row>
    <row r="63" spans="1:21" x14ac:dyDescent="0.25">
      <c r="A63" s="224" t="s">
        <v>643</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80" t="s">
        <v>699</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0" t="s">
        <v>650</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651</v>
      </c>
      <c r="E67" s="191">
        <f>E10</f>
        <v>23414593.670000002</v>
      </c>
      <c r="F67" s="191">
        <f t="shared" ref="F67:U67" si="68">F10</f>
        <v>24740964.149999999</v>
      </c>
      <c r="G67" s="191">
        <f t="shared" si="68"/>
        <v>39370998.079999998</v>
      </c>
      <c r="H67" s="191">
        <f t="shared" si="68"/>
        <v>39606282.75</v>
      </c>
      <c r="I67" s="191">
        <f t="shared" si="68"/>
        <v>34481635.329999998</v>
      </c>
      <c r="J67" s="191">
        <f t="shared" si="68"/>
        <v>21599948.09</v>
      </c>
      <c r="K67" s="191">
        <f t="shared" si="68"/>
        <v>46904631.719999999</v>
      </c>
      <c r="L67" s="191">
        <f t="shared" si="68"/>
        <v>40428159.979999997</v>
      </c>
      <c r="M67" s="191">
        <f t="shared" si="68"/>
        <v>27409447.399999999</v>
      </c>
      <c r="N67" s="191">
        <f t="shared" si="68"/>
        <v>15831375.970000001</v>
      </c>
      <c r="O67" s="191">
        <f t="shared" si="68"/>
        <v>33124441.800000001</v>
      </c>
      <c r="P67" s="191">
        <f t="shared" si="68"/>
        <v>23734467.609999999</v>
      </c>
      <c r="Q67" s="191">
        <f t="shared" si="68"/>
        <v>77917681.909999996</v>
      </c>
      <c r="R67" s="191">
        <f t="shared" si="68"/>
        <v>7473820.4900000002</v>
      </c>
      <c r="S67" s="191">
        <f t="shared" si="68"/>
        <v>33684820.810000002</v>
      </c>
      <c r="T67" s="191">
        <f t="shared" si="68"/>
        <v>24308411.109999999</v>
      </c>
      <c r="U67" s="191">
        <f t="shared" si="68"/>
        <v>27383888.890000001</v>
      </c>
    </row>
    <row r="68" spans="1:21" x14ac:dyDescent="0.25">
      <c r="A68" s="17" t="s">
        <v>652</v>
      </c>
      <c r="E68" s="191">
        <f>E11</f>
        <v>0</v>
      </c>
      <c r="F68" s="191">
        <f t="shared" ref="F68:U68" si="69">F11</f>
        <v>0</v>
      </c>
      <c r="G68" s="191">
        <f t="shared" si="69"/>
        <v>0</v>
      </c>
      <c r="H68" s="191">
        <f t="shared" si="69"/>
        <v>0</v>
      </c>
      <c r="I68" s="191">
        <f t="shared" si="69"/>
        <v>0</v>
      </c>
      <c r="J68" s="191">
        <f t="shared" si="69"/>
        <v>0</v>
      </c>
      <c r="K68" s="191">
        <f t="shared" si="69"/>
        <v>0</v>
      </c>
      <c r="L68" s="191">
        <f t="shared" si="69"/>
        <v>0</v>
      </c>
      <c r="M68" s="191">
        <f t="shared" si="69"/>
        <v>0</v>
      </c>
      <c r="N68" s="191">
        <f t="shared" si="69"/>
        <v>0</v>
      </c>
      <c r="O68" s="191">
        <f t="shared" si="69"/>
        <v>0</v>
      </c>
      <c r="P68" s="191">
        <f t="shared" si="69"/>
        <v>0</v>
      </c>
      <c r="Q68" s="191">
        <f t="shared" si="69"/>
        <v>0</v>
      </c>
      <c r="R68" s="191">
        <f t="shared" si="69"/>
        <v>0</v>
      </c>
      <c r="S68" s="191">
        <f t="shared" si="69"/>
        <v>0</v>
      </c>
      <c r="T68" s="191">
        <f t="shared" si="69"/>
        <v>0</v>
      </c>
      <c r="U68" s="191">
        <f t="shared" si="69"/>
        <v>0</v>
      </c>
    </row>
    <row r="69" spans="1:21" x14ac:dyDescent="0.25">
      <c r="A69" s="17" t="s">
        <v>653</v>
      </c>
      <c r="E69" s="191">
        <f>E12</f>
        <v>23414593.670000002</v>
      </c>
      <c r="F69" s="191">
        <f t="shared" ref="F69:U69" si="70">F12</f>
        <v>24740964.149999999</v>
      </c>
      <c r="G69" s="191">
        <f t="shared" si="70"/>
        <v>39370998.079999998</v>
      </c>
      <c r="H69" s="191">
        <f t="shared" si="70"/>
        <v>39606282.75</v>
      </c>
      <c r="I69" s="191">
        <f t="shared" si="70"/>
        <v>34481635.329999998</v>
      </c>
      <c r="J69" s="191">
        <f t="shared" si="70"/>
        <v>21599948.09</v>
      </c>
      <c r="K69" s="191">
        <f t="shared" si="70"/>
        <v>46904631.719999999</v>
      </c>
      <c r="L69" s="191">
        <f t="shared" si="70"/>
        <v>40428159.979999997</v>
      </c>
      <c r="M69" s="191">
        <f t="shared" si="70"/>
        <v>27409447.399999999</v>
      </c>
      <c r="N69" s="191">
        <f t="shared" si="70"/>
        <v>15831375.970000001</v>
      </c>
      <c r="O69" s="191">
        <f t="shared" si="70"/>
        <v>33124441.800000001</v>
      </c>
      <c r="P69" s="191">
        <f t="shared" si="70"/>
        <v>23734467.609999999</v>
      </c>
      <c r="Q69" s="191">
        <f t="shared" si="70"/>
        <v>77917681.909999996</v>
      </c>
      <c r="R69" s="191">
        <f t="shared" si="70"/>
        <v>7473820.4900000002</v>
      </c>
      <c r="S69" s="191">
        <f t="shared" si="70"/>
        <v>33684820.810000002</v>
      </c>
      <c r="T69" s="191">
        <f t="shared" si="70"/>
        <v>24308411.109999999</v>
      </c>
      <c r="U69" s="191">
        <f t="shared" si="70"/>
        <v>27383888.890000001</v>
      </c>
    </row>
    <row r="70" spans="1:21" s="232" customFormat="1" x14ac:dyDescent="0.25">
      <c r="A70" s="232" t="s">
        <v>656</v>
      </c>
      <c r="E70" s="232">
        <f>E69/E74</f>
        <v>2.198436645368065E-4</v>
      </c>
      <c r="F70" s="232">
        <f t="shared" ref="F70:U70" si="71">F69/F74</f>
        <v>2.4665921990307105E-4</v>
      </c>
      <c r="G70" s="232">
        <f t="shared" si="71"/>
        <v>4.083240719096937E-4</v>
      </c>
      <c r="H70" s="232">
        <f t="shared" si="71"/>
        <v>4.2569584890723576E-4</v>
      </c>
      <c r="I70" s="232">
        <f t="shared" si="71"/>
        <v>3.9945434669450897E-4</v>
      </c>
      <c r="J70" s="232">
        <f t="shared" si="71"/>
        <v>2.5779833016656466E-4</v>
      </c>
      <c r="K70" s="232">
        <f t="shared" si="71"/>
        <v>5.8588907284373574E-4</v>
      </c>
      <c r="L70" s="232">
        <f t="shared" si="71"/>
        <v>5.2138233525176366E-4</v>
      </c>
      <c r="M70" s="232">
        <f t="shared" si="71"/>
        <v>3.7947875066259034E-4</v>
      </c>
      <c r="N70" s="232">
        <f t="shared" si="71"/>
        <v>2.3178796610418058E-4</v>
      </c>
      <c r="O70" s="232">
        <f t="shared" si="71"/>
        <v>4.962919267041012E-4</v>
      </c>
      <c r="P70" s="232">
        <f t="shared" si="71"/>
        <v>3.7800732223939476E-4</v>
      </c>
      <c r="Q70" s="232">
        <f t="shared" si="71"/>
        <v>1.312940854536415E-3</v>
      </c>
      <c r="R70" s="232">
        <f t="shared" si="71"/>
        <v>1.3731810826874853E-4</v>
      </c>
      <c r="S70" s="232">
        <f t="shared" si="71"/>
        <v>6.6298414751956767E-4</v>
      </c>
      <c r="T70" s="232">
        <f t="shared" si="71"/>
        <v>4.8122970953827959E-4</v>
      </c>
      <c r="U70" s="232">
        <f t="shared" si="71"/>
        <v>5.8350914581004336E-4</v>
      </c>
    </row>
    <row r="71" spans="1:21" x14ac:dyDescent="0.25">
      <c r="A71" s="17" t="s">
        <v>654</v>
      </c>
      <c r="E71" s="191">
        <f>E13</f>
        <v>106482241229.22</v>
      </c>
      <c r="F71" s="191">
        <f t="shared" ref="F71:U71" si="72">F13</f>
        <v>100279493192.28</v>
      </c>
      <c r="G71" s="191">
        <f t="shared" si="72"/>
        <v>96381586737.439987</v>
      </c>
      <c r="H71" s="191">
        <f t="shared" si="72"/>
        <v>92999315406.690018</v>
      </c>
      <c r="I71" s="191">
        <f t="shared" si="72"/>
        <v>86287361186.849991</v>
      </c>
      <c r="J71" s="191">
        <f t="shared" si="72"/>
        <v>83764621925.590012</v>
      </c>
      <c r="K71" s="191">
        <f t="shared" si="72"/>
        <v>80010283484.690002</v>
      </c>
      <c r="L71" s="191">
        <f t="shared" si="72"/>
        <v>77499905001.630005</v>
      </c>
      <c r="M71" s="191">
        <f t="shared" si="72"/>
        <v>72201792720.420013</v>
      </c>
      <c r="N71" s="191">
        <f t="shared" si="72"/>
        <v>68285281214.510002</v>
      </c>
      <c r="O71" s="191">
        <f t="shared" si="72"/>
        <v>66710741451.769997</v>
      </c>
      <c r="P71" s="191">
        <f t="shared" si="72"/>
        <v>62764646110.289993</v>
      </c>
      <c r="Q71" s="191">
        <f t="shared" si="72"/>
        <v>59268001550.309998</v>
      </c>
      <c r="R71" s="191">
        <f t="shared" si="72"/>
        <v>54419583063.900002</v>
      </c>
      <c r="S71" s="191">
        <f t="shared" si="72"/>
        <v>50774197895.580002</v>
      </c>
      <c r="T71" s="191">
        <f t="shared" si="72"/>
        <v>50488805447.389999</v>
      </c>
      <c r="U71" s="191">
        <f t="shared" si="72"/>
        <v>46902281372.800003</v>
      </c>
    </row>
    <row r="72" spans="1:21" s="232" customFormat="1" x14ac:dyDescent="0.25">
      <c r="A72" s="232" t="s">
        <v>657</v>
      </c>
      <c r="E72" s="232">
        <f>E71/E74</f>
        <v>0.99978015633546324</v>
      </c>
      <c r="F72" s="232">
        <f t="shared" ref="F72:U72" si="73">F71/F74</f>
        <v>0.99975334078009703</v>
      </c>
      <c r="G72" s="232">
        <f t="shared" si="73"/>
        <v>0.99959167592809028</v>
      </c>
      <c r="H72" s="232">
        <f t="shared" si="73"/>
        <v>0.99957430415109272</v>
      </c>
      <c r="I72" s="232">
        <f t="shared" si="73"/>
        <v>0.99960054565330547</v>
      </c>
      <c r="J72" s="232">
        <f t="shared" si="73"/>
        <v>0.99974220166983352</v>
      </c>
      <c r="K72" s="232">
        <f t="shared" si="73"/>
        <v>0.99941411092715626</v>
      </c>
      <c r="L72" s="232">
        <f t="shared" si="73"/>
        <v>0.99947861766474833</v>
      </c>
      <c r="M72" s="232">
        <f t="shared" si="73"/>
        <v>0.99962052124933753</v>
      </c>
      <c r="N72" s="232">
        <f t="shared" si="73"/>
        <v>0.99976821203389576</v>
      </c>
      <c r="O72" s="232">
        <f t="shared" si="73"/>
        <v>0.9995037080732958</v>
      </c>
      <c r="P72" s="232">
        <f t="shared" si="73"/>
        <v>0.99962199267776064</v>
      </c>
      <c r="Q72" s="232">
        <f t="shared" si="73"/>
        <v>0.99868705914546352</v>
      </c>
      <c r="R72" s="232">
        <f t="shared" si="73"/>
        <v>0.99986268189173133</v>
      </c>
      <c r="S72" s="232">
        <f t="shared" si="73"/>
        <v>0.99933701585248047</v>
      </c>
      <c r="T72" s="232">
        <f t="shared" si="73"/>
        <v>0.99951877029046166</v>
      </c>
      <c r="U72" s="232">
        <f t="shared" si="73"/>
        <v>0.99941649085418993</v>
      </c>
    </row>
    <row r="73" spans="1:21" s="234" customFormat="1" x14ac:dyDescent="0.25">
      <c r="A73" s="233" t="s">
        <v>658</v>
      </c>
      <c r="E73" s="235">
        <f>E74/E71</f>
        <v>1.0002198920064014</v>
      </c>
      <c r="F73" s="235">
        <f t="shared" ref="F73:U73" si="74">F74/F71</f>
        <v>1.0002467200756844</v>
      </c>
      <c r="G73" s="235">
        <f t="shared" si="74"/>
        <v>1.0004084908685644</v>
      </c>
      <c r="H73" s="235">
        <f t="shared" si="74"/>
        <v>1.0004258771430392</v>
      </c>
      <c r="I73" s="235">
        <f t="shared" si="74"/>
        <v>1.0003996139742335</v>
      </c>
      <c r="J73" s="235">
        <f t="shared" si="74"/>
        <v>1.0002578648072833</v>
      </c>
      <c r="K73" s="235">
        <f t="shared" si="74"/>
        <v>1.0005862325400832</v>
      </c>
      <c r="L73" s="235">
        <f t="shared" si="74"/>
        <v>1.0005216543165976</v>
      </c>
      <c r="M73" s="235">
        <f t="shared" si="74"/>
        <v>1.0003796228094519</v>
      </c>
      <c r="N73" s="235">
        <f t="shared" si="74"/>
        <v>1.0002318417042213</v>
      </c>
      <c r="O73" s="235">
        <f t="shared" si="74"/>
        <v>1.0004965383546809</v>
      </c>
      <c r="P73" s="235">
        <f t="shared" si="74"/>
        <v>1.0003781502658089</v>
      </c>
      <c r="Q73" s="235">
        <f t="shared" si="74"/>
        <v>1.0013146669344648</v>
      </c>
      <c r="R73" s="235">
        <f t="shared" si="74"/>
        <v>1.0001373369671211</v>
      </c>
      <c r="S73" s="235">
        <f t="shared" si="74"/>
        <v>1.0006634239871059</v>
      </c>
      <c r="T73" s="235">
        <f t="shared" si="74"/>
        <v>1.0004814614030695</v>
      </c>
      <c r="U73" s="235">
        <f t="shared" si="74"/>
        <v>1.0005838498275241</v>
      </c>
    </row>
    <row r="74" spans="1:21" x14ac:dyDescent="0.25">
      <c r="A74" s="17" t="s">
        <v>655</v>
      </c>
      <c r="E74" s="191">
        <f>E14</f>
        <v>106505655822.89</v>
      </c>
      <c r="F74" s="191">
        <f t="shared" ref="F74:U74" si="75">F14</f>
        <v>100304234156.42999</v>
      </c>
      <c r="G74" s="191">
        <f t="shared" si="75"/>
        <v>96420957735.519989</v>
      </c>
      <c r="H74" s="191">
        <f t="shared" si="75"/>
        <v>93038921689.440018</v>
      </c>
      <c r="I74" s="191">
        <f t="shared" si="75"/>
        <v>86321842822.179993</v>
      </c>
      <c r="J74" s="191">
        <f t="shared" si="75"/>
        <v>83786221873.680008</v>
      </c>
      <c r="K74" s="191">
        <f t="shared" si="75"/>
        <v>80057188116.410004</v>
      </c>
      <c r="L74" s="191">
        <f t="shared" si="75"/>
        <v>77540333161.610001</v>
      </c>
      <c r="M74" s="191">
        <f t="shared" si="75"/>
        <v>72229202167.820007</v>
      </c>
      <c r="N74" s="191">
        <f t="shared" si="75"/>
        <v>68301112590.480003</v>
      </c>
      <c r="O74" s="191">
        <f t="shared" si="75"/>
        <v>66743865893.57</v>
      </c>
      <c r="P74" s="191">
        <f t="shared" si="75"/>
        <v>62788380577.899994</v>
      </c>
      <c r="Q74" s="191">
        <f t="shared" si="75"/>
        <v>59345919232.220001</v>
      </c>
      <c r="R74" s="191">
        <f t="shared" si="75"/>
        <v>54427056884.389999</v>
      </c>
      <c r="S74" s="191">
        <f t="shared" si="75"/>
        <v>50807882716.389999</v>
      </c>
      <c r="T74" s="191">
        <f t="shared" si="75"/>
        <v>50513113858.5</v>
      </c>
      <c r="U74" s="191">
        <f t="shared" si="75"/>
        <v>46929665261.690002</v>
      </c>
    </row>
    <row r="75" spans="1:21" ht="83.4" customHeight="1" x14ac:dyDescent="0.25">
      <c r="A75" s="278" t="s">
        <v>700</v>
      </c>
      <c r="B75" s="277"/>
      <c r="C75" s="277"/>
      <c r="D75" s="277"/>
      <c r="E75" s="277"/>
      <c r="F75" s="277"/>
      <c r="G75" s="277"/>
      <c r="H75" s="277"/>
      <c r="I75" s="277"/>
      <c r="J75" s="277"/>
      <c r="K75" s="277"/>
      <c r="L75" s="277"/>
      <c r="M75" s="277"/>
      <c r="N75" s="277"/>
      <c r="O75" s="277"/>
      <c r="P75" s="277"/>
      <c r="Q75" s="277"/>
      <c r="R75" s="277"/>
      <c r="S75" s="277"/>
      <c r="T75" s="277"/>
      <c r="U75" s="277"/>
    </row>
    <row r="77" spans="1:21" s="236" customFormat="1" x14ac:dyDescent="0.25">
      <c r="A77" s="237" t="s">
        <v>659</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651</v>
      </c>
      <c r="B78" s="64"/>
      <c r="C78" s="64"/>
      <c r="D78" s="64"/>
      <c r="E78" s="89">
        <f>E10</f>
        <v>23414593.670000002</v>
      </c>
      <c r="F78" s="89">
        <f t="shared" ref="F78:U78" si="77">F10</f>
        <v>24740964.149999999</v>
      </c>
      <c r="G78" s="89">
        <f t="shared" si="77"/>
        <v>39370998.079999998</v>
      </c>
      <c r="H78" s="89">
        <f t="shared" si="77"/>
        <v>39606282.75</v>
      </c>
      <c r="I78" s="89">
        <f t="shared" si="77"/>
        <v>34481635.329999998</v>
      </c>
      <c r="J78" s="89">
        <f t="shared" si="77"/>
        <v>21599948.09</v>
      </c>
      <c r="K78" s="89">
        <f t="shared" si="77"/>
        <v>46904631.719999999</v>
      </c>
      <c r="L78" s="89">
        <f t="shared" si="77"/>
        <v>40428159.979999997</v>
      </c>
      <c r="M78" s="89">
        <f t="shared" si="77"/>
        <v>27409447.399999999</v>
      </c>
      <c r="N78" s="89">
        <f t="shared" si="77"/>
        <v>15831375.970000001</v>
      </c>
      <c r="O78" s="89">
        <f t="shared" si="77"/>
        <v>33124441.800000001</v>
      </c>
      <c r="P78" s="89">
        <f t="shared" si="77"/>
        <v>23734467.609999999</v>
      </c>
      <c r="Q78" s="89">
        <f t="shared" si="77"/>
        <v>77917681.909999996</v>
      </c>
      <c r="R78" s="89">
        <f t="shared" si="77"/>
        <v>7473820.4900000002</v>
      </c>
      <c r="S78" s="89">
        <f t="shared" si="77"/>
        <v>33684820.810000002</v>
      </c>
      <c r="T78" s="89">
        <f t="shared" si="77"/>
        <v>24308411.109999999</v>
      </c>
      <c r="U78" s="89">
        <f t="shared" si="77"/>
        <v>27383888.890000001</v>
      </c>
    </row>
    <row r="79" spans="1:21" x14ac:dyDescent="0.25">
      <c r="A79" s="182" t="s">
        <v>660</v>
      </c>
      <c r="B79" s="64"/>
      <c r="C79" s="64"/>
      <c r="D79" s="64"/>
      <c r="E79" s="89">
        <f>E78</f>
        <v>23414593.670000002</v>
      </c>
      <c r="F79" s="89">
        <f t="shared" ref="F79:U79" si="78">F78</f>
        <v>24740964.149999999</v>
      </c>
      <c r="G79" s="89">
        <f t="shared" si="78"/>
        <v>39370998.079999998</v>
      </c>
      <c r="H79" s="89">
        <f t="shared" si="78"/>
        <v>39606282.75</v>
      </c>
      <c r="I79" s="89">
        <f t="shared" si="78"/>
        <v>34481635.329999998</v>
      </c>
      <c r="J79" s="89">
        <f t="shared" si="78"/>
        <v>21599948.09</v>
      </c>
      <c r="K79" s="89">
        <f t="shared" si="78"/>
        <v>46904631.719999999</v>
      </c>
      <c r="L79" s="89">
        <f t="shared" si="78"/>
        <v>40428159.979999997</v>
      </c>
      <c r="M79" s="89">
        <f t="shared" si="78"/>
        <v>27409447.399999999</v>
      </c>
      <c r="N79" s="89">
        <f t="shared" si="78"/>
        <v>15831375.970000001</v>
      </c>
      <c r="O79" s="89">
        <f t="shared" si="78"/>
        <v>33124441.800000001</v>
      </c>
      <c r="P79" s="89">
        <f t="shared" si="78"/>
        <v>23734467.609999999</v>
      </c>
      <c r="Q79" s="89">
        <f t="shared" si="78"/>
        <v>77917681.909999996</v>
      </c>
      <c r="R79" s="89">
        <f t="shared" si="78"/>
        <v>7473820.4900000002</v>
      </c>
      <c r="S79" s="89">
        <f t="shared" si="78"/>
        <v>33684820.810000002</v>
      </c>
      <c r="T79" s="89">
        <f t="shared" si="78"/>
        <v>24308411.109999999</v>
      </c>
      <c r="U79" s="89">
        <f t="shared" si="78"/>
        <v>27383888.890000001</v>
      </c>
    </row>
    <row r="80" spans="1:21" s="218" customFormat="1" x14ac:dyDescent="0.25">
      <c r="A80" s="222" t="s">
        <v>661</v>
      </c>
      <c r="B80" s="222"/>
      <c r="C80" s="222"/>
      <c r="D80" s="222"/>
      <c r="E80" s="222">
        <f>E79/E85</f>
        <v>2.198436645368065E-4</v>
      </c>
      <c r="F80" s="222">
        <f t="shared" ref="F80:U80" si="79">F79/F85</f>
        <v>2.4665921990307105E-4</v>
      </c>
      <c r="G80" s="222">
        <f t="shared" si="79"/>
        <v>4.083240719096937E-4</v>
      </c>
      <c r="H80" s="222">
        <f t="shared" si="79"/>
        <v>4.2569584890723576E-4</v>
      </c>
      <c r="I80" s="222">
        <f t="shared" si="79"/>
        <v>3.9945434669450897E-4</v>
      </c>
      <c r="J80" s="222">
        <f t="shared" si="79"/>
        <v>2.5779833016656466E-4</v>
      </c>
      <c r="K80" s="222">
        <f t="shared" si="79"/>
        <v>5.8588907284373574E-4</v>
      </c>
      <c r="L80" s="222">
        <f t="shared" si="79"/>
        <v>5.2138233525176366E-4</v>
      </c>
      <c r="M80" s="222">
        <f t="shared" si="79"/>
        <v>3.7947875066259034E-4</v>
      </c>
      <c r="N80" s="222">
        <f t="shared" si="79"/>
        <v>2.3178796610418058E-4</v>
      </c>
      <c r="O80" s="222">
        <f t="shared" si="79"/>
        <v>4.962919267041012E-4</v>
      </c>
      <c r="P80" s="222">
        <f t="shared" si="79"/>
        <v>3.7800732223939476E-4</v>
      </c>
      <c r="Q80" s="222">
        <f t="shared" si="79"/>
        <v>1.312940854536415E-3</v>
      </c>
      <c r="R80" s="222">
        <f t="shared" si="79"/>
        <v>1.3731810826874853E-4</v>
      </c>
      <c r="S80" s="222">
        <f t="shared" si="79"/>
        <v>6.6298414751956767E-4</v>
      </c>
      <c r="T80" s="222">
        <f t="shared" si="79"/>
        <v>4.8122970953827959E-4</v>
      </c>
      <c r="U80" s="222">
        <f t="shared" si="79"/>
        <v>5.8350914581004336E-4</v>
      </c>
    </row>
    <row r="81" spans="1:21" x14ac:dyDescent="0.25">
      <c r="A81" s="182" t="s">
        <v>652</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0</v>
      </c>
      <c r="S81" s="89">
        <f t="shared" si="80"/>
        <v>0</v>
      </c>
      <c r="T81" s="89">
        <f t="shared" si="80"/>
        <v>0</v>
      </c>
      <c r="U81" s="89">
        <f t="shared" si="80"/>
        <v>0</v>
      </c>
    </row>
    <row r="82" spans="1:21" x14ac:dyDescent="0.25">
      <c r="A82" s="182" t="s">
        <v>654</v>
      </c>
      <c r="B82" s="64"/>
      <c r="C82" s="64"/>
      <c r="D82" s="64"/>
      <c r="E82" s="89">
        <f>E13</f>
        <v>106482241229.22</v>
      </c>
      <c r="F82" s="89">
        <f t="shared" ref="F82:U82" si="81">F13</f>
        <v>100279493192.28</v>
      </c>
      <c r="G82" s="89">
        <f t="shared" si="81"/>
        <v>96381586737.439987</v>
      </c>
      <c r="H82" s="89">
        <f t="shared" si="81"/>
        <v>92999315406.690018</v>
      </c>
      <c r="I82" s="89">
        <f t="shared" si="81"/>
        <v>86287361186.849991</v>
      </c>
      <c r="J82" s="89">
        <f t="shared" si="81"/>
        <v>83764621925.590012</v>
      </c>
      <c r="K82" s="89">
        <f t="shared" si="81"/>
        <v>80010283484.690002</v>
      </c>
      <c r="L82" s="89">
        <f t="shared" si="81"/>
        <v>77499905001.630005</v>
      </c>
      <c r="M82" s="89">
        <f t="shared" si="81"/>
        <v>72201792720.420013</v>
      </c>
      <c r="N82" s="89">
        <f t="shared" si="81"/>
        <v>68285281214.510002</v>
      </c>
      <c r="O82" s="89">
        <f t="shared" si="81"/>
        <v>66710741451.769997</v>
      </c>
      <c r="P82" s="89">
        <f t="shared" si="81"/>
        <v>62764646110.289993</v>
      </c>
      <c r="Q82" s="89">
        <f t="shared" si="81"/>
        <v>59268001550.309998</v>
      </c>
      <c r="R82" s="89">
        <f t="shared" si="81"/>
        <v>54419583063.900002</v>
      </c>
      <c r="S82" s="89">
        <f t="shared" si="81"/>
        <v>50774197895.580002</v>
      </c>
      <c r="T82" s="89">
        <f t="shared" si="81"/>
        <v>50488805447.389999</v>
      </c>
      <c r="U82" s="89">
        <f t="shared" si="81"/>
        <v>46902281372.800003</v>
      </c>
    </row>
    <row r="83" spans="1:21" x14ac:dyDescent="0.25">
      <c r="A83" s="182" t="s">
        <v>662</v>
      </c>
      <c r="B83" s="64"/>
      <c r="C83" s="64"/>
      <c r="D83" s="64"/>
      <c r="E83" s="89">
        <f>E81+E82</f>
        <v>106482241229.22</v>
      </c>
      <c r="F83" s="89">
        <f t="shared" ref="F83:U83" si="82">F81+F82</f>
        <v>100279493192.28</v>
      </c>
      <c r="G83" s="89">
        <f t="shared" si="82"/>
        <v>96381586737.439987</v>
      </c>
      <c r="H83" s="89">
        <f t="shared" si="82"/>
        <v>92999315406.690018</v>
      </c>
      <c r="I83" s="89">
        <f t="shared" si="82"/>
        <v>86287361186.849991</v>
      </c>
      <c r="J83" s="89">
        <f t="shared" si="82"/>
        <v>83764621925.590012</v>
      </c>
      <c r="K83" s="89">
        <f t="shared" si="82"/>
        <v>80010283484.690002</v>
      </c>
      <c r="L83" s="89">
        <f t="shared" si="82"/>
        <v>77499905001.630005</v>
      </c>
      <c r="M83" s="89">
        <f t="shared" si="82"/>
        <v>72201792720.420013</v>
      </c>
      <c r="N83" s="89">
        <f t="shared" si="82"/>
        <v>68285281214.510002</v>
      </c>
      <c r="O83" s="89">
        <f t="shared" si="82"/>
        <v>66710741451.769997</v>
      </c>
      <c r="P83" s="89">
        <f t="shared" si="82"/>
        <v>62764646110.289993</v>
      </c>
      <c r="Q83" s="89">
        <f t="shared" si="82"/>
        <v>59268001550.309998</v>
      </c>
      <c r="R83" s="89">
        <f t="shared" si="82"/>
        <v>54419583063.900002</v>
      </c>
      <c r="S83" s="89">
        <f t="shared" si="82"/>
        <v>50774197895.580002</v>
      </c>
      <c r="T83" s="89">
        <f t="shared" si="82"/>
        <v>50488805447.389999</v>
      </c>
      <c r="U83" s="89">
        <f t="shared" si="82"/>
        <v>46902281372.800003</v>
      </c>
    </row>
    <row r="84" spans="1:21" s="218" customFormat="1" x14ac:dyDescent="0.25">
      <c r="A84" s="222" t="s">
        <v>663</v>
      </c>
      <c r="B84" s="222"/>
      <c r="C84" s="222"/>
      <c r="D84" s="222"/>
      <c r="E84" s="222">
        <f>E83/E85</f>
        <v>0.99978015633546324</v>
      </c>
      <c r="F84" s="222">
        <f t="shared" ref="F84:U84" si="83">F83/F85</f>
        <v>0.99975334078009703</v>
      </c>
      <c r="G84" s="222">
        <f t="shared" si="83"/>
        <v>0.99959167592809028</v>
      </c>
      <c r="H84" s="222">
        <f t="shared" si="83"/>
        <v>0.99957430415109272</v>
      </c>
      <c r="I84" s="222">
        <f t="shared" si="83"/>
        <v>0.99960054565330547</v>
      </c>
      <c r="J84" s="222">
        <f t="shared" si="83"/>
        <v>0.99974220166983352</v>
      </c>
      <c r="K84" s="222">
        <f t="shared" si="83"/>
        <v>0.99941411092715626</v>
      </c>
      <c r="L84" s="222">
        <f t="shared" si="83"/>
        <v>0.99947861766474833</v>
      </c>
      <c r="M84" s="222">
        <f t="shared" si="83"/>
        <v>0.99962052124933753</v>
      </c>
      <c r="N84" s="222">
        <f t="shared" si="83"/>
        <v>0.99976821203389576</v>
      </c>
      <c r="O84" s="222">
        <f t="shared" si="83"/>
        <v>0.9995037080732958</v>
      </c>
      <c r="P84" s="222">
        <f t="shared" si="83"/>
        <v>0.99962199267776064</v>
      </c>
      <c r="Q84" s="222">
        <f t="shared" si="83"/>
        <v>0.99868705914546352</v>
      </c>
      <c r="R84" s="222">
        <f t="shared" si="83"/>
        <v>0.99986268189173133</v>
      </c>
      <c r="S84" s="222">
        <f t="shared" si="83"/>
        <v>0.99933701585248047</v>
      </c>
      <c r="T84" s="222">
        <f t="shared" si="83"/>
        <v>0.99951877029046166</v>
      </c>
      <c r="U84" s="222">
        <f t="shared" si="83"/>
        <v>0.99941649085418993</v>
      </c>
    </row>
    <row r="85" spans="1:21" x14ac:dyDescent="0.25">
      <c r="A85" s="182" t="s">
        <v>655</v>
      </c>
      <c r="B85" s="64"/>
      <c r="C85" s="64"/>
      <c r="D85" s="64"/>
      <c r="E85" s="89">
        <f>E14</f>
        <v>106505655822.89</v>
      </c>
      <c r="F85" s="89">
        <f t="shared" ref="F85:U85" si="84">F14</f>
        <v>100304234156.42999</v>
      </c>
      <c r="G85" s="89">
        <f t="shared" si="84"/>
        <v>96420957735.519989</v>
      </c>
      <c r="H85" s="89">
        <f t="shared" si="84"/>
        <v>93038921689.440018</v>
      </c>
      <c r="I85" s="89">
        <f t="shared" si="84"/>
        <v>86321842822.179993</v>
      </c>
      <c r="J85" s="89">
        <f t="shared" si="84"/>
        <v>83786221873.680008</v>
      </c>
      <c r="K85" s="89">
        <f t="shared" si="84"/>
        <v>80057188116.410004</v>
      </c>
      <c r="L85" s="89">
        <f t="shared" si="84"/>
        <v>77540333161.610001</v>
      </c>
      <c r="M85" s="89">
        <f t="shared" si="84"/>
        <v>72229202167.820007</v>
      </c>
      <c r="N85" s="89">
        <f t="shared" si="84"/>
        <v>68301112590.480003</v>
      </c>
      <c r="O85" s="89">
        <f t="shared" si="84"/>
        <v>66743865893.57</v>
      </c>
      <c r="P85" s="89">
        <f t="shared" si="84"/>
        <v>62788380577.899994</v>
      </c>
      <c r="Q85" s="89">
        <f t="shared" si="84"/>
        <v>59345919232.220001</v>
      </c>
      <c r="R85" s="89">
        <f t="shared" si="84"/>
        <v>54427056884.389999</v>
      </c>
      <c r="S85" s="89">
        <f t="shared" si="84"/>
        <v>50807882716.389999</v>
      </c>
      <c r="T85" s="89">
        <f t="shared" si="84"/>
        <v>50513113858.5</v>
      </c>
      <c r="U85" s="89">
        <f t="shared" si="84"/>
        <v>46929665261.690002</v>
      </c>
    </row>
    <row r="87" spans="1:21" s="56" customFormat="1" ht="85.8" customHeight="1" x14ac:dyDescent="0.25">
      <c r="A87" s="276" t="s">
        <v>701</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1" width="20.44140625" hidden="1" customWidth="1"/>
    <col min="12" max="12" width="19.33203125" hidden="1" customWidth="1"/>
    <col min="13" max="13" width="21.5546875" bestFit="1" customWidth="1"/>
    <col min="14" max="15" width="20.44140625" hidden="1" customWidth="1"/>
    <col min="16" max="16" width="19.33203125" hidden="1" customWidth="1"/>
    <col min="17" max="17" width="20.44140625" bestFit="1" customWidth="1"/>
    <col min="18" max="19" width="20.44140625" hidden="1" customWidth="1"/>
    <col min="20" max="20" width="19.33203125" hidden="1" customWidth="1"/>
    <col min="21" max="21" width="20.44140625" bestFit="1" customWidth="1"/>
    <col min="22" max="23" width="20.44140625" hidden="1" customWidth="1"/>
    <col min="24" max="24" width="19.33203125" hidden="1" customWidth="1"/>
    <col min="25" max="25" width="20.44140625" bestFit="1" customWidth="1"/>
    <col min="26" max="27" width="20.44140625" hidden="1" customWidth="1"/>
    <col min="28" max="28" width="19.33203125" hidden="1" customWidth="1"/>
    <col min="29" max="29" width="20.44140625" bestFit="1" customWidth="1"/>
    <col min="30" max="30" width="20.44140625" hidden="1" customWidth="1"/>
    <col min="31" max="32" width="19.33203125" hidden="1" customWidth="1"/>
    <col min="33" max="33" width="20.441406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59" width="19.33203125" hidden="1" customWidth="1"/>
    <col min="60" max="60" width="17.21875" hidden="1" customWidth="1"/>
    <col min="61" max="61" width="19.33203125" bestFit="1" customWidth="1"/>
    <col min="62" max="63" width="19.33203125" hidden="1" customWidth="1"/>
    <col min="64" max="64" width="17.21875" hidden="1" customWidth="1"/>
    <col min="65" max="65" width="19.33203125" bestFit="1" customWidth="1"/>
    <col min="66" max="66" width="19.33203125" hidden="1" customWidth="1"/>
    <col min="67" max="68" width="17.21875" hidden="1" customWidth="1"/>
    <col min="69" max="69" width="19.33203125" bestFit="1" customWidth="1"/>
    <col min="70" max="70" width="17.21875" hidden="1" customWidth="1"/>
    <col min="71" max="71" width="19.33203125" bestFit="1" customWidth="1"/>
    <col min="72" max="73" width="17.21875" bestFit="1" customWidth="1"/>
    <col min="74" max="74" width="9.5546875" hidden="1" customWidth="1"/>
    <col min="75"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351</v>
      </c>
      <c r="E2" s="26">
        <f>股权价值增加表!E4</f>
        <v>58217861314.169998</v>
      </c>
      <c r="F2" s="26">
        <f>股权价值增加表!F4</f>
        <v>42450467500.010002</v>
      </c>
      <c r="G2" s="26">
        <f>股权价值增加表!G4</f>
        <v>24190030218.959999</v>
      </c>
      <c r="H2" s="26">
        <f>股权价值增加表!H4</f>
        <v>13308639084.870001</v>
      </c>
      <c r="I2" s="26">
        <f>股权价值增加表!I4</f>
        <v>38862189993.839996</v>
      </c>
      <c r="J2" s="26">
        <f>股权价值增加表!J4</f>
        <v>26631884032.43</v>
      </c>
      <c r="K2" s="26">
        <f>股权价值增加表!K4</f>
        <v>18173234673.439999</v>
      </c>
      <c r="L2" s="26">
        <f>股权价值增加表!L4</f>
        <v>9988753730.9699993</v>
      </c>
      <c r="M2" s="26">
        <f>股权价值增加表!M4</f>
        <v>32659583725.279999</v>
      </c>
      <c r="N2" s="26">
        <f>股权价值增加表!N4</f>
        <v>23148688960.889999</v>
      </c>
      <c r="O2" s="26">
        <f>股权价值增加表!O4</f>
        <v>15778647465.950001</v>
      </c>
      <c r="P2" s="26">
        <f>股权价值增加表!P4</f>
        <v>8544273436</v>
      </c>
      <c r="Q2" s="26">
        <f>股权价值增加表!Q4</f>
        <v>31573928530.939999</v>
      </c>
      <c r="R2" s="26">
        <f>股权价值增加表!R4</f>
        <v>21718189167.610001</v>
      </c>
      <c r="S2" s="26">
        <f>股权价值增加表!S4</f>
        <v>14321628403.09</v>
      </c>
      <c r="T2" s="26">
        <f>股权价值增加表!T4</f>
        <v>7449825750.6400003</v>
      </c>
      <c r="U2" s="26">
        <f>股权价值增加表!U4</f>
        <v>30921801316.599998</v>
      </c>
      <c r="V2" s="26">
        <f>股权价值增加表!V4</f>
        <v>21935713045.240002</v>
      </c>
      <c r="W2" s="26">
        <f>股权价值增加表!W4</f>
        <v>14127867191.110001</v>
      </c>
      <c r="X2" s="26">
        <f>股权价值增加表!X4</f>
        <v>7165785851.6099997</v>
      </c>
      <c r="Y2" s="26">
        <f>股权价值增加表!Y4</f>
        <v>26455335152.990002</v>
      </c>
      <c r="Z2" s="26">
        <f>股权价值增加表!Z4</f>
        <v>19931438600.48</v>
      </c>
      <c r="AA2" s="26">
        <f>股权价值增加表!AA4</f>
        <v>13264437836.41</v>
      </c>
      <c r="AB2" s="26">
        <f>股权价值增加表!AB4</f>
        <v>6015967741.6199999</v>
      </c>
      <c r="AC2" s="26">
        <f>股权价值增加表!AC4</f>
        <v>18402355207.299999</v>
      </c>
      <c r="AD2" s="26">
        <f>股权价值增加表!AD4</f>
        <v>13642075480.07</v>
      </c>
      <c r="AE2" s="26">
        <f>股权价值增加表!AE4</f>
        <v>9825823427.0799999</v>
      </c>
      <c r="AF2" s="26">
        <f>股权价值增加表!AF4</f>
        <v>4220589097.9400001</v>
      </c>
      <c r="AG2" s="26">
        <f>股权价值增加表!AG4</f>
        <v>11633283740.18</v>
      </c>
      <c r="AH2" s="26">
        <f>股权价值增加表!AH4</f>
        <v>9327577784.1200008</v>
      </c>
      <c r="AI2" s="26">
        <f>股权价值增加表!AI4</f>
        <v>6587266362.7799997</v>
      </c>
      <c r="AJ2" s="26">
        <f>股权价值增加表!AJ4</f>
        <v>3039906100.4099998</v>
      </c>
      <c r="AK2" s="26">
        <f>股权价值增加表!AK4</f>
        <v>9669999065.3899994</v>
      </c>
      <c r="AL2" s="26">
        <f>股权价值增加表!AL4</f>
        <v>7807202385.7799997</v>
      </c>
      <c r="AM2" s="26">
        <f>股权价值增加表!AM4</f>
        <v>5546006031.29</v>
      </c>
      <c r="AN2" s="26">
        <f>股权价值增加表!AN4</f>
        <v>2512537167.1999998</v>
      </c>
      <c r="AO2" s="26">
        <f>股权价值增加表!AO4</f>
        <v>8241685564.1099997</v>
      </c>
      <c r="AP2" s="26">
        <f>股权价值增加表!AP4</f>
        <v>6486517281.0100002</v>
      </c>
      <c r="AQ2" s="26">
        <f>股权价值增加表!AQ4</f>
        <v>4619717309.6000004</v>
      </c>
      <c r="AR2" s="26">
        <f>股权价值增加表!AR4</f>
        <v>1993496395.46</v>
      </c>
      <c r="AS2" s="26">
        <f>股权价值增加表!AS4</f>
        <v>7237430747.1199999</v>
      </c>
      <c r="AT2" s="26">
        <f>股权价值增加表!AT4</f>
        <v>4458382249.2600002</v>
      </c>
      <c r="AU2" s="26">
        <f>股权价值增加表!AU4</f>
        <v>2629088876.4200001</v>
      </c>
      <c r="AV2" s="26">
        <f>股权价值增加表!AV4</f>
        <v>1587538095.6800001</v>
      </c>
      <c r="AW2" s="26">
        <f>股权价值增加表!AW4</f>
        <v>4896186901.21</v>
      </c>
      <c r="AX2" s="26">
        <f>股权价值增加表!AX4</f>
        <v>3249453246.71</v>
      </c>
      <c r="AY2" s="26">
        <f>股权价值增加表!AY4</f>
        <v>2029461983.6600001</v>
      </c>
      <c r="AZ2" s="26">
        <f>股权价值增加表!AZ4</f>
        <v>1354498050.1700001</v>
      </c>
      <c r="BA2" s="26">
        <f>股权价值增加表!BA4</f>
        <v>3930515237.6100001</v>
      </c>
      <c r="BB2" s="26">
        <f>股权价值增加表!BB4</f>
        <v>2580318873.25</v>
      </c>
      <c r="BC2" s="26">
        <f>股权价值增加表!BC4</f>
        <v>1686144341.9100001</v>
      </c>
      <c r="BD2" s="26">
        <f>股权价值增加表!BD4</f>
        <v>1144017320.6199999</v>
      </c>
      <c r="BE2" s="26">
        <f>股权价值增加表!BE4</f>
        <v>3009793519.9200001</v>
      </c>
      <c r="BF2" s="26">
        <f>股权价值增加表!BF4</f>
        <v>2070438172.6500001</v>
      </c>
      <c r="BG2" s="26">
        <f>股权价值增加表!BG4</f>
        <v>1314109209.0599999</v>
      </c>
      <c r="BH2" s="26">
        <f>股权价值增加表!BH4</f>
        <v>853431905.86000001</v>
      </c>
      <c r="BI2" s="26">
        <f>股权价值增加表!BI4</f>
        <v>2401017934.9299998</v>
      </c>
      <c r="BJ2" s="26">
        <f>股权价值增加表!BJ4</f>
        <v>1552744360.0999999</v>
      </c>
      <c r="BK2" s="26">
        <f>股权价值增加表!BK4</f>
        <v>1009047565.48</v>
      </c>
      <c r="BL2" s="26">
        <f>股权价值增加表!BL4</f>
        <v>733889255.88999999</v>
      </c>
      <c r="BM2" s="26">
        <f>股权价值增加表!BM4</f>
        <v>1834898294.9000001</v>
      </c>
      <c r="BN2" s="26">
        <f>股权价值增加表!BN4</f>
        <v>1363886224.3199999</v>
      </c>
      <c r="BO2" s="26">
        <f>股权价值增加表!BO4</f>
        <v>955654212.62</v>
      </c>
      <c r="BP2" s="26">
        <f>股权价值增加表!BP4</f>
        <v>718014858.52999997</v>
      </c>
      <c r="BQ2" s="26">
        <f>股权价值增加表!BQ4</f>
        <v>1618046660.3099999</v>
      </c>
      <c r="BR2" s="26">
        <f>股权价值增加表!BR4</f>
        <v>873863478.94000006</v>
      </c>
      <c r="BS2" s="26">
        <f>股权价值增加表!BS4</f>
        <v>1114000813.26</v>
      </c>
      <c r="BT2" s="26">
        <f>股权价值增加表!BT4</f>
        <v>890858185.63999999</v>
      </c>
      <c r="BU2" s="26">
        <f>股权价值增加表!BU4</f>
        <v>628184433.19000006</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0.49805920158894929</v>
      </c>
      <c r="F3" s="66">
        <f t="shared" ref="F3:BQ3" si="0">(F2-J2)/J2</f>
        <v>0.59397162620254362</v>
      </c>
      <c r="G3" s="66">
        <f t="shared" si="0"/>
        <v>0.33108005556729464</v>
      </c>
      <c r="H3" s="66">
        <f t="shared" si="0"/>
        <v>0.33236231899548596</v>
      </c>
      <c r="I3" s="66">
        <f t="shared" si="0"/>
        <v>0.18991688077637373</v>
      </c>
      <c r="J3" s="66">
        <f t="shared" si="0"/>
        <v>0.15047051163134564</v>
      </c>
      <c r="K3" s="66">
        <f t="shared" si="0"/>
        <v>0.1517612464983116</v>
      </c>
      <c r="L3" s="66">
        <f t="shared" si="0"/>
        <v>0.16905829451617274</v>
      </c>
      <c r="M3" s="66">
        <f t="shared" si="0"/>
        <v>3.4384545884942455E-2</v>
      </c>
      <c r="N3" s="66">
        <f t="shared" si="0"/>
        <v>6.5866439519433453E-2</v>
      </c>
      <c r="O3" s="66">
        <f t="shared" si="0"/>
        <v>0.10173557237008311</v>
      </c>
      <c r="P3" s="66">
        <f t="shared" si="0"/>
        <v>0.14690916566283146</v>
      </c>
      <c r="Q3" s="66">
        <f t="shared" si="0"/>
        <v>2.1089560975541016E-2</v>
      </c>
      <c r="R3" s="66">
        <f t="shared" si="0"/>
        <v>-9.9164261121296553E-3</v>
      </c>
      <c r="S3" s="66">
        <f t="shared" si="0"/>
        <v>1.3714823997066189E-2</v>
      </c>
      <c r="T3" s="66">
        <f t="shared" si="0"/>
        <v>3.9638346011440319E-2</v>
      </c>
      <c r="U3" s="66">
        <f t="shared" si="0"/>
        <v>0.16883045093855836</v>
      </c>
      <c r="V3" s="66">
        <f t="shared" si="0"/>
        <v>0.10055844361940508</v>
      </c>
      <c r="W3" s="66">
        <f t="shared" si="0"/>
        <v>6.5093550540826134E-2</v>
      </c>
      <c r="X3" s="66">
        <f t="shared" si="0"/>
        <v>0.1911277053623916</v>
      </c>
      <c r="Y3" s="66">
        <f t="shared" si="0"/>
        <v>0.43760593983619439</v>
      </c>
      <c r="Z3" s="66">
        <f t="shared" si="0"/>
        <v>0.46102685251949127</v>
      </c>
      <c r="AA3" s="66">
        <f t="shared" si="0"/>
        <v>0.34995686975741574</v>
      </c>
      <c r="AB3" s="66">
        <f t="shared" si="0"/>
        <v>0.42538579378795593</v>
      </c>
      <c r="AC3" s="66">
        <f t="shared" si="0"/>
        <v>0.5818710880179444</v>
      </c>
      <c r="AD3" s="66">
        <f t="shared" si="0"/>
        <v>0.46255285089075726</v>
      </c>
      <c r="AE3" s="66">
        <f t="shared" si="0"/>
        <v>0.49163900257606158</v>
      </c>
      <c r="AF3" s="66">
        <f t="shared" si="0"/>
        <v>0.38839456171713937</v>
      </c>
      <c r="AG3" s="66">
        <f t="shared" si="0"/>
        <v>0.20302842446146813</v>
      </c>
      <c r="AH3" s="66">
        <f t="shared" si="0"/>
        <v>0.19474010320383206</v>
      </c>
      <c r="AI3" s="66">
        <f t="shared" si="0"/>
        <v>0.18774958512762432</v>
      </c>
      <c r="AJ3" s="66">
        <f t="shared" si="0"/>
        <v>0.20989497791099584</v>
      </c>
      <c r="AK3" s="66">
        <f t="shared" si="0"/>
        <v>0.17330356638451055</v>
      </c>
      <c r="AL3" s="66">
        <f t="shared" si="0"/>
        <v>0.20360465370784595</v>
      </c>
      <c r="AM3" s="66">
        <f t="shared" si="0"/>
        <v>0.20050766304793713</v>
      </c>
      <c r="AN3" s="66">
        <f t="shared" si="0"/>
        <v>0.26036704802780991</v>
      </c>
      <c r="AO3" s="66">
        <f t="shared" si="0"/>
        <v>0.13875846997080066</v>
      </c>
      <c r="AP3" s="66">
        <f t="shared" si="0"/>
        <v>0.45490380105623035</v>
      </c>
      <c r="AQ3" s="66">
        <f t="shared" si="0"/>
        <v>0.75715524531472511</v>
      </c>
      <c r="AR3" s="66">
        <f t="shared" si="0"/>
        <v>0.25571562716176166</v>
      </c>
      <c r="AS3" s="66">
        <f t="shared" si="0"/>
        <v>0.47817697590984642</v>
      </c>
      <c r="AT3" s="66">
        <f t="shared" si="0"/>
        <v>0.37204074370788814</v>
      </c>
      <c r="AU3" s="66">
        <f t="shared" si="0"/>
        <v>0.2954610126170546</v>
      </c>
      <c r="AV3" s="66">
        <f t="shared" si="0"/>
        <v>0.17204900773445311</v>
      </c>
      <c r="AW3" s="66">
        <f t="shared" si="0"/>
        <v>0.24568577024196678</v>
      </c>
      <c r="AX3" s="66">
        <f t="shared" si="0"/>
        <v>0.2593223575569954</v>
      </c>
      <c r="AY3" s="66">
        <f t="shared" si="0"/>
        <v>0.20361106295390041</v>
      </c>
      <c r="AZ3" s="66">
        <f t="shared" si="0"/>
        <v>0.18398386611483314</v>
      </c>
      <c r="BA3" s="66">
        <f t="shared" si="0"/>
        <v>0.30590859857870673</v>
      </c>
      <c r="BB3" s="66">
        <f t="shared" si="0"/>
        <v>0.24626704981361128</v>
      </c>
      <c r="BC3" s="66">
        <f t="shared" si="0"/>
        <v>0.28310823049183398</v>
      </c>
      <c r="BD3" s="66">
        <f t="shared" si="0"/>
        <v>0.34049045127645899</v>
      </c>
      <c r="BE3" s="66">
        <f t="shared" si="0"/>
        <v>0.25354895360569168</v>
      </c>
      <c r="BF3" s="66">
        <f t="shared" si="0"/>
        <v>0.33340569500871325</v>
      </c>
      <c r="BG3" s="66">
        <f t="shared" si="0"/>
        <v>0.30232632634605611</v>
      </c>
      <c r="BH3" s="66">
        <f t="shared" si="0"/>
        <v>0.16288922205984419</v>
      </c>
      <c r="BI3" s="66">
        <f t="shared" si="0"/>
        <v>0.30852916567828226</v>
      </c>
      <c r="BJ3" s="66">
        <f t="shared" si="0"/>
        <v>0.13847059410997423</v>
      </c>
      <c r="BK3" s="66">
        <f t="shared" si="0"/>
        <v>5.5870996177182122E-2</v>
      </c>
      <c r="BL3" s="66">
        <f t="shared" si="0"/>
        <v>2.2108730998269103E-2</v>
      </c>
      <c r="BM3" s="66">
        <f t="shared" si="0"/>
        <v>0.13402063111607285</v>
      </c>
      <c r="BN3" s="66">
        <f t="shared" si="0"/>
        <v>0.56075434800685275</v>
      </c>
      <c r="BO3" s="66">
        <f t="shared" si="0"/>
        <v>-0.14214226664396787</v>
      </c>
      <c r="BP3" s="66">
        <f t="shared" si="0"/>
        <v>-0.19401890210598213</v>
      </c>
      <c r="BQ3" s="66">
        <f t="shared" si="0"/>
        <v>1.5757509655139881</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5940436371.9700003</v>
      </c>
      <c r="F4" s="26">
        <f>股权价值增加表!F5</f>
        <v>4273438303.5</v>
      </c>
      <c r="G4" s="26">
        <f>股权价值增加表!G5</f>
        <v>2511228414.9099998</v>
      </c>
      <c r="H4" s="26">
        <f>股权价值增加表!H5</f>
        <v>1176997676.0699999</v>
      </c>
      <c r="I4" s="26">
        <f>股权价值增加表!I5</f>
        <v>3410104085.9699998</v>
      </c>
      <c r="J4" s="26">
        <f>股权价值增加表!J5</f>
        <v>2225398682.8200002</v>
      </c>
      <c r="K4" s="26">
        <f>股权价值增加表!K5</f>
        <v>1475407709.24</v>
      </c>
      <c r="L4" s="26">
        <f>股权价值增加表!L5</f>
        <v>765002011.76999998</v>
      </c>
      <c r="M4" s="26">
        <f>股权价值增加表!M5</f>
        <v>2538337449.0599999</v>
      </c>
      <c r="N4" s="26">
        <f>股权价值增加表!N5</f>
        <v>1747047687.23</v>
      </c>
      <c r="O4" s="26">
        <f>股权价值增加表!O5</f>
        <v>1165878006.3299999</v>
      </c>
      <c r="P4" s="26">
        <f>股权价值增加表!P5</f>
        <v>579796944.51999998</v>
      </c>
      <c r="Q4" s="26">
        <f>股权价值增加表!Q5</f>
        <v>2338550532.3299999</v>
      </c>
      <c r="R4" s="26">
        <f>股权价值增加表!R5</f>
        <v>1593307325.6800001</v>
      </c>
      <c r="S4" s="26">
        <f>股权价值增加表!S5</f>
        <v>987543281.35000002</v>
      </c>
      <c r="T4" s="26">
        <f>股权价值增加表!T5</f>
        <v>506935182.39999998</v>
      </c>
      <c r="U4" s="26">
        <f>股权价值增加表!U5</f>
        <v>2193920307.9899998</v>
      </c>
      <c r="V4" s="26">
        <f>股权价值增加表!V5</f>
        <v>1440864963.8099999</v>
      </c>
      <c r="W4" s="26">
        <f>股权价值增加表!W5</f>
        <v>932566677.01999998</v>
      </c>
      <c r="X4" s="26">
        <f>股权价值增加表!X5</f>
        <v>481121235.63999999</v>
      </c>
      <c r="Y4" s="26">
        <f>股权价值增加表!Y5</f>
        <v>2044306468.76</v>
      </c>
      <c r="Z4" s="26">
        <f>股权价值增加表!Z5</f>
        <v>1628876041.8800001</v>
      </c>
      <c r="AA4" s="26">
        <f>股权价值增加表!AA5</f>
        <v>1059645343.97</v>
      </c>
      <c r="AB4" s="26">
        <f>股权价值增加表!AB5</f>
        <v>482055429.18000001</v>
      </c>
      <c r="AC4" s="26">
        <f>股权价值增加表!AC5</f>
        <v>1551233976.0599999</v>
      </c>
      <c r="AD4" s="26">
        <f>股权价值增加表!AD5</f>
        <v>1155847115.6800001</v>
      </c>
      <c r="AE4" s="26">
        <f>股权价值增加表!AE5</f>
        <v>845072449.14999998</v>
      </c>
      <c r="AF4" s="26">
        <f>股权价值增加表!AF5</f>
        <v>392063100.98000002</v>
      </c>
      <c r="AG4" s="26">
        <f>股权价值增加表!AG5</f>
        <v>1052931591.61</v>
      </c>
      <c r="AH4" s="26">
        <f>股权价值增加表!AH5</f>
        <v>821295137.52999997</v>
      </c>
      <c r="AI4" s="26">
        <f>股权价值增加表!AI5</f>
        <v>569190230.52999997</v>
      </c>
      <c r="AJ4" s="26">
        <f>股权价值增加表!AJ5</f>
        <v>295386812.48000002</v>
      </c>
      <c r="AK4" s="26">
        <f>股权价值增加表!AK5</f>
        <v>950672855.26999998</v>
      </c>
      <c r="AL4" s="26">
        <f>股权价值增加表!AL5</f>
        <v>743207551.34000003</v>
      </c>
      <c r="AM4" s="26">
        <f>股权价值增加表!AM5</f>
        <v>531620176.31999999</v>
      </c>
      <c r="AN4" s="26">
        <f>股权价值增加表!AN5</f>
        <v>251448334.91999999</v>
      </c>
      <c r="AO4" s="26">
        <f>股权价值增加表!AO5</f>
        <v>799713319.24000001</v>
      </c>
      <c r="AP4" s="26">
        <f>股权价值增加表!AP5</f>
        <v>614940094.35000002</v>
      </c>
      <c r="AQ4" s="26">
        <f>股权价值增加表!AQ5</f>
        <v>442054720.19</v>
      </c>
      <c r="AR4" s="26">
        <f>股权价值增加表!AR5</f>
        <v>200810712.08000001</v>
      </c>
      <c r="AS4" s="26">
        <f>股权价值增加表!AS5</f>
        <v>871643568.33000004</v>
      </c>
      <c r="AT4" s="26">
        <f>股权价值增加表!AT5</f>
        <v>662636478.87</v>
      </c>
      <c r="AU4" s="26">
        <f>股权价值增加表!AU5</f>
        <v>389216762.31</v>
      </c>
      <c r="AV4" s="26">
        <f>股权价值增加表!AV5</f>
        <v>237704974.13</v>
      </c>
      <c r="AW4" s="26">
        <f>股权价值增加表!AW5</f>
        <v>791179840.49000001</v>
      </c>
      <c r="AX4" s="26">
        <f>股权价值增加表!AX5</f>
        <v>536197408.26999998</v>
      </c>
      <c r="AY4" s="26">
        <f>股权价值增加表!AY5</f>
        <v>342467207.13999999</v>
      </c>
      <c r="AZ4" s="26">
        <f>股权价值增加表!AZ5</f>
        <v>227552584.91999999</v>
      </c>
      <c r="BA4" s="26">
        <f>股权价值增加表!BA5</f>
        <v>687106816.67999995</v>
      </c>
      <c r="BB4" s="26">
        <f>股权价值增加表!BB5</f>
        <v>450496529.88</v>
      </c>
      <c r="BC4" s="26">
        <f>股权价值增加表!BC5</f>
        <v>294128874.10000002</v>
      </c>
      <c r="BD4" s="26">
        <f>股权价值增加表!BD5</f>
        <v>196715027.49000001</v>
      </c>
      <c r="BE4" s="26">
        <f>股权价值增加表!BE5</f>
        <v>535056248.94999999</v>
      </c>
      <c r="BF4" s="26">
        <f>股权价值增加表!BF5</f>
        <v>367934435.61000001</v>
      </c>
      <c r="BG4" s="26">
        <f>股权价值增加表!BG5</f>
        <v>229941422.72</v>
      </c>
      <c r="BH4" s="26">
        <f>股权价值增加表!BH5</f>
        <v>151243768.25</v>
      </c>
      <c r="BI4" s="26">
        <f>股权价值增加表!BI5</f>
        <v>477388129.86000001</v>
      </c>
      <c r="BJ4" s="26">
        <f>股权价值增加表!BJ5</f>
        <v>302733307.68000001</v>
      </c>
      <c r="BK4" s="26">
        <f>股权价值增加表!BK5</f>
        <v>196938828.78999999</v>
      </c>
      <c r="BL4" s="26">
        <f>股权价值增加表!BL5</f>
        <v>136080903.15000001</v>
      </c>
      <c r="BM4" s="26">
        <f>股权价值增加表!BM5</f>
        <v>340556444.79000002</v>
      </c>
      <c r="BN4" s="26">
        <f>股权价值增加表!BN5</f>
        <v>230795750.63</v>
      </c>
      <c r="BO4" s="26">
        <f>股权价值增加表!BO5</f>
        <v>158368542.33000001</v>
      </c>
      <c r="BP4" s="26">
        <f>股权价值增加表!BP5</f>
        <v>115551849.97</v>
      </c>
      <c r="BQ4" s="26">
        <f>股权价值增加表!BQ5</f>
        <v>287538468.11000001</v>
      </c>
      <c r="BR4" s="26">
        <f>股权价值增加表!BR5</f>
        <v>146483164.84999999</v>
      </c>
      <c r="BS4" s="26">
        <f>股权价值增加表!BS5</f>
        <v>196863443.99000001</v>
      </c>
      <c r="BT4" s="26">
        <f>股权价值增加表!BT5</f>
        <v>129133236.27</v>
      </c>
      <c r="BU4" s="26">
        <f>股权价值增加表!BU5</f>
        <v>76725369.980000004</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0.1020380384623322</v>
      </c>
      <c r="F5" s="66">
        <f t="shared" si="2"/>
        <v>0.1006688160383391</v>
      </c>
      <c r="G5" s="66">
        <f t="shared" si="2"/>
        <v>0.10381253732133473</v>
      </c>
      <c r="H5" s="66">
        <f t="shared" si="2"/>
        <v>8.84386200996371E-2</v>
      </c>
      <c r="I5" s="66">
        <f t="shared" si="2"/>
        <v>8.7748633993877639E-2</v>
      </c>
      <c r="J5" s="66">
        <f t="shared" si="2"/>
        <v>8.3561443873445176E-2</v>
      </c>
      <c r="K5" s="66">
        <f t="shared" si="2"/>
        <v>8.1185751229872885E-2</v>
      </c>
      <c r="L5" s="66">
        <f t="shared" si="2"/>
        <v>7.6586332226624157E-2</v>
      </c>
      <c r="M5" s="66">
        <f t="shared" si="2"/>
        <v>7.7721059472512857E-2</v>
      </c>
      <c r="N5" s="66">
        <f t="shared" si="2"/>
        <v>7.5470696858109726E-2</v>
      </c>
      <c r="O5" s="66">
        <f t="shared" si="2"/>
        <v>7.3889603582686092E-2</v>
      </c>
      <c r="P5" s="66">
        <f t="shared" si="2"/>
        <v>6.7857957597320509E-2</v>
      </c>
      <c r="Q5" s="66">
        <f t="shared" si="2"/>
        <v>7.4065871468556782E-2</v>
      </c>
      <c r="R5" s="66">
        <f t="shared" si="2"/>
        <v>7.3362807248047238E-2</v>
      </c>
      <c r="S5" s="66">
        <f t="shared" si="2"/>
        <v>6.8954678445429435E-2</v>
      </c>
      <c r="T5" s="66">
        <f t="shared" si="2"/>
        <v>6.804658247965735E-2</v>
      </c>
      <c r="U5" s="66">
        <f t="shared" si="2"/>
        <v>7.0950598431412201E-2</v>
      </c>
      <c r="V5" s="66">
        <f t="shared" si="2"/>
        <v>6.568580473488024E-2</v>
      </c>
      <c r="W5" s="66">
        <f t="shared" si="2"/>
        <v>6.6009020640201102E-2</v>
      </c>
      <c r="X5" s="66">
        <f t="shared" si="2"/>
        <v>6.7141447651816483E-2</v>
      </c>
      <c r="Y5" s="66">
        <f t="shared" si="2"/>
        <v>7.727388282695602E-2</v>
      </c>
      <c r="Z5" s="66">
        <f t="shared" si="2"/>
        <v>8.1723957539159897E-2</v>
      </c>
      <c r="AA5" s="66">
        <f t="shared" si="2"/>
        <v>7.9886185682241581E-2</v>
      </c>
      <c r="AB5" s="66">
        <f t="shared" si="2"/>
        <v>8.0129324139326344E-2</v>
      </c>
      <c r="AC5" s="66">
        <f t="shared" si="2"/>
        <v>8.4295404505866922E-2</v>
      </c>
      <c r="AD5" s="66">
        <f t="shared" si="2"/>
        <v>8.4726632495810611E-2</v>
      </c>
      <c r="AE5" s="66">
        <f t="shared" si="2"/>
        <v>8.6005254971402975E-2</v>
      </c>
      <c r="AF5" s="66">
        <f t="shared" si="2"/>
        <v>9.2892980548937951E-2</v>
      </c>
      <c r="AG5" s="66">
        <f t="shared" si="2"/>
        <v>9.0510264782186781E-2</v>
      </c>
      <c r="AH5" s="66">
        <f t="shared" si="2"/>
        <v>8.8050205159182604E-2</v>
      </c>
      <c r="AI5" s="66">
        <f t="shared" si="2"/>
        <v>8.6407653673471113E-2</v>
      </c>
      <c r="AJ5" s="66">
        <f t="shared" si="2"/>
        <v>9.7169716012004595E-2</v>
      </c>
      <c r="AK5" s="66">
        <f t="shared" ref="AK5:BP5" si="3">AK4/AK2</f>
        <v>9.8311576747981674E-2</v>
      </c>
      <c r="AL5" s="66">
        <f t="shared" si="3"/>
        <v>9.5195117868812351E-2</v>
      </c>
      <c r="AM5" s="66">
        <f t="shared" si="3"/>
        <v>9.5856400681977844E-2</v>
      </c>
      <c r="AN5" s="66">
        <f t="shared" si="3"/>
        <v>0.10007745883425752</v>
      </c>
      <c r="AO5" s="66">
        <f t="shared" si="3"/>
        <v>9.7032738390615755E-2</v>
      </c>
      <c r="AP5" s="66">
        <f t="shared" si="3"/>
        <v>9.4802814470302185E-2</v>
      </c>
      <c r="AQ5" s="66">
        <f t="shared" si="3"/>
        <v>9.5688694905939051E-2</v>
      </c>
      <c r="AR5" s="66">
        <f t="shared" si="3"/>
        <v>0.10073291957654273</v>
      </c>
      <c r="AS5" s="66">
        <f t="shared" si="3"/>
        <v>0.12043549690293814</v>
      </c>
      <c r="AT5" s="66">
        <f t="shared" si="3"/>
        <v>0.14862711221766237</v>
      </c>
      <c r="AU5" s="66">
        <f t="shared" si="3"/>
        <v>0.14804245143663305</v>
      </c>
      <c r="AV5" s="66">
        <f t="shared" si="3"/>
        <v>0.14973182361849549</v>
      </c>
      <c r="AW5" s="66">
        <f t="shared" si="3"/>
        <v>0.16159102102382467</v>
      </c>
      <c r="AX5" s="66">
        <f t="shared" si="3"/>
        <v>0.16501157812099254</v>
      </c>
      <c r="AY5" s="66">
        <f t="shared" si="3"/>
        <v>0.16874778138114374</v>
      </c>
      <c r="AZ5" s="66">
        <f t="shared" si="3"/>
        <v>0.16799772055149165</v>
      </c>
      <c r="BA5" s="66">
        <f t="shared" si="3"/>
        <v>0.17481342143270864</v>
      </c>
      <c r="BB5" s="66">
        <f t="shared" si="3"/>
        <v>0.17458947983145362</v>
      </c>
      <c r="BC5" s="66">
        <f t="shared" si="3"/>
        <v>0.17443872792457496</v>
      </c>
      <c r="BD5" s="66">
        <f t="shared" si="3"/>
        <v>0.17195109194971833</v>
      </c>
      <c r="BE5" s="66">
        <f t="shared" si="3"/>
        <v>0.1777717459383133</v>
      </c>
      <c r="BF5" s="66">
        <f t="shared" si="3"/>
        <v>0.17770848725179392</v>
      </c>
      <c r="BG5" s="66">
        <f t="shared" si="3"/>
        <v>0.17497892955523855</v>
      </c>
      <c r="BH5" s="66">
        <f t="shared" si="3"/>
        <v>0.17721831960054532</v>
      </c>
      <c r="BI5" s="66">
        <f t="shared" si="3"/>
        <v>0.19882739021435838</v>
      </c>
      <c r="BJ5" s="66">
        <f t="shared" si="3"/>
        <v>0.19496661231505188</v>
      </c>
      <c r="BK5" s="66">
        <f t="shared" si="3"/>
        <v>0.1951729883975459</v>
      </c>
      <c r="BL5" s="66">
        <f t="shared" si="3"/>
        <v>0.18542430217890624</v>
      </c>
      <c r="BM5" s="66">
        <f t="shared" si="3"/>
        <v>0.18559963009206457</v>
      </c>
      <c r="BN5" s="66">
        <f t="shared" si="3"/>
        <v>0.16921921089500633</v>
      </c>
      <c r="BO5" s="66">
        <f t="shared" si="3"/>
        <v>0.1657174114220879</v>
      </c>
      <c r="BP5" s="66">
        <f t="shared" si="3"/>
        <v>0.1609323938038979</v>
      </c>
      <c r="BQ5" s="66">
        <f t="shared" ref="BQ5:CK5" si="4">BQ4/BQ2</f>
        <v>0.1777071546595021</v>
      </c>
      <c r="BR5" s="66">
        <f t="shared" si="4"/>
        <v>0.16762705889446788</v>
      </c>
      <c r="BS5" s="66">
        <f t="shared" si="4"/>
        <v>0.17671750473314374</v>
      </c>
      <c r="BT5" s="66">
        <f t="shared" si="4"/>
        <v>0.14495375173235861</v>
      </c>
      <c r="BU5" s="66">
        <f t="shared" si="4"/>
        <v>0.12213828602911865</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0.74201027951328669</v>
      </c>
      <c r="F6" s="66">
        <f t="shared" ref="F6:BQ6" si="5">(F4-J4)/J4</f>
        <v>0.92030234244802689</v>
      </c>
      <c r="G6" s="66">
        <f t="shared" si="5"/>
        <v>0.70205726809138291</v>
      </c>
      <c r="H6" s="66">
        <f t="shared" si="5"/>
        <v>0.5385550076486173</v>
      </c>
      <c r="I6" s="66">
        <f t="shared" si="5"/>
        <v>0.34344000922053664</v>
      </c>
      <c r="J6" s="66">
        <f t="shared" si="5"/>
        <v>0.27380534549027735</v>
      </c>
      <c r="K6" s="66">
        <f t="shared" si="5"/>
        <v>0.26549064415783152</v>
      </c>
      <c r="L6" s="66">
        <f t="shared" si="5"/>
        <v>0.3194309128402304</v>
      </c>
      <c r="M6" s="66">
        <f t="shared" si="5"/>
        <v>8.5431943405962496E-2</v>
      </c>
      <c r="N6" s="66">
        <f t="shared" si="5"/>
        <v>9.6491341671567241E-2</v>
      </c>
      <c r="O6" s="66">
        <f t="shared" si="5"/>
        <v>0.18058421169775082</v>
      </c>
      <c r="P6" s="66">
        <f t="shared" si="5"/>
        <v>0.14372993757317881</v>
      </c>
      <c r="Q6" s="66">
        <f t="shared" si="5"/>
        <v>6.5923189558560483E-2</v>
      </c>
      <c r="R6" s="66">
        <f t="shared" si="5"/>
        <v>0.10579920096530432</v>
      </c>
      <c r="S6" s="66">
        <f t="shared" si="5"/>
        <v>5.8951928783984427E-2</v>
      </c>
      <c r="T6" s="66">
        <f t="shared" si="5"/>
        <v>5.3653725605484044E-2</v>
      </c>
      <c r="U6" s="66">
        <f t="shared" si="5"/>
        <v>7.3185621391077413E-2</v>
      </c>
      <c r="V6" s="66">
        <f t="shared" si="5"/>
        <v>-0.11542380956932941</v>
      </c>
      <c r="W6" s="66">
        <f t="shared" si="5"/>
        <v>-0.11992565972488038</v>
      </c>
      <c r="X6" s="66">
        <f t="shared" si="5"/>
        <v>-1.9379380117948897E-3</v>
      </c>
      <c r="Y6" s="66">
        <f t="shared" si="5"/>
        <v>0.31785823435376365</v>
      </c>
      <c r="Z6" s="66">
        <f t="shared" si="5"/>
        <v>0.40924869715291967</v>
      </c>
      <c r="AA6" s="66">
        <f t="shared" si="5"/>
        <v>0.25391064995175749</v>
      </c>
      <c r="AB6" s="66">
        <f t="shared" si="5"/>
        <v>0.22953531708302916</v>
      </c>
      <c r="AC6" s="66">
        <f t="shared" si="5"/>
        <v>0.47325238260546781</v>
      </c>
      <c r="AD6" s="66">
        <f t="shared" si="5"/>
        <v>0.40734683898914437</v>
      </c>
      <c r="AE6" s="66">
        <f t="shared" si="5"/>
        <v>0.48469246979715902</v>
      </c>
      <c r="AF6" s="66">
        <f t="shared" si="5"/>
        <v>0.3272870839707705</v>
      </c>
      <c r="AG6" s="66">
        <f t="shared" si="5"/>
        <v>0.10756459046151853</v>
      </c>
      <c r="AH6" s="66">
        <f t="shared" si="5"/>
        <v>0.10506834335739505</v>
      </c>
      <c r="AI6" s="66">
        <f t="shared" si="5"/>
        <v>7.0670858412614695E-2</v>
      </c>
      <c r="AJ6" s="66">
        <f t="shared" si="5"/>
        <v>0.17474157295167358</v>
      </c>
      <c r="AK6" s="66">
        <f t="shared" si="5"/>
        <v>0.18876706489453363</v>
      </c>
      <c r="AL6" s="66">
        <f t="shared" si="5"/>
        <v>0.2085852884996553</v>
      </c>
      <c r="AM6" s="66">
        <f t="shared" si="5"/>
        <v>0.20261169497636802</v>
      </c>
      <c r="AN6" s="66">
        <f t="shared" si="5"/>
        <v>0.25216594431390044</v>
      </c>
      <c r="AO6" s="66">
        <f t="shared" si="5"/>
        <v>-8.2522549013712893E-2</v>
      </c>
      <c r="AP6" s="66">
        <f t="shared" si="5"/>
        <v>-7.1979714430055311E-2</v>
      </c>
      <c r="AQ6" s="66">
        <f t="shared" si="5"/>
        <v>0.13575457944413011</v>
      </c>
      <c r="AR6" s="66">
        <f t="shared" si="5"/>
        <v>-0.15521030716766845</v>
      </c>
      <c r="AS6" s="66">
        <f t="shared" si="5"/>
        <v>0.10170093286270612</v>
      </c>
      <c r="AT6" s="66">
        <f t="shared" si="5"/>
        <v>0.23580694096964405</v>
      </c>
      <c r="AU6" s="66">
        <f t="shared" si="5"/>
        <v>0.13650812164006371</v>
      </c>
      <c r="AV6" s="66">
        <f t="shared" si="5"/>
        <v>4.4615574081785334E-2</v>
      </c>
      <c r="AW6" s="66">
        <f t="shared" si="5"/>
        <v>0.15146556733764591</v>
      </c>
      <c r="AX6" s="66">
        <f t="shared" si="5"/>
        <v>0.19023648953040406</v>
      </c>
      <c r="AY6" s="66">
        <f t="shared" si="5"/>
        <v>0.16434405900444019</v>
      </c>
      <c r="AZ6" s="66">
        <f t="shared" si="5"/>
        <v>0.15676259116283123</v>
      </c>
      <c r="BA6" s="66">
        <f t="shared" si="5"/>
        <v>0.28417679081103264</v>
      </c>
      <c r="BB6" s="66">
        <f t="shared" si="5"/>
        <v>0.22439349590401872</v>
      </c>
      <c r="BC6" s="66">
        <f t="shared" si="5"/>
        <v>0.27914696978352255</v>
      </c>
      <c r="BD6" s="66">
        <f t="shared" si="5"/>
        <v>0.30064881195526555</v>
      </c>
      <c r="BE6" s="66">
        <f t="shared" si="5"/>
        <v>0.12079923123960343</v>
      </c>
      <c r="BF6" s="66">
        <f t="shared" si="5"/>
        <v>0.21537480771332881</v>
      </c>
      <c r="BG6" s="66">
        <f t="shared" si="5"/>
        <v>0.16757789275364973</v>
      </c>
      <c r="BH6" s="66">
        <f t="shared" si="5"/>
        <v>0.11142537085667478</v>
      </c>
      <c r="BI6" s="66">
        <f t="shared" si="5"/>
        <v>0.40178856446065964</v>
      </c>
      <c r="BJ6" s="66">
        <f t="shared" si="5"/>
        <v>0.31169359424353804</v>
      </c>
      <c r="BK6" s="66">
        <f t="shared" si="5"/>
        <v>0.2435476508941356</v>
      </c>
      <c r="BL6" s="66">
        <f t="shared" si="5"/>
        <v>0.17766096505880119</v>
      </c>
      <c r="BM6" s="66">
        <f t="shared" si="5"/>
        <v>0.18438568247403189</v>
      </c>
      <c r="BN6" s="66">
        <f t="shared" si="5"/>
        <v>0.57557867394752704</v>
      </c>
      <c r="BO6" s="66">
        <f t="shared" si="5"/>
        <v>-0.19554113694137853</v>
      </c>
      <c r="BP6" s="66">
        <f t="shared" si="5"/>
        <v>-0.10517343708170659</v>
      </c>
      <c r="BQ6" s="66">
        <f t="shared" si="5"/>
        <v>2.7476322132425381</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52277424942.199997</v>
      </c>
      <c r="F7" s="27">
        <f>股权价值增加表!F6</f>
        <v>38177029196.510002</v>
      </c>
      <c r="G7" s="27">
        <f>股权价值增加表!G6</f>
        <v>21678801804.049999</v>
      </c>
      <c r="H7" s="27">
        <f>股权价值增加表!H6</f>
        <v>12131641408.800001</v>
      </c>
      <c r="I7" s="27">
        <f>股权价值增加表!I6</f>
        <v>35452085907.869995</v>
      </c>
      <c r="J7" s="27">
        <f>股权价值增加表!J6</f>
        <v>24406485349.610001</v>
      </c>
      <c r="K7" s="27">
        <f>股权价值增加表!K6</f>
        <v>16697826964.199999</v>
      </c>
      <c r="L7" s="27">
        <f>股权价值增加表!L6</f>
        <v>9223751719.1999989</v>
      </c>
      <c r="M7" s="27">
        <f>股权价值增加表!M6</f>
        <v>30121246276.219997</v>
      </c>
      <c r="N7" s="27">
        <f>股权价值增加表!N6</f>
        <v>21401641273.66</v>
      </c>
      <c r="O7" s="27">
        <f>股权价值增加表!O6</f>
        <v>14612769459.620001</v>
      </c>
      <c r="P7" s="27">
        <f>股权价值增加表!P6</f>
        <v>7964476491.4799995</v>
      </c>
      <c r="Q7" s="27">
        <f>股权价值增加表!Q6</f>
        <v>29235377998.610001</v>
      </c>
      <c r="R7" s="27">
        <f>股权价值增加表!R6</f>
        <v>20124881841.93</v>
      </c>
      <c r="S7" s="27">
        <f>股权价值增加表!S6</f>
        <v>13334085121.74</v>
      </c>
      <c r="T7" s="27">
        <f>股权价值增加表!T6</f>
        <v>6942890568.2400007</v>
      </c>
      <c r="U7" s="27">
        <f>股权价值增加表!U6</f>
        <v>28727881008.610001</v>
      </c>
      <c r="V7" s="27">
        <f>股权价值增加表!V6</f>
        <v>20494848081.43</v>
      </c>
      <c r="W7" s="27">
        <f>股权价值增加表!W6</f>
        <v>13195300514.09</v>
      </c>
      <c r="X7" s="27">
        <f>股权价值增加表!X6</f>
        <v>6684664615.9699993</v>
      </c>
      <c r="Y7" s="27">
        <f>股权价值增加表!Y6</f>
        <v>24411028684.230003</v>
      </c>
      <c r="Z7" s="27">
        <f>股权价值增加表!Z6</f>
        <v>18302562558.599998</v>
      </c>
      <c r="AA7" s="27">
        <f>股权价值增加表!AA6</f>
        <v>12204792492.440001</v>
      </c>
      <c r="AB7" s="27">
        <f>股权价值增加表!AB6</f>
        <v>5533912312.4399996</v>
      </c>
      <c r="AC7" s="27">
        <f>股权价值增加表!AC6</f>
        <v>16851121231.24</v>
      </c>
      <c r="AD7" s="27">
        <f>股权价值增加表!AD6</f>
        <v>12486228364.389999</v>
      </c>
      <c r="AE7" s="27">
        <f>股权价值增加表!AE6</f>
        <v>8980750977.9300003</v>
      </c>
      <c r="AF7" s="27">
        <f>股权价值增加表!AF6</f>
        <v>3828525996.96</v>
      </c>
      <c r="AG7" s="27">
        <f>股权价值增加表!AG6</f>
        <v>10580352148.57</v>
      </c>
      <c r="AH7" s="27">
        <f>股权价值增加表!AH6</f>
        <v>8506282646.5900011</v>
      </c>
      <c r="AI7" s="27">
        <f>股权价值增加表!AI6</f>
        <v>6018076132.25</v>
      </c>
      <c r="AJ7" s="27">
        <f>股权价值增加表!AJ6</f>
        <v>2744519287.9299998</v>
      </c>
      <c r="AK7" s="27">
        <f>股权价值增加表!AK6</f>
        <v>8719326210.1199989</v>
      </c>
      <c r="AL7" s="27">
        <f>股权价值增加表!AL6</f>
        <v>7063994834.4399996</v>
      </c>
      <c r="AM7" s="27">
        <f>股权价值增加表!AM6</f>
        <v>5014385854.9700003</v>
      </c>
      <c r="AN7" s="27">
        <f>股权价值增加表!AN6</f>
        <v>2261088832.2799997</v>
      </c>
      <c r="AO7" s="27">
        <f>股权价值增加表!AO6</f>
        <v>7441972244.8699999</v>
      </c>
      <c r="AP7" s="27">
        <f>股权价值增加表!AP6</f>
        <v>5871577186.6599998</v>
      </c>
      <c r="AQ7" s="27">
        <f>股权价值增加表!AQ6</f>
        <v>4177662589.4100003</v>
      </c>
      <c r="AR7" s="27">
        <f>股权价值增加表!AR6</f>
        <v>1792685683.3800001</v>
      </c>
      <c r="AS7" s="27">
        <f>股权价值增加表!AS6</f>
        <v>6365787178.79</v>
      </c>
      <c r="AT7" s="27">
        <f>股权价值增加表!AT6</f>
        <v>3795745770.3900003</v>
      </c>
      <c r="AU7" s="27">
        <f>股权价值增加表!AU6</f>
        <v>2239872114.1100001</v>
      </c>
      <c r="AV7" s="27">
        <f>股权价值增加表!AV6</f>
        <v>1349833121.5500002</v>
      </c>
      <c r="AW7" s="27">
        <f>股权价值增加表!AW6</f>
        <v>4105007060.7200003</v>
      </c>
      <c r="AX7" s="27">
        <f>股权价值增加表!AX6</f>
        <v>2713255838.4400001</v>
      </c>
      <c r="AY7" s="27">
        <f>股权价值增加表!AY6</f>
        <v>1686994776.52</v>
      </c>
      <c r="AZ7" s="27">
        <f>股权价值增加表!AZ6</f>
        <v>1126945465.25</v>
      </c>
      <c r="BA7" s="27">
        <f>股权价值增加表!BA6</f>
        <v>3243408420.9300003</v>
      </c>
      <c r="BB7" s="27">
        <f>股权价值增加表!BB6</f>
        <v>2129822343.3699999</v>
      </c>
      <c r="BC7" s="27">
        <f>股权价值增加表!BC6</f>
        <v>1392015467.8099999</v>
      </c>
      <c r="BD7" s="27">
        <f>股权价值增加表!BD6</f>
        <v>947302293.12999988</v>
      </c>
      <c r="BE7" s="27">
        <f>股权价值增加表!BE6</f>
        <v>2474737270.9700003</v>
      </c>
      <c r="BF7" s="27">
        <f>股权价值增加表!BF6</f>
        <v>1702503737.04</v>
      </c>
      <c r="BG7" s="27">
        <f>股权价值增加表!BG6</f>
        <v>1084167786.3399999</v>
      </c>
      <c r="BH7" s="27">
        <f>股权价值增加表!BH6</f>
        <v>702188137.61000001</v>
      </c>
      <c r="BI7" s="27">
        <f>股权价值增加表!BI6</f>
        <v>1923629805.0699997</v>
      </c>
      <c r="BJ7" s="27">
        <f>股权价值增加表!BJ6</f>
        <v>1250011052.4199998</v>
      </c>
      <c r="BK7" s="27">
        <f>股权价值增加表!BK6</f>
        <v>812108736.69000006</v>
      </c>
      <c r="BL7" s="27">
        <f>股权价值增加表!BL6</f>
        <v>597808352.74000001</v>
      </c>
      <c r="BM7" s="27">
        <f>股权价值增加表!BM6</f>
        <v>1494341850.1100001</v>
      </c>
      <c r="BN7" s="27">
        <f>股权价值增加表!BN6</f>
        <v>1133090473.6900001</v>
      </c>
      <c r="BO7" s="27">
        <f>股权价值增加表!BO6</f>
        <v>797285670.28999996</v>
      </c>
      <c r="BP7" s="27">
        <f>股权价值增加表!BP6</f>
        <v>602463008.55999994</v>
      </c>
      <c r="BQ7" s="27">
        <f>股权价值增加表!BQ6</f>
        <v>1330508192.1999998</v>
      </c>
      <c r="BR7" s="27">
        <f>股权价值增加表!BR6</f>
        <v>727380314.09000003</v>
      </c>
      <c r="BS7" s="27">
        <f>股权价值增加表!BS6</f>
        <v>917137369.26999998</v>
      </c>
      <c r="BT7" s="27">
        <f>股权价值增加表!BT6</f>
        <v>761724949.37</v>
      </c>
      <c r="BU7" s="27">
        <f>股权价值增加表!BU6</f>
        <v>551459063.21000004</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0.89796196153766783</v>
      </c>
      <c r="F8" s="66">
        <f t="shared" ref="F8:BQ8" si="7">F7/F2</f>
        <v>0.8993311839616609</v>
      </c>
      <c r="G8" s="66">
        <f t="shared" si="7"/>
        <v>0.89618746267866523</v>
      </c>
      <c r="H8" s="66">
        <f t="shared" si="7"/>
        <v>0.9115613799003629</v>
      </c>
      <c r="I8" s="66">
        <f t="shared" si="7"/>
        <v>0.91225136600612233</v>
      </c>
      <c r="J8" s="66">
        <f t="shared" si="7"/>
        <v>0.91643855612655489</v>
      </c>
      <c r="K8" s="66">
        <f t="shared" si="7"/>
        <v>0.91881424877012707</v>
      </c>
      <c r="L8" s="66">
        <f t="shared" si="7"/>
        <v>0.92341366777337575</v>
      </c>
      <c r="M8" s="66">
        <f t="shared" si="7"/>
        <v>0.92227894052748705</v>
      </c>
      <c r="N8" s="66">
        <f t="shared" si="7"/>
        <v>0.9245293031418903</v>
      </c>
      <c r="O8" s="66">
        <f t="shared" si="7"/>
        <v>0.92611039641731396</v>
      </c>
      <c r="P8" s="66">
        <f t="shared" si="7"/>
        <v>0.93214204240267939</v>
      </c>
      <c r="Q8" s="66">
        <f t="shared" si="7"/>
        <v>0.9259341285314433</v>
      </c>
      <c r="R8" s="66">
        <f t="shared" si="7"/>
        <v>0.92663719275195278</v>
      </c>
      <c r="S8" s="66">
        <f t="shared" si="7"/>
        <v>0.93104532155457054</v>
      </c>
      <c r="T8" s="66">
        <f t="shared" si="7"/>
        <v>0.93195341752034266</v>
      </c>
      <c r="U8" s="66">
        <f t="shared" si="7"/>
        <v>0.92904940156858784</v>
      </c>
      <c r="V8" s="66">
        <f t="shared" si="7"/>
        <v>0.93431419526511972</v>
      </c>
      <c r="W8" s="66">
        <f t="shared" si="7"/>
        <v>0.93399097935979891</v>
      </c>
      <c r="X8" s="66">
        <f t="shared" si="7"/>
        <v>0.93285855234818349</v>
      </c>
      <c r="Y8" s="66">
        <f t="shared" si="7"/>
        <v>0.92272611717304409</v>
      </c>
      <c r="Z8" s="66">
        <f t="shared" si="7"/>
        <v>0.91827604246084005</v>
      </c>
      <c r="AA8" s="66">
        <f t="shared" si="7"/>
        <v>0.92011381431775852</v>
      </c>
      <c r="AB8" s="66">
        <f t="shared" si="7"/>
        <v>0.91987067586067361</v>
      </c>
      <c r="AC8" s="66">
        <f t="shared" si="7"/>
        <v>0.91570459549413308</v>
      </c>
      <c r="AD8" s="66">
        <f t="shared" si="7"/>
        <v>0.91527336750418942</v>
      </c>
      <c r="AE8" s="66">
        <f t="shared" si="7"/>
        <v>0.91399474502859701</v>
      </c>
      <c r="AF8" s="66">
        <f t="shared" si="7"/>
        <v>0.90710701945106209</v>
      </c>
      <c r="AG8" s="66">
        <f t="shared" si="7"/>
        <v>0.90948973521781318</v>
      </c>
      <c r="AH8" s="66">
        <f t="shared" si="7"/>
        <v>0.9119497948408174</v>
      </c>
      <c r="AI8" s="66">
        <f t="shared" si="7"/>
        <v>0.91359234632652897</v>
      </c>
      <c r="AJ8" s="66">
        <f t="shared" si="7"/>
        <v>0.90283028398799536</v>
      </c>
      <c r="AK8" s="66">
        <f t="shared" si="7"/>
        <v>0.90168842325201826</v>
      </c>
      <c r="AL8" s="66">
        <f t="shared" si="7"/>
        <v>0.90480488213118759</v>
      </c>
      <c r="AM8" s="66">
        <f t="shared" si="7"/>
        <v>0.90414359931802224</v>
      </c>
      <c r="AN8" s="66">
        <f t="shared" si="7"/>
        <v>0.89992254116574244</v>
      </c>
      <c r="AO8" s="66">
        <f t="shared" si="7"/>
        <v>0.90296726160938423</v>
      </c>
      <c r="AP8" s="66">
        <f t="shared" si="7"/>
        <v>0.90519718552969775</v>
      </c>
      <c r="AQ8" s="66">
        <f t="shared" si="7"/>
        <v>0.90431130509406099</v>
      </c>
      <c r="AR8" s="66">
        <f t="shared" si="7"/>
        <v>0.89926708042345727</v>
      </c>
      <c r="AS8" s="66">
        <f t="shared" si="7"/>
        <v>0.87956450309706191</v>
      </c>
      <c r="AT8" s="66">
        <f t="shared" si="7"/>
        <v>0.85137288778233766</v>
      </c>
      <c r="AU8" s="66">
        <f t="shared" si="7"/>
        <v>0.85195754856336703</v>
      </c>
      <c r="AV8" s="66">
        <f t="shared" si="7"/>
        <v>0.85026817638150454</v>
      </c>
      <c r="AW8" s="66">
        <f t="shared" si="7"/>
        <v>0.83840897897617539</v>
      </c>
      <c r="AX8" s="66">
        <f t="shared" si="7"/>
        <v>0.83498842187900746</v>
      </c>
      <c r="AY8" s="66">
        <f t="shared" si="7"/>
        <v>0.83125221861885623</v>
      </c>
      <c r="AZ8" s="66">
        <f t="shared" si="7"/>
        <v>0.83200227944850824</v>
      </c>
      <c r="BA8" s="66">
        <f t="shared" si="7"/>
        <v>0.82518657856729138</v>
      </c>
      <c r="BB8" s="66">
        <f t="shared" si="7"/>
        <v>0.82541052016854632</v>
      </c>
      <c r="BC8" s="66">
        <f t="shared" si="7"/>
        <v>0.82556127207542496</v>
      </c>
      <c r="BD8" s="66">
        <f t="shared" si="7"/>
        <v>0.82804890805028164</v>
      </c>
      <c r="BE8" s="66">
        <f t="shared" si="7"/>
        <v>0.82222825406168676</v>
      </c>
      <c r="BF8" s="66">
        <f t="shared" si="7"/>
        <v>0.822291512748206</v>
      </c>
      <c r="BG8" s="66">
        <f t="shared" si="7"/>
        <v>0.82502107044476136</v>
      </c>
      <c r="BH8" s="66">
        <f t="shared" si="7"/>
        <v>0.82278168039945465</v>
      </c>
      <c r="BI8" s="66">
        <f t="shared" si="7"/>
        <v>0.80117260978564153</v>
      </c>
      <c r="BJ8" s="66">
        <f t="shared" si="7"/>
        <v>0.80503338768494803</v>
      </c>
      <c r="BK8" s="66">
        <f t="shared" si="7"/>
        <v>0.80482701160245407</v>
      </c>
      <c r="BL8" s="66">
        <f t="shared" si="7"/>
        <v>0.81457569782109385</v>
      </c>
      <c r="BM8" s="66">
        <f t="shared" si="7"/>
        <v>0.81440036990793552</v>
      </c>
      <c r="BN8" s="66">
        <f t="shared" si="7"/>
        <v>0.83078078910499376</v>
      </c>
      <c r="BO8" s="66">
        <f t="shared" si="7"/>
        <v>0.83428258857791204</v>
      </c>
      <c r="BP8" s="66">
        <f t="shared" si="7"/>
        <v>0.8390676061961021</v>
      </c>
      <c r="BQ8" s="66">
        <f t="shared" si="7"/>
        <v>0.82229284534049785</v>
      </c>
      <c r="BR8" s="66">
        <f t="shared" ref="BR8:CJ8" si="8">BR7/BR2</f>
        <v>0.83237294110553206</v>
      </c>
      <c r="BS8" s="66">
        <f t="shared" si="8"/>
        <v>0.82328249526685626</v>
      </c>
      <c r="BT8" s="66">
        <f t="shared" si="8"/>
        <v>0.85504624826764142</v>
      </c>
      <c r="BU8" s="66">
        <f t="shared" si="8"/>
        <v>0.87786171397088131</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0.47459376799588965</v>
      </c>
      <c r="F9" s="66">
        <f t="shared" ref="F9:BQ9" si="9">(F7-J7)/J7</f>
        <v>0.56421658627386284</v>
      </c>
      <c r="G9" s="66">
        <f t="shared" si="9"/>
        <v>0.29830078192384968</v>
      </c>
      <c r="H9" s="66">
        <f t="shared" si="9"/>
        <v>0.31526105408355587</v>
      </c>
      <c r="I9" s="66">
        <f t="shared" si="9"/>
        <v>0.17697938467634283</v>
      </c>
      <c r="J9" s="66">
        <f t="shared" si="9"/>
        <v>0.14040250640254412</v>
      </c>
      <c r="K9" s="66">
        <f t="shared" si="9"/>
        <v>0.14268736055418607</v>
      </c>
      <c r="L9" s="66">
        <f t="shared" si="9"/>
        <v>0.15811148781305454</v>
      </c>
      <c r="M9" s="66">
        <f t="shared" si="9"/>
        <v>3.0301242475883689E-2</v>
      </c>
      <c r="N9" s="66">
        <f t="shared" si="9"/>
        <v>6.3441834926448282E-2</v>
      </c>
      <c r="O9" s="66">
        <f t="shared" si="9"/>
        <v>9.5895918333026381E-2</v>
      </c>
      <c r="P9" s="66">
        <f t="shared" si="9"/>
        <v>0.14714129701441736</v>
      </c>
      <c r="Q9" s="66">
        <f t="shared" si="9"/>
        <v>1.766566040314281E-2</v>
      </c>
      <c r="R9" s="66">
        <f t="shared" si="9"/>
        <v>-1.8051670255376007E-2</v>
      </c>
      <c r="S9" s="66">
        <f t="shared" si="9"/>
        <v>1.0517729967711217E-2</v>
      </c>
      <c r="T9" s="66">
        <f t="shared" si="9"/>
        <v>3.8629604790206926E-2</v>
      </c>
      <c r="U9" s="66">
        <f t="shared" si="9"/>
        <v>0.17684024627642042</v>
      </c>
      <c r="V9" s="66">
        <f t="shared" si="9"/>
        <v>0.11978025021419156</v>
      </c>
      <c r="W9" s="66">
        <f t="shared" si="9"/>
        <v>8.1157301303037208E-2</v>
      </c>
      <c r="X9" s="66">
        <f t="shared" si="9"/>
        <v>0.20794552543652661</v>
      </c>
      <c r="Y9" s="66">
        <f t="shared" si="9"/>
        <v>0.44862934336825155</v>
      </c>
      <c r="Z9" s="66">
        <f t="shared" si="9"/>
        <v>0.46581994373880325</v>
      </c>
      <c r="AA9" s="66">
        <f t="shared" si="9"/>
        <v>0.35899464559623268</v>
      </c>
      <c r="AB9" s="66">
        <f t="shared" si="9"/>
        <v>0.44544201001485773</v>
      </c>
      <c r="AC9" s="66">
        <f t="shared" si="9"/>
        <v>0.59268056437209737</v>
      </c>
      <c r="AD9" s="66">
        <f t="shared" si="9"/>
        <v>0.46788307926676748</v>
      </c>
      <c r="AE9" s="66">
        <f t="shared" si="9"/>
        <v>0.49229600632724702</v>
      </c>
      <c r="AF9" s="66">
        <f t="shared" si="9"/>
        <v>0.39497143044222915</v>
      </c>
      <c r="AG9" s="66">
        <f t="shared" si="9"/>
        <v>0.21343689794401999</v>
      </c>
      <c r="AH9" s="66">
        <f t="shared" si="9"/>
        <v>0.20417452814634446</v>
      </c>
      <c r="AI9" s="66">
        <f t="shared" si="9"/>
        <v>0.20016215471037072</v>
      </c>
      <c r="AJ9" s="66">
        <f t="shared" si="9"/>
        <v>0.21380427374121627</v>
      </c>
      <c r="AK9" s="66">
        <f t="shared" si="9"/>
        <v>0.17164186095030412</v>
      </c>
      <c r="AL9" s="66">
        <f t="shared" si="9"/>
        <v>0.20308302349990856</v>
      </c>
      <c r="AM9" s="66">
        <f t="shared" si="9"/>
        <v>0.2002850272496918</v>
      </c>
      <c r="AN9" s="66">
        <f t="shared" si="9"/>
        <v>0.26128570850013921</v>
      </c>
      <c r="AO9" s="66">
        <f t="shared" si="9"/>
        <v>0.16905765710574064</v>
      </c>
      <c r="AP9" s="66">
        <f t="shared" si="9"/>
        <v>0.54688368026732059</v>
      </c>
      <c r="AQ9" s="66">
        <f t="shared" si="9"/>
        <v>0.86513442579732713</v>
      </c>
      <c r="AR9" s="66">
        <f t="shared" si="9"/>
        <v>0.32807948979758078</v>
      </c>
      <c r="AS9" s="66">
        <f t="shared" si="9"/>
        <v>0.55073720571712459</v>
      </c>
      <c r="AT9" s="66">
        <f t="shared" si="9"/>
        <v>0.39896345807639844</v>
      </c>
      <c r="AU9" s="66">
        <f t="shared" si="9"/>
        <v>0.32772913424811995</v>
      </c>
      <c r="AV9" s="66">
        <f t="shared" si="9"/>
        <v>0.19778033913163234</v>
      </c>
      <c r="AW9" s="66">
        <f t="shared" si="9"/>
        <v>0.26564605130517266</v>
      </c>
      <c r="AX9" s="66">
        <f t="shared" si="9"/>
        <v>0.27393528708447967</v>
      </c>
      <c r="AY9" s="66">
        <f t="shared" si="9"/>
        <v>0.21190806821570649</v>
      </c>
      <c r="AZ9" s="66">
        <f t="shared" si="9"/>
        <v>0.189636585304188</v>
      </c>
      <c r="BA9" s="66">
        <f t="shared" si="9"/>
        <v>0.31060717393192649</v>
      </c>
      <c r="BB9" s="66">
        <f t="shared" si="9"/>
        <v>0.25099422517153641</v>
      </c>
      <c r="BC9" s="66">
        <f t="shared" si="9"/>
        <v>0.28394837528723399</v>
      </c>
      <c r="BD9" s="66">
        <f t="shared" si="9"/>
        <v>0.34907191163080842</v>
      </c>
      <c r="BE9" s="66">
        <f t="shared" si="9"/>
        <v>0.28649351577287818</v>
      </c>
      <c r="BF9" s="66">
        <f t="shared" si="9"/>
        <v>0.36199094699521422</v>
      </c>
      <c r="BG9" s="66">
        <f t="shared" si="9"/>
        <v>0.33500322968924151</v>
      </c>
      <c r="BH9" s="66">
        <f t="shared" si="9"/>
        <v>0.17460409241788741</v>
      </c>
      <c r="BI9" s="66">
        <f t="shared" si="9"/>
        <v>0.2872756022515191</v>
      </c>
      <c r="BJ9" s="66">
        <f t="shared" si="9"/>
        <v>0.1031873283244881</v>
      </c>
      <c r="BK9" s="66">
        <f t="shared" si="9"/>
        <v>1.8591913729753152E-2</v>
      </c>
      <c r="BL9" s="66">
        <f t="shared" si="9"/>
        <v>-7.726044178422568E-3</v>
      </c>
      <c r="BM9" s="66">
        <f t="shared" si="9"/>
        <v>0.12313615118678888</v>
      </c>
      <c r="BN9" s="66">
        <f t="shared" si="9"/>
        <v>0.55776895764297629</v>
      </c>
      <c r="BO9" s="66">
        <f t="shared" si="9"/>
        <v>-0.13068020451003601</v>
      </c>
      <c r="BP9" s="66">
        <f t="shared" si="9"/>
        <v>-0.20908064117070194</v>
      </c>
      <c r="BQ9" s="66">
        <f t="shared" si="9"/>
        <v>1.4127052776233575</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8404214470.6899996</v>
      </c>
      <c r="F10" s="27">
        <f>股权价值增加表!F8</f>
        <v>6423976199.8900003</v>
      </c>
      <c r="G10" s="27">
        <f>股权价值增加表!G8</f>
        <v>3419416545.5</v>
      </c>
      <c r="H10" s="27">
        <f>股权价值增加表!H8</f>
        <v>1973301671.9300001</v>
      </c>
      <c r="I10" s="27">
        <f>股权价值增加表!I8</f>
        <v>6508926343.2600002</v>
      </c>
      <c r="J10" s="27">
        <f>股权价值增加表!J8</f>
        <v>3623883800.0500002</v>
      </c>
      <c r="K10" s="27">
        <f>股权价值增加表!K8</f>
        <v>2205658604.8699999</v>
      </c>
      <c r="L10" s="27">
        <f>股权价值增加表!L8</f>
        <v>1180622899.52</v>
      </c>
      <c r="M10" s="27">
        <f>股权价值增加表!M8</f>
        <v>3449170637.4000001</v>
      </c>
      <c r="N10" s="27">
        <f>股权价值增加表!N8</f>
        <v>2171605445.23</v>
      </c>
      <c r="O10" s="27">
        <f>股权价值增加表!O8</f>
        <v>1443140055.8199999</v>
      </c>
      <c r="P10" s="27">
        <f>股权价值增加表!P8</f>
        <v>806537815.96000004</v>
      </c>
      <c r="Q10" s="27">
        <f>股权价值增加表!Q8</f>
        <v>2788994436.0500002</v>
      </c>
      <c r="R10" s="27">
        <f>股权价值增加表!R8</f>
        <v>2004308881.3199999</v>
      </c>
      <c r="S10" s="27">
        <f>股权价值增加表!S8</f>
        <v>1265321917.52</v>
      </c>
      <c r="T10" s="27">
        <f>股权价值增加表!T8</f>
        <v>704741188.09000003</v>
      </c>
      <c r="U10" s="27">
        <f>股权价值增加表!U8</f>
        <v>2790747889.4899998</v>
      </c>
      <c r="V10" s="27">
        <f>股权价值增加表!V8</f>
        <v>1972678618.54</v>
      </c>
      <c r="W10" s="27">
        <f>股权价值增加表!W8</f>
        <v>1099186549.1099999</v>
      </c>
      <c r="X10" s="27">
        <f>股权价值增加表!X8</f>
        <v>586532904</v>
      </c>
      <c r="Y10" s="27">
        <f>股权价值增加表!Y8</f>
        <v>2572644755.4200001</v>
      </c>
      <c r="Z10" s="27">
        <f>股权价值增加表!Z8</f>
        <v>1784696541.1800001</v>
      </c>
      <c r="AA10" s="27">
        <f>股权价值增加表!AA8</f>
        <v>1356209475.46</v>
      </c>
      <c r="AB10" s="27">
        <f>股权价值增加表!AB8</f>
        <v>808353307.79999995</v>
      </c>
      <c r="AC10" s="27">
        <f>股权价值增加表!AC8</f>
        <v>2477391798.0100002</v>
      </c>
      <c r="AD10" s="27">
        <f>股权价值增加表!AD8</f>
        <v>1931440577.01</v>
      </c>
      <c r="AE10" s="27">
        <f>股权价值增加表!AE8</f>
        <v>1277257264.3</v>
      </c>
      <c r="AF10" s="27">
        <f>股权价值增加表!AF8</f>
        <v>708575156.14999998</v>
      </c>
      <c r="AG10" s="27">
        <f>股权价值增加表!AG8</f>
        <v>1577013104.9000001</v>
      </c>
      <c r="AH10" s="27">
        <f>股权价值增加表!AH8</f>
        <v>1409893974.9300001</v>
      </c>
      <c r="AI10" s="27">
        <f>股权价值增加表!AI8</f>
        <v>858980338.08000004</v>
      </c>
      <c r="AJ10" s="27">
        <f>股权价值增加表!AJ8</f>
        <v>540768518.44000006</v>
      </c>
      <c r="AK10" s="27">
        <f>股权价值增加表!AK8</f>
        <v>940508549.65999997</v>
      </c>
      <c r="AL10" s="27">
        <f>股权价值增加表!AL8</f>
        <v>676193009.49000001</v>
      </c>
      <c r="AM10" s="27">
        <f>股权价值增加表!AM8</f>
        <v>418028504.85000002</v>
      </c>
      <c r="AN10" s="27">
        <f>股权价值增加表!AN8</f>
        <v>234708691.38999999</v>
      </c>
      <c r="AO10" s="27">
        <f>股权价值增加表!AO8</f>
        <v>681761604.71000004</v>
      </c>
      <c r="AP10" s="27">
        <f>股权价值增加表!AP8</f>
        <v>533718466.75999999</v>
      </c>
      <c r="AQ10" s="27">
        <f>股权价值增加表!AQ8</f>
        <v>370471947.33999997</v>
      </c>
      <c r="AR10" s="27">
        <f>股权价值增加表!AR8</f>
        <v>198645627.71000001</v>
      </c>
      <c r="AS10" s="27">
        <f>股权价值增加表!AS8</f>
        <v>604078928.40999997</v>
      </c>
      <c r="AT10" s="27">
        <f>股权价值增加表!AT8</f>
        <v>412234460.64999998</v>
      </c>
      <c r="AU10" s="27">
        <f>股权价值增加表!AU8</f>
        <v>291887086.48000002</v>
      </c>
      <c r="AV10" s="27">
        <f>股权价值增加表!AV8</f>
        <v>191506723.52000001</v>
      </c>
      <c r="AW10" s="27">
        <f>股权价值增加表!AW8</f>
        <v>574699589.65999997</v>
      </c>
      <c r="AX10" s="27">
        <f>股权价值增加表!AX8</f>
        <v>422145286.06</v>
      </c>
      <c r="AY10" s="27">
        <f>股权价值增加表!AY8</f>
        <v>297988718.55000001</v>
      </c>
      <c r="AZ10" s="27">
        <f>股权价值增加表!AZ8</f>
        <v>178317665.44</v>
      </c>
      <c r="BA10" s="27">
        <f>股权价值增加表!BA8</f>
        <v>530245028.45999998</v>
      </c>
      <c r="BB10" s="27">
        <f>股权价值增加表!BB8</f>
        <v>406925341.75999999</v>
      </c>
      <c r="BC10" s="27">
        <f>股权价值增加表!BC8</f>
        <v>265598185.91999999</v>
      </c>
      <c r="BD10" s="27">
        <f>股权价值增加表!BD8</f>
        <v>165915935.69999999</v>
      </c>
      <c r="BE10" s="27">
        <f>股权价值增加表!BE8</f>
        <v>324855608.17000002</v>
      </c>
      <c r="BF10" s="27">
        <f>股权价值增加表!BF8</f>
        <v>320394935.06999999</v>
      </c>
      <c r="BG10" s="27">
        <f>股权价值增加表!BG8</f>
        <v>198084137.61000001</v>
      </c>
      <c r="BH10" s="27">
        <f>股权价值增加表!BH8</f>
        <v>119817149.3</v>
      </c>
      <c r="BI10" s="27">
        <f>股权价值增加表!BI8</f>
        <v>308189009.56</v>
      </c>
      <c r="BJ10" s="27">
        <f>股权价值增加表!BJ8</f>
        <v>268206392.63</v>
      </c>
      <c r="BK10" s="27">
        <f>股权价值增加表!BK8</f>
        <v>161846133.84999999</v>
      </c>
      <c r="BL10" s="27">
        <f>股权价值增加表!BL8</f>
        <v>121107780.34</v>
      </c>
      <c r="BM10" s="27">
        <f>股权价值增加表!BM8</f>
        <v>320026615.94999999</v>
      </c>
      <c r="BN10" s="27">
        <f>股权价值增加表!BN8</f>
        <v>228116802.27000001</v>
      </c>
      <c r="BO10" s="27">
        <f>股权价值增加表!BO8</f>
        <v>160878207.99000001</v>
      </c>
      <c r="BP10" s="27">
        <f>股权价值增加表!BP8</f>
        <v>124848157.48</v>
      </c>
      <c r="BQ10" s="27">
        <f>股权价值增加表!BQ8</f>
        <v>317884849.44</v>
      </c>
      <c r="BR10" s="27">
        <f>股权价值增加表!BR8</f>
        <v>161749763</v>
      </c>
      <c r="BS10" s="27">
        <f>股权价值增加表!BS8</f>
        <v>199224062.88</v>
      </c>
      <c r="BT10" s="27">
        <f>股权价值增加表!BT8</f>
        <v>172867651.11000001</v>
      </c>
      <c r="BU10" s="27">
        <f>股权价值增加表!BU8</f>
        <v>119074532.43000001</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0.14435800767975732</v>
      </c>
      <c r="F11" s="57">
        <f t="shared" ref="F11:BQ11" si="11">F10/F2</f>
        <v>0.15132875038157087</v>
      </c>
      <c r="G11" s="57">
        <f t="shared" si="11"/>
        <v>0.14135643959716437</v>
      </c>
      <c r="H11" s="57">
        <f t="shared" si="11"/>
        <v>0.14827223575199053</v>
      </c>
      <c r="I11" s="57">
        <f t="shared" si="11"/>
        <v>0.1674873789740548</v>
      </c>
      <c r="J11" s="57">
        <f t="shared" si="11"/>
        <v>0.13607312932262502</v>
      </c>
      <c r="K11" s="57">
        <f t="shared" si="11"/>
        <v>0.121368520492037</v>
      </c>
      <c r="L11" s="57">
        <f t="shared" si="11"/>
        <v>0.11819521547112471</v>
      </c>
      <c r="M11" s="57">
        <f t="shared" si="11"/>
        <v>0.10560975505423192</v>
      </c>
      <c r="N11" s="57">
        <f t="shared" si="11"/>
        <v>9.3811163513361578E-2</v>
      </c>
      <c r="O11" s="57">
        <f t="shared" si="11"/>
        <v>9.1461581794907751E-2</v>
      </c>
      <c r="P11" s="57">
        <f t="shared" si="11"/>
        <v>9.4395131663480625E-2</v>
      </c>
      <c r="Q11" s="57">
        <f t="shared" si="11"/>
        <v>8.8332195764521421E-2</v>
      </c>
      <c r="R11" s="57">
        <f t="shared" si="11"/>
        <v>9.2287108554574129E-2</v>
      </c>
      <c r="S11" s="57">
        <f t="shared" si="11"/>
        <v>8.8350422305818049E-2</v>
      </c>
      <c r="T11" s="57">
        <f t="shared" si="11"/>
        <v>9.4598345206860321E-2</v>
      </c>
      <c r="U11" s="57">
        <f t="shared" si="11"/>
        <v>9.0251789050588727E-2</v>
      </c>
      <c r="V11" s="57">
        <f t="shared" si="11"/>
        <v>8.9929997464480257E-2</v>
      </c>
      <c r="W11" s="57">
        <f t="shared" si="11"/>
        <v>7.7802723811111849E-2</v>
      </c>
      <c r="X11" s="57">
        <f t="shared" si="11"/>
        <v>8.185186051411493E-2</v>
      </c>
      <c r="Y11" s="57">
        <f t="shared" si="11"/>
        <v>9.7244837025972725E-2</v>
      </c>
      <c r="Z11" s="57">
        <f t="shared" si="11"/>
        <v>8.9541782555375607E-2</v>
      </c>
      <c r="AA11" s="57">
        <f t="shared" si="11"/>
        <v>0.10224402211281772</v>
      </c>
      <c r="AB11" s="57">
        <f t="shared" si="11"/>
        <v>0.13436795915769387</v>
      </c>
      <c r="AC11" s="57">
        <f t="shared" si="11"/>
        <v>0.13462362670987069</v>
      </c>
      <c r="AD11" s="57">
        <f t="shared" si="11"/>
        <v>0.14157967237695487</v>
      </c>
      <c r="AE11" s="57">
        <f t="shared" si="11"/>
        <v>0.12998984500167945</v>
      </c>
      <c r="AF11" s="57">
        <f t="shared" si="11"/>
        <v>0.16788536853678646</v>
      </c>
      <c r="AG11" s="57">
        <f t="shared" si="11"/>
        <v>0.13556044364783965</v>
      </c>
      <c r="AH11" s="57">
        <f t="shared" si="11"/>
        <v>0.15115327982901564</v>
      </c>
      <c r="AI11" s="57">
        <f t="shared" si="11"/>
        <v>0.1304001221103632</v>
      </c>
      <c r="AJ11" s="57">
        <f t="shared" si="11"/>
        <v>0.17788987573236728</v>
      </c>
      <c r="AK11" s="57">
        <f t="shared" si="11"/>
        <v>9.7260459209989436E-2</v>
      </c>
      <c r="AL11" s="57">
        <f t="shared" si="11"/>
        <v>8.6611435963491176E-2</v>
      </c>
      <c r="AM11" s="57">
        <f t="shared" si="11"/>
        <v>7.5374693516654309E-2</v>
      </c>
      <c r="AN11" s="57">
        <f t="shared" si="11"/>
        <v>9.3415012702702444E-2</v>
      </c>
      <c r="AO11" s="57">
        <f t="shared" si="11"/>
        <v>8.2721137491444913E-2</v>
      </c>
      <c r="AP11" s="57">
        <f t="shared" si="11"/>
        <v>8.2281206329707937E-2</v>
      </c>
      <c r="AQ11" s="57">
        <f t="shared" si="11"/>
        <v>8.0193640110865869E-2</v>
      </c>
      <c r="AR11" s="57">
        <f t="shared" si="11"/>
        <v>9.9646845694026182E-2</v>
      </c>
      <c r="AS11" s="57">
        <f t="shared" si="11"/>
        <v>8.3465935567035562E-2</v>
      </c>
      <c r="AT11" s="57">
        <f t="shared" si="11"/>
        <v>9.246278977501815E-2</v>
      </c>
      <c r="AU11" s="57">
        <f t="shared" si="11"/>
        <v>0.11102214500920915</v>
      </c>
      <c r="AV11" s="57">
        <f t="shared" si="11"/>
        <v>0.12063126172601908</v>
      </c>
      <c r="AW11" s="57">
        <f t="shared" si="11"/>
        <v>0.11737697135662321</v>
      </c>
      <c r="AX11" s="57">
        <f t="shared" si="11"/>
        <v>0.12991271269633217</v>
      </c>
      <c r="AY11" s="57">
        <f t="shared" si="11"/>
        <v>0.14683138730817569</v>
      </c>
      <c r="AZ11" s="57">
        <f t="shared" si="11"/>
        <v>0.1316485213231719</v>
      </c>
      <c r="BA11" s="57">
        <f t="shared" si="11"/>
        <v>0.13490471258990011</v>
      </c>
      <c r="BB11" s="57">
        <f t="shared" si="11"/>
        <v>0.15770350943000452</v>
      </c>
      <c r="BC11" s="57">
        <f t="shared" si="11"/>
        <v>0.15751806017932041</v>
      </c>
      <c r="BD11" s="57">
        <f t="shared" si="11"/>
        <v>0.14502921652452069</v>
      </c>
      <c r="BE11" s="57">
        <f t="shared" si="11"/>
        <v>0.10793285520085598</v>
      </c>
      <c r="BF11" s="57">
        <f t="shared" si="11"/>
        <v>0.15474740530885758</v>
      </c>
      <c r="BG11" s="57">
        <f t="shared" si="11"/>
        <v>0.15073643517930468</v>
      </c>
      <c r="BH11" s="57">
        <f t="shared" si="11"/>
        <v>0.14039450420975383</v>
      </c>
      <c r="BI11" s="57">
        <f t="shared" si="11"/>
        <v>0.1283576457620193</v>
      </c>
      <c r="BJ11" s="57">
        <f t="shared" si="11"/>
        <v>0.17273055341365204</v>
      </c>
      <c r="BK11" s="57">
        <f t="shared" si="11"/>
        <v>0.16039495003687998</v>
      </c>
      <c r="BL11" s="57">
        <f t="shared" si="11"/>
        <v>0.16502187403347462</v>
      </c>
      <c r="BM11" s="57">
        <f t="shared" si="11"/>
        <v>0.17441109234200966</v>
      </c>
      <c r="BN11" s="57">
        <f t="shared" si="11"/>
        <v>0.16725500866740803</v>
      </c>
      <c r="BO11" s="57">
        <f t="shared" si="11"/>
        <v>0.16834353458134188</v>
      </c>
      <c r="BP11" s="57">
        <f t="shared" si="11"/>
        <v>0.17387962936533524</v>
      </c>
      <c r="BQ11" s="57">
        <f t="shared" si="11"/>
        <v>0.1964621028784774</v>
      </c>
      <c r="BR11" s="57">
        <f t="shared" ref="BR11:CJ11" si="12">BR10/BR2</f>
        <v>0.18509729139407807</v>
      </c>
      <c r="BS11" s="57">
        <f t="shared" si="12"/>
        <v>0.17883655066372245</v>
      </c>
      <c r="BT11" s="57">
        <f t="shared" si="12"/>
        <v>0.1940462061150737</v>
      </c>
      <c r="BU11" s="57">
        <f t="shared" si="12"/>
        <v>0.18955345936435333</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2986068544.9899998</v>
      </c>
      <c r="F12" s="27">
        <f>股权价值增加表!F9</f>
        <v>1977910933.9000001</v>
      </c>
      <c r="G12" s="27">
        <f>股权价值增加表!G9</f>
        <v>1378870495.3199999</v>
      </c>
      <c r="H12" s="27">
        <f>股权价值增加表!H9</f>
        <v>852434090.09000003</v>
      </c>
      <c r="I12" s="27">
        <f>股权价值增加表!I9</f>
        <v>1681052022.9000001</v>
      </c>
      <c r="J12" s="27">
        <f>股权价值增加表!J9</f>
        <v>655110282.33000004</v>
      </c>
      <c r="K12" s="27">
        <f>股权价值增加表!K9</f>
        <v>387421652.44999999</v>
      </c>
      <c r="L12" s="27">
        <f>股权价值增加表!L9</f>
        <v>170385412.55000001</v>
      </c>
      <c r="M12" s="27">
        <f>股权价值增加表!M9</f>
        <v>1484961519.21</v>
      </c>
      <c r="N12" s="27">
        <f>股权价值增加表!N9</f>
        <v>935401479.02999997</v>
      </c>
      <c r="O12" s="27">
        <f>股权价值增加表!O9</f>
        <v>592014002.75</v>
      </c>
      <c r="P12" s="27">
        <f>股权价值增加表!P9</f>
        <v>242599825.81999999</v>
      </c>
      <c r="Q12" s="27">
        <f>股权价值增加表!Q9</f>
        <v>1674733451.0599999</v>
      </c>
      <c r="R12" s="27">
        <f>股权价值增加表!R9</f>
        <v>976711335.94000006</v>
      </c>
      <c r="S12" s="27">
        <f>股权价值增加表!S9</f>
        <v>646806094.26999998</v>
      </c>
      <c r="T12" s="27">
        <f>股权价值增加表!T9</f>
        <v>329145907.60000002</v>
      </c>
      <c r="U12" s="27">
        <f>股权价值增加表!U9</f>
        <v>1858132722.71</v>
      </c>
      <c r="V12" s="27">
        <f>股权价值增加表!V9</f>
        <v>1165549963.0799999</v>
      </c>
      <c r="W12" s="27">
        <f>股权价值增加表!W9</f>
        <v>799796571.35000002</v>
      </c>
      <c r="X12" s="27">
        <f>股权价值增加表!X9</f>
        <v>284030284.32999998</v>
      </c>
      <c r="Y12" s="27">
        <f>股权价值增加表!Y9</f>
        <v>1224553444.02</v>
      </c>
      <c r="Z12" s="27">
        <f>股权价值增加表!Z9</f>
        <v>842051124.48000002</v>
      </c>
      <c r="AA12" s="27">
        <f>股权价值增加表!AA9</f>
        <v>406579445.95999998</v>
      </c>
      <c r="AB12" s="27">
        <f>股权价值增加表!AB9</f>
        <v>190131949.47</v>
      </c>
      <c r="AC12" s="27">
        <f>股权价值增加表!AC9</f>
        <v>720327727.88999999</v>
      </c>
      <c r="AD12" s="27">
        <f>股权价值增加表!AD9</f>
        <v>493777287.81999999</v>
      </c>
      <c r="AE12" s="27">
        <f>股权价值增加表!AE9</f>
        <v>324597983.18000001</v>
      </c>
      <c r="AF12" s="27">
        <f>股权价值增加表!AF9</f>
        <v>167210185.33000001</v>
      </c>
      <c r="AG12" s="27">
        <f>股权价值增加表!AG9</f>
        <v>676531662.09000003</v>
      </c>
      <c r="AH12" s="27">
        <f>股权价值增加表!AH9</f>
        <v>482572956.68000001</v>
      </c>
      <c r="AI12" s="27">
        <f>股权价值增加表!AI9</f>
        <v>314756689.20999998</v>
      </c>
      <c r="AJ12" s="27">
        <f>股权价值增加表!AJ9</f>
        <v>144719684.59</v>
      </c>
      <c r="AK12" s="27">
        <f>股权价值增加表!AK9</f>
        <v>621284334.75</v>
      </c>
      <c r="AL12" s="27">
        <f>股权价值增加表!AL9</f>
        <v>439653539.35000002</v>
      </c>
      <c r="AM12" s="27">
        <f>股权价值增加表!AM9</f>
        <v>315584024.69999999</v>
      </c>
      <c r="AN12" s="27">
        <f>股权价值增加表!AN9</f>
        <v>180649086.71000001</v>
      </c>
      <c r="AO12" s="27">
        <f>股权价值增加表!AO9</f>
        <v>532024659.80000001</v>
      </c>
      <c r="AP12" s="27">
        <f>股权价值增加表!AP9</f>
        <v>455051645.88999999</v>
      </c>
      <c r="AQ12" s="27">
        <f>股权价值增加表!AQ9</f>
        <v>341612858.30000001</v>
      </c>
      <c r="AR12" s="27">
        <f>股权价值增加表!AR9</f>
        <v>243703730.18000001</v>
      </c>
      <c r="AS12" s="27">
        <f>股权价值增加表!AS9</f>
        <v>560385186.98000002</v>
      </c>
      <c r="AT12" s="27">
        <f>股权价值增加表!AT9</f>
        <v>439695589.05000001</v>
      </c>
      <c r="AU12" s="27">
        <f>股权价值增加表!AU9</f>
        <v>343733134.56999999</v>
      </c>
      <c r="AV12" s="27">
        <f>股权价值增加表!AV9</f>
        <v>212477800.28999999</v>
      </c>
      <c r="AW12" s="27">
        <f>股权价值增加表!AW9</f>
        <v>579353831.58000004</v>
      </c>
      <c r="AX12" s="27">
        <f>股权价值增加表!AX9</f>
        <v>483225031.23000002</v>
      </c>
      <c r="AY12" s="27">
        <f>股权价值增加表!AY9</f>
        <v>269828737.06999999</v>
      </c>
      <c r="AZ12" s="27">
        <f>股权价值增加表!AZ9</f>
        <v>197589630.34999999</v>
      </c>
      <c r="BA12" s="27">
        <f>股权价值增加表!BA9</f>
        <v>475939394.32999998</v>
      </c>
      <c r="BB12" s="27">
        <f>股权价值增加表!BB9</f>
        <v>371220561.92000002</v>
      </c>
      <c r="BC12" s="27">
        <f>股权价值增加表!BC9</f>
        <v>236478908.59</v>
      </c>
      <c r="BD12" s="27">
        <f>股权价值增加表!BD9</f>
        <v>153658444.72</v>
      </c>
      <c r="BE12" s="27">
        <f>股权价值增加表!BE9</f>
        <v>376522300.75</v>
      </c>
      <c r="BF12" s="27">
        <f>股权价值增加表!BF9</f>
        <v>338181343.52999997</v>
      </c>
      <c r="BG12" s="27">
        <f>股权价值增加表!BG9</f>
        <v>199936560.31</v>
      </c>
      <c r="BH12" s="27">
        <f>股权价值增加表!BH9</f>
        <v>139760649.13999999</v>
      </c>
      <c r="BI12" s="27">
        <f>股权价值增加表!BI9</f>
        <v>365256375.5</v>
      </c>
      <c r="BJ12" s="27">
        <f>股权价值增加表!BJ9</f>
        <v>247758788.18000001</v>
      </c>
      <c r="BK12" s="27">
        <f>股权价值增加表!BK9</f>
        <v>148471350.83000001</v>
      </c>
      <c r="BL12" s="27">
        <f>股权价值增加表!BL9</f>
        <v>99955921.620000005</v>
      </c>
      <c r="BM12" s="27">
        <f>股权价值增加表!BM9</f>
        <v>308176458.60000002</v>
      </c>
      <c r="BN12" s="27">
        <f>股权价值增加表!BN9</f>
        <v>240365513.08000001</v>
      </c>
      <c r="BO12" s="27">
        <f>股权价值增加表!BO9</f>
        <v>167320806.24000001</v>
      </c>
      <c r="BP12" s="27">
        <f>股权价值增加表!BP9</f>
        <v>103935965.36</v>
      </c>
      <c r="BQ12" s="27">
        <f>股权价值增加表!BQ9</f>
        <v>228319500.78</v>
      </c>
      <c r="BR12" s="27">
        <f>股权价值增加表!BR9</f>
        <v>117289100</v>
      </c>
      <c r="BS12" s="27">
        <f>股权价值增加表!BS9</f>
        <v>134826000.83000001</v>
      </c>
      <c r="BT12" s="27">
        <f>股权价值增加表!BT9</f>
        <v>101900556.98</v>
      </c>
      <c r="BU12" s="27">
        <f>股权价值增加表!BU9</f>
        <v>56426807.149999999</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5.1291278614235221E-2</v>
      </c>
      <c r="F13" s="57">
        <f t="shared" ref="F13:BQ13" si="13">F12/F2</f>
        <v>4.6593384016313459E-2</v>
      </c>
      <c r="G13" s="57">
        <f t="shared" si="13"/>
        <v>5.700160284377196E-2</v>
      </c>
      <c r="H13" s="57">
        <f t="shared" si="13"/>
        <v>6.405118394555416E-2</v>
      </c>
      <c r="I13" s="57">
        <f t="shared" si="13"/>
        <v>4.3256749636766789E-2</v>
      </c>
      <c r="J13" s="57">
        <f t="shared" si="13"/>
        <v>2.4598720899064577E-2</v>
      </c>
      <c r="K13" s="57">
        <f t="shared" si="13"/>
        <v>2.1318255082911183E-2</v>
      </c>
      <c r="L13" s="57">
        <f t="shared" si="13"/>
        <v>1.7057724831249198E-2</v>
      </c>
      <c r="M13" s="57">
        <f t="shared" si="13"/>
        <v>4.5467864247778898E-2</v>
      </c>
      <c r="N13" s="57">
        <f t="shared" si="13"/>
        <v>4.0408399828187787E-2</v>
      </c>
      <c r="O13" s="57">
        <f t="shared" si="13"/>
        <v>3.7519946118801002E-2</v>
      </c>
      <c r="P13" s="57">
        <f t="shared" si="13"/>
        <v>2.8393265692767091E-2</v>
      </c>
      <c r="Q13" s="57">
        <f t="shared" si="13"/>
        <v>5.3041655852830959E-2</v>
      </c>
      <c r="R13" s="57">
        <f t="shared" si="13"/>
        <v>4.4972042945304325E-2</v>
      </c>
      <c r="S13" s="57">
        <f t="shared" si="13"/>
        <v>4.5162887631580127E-2</v>
      </c>
      <c r="T13" s="57">
        <f t="shared" si="13"/>
        <v>4.4181692111620693E-2</v>
      </c>
      <c r="U13" s="57">
        <f t="shared" si="13"/>
        <v>6.0091347967897453E-2</v>
      </c>
      <c r="V13" s="57">
        <f t="shared" si="13"/>
        <v>5.313481083000042E-2</v>
      </c>
      <c r="W13" s="57">
        <f t="shared" si="13"/>
        <v>5.661127476150641E-2</v>
      </c>
      <c r="X13" s="57">
        <f t="shared" si="13"/>
        <v>3.9637004260486573E-2</v>
      </c>
      <c r="Y13" s="57">
        <f t="shared" si="13"/>
        <v>4.6287580064227611E-2</v>
      </c>
      <c r="Z13" s="57">
        <f t="shared" si="13"/>
        <v>4.2247383209946587E-2</v>
      </c>
      <c r="AA13" s="57">
        <f t="shared" si="13"/>
        <v>3.06518414858085E-2</v>
      </c>
      <c r="AB13" s="57">
        <f t="shared" si="13"/>
        <v>3.1604549365286429E-2</v>
      </c>
      <c r="AC13" s="57">
        <f t="shared" si="13"/>
        <v>3.9143235731275004E-2</v>
      </c>
      <c r="AD13" s="57">
        <f t="shared" si="13"/>
        <v>3.6195173420743042E-2</v>
      </c>
      <c r="AE13" s="57">
        <f t="shared" si="13"/>
        <v>3.3035194005767189E-2</v>
      </c>
      <c r="AF13" s="57">
        <f t="shared" si="13"/>
        <v>3.9617736161905108E-2</v>
      </c>
      <c r="AG13" s="57">
        <f t="shared" si="13"/>
        <v>5.8154832049126325E-2</v>
      </c>
      <c r="AH13" s="57">
        <f t="shared" si="13"/>
        <v>5.1736149282139467E-2</v>
      </c>
      <c r="AI13" s="57">
        <f t="shared" si="13"/>
        <v>4.778259628128418E-2</v>
      </c>
      <c r="AJ13" s="57">
        <f t="shared" si="13"/>
        <v>4.7606629879285184E-2</v>
      </c>
      <c r="AK13" s="57">
        <f t="shared" si="13"/>
        <v>6.4248644756714157E-2</v>
      </c>
      <c r="AL13" s="57">
        <f t="shared" si="13"/>
        <v>5.6313839148166935E-2</v>
      </c>
      <c r="AM13" s="57">
        <f t="shared" si="13"/>
        <v>5.6902935719778724E-2</v>
      </c>
      <c r="AN13" s="57">
        <f t="shared" si="13"/>
        <v>7.1899070417062699E-2</v>
      </c>
      <c r="AO13" s="57">
        <f t="shared" si="13"/>
        <v>6.4552894630778374E-2</v>
      </c>
      <c r="AP13" s="57">
        <f t="shared" si="13"/>
        <v>7.01534623552479E-2</v>
      </c>
      <c r="AQ13" s="57">
        <f t="shared" si="13"/>
        <v>7.3946701801452575E-2</v>
      </c>
      <c r="AR13" s="57">
        <f t="shared" si="13"/>
        <v>0.12224939595326696</v>
      </c>
      <c r="AS13" s="57">
        <f t="shared" si="13"/>
        <v>7.7428745995669082E-2</v>
      </c>
      <c r="AT13" s="57">
        <f t="shared" si="13"/>
        <v>9.8622227630432643E-2</v>
      </c>
      <c r="AU13" s="57">
        <f t="shared" si="13"/>
        <v>0.13074230302859044</v>
      </c>
      <c r="AV13" s="57">
        <f t="shared" si="13"/>
        <v>0.1338410718257366</v>
      </c>
      <c r="AW13" s="57">
        <f t="shared" si="13"/>
        <v>0.11832755637592668</v>
      </c>
      <c r="AX13" s="57">
        <f t="shared" si="13"/>
        <v>0.14870964268196649</v>
      </c>
      <c r="AY13" s="57">
        <f t="shared" si="13"/>
        <v>0.13295579776438174</v>
      </c>
      <c r="AZ13" s="57">
        <f t="shared" si="13"/>
        <v>0.14587664435928938</v>
      </c>
      <c r="BA13" s="57">
        <f t="shared" si="13"/>
        <v>0.12108829645942322</v>
      </c>
      <c r="BB13" s="57">
        <f t="shared" si="13"/>
        <v>0.14386615769408181</v>
      </c>
      <c r="BC13" s="57">
        <f t="shared" si="13"/>
        <v>0.14024831843407054</v>
      </c>
      <c r="BD13" s="57">
        <f t="shared" si="13"/>
        <v>0.1343147887277833</v>
      </c>
      <c r="BE13" s="57">
        <f t="shared" si="13"/>
        <v>0.12509904691402482</v>
      </c>
      <c r="BF13" s="57">
        <f t="shared" si="13"/>
        <v>0.16333805471580642</v>
      </c>
      <c r="BG13" s="57">
        <f t="shared" si="13"/>
        <v>0.15214607654489942</v>
      </c>
      <c r="BH13" s="57">
        <f t="shared" si="13"/>
        <v>0.1637630936696276</v>
      </c>
      <c r="BI13" s="57">
        <f t="shared" si="13"/>
        <v>0.15212563395976833</v>
      </c>
      <c r="BJ13" s="57">
        <f t="shared" si="13"/>
        <v>0.15956186642599934</v>
      </c>
      <c r="BK13" s="57">
        <f t="shared" si="13"/>
        <v>0.14714009121995431</v>
      </c>
      <c r="BL13" s="57">
        <f t="shared" si="13"/>
        <v>0.13620027928979797</v>
      </c>
      <c r="BM13" s="57">
        <f t="shared" si="13"/>
        <v>0.16795288297807007</v>
      </c>
      <c r="BN13" s="57">
        <f t="shared" si="13"/>
        <v>0.17623575104282641</v>
      </c>
      <c r="BO13" s="57">
        <f t="shared" si="13"/>
        <v>0.17508509252659188</v>
      </c>
      <c r="BP13" s="57">
        <f t="shared" si="13"/>
        <v>0.14475461632199269</v>
      </c>
      <c r="BQ13" s="57">
        <f t="shared" si="13"/>
        <v>0.14110810669468363</v>
      </c>
      <c r="BR13" s="57">
        <f t="shared" ref="BR13:CJ13" si="14">BR12/BR2</f>
        <v>0.13421902027794108</v>
      </c>
      <c r="BS13" s="57">
        <f t="shared" si="14"/>
        <v>0.12102863770399472</v>
      </c>
      <c r="BT13" s="57">
        <f t="shared" si="14"/>
        <v>0.11438471198060979</v>
      </c>
      <c r="BU13" s="57">
        <f t="shared" si="14"/>
        <v>8.9825223562859602E-2</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4720542820.1400003</v>
      </c>
      <c r="F14" s="26">
        <f>股权价值增加表!F10</f>
        <v>3115038946.7600002</v>
      </c>
      <c r="G14" s="26">
        <f>股权价值增加表!G10</f>
        <v>2032246237.8800001</v>
      </c>
      <c r="H14" s="26">
        <f>股权价值增加表!H10</f>
        <v>1122230514.3299999</v>
      </c>
      <c r="I14" s="26">
        <f>股权价值增加表!I10</f>
        <v>4187189840.4200001</v>
      </c>
      <c r="J14" s="26">
        <f>股权价值增加表!J10</f>
        <v>2786104248.79</v>
      </c>
      <c r="K14" s="26">
        <f>股权价值增加表!K10</f>
        <v>1859591870.3199999</v>
      </c>
      <c r="L14" s="26">
        <f>股权价值增加表!L10</f>
        <v>905013030.88</v>
      </c>
      <c r="M14" s="26">
        <f>股权价值增加表!M10</f>
        <v>3812852076.1900001</v>
      </c>
      <c r="N14" s="26">
        <f>股权价值增加表!N10</f>
        <v>2592580782.23</v>
      </c>
      <c r="O14" s="26">
        <f>股权价值增加表!O10</f>
        <v>1827131652.26</v>
      </c>
      <c r="P14" s="26">
        <f>股权价值增加表!P10</f>
        <v>919920409</v>
      </c>
      <c r="Q14" s="26">
        <f>股权价值增加表!Q10</f>
        <v>3378499544.5900002</v>
      </c>
      <c r="R14" s="26">
        <f>股权价值增加表!R10</f>
        <v>2336957697.6399999</v>
      </c>
      <c r="S14" s="26">
        <f>股权价值增加表!S10</f>
        <v>1492808431.3399999</v>
      </c>
      <c r="T14" s="26">
        <f>股权价值增加表!T10</f>
        <v>730947216.88</v>
      </c>
      <c r="U14" s="26">
        <f>股权价值增加表!U10</f>
        <v>2834740716</v>
      </c>
      <c r="V14" s="26">
        <f>股权价值增加表!V10</f>
        <v>1743433452.3800001</v>
      </c>
      <c r="W14" s="26">
        <f>股权价值增加表!W10</f>
        <v>1151877819.8900001</v>
      </c>
      <c r="X14" s="26">
        <f>股权价值增加表!X10</f>
        <v>558440922.01999998</v>
      </c>
      <c r="Y14" s="26">
        <f>股权价值增加表!Y10</f>
        <v>2204190581.1300001</v>
      </c>
      <c r="Z14" s="26">
        <f>股权价值增加表!Z10</f>
        <v>1288134049.01</v>
      </c>
      <c r="AA14" s="26">
        <f>股权价值增加表!AA10</f>
        <v>831662727.75</v>
      </c>
      <c r="AB14" s="26">
        <f>股权价值增加表!AB10</f>
        <v>459827167.05000001</v>
      </c>
      <c r="AC14" s="26">
        <f>股权价值增加表!AC10</f>
        <v>1673872427.75</v>
      </c>
      <c r="AD14" s="26">
        <f>股权价值增加表!AD10</f>
        <v>1001317983.5599999</v>
      </c>
      <c r="AE14" s="26">
        <f>股权价值增加表!AE10</f>
        <v>642955797.35000002</v>
      </c>
      <c r="AF14" s="26">
        <f>股权价值增加表!AF10</f>
        <v>354029240.72000003</v>
      </c>
      <c r="AG14" s="26">
        <f>股权价值增加表!AG10</f>
        <v>1346014202.04</v>
      </c>
      <c r="AH14" s="26">
        <f>股权价值增加表!AH10</f>
        <v>851216571.00999999</v>
      </c>
      <c r="AI14" s="26">
        <f>股权价值增加表!AI10</f>
        <v>560864374.54999995</v>
      </c>
      <c r="AJ14" s="26">
        <f>股权价值增加表!AJ10</f>
        <v>309690750.82999998</v>
      </c>
      <c r="AK14" s="26">
        <f>股权价值增加表!AK10</f>
        <v>1217158463.04</v>
      </c>
      <c r="AL14" s="26">
        <f>股权价值增加表!AL10</f>
        <v>733148103.42999995</v>
      </c>
      <c r="AM14" s="26">
        <f>股权价值增加表!AM10</f>
        <v>463903828.94999999</v>
      </c>
      <c r="AN14" s="26">
        <f>股权价值增加表!AN10</f>
        <v>222527985.93000001</v>
      </c>
      <c r="AO14" s="26">
        <f>股权价值增加表!AO10</f>
        <v>941174062.44000006</v>
      </c>
      <c r="AP14" s="26">
        <f>股权价值增加表!AP10</f>
        <v>536075599.36000001</v>
      </c>
      <c r="AQ14" s="26">
        <f>股权价值增加表!AQ10</f>
        <v>369708813.51999998</v>
      </c>
      <c r="AR14" s="26">
        <f>股权价值增加表!AR10</f>
        <v>168448490.52000001</v>
      </c>
      <c r="AS14" s="26">
        <f>股权价值增加表!AS10</f>
        <v>723155575.20000005</v>
      </c>
      <c r="AT14" s="26">
        <f>股权价值增加表!AT10</f>
        <v>475793089.54000002</v>
      </c>
      <c r="AU14" s="26">
        <f>股权价值增加表!AU10</f>
        <v>277866482.92000002</v>
      </c>
      <c r="AV14" s="26">
        <f>股权价值增加表!AV10</f>
        <v>99539514.049999997</v>
      </c>
      <c r="AW14" s="26">
        <f>股权价值增加表!AW10</f>
        <v>492828170.27999997</v>
      </c>
      <c r="AX14" s="26">
        <f>股权价值增加表!AX10</f>
        <v>256603509.80000001</v>
      </c>
      <c r="AY14" s="26">
        <f>股权价值增加表!AY10</f>
        <v>154874288.83000001</v>
      </c>
      <c r="AZ14" s="26">
        <f>股权价值增加表!AZ10</f>
        <v>81752353.340000004</v>
      </c>
      <c r="BA14" s="26">
        <f>股权价值增加表!BA10</f>
        <v>350685099.47000003</v>
      </c>
      <c r="BB14" s="26">
        <f>股权价值增加表!BB10</f>
        <v>216504598.13</v>
      </c>
      <c r="BC14" s="26">
        <f>股权价值增加表!BC10</f>
        <v>142501033.12</v>
      </c>
      <c r="BD14" s="26">
        <f>股权价值增加表!BD10</f>
        <v>73791104.609999999</v>
      </c>
      <c r="BE14" s="26">
        <f>股权价值增加表!BE10</f>
        <v>311563047.88999999</v>
      </c>
      <c r="BF14" s="26">
        <f>股权价值增加表!BF10</f>
        <v>190624537.22999999</v>
      </c>
      <c r="BG14" s="26">
        <f>股权价值增加表!BG10</f>
        <v>126425959.59999999</v>
      </c>
      <c r="BH14" s="26">
        <f>股权价值增加表!BH10</f>
        <v>48201023.189999998</v>
      </c>
      <c r="BI14" s="26">
        <f>股权价值增加表!BI10</f>
        <v>291880260.69</v>
      </c>
      <c r="BJ14" s="26">
        <f>股权价值增加表!BJ10</f>
        <v>153324035.58000001</v>
      </c>
      <c r="BK14" s="26">
        <f>股权价值增加表!BK10</f>
        <v>97233132.640000001</v>
      </c>
      <c r="BL14" s="26">
        <f>股权价值增加表!BL10</f>
        <v>38951847.950000003</v>
      </c>
      <c r="BM14" s="26">
        <f>股权价值增加表!BM10</f>
        <v>237706731.47</v>
      </c>
      <c r="BN14" s="26">
        <f>股权价值增加表!BN10</f>
        <v>154188146.5</v>
      </c>
      <c r="BO14" s="26">
        <f>股权价值增加表!BO10</f>
        <v>79903159.849999994</v>
      </c>
      <c r="BP14" s="26">
        <f>股权价值增加表!BP10</f>
        <v>39164507.240000002</v>
      </c>
      <c r="BQ14" s="26">
        <f>股权价值增加表!BQ10</f>
        <v>181060278.22</v>
      </c>
      <c r="BR14" s="26">
        <f>股权价值增加表!BR10</f>
        <v>74414401</v>
      </c>
      <c r="BS14" s="26">
        <f>股权价值增加表!BS10</f>
        <v>129669631.27</v>
      </c>
      <c r="BT14" s="26">
        <f>股权价值增加表!BT10</f>
        <v>122410821.54000001</v>
      </c>
      <c r="BU14" s="26">
        <f>股权价值增加表!BU10</f>
        <v>116104124.14</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8.108409882434206E-2</v>
      </c>
      <c r="F15" s="57">
        <f t="shared" ref="F15:BQ15" si="15">F14/F2</f>
        <v>7.338055692223569E-2</v>
      </c>
      <c r="G15" s="57">
        <f t="shared" si="15"/>
        <v>8.4011727950928219E-2</v>
      </c>
      <c r="H15" s="57">
        <f t="shared" si="15"/>
        <v>8.4323461412806194E-2</v>
      </c>
      <c r="I15" s="57">
        <f t="shared" si="15"/>
        <v>0.10774456717657206</v>
      </c>
      <c r="J15" s="57">
        <f t="shared" si="15"/>
        <v>0.10461536425276273</v>
      </c>
      <c r="K15" s="57">
        <f t="shared" si="15"/>
        <v>0.10232586018590158</v>
      </c>
      <c r="L15" s="57">
        <f t="shared" si="15"/>
        <v>9.0603197881835754E-2</v>
      </c>
      <c r="M15" s="57">
        <f t="shared" si="15"/>
        <v>0.11674527477944184</v>
      </c>
      <c r="N15" s="57">
        <f t="shared" si="15"/>
        <v>0.11199687319701768</v>
      </c>
      <c r="O15" s="57">
        <f t="shared" si="15"/>
        <v>0.11579773590879147</v>
      </c>
      <c r="P15" s="57">
        <f t="shared" si="15"/>
        <v>0.10766514155832782</v>
      </c>
      <c r="Q15" s="57">
        <f t="shared" si="15"/>
        <v>0.10700282485530214</v>
      </c>
      <c r="R15" s="57">
        <f t="shared" si="15"/>
        <v>0.10760370855988693</v>
      </c>
      <c r="S15" s="57">
        <f t="shared" si="15"/>
        <v>0.1042345457739928</v>
      </c>
      <c r="T15" s="57">
        <f t="shared" si="15"/>
        <v>9.8116015239310225E-2</v>
      </c>
      <c r="U15" s="57">
        <f t="shared" si="15"/>
        <v>9.1674501332437042E-2</v>
      </c>
      <c r="V15" s="57">
        <f t="shared" si="15"/>
        <v>7.9479224075568455E-2</v>
      </c>
      <c r="W15" s="57">
        <f t="shared" si="15"/>
        <v>8.1532322204644056E-2</v>
      </c>
      <c r="X15" s="57">
        <f t="shared" si="15"/>
        <v>7.7931567253650233E-2</v>
      </c>
      <c r="Y15" s="57">
        <f t="shared" si="15"/>
        <v>8.3317431753680921E-2</v>
      </c>
      <c r="Z15" s="57">
        <f t="shared" si="15"/>
        <v>6.4628252622917964E-2</v>
      </c>
      <c r="AA15" s="57">
        <f t="shared" si="15"/>
        <v>6.269867882882614E-2</v>
      </c>
      <c r="AB15" s="57">
        <f t="shared" si="15"/>
        <v>7.6434446925105384E-2</v>
      </c>
      <c r="AC15" s="57">
        <f t="shared" si="15"/>
        <v>9.0959684719377348E-2</v>
      </c>
      <c r="AD15" s="57">
        <f t="shared" si="15"/>
        <v>7.3399240828336335E-2</v>
      </c>
      <c r="AE15" s="57">
        <f t="shared" si="15"/>
        <v>6.5435309531210573E-2</v>
      </c>
      <c r="AF15" s="57">
        <f t="shared" si="15"/>
        <v>8.3881475430241687E-2</v>
      </c>
      <c r="AG15" s="57">
        <f t="shared" si="15"/>
        <v>0.11570371978386675</v>
      </c>
      <c r="AH15" s="57">
        <f t="shared" si="15"/>
        <v>9.1258051201586088E-2</v>
      </c>
      <c r="AI15" s="57">
        <f t="shared" si="15"/>
        <v>8.5143721790126678E-2</v>
      </c>
      <c r="AJ15" s="57">
        <f t="shared" si="15"/>
        <v>0.10187510423043369</v>
      </c>
      <c r="AK15" s="57">
        <f t="shared" si="15"/>
        <v>0.12586955332770872</v>
      </c>
      <c r="AL15" s="57">
        <f t="shared" si="15"/>
        <v>9.3906634822910742E-2</v>
      </c>
      <c r="AM15" s="57">
        <f t="shared" si="15"/>
        <v>8.3646470330667133E-2</v>
      </c>
      <c r="AN15" s="57">
        <f t="shared" si="15"/>
        <v>8.8567042444187102E-2</v>
      </c>
      <c r="AO15" s="57">
        <f t="shared" si="15"/>
        <v>0.11419679325531697</v>
      </c>
      <c r="AP15" s="57">
        <f t="shared" si="15"/>
        <v>8.2644595880353375E-2</v>
      </c>
      <c r="AQ15" s="57">
        <f t="shared" si="15"/>
        <v>8.0028449522598896E-2</v>
      </c>
      <c r="AR15" s="57">
        <f t="shared" si="15"/>
        <v>8.449901936297731E-2</v>
      </c>
      <c r="AS15" s="57">
        <f t="shared" si="15"/>
        <v>9.991882485200515E-2</v>
      </c>
      <c r="AT15" s="57">
        <f t="shared" si="15"/>
        <v>0.10671877442069304</v>
      </c>
      <c r="AU15" s="57">
        <f t="shared" si="15"/>
        <v>0.10568926954586928</v>
      </c>
      <c r="AV15" s="57">
        <f t="shared" si="15"/>
        <v>6.2700551451877834E-2</v>
      </c>
      <c r="AW15" s="57">
        <f t="shared" si="15"/>
        <v>0.10065550605476413</v>
      </c>
      <c r="AX15" s="57">
        <f t="shared" si="15"/>
        <v>7.8968211055138404E-2</v>
      </c>
      <c r="AY15" s="57">
        <f t="shared" si="15"/>
        <v>7.6312978551435831E-2</v>
      </c>
      <c r="AZ15" s="57">
        <f t="shared" si="15"/>
        <v>6.0356198615228313E-2</v>
      </c>
      <c r="BA15" s="57">
        <f t="shared" si="15"/>
        <v>8.9221152513134269E-2</v>
      </c>
      <c r="BB15" s="57">
        <f t="shared" si="15"/>
        <v>8.3906140583820565E-2</v>
      </c>
      <c r="BC15" s="57">
        <f t="shared" si="15"/>
        <v>8.4512950391056232E-2</v>
      </c>
      <c r="BD15" s="57">
        <f t="shared" si="15"/>
        <v>6.4501737237692286E-2</v>
      </c>
      <c r="BE15" s="57">
        <f t="shared" si="15"/>
        <v>0.10351641925864778</v>
      </c>
      <c r="BF15" s="57">
        <f t="shared" si="15"/>
        <v>9.2069659334968398E-2</v>
      </c>
      <c r="BG15" s="57">
        <f t="shared" si="15"/>
        <v>9.6206585212529019E-2</v>
      </c>
      <c r="BH15" s="57">
        <f t="shared" si="15"/>
        <v>5.6479049891423987E-2</v>
      </c>
      <c r="BI15" s="57">
        <f t="shared" si="15"/>
        <v>0.12156521467154704</v>
      </c>
      <c r="BJ15" s="57">
        <f t="shared" si="15"/>
        <v>9.8743901133941728E-2</v>
      </c>
      <c r="BK15" s="57">
        <f t="shared" si="15"/>
        <v>9.6361297491210515E-2</v>
      </c>
      <c r="BL15" s="57">
        <f t="shared" si="15"/>
        <v>5.3075920702453171E-2</v>
      </c>
      <c r="BM15" s="57">
        <f t="shared" si="15"/>
        <v>0.12954763331062705</v>
      </c>
      <c r="BN15" s="57">
        <f t="shared" si="15"/>
        <v>0.11305059304112731</v>
      </c>
      <c r="BO15" s="57">
        <f t="shared" si="15"/>
        <v>8.3610953412677685E-2</v>
      </c>
      <c r="BP15" s="57">
        <f t="shared" si="15"/>
        <v>5.454553868172303E-2</v>
      </c>
      <c r="BQ15" s="57">
        <f t="shared" si="15"/>
        <v>0.11190052960852861</v>
      </c>
      <c r="BR15" s="57">
        <f t="shared" ref="BR15:CK15" si="16">BR14/BR2</f>
        <v>8.5155636770934712E-2</v>
      </c>
      <c r="BS15" s="57">
        <f t="shared" si="16"/>
        <v>0.11639994309387997</v>
      </c>
      <c r="BT15" s="57">
        <f t="shared" si="16"/>
        <v>0.13740775301072083</v>
      </c>
      <c r="BU15" s="57">
        <f t="shared" si="16"/>
        <v>0.18482489855791007</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-8053703.9500000002</v>
      </c>
      <c r="F16" s="26">
        <f>股权价值增加表!F11</f>
        <v>-8205173.0300000003</v>
      </c>
      <c r="G16" s="26">
        <f>股权价值增加表!G11</f>
        <v>-3205173.03</v>
      </c>
      <c r="H16" s="26">
        <f>股权价值增加表!H11</f>
        <v>-5356392.4000000004</v>
      </c>
      <c r="I16" s="26">
        <f>股权价值增加表!I11</f>
        <v>12327496.220000001</v>
      </c>
      <c r="J16" s="26">
        <f>股权价值增加表!J11</f>
        <v>5491060.0800000001</v>
      </c>
      <c r="K16" s="26">
        <f>股权价值增加表!K11</f>
        <v>5536334.9299999997</v>
      </c>
      <c r="L16" s="26">
        <f>股权价值增加表!L11</f>
        <v>2979616.96</v>
      </c>
      <c r="M16" s="26">
        <f>股权价值增加表!M11</f>
        <v>-540313.39</v>
      </c>
      <c r="N16" s="26">
        <f>股权价值增加表!N11</f>
        <v>150533.28</v>
      </c>
      <c r="O16" s="26">
        <f>股权价值增加表!O11</f>
        <v>404373.28</v>
      </c>
      <c r="P16" s="26">
        <f>股权价值增加表!P11</f>
        <v>-200793.38</v>
      </c>
      <c r="Q16" s="26">
        <f>股权价值增加表!Q11</f>
        <v>432745.88</v>
      </c>
      <c r="R16" s="26">
        <f>股权价值增加表!R11</f>
        <v>393295.23</v>
      </c>
      <c r="S16" s="26">
        <f>股权价值增加表!S11</f>
        <v>243295.23</v>
      </c>
      <c r="T16" s="26">
        <f>股权价值增加表!T11</f>
        <v>-760608.59</v>
      </c>
      <c r="U16" s="26">
        <f>股权价值增加表!U11</f>
        <v>-2004032.3</v>
      </c>
      <c r="V16" s="26">
        <f>股权价值增加表!V11</f>
        <v>-1818342.1</v>
      </c>
      <c r="W16" s="26">
        <f>股权价值增加表!W11</f>
        <v>-2068342.1</v>
      </c>
      <c r="X16" s="26">
        <f>股权价值增加表!X11</f>
        <v>0</v>
      </c>
      <c r="Y16" s="26">
        <f>股权价值增加表!Y11</f>
        <v>2979258.5</v>
      </c>
      <c r="Z16" s="26">
        <f>股权价值增加表!Z11</f>
        <v>955859.42</v>
      </c>
      <c r="AA16" s="26">
        <f>股权价值增加表!AA11</f>
        <v>955859.42</v>
      </c>
      <c r="AB16" s="26">
        <f>股权价值增加表!AB11</f>
        <v>0</v>
      </c>
      <c r="AC16" s="26">
        <f>股权价值增加表!AC11</f>
        <v>-2500650.5699999998</v>
      </c>
      <c r="AD16" s="26">
        <f>股权价值增加表!AD11</f>
        <v>-1597611.27</v>
      </c>
      <c r="AE16" s="26">
        <f>股权价值增加表!AE11</f>
        <v>-1568169.42</v>
      </c>
      <c r="AF16" s="26">
        <f>股权价值增加表!AF11</f>
        <v>0</v>
      </c>
      <c r="AG16" s="26">
        <f>股权价值增加表!AG11</f>
        <v>-3066975.05</v>
      </c>
      <c r="AH16" s="26">
        <f>股权价值增加表!AH11</f>
        <v>2797805.44</v>
      </c>
      <c r="AI16" s="26">
        <f>股权价值增加表!AI11</f>
        <v>2776574.21</v>
      </c>
      <c r="AJ16" s="26">
        <f>股权价值增加表!AJ11</f>
        <v>18000</v>
      </c>
      <c r="AK16" s="26">
        <f>股权价值增加表!AK11</f>
        <v>-300085.01</v>
      </c>
      <c r="AL16" s="26">
        <f>股权价值增加表!AL11</f>
        <v>442604</v>
      </c>
      <c r="AM16" s="26">
        <f>股权价值增加表!AM11</f>
        <v>442604</v>
      </c>
      <c r="AN16" s="26">
        <f>股权价值增加表!AN11</f>
        <v>0</v>
      </c>
      <c r="AO16" s="26">
        <f>股权价值增加表!AO11</f>
        <v>450078.22</v>
      </c>
      <c r="AP16" s="26">
        <f>股权价值增加表!AP11</f>
        <v>-1411074.74</v>
      </c>
      <c r="AQ16" s="26">
        <f>股权价值增加表!AQ11</f>
        <v>-1411074.74</v>
      </c>
      <c r="AR16" s="26">
        <f>股权价值增加表!AR11</f>
        <v>0</v>
      </c>
      <c r="AS16" s="26">
        <f>股权价值增加表!AS11</f>
        <v>-614738.65</v>
      </c>
      <c r="AT16" s="26">
        <f>股权价值增加表!AT11</f>
        <v>1317514.0900000001</v>
      </c>
      <c r="AU16" s="26">
        <f>股权价值增加表!AU11</f>
        <v>1317514.0900000001</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-1.3833733785819714E-4</v>
      </c>
      <c r="F17" s="57">
        <f t="shared" ref="F17:BQ17" si="17">F16/F2</f>
        <v>-1.9328816649658964E-4</v>
      </c>
      <c r="G17" s="57">
        <f t="shared" si="17"/>
        <v>-1.3249975303824982E-4</v>
      </c>
      <c r="H17" s="57">
        <f t="shared" si="17"/>
        <v>-4.0247484102934642E-4</v>
      </c>
      <c r="I17" s="57">
        <f t="shared" si="17"/>
        <v>3.1721053862260513E-4</v>
      </c>
      <c r="J17" s="57">
        <f t="shared" si="17"/>
        <v>2.0618368844327586E-4</v>
      </c>
      <c r="K17" s="57">
        <f t="shared" si="17"/>
        <v>3.0464224060735309E-4</v>
      </c>
      <c r="L17" s="57">
        <f t="shared" si="17"/>
        <v>2.9829716902137019E-4</v>
      </c>
      <c r="M17" s="57">
        <f t="shared" si="17"/>
        <v>-1.6543792919864222E-5</v>
      </c>
      <c r="N17" s="57">
        <f t="shared" si="17"/>
        <v>6.5028857683615629E-6</v>
      </c>
      <c r="O17" s="57">
        <f t="shared" si="17"/>
        <v>2.5627879757921539E-5</v>
      </c>
      <c r="P17" s="57">
        <f t="shared" si="17"/>
        <v>-2.350034575836344E-5</v>
      </c>
      <c r="Q17" s="57">
        <f t="shared" si="17"/>
        <v>1.3705797793769712E-5</v>
      </c>
      <c r="R17" s="57">
        <f t="shared" si="17"/>
        <v>1.8109024972788766E-5</v>
      </c>
      <c r="S17" s="57">
        <f t="shared" si="17"/>
        <v>1.698795857233017E-5</v>
      </c>
      <c r="T17" s="57">
        <f t="shared" si="17"/>
        <v>-1.0209750072807509E-4</v>
      </c>
      <c r="U17" s="57">
        <f t="shared" si="17"/>
        <v>-6.4809688138192623E-5</v>
      </c>
      <c r="V17" s="57">
        <f t="shared" si="17"/>
        <v>-8.2894141450969437E-5</v>
      </c>
      <c r="W17" s="57">
        <f t="shared" si="17"/>
        <v>-1.4640158149996696E-4</v>
      </c>
      <c r="X17" s="57">
        <f t="shared" si="17"/>
        <v>0</v>
      </c>
      <c r="Y17" s="57">
        <f t="shared" si="17"/>
        <v>1.1261465722399975E-4</v>
      </c>
      <c r="Z17" s="57">
        <f t="shared" si="17"/>
        <v>4.7957372227862196E-5</v>
      </c>
      <c r="AA17" s="57">
        <f t="shared" si="17"/>
        <v>7.2061811573818037E-5</v>
      </c>
      <c r="AB17" s="57">
        <f t="shared" si="17"/>
        <v>0</v>
      </c>
      <c r="AC17" s="57">
        <f t="shared" si="17"/>
        <v>-1.3588752862503278E-4</v>
      </c>
      <c r="AD17" s="57">
        <f t="shared" si="17"/>
        <v>-1.171091064797277E-4</v>
      </c>
      <c r="AE17" s="57">
        <f t="shared" si="17"/>
        <v>-1.5959674338113182E-4</v>
      </c>
      <c r="AF17" s="57">
        <f t="shared" si="17"/>
        <v>0</v>
      </c>
      <c r="AG17" s="57">
        <f t="shared" si="17"/>
        <v>-2.6363794767654699E-4</v>
      </c>
      <c r="AH17" s="57">
        <f t="shared" si="17"/>
        <v>2.9994983743402315E-4</v>
      </c>
      <c r="AI17" s="57">
        <f t="shared" si="17"/>
        <v>4.2150629063498389E-4</v>
      </c>
      <c r="AJ17" s="57">
        <f t="shared" si="17"/>
        <v>5.9212355268382446E-6</v>
      </c>
      <c r="AK17" s="57">
        <f t="shared" si="17"/>
        <v>-3.1032579007586218E-5</v>
      </c>
      <c r="AL17" s="57">
        <f t="shared" si="17"/>
        <v>5.6691754373648207E-5</v>
      </c>
      <c r="AM17" s="57">
        <f t="shared" si="17"/>
        <v>7.9805899507298303E-5</v>
      </c>
      <c r="AN17" s="57">
        <f t="shared" si="17"/>
        <v>0</v>
      </c>
      <c r="AO17" s="57">
        <f t="shared" si="17"/>
        <v>5.4609972256154965E-5</v>
      </c>
      <c r="AP17" s="57">
        <f t="shared" si="17"/>
        <v>-2.1753965631619884E-4</v>
      </c>
      <c r="AQ17" s="57">
        <f t="shared" si="17"/>
        <v>-3.0544612265943568E-4</v>
      </c>
      <c r="AR17" s="57">
        <f t="shared" si="17"/>
        <v>0</v>
      </c>
      <c r="AS17" s="57">
        <f t="shared" si="17"/>
        <v>-8.4938795475814917E-5</v>
      </c>
      <c r="AT17" s="57">
        <f t="shared" si="17"/>
        <v>2.9551393674660364E-4</v>
      </c>
      <c r="AU17" s="57">
        <f t="shared" si="17"/>
        <v>5.0112953647806836E-4</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4084075.75</v>
      </c>
      <c r="F18" s="26">
        <f>股权价值增加表!F12</f>
        <v>1204</v>
      </c>
      <c r="G18" s="26">
        <f>股权价值增加表!G12</f>
        <v>868</v>
      </c>
      <c r="H18" s="26">
        <f>股权价值增加表!H12</f>
        <v>644</v>
      </c>
      <c r="I18" s="26">
        <f>股权价值增加表!I12</f>
        <v>787035.87</v>
      </c>
      <c r="J18" s="26">
        <f>股权价值增加表!J12</f>
        <v>0</v>
      </c>
      <c r="K18" s="26">
        <f>股权价值增加表!K12</f>
        <v>0</v>
      </c>
      <c r="L18" s="26">
        <f>股权价值增加表!L12</f>
        <v>0</v>
      </c>
      <c r="M18" s="26">
        <f>股权价值增加表!M12</f>
        <v>1633270.12</v>
      </c>
      <c r="N18" s="26">
        <f>股权价值增加表!N12</f>
        <v>0</v>
      </c>
      <c r="O18" s="26">
        <f>股权价值增加表!O12</f>
        <v>0</v>
      </c>
      <c r="P18" s="26">
        <f>股权价值增加表!P12</f>
        <v>0</v>
      </c>
      <c r="Q18" s="26">
        <f>股权价值增加表!Q12</f>
        <v>831553.24</v>
      </c>
      <c r="R18" s="26">
        <f>股权价值增加表!R12</f>
        <v>0</v>
      </c>
      <c r="S18" s="26">
        <f>股权价值增加表!S12</f>
        <v>0</v>
      </c>
      <c r="T18" s="26">
        <f>股权价值增加表!T12</f>
        <v>0</v>
      </c>
      <c r="U18" s="26">
        <f>股权价值增加表!U12</f>
        <v>434996.18</v>
      </c>
      <c r="V18" s="26">
        <f>股权价值增加表!V12</f>
        <v>0</v>
      </c>
      <c r="W18" s="26">
        <f>股权价值增加表!W12</f>
        <v>0</v>
      </c>
      <c r="X18" s="26">
        <f>股权价值增加表!X12</f>
        <v>0</v>
      </c>
      <c r="Y18" s="26">
        <f>股权价值增加表!Y12</f>
        <v>603190.06999999995</v>
      </c>
      <c r="Z18" s="26">
        <f>股权价值增加表!Z12</f>
        <v>0</v>
      </c>
      <c r="AA18" s="26">
        <f>股权价值增加表!AA12</f>
        <v>0</v>
      </c>
      <c r="AB18" s="26">
        <f>股权价值增加表!AB12</f>
        <v>0</v>
      </c>
      <c r="AC18" s="26">
        <f>股权价值增加表!AC12</f>
        <v>352310</v>
      </c>
      <c r="AD18" s="26">
        <f>股权价值增加表!AD12</f>
        <v>0</v>
      </c>
      <c r="AE18" s="26">
        <f>股权价值增加表!AE12</f>
        <v>0</v>
      </c>
      <c r="AF18" s="26">
        <f>股权价值增加表!AF12</f>
        <v>0</v>
      </c>
      <c r="AG18" s="26">
        <f>股权价值增加表!AG12</f>
        <v>284184.78000000003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7.0151593648562152E-5</v>
      </c>
      <c r="F19" s="57">
        <f t="shared" ref="F19:BQ19" si="19">F18/F2</f>
        <v>2.8362467386247662E-8</v>
      </c>
      <c r="G19" s="57">
        <f t="shared" si="19"/>
        <v>3.5882551288409177E-8</v>
      </c>
      <c r="H19" s="57">
        <f t="shared" si="19"/>
        <v>4.838962089911469E-8</v>
      </c>
      <c r="I19" s="57">
        <f t="shared" si="19"/>
        <v>2.0251969076491887E-5</v>
      </c>
      <c r="J19" s="57">
        <f t="shared" si="19"/>
        <v>0</v>
      </c>
      <c r="K19" s="57">
        <f t="shared" si="19"/>
        <v>0</v>
      </c>
      <c r="L19" s="57">
        <f t="shared" si="19"/>
        <v>0</v>
      </c>
      <c r="M19" s="57">
        <f t="shared" si="19"/>
        <v>5.0008908066264638E-5</v>
      </c>
      <c r="N19" s="57">
        <f t="shared" si="19"/>
        <v>0</v>
      </c>
      <c r="O19" s="57">
        <f t="shared" si="19"/>
        <v>0</v>
      </c>
      <c r="P19" s="57">
        <f t="shared" si="19"/>
        <v>0</v>
      </c>
      <c r="Q19" s="57">
        <f t="shared" si="19"/>
        <v>2.6336704955328646E-5</v>
      </c>
      <c r="R19" s="57">
        <f t="shared" si="19"/>
        <v>0</v>
      </c>
      <c r="S19" s="57">
        <f t="shared" si="19"/>
        <v>0</v>
      </c>
      <c r="T19" s="57">
        <f t="shared" si="19"/>
        <v>0</v>
      </c>
      <c r="U19" s="57">
        <f t="shared" si="19"/>
        <v>1.4067620949575066E-5</v>
      </c>
      <c r="V19" s="57">
        <f t="shared" si="19"/>
        <v>0</v>
      </c>
      <c r="W19" s="57">
        <f t="shared" si="19"/>
        <v>0</v>
      </c>
      <c r="X19" s="57">
        <f t="shared" si="19"/>
        <v>0</v>
      </c>
      <c r="Y19" s="57">
        <f t="shared" si="19"/>
        <v>2.280031859402949E-5</v>
      </c>
      <c r="Z19" s="57">
        <f t="shared" si="19"/>
        <v>0</v>
      </c>
      <c r="AA19" s="57">
        <f t="shared" si="19"/>
        <v>0</v>
      </c>
      <c r="AB19" s="57">
        <f t="shared" si="19"/>
        <v>0</v>
      </c>
      <c r="AC19" s="57">
        <f t="shared" si="19"/>
        <v>1.9144832062596136E-5</v>
      </c>
      <c r="AD19" s="57">
        <f t="shared" si="19"/>
        <v>0</v>
      </c>
      <c r="AE19" s="57">
        <f t="shared" si="19"/>
        <v>0</v>
      </c>
      <c r="AF19" s="57">
        <f t="shared" si="19"/>
        <v>0</v>
      </c>
      <c r="AG19" s="57">
        <f t="shared" si="19"/>
        <v>2.4428595257112062E-5</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-199935390.85000002</v>
      </c>
      <c r="F20" s="26">
        <f>股权价值增加表!F13-股权价值增加表!F14</f>
        <v>-144105727.31</v>
      </c>
      <c r="G20" s="26">
        <f>股权价值增加表!G13-股权价值增加表!G14</f>
        <v>-40240398.270000003</v>
      </c>
      <c r="H20" s="26">
        <f>股权价值增加表!H13-股权价值增加表!H14</f>
        <v>-35112334.609999999</v>
      </c>
      <c r="I20" s="26">
        <f>股权价值增加表!I13-股权价值增加表!I14</f>
        <v>-307744212.31</v>
      </c>
      <c r="J20" s="26">
        <f>股权价值增加表!J13-股权价值增加表!J14</f>
        <v>-111593381.42999999</v>
      </c>
      <c r="K20" s="26">
        <f>股权价值增加表!K13-股权价值增加表!K14</f>
        <v>5161810.38</v>
      </c>
      <c r="L20" s="26">
        <f>股权价值增加表!L13-股权价值增加表!L14</f>
        <v>4172427.91</v>
      </c>
      <c r="M20" s="26">
        <f>股权价值增加表!M13-股权价值增加表!M14</f>
        <v>-157277001.53</v>
      </c>
      <c r="N20" s="26">
        <f>股权价值增加表!N13-股权价值增加表!N14</f>
        <v>-132749695.8</v>
      </c>
      <c r="O20" s="26">
        <f>股权价值增加表!O13-股权价值增加表!O14</f>
        <v>-2180357</v>
      </c>
      <c r="P20" s="26">
        <f>股权价值增加表!P13-股权价值增加表!P14</f>
        <v>-2315796.5099999998</v>
      </c>
      <c r="Q20" s="26">
        <f>股权价值增加表!Q13-股权价值增加表!Q14</f>
        <v>-220630813.56999999</v>
      </c>
      <c r="R20" s="26">
        <f>股权价值增加表!R13-股权价值增加表!R14</f>
        <v>-137248174.40000001</v>
      </c>
      <c r="S20" s="26">
        <f>股权价值增加表!S13-股权价值增加表!S14</f>
        <v>-27798037.740000002</v>
      </c>
      <c r="T20" s="26">
        <f>股权价值增加表!T13-股权价值增加表!T14</f>
        <v>-7569459.9100000001</v>
      </c>
      <c r="U20" s="26">
        <f>股权价值增加表!U13-股权价值增加表!U14</f>
        <v>-359184526.03000003</v>
      </c>
      <c r="V20" s="26">
        <f>股权价值增加表!V13-股权价值增加表!V14</f>
        <v>-345822383.19</v>
      </c>
      <c r="W20" s="26">
        <f>股权价值增加表!W13-股权价值增加表!W14</f>
        <v>-272340254.71999997</v>
      </c>
      <c r="X20" s="26">
        <f>股权价值增加表!X13-股权价值增加表!X14</f>
        <v>-252291491.93000001</v>
      </c>
      <c r="Y20" s="26">
        <f>股权价值增加表!Y13-股权价值增加表!Y14</f>
        <v>-130249348.49000001</v>
      </c>
      <c r="Z20" s="26">
        <f>股权价值增加表!Z13-股权价值增加表!Z14</f>
        <v>-102036766.03</v>
      </c>
      <c r="AA20" s="26">
        <f>股权价值增加表!AA13-股权价值增加表!AA14</f>
        <v>487126.2100000002</v>
      </c>
      <c r="AB20" s="26">
        <f>股权价值增加表!AB13-股权价值增加表!AB14</f>
        <v>1917036.75</v>
      </c>
      <c r="AC20" s="26">
        <f>股权价值增加表!AC13-股权价值增加表!AC14</f>
        <v>-1503951.2800000003</v>
      </c>
      <c r="AD20" s="26">
        <f>股权价值增加表!AD13-股权价值增加表!AD14</f>
        <v>-2839130.88</v>
      </c>
      <c r="AE20" s="26">
        <f>股权价值增加表!AE13-股权价值增加表!AE14</f>
        <v>-2246257.7100000004</v>
      </c>
      <c r="AF20" s="26">
        <f>股权价值增加表!AF13-股权价值增加表!AF14</f>
        <v>1827699.69</v>
      </c>
      <c r="AG20" s="26">
        <f>股权价值增加表!AG13-股权价值增加表!AG14</f>
        <v>1510501.87</v>
      </c>
      <c r="AH20" s="26">
        <f>股权价值增加表!AH13-股权价值增加表!AH14</f>
        <v>-1723377.69</v>
      </c>
      <c r="AI20" s="26">
        <f>股权价值增加表!AI13-股权价值增加表!AI14</f>
        <v>-3239170.94</v>
      </c>
      <c r="AJ20" s="26">
        <f>股权价值增加表!AJ13-股权价值增加表!AJ14</f>
        <v>-2789674.14</v>
      </c>
      <c r="AK20" s="26">
        <f>股权价值增加表!AK13-股权价值增加表!AK14</f>
        <v>5019373.92</v>
      </c>
      <c r="AL20" s="26">
        <f>股权价值增加表!AL13-股权价值增加表!AL14</f>
        <v>-592283.01</v>
      </c>
      <c r="AM20" s="26">
        <f>股权价值增加表!AM13-股权价值增加表!AM14</f>
        <v>852739.31</v>
      </c>
      <c r="AN20" s="26">
        <f>股权价值增加表!AN13-股权价值增加表!AN14</f>
        <v>231620</v>
      </c>
      <c r="AO20" s="26">
        <f>股权价值增加表!AO13-股权价值增加表!AO14</f>
        <v>-5084216.87</v>
      </c>
      <c r="AP20" s="26">
        <f>股权价值增加表!AP13-股权价值增加表!AP14</f>
        <v>-7454829.8000000007</v>
      </c>
      <c r="AQ20" s="26">
        <f>股权价值增加表!AQ13-股权价值增加表!AQ14</f>
        <v>-8598375.6099999994</v>
      </c>
      <c r="AR20" s="26">
        <f>股权价值增加表!AR13-股权价值增加表!AR14</f>
        <v>570450</v>
      </c>
      <c r="AS20" s="26">
        <f>股权价值增加表!AS13-股权价值增加表!AS14</f>
        <v>-3315985.8699999996</v>
      </c>
      <c r="AT20" s="26">
        <f>股权价值增加表!AT13-股权价值增加表!AT14</f>
        <v>2323681.9500000002</v>
      </c>
      <c r="AU20" s="26">
        <f>股权价值增加表!AU13-股权价值增加表!AU14</f>
        <v>2166355.66</v>
      </c>
      <c r="AV20" s="26">
        <f>股权价值增加表!AV13-股权价值增加表!AV14</f>
        <v>1107401.3899999999</v>
      </c>
      <c r="AW20" s="26">
        <f>股权价值增加表!AW13-股权价值增加表!AW14</f>
        <v>957801.04</v>
      </c>
      <c r="AX20" s="26">
        <f>股权价值增加表!AX13-股权价值增加表!AX14</f>
        <v>953634.05</v>
      </c>
      <c r="AY20" s="26">
        <f>股权价值增加表!AY13-股权价值增加表!AY14</f>
        <v>858310.05</v>
      </c>
      <c r="AZ20" s="26">
        <f>股权价值增加表!AZ13-股权价值增加表!AZ14</f>
        <v>327600.5</v>
      </c>
      <c r="BA20" s="26">
        <f>股权价值增加表!BA13-股权价值增加表!BA14</f>
        <v>965952.46</v>
      </c>
      <c r="BB20" s="26">
        <f>股权价值增加表!BB13-股权价值增加表!BB14</f>
        <v>1313039.2</v>
      </c>
      <c r="BC20" s="26">
        <f>股权价值增加表!BC13-股权价值增加表!BC14</f>
        <v>1197703.82</v>
      </c>
      <c r="BD20" s="26">
        <f>股权价值增加表!BD13-股权价值增加表!BD14</f>
        <v>11500</v>
      </c>
      <c r="BE20" s="26">
        <f>股权价值增加表!BE13-股权价值增加表!BE14</f>
        <v>2565458.9800000004</v>
      </c>
      <c r="BF20" s="26">
        <f>股权价值增加表!BF13-股权价值增加表!BF14</f>
        <v>160799.97</v>
      </c>
      <c r="BG20" s="26">
        <f>股权价值增加表!BG13-股权价值增加表!BG14</f>
        <v>33184.97</v>
      </c>
      <c r="BH20" s="26">
        <f>股权价值增加表!BH13-股权价值增加表!BH14</f>
        <v>13474.97</v>
      </c>
      <c r="BI20" s="26">
        <f>股权价值增加表!BI13-股权价值增加表!BI14</f>
        <v>1254821.02</v>
      </c>
      <c r="BJ20" s="26">
        <f>股权价值增加表!BJ13-股权价值增加表!BJ14</f>
        <v>932591.35</v>
      </c>
      <c r="BK20" s="26">
        <f>股权价值增加表!BK13-股权价值增加表!BK14</f>
        <v>572387.41999999993</v>
      </c>
      <c r="BL20" s="26">
        <f>股权价值增加表!BL13-股权价值增加表!BL14</f>
        <v>103200.42</v>
      </c>
      <c r="BM20" s="26">
        <f>股权价值增加表!BM13-股权价值增加表!BM14</f>
        <v>127210.12</v>
      </c>
      <c r="BN20" s="26">
        <f>股权价值增加表!BN13-股权价值增加表!BN14</f>
        <v>57990.12</v>
      </c>
      <c r="BO20" s="26">
        <f>股权价值增加表!BO13-股权价值增加表!BO14</f>
        <v>44590.12</v>
      </c>
      <c r="BP20" s="26">
        <f>股权价值增加表!BP13-股权价值增加表!BP14</f>
        <v>49958.12</v>
      </c>
      <c r="BQ20" s="26">
        <f>股权价值增加表!BQ13-股权价值增加表!BQ14</f>
        <v>-2932126.66</v>
      </c>
      <c r="BR20" s="26">
        <f>股权价值增加表!BR13-股权价值增加表!BR14</f>
        <v>-561410.48</v>
      </c>
      <c r="BS20" s="26">
        <f>股权价值增加表!BS13-股权价值增加表!BS14</f>
        <v>-942739.14</v>
      </c>
      <c r="BT20" s="26">
        <f>股权价值增加表!BT13-股权价值增加表!BT14</f>
        <v>-55114.31</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-3.4342620346539E-3</v>
      </c>
      <c r="F21" s="57">
        <f t="shared" ref="F21:BQ21" si="21">F20/F2</f>
        <v>-3.3946793945194135E-3</v>
      </c>
      <c r="G21" s="57">
        <f t="shared" si="21"/>
        <v>-1.6635116990659988E-3</v>
      </c>
      <c r="H21" s="57">
        <f t="shared" si="21"/>
        <v>-2.6383114295974596E-3</v>
      </c>
      <c r="I21" s="57">
        <f t="shared" si="21"/>
        <v>-7.9188592397592666E-3</v>
      </c>
      <c r="J21" s="57">
        <f t="shared" si="21"/>
        <v>-4.1902173084754817E-3</v>
      </c>
      <c r="K21" s="57">
        <f t="shared" si="21"/>
        <v>2.8403366119207906E-4</v>
      </c>
      <c r="L21" s="57">
        <f t="shared" si="21"/>
        <v>4.1771256178470419E-4</v>
      </c>
      <c r="M21" s="57">
        <f t="shared" si="21"/>
        <v>-4.8156462388790483E-3</v>
      </c>
      <c r="N21" s="57">
        <f t="shared" si="21"/>
        <v>-5.7346528792314019E-3</v>
      </c>
      <c r="O21" s="57">
        <f t="shared" si="21"/>
        <v>-1.3818402399224433E-4</v>
      </c>
      <c r="P21" s="57">
        <f t="shared" si="21"/>
        <v>-2.7103492501103047E-4</v>
      </c>
      <c r="Q21" s="57">
        <f t="shared" si="21"/>
        <v>-6.9877529922764891E-3</v>
      </c>
      <c r="R21" s="57">
        <f t="shared" si="21"/>
        <v>-6.3195035894009401E-3</v>
      </c>
      <c r="S21" s="57">
        <f t="shared" si="21"/>
        <v>-1.9409830333261798E-3</v>
      </c>
      <c r="T21" s="57">
        <f t="shared" si="21"/>
        <v>-1.0160586520227969E-3</v>
      </c>
      <c r="U21" s="57">
        <f t="shared" si="21"/>
        <v>-1.161589916293706E-2</v>
      </c>
      <c r="V21" s="57">
        <f t="shared" si="21"/>
        <v>-1.5765267464831405E-2</v>
      </c>
      <c r="W21" s="57">
        <f t="shared" si="21"/>
        <v>-1.9276813055786001E-2</v>
      </c>
      <c r="X21" s="57">
        <f t="shared" si="21"/>
        <v>-3.5207791183616721E-2</v>
      </c>
      <c r="Y21" s="57">
        <f t="shared" si="21"/>
        <v>-4.9233679232099665E-3</v>
      </c>
      <c r="Z21" s="57">
        <f t="shared" si="21"/>
        <v>-5.1193879215292917E-3</v>
      </c>
      <c r="AA21" s="57">
        <f t="shared" si="21"/>
        <v>3.6724225783837681E-5</v>
      </c>
      <c r="AB21" s="57">
        <f t="shared" si="21"/>
        <v>3.1865808334334154E-4</v>
      </c>
      <c r="AC21" s="57">
        <f t="shared" si="21"/>
        <v>-8.172602164550113E-5</v>
      </c>
      <c r="AD21" s="57">
        <f t="shared" si="21"/>
        <v>-2.0811575805659095E-4</v>
      </c>
      <c r="AE21" s="57">
        <f t="shared" si="21"/>
        <v>-2.2860757947362531E-4</v>
      </c>
      <c r="AF21" s="57">
        <f t="shared" si="21"/>
        <v>4.3304374047975199E-4</v>
      </c>
      <c r="AG21" s="57">
        <f t="shared" si="21"/>
        <v>1.2984312114582949E-4</v>
      </c>
      <c r="AH21" s="57">
        <f t="shared" si="21"/>
        <v>-1.847615458038863E-4</v>
      </c>
      <c r="AI21" s="57">
        <f t="shared" si="21"/>
        <v>-4.9173219384330235E-4</v>
      </c>
      <c r="AJ21" s="57">
        <f t="shared" si="21"/>
        <v>-9.1768431255944045E-4</v>
      </c>
      <c r="AK21" s="57">
        <f t="shared" si="21"/>
        <v>5.1906663961994544E-4</v>
      </c>
      <c r="AL21" s="57">
        <f t="shared" si="21"/>
        <v>-7.5863668025153466E-5</v>
      </c>
      <c r="AM21" s="57">
        <f t="shared" si="21"/>
        <v>1.5375737155512128E-4</v>
      </c>
      <c r="AN21" s="57">
        <f t="shared" si="21"/>
        <v>9.2185700981339109E-5</v>
      </c>
      <c r="AO21" s="57">
        <f t="shared" si="21"/>
        <v>-6.1689042010292135E-4</v>
      </c>
      <c r="AP21" s="57">
        <f t="shared" si="21"/>
        <v>-1.1492808046353075E-3</v>
      </c>
      <c r="AQ21" s="57">
        <f t="shared" si="21"/>
        <v>-1.8612341478410706E-3</v>
      </c>
      <c r="AR21" s="57">
        <f t="shared" si="21"/>
        <v>2.8615552117332445E-4</v>
      </c>
      <c r="AS21" s="57">
        <f t="shared" si="21"/>
        <v>-4.5817168907896414E-4</v>
      </c>
      <c r="AT21" s="57">
        <f t="shared" si="21"/>
        <v>5.2119397128536559E-4</v>
      </c>
      <c r="AU21" s="57">
        <f t="shared" si="21"/>
        <v>8.2399483692993354E-4</v>
      </c>
      <c r="AV21" s="57">
        <f t="shared" si="21"/>
        <v>6.9755893922385519E-4</v>
      </c>
      <c r="AW21" s="57">
        <f t="shared" si="21"/>
        <v>1.9562182966571345E-4</v>
      </c>
      <c r="AX21" s="57">
        <f t="shared" si="21"/>
        <v>2.9347523339981382E-4</v>
      </c>
      <c r="AY21" s="57">
        <f t="shared" si="21"/>
        <v>4.2292492143759932E-4</v>
      </c>
      <c r="AZ21" s="57">
        <f t="shared" si="21"/>
        <v>2.4186118242022097E-4</v>
      </c>
      <c r="BA21" s="57">
        <f t="shared" si="21"/>
        <v>2.4575721034155297E-4</v>
      </c>
      <c r="BB21" s="57">
        <f t="shared" si="21"/>
        <v>5.0886702942500364E-4</v>
      </c>
      <c r="BC21" s="57">
        <f t="shared" si="21"/>
        <v>7.1032105035757898E-4</v>
      </c>
      <c r="BD21" s="57">
        <f t="shared" si="21"/>
        <v>1.0052295356653848E-5</v>
      </c>
      <c r="BE21" s="57">
        <f t="shared" si="21"/>
        <v>8.523704244230647E-4</v>
      </c>
      <c r="BF21" s="57">
        <f t="shared" si="21"/>
        <v>7.7664705048491507E-5</v>
      </c>
      <c r="BG21" s="57">
        <f t="shared" si="21"/>
        <v>2.5252825085776287E-5</v>
      </c>
      <c r="BH21" s="57">
        <f t="shared" si="21"/>
        <v>1.5789156589384042E-5</v>
      </c>
      <c r="BI21" s="57">
        <f t="shared" si="21"/>
        <v>5.2262042767147571E-4</v>
      </c>
      <c r="BJ21" s="57">
        <f t="shared" si="21"/>
        <v>6.0060842851165734E-4</v>
      </c>
      <c r="BK21" s="57">
        <f t="shared" si="21"/>
        <v>5.6725514195925687E-4</v>
      </c>
      <c r="BL21" s="57">
        <f t="shared" si="21"/>
        <v>1.4062124383446258E-4</v>
      </c>
      <c r="BM21" s="57">
        <f t="shared" si="21"/>
        <v>6.9328158597985288E-5</v>
      </c>
      <c r="BN21" s="57">
        <f t="shared" si="21"/>
        <v>4.2518297322720191E-5</v>
      </c>
      <c r="BO21" s="57">
        <f t="shared" si="21"/>
        <v>4.665926169859361E-5</v>
      </c>
      <c r="BP21" s="57">
        <f t="shared" si="21"/>
        <v>6.9578114444984932E-5</v>
      </c>
      <c r="BQ21" s="57">
        <f t="shared" si="21"/>
        <v>-1.81213974350915E-3</v>
      </c>
      <c r="BR21" s="57">
        <f t="shared" ref="BR21:CK21" si="22">BR20/BR2</f>
        <v>-6.4244643875150059E-4</v>
      </c>
      <c r="BS21" s="57">
        <f t="shared" si="22"/>
        <v>-8.462643193600356E-4</v>
      </c>
      <c r="BT21" s="57">
        <f t="shared" si="22"/>
        <v>-6.1866535985641104E-5</v>
      </c>
      <c r="BU21" s="57">
        <f t="shared" si="22"/>
        <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0.27323093733947101</v>
      </c>
      <c r="F22" s="66">
        <f t="shared" ref="F22:BQ22" si="23">F11+F13+F15+F17+F19+F21</f>
        <v>0.26771475212157136</v>
      </c>
      <c r="G22" s="66">
        <f t="shared" si="23"/>
        <v>0.2805737948223116</v>
      </c>
      <c r="H22" s="66">
        <f t="shared" si="23"/>
        <v>0.29360614322934497</v>
      </c>
      <c r="I22" s="66">
        <f t="shared" si="23"/>
        <v>0.31090729905533349</v>
      </c>
      <c r="J22" s="66">
        <f t="shared" si="23"/>
        <v>0.26130318085442017</v>
      </c>
      <c r="K22" s="66">
        <f t="shared" si="23"/>
        <v>0.2456013116626492</v>
      </c>
      <c r="L22" s="66">
        <f t="shared" si="23"/>
        <v>0.22657214791501579</v>
      </c>
      <c r="M22" s="66">
        <f t="shared" si="23"/>
        <v>0.26304071295772002</v>
      </c>
      <c r="N22" s="66">
        <f t="shared" si="23"/>
        <v>0.24048828654510401</v>
      </c>
      <c r="O22" s="66">
        <f t="shared" si="23"/>
        <v>0.24466670767826593</v>
      </c>
      <c r="P22" s="66">
        <f t="shared" si="23"/>
        <v>0.23015900364380612</v>
      </c>
      <c r="Q22" s="66">
        <f t="shared" si="23"/>
        <v>0.24142896598312716</v>
      </c>
      <c r="R22" s="66">
        <f t="shared" si="23"/>
        <v>0.23856146549533722</v>
      </c>
      <c r="S22" s="66">
        <f t="shared" si="23"/>
        <v>0.23582386063663713</v>
      </c>
      <c r="T22" s="66">
        <f t="shared" si="23"/>
        <v>0.23577789640504038</v>
      </c>
      <c r="U22" s="66">
        <f t="shared" si="23"/>
        <v>0.23035099712079754</v>
      </c>
      <c r="V22" s="66">
        <f t="shared" si="23"/>
        <v>0.20669587076376678</v>
      </c>
      <c r="W22" s="66">
        <f t="shared" si="23"/>
        <v>0.19652310613997637</v>
      </c>
      <c r="X22" s="66">
        <f t="shared" si="23"/>
        <v>0.16421264084463499</v>
      </c>
      <c r="Y22" s="66">
        <f t="shared" si="23"/>
        <v>0.22206189589648934</v>
      </c>
      <c r="Z22" s="66">
        <f t="shared" si="23"/>
        <v>0.19134598783893872</v>
      </c>
      <c r="AA22" s="66">
        <f t="shared" si="23"/>
        <v>0.19570332846480998</v>
      </c>
      <c r="AB22" s="66">
        <f t="shared" si="23"/>
        <v>0.24272561353142899</v>
      </c>
      <c r="AC22" s="66">
        <f t="shared" si="23"/>
        <v>0.26452807844231507</v>
      </c>
      <c r="AD22" s="66">
        <f t="shared" si="23"/>
        <v>0.25084886176149795</v>
      </c>
      <c r="AE22" s="66">
        <f t="shared" si="23"/>
        <v>0.22807214421580246</v>
      </c>
      <c r="AF22" s="66">
        <f t="shared" si="23"/>
        <v>0.29181762386941301</v>
      </c>
      <c r="AG22" s="66">
        <f t="shared" si="23"/>
        <v>0.30930962924955913</v>
      </c>
      <c r="AH22" s="66">
        <f t="shared" si="23"/>
        <v>0.29426266860437134</v>
      </c>
      <c r="AI22" s="66">
        <f t="shared" si="23"/>
        <v>0.26325621427856571</v>
      </c>
      <c r="AJ22" s="66">
        <f t="shared" si="23"/>
        <v>0.32645984676505352</v>
      </c>
      <c r="AK22" s="66">
        <f t="shared" si="23"/>
        <v>0.28786669135502463</v>
      </c>
      <c r="AL22" s="66">
        <f t="shared" si="23"/>
        <v>0.23681273802091737</v>
      </c>
      <c r="AM22" s="66">
        <f t="shared" si="23"/>
        <v>0.2161576628381626</v>
      </c>
      <c r="AN22" s="66">
        <f t="shared" si="23"/>
        <v>0.25397331126493361</v>
      </c>
      <c r="AO22" s="66">
        <f t="shared" si="23"/>
        <v>0.26090854492969345</v>
      </c>
      <c r="AP22" s="66">
        <f t="shared" si="23"/>
        <v>0.23371244410435768</v>
      </c>
      <c r="AQ22" s="66">
        <f t="shared" si="23"/>
        <v>0.23200211116441688</v>
      </c>
      <c r="AR22" s="66">
        <f t="shared" si="23"/>
        <v>0.30668141653144382</v>
      </c>
      <c r="AS22" s="66">
        <f t="shared" si="23"/>
        <v>0.260270395930155</v>
      </c>
      <c r="AT22" s="66">
        <f t="shared" si="23"/>
        <v>0.29862049973417581</v>
      </c>
      <c r="AU22" s="66">
        <f t="shared" si="23"/>
        <v>0.34877884195707687</v>
      </c>
      <c r="AV22" s="66">
        <f t="shared" si="23"/>
        <v>0.31787044394285735</v>
      </c>
      <c r="AW22" s="66">
        <f t="shared" si="23"/>
        <v>0.33655565561697975</v>
      </c>
      <c r="AX22" s="66">
        <f t="shared" si="23"/>
        <v>0.35788404166683685</v>
      </c>
      <c r="AY22" s="66">
        <f t="shared" si="23"/>
        <v>0.3565230885454308</v>
      </c>
      <c r="AZ22" s="66">
        <f t="shared" si="23"/>
        <v>0.33812322548010976</v>
      </c>
      <c r="BA22" s="66">
        <f t="shared" si="23"/>
        <v>0.34545991877279913</v>
      </c>
      <c r="BB22" s="66">
        <f t="shared" si="23"/>
        <v>0.38598467473733189</v>
      </c>
      <c r="BC22" s="66">
        <f t="shared" si="23"/>
        <v>0.38298965005480473</v>
      </c>
      <c r="BD22" s="66">
        <f t="shared" si="23"/>
        <v>0.34385579478535289</v>
      </c>
      <c r="BE22" s="66">
        <f t="shared" si="23"/>
        <v>0.33740069179795162</v>
      </c>
      <c r="BF22" s="66">
        <f t="shared" si="23"/>
        <v>0.41023278406468089</v>
      </c>
      <c r="BG22" s="66">
        <f t="shared" si="23"/>
        <v>0.39911434976181887</v>
      </c>
      <c r="BH22" s="66">
        <f t="shared" si="23"/>
        <v>0.36065243692739485</v>
      </c>
      <c r="BI22" s="66">
        <f t="shared" si="23"/>
        <v>0.40257111482100616</v>
      </c>
      <c r="BJ22" s="66">
        <f t="shared" si="23"/>
        <v>0.4316369294021048</v>
      </c>
      <c r="BK22" s="66">
        <f t="shared" si="23"/>
        <v>0.40446359389000408</v>
      </c>
      <c r="BL22" s="66">
        <f t="shared" si="23"/>
        <v>0.35443869526956023</v>
      </c>
      <c r="BM22" s="66">
        <f t="shared" si="23"/>
        <v>0.47198093678930481</v>
      </c>
      <c r="BN22" s="66">
        <f t="shared" si="23"/>
        <v>0.45658387104868448</v>
      </c>
      <c r="BO22" s="66">
        <f t="shared" si="23"/>
        <v>0.42708623978231003</v>
      </c>
      <c r="BP22" s="66">
        <f t="shared" si="23"/>
        <v>0.37324936248349588</v>
      </c>
      <c r="BQ22" s="66">
        <f t="shared" si="23"/>
        <v>0.44765859943818054</v>
      </c>
      <c r="BR22" s="66">
        <f t="shared" ref="BR22:CJ22" si="24">BR11+BR13+BR15+BR17+BR19+BR21</f>
        <v>0.40382950200420237</v>
      </c>
      <c r="BS22" s="66">
        <f t="shared" si="24"/>
        <v>0.41541886714223708</v>
      </c>
      <c r="BT22" s="66">
        <f t="shared" si="24"/>
        <v>0.44577680457041863</v>
      </c>
      <c r="BU22" s="66">
        <f t="shared" si="24"/>
        <v>0.46420358148512297</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26253075158.090992</v>
      </c>
      <c r="F23" s="27">
        <f>股权价值增加表!F17</f>
        <v>19404450658.171982</v>
      </c>
      <c r="G23" s="27">
        <f>股权价值增加表!G17</f>
        <v>10783278773.024376</v>
      </c>
      <c r="H23" s="27">
        <f>股权价值增加表!H17</f>
        <v>5951814741.3700209</v>
      </c>
      <c r="I23" s="27">
        <f>股权价值增加表!I17</f>
        <v>16736069551.711514</v>
      </c>
      <c r="J23" s="27">
        <f>股权价值增加表!J17</f>
        <v>12517741132.533356</v>
      </c>
      <c r="K23" s="27">
        <f>股权价值增加表!K17</f>
        <v>8860710403.007576</v>
      </c>
      <c r="L23" s="27">
        <f>股权价值增加表!L17</f>
        <v>4976138897.8466206</v>
      </c>
      <c r="M23" s="27">
        <f>股权价值增加表!M17</f>
        <v>15684483503.568249</v>
      </c>
      <c r="N23" s="27">
        <f>股权价值增加表!N17</f>
        <v>11545123600.416145</v>
      </c>
      <c r="O23" s="27">
        <f>股权价值增加表!O17</f>
        <v>7965069932.5876713</v>
      </c>
      <c r="P23" s="27">
        <f>股权价值增加表!P17</f>
        <v>4418678345.373085</v>
      </c>
      <c r="Q23" s="27">
        <f>股权价值增加表!Q17</f>
        <v>15591399290.098244</v>
      </c>
      <c r="R23" s="27">
        <f>股权价值增加表!R17</f>
        <v>10891196920.650229</v>
      </c>
      <c r="S23" s="27">
        <f>股权价值增加表!S17</f>
        <v>7357086282.0197487</v>
      </c>
      <c r="T23" s="27">
        <f>股权价值增加表!T17</f>
        <v>3818142823.4896383</v>
      </c>
      <c r="U23" s="27">
        <f>股权价值增加表!U17</f>
        <v>15529997206.053368</v>
      </c>
      <c r="V23" s="27">
        <f>股权价值增加表!V17</f>
        <v>11352927207.672548</v>
      </c>
      <c r="W23" s="27">
        <f>股权价值增加表!W17</f>
        <v>7429540783.5980339</v>
      </c>
      <c r="X23" s="27">
        <f>股权价值增加表!X17</f>
        <v>3688929473.5417194</v>
      </c>
      <c r="Y23" s="27">
        <f>股权价值增加表!Y17</f>
        <v>13690175202.495228</v>
      </c>
      <c r="Z23" s="27">
        <f>股权价值增加表!Z17</f>
        <v>10712573284.959608</v>
      </c>
      <c r="AA23" s="27">
        <f>股权价值增加表!AA17</f>
        <v>7206234643.9572573</v>
      </c>
      <c r="AB23" s="27">
        <f>股权价值增加表!AB17</f>
        <v>3056471567.4978819</v>
      </c>
      <c r="AC23" s="27">
        <f>股权价值增加表!AC17</f>
        <v>8984121599.690731</v>
      </c>
      <c r="AD23" s="27">
        <f>股权价值增加表!AD17</f>
        <v>6765576693.4265585</v>
      </c>
      <c r="AE23" s="27">
        <f>股权价值增加表!AE17</f>
        <v>5052224830.9686832</v>
      </c>
      <c r="AF23" s="27">
        <f>股权价值增加表!AF17</f>
        <v>1951101757.1745355</v>
      </c>
      <c r="AG23" s="27">
        <f>股权价值增加表!AG17</f>
        <v>5207486806.0041952</v>
      </c>
      <c r="AH23" s="27">
        <f>股权价值增加表!AH17</f>
        <v>4308075389.1502752</v>
      </c>
      <c r="AI23" s="27">
        <f>股权价值增加表!AI17</f>
        <v>3199715598.6384935</v>
      </c>
      <c r="AJ23" s="27">
        <f>股权价值增加表!AJ17</f>
        <v>1309702018.6234198</v>
      </c>
      <c r="AK23" s="27">
        <f>股权价值增加表!AK17</f>
        <v>4451921450.1984816</v>
      </c>
      <c r="AL23" s="27">
        <f>股权价值增加表!AL17</f>
        <v>3911231169.9370718</v>
      </c>
      <c r="AM23" s="27">
        <f>股权价值增加表!AM17</f>
        <v>2862464104.1784334</v>
      </c>
      <c r="AN23" s="27">
        <f>股权价值增加表!AN17</f>
        <v>1217631428.2498841</v>
      </c>
      <c r="AO23" s="27">
        <f>股权价值增加表!AO17</f>
        <v>3923628849.1004276</v>
      </c>
      <c r="AP23" s="27">
        <f>股权价值增加表!AP17</f>
        <v>3256778002.365612</v>
      </c>
      <c r="AQ23" s="27">
        <f>股权价值增加表!AQ17</f>
        <v>2316802869.4071455</v>
      </c>
      <c r="AR23" s="27">
        <f>股权价值增加表!AR17</f>
        <v>886969847.45644474</v>
      </c>
      <c r="AS23" s="27">
        <f>股权价值增加表!AS17</f>
        <v>2935514028.7851157</v>
      </c>
      <c r="AT23" s="27">
        <f>股权价值增加表!AT17</f>
        <v>1643253681.0858998</v>
      </c>
      <c r="AU23" s="27">
        <f>股权价值增加表!AU17</f>
        <v>871731164.99333429</v>
      </c>
      <c r="AV23" s="27">
        <f>股权价值增加表!AV17</f>
        <v>544259098.379511</v>
      </c>
      <c r="AW23" s="27">
        <f>股权价值增加表!AW17</f>
        <v>1555595302.6431525</v>
      </c>
      <c r="AX23" s="27">
        <f>股权价值增加表!AX17</f>
        <v>984347488.04984808</v>
      </c>
      <c r="AY23" s="27">
        <f>股权价值增加表!AY17</f>
        <v>629546720.8724339</v>
      </c>
      <c r="AZ23" s="27">
        <f>股权价值增加表!AZ17</f>
        <v>466534382.76905102</v>
      </c>
      <c r="BA23" s="27">
        <f>股权价值增加表!BA17</f>
        <v>1149168967.6063571</v>
      </c>
      <c r="BB23" s="27">
        <f>股权价值增加表!BB17</f>
        <v>725490326.89868951</v>
      </c>
      <c r="BC23" s="27">
        <f>股权价值增加表!BC17</f>
        <v>497270327.482131</v>
      </c>
      <c r="BD23" s="27">
        <f>股权价值增加表!BD17</f>
        <v>381489023.45721632</v>
      </c>
      <c r="BE23" s="27">
        <f>股权价值增加表!BE17</f>
        <v>839095033.9406172</v>
      </c>
      <c r="BF23" s="27">
        <f>股权价值增加表!BF17</f>
        <v>524289150.53143865</v>
      </c>
      <c r="BG23" s="27">
        <f>股权价值增加表!BG17</f>
        <v>357688897.7866267</v>
      </c>
      <c r="BH23" s="27">
        <f>股权价值增加表!BH17</f>
        <v>266767183.66351357</v>
      </c>
      <c r="BI23" s="27">
        <f>股权价值增加表!BI17</f>
        <v>597080913.97970891</v>
      </c>
      <c r="BJ23" s="27">
        <f>股权价值增加表!BJ17</f>
        <v>359846470.99387157</v>
      </c>
      <c r="BK23" s="27">
        <f>股权价值增加表!BK17</f>
        <v>257967956.47476113</v>
      </c>
      <c r="BL23" s="27">
        <f>股权价值增加表!BL17</f>
        <v>222333369.7577582</v>
      </c>
      <c r="BM23" s="27">
        <f>股权价值增加表!BM17</f>
        <v>378715561.24946892</v>
      </c>
      <c r="BN23" s="27">
        <f>股权价值增加表!BN17</f>
        <v>308296546.68218607</v>
      </c>
      <c r="BO23" s="27">
        <f>股权价值增加表!BO17</f>
        <v>238315335.98605028</v>
      </c>
      <c r="BP23" s="27">
        <f>股权价值增加表!BP17</f>
        <v>211338260.36413699</v>
      </c>
      <c r="BQ23" s="27">
        <f>股权价值增加表!BQ17</f>
        <v>337909081.88659883</v>
      </c>
      <c r="BR23" s="27">
        <f>股权价值增加表!BR17</f>
        <v>229927164.91021764</v>
      </c>
      <c r="BS23" s="27">
        <f>股权价值增加表!BS17</f>
        <v>260073853.45585519</v>
      </c>
      <c r="BT23" s="27">
        <f>股权价值增加表!BT17</f>
        <v>222185382.16190058</v>
      </c>
      <c r="BU23" s="27">
        <f>股权价值增加表!BU17</f>
        <v>173915342.50660002</v>
      </c>
      <c r="BV23" s="27" t="e">
        <f>股权价值增加表!BV17</f>
        <v>#DIV/0!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0.45094537252781386</v>
      </c>
      <c r="F24" s="57">
        <f t="shared" ref="F24:BQ24" si="25">F23/F2</f>
        <v>0.45710805559838441</v>
      </c>
      <c r="G24" s="57">
        <f t="shared" si="25"/>
        <v>0.44577367929753586</v>
      </c>
      <c r="H24" s="57">
        <f t="shared" si="25"/>
        <v>0.4472143773240026</v>
      </c>
      <c r="I24" s="57">
        <f t="shared" si="25"/>
        <v>0.4306517351277509</v>
      </c>
      <c r="J24" s="57">
        <f t="shared" si="25"/>
        <v>0.4700283734072413</v>
      </c>
      <c r="K24" s="57">
        <f t="shared" si="25"/>
        <v>0.48756925017632752</v>
      </c>
      <c r="L24" s="57">
        <f t="shared" si="25"/>
        <v>0.49817414983594677</v>
      </c>
      <c r="M24" s="57">
        <f t="shared" si="25"/>
        <v>0.48024137831945934</v>
      </c>
      <c r="N24" s="57">
        <f t="shared" si="25"/>
        <v>0.49873768747430047</v>
      </c>
      <c r="O24" s="57">
        <f t="shared" si="25"/>
        <v>0.50480055085685449</v>
      </c>
      <c r="P24" s="57">
        <f t="shared" si="25"/>
        <v>0.51715085881447265</v>
      </c>
      <c r="Q24" s="57">
        <f t="shared" si="25"/>
        <v>0.49380612472153673</v>
      </c>
      <c r="R24" s="57">
        <f t="shared" si="25"/>
        <v>0.50147813137630759</v>
      </c>
      <c r="S24" s="57">
        <f t="shared" si="25"/>
        <v>0.51370459244930566</v>
      </c>
      <c r="T24" s="57">
        <f t="shared" si="25"/>
        <v>0.51251437970366343</v>
      </c>
      <c r="U24" s="57">
        <f t="shared" si="25"/>
        <v>0.50223455765225022</v>
      </c>
      <c r="V24" s="57">
        <f t="shared" si="25"/>
        <v>0.51755450959165916</v>
      </c>
      <c r="W24" s="57">
        <f t="shared" si="25"/>
        <v>0.52587844174194198</v>
      </c>
      <c r="X24" s="57">
        <f t="shared" si="25"/>
        <v>0.51479761605112651</v>
      </c>
      <c r="Y24" s="57">
        <f t="shared" si="25"/>
        <v>0.51748258426232618</v>
      </c>
      <c r="Z24" s="57">
        <f t="shared" si="25"/>
        <v>0.53747115297044445</v>
      </c>
      <c r="AA24" s="57">
        <f t="shared" si="25"/>
        <v>0.54327478727945955</v>
      </c>
      <c r="AB24" s="57">
        <f t="shared" si="25"/>
        <v>0.50805983322557258</v>
      </c>
      <c r="AC24" s="57">
        <f t="shared" si="25"/>
        <v>0.48820498781193156</v>
      </c>
      <c r="AD24" s="57">
        <f t="shared" si="25"/>
        <v>0.49593455946718185</v>
      </c>
      <c r="AE24" s="57">
        <f t="shared" si="25"/>
        <v>0.51417826388419885</v>
      </c>
      <c r="AF24" s="57">
        <f t="shared" si="25"/>
        <v>0.46228185494930935</v>
      </c>
      <c r="AG24" s="57">
        <f t="shared" si="25"/>
        <v>0.44763687728325108</v>
      </c>
      <c r="AH24" s="57">
        <f t="shared" si="25"/>
        <v>0.4618643219984378</v>
      </c>
      <c r="AI24" s="57">
        <f t="shared" si="25"/>
        <v>0.48574255577667719</v>
      </c>
      <c r="AJ24" s="57">
        <f t="shared" si="25"/>
        <v>0.43083634012470878</v>
      </c>
      <c r="AK24" s="57">
        <f t="shared" si="25"/>
        <v>0.46038488939801481</v>
      </c>
      <c r="AL24" s="57">
        <f t="shared" si="25"/>
        <v>0.50097729976373728</v>
      </c>
      <c r="AM24" s="57">
        <f t="shared" si="25"/>
        <v>0.51613072326800635</v>
      </c>
      <c r="AN24" s="57">
        <f t="shared" si="25"/>
        <v>0.48462225520302515</v>
      </c>
      <c r="AO24" s="57">
        <f t="shared" si="25"/>
        <v>0.47607116512508341</v>
      </c>
      <c r="AP24" s="57">
        <f t="shared" si="25"/>
        <v>0.50208422505867534</v>
      </c>
      <c r="AQ24" s="57">
        <f t="shared" si="25"/>
        <v>0.50150316873128031</v>
      </c>
      <c r="AR24" s="57">
        <f t="shared" si="25"/>
        <v>0.44493175381527394</v>
      </c>
      <c r="AS24" s="57">
        <f t="shared" si="25"/>
        <v>0.40560167431698724</v>
      </c>
      <c r="AT24" s="57">
        <f t="shared" si="25"/>
        <v>0.36857622097312231</v>
      </c>
      <c r="AU24" s="57">
        <f t="shared" si="25"/>
        <v>0.33157158467018449</v>
      </c>
      <c r="AV24" s="57">
        <f t="shared" si="25"/>
        <v>0.34283214989331334</v>
      </c>
      <c r="AW24" s="57">
        <f t="shared" si="25"/>
        <v>0.31771567017973035</v>
      </c>
      <c r="AX24" s="57">
        <f t="shared" si="25"/>
        <v>0.30292711213693513</v>
      </c>
      <c r="AY24" s="57">
        <f t="shared" si="25"/>
        <v>0.31020375150713003</v>
      </c>
      <c r="AZ24" s="57">
        <f t="shared" si="25"/>
        <v>0.34443341037700076</v>
      </c>
      <c r="BA24" s="57">
        <f t="shared" si="25"/>
        <v>0.29237107558069764</v>
      </c>
      <c r="BB24" s="57">
        <f t="shared" si="25"/>
        <v>0.28116305097784661</v>
      </c>
      <c r="BC24" s="57">
        <f t="shared" si="25"/>
        <v>0.29491563392422387</v>
      </c>
      <c r="BD24" s="57">
        <f t="shared" si="25"/>
        <v>0.33346437731420747</v>
      </c>
      <c r="BE24" s="57">
        <f t="shared" si="25"/>
        <v>0.27878823859083868</v>
      </c>
      <c r="BF24" s="57">
        <f t="shared" si="25"/>
        <v>0.25322618055307067</v>
      </c>
      <c r="BG24" s="57">
        <f t="shared" si="25"/>
        <v>0.27219115072063638</v>
      </c>
      <c r="BH24" s="57">
        <f t="shared" si="25"/>
        <v>0.31258168558239374</v>
      </c>
      <c r="BI24" s="57">
        <f t="shared" si="25"/>
        <v>0.24867823988041823</v>
      </c>
      <c r="BJ24" s="57">
        <f t="shared" si="25"/>
        <v>0.2317486897654529</v>
      </c>
      <c r="BK24" s="57">
        <f t="shared" si="25"/>
        <v>0.25565490200855573</v>
      </c>
      <c r="BL24" s="57">
        <f t="shared" si="25"/>
        <v>0.30295220698950109</v>
      </c>
      <c r="BM24" s="57">
        <f t="shared" si="25"/>
        <v>0.20639594156367588</v>
      </c>
      <c r="BN24" s="57">
        <f t="shared" si="25"/>
        <v>0.22604271616270274</v>
      </c>
      <c r="BO24" s="57">
        <f t="shared" si="25"/>
        <v>0.24937402340611289</v>
      </c>
      <c r="BP24" s="57">
        <f t="shared" si="25"/>
        <v>0.29433688990338197</v>
      </c>
      <c r="BQ24" s="57">
        <f t="shared" si="25"/>
        <v>0.20883766221046998</v>
      </c>
      <c r="BR24" s="57">
        <f t="shared" ref="BR24:CJ24" si="26">BR23/BR2</f>
        <v>0.26311565874010462</v>
      </c>
      <c r="BS24" s="57">
        <f t="shared" si="26"/>
        <v>0.23345930304554974</v>
      </c>
      <c r="BT24" s="57">
        <f t="shared" si="26"/>
        <v>0.249406006189729</v>
      </c>
      <c r="BU24" s="57">
        <f t="shared" si="26"/>
        <v>0.27685395135221019</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2" t="s">
        <v>669</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49" t="s">
        <v>599</v>
      </c>
      <c r="B26" s="150"/>
      <c r="C26" s="150"/>
      <c r="D26" s="150"/>
      <c r="E26" s="151">
        <f>POWER(E2/Y2,1/6)-1</f>
        <v>0.14048741304798185</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36525</v>
      </c>
      <c r="BU27" s="1">
        <v>36160</v>
      </c>
      <c r="BV27" s="1">
        <v>25569</v>
      </c>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35970633343.730003</v>
      </c>
      <c r="F28" s="26">
        <f>股权价值增加表!F15</f>
        <v>26524201357.680004</v>
      </c>
      <c r="G28" s="26">
        <f>股权价值增加表!G15</f>
        <v>14811232432.109999</v>
      </c>
      <c r="H28" s="26">
        <f>股权价值增加表!H15</f>
        <v>8153918546.2400007</v>
      </c>
      <c r="I28" s="26">
        <f>股权价值增加表!I15</f>
        <v>22754058956.889999</v>
      </c>
      <c r="J28" s="26">
        <f>股权价值增加表!J15</f>
        <v>17224302576.93</v>
      </c>
      <c r="K28" s="26">
        <f>股权价值增加表!K15</f>
        <v>12244780312.01</v>
      </c>
      <c r="L28" s="26">
        <f>股权价值增加表!L15</f>
        <v>6968923187.1999989</v>
      </c>
      <c r="M28" s="26">
        <f>股权价值增加表!M15</f>
        <v>21215892085.159996</v>
      </c>
      <c r="N28" s="26">
        <f>股权价值增加表!N15</f>
        <v>15569153338.09</v>
      </c>
      <c r="O28" s="26">
        <f>股权价值增加表!O15</f>
        <v>10747899018.51</v>
      </c>
      <c r="P28" s="26">
        <f>股权价值增加表!P15</f>
        <v>5993303437.5699997</v>
      </c>
      <c r="Q28" s="26">
        <f>股权价值增加表!Q15</f>
        <v>21171255454.220001</v>
      </c>
      <c r="R28" s="26">
        <f>股权价值增加表!R15</f>
        <v>14669262457.400002</v>
      </c>
      <c r="S28" s="26">
        <f>股权价值增加表!S15</f>
        <v>9901107345.6399994</v>
      </c>
      <c r="T28" s="26">
        <f>股权价值增加表!T15</f>
        <v>5171247404.3500004</v>
      </c>
      <c r="U28" s="26">
        <f>股权价值增加表!U15</f>
        <v>20886644190.5</v>
      </c>
      <c r="V28" s="26">
        <f>股权价值增加表!V15</f>
        <v>15269182006.340002</v>
      </c>
      <c r="W28" s="26">
        <f>股权价值增加表!W15</f>
        <v>9874167661.1199989</v>
      </c>
      <c r="X28" s="26">
        <f>股权价值增加表!X15</f>
        <v>5003369013.6899986</v>
      </c>
      <c r="Y28" s="26">
        <f>股权价值增加表!Y15</f>
        <v>18275808106.600002</v>
      </c>
      <c r="Z28" s="26">
        <f>股权价值增加表!Z15</f>
        <v>14284688218.48</v>
      </c>
      <c r="AA28" s="26">
        <f>股权价值增加表!AA15</f>
        <v>9609872110.0600014</v>
      </c>
      <c r="AB28" s="26">
        <f>股权价值增加表!AB15</f>
        <v>4077516924.8699999</v>
      </c>
      <c r="AC28" s="26">
        <f>股权价值增加表!AC15</f>
        <v>11980173666.880001</v>
      </c>
      <c r="AD28" s="26">
        <f>股权价值增加表!AD15</f>
        <v>9058450996.3900013</v>
      </c>
      <c r="AE28" s="26">
        <f>股权价值增加表!AE15</f>
        <v>6735261844.8100004</v>
      </c>
      <c r="AF28" s="26">
        <f>股权价值增加表!AF15</f>
        <v>2600539114.4500003</v>
      </c>
      <c r="AG28" s="26">
        <f>股权价值增加表!AG15</f>
        <v>6985086471.6799994</v>
      </c>
      <c r="AH28" s="26">
        <f>股权价值增加表!AH15</f>
        <v>5758077960.8400002</v>
      </c>
      <c r="AI28" s="26">
        <f>股权价值增加表!AI15</f>
        <v>4277458985.2599998</v>
      </c>
      <c r="AJ28" s="26">
        <f>股权价值增加表!AJ15</f>
        <v>1746532659.9299996</v>
      </c>
      <c r="AK28" s="26">
        <f>股权价值增加表!AK15</f>
        <v>5945694321.5999994</v>
      </c>
      <c r="AL28" s="26">
        <f>股权价值增加表!AL15</f>
        <v>5213965295.1599998</v>
      </c>
      <c r="AM28" s="26">
        <f>股权价值增加表!AM15</f>
        <v>3817279631.7800002</v>
      </c>
      <c r="AN28" s="26">
        <f>股权价值增加表!AN15</f>
        <v>1623434688.2499998</v>
      </c>
      <c r="AO28" s="26">
        <f>股权价值增加表!AO15</f>
        <v>5281477622.8300009</v>
      </c>
      <c r="AP28" s="26">
        <f>股权价值增加表!AP15</f>
        <v>4340687719.5899992</v>
      </c>
      <c r="AQ28" s="26">
        <f>股权价值增加表!AQ15</f>
        <v>3088681669.3800011</v>
      </c>
      <c r="AR28" s="26">
        <f>股权价值增加表!AR15</f>
        <v>1182458284.9700003</v>
      </c>
      <c r="AS28" s="26">
        <f>股权价值增加表!AS15</f>
        <v>4475466240.9799995</v>
      </c>
      <c r="AT28" s="26">
        <f>股权价值增加表!AT15</f>
        <v>2469028799.0100002</v>
      </c>
      <c r="AU28" s="26">
        <f>股权价值增加表!AU15</f>
        <v>1327234251.7100003</v>
      </c>
      <c r="AV28" s="26">
        <f>股权价值增加表!AV15</f>
        <v>847416485.08000016</v>
      </c>
      <c r="AW28" s="26">
        <f>股权价值增加表!AW15</f>
        <v>2459083270.2400002</v>
      </c>
      <c r="AX28" s="26">
        <f>股权价值增加表!AX15</f>
        <v>1552235645.4000001</v>
      </c>
      <c r="AY28" s="26">
        <f>股权价值增加表!AY15</f>
        <v>965161342.11999989</v>
      </c>
      <c r="AZ28" s="26">
        <f>股权价值增加表!AZ15</f>
        <v>669613416.62</v>
      </c>
      <c r="BA28" s="26">
        <f>股权价值增加表!BA15</f>
        <v>1887504851.1300004</v>
      </c>
      <c r="BB28" s="26">
        <f>股权价值增加表!BB15</f>
        <v>1136484880.76</v>
      </c>
      <c r="BC28" s="26">
        <f>股权价值增加表!BC15</f>
        <v>748635044</v>
      </c>
      <c r="BD28" s="26">
        <f>股权价值增加表!BD15</f>
        <v>553948308.0999999</v>
      </c>
      <c r="BE28" s="26">
        <f>股权价值增加表!BE15</f>
        <v>1464361773.1400003</v>
      </c>
      <c r="BF28" s="26">
        <f>股权价值增加表!BF15</f>
        <v>853463721.18000007</v>
      </c>
      <c r="BG28" s="26">
        <f>股权价值增加表!BG15</f>
        <v>559754313.78999996</v>
      </c>
      <c r="BH28" s="26">
        <f>股权价值增加表!BH15</f>
        <v>394422790.95000005</v>
      </c>
      <c r="BI28" s="26">
        <f>股权价值增加表!BI15</f>
        <v>959558980.33999968</v>
      </c>
      <c r="BJ28" s="26">
        <f>股权价值增加表!BJ15</f>
        <v>581654427.37999988</v>
      </c>
      <c r="BK28" s="26">
        <f>股权价值增加表!BK15</f>
        <v>405130506.79000002</v>
      </c>
      <c r="BL28" s="26">
        <f>股权价值增加表!BL15</f>
        <v>337896003.24999994</v>
      </c>
      <c r="BM28" s="26">
        <f>股权价值增加表!BM15</f>
        <v>628559254.21000016</v>
      </c>
      <c r="BN28" s="26">
        <f>股权价值增加表!BN15</f>
        <v>510478001.96000004</v>
      </c>
      <c r="BO28" s="26">
        <f>股权价值增加表!BO15</f>
        <v>389228086.32999992</v>
      </c>
      <c r="BP28" s="26">
        <f>股权价值增加表!BP15</f>
        <v>334564336.5999999</v>
      </c>
      <c r="BQ28" s="26">
        <f>股权价值增加表!BQ15</f>
        <v>600311437.09999967</v>
      </c>
      <c r="BR28" s="26">
        <f>股权价值增加表!BR15</f>
        <v>373365639.61000001</v>
      </c>
      <c r="BS28" s="26">
        <f>股权价值增加表!BS15</f>
        <v>452474935.14999992</v>
      </c>
      <c r="BT28" s="26">
        <f>股权价值增加表!BT15</f>
        <v>364490805.42999995</v>
      </c>
      <c r="BU28" s="26">
        <f>股权价值增加表!BU15</f>
        <v>259853599.49000001</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378</v>
      </c>
      <c r="E29" s="59">
        <f t="shared" ref="E29:AJ29" si="27">E28/E34</f>
        <v>0.99820934159638597</v>
      </c>
      <c r="F29" s="59">
        <f t="shared" si="27"/>
        <v>0.99984759777725707</v>
      </c>
      <c r="G29" s="59">
        <f t="shared" si="27"/>
        <v>0.99976572689427445</v>
      </c>
      <c r="H29" s="59">
        <f t="shared" si="27"/>
        <v>0.99993539624497707</v>
      </c>
      <c r="I29" s="59">
        <f t="shared" si="27"/>
        <v>0.99678959421521218</v>
      </c>
      <c r="J29" s="59">
        <f t="shared" si="27"/>
        <v>0.99981395055585442</v>
      </c>
      <c r="K29" s="59">
        <f t="shared" si="27"/>
        <v>0.9998128361462697</v>
      </c>
      <c r="L29" s="59">
        <f t="shared" si="27"/>
        <v>0.99949555647757826</v>
      </c>
      <c r="M29" s="59">
        <f t="shared" si="27"/>
        <v>0.99522857787997387</v>
      </c>
      <c r="N29" s="59">
        <f t="shared" si="27"/>
        <v>1.0005130952843249</v>
      </c>
      <c r="O29" s="59">
        <f t="shared" si="27"/>
        <v>1.0010195621905797</v>
      </c>
      <c r="P29" s="59">
        <f t="shared" si="27"/>
        <v>1.001672992525459</v>
      </c>
      <c r="Q29" s="59">
        <f t="shared" si="27"/>
        <v>0.993581331728978</v>
      </c>
      <c r="R29" s="59">
        <f t="shared" si="27"/>
        <v>0.99979485113783573</v>
      </c>
      <c r="S29" s="59">
        <f t="shared" si="27"/>
        <v>0.99969608599181981</v>
      </c>
      <c r="T29" s="59">
        <f t="shared" si="27"/>
        <v>1</v>
      </c>
      <c r="U29" s="59">
        <f t="shared" si="27"/>
        <v>0.9797121796163335</v>
      </c>
      <c r="V29" s="59">
        <f t="shared" si="27"/>
        <v>0.99980290975920483</v>
      </c>
      <c r="W29" s="59">
        <f t="shared" si="27"/>
        <v>0.99969525707613338</v>
      </c>
      <c r="X29" s="59">
        <f t="shared" si="27"/>
        <v>1</v>
      </c>
      <c r="Y29" s="59">
        <f t="shared" si="27"/>
        <v>0.97728339896532879</v>
      </c>
      <c r="Z29" s="59">
        <f t="shared" si="27"/>
        <v>0.99978280408089337</v>
      </c>
      <c r="AA29" s="59">
        <f t="shared" si="27"/>
        <v>0.99967718111367543</v>
      </c>
      <c r="AB29" s="59">
        <f t="shared" si="27"/>
        <v>0.99997713121264642</v>
      </c>
      <c r="AC29" s="59">
        <f t="shared" si="27"/>
        <v>0.97126091896303401</v>
      </c>
      <c r="AD29" s="59">
        <f t="shared" si="27"/>
        <v>0.99963696268828806</v>
      </c>
      <c r="AE29" s="59">
        <f t="shared" si="27"/>
        <v>0.99952563333682076</v>
      </c>
      <c r="AF29" s="59">
        <f t="shared" si="27"/>
        <v>0.99996414333633821</v>
      </c>
      <c r="AG29" s="59">
        <f t="shared" si="27"/>
        <v>0.97524156072721557</v>
      </c>
      <c r="AH29" s="59">
        <f t="shared" si="27"/>
        <v>0.99993473942561528</v>
      </c>
      <c r="AI29" s="59">
        <f t="shared" si="27"/>
        <v>0.99993394879104525</v>
      </c>
      <c r="AJ29" s="59">
        <f t="shared" si="27"/>
        <v>1</v>
      </c>
      <c r="AK29" s="59">
        <f t="shared" ref="AK29:BP29" si="28">AK28/AK34</f>
        <v>0.99979662572205497</v>
      </c>
      <c r="AL29" s="59">
        <f t="shared" si="28"/>
        <v>0.99981358889240879</v>
      </c>
      <c r="AM29" s="59">
        <f t="shared" si="28"/>
        <v>0.99980754466132671</v>
      </c>
      <c r="AN29" s="59">
        <f t="shared" si="28"/>
        <v>0.99981457882075753</v>
      </c>
      <c r="AO29" s="59">
        <f t="shared" si="28"/>
        <v>0.99974970658896234</v>
      </c>
      <c r="AP29" s="59">
        <f t="shared" si="28"/>
        <v>0.9997647988327194</v>
      </c>
      <c r="AQ29" s="59">
        <f t="shared" si="28"/>
        <v>0.99976691280262187</v>
      </c>
      <c r="AR29" s="59">
        <f t="shared" si="28"/>
        <v>0.99964575785124277</v>
      </c>
      <c r="AS29" s="59">
        <f t="shared" si="28"/>
        <v>0.99959463122315029</v>
      </c>
      <c r="AT29" s="59">
        <f t="shared" si="28"/>
        <v>0.99965182642321659</v>
      </c>
      <c r="AU29" s="59">
        <f t="shared" si="28"/>
        <v>0.9993524932200647</v>
      </c>
      <c r="AV29" s="59">
        <f t="shared" si="28"/>
        <v>1</v>
      </c>
      <c r="AW29" s="59">
        <f t="shared" si="28"/>
        <v>0.99877627489088217</v>
      </c>
      <c r="AX29" s="59">
        <f t="shared" si="28"/>
        <v>0.99990695876493774</v>
      </c>
      <c r="AY29" s="59">
        <f t="shared" si="28"/>
        <v>0.99985037346365302</v>
      </c>
      <c r="AZ29" s="59">
        <f t="shared" si="28"/>
        <v>1</v>
      </c>
      <c r="BA29" s="59">
        <f t="shared" si="28"/>
        <v>0.9997733215933704</v>
      </c>
      <c r="BB29" s="59">
        <f t="shared" si="28"/>
        <v>0.99997913061984656</v>
      </c>
      <c r="BC29" s="59">
        <f t="shared" si="28"/>
        <v>0.99996831903772909</v>
      </c>
      <c r="BD29" s="59">
        <f t="shared" si="28"/>
        <v>1.0003388803450903</v>
      </c>
      <c r="BE29" s="59">
        <f t="shared" si="28"/>
        <v>0.9997848919966007</v>
      </c>
      <c r="BF29" s="59">
        <f t="shared" si="28"/>
        <v>1</v>
      </c>
      <c r="BG29" s="59">
        <f t="shared" si="28"/>
        <v>1</v>
      </c>
      <c r="BH29" s="59">
        <f t="shared" si="28"/>
        <v>1</v>
      </c>
      <c r="BI29" s="59">
        <f t="shared" si="28"/>
        <v>1</v>
      </c>
      <c r="BJ29" s="59">
        <f t="shared" si="28"/>
        <v>1</v>
      </c>
      <c r="BK29" s="59">
        <f t="shared" si="28"/>
        <v>1</v>
      </c>
      <c r="BL29" s="59">
        <f t="shared" si="28"/>
        <v>1</v>
      </c>
      <c r="BM29" s="59">
        <f t="shared" si="28"/>
        <v>1</v>
      </c>
      <c r="BN29" s="59">
        <f t="shared" si="28"/>
        <v>1</v>
      </c>
      <c r="BO29" s="59">
        <f t="shared" si="28"/>
        <v>1</v>
      </c>
      <c r="BP29" s="59">
        <f t="shared" si="28"/>
        <v>1</v>
      </c>
      <c r="BQ29" s="59">
        <f t="shared" ref="BQ29:CK29" si="29">BQ28/BQ34</f>
        <v>1</v>
      </c>
      <c r="BR29" s="59">
        <f t="shared" si="29"/>
        <v>1</v>
      </c>
      <c r="BS29" s="59">
        <f t="shared" si="29"/>
        <v>1</v>
      </c>
      <c r="BT29" s="59">
        <f t="shared" si="29"/>
        <v>1</v>
      </c>
      <c r="BU29" s="59">
        <f t="shared" si="29"/>
        <v>1</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379</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64526662.090000004</v>
      </c>
      <c r="F32" s="26">
        <f>股权价值增加表!F27</f>
        <v>4042963.4</v>
      </c>
      <c r="G32" s="26">
        <f>股权价值增加表!G27</f>
        <v>3470686.51</v>
      </c>
      <c r="H32" s="26">
        <f>股权价值增加表!H27</f>
        <v>526807.79</v>
      </c>
      <c r="I32" s="26">
        <f>股权价值增加表!I27</f>
        <v>73285037.209999993</v>
      </c>
      <c r="J32" s="26">
        <f>股权价值增加表!J27</f>
        <v>3205168.24</v>
      </c>
      <c r="K32" s="26">
        <f>股权价值增加表!K27</f>
        <v>2292209.29</v>
      </c>
      <c r="L32" s="26">
        <f>股权价值增加表!L27</f>
        <v>3517202.39</v>
      </c>
      <c r="M32" s="26">
        <f>股权价值增加表!M27</f>
        <v>101715303.44</v>
      </c>
      <c r="N32" s="26">
        <f>股权价值增加表!N27</f>
        <v>-7984362.4199999999</v>
      </c>
      <c r="O32" s="26">
        <f>股权价值增加表!O27</f>
        <v>-10946990.33</v>
      </c>
      <c r="P32" s="26">
        <f>股权价值增加表!P27</f>
        <v>-10010005.190000001</v>
      </c>
      <c r="Q32" s="26">
        <f>股权价值增加表!Q27</f>
        <v>136769141.38999999</v>
      </c>
      <c r="R32" s="26">
        <f>股权价值增加表!R27</f>
        <v>3010000</v>
      </c>
      <c r="S32" s="26">
        <f>股权价值增加表!S27</f>
        <v>3010000</v>
      </c>
      <c r="T32" s="26">
        <f>股权价值增加表!T27</f>
        <v>0</v>
      </c>
      <c r="U32" s="26">
        <f>股权价值增加表!U27</f>
        <v>432519360.86000001</v>
      </c>
      <c r="V32" s="26">
        <f>股权价值增加表!V27</f>
        <v>3010000</v>
      </c>
      <c r="W32" s="26">
        <f>股权价值增加表!W27</f>
        <v>3010000</v>
      </c>
      <c r="X32" s="26">
        <f>股权价值增加表!X27</f>
        <v>0</v>
      </c>
      <c r="Y32" s="26">
        <f>股权价值增加表!Y27</f>
        <v>424814584.77999997</v>
      </c>
      <c r="Z32" s="26">
        <f>股权价值增加表!Z27</f>
        <v>3103250</v>
      </c>
      <c r="AA32" s="26">
        <f>股权价值增加表!AA27</f>
        <v>3103250</v>
      </c>
      <c r="AB32" s="26">
        <f>股权价值增加表!AB27</f>
        <v>93250</v>
      </c>
      <c r="AC32" s="26">
        <f>股权价值增加表!AC27</f>
        <v>354486806.91999996</v>
      </c>
      <c r="AD32" s="26">
        <f>股权价值增加表!AD27</f>
        <v>3289750</v>
      </c>
      <c r="AE32" s="26">
        <f>股权价值增加表!AE27</f>
        <v>3196500</v>
      </c>
      <c r="AF32" s="26">
        <f>股权价值增加表!AF27</f>
        <v>93250</v>
      </c>
      <c r="AG32" s="26">
        <f>股权价值增加表!AG27</f>
        <v>177330259.69</v>
      </c>
      <c r="AH32" s="26">
        <f>股权价值增加表!AH27</f>
        <v>375800</v>
      </c>
      <c r="AI32" s="26">
        <f>股权价值增加表!AI27</f>
        <v>282550</v>
      </c>
      <c r="AJ32" s="26">
        <f>股权价值增加表!AJ27</f>
        <v>0</v>
      </c>
      <c r="AK32" s="26">
        <f>股权价值增加表!AK27</f>
        <v>1209447.26</v>
      </c>
      <c r="AL32" s="26">
        <f>股权价值增加表!AL27</f>
        <v>972122.26</v>
      </c>
      <c r="AM32" s="26">
        <f>股权价值增加表!AM27</f>
        <v>734797.26</v>
      </c>
      <c r="AN32" s="26">
        <f>股权价值增加表!AN27</f>
        <v>301075</v>
      </c>
      <c r="AO32" s="26">
        <f>股权价值增加表!AO27</f>
        <v>1322250</v>
      </c>
      <c r="AP32" s="26">
        <f>股权价值增加表!AP27</f>
        <v>1021175</v>
      </c>
      <c r="AQ32" s="26">
        <f>股权价值增加表!AQ27</f>
        <v>720100</v>
      </c>
      <c r="AR32" s="26">
        <f>股权价值增加表!AR27</f>
        <v>419025</v>
      </c>
      <c r="AS32" s="26">
        <f>股权价值增加表!AS27</f>
        <v>1814950</v>
      </c>
      <c r="AT32" s="26">
        <f>股权价值增加表!AT27</f>
        <v>859950</v>
      </c>
      <c r="AU32" s="26">
        <f>股权价值增加表!AU27</f>
        <v>859950</v>
      </c>
      <c r="AV32" s="26">
        <f>股权价值增加表!AV27</f>
        <v>0</v>
      </c>
      <c r="AW32" s="26">
        <f>股权价值增加表!AW27</f>
        <v>3012928.94</v>
      </c>
      <c r="AX32" s="26">
        <f>股权价值增加表!AX27</f>
        <v>144435.35999999999</v>
      </c>
      <c r="AY32" s="26">
        <f>股权价值增加表!AY27</f>
        <v>144435.35999999999</v>
      </c>
      <c r="AZ32" s="26">
        <f>股权价值增加表!AZ27</f>
        <v>0</v>
      </c>
      <c r="BA32" s="26">
        <f>股权价值增加表!BA27</f>
        <v>427953.6</v>
      </c>
      <c r="BB32" s="26">
        <f>股权价值增加表!BB27</f>
        <v>23718.23</v>
      </c>
      <c r="BC32" s="26">
        <f>股权价值增加表!BC27</f>
        <v>23718.23</v>
      </c>
      <c r="BD32" s="26">
        <f>股权价值增加表!BD27</f>
        <v>-187658.6</v>
      </c>
      <c r="BE32" s="26">
        <f>股权价值增加表!BE27</f>
        <v>315063.71000000002</v>
      </c>
      <c r="BF32" s="26">
        <f>股权价值增加表!BF27</f>
        <v>0</v>
      </c>
      <c r="BG32" s="26">
        <f>股权价值增加表!BG27</f>
        <v>0</v>
      </c>
      <c r="BH32" s="26">
        <f>股权价值增加表!BH27</f>
        <v>0</v>
      </c>
      <c r="BI32" s="26">
        <f>股权价值增加表!BI27</f>
        <v>0</v>
      </c>
      <c r="BJ32" s="26">
        <f>股权价值增加表!BJ27</f>
        <v>0</v>
      </c>
      <c r="BK32" s="26">
        <f>股权价值增加表!BK27</f>
        <v>0</v>
      </c>
      <c r="BL32" s="26">
        <f>股权价值增加表!BL27</f>
        <v>0</v>
      </c>
      <c r="BM32" s="26">
        <f>股权价值增加表!BM27</f>
        <v>0</v>
      </c>
      <c r="BN32" s="26">
        <f>股权价值增加表!BN27</f>
        <v>0</v>
      </c>
      <c r="BO32" s="26">
        <f>股权价值增加表!BO27</f>
        <v>0</v>
      </c>
      <c r="BP32" s="26">
        <f>股权价值增加表!BP27</f>
        <v>0</v>
      </c>
      <c r="BQ32" s="26">
        <f>股权价值增加表!BQ27</f>
        <v>0</v>
      </c>
      <c r="BR32" s="26">
        <f>股权价值增加表!BR27</f>
        <v>0</v>
      </c>
      <c r="BS32" s="26">
        <f>股权价值增加表!BS27</f>
        <v>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380</v>
      </c>
      <c r="E33" s="59">
        <f>E32/E34</f>
        <v>1.7906584036140917E-3</v>
      </c>
      <c r="F33" s="59">
        <f t="shared" ref="F33:BQ33" si="32">F32/F34</f>
        <v>1.5240222274292612E-4</v>
      </c>
      <c r="G33" s="59">
        <f t="shared" si="32"/>
        <v>2.3427310572547586E-4</v>
      </c>
      <c r="H33" s="59">
        <f t="shared" si="32"/>
        <v>6.4603755022976138E-5</v>
      </c>
      <c r="I33" s="59">
        <f t="shared" si="32"/>
        <v>3.2104057847878137E-3</v>
      </c>
      <c r="J33" s="59">
        <f t="shared" si="32"/>
        <v>1.8604944414543181E-4</v>
      </c>
      <c r="K33" s="59">
        <f t="shared" si="32"/>
        <v>1.8716385373022081E-4</v>
      </c>
      <c r="L33" s="59">
        <f t="shared" si="32"/>
        <v>5.0444352242168429E-4</v>
      </c>
      <c r="M33" s="59">
        <f t="shared" si="32"/>
        <v>4.7714221200262016E-3</v>
      </c>
      <c r="N33" s="59">
        <f t="shared" si="32"/>
        <v>-5.1309528432495072E-4</v>
      </c>
      <c r="O33" s="59">
        <f t="shared" si="32"/>
        <v>-1.019562190579667E-3</v>
      </c>
      <c r="P33" s="59">
        <f t="shared" si="32"/>
        <v>-1.6729925254590561E-3</v>
      </c>
      <c r="Q33" s="59">
        <f t="shared" si="32"/>
        <v>6.4186682710220795E-3</v>
      </c>
      <c r="R33" s="59">
        <f t="shared" si="32"/>
        <v>2.0514886216428581E-4</v>
      </c>
      <c r="S33" s="59">
        <f t="shared" si="32"/>
        <v>3.0391400818014999E-4</v>
      </c>
      <c r="T33" s="59">
        <f t="shared" si="32"/>
        <v>0</v>
      </c>
      <c r="U33" s="59">
        <f t="shared" si="32"/>
        <v>2.028782038366644E-2</v>
      </c>
      <c r="V33" s="59">
        <f t="shared" si="32"/>
        <v>1.9709024079519479E-4</v>
      </c>
      <c r="W33" s="59">
        <f t="shared" si="32"/>
        <v>3.0474292386664312E-4</v>
      </c>
      <c r="X33" s="59">
        <f t="shared" si="32"/>
        <v>0</v>
      </c>
      <c r="Y33" s="59">
        <f t="shared" si="32"/>
        <v>2.2716601034671269E-2</v>
      </c>
      <c r="Z33" s="59">
        <f t="shared" si="32"/>
        <v>2.1719591910660338E-4</v>
      </c>
      <c r="AA33" s="59">
        <f t="shared" si="32"/>
        <v>3.2281888632455937E-4</v>
      </c>
      <c r="AB33" s="59">
        <f t="shared" si="32"/>
        <v>2.2868787353605459E-5</v>
      </c>
      <c r="AC33" s="59">
        <f t="shared" si="32"/>
        <v>2.8739081036966024E-2</v>
      </c>
      <c r="AD33" s="59">
        <f t="shared" si="32"/>
        <v>3.630373117119428E-4</v>
      </c>
      <c r="AE33" s="59">
        <f t="shared" si="32"/>
        <v>4.7436666317926605E-4</v>
      </c>
      <c r="AF33" s="59">
        <f t="shared" si="32"/>
        <v>3.585666366177103E-5</v>
      </c>
      <c r="AG33" s="59">
        <f t="shared" si="32"/>
        <v>2.4758439272784531E-2</v>
      </c>
      <c r="AH33" s="59">
        <f t="shared" si="32"/>
        <v>6.5260574384673202E-5</v>
      </c>
      <c r="AI33" s="59">
        <f t="shared" si="32"/>
        <v>6.6051208954780082E-5</v>
      </c>
      <c r="AJ33" s="59">
        <f t="shared" si="32"/>
        <v>0</v>
      </c>
      <c r="AK33" s="59">
        <f t="shared" si="32"/>
        <v>2.0337427794494929E-4</v>
      </c>
      <c r="AL33" s="59">
        <f t="shared" si="32"/>
        <v>1.8641110759118958E-4</v>
      </c>
      <c r="AM33" s="59">
        <f t="shared" si="32"/>
        <v>1.9245533867318491E-4</v>
      </c>
      <c r="AN33" s="59">
        <f t="shared" si="32"/>
        <v>1.85421179242478E-4</v>
      </c>
      <c r="AO33" s="59">
        <f t="shared" si="32"/>
        <v>2.5029341103767185E-4</v>
      </c>
      <c r="AP33" s="59">
        <f t="shared" si="32"/>
        <v>2.3520116728056975E-4</v>
      </c>
      <c r="AQ33" s="59">
        <f t="shared" si="32"/>
        <v>2.3308719737818813E-4</v>
      </c>
      <c r="AR33" s="59">
        <f t="shared" si="32"/>
        <v>3.5424214875727657E-4</v>
      </c>
      <c r="AS33" s="59">
        <f t="shared" si="32"/>
        <v>4.0536877684976022E-4</v>
      </c>
      <c r="AT33" s="59">
        <f t="shared" si="32"/>
        <v>3.4817357678344491E-4</v>
      </c>
      <c r="AU33" s="59">
        <f t="shared" si="32"/>
        <v>6.4750677993531127E-4</v>
      </c>
      <c r="AV33" s="59">
        <f t="shared" si="32"/>
        <v>0</v>
      </c>
      <c r="AW33" s="59">
        <f t="shared" si="32"/>
        <v>1.2237251091177729E-3</v>
      </c>
      <c r="AX33" s="59">
        <f t="shared" si="32"/>
        <v>9.304123506228491E-5</v>
      </c>
      <c r="AY33" s="59">
        <f t="shared" si="32"/>
        <v>1.4962653634691681E-4</v>
      </c>
      <c r="AZ33" s="59">
        <f t="shared" si="32"/>
        <v>0</v>
      </c>
      <c r="BA33" s="59">
        <f t="shared" si="32"/>
        <v>2.2667840662962742E-4</v>
      </c>
      <c r="BB33" s="59">
        <f t="shared" si="32"/>
        <v>2.0869380153461288E-5</v>
      </c>
      <c r="BC33" s="59">
        <f t="shared" si="32"/>
        <v>3.1680962270916929E-5</v>
      </c>
      <c r="BD33" s="59">
        <f t="shared" si="32"/>
        <v>-3.3888034509032053E-4</v>
      </c>
      <c r="BE33" s="59">
        <f t="shared" si="32"/>
        <v>2.1510800339929602E-4</v>
      </c>
      <c r="BF33" s="59">
        <f t="shared" si="32"/>
        <v>0</v>
      </c>
      <c r="BG33" s="59">
        <f t="shared" si="32"/>
        <v>0</v>
      </c>
      <c r="BH33" s="59">
        <f t="shared" si="32"/>
        <v>0</v>
      </c>
      <c r="BI33" s="59">
        <f t="shared" si="32"/>
        <v>0</v>
      </c>
      <c r="BJ33" s="59">
        <f t="shared" si="32"/>
        <v>0</v>
      </c>
      <c r="BK33" s="59">
        <f t="shared" si="32"/>
        <v>0</v>
      </c>
      <c r="BL33" s="59">
        <f t="shared" si="32"/>
        <v>0</v>
      </c>
      <c r="BM33" s="59">
        <f t="shared" si="32"/>
        <v>0</v>
      </c>
      <c r="BN33" s="59">
        <f t="shared" si="32"/>
        <v>0</v>
      </c>
      <c r="BO33" s="59">
        <f t="shared" si="32"/>
        <v>0</v>
      </c>
      <c r="BP33" s="59">
        <f t="shared" si="32"/>
        <v>0</v>
      </c>
      <c r="BQ33" s="59">
        <f t="shared" si="32"/>
        <v>0</v>
      </c>
      <c r="BR33" s="59">
        <f t="shared" ref="BR33:CJ33" si="33">BR32/BR34</f>
        <v>0</v>
      </c>
      <c r="BS33" s="59">
        <f t="shared" si="33"/>
        <v>0</v>
      </c>
      <c r="BT33" s="59">
        <f t="shared" si="33"/>
        <v>0</v>
      </c>
      <c r="BU33" s="59">
        <f t="shared" si="33"/>
        <v>0</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4" t="s">
        <v>376</v>
      </c>
      <c r="E34" s="58">
        <f>股权价值增加表!E31</f>
        <v>36035160005.82</v>
      </c>
      <c r="F34" s="58">
        <f>股权价值增加表!F31</f>
        <v>26528244321.080006</v>
      </c>
      <c r="G34" s="58">
        <f>股权价值增加表!G31</f>
        <v>14814703118.619999</v>
      </c>
      <c r="H34" s="58">
        <f>股权价值增加表!H31</f>
        <v>8154445354.0300007</v>
      </c>
      <c r="I34" s="58">
        <f>股权价值增加表!I31</f>
        <v>22827343994.099998</v>
      </c>
      <c r="J34" s="58">
        <f>股权价值增加表!J31</f>
        <v>17227507745.170002</v>
      </c>
      <c r="K34" s="58">
        <f>股权价值增加表!K31</f>
        <v>12247072521.300001</v>
      </c>
      <c r="L34" s="58">
        <f>股权价值增加表!L31</f>
        <v>6972440389.5899992</v>
      </c>
      <c r="M34" s="58">
        <f>股权价值增加表!M31</f>
        <v>21317607388.599995</v>
      </c>
      <c r="N34" s="58">
        <f>股权价值增加表!N31</f>
        <v>15561168975.67</v>
      </c>
      <c r="O34" s="58">
        <f>股权价值增加表!O31</f>
        <v>10736952028.18</v>
      </c>
      <c r="P34" s="58">
        <f>股权价值增加表!P31</f>
        <v>5983293432.3800001</v>
      </c>
      <c r="Q34" s="58">
        <f>股权价值增加表!Q31</f>
        <v>21308024595.610001</v>
      </c>
      <c r="R34" s="58">
        <f>股权价值增加表!R31</f>
        <v>14672272457.400002</v>
      </c>
      <c r="S34" s="58">
        <f>股权价值增加表!S31</f>
        <v>9904117345.6399994</v>
      </c>
      <c r="T34" s="58">
        <f>股权价值增加表!T31</f>
        <v>5171247404.3500004</v>
      </c>
      <c r="U34" s="58">
        <f>股权价值增加表!U31</f>
        <v>21319163551.360001</v>
      </c>
      <c r="V34" s="58">
        <f>股权价值增加表!V31</f>
        <v>15272192006.340002</v>
      </c>
      <c r="W34" s="58">
        <f>股权价值增加表!W31</f>
        <v>9877177661.1199989</v>
      </c>
      <c r="X34" s="58">
        <f>股权价值增加表!X31</f>
        <v>5003369013.6899986</v>
      </c>
      <c r="Y34" s="58">
        <f>股权价值增加表!Y31</f>
        <v>18700622691.380001</v>
      </c>
      <c r="Z34" s="58">
        <f>股权价值增加表!Z31</f>
        <v>14287791468.48</v>
      </c>
      <c r="AA34" s="58">
        <f>股权价值增加表!AA31</f>
        <v>9612975360.0600014</v>
      </c>
      <c r="AB34" s="58">
        <f>股权价值增加表!AB31</f>
        <v>4077610174.8699999</v>
      </c>
      <c r="AC34" s="58">
        <f>股权价值增加表!AC31</f>
        <v>12334660473.800001</v>
      </c>
      <c r="AD34" s="58">
        <f>股权价值增加表!AD31</f>
        <v>9061740746.3900013</v>
      </c>
      <c r="AE34" s="58">
        <f>股权价值增加表!AE31</f>
        <v>6738458344.8100004</v>
      </c>
      <c r="AF34" s="58">
        <f>股权价值增加表!AF31</f>
        <v>2600632364.4500003</v>
      </c>
      <c r="AG34" s="58">
        <f>股权价值增加表!AG31</f>
        <v>7162416731.3699989</v>
      </c>
      <c r="AH34" s="58">
        <f>股权价值增加表!AH31</f>
        <v>5758453760.8400002</v>
      </c>
      <c r="AI34" s="58">
        <f>股权价值增加表!AI31</f>
        <v>4277741535.2599998</v>
      </c>
      <c r="AJ34" s="58">
        <f>股权价值增加表!AJ31</f>
        <v>1746532659.9299996</v>
      </c>
      <c r="AK34" s="58">
        <f>股权价值增加表!AK31</f>
        <v>5946903768.8599997</v>
      </c>
      <c r="AL34" s="58">
        <f>股权价值增加表!AL31</f>
        <v>5214937417.4200001</v>
      </c>
      <c r="AM34" s="58">
        <f>股权价值增加表!AM31</f>
        <v>3818014429.0400004</v>
      </c>
      <c r="AN34" s="58">
        <f>股权价值增加表!AN31</f>
        <v>1623735763.2499998</v>
      </c>
      <c r="AO34" s="58">
        <f>股权价值增加表!AO31</f>
        <v>5282799872.8300009</v>
      </c>
      <c r="AP34" s="58">
        <f>股权价值增加表!AP31</f>
        <v>4341708894.5899992</v>
      </c>
      <c r="AQ34" s="58">
        <f>股权价值增加表!AQ31</f>
        <v>3089401769.3800011</v>
      </c>
      <c r="AR34" s="58">
        <f>股权价值增加表!AR31</f>
        <v>1182877309.9700003</v>
      </c>
      <c r="AS34" s="58">
        <f>股权价值增加表!AS31</f>
        <v>4477281190.9799995</v>
      </c>
      <c r="AT34" s="58">
        <f>股权价值增加表!AT31</f>
        <v>2469888749.0100002</v>
      </c>
      <c r="AU34" s="58">
        <f>股权价值增加表!AU31</f>
        <v>1328094201.7100003</v>
      </c>
      <c r="AV34" s="58">
        <f>股权价值增加表!AV31</f>
        <v>847416485.08000016</v>
      </c>
      <c r="AW34" s="58">
        <f>股权价值增加表!AW31</f>
        <v>2462096199.1800003</v>
      </c>
      <c r="AX34" s="58">
        <f>股权价值增加表!AX31</f>
        <v>1552380080.76</v>
      </c>
      <c r="AY34" s="58">
        <f>股权价值增加表!AY31</f>
        <v>965305777.4799999</v>
      </c>
      <c r="AZ34" s="58">
        <f>股权价值增加表!AZ31</f>
        <v>669613416.62</v>
      </c>
      <c r="BA34" s="58">
        <f>股权价值增加表!BA31</f>
        <v>1887932804.7300003</v>
      </c>
      <c r="BB34" s="58">
        <f>股权价值增加表!BB31</f>
        <v>1136508598.99</v>
      </c>
      <c r="BC34" s="58">
        <f>股权价值增加表!BC31</f>
        <v>748658762.23000002</v>
      </c>
      <c r="BD34" s="58">
        <f>股权价值增加表!BD31</f>
        <v>553760649.49999988</v>
      </c>
      <c r="BE34" s="58">
        <f>股权价值增加表!BE31</f>
        <v>1464676836.8500004</v>
      </c>
      <c r="BF34" s="58">
        <f>股权价值增加表!BF31</f>
        <v>853463721.18000007</v>
      </c>
      <c r="BG34" s="58">
        <f>股权价值增加表!BG31</f>
        <v>559754313.78999996</v>
      </c>
      <c r="BH34" s="58">
        <f>股权价值增加表!BH31</f>
        <v>394422790.95000005</v>
      </c>
      <c r="BI34" s="58">
        <f>股权价值增加表!BI31</f>
        <v>959558980.33999968</v>
      </c>
      <c r="BJ34" s="58">
        <f>股权价值增加表!BJ31</f>
        <v>581654427.37999988</v>
      </c>
      <c r="BK34" s="58">
        <f>股权价值增加表!BK31</f>
        <v>405130506.79000002</v>
      </c>
      <c r="BL34" s="58">
        <f>股权价值增加表!BL31</f>
        <v>337896003.24999994</v>
      </c>
      <c r="BM34" s="58">
        <f>股权价值增加表!BM31</f>
        <v>628559254.21000016</v>
      </c>
      <c r="BN34" s="58">
        <f>股权价值增加表!BN31</f>
        <v>510478001.96000004</v>
      </c>
      <c r="BO34" s="58">
        <f>股权价值增加表!BO31</f>
        <v>389228086.32999992</v>
      </c>
      <c r="BP34" s="58">
        <f>股权价值增加表!BP31</f>
        <v>334564336.5999999</v>
      </c>
      <c r="BQ34" s="58">
        <f>股权价值增加表!BQ31</f>
        <v>600311437.09999967</v>
      </c>
      <c r="BR34" s="58">
        <f>股权价值增加表!BR31</f>
        <v>373365639.61000001</v>
      </c>
      <c r="BS34" s="58">
        <f>股权价值增加表!BS31</f>
        <v>452474935.14999992</v>
      </c>
      <c r="BT34" s="58">
        <f>股权价值增加表!BT31</f>
        <v>364490805.42999995</v>
      </c>
      <c r="BU34" s="58">
        <f>股权价值增加表!BU31</f>
        <v>259853599.49000001</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676</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36525</v>
      </c>
      <c r="BU38" s="1">
        <v>36160</v>
      </c>
      <c r="BV38" s="1">
        <v>25569</v>
      </c>
      <c r="BW38" s="1"/>
      <c r="BX38" s="1"/>
      <c r="BY38" s="1"/>
      <c r="BZ38" s="1"/>
      <c r="CA38" s="1"/>
      <c r="CB38" s="1"/>
      <c r="CC38" s="1"/>
      <c r="CD38" s="1"/>
      <c r="CE38" s="1"/>
      <c r="CF38" s="1"/>
      <c r="CG38" s="1"/>
      <c r="CH38" s="1"/>
      <c r="CI38" s="1"/>
      <c r="CJ38" s="1"/>
      <c r="CK38" s="1"/>
    </row>
    <row r="39" spans="1:89" x14ac:dyDescent="0.25">
      <c r="A39" s="17" t="s">
        <v>376</v>
      </c>
      <c r="E39" s="26">
        <f>股权价值增加表!E31</f>
        <v>36035160005.82</v>
      </c>
      <c r="F39" s="26">
        <f>股权价值增加表!F31</f>
        <v>26528244321.080006</v>
      </c>
      <c r="G39" s="26">
        <f>股权价值增加表!G31</f>
        <v>14814703118.619999</v>
      </c>
      <c r="H39" s="26">
        <f>股权价值增加表!H31</f>
        <v>8154445354.0300007</v>
      </c>
      <c r="I39" s="26">
        <f>股权价值增加表!I31</f>
        <v>22827343994.099998</v>
      </c>
      <c r="J39" s="26">
        <f>股权价值增加表!J31</f>
        <v>17227507745.170002</v>
      </c>
      <c r="K39" s="26">
        <f>股权价值增加表!K31</f>
        <v>12247072521.300001</v>
      </c>
      <c r="L39" s="26">
        <f>股权价值增加表!L31</f>
        <v>6972440389.5899992</v>
      </c>
      <c r="M39" s="26">
        <f>股权价值增加表!M31</f>
        <v>21317607388.599995</v>
      </c>
      <c r="N39" s="26">
        <f>股权价值增加表!N31</f>
        <v>15561168975.67</v>
      </c>
      <c r="O39" s="26">
        <f>股权价值增加表!O31</f>
        <v>10736952028.18</v>
      </c>
      <c r="P39" s="26">
        <f>股权价值增加表!P31</f>
        <v>5983293432.3800001</v>
      </c>
      <c r="Q39" s="26">
        <f>股权价值增加表!Q31</f>
        <v>21308024595.610001</v>
      </c>
      <c r="R39" s="26">
        <f>股权价值增加表!R31</f>
        <v>14672272457.400002</v>
      </c>
      <c r="S39" s="26">
        <f>股权价值增加表!S31</f>
        <v>9904117345.6399994</v>
      </c>
      <c r="T39" s="26">
        <f>股权价值增加表!T31</f>
        <v>5171247404.3500004</v>
      </c>
      <c r="U39" s="26">
        <f>股权价值增加表!U31</f>
        <v>21319163551.360001</v>
      </c>
      <c r="V39" s="26">
        <f>股权价值增加表!V31</f>
        <v>15272192006.340002</v>
      </c>
      <c r="W39" s="26">
        <f>股权价值增加表!W31</f>
        <v>9877177661.1199989</v>
      </c>
      <c r="X39" s="26">
        <f>股权价值增加表!X31</f>
        <v>5003369013.6899986</v>
      </c>
      <c r="Y39" s="26">
        <f>股权价值增加表!Y31</f>
        <v>18700622691.380001</v>
      </c>
      <c r="Z39" s="26">
        <f>股权价值增加表!Z31</f>
        <v>14287791468.48</v>
      </c>
      <c r="AA39" s="26">
        <f>股权价值增加表!AA31</f>
        <v>9612975360.0600014</v>
      </c>
      <c r="AB39" s="26">
        <f>股权价值增加表!AB31</f>
        <v>4077610174.8699999</v>
      </c>
      <c r="AC39" s="26">
        <f>股权价值增加表!AC31</f>
        <v>12334660473.800001</v>
      </c>
      <c r="AD39" s="26">
        <f>股权价值增加表!AD31</f>
        <v>9061740746.3900013</v>
      </c>
      <c r="AE39" s="26">
        <f>股权价值增加表!AE31</f>
        <v>6738458344.8100004</v>
      </c>
      <c r="AF39" s="26">
        <f>股权价值增加表!AF31</f>
        <v>2600632364.4500003</v>
      </c>
      <c r="AG39" s="26">
        <f>股权价值增加表!AG31</f>
        <v>7162416731.3699989</v>
      </c>
      <c r="AH39" s="26">
        <f>股权价值增加表!AH31</f>
        <v>5758453760.8400002</v>
      </c>
      <c r="AI39" s="26">
        <f>股权价值增加表!AI31</f>
        <v>4277741535.2599998</v>
      </c>
      <c r="AJ39" s="26">
        <f>股权价值增加表!AJ31</f>
        <v>1746532659.9299996</v>
      </c>
      <c r="AK39" s="26">
        <f>股权价值增加表!AK31</f>
        <v>5946903768.8599997</v>
      </c>
      <c r="AL39" s="26">
        <f>股权价值增加表!AL31</f>
        <v>5214937417.4200001</v>
      </c>
      <c r="AM39" s="26">
        <f>股权价值增加表!AM31</f>
        <v>3818014429.0400004</v>
      </c>
      <c r="AN39" s="26">
        <f>股权价值增加表!AN31</f>
        <v>1623735763.2499998</v>
      </c>
      <c r="AO39" s="26">
        <f>股权价值增加表!AO31</f>
        <v>5282799872.8300009</v>
      </c>
      <c r="AP39" s="26">
        <f>股权价值增加表!AP31</f>
        <v>4341708894.5899992</v>
      </c>
      <c r="AQ39" s="26">
        <f>股权价值增加表!AQ31</f>
        <v>3089401769.3800011</v>
      </c>
      <c r="AR39" s="26">
        <f>股权价值增加表!AR31</f>
        <v>1182877309.9700003</v>
      </c>
      <c r="AS39" s="26">
        <f>股权价值增加表!AS31</f>
        <v>4477281190.9799995</v>
      </c>
      <c r="AT39" s="26">
        <f>股权价值增加表!AT31</f>
        <v>2469888749.0100002</v>
      </c>
      <c r="AU39" s="26">
        <f>股权价值增加表!AU31</f>
        <v>1328094201.7100003</v>
      </c>
      <c r="AV39" s="26">
        <f>股权价值增加表!AV31</f>
        <v>847416485.08000016</v>
      </c>
      <c r="AW39" s="26">
        <f>股权价值增加表!AW31</f>
        <v>2462096199.1800003</v>
      </c>
      <c r="AX39" s="26">
        <f>股权价值增加表!AX31</f>
        <v>1552380080.76</v>
      </c>
      <c r="AY39" s="26">
        <f>股权价值增加表!AY31</f>
        <v>965305777.4799999</v>
      </c>
      <c r="AZ39" s="26">
        <f>股权价值增加表!AZ31</f>
        <v>669613416.62</v>
      </c>
      <c r="BA39" s="26">
        <f>股权价值增加表!BA31</f>
        <v>1887932804.7300003</v>
      </c>
      <c r="BB39" s="26">
        <f>股权价值增加表!BB31</f>
        <v>1136508598.99</v>
      </c>
      <c r="BC39" s="26">
        <f>股权价值增加表!BC31</f>
        <v>748658762.23000002</v>
      </c>
      <c r="BD39" s="26">
        <f>股权价值增加表!BD31</f>
        <v>553760649.49999988</v>
      </c>
      <c r="BE39" s="26">
        <f>股权价值增加表!BE31</f>
        <v>1464676836.8500004</v>
      </c>
      <c r="BF39" s="26">
        <f>股权价值增加表!BF31</f>
        <v>853463721.18000007</v>
      </c>
      <c r="BG39" s="26">
        <f>股权价值增加表!BG31</f>
        <v>559754313.78999996</v>
      </c>
      <c r="BH39" s="26">
        <f>股权价值增加表!BH31</f>
        <v>394422790.95000005</v>
      </c>
      <c r="BI39" s="26">
        <f>股权价值增加表!BI31</f>
        <v>959558980.33999968</v>
      </c>
      <c r="BJ39" s="26">
        <f>股权价值增加表!BJ31</f>
        <v>581654427.37999988</v>
      </c>
      <c r="BK39" s="26">
        <f>股权价值增加表!BK31</f>
        <v>405130506.79000002</v>
      </c>
      <c r="BL39" s="26">
        <f>股权价值增加表!BL31</f>
        <v>337896003.24999994</v>
      </c>
      <c r="BM39" s="26">
        <f>股权价值增加表!BM31</f>
        <v>628559254.21000016</v>
      </c>
      <c r="BN39" s="26">
        <f>股权价值增加表!BN31</f>
        <v>510478001.96000004</v>
      </c>
      <c r="BO39" s="26">
        <f>股权价值增加表!BO31</f>
        <v>389228086.32999992</v>
      </c>
      <c r="BP39" s="26">
        <f>股权价值增加表!BP31</f>
        <v>334564336.5999999</v>
      </c>
      <c r="BQ39" s="26">
        <f>股权价值增加表!BQ31</f>
        <v>600311437.09999967</v>
      </c>
      <c r="BR39" s="26">
        <f>股权价值增加表!BR31</f>
        <v>373365639.61000001</v>
      </c>
      <c r="BS39" s="26">
        <f>股权价值增加表!BS31</f>
        <v>452474935.14999992</v>
      </c>
      <c r="BT39" s="26">
        <f>股权价值增加表!BT31</f>
        <v>364490805.42999995</v>
      </c>
      <c r="BU39" s="26">
        <f>股权价值增加表!BU31</f>
        <v>259853599.49000001</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36030194955.080002</v>
      </c>
      <c r="F40" s="26">
        <f>股权价值增加表!F38</f>
        <v>26567483111.830006</v>
      </c>
      <c r="G40" s="26">
        <f>股权价值增加表!G38</f>
        <v>14852185015.499998</v>
      </c>
      <c r="H40" s="26">
        <f>股权价值增加表!H38</f>
        <v>8183922826.3100004</v>
      </c>
      <c r="I40" s="26">
        <f>股权价值增加表!I38</f>
        <v>22789027379.32</v>
      </c>
      <c r="J40" s="26">
        <f>股权价值增加表!J38</f>
        <v>17228809769.170002</v>
      </c>
      <c r="K40" s="26">
        <f>股权价值增加表!K38</f>
        <v>12259298641.900002</v>
      </c>
      <c r="L40" s="26">
        <f>股权价值增加表!L38</f>
        <v>6975471793.0099993</v>
      </c>
      <c r="M40" s="26">
        <f>股权价值增加表!M38</f>
        <v>21274613131.549995</v>
      </c>
      <c r="N40" s="26">
        <f>股权价值增加表!N38</f>
        <v>15613301029.969999</v>
      </c>
      <c r="O40" s="26">
        <f>股权价值增加表!O38</f>
        <v>10755947628.290001</v>
      </c>
      <c r="P40" s="26">
        <f>股权价值增加表!P38</f>
        <v>5989766410.04</v>
      </c>
      <c r="Q40" s="26">
        <f>股权价值增加表!Q38</f>
        <v>21296900469.82</v>
      </c>
      <c r="R40" s="26">
        <f>股权价值增加表!R38</f>
        <v>14768044594.980001</v>
      </c>
      <c r="S40" s="26">
        <f>股权价值增加表!S38</f>
        <v>9958006581.3799992</v>
      </c>
      <c r="T40" s="26">
        <f>股权价值增加表!T38</f>
        <v>5195370624.6700001</v>
      </c>
      <c r="U40" s="26">
        <f>股权价值增加表!U38</f>
        <v>21318728555.18</v>
      </c>
      <c r="V40" s="26">
        <f>股权价值增加表!V38</f>
        <v>15616018837.020002</v>
      </c>
      <c r="W40" s="26">
        <f>股权价值增加表!W38</f>
        <v>10115968194.529999</v>
      </c>
      <c r="X40" s="26">
        <f>股权价值增加表!X38</f>
        <v>5117888228.2199984</v>
      </c>
      <c r="Y40" s="26">
        <f>股权价值增加表!Y38</f>
        <v>18699887279.09</v>
      </c>
      <c r="Z40" s="26">
        <f>股权价值增加表!Z38</f>
        <v>14585256656</v>
      </c>
      <c r="AA40" s="26">
        <f>股权价值增加表!AA38</f>
        <v>9800176180.670002</v>
      </c>
      <c r="AB40" s="26">
        <f>股权价值增加表!AB38</f>
        <v>4174928960.9499998</v>
      </c>
      <c r="AC40" s="26">
        <f>股权价值增加表!AC38</f>
        <v>12333193175.320002</v>
      </c>
      <c r="AD40" s="26">
        <f>股权价值增加表!AD38</f>
        <v>9279554251.710001</v>
      </c>
      <c r="AE40" s="26">
        <f>股权价值增加表!AE38</f>
        <v>6887346890</v>
      </c>
      <c r="AF40" s="26">
        <f>股权价值增加表!AF38</f>
        <v>2654106056.7200003</v>
      </c>
      <c r="AG40" s="26">
        <f>股权价值增加表!AG38</f>
        <v>7162132546.5899992</v>
      </c>
      <c r="AH40" s="26">
        <f>股权价值增加表!AH38</f>
        <v>5895784354.3600006</v>
      </c>
      <c r="AI40" s="26">
        <f>股权价值增加表!AI38</f>
        <v>4377516308.7699995</v>
      </c>
      <c r="AJ40" s="26">
        <f>股权价值增加表!AJ38</f>
        <v>1792780671.0499995</v>
      </c>
      <c r="AK40" s="26">
        <f>股权价值增加表!AK38</f>
        <v>6080539884.6399994</v>
      </c>
      <c r="AL40" s="26">
        <f>股权价值增加表!AL38</f>
        <v>5305366861.1099997</v>
      </c>
      <c r="AM40" s="26">
        <f>股权价值增加表!AM38</f>
        <v>3905799158.5500007</v>
      </c>
      <c r="AN40" s="26">
        <f>股权价值增加表!AN38</f>
        <v>1705043160.3299997</v>
      </c>
      <c r="AO40" s="26">
        <f>股权价值增加表!AO38</f>
        <v>5385300638.1600008</v>
      </c>
      <c r="AP40" s="26">
        <f>股权价值增加表!AP38</f>
        <v>4403890919.5999994</v>
      </c>
      <c r="AQ40" s="26">
        <f>股权价值增加表!AQ38</f>
        <v>3135524311.4900012</v>
      </c>
      <c r="AR40" s="26">
        <f>股权价值增加表!AR38</f>
        <v>1222557777.8900003</v>
      </c>
      <c r="AS40" s="26">
        <f>股权价值增加表!AS38</f>
        <v>4522025015.9299994</v>
      </c>
      <c r="AT40" s="26">
        <f>股权价值增加表!AT38</f>
        <v>2508046766.7200003</v>
      </c>
      <c r="AU40" s="26">
        <f>股权价值增加表!AU38</f>
        <v>1361060350.8300002</v>
      </c>
      <c r="AV40" s="26">
        <f>股权价值增加表!AV38</f>
        <v>874168408.32000017</v>
      </c>
      <c r="AW40" s="26">
        <f>股权价值增加表!AW38</f>
        <v>2487364567.0700002</v>
      </c>
      <c r="AX40" s="26">
        <f>股权价值增加表!AX38</f>
        <v>1566849093.6800001</v>
      </c>
      <c r="AY40" s="26">
        <f>股权价值增加表!AY38</f>
        <v>972004011.6099999</v>
      </c>
      <c r="AZ40" s="26">
        <f>股权价值增加表!AZ38</f>
        <v>672432555.83000004</v>
      </c>
      <c r="BA40" s="26">
        <f>股权价值增加表!BA38</f>
        <v>1920197398.6800003</v>
      </c>
      <c r="BB40" s="26">
        <f>股权价值增加表!BB38</f>
        <v>1150734502.97</v>
      </c>
      <c r="BC40" s="26">
        <f>股权价值增加表!BC38</f>
        <v>756766642.68000007</v>
      </c>
      <c r="BD40" s="26">
        <f>股权价值增加表!BD38</f>
        <v>557507573.51999986</v>
      </c>
      <c r="BE40" s="26">
        <f>股权价值增加表!BE38</f>
        <v>1490670632.3900003</v>
      </c>
      <c r="BF40" s="26">
        <f>股权价值增加表!BF38</f>
        <v>875770767.56000006</v>
      </c>
      <c r="BG40" s="26">
        <f>股权价值增加表!BG38</f>
        <v>569713175.75999999</v>
      </c>
      <c r="BH40" s="26">
        <f>股权价值增加表!BH38</f>
        <v>401170213.18000007</v>
      </c>
      <c r="BI40" s="26">
        <f>股权价值增加表!BI38</f>
        <v>975609206.32999969</v>
      </c>
      <c r="BJ40" s="26">
        <f>股权价值增加表!BJ38</f>
        <v>593899439.52999985</v>
      </c>
      <c r="BK40" s="26">
        <f>股权价值增加表!BK38</f>
        <v>409501594.28000003</v>
      </c>
      <c r="BL40" s="26">
        <f>股权价值增加表!BL38</f>
        <v>340107152.71999997</v>
      </c>
      <c r="BM40" s="26">
        <f>股权价值增加表!BM38</f>
        <v>646020756.08000016</v>
      </c>
      <c r="BN40" s="26">
        <f>股权价值增加表!BN38</f>
        <v>525737420.49000001</v>
      </c>
      <c r="BO40" s="26">
        <f>股权价值增加表!BO38</f>
        <v>401138323.20999992</v>
      </c>
      <c r="BP40" s="26">
        <f>股权价值增加表!BP38</f>
        <v>337226296.7899999</v>
      </c>
      <c r="BQ40" s="26">
        <f>股权价值增加表!BQ38</f>
        <v>606053790.58999968</v>
      </c>
      <c r="BR40" s="26">
        <f>股权价值增加表!BR38</f>
        <v>372029417.61000001</v>
      </c>
      <c r="BS40" s="26">
        <f>股权价值增加表!BS38</f>
        <v>445794869.4799999</v>
      </c>
      <c r="BT40" s="26">
        <f>股权价值增加表!BT38</f>
        <v>353213489.99999994</v>
      </c>
      <c r="BU40" s="26">
        <f>股权价值增加表!BU38</f>
        <v>217932827.72</v>
      </c>
      <c r="BV40" s="26">
        <f>股权价值增加表!BV38</f>
        <v>0</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1.377835075297984E-4</v>
      </c>
      <c r="F41" s="59">
        <f t="shared" ref="F41:BQ41" si="34">1-F40/F39</f>
        <v>-1.4791325907239639E-3</v>
      </c>
      <c r="G41" s="59">
        <f t="shared" si="34"/>
        <v>-2.530047114672751E-3</v>
      </c>
      <c r="H41" s="59">
        <f t="shared" si="34"/>
        <v>-3.6148960475199665E-3</v>
      </c>
      <c r="I41" s="59">
        <f t="shared" si="34"/>
        <v>1.6785402099298574E-3</v>
      </c>
      <c r="J41" s="59">
        <f t="shared" si="34"/>
        <v>-7.557819849846048E-5</v>
      </c>
      <c r="K41" s="59">
        <f t="shared" si="34"/>
        <v>-9.9828923024158911E-4</v>
      </c>
      <c r="L41" s="59">
        <f t="shared" si="34"/>
        <v>-4.3476935629693791E-4</v>
      </c>
      <c r="M41" s="59">
        <f t="shared" si="34"/>
        <v>2.0168425220642439E-3</v>
      </c>
      <c r="N41" s="59">
        <f t="shared" si="34"/>
        <v>-3.3501374081541524E-3</v>
      </c>
      <c r="O41" s="59">
        <f t="shared" si="34"/>
        <v>-1.7691799367405281E-3</v>
      </c>
      <c r="P41" s="59">
        <f t="shared" si="34"/>
        <v>-1.0818419208675767E-3</v>
      </c>
      <c r="Q41" s="59">
        <f t="shared" si="34"/>
        <v>5.2206274401866981E-4</v>
      </c>
      <c r="R41" s="59">
        <f t="shared" si="34"/>
        <v>-6.527423605175553E-3</v>
      </c>
      <c r="S41" s="59">
        <f t="shared" si="34"/>
        <v>-5.4410942297369314E-3</v>
      </c>
      <c r="T41" s="59">
        <f t="shared" si="34"/>
        <v>-4.6648745329236352E-3</v>
      </c>
      <c r="U41" s="59">
        <f t="shared" si="34"/>
        <v>2.0403998447382499E-5</v>
      </c>
      <c r="V41" s="59">
        <f t="shared" si="34"/>
        <v>-2.2513260083245834E-2</v>
      </c>
      <c r="W41" s="59">
        <f t="shared" si="34"/>
        <v>-2.4175988486059286E-2</v>
      </c>
      <c r="X41" s="59">
        <f t="shared" si="34"/>
        <v>-2.2888420625513994E-2</v>
      </c>
      <c r="Y41" s="59">
        <f t="shared" si="34"/>
        <v>3.9325550926117003E-5</v>
      </c>
      <c r="Z41" s="59">
        <f t="shared" si="34"/>
        <v>-2.0819535907717679E-2</v>
      </c>
      <c r="AA41" s="59">
        <f t="shared" si="34"/>
        <v>-1.9473764739664556E-2</v>
      </c>
      <c r="AB41" s="59">
        <f t="shared" si="34"/>
        <v>-2.3866623317689406E-2</v>
      </c>
      <c r="AC41" s="59">
        <f t="shared" si="34"/>
        <v>1.1895734650468892E-4</v>
      </c>
      <c r="AD41" s="59">
        <f t="shared" si="34"/>
        <v>-2.4036607470454552E-2</v>
      </c>
      <c r="AE41" s="59">
        <f t="shared" si="34"/>
        <v>-2.2095342520693118E-2</v>
      </c>
      <c r="AF41" s="59">
        <f t="shared" si="34"/>
        <v>-2.056180373703409E-2</v>
      </c>
      <c r="AG41" s="59">
        <f t="shared" si="34"/>
        <v>3.967721938813451E-5</v>
      </c>
      <c r="AH41" s="59">
        <f t="shared" si="34"/>
        <v>-2.3848518929492579E-2</v>
      </c>
      <c r="AI41" s="59">
        <f t="shared" si="34"/>
        <v>-2.3324170637143427E-2</v>
      </c>
      <c r="AJ41" s="59">
        <f t="shared" si="34"/>
        <v>-2.6479900537247136E-2</v>
      </c>
      <c r="AK41" s="59">
        <f t="shared" si="34"/>
        <v>-2.2471545021421679E-2</v>
      </c>
      <c r="AL41" s="59">
        <f t="shared" si="34"/>
        <v>-1.7340465752844647E-2</v>
      </c>
      <c r="AM41" s="59">
        <f t="shared" si="34"/>
        <v>-2.2992246661590832E-2</v>
      </c>
      <c r="AN41" s="59">
        <f t="shared" si="34"/>
        <v>-5.007427866049996E-2</v>
      </c>
      <c r="AO41" s="59">
        <f t="shared" si="34"/>
        <v>-1.9402734874961247E-2</v>
      </c>
      <c r="AP41" s="59">
        <f t="shared" si="34"/>
        <v>-1.4322016173742735E-2</v>
      </c>
      <c r="AQ41" s="59">
        <f t="shared" si="34"/>
        <v>-1.4929279372833504E-2</v>
      </c>
      <c r="AR41" s="59">
        <f t="shared" si="34"/>
        <v>-3.3545717366923133E-2</v>
      </c>
      <c r="AS41" s="59">
        <f t="shared" si="34"/>
        <v>-9.993525767410194E-3</v>
      </c>
      <c r="AT41" s="59">
        <f t="shared" si="34"/>
        <v>-1.5449286015531971E-2</v>
      </c>
      <c r="AU41" s="59">
        <f t="shared" si="34"/>
        <v>-2.4822146710341775E-2</v>
      </c>
      <c r="AV41" s="59">
        <f t="shared" si="34"/>
        <v>-3.1568802012949426E-2</v>
      </c>
      <c r="AW41" s="59">
        <f t="shared" si="34"/>
        <v>-1.026294906690306E-2</v>
      </c>
      <c r="AX41" s="59">
        <f t="shared" si="34"/>
        <v>-9.3205350283265265E-3</v>
      </c>
      <c r="AY41" s="59">
        <f t="shared" si="34"/>
        <v>-6.9389765256415714E-3</v>
      </c>
      <c r="AZ41" s="59">
        <f t="shared" si="34"/>
        <v>-4.2100996485856523E-3</v>
      </c>
      <c r="BA41" s="59">
        <f t="shared" si="34"/>
        <v>-1.708990588497894E-2</v>
      </c>
      <c r="BB41" s="59">
        <f t="shared" si="34"/>
        <v>-1.2517198719518952E-2</v>
      </c>
      <c r="BC41" s="59">
        <f t="shared" si="34"/>
        <v>-1.0829874515659643E-2</v>
      </c>
      <c r="BD41" s="59">
        <f t="shared" si="34"/>
        <v>-6.7663240849329398E-3</v>
      </c>
      <c r="BE41" s="59">
        <f t="shared" si="34"/>
        <v>-1.7747119969414804E-2</v>
      </c>
      <c r="BF41" s="59">
        <f t="shared" si="34"/>
        <v>-2.6137076276843141E-2</v>
      </c>
      <c r="BG41" s="59">
        <f t="shared" si="34"/>
        <v>-1.7791487666384054E-2</v>
      </c>
      <c r="BH41" s="59">
        <f t="shared" si="34"/>
        <v>-1.7107079978183615E-2</v>
      </c>
      <c r="BI41" s="59">
        <f t="shared" si="34"/>
        <v>-1.6726669562628693E-2</v>
      </c>
      <c r="BJ41" s="59">
        <f t="shared" si="34"/>
        <v>-2.1052039791317867E-2</v>
      </c>
      <c r="BK41" s="59">
        <f t="shared" si="34"/>
        <v>-1.0789331873903407E-2</v>
      </c>
      <c r="BL41" s="59">
        <f t="shared" si="34"/>
        <v>-6.5438757745945875E-3</v>
      </c>
      <c r="BM41" s="59">
        <f t="shared" si="34"/>
        <v>-2.7780200121222176E-2</v>
      </c>
      <c r="BN41" s="59">
        <f t="shared" si="34"/>
        <v>-2.989241156604372E-2</v>
      </c>
      <c r="BO41" s="59">
        <f t="shared" si="34"/>
        <v>-3.0599633732243392E-2</v>
      </c>
      <c r="BP41" s="59">
        <f t="shared" si="34"/>
        <v>-7.9564971480585722E-3</v>
      </c>
      <c r="BQ41" s="59">
        <f t="shared" si="34"/>
        <v>-9.565623999669759E-3</v>
      </c>
      <c r="BR41" s="59">
        <f t="shared" ref="BR41:CK41" si="35">1-BR40/BR39</f>
        <v>3.5788563762743086E-3</v>
      </c>
      <c r="BS41" s="59">
        <f t="shared" si="35"/>
        <v>1.4763393839231087E-2</v>
      </c>
      <c r="BT41" s="59">
        <f t="shared" si="35"/>
        <v>3.0939917446465737E-2</v>
      </c>
      <c r="BU41" s="59">
        <f t="shared" si="35"/>
        <v>0.16132457603926031</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8">
        <f>E39/(E39-E40)</f>
        <v>7257.7626882088025</v>
      </c>
      <c r="F42" s="29">
        <f t="shared" ref="F42:BQ42" si="36">F39/(F39-F40)</f>
        <v>-676.07191287055673</v>
      </c>
      <c r="G42" s="29">
        <f t="shared" si="36"/>
        <v>-395.2495565005762</v>
      </c>
      <c r="H42" s="29">
        <f t="shared" si="36"/>
        <v>-276.63312771776356</v>
      </c>
      <c r="I42" s="29">
        <f t="shared" si="36"/>
        <v>595.75576091904236</v>
      </c>
      <c r="J42" s="29">
        <f t="shared" si="36"/>
        <v>-13231.328873484668</v>
      </c>
      <c r="K42" s="29">
        <f t="shared" si="36"/>
        <v>-1001.7137015072155</v>
      </c>
      <c r="L42" s="29">
        <f t="shared" si="36"/>
        <v>-2300.0701073266664</v>
      </c>
      <c r="M42" s="29">
        <f t="shared" si="36"/>
        <v>495.82453218831404</v>
      </c>
      <c r="N42" s="29">
        <f t="shared" si="36"/>
        <v>-298.49521920087136</v>
      </c>
      <c r="O42" s="29">
        <f t="shared" si="36"/>
        <v>-565.23363126218476</v>
      </c>
      <c r="P42" s="29">
        <f t="shared" si="36"/>
        <v>-924.34946428969158</v>
      </c>
      <c r="Q42" s="29">
        <f t="shared" si="36"/>
        <v>1915.4785731354309</v>
      </c>
      <c r="R42" s="29">
        <f t="shared" si="36"/>
        <v>-153.19980140512192</v>
      </c>
      <c r="S42" s="29">
        <f t="shared" si="36"/>
        <v>-183.78656163216988</v>
      </c>
      <c r="T42" s="29">
        <f t="shared" si="36"/>
        <v>-214.36803775583417</v>
      </c>
      <c r="U42" s="29">
        <f t="shared" si="36"/>
        <v>49010.0017690846</v>
      </c>
      <c r="V42" s="29">
        <f t="shared" si="36"/>
        <v>-44.418267114685513</v>
      </c>
      <c r="W42" s="29">
        <f t="shared" si="36"/>
        <v>-41.363355238882228</v>
      </c>
      <c r="X42" s="29">
        <f t="shared" si="36"/>
        <v>-43.690214207497064</v>
      </c>
      <c r="Y42" s="29">
        <f t="shared" si="36"/>
        <v>25428.760092324159</v>
      </c>
      <c r="Z42" s="29">
        <f t="shared" si="36"/>
        <v>-48.031810335854317</v>
      </c>
      <c r="AA42" s="29">
        <f t="shared" si="36"/>
        <v>-51.351139000009589</v>
      </c>
      <c r="AB42" s="29">
        <f t="shared" si="36"/>
        <v>-41.899517442788913</v>
      </c>
      <c r="AC42" s="29">
        <f t="shared" si="36"/>
        <v>8406.3744643174778</v>
      </c>
      <c r="AD42" s="29">
        <f t="shared" si="36"/>
        <v>-41.603208823424367</v>
      </c>
      <c r="AE42" s="29">
        <f t="shared" si="36"/>
        <v>-45.258406791542775</v>
      </c>
      <c r="AF42" s="29">
        <f t="shared" si="36"/>
        <v>-48.63386562721081</v>
      </c>
      <c r="AG42" s="29">
        <f t="shared" si="36"/>
        <v>25203.379052800537</v>
      </c>
      <c r="AH42" s="29">
        <f t="shared" si="36"/>
        <v>-41.931325083812112</v>
      </c>
      <c r="AI42" s="29">
        <f t="shared" si="36"/>
        <v>-42.873978910423389</v>
      </c>
      <c r="AJ42" s="29">
        <f t="shared" si="36"/>
        <v>-37.76449230212873</v>
      </c>
      <c r="AK42" s="29">
        <f t="shared" si="36"/>
        <v>-44.500722983075704</v>
      </c>
      <c r="AL42" s="29">
        <f t="shared" si="36"/>
        <v>-57.668577894798105</v>
      </c>
      <c r="AM42" s="29">
        <f t="shared" si="36"/>
        <v>-43.49292240634017</v>
      </c>
      <c r="AN42" s="29">
        <f t="shared" si="36"/>
        <v>-19.97033260888151</v>
      </c>
      <c r="AO42" s="29">
        <f t="shared" si="36"/>
        <v>-51.539126130640035</v>
      </c>
      <c r="AP42" s="29">
        <f t="shared" si="36"/>
        <v>-69.822571617629976</v>
      </c>
      <c r="AQ42" s="29">
        <f t="shared" si="36"/>
        <v>-66.982469483401857</v>
      </c>
      <c r="AR42" s="29">
        <f t="shared" si="36"/>
        <v>-29.810064547494832</v>
      </c>
      <c r="AS42" s="29">
        <f t="shared" si="36"/>
        <v>-100.06478426874006</v>
      </c>
      <c r="AT42" s="29">
        <f t="shared" si="36"/>
        <v>-64.727910338034107</v>
      </c>
      <c r="AU42" s="29">
        <f t="shared" si="36"/>
        <v>-40.286604203469821</v>
      </c>
      <c r="AV42" s="29">
        <f t="shared" si="36"/>
        <v>-31.676843473179758</v>
      </c>
      <c r="AW42" s="29">
        <f t="shared" si="36"/>
        <v>-97.437880036343472</v>
      </c>
      <c r="AX42" s="29">
        <f t="shared" si="36"/>
        <v>-107.28997819983921</v>
      </c>
      <c r="AY42" s="29">
        <f t="shared" si="36"/>
        <v>-144.11347210999932</v>
      </c>
      <c r="AZ42" s="29">
        <f t="shared" si="36"/>
        <v>-237.5240691359796</v>
      </c>
      <c r="BA42" s="29">
        <f t="shared" si="36"/>
        <v>-58.514072969760633</v>
      </c>
      <c r="BB42" s="29">
        <f t="shared" si="36"/>
        <v>-79.890079434516082</v>
      </c>
      <c r="BC42" s="29">
        <f t="shared" si="36"/>
        <v>-92.337173302795264</v>
      </c>
      <c r="BD42" s="29">
        <f t="shared" si="36"/>
        <v>-147.79073355749622</v>
      </c>
      <c r="BE42" s="29">
        <f t="shared" si="36"/>
        <v>-56.347170792973102</v>
      </c>
      <c r="BF42" s="29">
        <f t="shared" si="36"/>
        <v>-38.259826363439885</v>
      </c>
      <c r="BG42" s="29">
        <f t="shared" si="36"/>
        <v>-56.206654482831269</v>
      </c>
      <c r="BH42" s="29">
        <f t="shared" si="36"/>
        <v>-58.455329680768905</v>
      </c>
      <c r="BI42" s="29">
        <f t="shared" si="36"/>
        <v>-59.7847644598803</v>
      </c>
      <c r="BJ42" s="29">
        <f t="shared" si="36"/>
        <v>-47.501335258373018</v>
      </c>
      <c r="BK42" s="29">
        <f t="shared" si="36"/>
        <v>-92.684145013532813</v>
      </c>
      <c r="BL42" s="29">
        <f t="shared" si="36"/>
        <v>-152.81463683682838</v>
      </c>
      <c r="BM42" s="29">
        <f t="shared" si="36"/>
        <v>-35.99686091663775</v>
      </c>
      <c r="BN42" s="29">
        <f t="shared" si="36"/>
        <v>-33.453306294496201</v>
      </c>
      <c r="BO42" s="29">
        <f t="shared" si="36"/>
        <v>-32.680129728032753</v>
      </c>
      <c r="BP42" s="29">
        <f t="shared" si="36"/>
        <v>-125.68344855675704</v>
      </c>
      <c r="BQ42" s="29">
        <f t="shared" si="36"/>
        <v>-104.5410106057401</v>
      </c>
      <c r="BR42" s="29">
        <f t="shared" ref="BR42:CK42" si="37">BR39/(BR39-BR40)</f>
        <v>279.41886872839996</v>
      </c>
      <c r="BS42" s="29">
        <f t="shared" si="37"/>
        <v>67.735102842184901</v>
      </c>
      <c r="BT42" s="29">
        <f t="shared" si="37"/>
        <v>32.320706793425188</v>
      </c>
      <c r="BU42" s="29">
        <f t="shared" si="37"/>
        <v>6.1986835766215655</v>
      </c>
      <c r="BV42" s="29" t="e">
        <f t="shared" si="37"/>
        <v>#DIV/0!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698</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36525</v>
      </c>
      <c r="BU46" s="1">
        <v>36160</v>
      </c>
      <c r="BV46" s="1">
        <v>25569</v>
      </c>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26296546048.480003</v>
      </c>
      <c r="F47" s="26">
        <f>股权价值增加表!F42</f>
        <v>19436114520.600006</v>
      </c>
      <c r="G47" s="26">
        <f>股权价值增加表!G42</f>
        <v>10813094193.529999</v>
      </c>
      <c r="H47" s="26">
        <f>股权价值增加表!H42</f>
        <v>5973715857.4300003</v>
      </c>
      <c r="I47" s="26">
        <f>股权价值增加表!I42</f>
        <v>16761789532.09</v>
      </c>
      <c r="J47" s="26">
        <f>股权价值增加表!J42</f>
        <v>12521016729.060001</v>
      </c>
      <c r="K47" s="26">
        <f>股权价值增加表!K42</f>
        <v>8871216325.8100014</v>
      </c>
      <c r="L47" s="26">
        <f>股权价值增加表!L42</f>
        <v>4980814910.3699989</v>
      </c>
      <c r="M47" s="26">
        <f>股权价值增加表!M42</f>
        <v>15727894795.429996</v>
      </c>
      <c r="N47" s="26">
        <f>股权价值增加表!N42</f>
        <v>11577860805.09</v>
      </c>
      <c r="O47" s="26">
        <f>股权价值增加表!O42</f>
        <v>7971034609.000001</v>
      </c>
      <c r="P47" s="26">
        <f>股权价值增加表!P42</f>
        <v>4416070603.7299995</v>
      </c>
      <c r="Q47" s="26">
        <f>股权价值增加表!Q42</f>
        <v>15683929542.32</v>
      </c>
      <c r="R47" s="26">
        <f>股权价值增加表!R42</f>
        <v>10964537738.960001</v>
      </c>
      <c r="S47" s="26">
        <f>股权价值增加表!S42</f>
        <v>7399365652.6099987</v>
      </c>
      <c r="T47" s="26">
        <f>股权价值增加表!T42</f>
        <v>3835953980.71</v>
      </c>
      <c r="U47" s="26">
        <f>股权价值增加表!U42</f>
        <v>15851268010.26</v>
      </c>
      <c r="V47" s="26">
        <f>股权价值增加表!V42</f>
        <v>11610806987.350002</v>
      </c>
      <c r="W47" s="26">
        <f>股权价值增加表!W42</f>
        <v>7611476819.7399988</v>
      </c>
      <c r="X47" s="26">
        <f>股权价值增加表!X42</f>
        <v>3773363242.9899983</v>
      </c>
      <c r="Y47" s="26">
        <f>股权价值增加表!Y42</f>
        <v>14007847512.1</v>
      </c>
      <c r="Z47" s="26">
        <f>股权价值增加表!Z42</f>
        <v>10937979773.700001</v>
      </c>
      <c r="AA47" s="26">
        <f>股权价值增加表!AA42</f>
        <v>7348939538.5500021</v>
      </c>
      <c r="AB47" s="26">
        <f>股权价值增加表!AB42</f>
        <v>3129490790.7399998</v>
      </c>
      <c r="AC47" s="26">
        <f>股权价值增加表!AC42</f>
        <v>9248856509.1400013</v>
      </c>
      <c r="AD47" s="26">
        <f>股权价值增加表!AD42</f>
        <v>6930714312.6100006</v>
      </c>
      <c r="AE47" s="26">
        <f>股权价值增加表!AE42</f>
        <v>5166306192.5299997</v>
      </c>
      <c r="AF47" s="26">
        <f>股权价值增加表!AF42</f>
        <v>1991291329.6400003</v>
      </c>
      <c r="AG47" s="26">
        <f>股权价值增加表!AG42</f>
        <v>5339477312.1899986</v>
      </c>
      <c r="AH47" s="26">
        <f>股权价值增加表!AH42</f>
        <v>4411104477.8300009</v>
      </c>
      <c r="AI47" s="26">
        <f>股权价值增加表!AI42</f>
        <v>3274562600.0699997</v>
      </c>
      <c r="AJ47" s="26">
        <f>股权价值增加表!AJ42</f>
        <v>1344382797.8099995</v>
      </c>
      <c r="AK47" s="26">
        <f>股权价值增加表!AK42</f>
        <v>4552888943.999999</v>
      </c>
      <c r="AL47" s="26">
        <f>股权价值增加表!AL42</f>
        <v>3979795618.1999998</v>
      </c>
      <c r="AM47" s="26">
        <f>股权价值增加表!AM42</f>
        <v>2928842256.250001</v>
      </c>
      <c r="AN47" s="26">
        <f>股权价值增加表!AN42</f>
        <v>1278840567.8199997</v>
      </c>
      <c r="AO47" s="26">
        <f>股权价值增加表!AO42</f>
        <v>4000759343.1100006</v>
      </c>
      <c r="AP47" s="26">
        <f>股权价值增加表!AP42</f>
        <v>3304198780.9999995</v>
      </c>
      <c r="AQ47" s="26">
        <f>股权价值增加表!AQ42</f>
        <v>2351939273.6300011</v>
      </c>
      <c r="AR47" s="26">
        <f>股权价值增加表!AR42</f>
        <v>917048744.59000039</v>
      </c>
      <c r="AS47" s="26">
        <f>股权价值增加表!AS42</f>
        <v>2966052508.9499993</v>
      </c>
      <c r="AT47" s="26">
        <f>股权价值增加表!AT42</f>
        <v>1669221956.1800003</v>
      </c>
      <c r="AU47" s="26">
        <f>股权价值增加表!AU42</f>
        <v>893948241.41000009</v>
      </c>
      <c r="AV47" s="26">
        <f>股权价值增加表!AV42</f>
        <v>561440706.10000014</v>
      </c>
      <c r="AW47" s="26">
        <f>股权价值增加表!AW42</f>
        <v>1573485812.1000001</v>
      </c>
      <c r="AX47" s="26">
        <f>股权价值增加表!AX42</f>
        <v>993614580.42000008</v>
      </c>
      <c r="AY47" s="26">
        <f>股权价值增加表!AY42</f>
        <v>634009995.50999987</v>
      </c>
      <c r="AZ47" s="26">
        <f>股权价值增加表!AZ42</f>
        <v>468498539.01000005</v>
      </c>
      <c r="BA47" s="26">
        <f>股权价值增加表!BA42</f>
        <v>1169073160.7500005</v>
      </c>
      <c r="BB47" s="26">
        <f>股权价值增加表!BB42</f>
        <v>734586763.86000001</v>
      </c>
      <c r="BC47" s="26">
        <f>股权价值增加表!BC42</f>
        <v>502671627.85000002</v>
      </c>
      <c r="BD47" s="26">
        <f>股权价值增加表!BD42</f>
        <v>383940192.03999984</v>
      </c>
      <c r="BE47" s="26">
        <f>股权价值增加表!BE42</f>
        <v>854170293.04000032</v>
      </c>
      <c r="BF47" s="26">
        <f>股权价值增加表!BF42</f>
        <v>537992536.05000007</v>
      </c>
      <c r="BG47" s="26">
        <f>股权价值增加表!BG42</f>
        <v>364052715.39999998</v>
      </c>
      <c r="BH47" s="26">
        <f>股权价值增加表!BH42</f>
        <v>271330791.21000004</v>
      </c>
      <c r="BI47" s="26">
        <f>股权价值增加表!BI42</f>
        <v>607068089.12999964</v>
      </c>
      <c r="BJ47" s="26">
        <f>股权价值增加表!BJ42</f>
        <v>367421973.21999985</v>
      </c>
      <c r="BK47" s="26">
        <f>股权价值增加表!BK42</f>
        <v>260751258.37000003</v>
      </c>
      <c r="BL47" s="26">
        <f>股权价值增加表!BL42</f>
        <v>223788291.70999998</v>
      </c>
      <c r="BM47" s="26">
        <f>股权价值增加表!BM42</f>
        <v>389236355.33000016</v>
      </c>
      <c r="BN47" s="26">
        <f>股权价值增加表!BN42</f>
        <v>317512273.94</v>
      </c>
      <c r="BO47" s="26">
        <f>股权价值增加表!BO42</f>
        <v>245607697.97999993</v>
      </c>
      <c r="BP47" s="26">
        <f>股权价值增加表!BP42</f>
        <v>213019772.62999991</v>
      </c>
      <c r="BQ47" s="26">
        <f>股权价值增加表!BQ42</f>
        <v>341141393.10999966</v>
      </c>
      <c r="BR47" s="26">
        <f>股权价值增加表!BR42</f>
        <v>229104288.61000001</v>
      </c>
      <c r="BS47" s="26">
        <f>股权价值增加表!BS42</f>
        <v>256234280.7299999</v>
      </c>
      <c r="BT47" s="26">
        <f>股权价值增加表!BT42</f>
        <v>215310984.77999994</v>
      </c>
      <c r="BU47" s="26">
        <f>股权价值增加表!BU42</f>
        <v>145858523.61000001</v>
      </c>
      <c r="BV47" s="26">
        <f>股权价值增加表!BV42</f>
        <v>0</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0.45169206588630778</v>
      </c>
      <c r="F48" s="63">
        <f>股权价值增加表!F43</f>
        <v>0.45785395698163811</v>
      </c>
      <c r="G48" s="63">
        <f>股权价值增加表!G43</f>
        <v>0.44700622924624384</v>
      </c>
      <c r="H48" s="63">
        <f>股权价值增加表!H43</f>
        <v>0.44886000885103661</v>
      </c>
      <c r="I48" s="63">
        <f>股权价值增加表!I43</f>
        <v>0.43131356042330332</v>
      </c>
      <c r="J48" s="63">
        <f>股权价值增加表!J43</f>
        <v>0.47015136870575858</v>
      </c>
      <c r="K48" s="63">
        <f>股权价值增加表!K43</f>
        <v>0.48814734884677385</v>
      </c>
      <c r="L48" s="63">
        <f>股权价值增加表!L43</f>
        <v>0.49864227755731405</v>
      </c>
      <c r="M48" s="63">
        <f>股权价值增加表!M43</f>
        <v>0.48157058362185717</v>
      </c>
      <c r="N48" s="63">
        <f>股权价值增加表!N43</f>
        <v>0.5001519016757684</v>
      </c>
      <c r="O48" s="63">
        <f>股权价值增加表!O43</f>
        <v>0.50517857289107515</v>
      </c>
      <c r="P48" s="63">
        <f>股权价值增加表!P43</f>
        <v>0.51684565537469296</v>
      </c>
      <c r="Q48" s="63">
        <f>股权价值增加表!Q43</f>
        <v>0.49673671513353068</v>
      </c>
      <c r="R48" s="63">
        <f>股权价值增加表!R43</f>
        <v>0.50485506201006192</v>
      </c>
      <c r="S48" s="63">
        <f>股权价值增加表!S43</f>
        <v>0.51665672675975371</v>
      </c>
      <c r="T48" s="63">
        <f>股权价值增加表!T43</f>
        <v>0.51490519498130016</v>
      </c>
      <c r="U48" s="63">
        <f>股权价值增加表!U43</f>
        <v>0.5126243406056179</v>
      </c>
      <c r="V48" s="63">
        <f>股权价值增加表!V43</f>
        <v>0.52931067084092442</v>
      </c>
      <c r="W48" s="63">
        <f>股权价值增加表!W43</f>
        <v>0.53875625505097768</v>
      </c>
      <c r="X48" s="63">
        <f>股权价值增加表!X43</f>
        <v>0.52658052042431658</v>
      </c>
      <c r="Y48" s="63">
        <f>股权价值增加表!Y43</f>
        <v>0.52949045744811984</v>
      </c>
      <c r="Z48" s="63">
        <f>股权价值增加表!Z43</f>
        <v>0.54878024576894247</v>
      </c>
      <c r="AA48" s="63">
        <f>股权价值增加表!AA43</f>
        <v>0.55403324507109164</v>
      </c>
      <c r="AB48" s="63">
        <f>股权价值增加表!AB43</f>
        <v>0.52019740217178756</v>
      </c>
      <c r="AC48" s="63">
        <f>股权价值增加表!AC43</f>
        <v>0.50259091322566629</v>
      </c>
      <c r="AD48" s="63">
        <f>股权价值增加表!AD43</f>
        <v>0.50803958112790315</v>
      </c>
      <c r="AE48" s="63">
        <f>股权价值增加表!AE43</f>
        <v>0.52578862533715431</v>
      </c>
      <c r="AF48" s="63">
        <f>股权价值增加表!AF43</f>
        <v>0.47180412104365166</v>
      </c>
      <c r="AG48" s="63">
        <f>股权价值增加表!AG43</f>
        <v>0.45898281443510819</v>
      </c>
      <c r="AH48" s="63">
        <f>股权价值增加表!AH43</f>
        <v>0.47290996440038385</v>
      </c>
      <c r="AI48" s="63">
        <f>股权价值增加表!AI43</f>
        <v>0.4971049324150979</v>
      </c>
      <c r="AJ48" s="63">
        <f>股权价值增加表!AJ43</f>
        <v>0.44224484355904253</v>
      </c>
      <c r="AK48" s="63">
        <f>股权价值增加表!AK43</f>
        <v>0.47082620310639889</v>
      </c>
      <c r="AL48" s="63">
        <f>股权价值增加表!AL43</f>
        <v>0.50975950430704597</v>
      </c>
      <c r="AM48" s="63">
        <f>股权价值增加表!AM43</f>
        <v>0.52809936370890542</v>
      </c>
      <c r="AN48" s="63">
        <f>股权价值增加表!AN43</f>
        <v>0.50898374142069081</v>
      </c>
      <c r="AO48" s="63">
        <f>股权价值增加表!AO43</f>
        <v>0.48542974759096302</v>
      </c>
      <c r="AP48" s="63">
        <f>股权价值增加表!AP43</f>
        <v>0.50939489372415736</v>
      </c>
      <c r="AQ48" s="63">
        <f>股权价值增加表!AQ43</f>
        <v>0.50910891641411804</v>
      </c>
      <c r="AR48" s="63">
        <f>股权价值增加表!AR43</f>
        <v>0.46002026724427114</v>
      </c>
      <c r="AS48" s="63">
        <f>股权价值增加表!AS43</f>
        <v>0.40982119381664334</v>
      </c>
      <c r="AT48" s="63">
        <f>股权价值增加表!AT43</f>
        <v>0.37440081690103105</v>
      </c>
      <c r="AU48" s="63">
        <f>股权价值增加表!AU43</f>
        <v>0.34002206978536192</v>
      </c>
      <c r="AV48" s="63">
        <f>股权价值增加表!AV43</f>
        <v>0.35365495015696913</v>
      </c>
      <c r="AW48" s="63">
        <f>股权价值增加表!AW43</f>
        <v>0.32136963801589008</v>
      </c>
      <c r="AX48" s="63">
        <f>股权价值增加表!AX43</f>
        <v>0.30577900495291416</v>
      </c>
      <c r="AY48" s="63">
        <f>股权价值增加表!AY43</f>
        <v>0.31240299183461662</v>
      </c>
      <c r="AZ48" s="63">
        <f>股权价值增加表!AZ43</f>
        <v>0.34588350935699008</v>
      </c>
      <c r="BA48" s="63">
        <f>股权价值增加表!BA43</f>
        <v>0.2974350918585601</v>
      </c>
      <c r="BB48" s="63">
        <f>股权价值增加表!BB43</f>
        <v>0.28468836602925857</v>
      </c>
      <c r="BC48" s="63">
        <f>股权价值增加表!BC43</f>
        <v>0.29811897792842146</v>
      </c>
      <c r="BD48" s="63">
        <f>股权价值增加表!BD43</f>
        <v>0.33560697475447621</v>
      </c>
      <c r="BE48" s="63">
        <f>股权价值增加表!BE43</f>
        <v>0.28379697390760017</v>
      </c>
      <c r="BF48" s="63">
        <f>股权价值增加表!BF43</f>
        <v>0.25984477254947991</v>
      </c>
      <c r="BG48" s="63">
        <f>股权价值增加表!BG43</f>
        <v>0.27703383622158145</v>
      </c>
      <c r="BH48" s="63">
        <f>股权价值增加表!BH43</f>
        <v>0.31792904547736711</v>
      </c>
      <c r="BI48" s="63">
        <f>股权价值增加表!BI43</f>
        <v>0.252837798626314</v>
      </c>
      <c r="BJ48" s="63">
        <f>股权价值增加表!BJ43</f>
        <v>0.23662747240398099</v>
      </c>
      <c r="BK48" s="63">
        <f>股权价值增加表!BK43</f>
        <v>0.25841324759151635</v>
      </c>
      <c r="BL48" s="63">
        <f>股权价值增加表!BL43</f>
        <v>0.30493468859767964</v>
      </c>
      <c r="BM48" s="63">
        <f>股权价值增加表!BM43</f>
        <v>0.21212966212452289</v>
      </c>
      <c r="BN48" s="63">
        <f>股权价值增加表!BN43</f>
        <v>0.23279967806574467</v>
      </c>
      <c r="BO48" s="63">
        <f>股权价值增加表!BO43</f>
        <v>0.25700477718467585</v>
      </c>
      <c r="BP48" s="63">
        <f>股权价值增加表!BP43</f>
        <v>0.29667878052846669</v>
      </c>
      <c r="BQ48" s="63">
        <f>股权价值增加表!BQ43</f>
        <v>0.21083532476414538</v>
      </c>
      <c r="BR48" s="63">
        <f>股权价值增加表!BR43</f>
        <v>0.26217400558712495</v>
      </c>
      <c r="BS48" s="63">
        <f>股权价值增加表!BS43</f>
        <v>0.23001265140925586</v>
      </c>
      <c r="BT48" s="63">
        <f>股权价值增加表!BT43</f>
        <v>0.24168940494756608</v>
      </c>
      <c r="BU48" s="63">
        <f>股权价值增加表!BU43</f>
        <v>0.23219060502552089</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0.56883881629321054</v>
      </c>
      <c r="F49" s="59">
        <f t="shared" ref="F49:BQ49" si="38">(F47-J47)/J47</f>
        <v>0.55227925504569997</v>
      </c>
      <c r="G49" s="59">
        <f t="shared" si="38"/>
        <v>0.2188964620409807</v>
      </c>
      <c r="H49" s="59">
        <f t="shared" si="38"/>
        <v>0.1993450800576414</v>
      </c>
      <c r="I49" s="59">
        <f t="shared" si="38"/>
        <v>6.5736371593763401E-2</v>
      </c>
      <c r="J49" s="59">
        <f t="shared" si="38"/>
        <v>8.1462019612065076E-2</v>
      </c>
      <c r="K49" s="59">
        <f t="shared" si="38"/>
        <v>0.11293160310627881</v>
      </c>
      <c r="L49" s="59">
        <f t="shared" si="38"/>
        <v>0.12788389437501124</v>
      </c>
      <c r="M49" s="59">
        <f t="shared" si="38"/>
        <v>2.8032039414207519E-3</v>
      </c>
      <c r="N49" s="59">
        <f t="shared" si="38"/>
        <v>5.5936974337795799E-2</v>
      </c>
      <c r="O49" s="59">
        <f t="shared" si="38"/>
        <v>7.7259184534062844E-2</v>
      </c>
      <c r="P49" s="59">
        <f t="shared" si="38"/>
        <v>0.151231382320344</v>
      </c>
      <c r="Q49" s="59">
        <f t="shared" si="38"/>
        <v>-1.0556787496854377E-2</v>
      </c>
      <c r="R49" s="59">
        <f t="shared" si="38"/>
        <v>-5.5661010392655134E-2</v>
      </c>
      <c r="S49" s="59">
        <f t="shared" si="38"/>
        <v>-2.7867281495215227E-2</v>
      </c>
      <c r="T49" s="59">
        <f t="shared" si="38"/>
        <v>1.658751985679625E-2</v>
      </c>
      <c r="U49" s="59">
        <f t="shared" si="38"/>
        <v>0.13159912660154605</v>
      </c>
      <c r="V49" s="59">
        <f t="shared" si="38"/>
        <v>6.1512932696016827E-2</v>
      </c>
      <c r="W49" s="59">
        <f t="shared" si="38"/>
        <v>3.5724512334441821E-2</v>
      </c>
      <c r="X49" s="59">
        <f t="shared" si="38"/>
        <v>0.205743520369251</v>
      </c>
      <c r="Y49" s="59">
        <f t="shared" si="38"/>
        <v>0.51454912272203801</v>
      </c>
      <c r="Z49" s="59">
        <f t="shared" si="38"/>
        <v>0.57818938717457036</v>
      </c>
      <c r="AA49" s="59">
        <f t="shared" si="38"/>
        <v>0.42247463945824348</v>
      </c>
      <c r="AB49" s="59">
        <f t="shared" si="38"/>
        <v>0.5715886189821211</v>
      </c>
      <c r="AC49" s="59">
        <f t="shared" si="38"/>
        <v>0.73216514808011457</v>
      </c>
      <c r="AD49" s="59">
        <f t="shared" si="38"/>
        <v>0.57119704315403041</v>
      </c>
      <c r="AE49" s="59">
        <f t="shared" si="38"/>
        <v>0.57770878847133988</v>
      </c>
      <c r="AF49" s="59">
        <f t="shared" si="38"/>
        <v>0.48119369935692075</v>
      </c>
      <c r="AG49" s="59">
        <f t="shared" si="38"/>
        <v>0.17276686909453412</v>
      </c>
      <c r="AH49" s="59">
        <f t="shared" si="38"/>
        <v>0.10837462548518394</v>
      </c>
      <c r="AI49" s="59">
        <f t="shared" si="38"/>
        <v>0.11803993304256966</v>
      </c>
      <c r="AJ49" s="59">
        <f t="shared" si="38"/>
        <v>5.1251290926536373E-2</v>
      </c>
      <c r="AK49" s="59">
        <f t="shared" si="38"/>
        <v>0.13800620170789854</v>
      </c>
      <c r="AL49" s="59">
        <f t="shared" si="38"/>
        <v>0.20446616017318855</v>
      </c>
      <c r="AM49" s="59">
        <f t="shared" si="38"/>
        <v>0.24528821347058141</v>
      </c>
      <c r="AN49" s="59">
        <f t="shared" si="38"/>
        <v>0.3945175492189909</v>
      </c>
      <c r="AO49" s="59">
        <f t="shared" si="38"/>
        <v>0.34884980324447923</v>
      </c>
      <c r="AP49" s="59">
        <f t="shared" si="38"/>
        <v>0.9794843752005451</v>
      </c>
      <c r="AQ49" s="59">
        <f t="shared" si="38"/>
        <v>1.6309568772352543</v>
      </c>
      <c r="AR49" s="59">
        <f t="shared" si="38"/>
        <v>0.63338485191107907</v>
      </c>
      <c r="AS49" s="59">
        <f t="shared" si="38"/>
        <v>0.88502018012571504</v>
      </c>
      <c r="AT49" s="59">
        <f t="shared" si="38"/>
        <v>0.67994913628825937</v>
      </c>
      <c r="AU49" s="59">
        <f t="shared" si="38"/>
        <v>0.40999076945294055</v>
      </c>
      <c r="AV49" s="59">
        <f t="shared" si="38"/>
        <v>0.19838304573243556</v>
      </c>
      <c r="AW49" s="59">
        <f t="shared" si="38"/>
        <v>0.3459258709613649</v>
      </c>
      <c r="AX49" s="59">
        <f t="shared" si="38"/>
        <v>0.35261704852793463</v>
      </c>
      <c r="AY49" s="59">
        <f t="shared" si="38"/>
        <v>0.26128064601885975</v>
      </c>
      <c r="AZ49" s="59">
        <f t="shared" si="38"/>
        <v>0.2202383306647685</v>
      </c>
      <c r="BA49" s="59">
        <f t="shared" si="38"/>
        <v>0.3686652067812588</v>
      </c>
      <c r="BB49" s="59">
        <f t="shared" si="38"/>
        <v>0.36542185000077554</v>
      </c>
      <c r="BC49" s="59">
        <f t="shared" si="38"/>
        <v>0.38076604454850349</v>
      </c>
      <c r="BD49" s="59">
        <f t="shared" si="38"/>
        <v>0.41502625016430322</v>
      </c>
      <c r="BE49" s="59">
        <f t="shared" si="38"/>
        <v>0.40704199139198266</v>
      </c>
      <c r="BF49" s="59">
        <f t="shared" si="38"/>
        <v>0.46423615151581676</v>
      </c>
      <c r="BG49" s="59">
        <f t="shared" si="38"/>
        <v>0.39616858486419093</v>
      </c>
      <c r="BH49" s="59">
        <f t="shared" si="38"/>
        <v>0.21244408783283825</v>
      </c>
      <c r="BI49" s="59">
        <f t="shared" si="38"/>
        <v>0.5596387151845531</v>
      </c>
      <c r="BJ49" s="59">
        <f t="shared" si="38"/>
        <v>0.15718982658740066</v>
      </c>
      <c r="BK49" s="59">
        <f t="shared" si="38"/>
        <v>6.1657515275572755E-2</v>
      </c>
      <c r="BL49" s="59">
        <f t="shared" si="38"/>
        <v>5.0551734926054116E-2</v>
      </c>
      <c r="BM49" s="59">
        <f t="shared" si="38"/>
        <v>0.14098248758834281</v>
      </c>
      <c r="BN49" s="59">
        <f t="shared" si="38"/>
        <v>0.38588533574111855</v>
      </c>
      <c r="BO49" s="59">
        <f t="shared" si="38"/>
        <v>-4.147213526513828E-2</v>
      </c>
      <c r="BP49" s="59">
        <f t="shared" si="38"/>
        <v>-1.0641408529811641E-2</v>
      </c>
      <c r="BQ49" s="59">
        <f t="shared" si="38"/>
        <v>1.3388512694818688</v>
      </c>
      <c r="BR49" s="59" t="e">
        <f t="shared" ref="BR49:CJ49" si="39">(BR47-BV47)/BV47</f>
        <v>#DIV/0!</v>
      </c>
      <c r="BS49" s="59">
        <f t="shared" si="39"/>
        <v>-1.8886457426599066</v>
      </c>
      <c r="BT49" s="59">
        <f t="shared" si="39"/>
        <v>-4.7733774885611489</v>
      </c>
      <c r="BU49" s="59">
        <f t="shared" si="39"/>
        <v>-1.6697306593527994</v>
      </c>
      <c r="BV49" s="59">
        <f t="shared" si="39"/>
        <v>-1</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18614975850.473602</v>
      </c>
      <c r="F50" s="26">
        <f>股权价值增加表!F47</f>
        <v>12365646898.669605</v>
      </c>
      <c r="G50" s="26">
        <f>股权价值增加表!G47</f>
        <v>4488034139.893198</v>
      </c>
      <c r="H50" s="26">
        <f>股权价值增加表!H47</f>
        <v>-622595127.81639957</v>
      </c>
      <c r="I50" s="26">
        <f>股权价值增加表!I47</f>
        <v>10689906103.712399</v>
      </c>
      <c r="J50" s="26">
        <f>股权价值增加表!J47</f>
        <v>6818336452.1744003</v>
      </c>
      <c r="K50" s="26">
        <f>股权价值增加表!K47</f>
        <v>3482963391.1396017</v>
      </c>
      <c r="L50" s="26">
        <f>股权价值增加表!L47</f>
        <v>-694485808.7996006</v>
      </c>
      <c r="M50" s="26">
        <f>股权价值增加表!M47</f>
        <v>10429161161.726795</v>
      </c>
      <c r="N50" s="26">
        <f>股权价值增加表!N47</f>
        <v>6624353400.4435997</v>
      </c>
      <c r="O50" s="26">
        <f>股权价值增加表!O47</f>
        <v>2878092033.8368006</v>
      </c>
      <c r="P50" s="26">
        <f>股权价值增加表!P47</f>
        <v>-378341246.42680073</v>
      </c>
      <c r="Q50" s="26">
        <f>股权价值增加表!Q47</f>
        <v>11259005475.030399</v>
      </c>
      <c r="R50" s="26">
        <f>股权价值增加表!R47</f>
        <v>6937231453.2392006</v>
      </c>
      <c r="S50" s="26">
        <f>股权价值增加表!S47</f>
        <v>3669431502.1123986</v>
      </c>
      <c r="T50" s="26">
        <f>股权价值增加表!T47</f>
        <v>39668249.139600277</v>
      </c>
      <c r="U50" s="26">
        <f>股权价值增加表!U47</f>
        <v>12320940628.3992</v>
      </c>
      <c r="V50" s="26">
        <f>股权价值增加表!V47</f>
        <v>8425177571.1748018</v>
      </c>
      <c r="W50" s="26">
        <f>股权价值增加表!W47</f>
        <v>4749148245.0583992</v>
      </c>
      <c r="X50" s="26">
        <f>股权价值增加表!X47</f>
        <v>685712598.55639839</v>
      </c>
      <c r="Y50" s="26">
        <f>股权价值增加表!Y47</f>
        <v>11171524600.32</v>
      </c>
      <c r="Z50" s="26">
        <f>股权价值增加表!Z47</f>
        <v>8378654536.1976013</v>
      </c>
      <c r="AA50" s="26">
        <f>股权价值增加表!AA47</f>
        <v>5076557519.859602</v>
      </c>
      <c r="AB50" s="26">
        <f>股权价值增加表!AB47</f>
        <v>847041158.5776</v>
      </c>
      <c r="AC50" s="26">
        <f>股权价值增加表!AC47</f>
        <v>7216586140.2368011</v>
      </c>
      <c r="AD50" s="26">
        <f>股权价值增加表!AD47</f>
        <v>5084012703.307601</v>
      </c>
      <c r="AE50" s="26">
        <f>股权价值增加表!AE47</f>
        <v>3442709721.5579996</v>
      </c>
      <c r="AF50" s="26">
        <f>股权价值增加表!AF47</f>
        <v>348036847.69920039</v>
      </c>
      <c r="AG50" s="26">
        <f>股权价值增加表!AG47</f>
        <v>3855526136.6203985</v>
      </c>
      <c r="AH50" s="26">
        <f>股权价值增加表!AH47</f>
        <v>2993362862.3548012</v>
      </c>
      <c r="AI50" s="26">
        <f>股权价值增加表!AI47</f>
        <v>1935585536.3723998</v>
      </c>
      <c r="AJ50" s="26">
        <f>股权价值增加表!AJ47</f>
        <v>64706942.448399305</v>
      </c>
      <c r="AK50" s="26">
        <f>股权价值增加表!AK47</f>
        <v>3380763712.4631991</v>
      </c>
      <c r="AL50" s="26">
        <f>股权价值增加表!AL47</f>
        <v>2842541239.7175999</v>
      </c>
      <c r="AM50" s="26">
        <f>股权价值增加表!AM47</f>
        <v>1875484146.7236009</v>
      </c>
      <c r="AN50" s="26">
        <f>股权价值增加表!AN47</f>
        <v>270199969.49679959</v>
      </c>
      <c r="AO50" s="26">
        <f>股权价值增加表!AO47</f>
        <v>3080485879.4340005</v>
      </c>
      <c r="AP50" s="26">
        <f>股权价值增加表!AP47</f>
        <v>2439638402.2927995</v>
      </c>
      <c r="AQ50" s="26">
        <f>股权价值增加表!AQ47</f>
        <v>1563568475.5124011</v>
      </c>
      <c r="AR50" s="26">
        <f>股权价值增加表!AR47</f>
        <v>174173443.3876003</v>
      </c>
      <c r="AS50" s="26">
        <f>股权价值增加表!AS47</f>
        <v>2296544047.3147993</v>
      </c>
      <c r="AT50" s="26">
        <f>股权价值增加表!AT47</f>
        <v>1112990010.2336001</v>
      </c>
      <c r="AU50" s="26">
        <f>股权价值增加表!AU47</f>
        <v>396395289.77080011</v>
      </c>
      <c r="AV50" s="26">
        <f>股权价值增加表!AV47</f>
        <v>90370562.612800121</v>
      </c>
      <c r="AW50" s="26">
        <f>股权价值增加表!AW47</f>
        <v>1093883520.1456001</v>
      </c>
      <c r="AX50" s="26">
        <f>股权价值增加表!AX47</f>
        <v>560411026.17120004</v>
      </c>
      <c r="AY50" s="26">
        <f>股权价值增加表!AY47</f>
        <v>229332047.01879984</v>
      </c>
      <c r="AZ50" s="26">
        <f>股权价值增加表!AZ47</f>
        <v>21434893.270800054</v>
      </c>
      <c r="BA50" s="26">
        <f>股权价值增加表!BA47</f>
        <v>756081554.22840047</v>
      </c>
      <c r="BB50" s="26">
        <f>股权价值增加表!BB47</f>
        <v>353346496.09760004</v>
      </c>
      <c r="BC50" s="26">
        <f>股权价值增加表!BC47</f>
        <v>127324641.39000005</v>
      </c>
      <c r="BD50" s="26">
        <f>股权价值增加表!BD47</f>
        <v>15888258.920799851</v>
      </c>
      <c r="BE50" s="26">
        <f>股权价值增加表!BE47</f>
        <v>516833673.30160034</v>
      </c>
      <c r="BF50" s="26">
        <f>股权价值增加表!BF47</f>
        <v>225954586.75960004</v>
      </c>
      <c r="BG50" s="26">
        <f>股权价值增加表!BG47</f>
        <v>58681091.745599985</v>
      </c>
      <c r="BH50" s="26">
        <f>股权价值增加表!BH47</f>
        <v>-26892768.313199937</v>
      </c>
      <c r="BI50" s="26">
        <f>股权价值增加表!BI47</f>
        <v>329426161.85559964</v>
      </c>
      <c r="BJ50" s="26">
        <f>股权价值增加表!BJ47</f>
        <v>108900643.19279984</v>
      </c>
      <c r="BK50" s="26">
        <f>股权价值增加表!BK47</f>
        <v>10769404.566800028</v>
      </c>
      <c r="BL50" s="26">
        <f>股权价值增加表!BL47</f>
        <v>-24249522.394800007</v>
      </c>
      <c r="BM50" s="26">
        <f>股权价值增加表!BM47</f>
        <v>159257637.51480016</v>
      </c>
      <c r="BN50" s="26">
        <f>股权价值增加表!BN47</f>
        <v>88887925.902400017</v>
      </c>
      <c r="BO50" s="26">
        <f>股权价值增加表!BO47</f>
        <v>22883478.717599899</v>
      </c>
      <c r="BP50" s="26">
        <f>股权价值增加表!BP47</f>
        <v>-7097217.4980000854</v>
      </c>
      <c r="BQ50" s="26">
        <f>股权价值增加表!BQ47</f>
        <v>138130856.80519965</v>
      </c>
      <c r="BR50" s="26">
        <f>股权价值增加表!BR47</f>
        <v>184180656.35080001</v>
      </c>
      <c r="BS50" s="26">
        <f>股权价值增加表!BS47</f>
        <v>220731910.8867999</v>
      </c>
      <c r="BT50" s="26">
        <f>股权价值增加表!BT47</f>
        <v>192482036.36159995</v>
      </c>
      <c r="BU50" s="26">
        <f>股权价值增加表!BU47</f>
        <v>127131201.37160002</v>
      </c>
      <c r="BV50" s="26">
        <f>股权价值增加表!BV47</f>
        <v>0</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683</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1">
        <f>E39</f>
        <v>36035160005.82</v>
      </c>
      <c r="F54" s="191">
        <f t="shared" ref="F54:AC54" si="41">F39</f>
        <v>26528244321.080006</v>
      </c>
      <c r="G54" s="191">
        <f t="shared" si="41"/>
        <v>14814703118.619999</v>
      </c>
      <c r="H54" s="191">
        <f t="shared" si="41"/>
        <v>8154445354.0300007</v>
      </c>
      <c r="I54" s="191">
        <f t="shared" si="41"/>
        <v>22827343994.099998</v>
      </c>
      <c r="J54" s="191">
        <f t="shared" si="41"/>
        <v>17227507745.170002</v>
      </c>
      <c r="K54" s="191">
        <f t="shared" si="41"/>
        <v>12247072521.300001</v>
      </c>
      <c r="L54" s="191">
        <f t="shared" si="41"/>
        <v>6972440389.5899992</v>
      </c>
      <c r="M54" s="191">
        <f t="shared" si="41"/>
        <v>21317607388.599995</v>
      </c>
      <c r="N54" s="191">
        <f t="shared" si="41"/>
        <v>15561168975.67</v>
      </c>
      <c r="O54" s="191">
        <f t="shared" si="41"/>
        <v>10736952028.18</v>
      </c>
      <c r="P54" s="191">
        <f t="shared" si="41"/>
        <v>5983293432.3800001</v>
      </c>
      <c r="Q54" s="191">
        <f t="shared" si="41"/>
        <v>21308024595.610001</v>
      </c>
      <c r="R54" s="191">
        <f t="shared" si="41"/>
        <v>14672272457.400002</v>
      </c>
      <c r="S54" s="191">
        <f t="shared" si="41"/>
        <v>9904117345.6399994</v>
      </c>
      <c r="T54" s="191">
        <f t="shared" si="41"/>
        <v>5171247404.3500004</v>
      </c>
      <c r="U54" s="191">
        <f t="shared" si="41"/>
        <v>21319163551.360001</v>
      </c>
      <c r="V54" s="191">
        <f t="shared" si="41"/>
        <v>15272192006.340002</v>
      </c>
      <c r="W54" s="191">
        <f t="shared" si="41"/>
        <v>9877177661.1199989</v>
      </c>
      <c r="X54" s="191">
        <f t="shared" si="41"/>
        <v>5003369013.6899986</v>
      </c>
      <c r="Y54" s="191">
        <f t="shared" si="41"/>
        <v>18700622691.380001</v>
      </c>
      <c r="Z54" s="191">
        <f t="shared" si="41"/>
        <v>14287791468.48</v>
      </c>
      <c r="AA54" s="191">
        <f t="shared" si="41"/>
        <v>9612975360.0600014</v>
      </c>
      <c r="AB54" s="191">
        <f t="shared" si="41"/>
        <v>4077610174.8699999</v>
      </c>
      <c r="AC54" s="191">
        <f t="shared" si="41"/>
        <v>12334660473.800001</v>
      </c>
    </row>
    <row r="55" spans="1:88" s="63" customFormat="1" x14ac:dyDescent="0.25">
      <c r="A55" s="63" t="s">
        <v>672</v>
      </c>
      <c r="E55" s="63">
        <f>E54/E2</f>
        <v>0.61897086551080815</v>
      </c>
      <c r="F55" s="63">
        <f t="shared" ref="F55:AC55" si="42">F54/F2</f>
        <v>0.62492231260053277</v>
      </c>
      <c r="G55" s="63">
        <f t="shared" si="42"/>
        <v>0.61243012036455935</v>
      </c>
      <c r="H55" s="63">
        <f t="shared" si="42"/>
        <v>0.61271819770816582</v>
      </c>
      <c r="I55" s="63">
        <f t="shared" si="42"/>
        <v>0.58739211551686454</v>
      </c>
      <c r="J55" s="63">
        <f t="shared" si="42"/>
        <v>0.64687529144358835</v>
      </c>
      <c r="K55" s="63">
        <f t="shared" si="42"/>
        <v>0.67390713548639614</v>
      </c>
      <c r="L55" s="63">
        <f t="shared" si="42"/>
        <v>0.69802906122032415</v>
      </c>
      <c r="M55" s="63">
        <f t="shared" si="42"/>
        <v>0.65272134415170757</v>
      </c>
      <c r="N55" s="63">
        <f t="shared" si="42"/>
        <v>0.67222679444009936</v>
      </c>
      <c r="O55" s="63">
        <f t="shared" si="42"/>
        <v>0.68047353560247315</v>
      </c>
      <c r="P55" s="63">
        <f t="shared" si="42"/>
        <v>0.70026942339769949</v>
      </c>
      <c r="Q55" s="63">
        <f t="shared" si="42"/>
        <v>0.67486136781268102</v>
      </c>
      <c r="R55" s="63">
        <f t="shared" si="42"/>
        <v>0.67557531358470191</v>
      </c>
      <c r="S55" s="63">
        <f t="shared" si="42"/>
        <v>0.69154966648227734</v>
      </c>
      <c r="T55" s="63">
        <f t="shared" si="42"/>
        <v>0.69414340381125672</v>
      </c>
      <c r="U55" s="63">
        <f t="shared" si="42"/>
        <v>0.68945412762596925</v>
      </c>
      <c r="V55" s="63">
        <f t="shared" si="42"/>
        <v>0.69622500872630766</v>
      </c>
      <c r="W55" s="63">
        <f t="shared" si="42"/>
        <v>0.69912730120617494</v>
      </c>
      <c r="X55" s="63">
        <f t="shared" si="42"/>
        <v>0.69823032913631489</v>
      </c>
      <c r="Y55" s="63">
        <f t="shared" si="42"/>
        <v>0.70687528935978883</v>
      </c>
      <c r="Z55" s="63">
        <f t="shared" si="42"/>
        <v>0.71684697501644024</v>
      </c>
      <c r="AA55" s="63">
        <f t="shared" si="42"/>
        <v>0.72471788692567307</v>
      </c>
      <c r="AB55" s="63">
        <f t="shared" si="42"/>
        <v>0.6777978789114929</v>
      </c>
      <c r="AC55" s="63">
        <f t="shared" si="42"/>
        <v>0.67027618665392275</v>
      </c>
    </row>
    <row r="56" spans="1:88" x14ac:dyDescent="0.25">
      <c r="A56" s="17" t="s">
        <v>673</v>
      </c>
      <c r="E56" s="191">
        <f>E23</f>
        <v>26253075158.090992</v>
      </c>
      <c r="F56" s="191">
        <f t="shared" ref="F56:AC56" si="43">F23</f>
        <v>19404450658.171982</v>
      </c>
      <c r="G56" s="191">
        <f t="shared" si="43"/>
        <v>10783278773.024376</v>
      </c>
      <c r="H56" s="191">
        <f t="shared" si="43"/>
        <v>5951814741.3700209</v>
      </c>
      <c r="I56" s="191">
        <f t="shared" si="43"/>
        <v>16736069551.711514</v>
      </c>
      <c r="J56" s="191">
        <f t="shared" si="43"/>
        <v>12517741132.533356</v>
      </c>
      <c r="K56" s="191">
        <f t="shared" si="43"/>
        <v>8860710403.007576</v>
      </c>
      <c r="L56" s="191">
        <f t="shared" si="43"/>
        <v>4976138897.8466206</v>
      </c>
      <c r="M56" s="191">
        <f t="shared" si="43"/>
        <v>15684483503.568249</v>
      </c>
      <c r="N56" s="191">
        <f t="shared" si="43"/>
        <v>11545123600.416145</v>
      </c>
      <c r="O56" s="191">
        <f t="shared" si="43"/>
        <v>7965069932.5876713</v>
      </c>
      <c r="P56" s="191">
        <f t="shared" si="43"/>
        <v>4418678345.373085</v>
      </c>
      <c r="Q56" s="191">
        <f t="shared" si="43"/>
        <v>15591399290.098244</v>
      </c>
      <c r="R56" s="191">
        <f t="shared" si="43"/>
        <v>10891196920.650229</v>
      </c>
      <c r="S56" s="191">
        <f t="shared" si="43"/>
        <v>7357086282.0197487</v>
      </c>
      <c r="T56" s="191">
        <f t="shared" si="43"/>
        <v>3818142823.4896383</v>
      </c>
      <c r="U56" s="191">
        <f t="shared" si="43"/>
        <v>15529997206.053368</v>
      </c>
      <c r="V56" s="191">
        <f t="shared" si="43"/>
        <v>11352927207.672548</v>
      </c>
      <c r="W56" s="191">
        <f t="shared" si="43"/>
        <v>7429540783.5980339</v>
      </c>
      <c r="X56" s="191">
        <f t="shared" si="43"/>
        <v>3688929473.5417194</v>
      </c>
      <c r="Y56" s="191">
        <f t="shared" si="43"/>
        <v>13690175202.495228</v>
      </c>
      <c r="Z56" s="191">
        <f t="shared" si="43"/>
        <v>10712573284.959608</v>
      </c>
      <c r="AA56" s="191">
        <f t="shared" si="43"/>
        <v>7206234643.9572573</v>
      </c>
      <c r="AB56" s="191">
        <f t="shared" si="43"/>
        <v>3056471567.4978819</v>
      </c>
      <c r="AC56" s="191">
        <f t="shared" si="43"/>
        <v>8984121599.690731</v>
      </c>
    </row>
    <row r="57" spans="1:88" s="63" customFormat="1" x14ac:dyDescent="0.25">
      <c r="A57" s="63" t="s">
        <v>674</v>
      </c>
      <c r="E57" s="63">
        <f>E56/E2</f>
        <v>0.45094537252781386</v>
      </c>
      <c r="F57" s="63">
        <f t="shared" ref="F57:AC57" si="44">F56/F2</f>
        <v>0.45710805559838441</v>
      </c>
      <c r="G57" s="63">
        <f t="shared" si="44"/>
        <v>0.44577367929753586</v>
      </c>
      <c r="H57" s="63">
        <f t="shared" si="44"/>
        <v>0.4472143773240026</v>
      </c>
      <c r="I57" s="63">
        <f t="shared" si="44"/>
        <v>0.4306517351277509</v>
      </c>
      <c r="J57" s="63">
        <f t="shared" si="44"/>
        <v>0.4700283734072413</v>
      </c>
      <c r="K57" s="63">
        <f t="shared" si="44"/>
        <v>0.48756925017632752</v>
      </c>
      <c r="L57" s="63">
        <f t="shared" si="44"/>
        <v>0.49817414983594677</v>
      </c>
      <c r="M57" s="63">
        <f t="shared" si="44"/>
        <v>0.48024137831945934</v>
      </c>
      <c r="N57" s="63">
        <f t="shared" si="44"/>
        <v>0.49873768747430047</v>
      </c>
      <c r="O57" s="63">
        <f t="shared" si="44"/>
        <v>0.50480055085685449</v>
      </c>
      <c r="P57" s="63">
        <f t="shared" si="44"/>
        <v>0.51715085881447265</v>
      </c>
      <c r="Q57" s="63">
        <f t="shared" si="44"/>
        <v>0.49380612472153673</v>
      </c>
      <c r="R57" s="63">
        <f t="shared" si="44"/>
        <v>0.50147813137630759</v>
      </c>
      <c r="S57" s="63">
        <f t="shared" si="44"/>
        <v>0.51370459244930566</v>
      </c>
      <c r="T57" s="63">
        <f t="shared" si="44"/>
        <v>0.51251437970366343</v>
      </c>
      <c r="U57" s="63">
        <f t="shared" si="44"/>
        <v>0.50223455765225022</v>
      </c>
      <c r="V57" s="63">
        <f t="shared" si="44"/>
        <v>0.51755450959165916</v>
      </c>
      <c r="W57" s="63">
        <f t="shared" si="44"/>
        <v>0.52587844174194198</v>
      </c>
      <c r="X57" s="63">
        <f t="shared" si="44"/>
        <v>0.51479761605112651</v>
      </c>
      <c r="Y57" s="63">
        <f t="shared" si="44"/>
        <v>0.51748258426232618</v>
      </c>
      <c r="Z57" s="63">
        <f t="shared" si="44"/>
        <v>0.53747115297044445</v>
      </c>
      <c r="AA57" s="63">
        <f t="shared" si="44"/>
        <v>0.54327478727945955</v>
      </c>
      <c r="AB57" s="63">
        <f t="shared" si="44"/>
        <v>0.50805983322557258</v>
      </c>
      <c r="AC57" s="63">
        <f t="shared" si="44"/>
        <v>0.48820498781193156</v>
      </c>
    </row>
    <row r="58" spans="1:88" ht="93" customHeight="1" x14ac:dyDescent="0.25">
      <c r="A58" s="278" t="s">
        <v>675</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3" customFormat="1" x14ac:dyDescent="0.25">
      <c r="A60" s="225" t="s">
        <v>677</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9" t="s">
        <v>678</v>
      </c>
      <c r="B61" s="89"/>
      <c r="C61" s="89"/>
      <c r="D61" s="89"/>
      <c r="E61" s="89">
        <f>股权价值增加表!E38</f>
        <v>36030194955.080002</v>
      </c>
      <c r="F61" s="89">
        <f>股权价值增加表!F38</f>
        <v>26567483111.830006</v>
      </c>
      <c r="G61" s="89">
        <f>股权价值增加表!G38</f>
        <v>14852185015.499998</v>
      </c>
      <c r="H61" s="89">
        <f>股权价值增加表!H38</f>
        <v>8183922826.3100004</v>
      </c>
      <c r="I61" s="89">
        <f>股权价值增加表!I38</f>
        <v>22789027379.32</v>
      </c>
      <c r="J61" s="89">
        <f>股权价值增加表!J38</f>
        <v>17228809769.170002</v>
      </c>
      <c r="K61" s="89">
        <f>股权价值增加表!K38</f>
        <v>12259298641.900002</v>
      </c>
      <c r="L61" s="89">
        <f>股权价值增加表!L38</f>
        <v>6975471793.0099993</v>
      </c>
      <c r="M61" s="89">
        <f>股权价值增加表!M38</f>
        <v>21274613131.549995</v>
      </c>
      <c r="N61" s="89">
        <f>股权价值增加表!N38</f>
        <v>15613301029.969999</v>
      </c>
      <c r="O61" s="89">
        <f>股权价值增加表!O38</f>
        <v>10755947628.290001</v>
      </c>
      <c r="P61" s="89">
        <f>股权价值增加表!P38</f>
        <v>5989766410.04</v>
      </c>
      <c r="Q61" s="89">
        <f>股权价值增加表!Q38</f>
        <v>21296900469.82</v>
      </c>
      <c r="R61" s="89">
        <f>股权价值增加表!R38</f>
        <v>14768044594.980001</v>
      </c>
      <c r="S61" s="89">
        <f>股权价值增加表!S38</f>
        <v>9958006581.3799992</v>
      </c>
      <c r="T61" s="89">
        <f>股权价值增加表!T38</f>
        <v>5195370624.6700001</v>
      </c>
      <c r="U61" s="89">
        <f>股权价值增加表!U38</f>
        <v>21318728555.18</v>
      </c>
      <c r="V61" s="89">
        <f>股权价值增加表!V38</f>
        <v>15616018837.020002</v>
      </c>
      <c r="W61" s="89">
        <f>股权价值增加表!W38</f>
        <v>10115968194.529999</v>
      </c>
      <c r="X61" s="89">
        <f>股权价值增加表!X38</f>
        <v>5117888228.2199984</v>
      </c>
      <c r="Y61" s="89">
        <f>股权价值增加表!Y38</f>
        <v>18699887279.09</v>
      </c>
      <c r="Z61" s="89">
        <f>股权价值增加表!Z38</f>
        <v>14585256656</v>
      </c>
      <c r="AA61" s="89">
        <f>股权价值增加表!AA38</f>
        <v>9800176180.670002</v>
      </c>
      <c r="AB61" s="89">
        <f>股权价值增加表!AB38</f>
        <v>4174928960.9499998</v>
      </c>
      <c r="AC61" s="89">
        <f>股权价值增加表!AC38</f>
        <v>12333193175.320002</v>
      </c>
    </row>
    <row r="62" spans="1:88" s="191" customFormat="1" x14ac:dyDescent="0.25">
      <c r="A62" s="89" t="s">
        <v>679</v>
      </c>
      <c r="B62" s="89"/>
      <c r="C62" s="89"/>
      <c r="D62" s="89"/>
      <c r="E62" s="89">
        <f>股权价值增加表!E40</f>
        <v>9733648906.6000004</v>
      </c>
      <c r="F62" s="89">
        <f>股权价值增加表!F40</f>
        <v>7131368591.2299995</v>
      </c>
      <c r="G62" s="89">
        <f>股权价值增加表!G40</f>
        <v>4039090821.9699998</v>
      </c>
      <c r="H62" s="89">
        <f>股权价值增加表!H40</f>
        <v>2210206968.8800001</v>
      </c>
      <c r="I62" s="89">
        <f>股权价值增加表!I40</f>
        <v>6027237847.2299995</v>
      </c>
      <c r="J62" s="89">
        <f>股权价值增加表!J40</f>
        <v>4707793040.1099997</v>
      </c>
      <c r="K62" s="89">
        <f>股权价值增加表!K40</f>
        <v>3388082316.0900002</v>
      </c>
      <c r="L62" s="89">
        <f>股权价值增加表!L40</f>
        <v>1994656882.6400001</v>
      </c>
      <c r="M62" s="89">
        <f>股权价值增加表!M40</f>
        <v>5546718336.1199999</v>
      </c>
      <c r="N62" s="89">
        <f>股权价值增加表!N40</f>
        <v>4035440224.8800001</v>
      </c>
      <c r="O62" s="89">
        <f>股权价值增加表!O40</f>
        <v>2784913019.29</v>
      </c>
      <c r="P62" s="89">
        <f>股权价值增加表!P40</f>
        <v>1573695806.3099999</v>
      </c>
      <c r="Q62" s="89">
        <f>股权价值增加表!Q40</f>
        <v>5612970927.5</v>
      </c>
      <c r="R62" s="89">
        <f>股权价值增加表!R40</f>
        <v>3803506856.02</v>
      </c>
      <c r="S62" s="89">
        <f>股权价值增加表!S40</f>
        <v>2558640928.77</v>
      </c>
      <c r="T62" s="89">
        <f>股权价值增加表!T40</f>
        <v>1359416643.96</v>
      </c>
      <c r="U62" s="89">
        <f>股权价值增加表!U40</f>
        <v>5467460544.9200001</v>
      </c>
      <c r="V62" s="89">
        <f>股权价值增加表!V40</f>
        <v>4005211849.6700001</v>
      </c>
      <c r="W62" s="89">
        <f>股权价值增加表!W40</f>
        <v>2504491374.79</v>
      </c>
      <c r="X62" s="89">
        <f>股权价值增加表!X40</f>
        <v>1344524985.23</v>
      </c>
      <c r="Y62" s="89">
        <f>股权价值增加表!Y40</f>
        <v>4692039766.9899998</v>
      </c>
      <c r="Z62" s="89">
        <f>股权价值增加表!Z40</f>
        <v>3647276882.3000002</v>
      </c>
      <c r="AA62" s="89">
        <f>股权价值增加表!AA40</f>
        <v>2451236642.1199999</v>
      </c>
      <c r="AB62" s="89">
        <f>股权价值增加表!AB40</f>
        <v>1045438170.21</v>
      </c>
      <c r="AC62" s="89">
        <f>股权价值增加表!AC40</f>
        <v>3084336666.1799998</v>
      </c>
    </row>
    <row r="63" spans="1:88" x14ac:dyDescent="0.25">
      <c r="A63" s="182" t="s">
        <v>680</v>
      </c>
      <c r="B63" s="64"/>
      <c r="C63" s="64"/>
      <c r="D63" s="64"/>
      <c r="E63" s="64">
        <f>股权价值增加表!E42</f>
        <v>26296546048.480003</v>
      </c>
      <c r="F63" s="64">
        <f>股权价值增加表!F42</f>
        <v>19436114520.600006</v>
      </c>
      <c r="G63" s="64">
        <f>股权价值增加表!G42</f>
        <v>10813094193.529999</v>
      </c>
      <c r="H63" s="64">
        <f>股权价值增加表!H42</f>
        <v>5973715857.4300003</v>
      </c>
      <c r="I63" s="64">
        <f>股权价值增加表!I42</f>
        <v>16761789532.09</v>
      </c>
      <c r="J63" s="64">
        <f>股权价值增加表!J42</f>
        <v>12521016729.060001</v>
      </c>
      <c r="K63" s="64">
        <f>股权价值增加表!K42</f>
        <v>8871216325.8100014</v>
      </c>
      <c r="L63" s="64">
        <f>股权价值增加表!L42</f>
        <v>4980814910.3699989</v>
      </c>
      <c r="M63" s="64">
        <f>股权价值增加表!M42</f>
        <v>15727894795.429996</v>
      </c>
      <c r="N63" s="64">
        <f>股权价值增加表!N42</f>
        <v>11577860805.09</v>
      </c>
      <c r="O63" s="64">
        <f>股权价值增加表!O42</f>
        <v>7971034609.000001</v>
      </c>
      <c r="P63" s="64">
        <f>股权价值增加表!P42</f>
        <v>4416070603.7299995</v>
      </c>
      <c r="Q63" s="64">
        <f>股权价值增加表!Q42</f>
        <v>15683929542.32</v>
      </c>
      <c r="R63" s="64">
        <f>股权价值增加表!R42</f>
        <v>10964537738.960001</v>
      </c>
      <c r="S63" s="64">
        <f>股权价值增加表!S42</f>
        <v>7399365652.6099987</v>
      </c>
      <c r="T63" s="64">
        <f>股权价值增加表!T42</f>
        <v>3835953980.71</v>
      </c>
      <c r="U63" s="64">
        <f>股权价值增加表!U42</f>
        <v>15851268010.26</v>
      </c>
      <c r="V63" s="64">
        <f>股权价值增加表!V42</f>
        <v>11610806987.350002</v>
      </c>
      <c r="W63" s="64">
        <f>股权价值增加表!W42</f>
        <v>7611476819.7399988</v>
      </c>
      <c r="X63" s="64">
        <f>股权价值增加表!X42</f>
        <v>3773363242.9899983</v>
      </c>
      <c r="Y63" s="64">
        <f>股权价值增加表!Y42</f>
        <v>14007847512.1</v>
      </c>
      <c r="Z63" s="64">
        <f>股权价值增加表!Z42</f>
        <v>10937979773.700001</v>
      </c>
      <c r="AA63" s="64">
        <f>股权价值增加表!AA42</f>
        <v>7348939538.5500021</v>
      </c>
      <c r="AB63" s="64">
        <f>股权价值增加表!AB42</f>
        <v>3129490790.7399998</v>
      </c>
      <c r="AC63" s="64">
        <f>股权价值增加表!AC42</f>
        <v>9248856509.1400013</v>
      </c>
    </row>
    <row r="64" spans="1:88" s="63" customFormat="1" x14ac:dyDescent="0.25">
      <c r="A64" s="212" t="s">
        <v>681</v>
      </c>
      <c r="B64" s="212"/>
      <c r="C64" s="212"/>
      <c r="D64" s="212"/>
      <c r="E64" s="212">
        <f>1-E63/E61</f>
        <v>0.27015254618342344</v>
      </c>
      <c r="F64" s="212">
        <f t="shared" ref="F64:AC64" si="46">1-F63/F61</f>
        <v>0.26842469650632939</v>
      </c>
      <c r="G64" s="212">
        <f t="shared" si="46"/>
        <v>0.27195263308090589</v>
      </c>
      <c r="H64" s="212">
        <f t="shared" si="46"/>
        <v>0.27006693682087746</v>
      </c>
      <c r="I64" s="212">
        <f t="shared" si="46"/>
        <v>0.26447981947221855</v>
      </c>
      <c r="J64" s="212">
        <f t="shared" si="46"/>
        <v>0.27325120557859628</v>
      </c>
      <c r="K64" s="212">
        <f t="shared" si="46"/>
        <v>0.27636836454168479</v>
      </c>
      <c r="L64" s="212">
        <f t="shared" si="46"/>
        <v>0.28595297089994853</v>
      </c>
      <c r="M64" s="212">
        <f t="shared" si="46"/>
        <v>0.26072005642698537</v>
      </c>
      <c r="N64" s="212">
        <f t="shared" si="46"/>
        <v>0.25846169347109249</v>
      </c>
      <c r="O64" s="212">
        <f t="shared" si="46"/>
        <v>0.25891842499913231</v>
      </c>
      <c r="P64" s="212">
        <f t="shared" si="46"/>
        <v>0.26273074750831416</v>
      </c>
      <c r="Q64" s="212">
        <f t="shared" si="46"/>
        <v>0.26355811426428855</v>
      </c>
      <c r="R64" s="212">
        <f t="shared" si="46"/>
        <v>0.25754979486674223</v>
      </c>
      <c r="S64" s="212">
        <f t="shared" si="46"/>
        <v>0.2569430847288533</v>
      </c>
      <c r="T64" s="212">
        <f t="shared" si="46"/>
        <v>0.26165922359896077</v>
      </c>
      <c r="U64" s="212">
        <f t="shared" si="46"/>
        <v>0.25646278720461135</v>
      </c>
      <c r="V64" s="212">
        <f t="shared" si="46"/>
        <v>0.25648098221904503</v>
      </c>
      <c r="W64" s="212">
        <f t="shared" si="46"/>
        <v>0.24757801988189843</v>
      </c>
      <c r="X64" s="212">
        <f t="shared" si="46"/>
        <v>0.26271089271084491</v>
      </c>
      <c r="Y64" s="212">
        <f t="shared" si="46"/>
        <v>0.25091272995193858</v>
      </c>
      <c r="Z64" s="212">
        <f t="shared" si="46"/>
        <v>0.25006600626390785</v>
      </c>
      <c r="AA64" s="212">
        <f t="shared" si="46"/>
        <v>0.25012169137886031</v>
      </c>
      <c r="AB64" s="212">
        <f t="shared" si="46"/>
        <v>0.25040861293412564</v>
      </c>
      <c r="AC64" s="212">
        <f t="shared" si="46"/>
        <v>0.25008419330948917</v>
      </c>
    </row>
    <row r="65" spans="1:29" ht="42.6" customHeight="1" x14ac:dyDescent="0.25">
      <c r="A65" s="280" t="s">
        <v>682</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734</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5" t="s">
        <v>702</v>
      </c>
      <c r="B69" s="285"/>
      <c r="C69" s="285"/>
      <c r="D69" s="285"/>
      <c r="E69" s="285"/>
      <c r="F69" s="255"/>
      <c r="G69" s="255"/>
      <c r="H69" s="255"/>
      <c r="I69" s="255" t="s">
        <v>706</v>
      </c>
      <c r="J69" s="255"/>
      <c r="K69" s="255"/>
      <c r="L69" s="255"/>
      <c r="M69" s="255" t="s">
        <v>707</v>
      </c>
    </row>
    <row r="70" spans="1:29" ht="57.6" x14ac:dyDescent="0.25">
      <c r="A70" s="286" t="s">
        <v>703</v>
      </c>
      <c r="B70" s="65"/>
      <c r="C70" s="65"/>
      <c r="D70" s="65"/>
      <c r="E70" s="65" t="s">
        <v>704</v>
      </c>
      <c r="F70" s="65"/>
      <c r="G70" s="65"/>
      <c r="H70" s="65"/>
      <c r="I70" s="256" t="s">
        <v>708</v>
      </c>
      <c r="J70" s="257"/>
      <c r="K70" s="257"/>
      <c r="L70" s="257"/>
      <c r="M70" s="256" t="s">
        <v>709</v>
      </c>
    </row>
    <row r="71" spans="1:29" ht="54.6" customHeight="1" x14ac:dyDescent="0.25">
      <c r="A71" s="286"/>
      <c r="B71" s="65"/>
      <c r="C71" s="65"/>
      <c r="D71" s="65"/>
      <c r="E71" s="65" t="s">
        <v>705</v>
      </c>
      <c r="F71" s="65"/>
      <c r="G71" s="65"/>
      <c r="H71" s="65"/>
      <c r="I71" s="256" t="s">
        <v>710</v>
      </c>
      <c r="J71" s="257"/>
      <c r="K71" s="257"/>
      <c r="L71" s="257"/>
      <c r="M71" s="256" t="s">
        <v>711</v>
      </c>
    </row>
    <row r="72" spans="1:29" ht="57.6" x14ac:dyDescent="0.25">
      <c r="A72" s="286" t="s">
        <v>719</v>
      </c>
      <c r="B72" s="65"/>
      <c r="C72" s="65"/>
      <c r="D72" s="65"/>
      <c r="E72" s="65" t="s">
        <v>712</v>
      </c>
      <c r="F72" s="65"/>
      <c r="G72" s="65"/>
      <c r="H72" s="65"/>
      <c r="I72" s="256" t="s">
        <v>720</v>
      </c>
      <c r="J72" s="257"/>
      <c r="K72" s="257"/>
      <c r="L72" s="257"/>
      <c r="M72" s="256" t="s">
        <v>721</v>
      </c>
    </row>
    <row r="73" spans="1:29" ht="43.2" x14ac:dyDescent="0.25">
      <c r="A73" s="286"/>
      <c r="B73" s="65"/>
      <c r="C73" s="65"/>
      <c r="D73" s="65"/>
      <c r="E73" s="65" t="s">
        <v>713</v>
      </c>
      <c r="F73" s="65"/>
      <c r="G73" s="65"/>
      <c r="H73" s="65"/>
      <c r="I73" s="256" t="s">
        <v>722</v>
      </c>
      <c r="J73" s="257"/>
      <c r="K73" s="257"/>
      <c r="L73" s="257"/>
      <c r="M73" s="256" t="s">
        <v>723</v>
      </c>
    </row>
    <row r="74" spans="1:29" ht="72" x14ac:dyDescent="0.25">
      <c r="A74" s="286"/>
      <c r="B74" s="65"/>
      <c r="C74" s="65"/>
      <c r="D74" s="65"/>
      <c r="E74" s="65" t="s">
        <v>714</v>
      </c>
      <c r="F74" s="65"/>
      <c r="G74" s="65"/>
      <c r="H74" s="65"/>
      <c r="I74" s="256" t="s">
        <v>724</v>
      </c>
      <c r="J74" s="257"/>
      <c r="K74" s="257"/>
      <c r="L74" s="257"/>
      <c r="M74" s="256" t="s">
        <v>725</v>
      </c>
    </row>
    <row r="75" spans="1:29" ht="72" x14ac:dyDescent="0.25">
      <c r="A75" s="286"/>
      <c r="B75" s="65"/>
      <c r="C75" s="65"/>
      <c r="D75" s="65"/>
      <c r="E75" s="65" t="s">
        <v>715</v>
      </c>
      <c r="F75" s="65"/>
      <c r="G75" s="65"/>
      <c r="H75" s="65"/>
      <c r="I75" s="256" t="s">
        <v>726</v>
      </c>
      <c r="J75" s="257"/>
      <c r="K75" s="257"/>
      <c r="L75" s="257"/>
      <c r="M75" s="256" t="s">
        <v>727</v>
      </c>
    </row>
    <row r="76" spans="1:29" x14ac:dyDescent="0.25">
      <c r="A76" s="286"/>
      <c r="B76" s="65"/>
      <c r="C76" s="65"/>
      <c r="D76" s="65"/>
      <c r="E76" s="65" t="s">
        <v>716</v>
      </c>
      <c r="F76" s="65"/>
      <c r="G76" s="65"/>
      <c r="H76" s="65"/>
      <c r="I76" s="256" t="s">
        <v>728</v>
      </c>
      <c r="J76" s="257"/>
      <c r="K76" s="257"/>
      <c r="L76" s="257"/>
      <c r="M76" s="256" t="s">
        <v>729</v>
      </c>
    </row>
    <row r="77" spans="1:29" ht="57.6" x14ac:dyDescent="0.25">
      <c r="A77" s="286"/>
      <c r="B77" s="65"/>
      <c r="C77" s="65"/>
      <c r="D77" s="65"/>
      <c r="E77" s="65" t="s">
        <v>717</v>
      </c>
      <c r="F77" s="65"/>
      <c r="G77" s="65"/>
      <c r="H77" s="65"/>
      <c r="I77" s="256" t="s">
        <v>730</v>
      </c>
      <c r="J77" s="257"/>
      <c r="K77" s="257"/>
      <c r="L77" s="257"/>
      <c r="M77" s="256" t="s">
        <v>731</v>
      </c>
    </row>
    <row r="78" spans="1:29" ht="57.6" x14ac:dyDescent="0.25">
      <c r="A78" s="286"/>
      <c r="B78" s="65"/>
      <c r="C78" s="65"/>
      <c r="D78" s="65"/>
      <c r="E78" s="65" t="s">
        <v>718</v>
      </c>
      <c r="F78" s="65"/>
      <c r="G78" s="65"/>
      <c r="H78" s="65"/>
      <c r="I78" s="256" t="s">
        <v>732</v>
      </c>
      <c r="J78" s="257"/>
      <c r="K78" s="257"/>
      <c r="L78" s="257"/>
      <c r="M78" s="256" t="s">
        <v>733</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51" workbookViewId="0">
      <selection activeCell="A68" sqref="A68:XFD68"/>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4" width="20.44140625" hidden="1" customWidth="1"/>
    <col min="55"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8.33203125" hidden="1" customWidth="1"/>
    <col min="71" max="71" width="19.33203125" bestFit="1" customWidth="1"/>
    <col min="72" max="73" width="18.33203125" bestFit="1" customWidth="1"/>
    <col min="74" max="74" width="9.5546875" hidden="1" customWidth="1"/>
    <col min="75"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25569</v>
      </c>
      <c r="BW1" s="1"/>
      <c r="BX1" s="1"/>
      <c r="BY1" s="1"/>
      <c r="BZ1" s="1"/>
      <c r="CA1" s="1"/>
      <c r="CB1" s="1"/>
      <c r="CC1" s="1"/>
      <c r="CD1" s="1"/>
      <c r="CE1" s="1"/>
      <c r="CF1" s="1"/>
      <c r="CG1" s="1"/>
      <c r="CH1" s="1"/>
      <c r="CI1" s="1"/>
      <c r="CJ1" s="1"/>
      <c r="CK1" s="1"/>
    </row>
    <row r="2" spans="1:89" s="26" customFormat="1" x14ac:dyDescent="0.25">
      <c r="A2" s="17" t="s">
        <v>424</v>
      </c>
      <c r="E2" s="26">
        <f>股权价值增加表!E42</f>
        <v>26296546048.480003</v>
      </c>
      <c r="F2" s="26">
        <f>股权价值增加表!F42</f>
        <v>19436114520.600006</v>
      </c>
      <c r="G2" s="26">
        <f>股权价值增加表!G42</f>
        <v>10813094193.529999</v>
      </c>
      <c r="H2" s="26">
        <f>股权价值增加表!H42</f>
        <v>5973715857.4300003</v>
      </c>
      <c r="I2" s="26">
        <f>股权价值增加表!I42</f>
        <v>16761789532.09</v>
      </c>
      <c r="J2" s="26">
        <f>股权价值增加表!J42</f>
        <v>12521016729.060001</v>
      </c>
      <c r="K2" s="26">
        <f>股权价值增加表!K42</f>
        <v>8871216325.8100014</v>
      </c>
      <c r="L2" s="26">
        <f>股权价值增加表!L42</f>
        <v>4980814910.3699989</v>
      </c>
      <c r="M2" s="26">
        <f>股权价值增加表!M42</f>
        <v>15727894795.429996</v>
      </c>
      <c r="N2" s="26">
        <f>股权价值增加表!N42</f>
        <v>11577860805.09</v>
      </c>
      <c r="O2" s="26">
        <f>股权价值增加表!O42</f>
        <v>7971034609.000001</v>
      </c>
      <c r="P2" s="26">
        <f>股权价值增加表!P42</f>
        <v>4416070603.7299995</v>
      </c>
      <c r="Q2" s="26">
        <f>股权价值增加表!Q42</f>
        <v>15683929542.32</v>
      </c>
      <c r="R2" s="26">
        <f>股权价值增加表!R42</f>
        <v>10964537738.960001</v>
      </c>
      <c r="S2" s="26">
        <f>股权价值增加表!S42</f>
        <v>7399365652.6099987</v>
      </c>
      <c r="T2" s="26">
        <f>股权价值增加表!T42</f>
        <v>3835953980.71</v>
      </c>
      <c r="U2" s="26">
        <f>股权价值增加表!U42</f>
        <v>15851268010.26</v>
      </c>
      <c r="V2" s="26">
        <f>股权价值增加表!V42</f>
        <v>11610806987.350002</v>
      </c>
      <c r="W2" s="26">
        <f>股权价值增加表!W42</f>
        <v>7611476819.7399988</v>
      </c>
      <c r="X2" s="26">
        <f>股权价值增加表!X42</f>
        <v>3773363242.9899983</v>
      </c>
      <c r="Y2" s="26">
        <f>股权价值增加表!Y42</f>
        <v>14007847512.1</v>
      </c>
      <c r="Z2" s="26">
        <f>股权价值增加表!Z42</f>
        <v>10937979773.700001</v>
      </c>
      <c r="AA2" s="26">
        <f>股权价值增加表!AA42</f>
        <v>7348939538.5500021</v>
      </c>
      <c r="AB2" s="26">
        <f>股权价值增加表!AB42</f>
        <v>3129490790.7399998</v>
      </c>
      <c r="AC2" s="26">
        <f>股权价值增加表!AC42</f>
        <v>9248856509.1400013</v>
      </c>
      <c r="AD2" s="26">
        <f>股权价值增加表!AD42</f>
        <v>6930714312.6100006</v>
      </c>
      <c r="AE2" s="26">
        <f>股权价值增加表!AE42</f>
        <v>5166306192.5299997</v>
      </c>
      <c r="AF2" s="26">
        <f>股权价值增加表!AF42</f>
        <v>1991291329.6400003</v>
      </c>
      <c r="AG2" s="26">
        <f>股权价值增加表!AG42</f>
        <v>5339477312.1899986</v>
      </c>
      <c r="AH2" s="26">
        <f>股权价值增加表!AH42</f>
        <v>4411104477.8300009</v>
      </c>
      <c r="AI2" s="26">
        <f>股权价值增加表!AI42</f>
        <v>3274562600.0699997</v>
      </c>
      <c r="AJ2" s="26">
        <f>股权价值增加表!AJ42</f>
        <v>1344382797.8099995</v>
      </c>
      <c r="AK2" s="26">
        <f>股权价值增加表!AK42</f>
        <v>4552888943.999999</v>
      </c>
      <c r="AL2" s="26">
        <f>股权价值增加表!AL42</f>
        <v>3979795618.1999998</v>
      </c>
      <c r="AM2" s="26">
        <f>股权价值增加表!AM42</f>
        <v>2928842256.250001</v>
      </c>
      <c r="AN2" s="26">
        <f>股权价值增加表!AN42</f>
        <v>1278840567.8199997</v>
      </c>
      <c r="AO2" s="26">
        <f>股权价值增加表!AO42</f>
        <v>4000759343.1100006</v>
      </c>
      <c r="AP2" s="26">
        <f>股权价值增加表!AP42</f>
        <v>3304198780.9999995</v>
      </c>
      <c r="AQ2" s="26">
        <f>股权价值增加表!AQ42</f>
        <v>2351939273.6300011</v>
      </c>
      <c r="AR2" s="26">
        <f>股权价值增加表!AR42</f>
        <v>917048744.59000039</v>
      </c>
      <c r="AS2" s="26">
        <f>股权价值增加表!AS42</f>
        <v>2966052508.9499993</v>
      </c>
      <c r="AT2" s="26">
        <f>股权价值增加表!AT42</f>
        <v>1669221956.1800003</v>
      </c>
      <c r="AU2" s="26">
        <f>股权价值增加表!AU42</f>
        <v>893948241.41000009</v>
      </c>
      <c r="AV2" s="26">
        <f>股权价值增加表!AV42</f>
        <v>561440706.10000014</v>
      </c>
      <c r="AW2" s="26">
        <f>股权价值增加表!AW42</f>
        <v>1573485812.1000001</v>
      </c>
      <c r="AX2" s="26">
        <f>股权价值增加表!AX42</f>
        <v>993614580.42000008</v>
      </c>
      <c r="AY2" s="26">
        <f>股权价值增加表!AY42</f>
        <v>634009995.50999987</v>
      </c>
      <c r="AZ2" s="26">
        <f>股权价值增加表!AZ42</f>
        <v>468498539.01000005</v>
      </c>
      <c r="BA2" s="26">
        <f>股权价值增加表!BA42</f>
        <v>1169073160.7500005</v>
      </c>
      <c r="BB2" s="26">
        <f>股权价值增加表!BB42</f>
        <v>734586763.86000001</v>
      </c>
      <c r="BC2" s="26">
        <f>股权价值增加表!BC42</f>
        <v>502671627.85000002</v>
      </c>
      <c r="BD2" s="26">
        <f>股权价值增加表!BD42</f>
        <v>383940192.03999984</v>
      </c>
      <c r="BE2" s="26">
        <f>股权价值增加表!BE42</f>
        <v>854170293.04000032</v>
      </c>
      <c r="BF2" s="26">
        <f>股权价值增加表!BF42</f>
        <v>537992536.05000007</v>
      </c>
      <c r="BG2" s="26">
        <f>股权价值增加表!BG42</f>
        <v>364052715.39999998</v>
      </c>
      <c r="BH2" s="26">
        <f>股权价值增加表!BH42</f>
        <v>271330791.21000004</v>
      </c>
      <c r="BI2" s="26">
        <f>股权价值增加表!BI42</f>
        <v>607068089.12999964</v>
      </c>
      <c r="BJ2" s="26">
        <f>股权价值增加表!BJ42</f>
        <v>367421973.21999985</v>
      </c>
      <c r="BK2" s="26">
        <f>股权价值增加表!BK42</f>
        <v>260751258.37000003</v>
      </c>
      <c r="BL2" s="26">
        <f>股权价值增加表!BL42</f>
        <v>223788291.70999998</v>
      </c>
      <c r="BM2" s="26">
        <f>股权价值增加表!BM42</f>
        <v>389236355.33000016</v>
      </c>
      <c r="BN2" s="26">
        <f>股权价值增加表!BN42</f>
        <v>317512273.94</v>
      </c>
      <c r="BO2" s="26">
        <f>股权价值增加表!BO42</f>
        <v>245607697.97999993</v>
      </c>
      <c r="BP2" s="26">
        <f>股权价值增加表!BP42</f>
        <v>213019772.62999991</v>
      </c>
      <c r="BQ2" s="26">
        <f>股权价值增加表!BQ42</f>
        <v>341141393.10999966</v>
      </c>
      <c r="BR2" s="26">
        <f>股权价值增加表!BR42</f>
        <v>229104288.61000001</v>
      </c>
      <c r="BS2" s="26">
        <f>股权价值增加表!BS42</f>
        <v>256234280.7299999</v>
      </c>
      <c r="BT2" s="26">
        <f>股权价值增加表!BT42</f>
        <v>215310984.77999994</v>
      </c>
      <c r="BU2" s="26">
        <f>股权价值增加表!BU42</f>
        <v>145858523.61000001</v>
      </c>
      <c r="BV2" s="26">
        <f>股权价值增加表!BV42</f>
        <v>0</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96019627475.080002</v>
      </c>
      <c r="F3" s="26">
        <f>资产资本表!F107</f>
        <v>88380845274.130005</v>
      </c>
      <c r="G3" s="26">
        <f>资产资本表!G107</f>
        <v>79063250670.459991</v>
      </c>
      <c r="H3" s="26">
        <f>资产资本表!H107</f>
        <v>82453887315.580002</v>
      </c>
      <c r="I3" s="26">
        <f>资产资本表!I107</f>
        <v>75898542854.720001</v>
      </c>
      <c r="J3" s="26">
        <f>资产资本表!J107</f>
        <v>71283503461.069992</v>
      </c>
      <c r="K3" s="26">
        <f>资产资本表!K107</f>
        <v>67353161683.379997</v>
      </c>
      <c r="L3" s="26">
        <f>资产资本表!L107</f>
        <v>70941258989.619995</v>
      </c>
      <c r="M3" s="26">
        <f>资产资本表!M107</f>
        <v>66234170421.290001</v>
      </c>
      <c r="N3" s="26">
        <f>资产资本表!N107</f>
        <v>61918842558.079994</v>
      </c>
      <c r="O3" s="26">
        <f>资产资本表!O107</f>
        <v>63661782189.540001</v>
      </c>
      <c r="P3" s="26">
        <f>资产资本表!P107</f>
        <v>59930148126.959999</v>
      </c>
      <c r="Q3" s="26">
        <f>资产资本表!Q107</f>
        <v>55311550841.119995</v>
      </c>
      <c r="R3" s="26">
        <f>资产资本表!R107</f>
        <v>50341328571.509995</v>
      </c>
      <c r="S3" s="26">
        <f>资产资本表!S107</f>
        <v>46624176881.220001</v>
      </c>
      <c r="T3" s="26">
        <f>资产资本表!T107</f>
        <v>47453571644.629997</v>
      </c>
      <c r="U3" s="26">
        <f>资产资本表!U107</f>
        <v>44129092273.259995</v>
      </c>
      <c r="V3" s="26">
        <f>资产资本表!V107</f>
        <v>39820367702.190002</v>
      </c>
      <c r="W3" s="26">
        <f>资产资本表!W107</f>
        <v>35779107183.520004</v>
      </c>
      <c r="X3" s="26">
        <f>资产资本表!X107</f>
        <v>38595633055.419998</v>
      </c>
      <c r="Y3" s="26">
        <f>资产资本表!Y107</f>
        <v>35454036397.25</v>
      </c>
      <c r="Z3" s="26">
        <f>资产资本表!Z107</f>
        <v>31991565468.779999</v>
      </c>
      <c r="AA3" s="26">
        <f>资产资本表!AA107</f>
        <v>28404775233.629997</v>
      </c>
      <c r="AB3" s="26">
        <f>资产资本表!AB107</f>
        <v>28530620402.029999</v>
      </c>
      <c r="AC3" s="26">
        <f>资产资本表!AC107</f>
        <v>25403379611.289997</v>
      </c>
      <c r="AD3" s="26">
        <f>资产资本表!AD107</f>
        <v>23083770116.279999</v>
      </c>
      <c r="AE3" s="26">
        <f>资产资本表!AE107</f>
        <v>21544955887.150002</v>
      </c>
      <c r="AF3" s="26">
        <f>资产资本表!AF107</f>
        <v>20540681024.259998</v>
      </c>
      <c r="AG3" s="26">
        <f>资产资本表!AG107</f>
        <v>18549389694.619999</v>
      </c>
      <c r="AH3" s="26">
        <f>资产资本表!AH107</f>
        <v>17721770193.439999</v>
      </c>
      <c r="AI3" s="26">
        <f>资产资本表!AI107</f>
        <v>16737213296.220001</v>
      </c>
      <c r="AJ3" s="26">
        <f>资产资本表!AJ107</f>
        <v>15995948192.019999</v>
      </c>
      <c r="AK3" s="26">
        <f>资产资本表!AK107</f>
        <v>14651565394.209999</v>
      </c>
      <c r="AL3" s="26">
        <f>资产资本表!AL107</f>
        <v>14215679731.030001</v>
      </c>
      <c r="AM3" s="26">
        <f>资产资本表!AM107</f>
        <v>13166976369.08</v>
      </c>
      <c r="AN3" s="26">
        <f>资产资本表!AN107</f>
        <v>12608007479.039999</v>
      </c>
      <c r="AO3" s="26">
        <f>资产资本表!AO107</f>
        <v>11503418295.949999</v>
      </c>
      <c r="AP3" s="26">
        <f>资产资本表!AP107</f>
        <v>10807004733.84</v>
      </c>
      <c r="AQ3" s="26">
        <f>资产资本表!AQ107</f>
        <v>9854634976.4699993</v>
      </c>
      <c r="AR3" s="26">
        <f>资产资本表!AR107</f>
        <v>9285941265.0299988</v>
      </c>
      <c r="AS3" s="26">
        <f>资产资本表!AS107</f>
        <v>8368855770.4400005</v>
      </c>
      <c r="AT3" s="26">
        <f>资产资本表!AT107</f>
        <v>6952899324.3299999</v>
      </c>
      <c r="AU3" s="26">
        <f>资产资本表!AU107</f>
        <v>6219411895.4899998</v>
      </c>
      <c r="AV3" s="26">
        <f>资产资本表!AV107</f>
        <v>5888376793.5900002</v>
      </c>
      <c r="AW3" s="26">
        <f>资产资本表!AW107</f>
        <v>5995028649.4300003</v>
      </c>
      <c r="AX3" s="26">
        <f>资产资本表!AX107</f>
        <v>5415044428.1099997</v>
      </c>
      <c r="AY3" s="26">
        <f>资产资本表!AY107</f>
        <v>5058474356.1400003</v>
      </c>
      <c r="AZ3" s="26">
        <f>资产资本表!AZ107</f>
        <v>5588295571.7399998</v>
      </c>
      <c r="BA3" s="26">
        <f>资产资本表!BA107</f>
        <v>5162395081.5200005</v>
      </c>
      <c r="BB3" s="26">
        <f>资产资本表!BB107</f>
        <v>4765503347.0299997</v>
      </c>
      <c r="BC3" s="26">
        <f>资产资本表!BC107</f>
        <v>4691837330.75</v>
      </c>
      <c r="BD3" s="26">
        <f>资产资本表!BD107</f>
        <v>4600649163.9900007</v>
      </c>
      <c r="BE3" s="26">
        <f>资产资本表!BE107</f>
        <v>4216707746.73</v>
      </c>
      <c r="BF3" s="26">
        <f>资产资本表!BF107</f>
        <v>3900474366.1300001</v>
      </c>
      <c r="BG3" s="26">
        <f>资产资本表!BG107</f>
        <v>3817145295.6799998</v>
      </c>
      <c r="BH3" s="26">
        <f>资产资本表!BH107</f>
        <v>3727794494.04</v>
      </c>
      <c r="BI3" s="26">
        <f>资产资本表!BI107</f>
        <v>3470524090.9299998</v>
      </c>
      <c r="BJ3" s="26">
        <f>资产资本表!BJ107</f>
        <v>3231516625.3400002</v>
      </c>
      <c r="BK3" s="26">
        <f>资产资本表!BK107</f>
        <v>3124773172.54</v>
      </c>
      <c r="BL3" s="26">
        <f>资产资本表!BL107</f>
        <v>3100472676.3099999</v>
      </c>
      <c r="BM3" s="26">
        <f>资产资本表!BM107</f>
        <v>2874733972.6900001</v>
      </c>
      <c r="BN3" s="26">
        <f>资产资本表!BN107</f>
        <v>2857804350.4700003</v>
      </c>
      <c r="BO3" s="26">
        <f>资产资本表!BO107</f>
        <v>2784052740.7799997</v>
      </c>
      <c r="BP3" s="26">
        <f>资产资本表!BP107</f>
        <v>2751462376.5999999</v>
      </c>
      <c r="BQ3" s="26">
        <f>资产资本表!BQ107</f>
        <v>2537631703.8100004</v>
      </c>
      <c r="BR3" s="26">
        <f>资产资本表!BR107</f>
        <v>561545403.24000001</v>
      </c>
      <c r="BS3" s="26">
        <f>资产资本表!BS107</f>
        <v>443779623.04000002</v>
      </c>
      <c r="BT3" s="26">
        <f>资产资本表!BT107</f>
        <v>285361855.23000002</v>
      </c>
      <c r="BU3" s="26">
        <f>资产资本表!BU107</f>
        <v>234091527.97999999</v>
      </c>
      <c r="BV3" s="26">
        <f>资产资本表!BV107</f>
        <v>0</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430</v>
      </c>
      <c r="E4" s="59">
        <f>E2/E3</f>
        <v>0.27386636190923314</v>
      </c>
      <c r="F4" s="59">
        <f t="shared" ref="F4:BQ4" si="0">F2/F3</f>
        <v>0.21991320019983063</v>
      </c>
      <c r="G4" s="59">
        <f t="shared" si="0"/>
        <v>0.13676511023559573</v>
      </c>
      <c r="H4" s="59">
        <f t="shared" si="0"/>
        <v>7.2449171917953248E-2</v>
      </c>
      <c r="I4" s="59">
        <f t="shared" si="0"/>
        <v>0.22084468161891219</v>
      </c>
      <c r="J4" s="59">
        <f t="shared" si="0"/>
        <v>0.17565097282147607</v>
      </c>
      <c r="K4" s="59">
        <f t="shared" si="0"/>
        <v>0.13171195091794857</v>
      </c>
      <c r="L4" s="59">
        <f t="shared" si="0"/>
        <v>7.021041043405761E-2</v>
      </c>
      <c r="M4" s="59">
        <f t="shared" si="0"/>
        <v>0.23745892332297552</v>
      </c>
      <c r="N4" s="59">
        <f t="shared" si="0"/>
        <v>0.18698445136841738</v>
      </c>
      <c r="O4" s="59">
        <f t="shared" si="0"/>
        <v>0.12520910246068617</v>
      </c>
      <c r="P4" s="59">
        <f t="shared" si="0"/>
        <v>7.3686962935160832E-2</v>
      </c>
      <c r="Q4" s="59">
        <f t="shared" si="0"/>
        <v>0.28355613436642557</v>
      </c>
      <c r="R4" s="59">
        <f t="shared" si="0"/>
        <v>0.2178039008919847</v>
      </c>
      <c r="S4" s="59">
        <f t="shared" si="0"/>
        <v>0.15870233315776622</v>
      </c>
      <c r="T4" s="59">
        <f t="shared" si="0"/>
        <v>8.0835938113081721E-2</v>
      </c>
      <c r="U4" s="59">
        <f t="shared" si="0"/>
        <v>0.35920222224614101</v>
      </c>
      <c r="V4" s="59">
        <f t="shared" si="0"/>
        <v>0.29157960253369136</v>
      </c>
      <c r="W4" s="59">
        <f t="shared" si="0"/>
        <v>0.21273523625670221</v>
      </c>
      <c r="X4" s="59">
        <f t="shared" si="0"/>
        <v>9.776658508416676E-2</v>
      </c>
      <c r="Y4" s="59">
        <f t="shared" si="0"/>
        <v>0.39509880779573303</v>
      </c>
      <c r="Z4" s="59">
        <f t="shared" si="0"/>
        <v>0.34190198614613532</v>
      </c>
      <c r="AA4" s="59">
        <f t="shared" si="0"/>
        <v>0.25872197467168068</v>
      </c>
      <c r="AB4" s="59">
        <f t="shared" si="0"/>
        <v>0.10968884470936116</v>
      </c>
      <c r="AC4" s="59">
        <f t="shared" si="0"/>
        <v>0.36407976618313975</v>
      </c>
      <c r="AD4" s="59">
        <f t="shared" si="0"/>
        <v>0.30024187027066535</v>
      </c>
      <c r="AE4" s="59">
        <f t="shared" si="0"/>
        <v>0.23979191322509624</v>
      </c>
      <c r="AF4" s="59">
        <f t="shared" si="0"/>
        <v>9.6943783280025828E-2</v>
      </c>
      <c r="AG4" s="59">
        <f t="shared" si="0"/>
        <v>0.28785191319467734</v>
      </c>
      <c r="AH4" s="59">
        <f t="shared" si="0"/>
        <v>0.24890879577384672</v>
      </c>
      <c r="AI4" s="59">
        <f t="shared" si="0"/>
        <v>0.19564562762724305</v>
      </c>
      <c r="AJ4" s="59">
        <f t="shared" si="0"/>
        <v>8.4045208303480279E-2</v>
      </c>
      <c r="AK4" s="59">
        <f t="shared" si="0"/>
        <v>0.31074419841849854</v>
      </c>
      <c r="AL4" s="59">
        <f t="shared" si="0"/>
        <v>0.27995816545535263</v>
      </c>
      <c r="AM4" s="59">
        <f t="shared" si="0"/>
        <v>0.2224384835327721</v>
      </c>
      <c r="AN4" s="59">
        <f t="shared" si="0"/>
        <v>0.10143082243137862</v>
      </c>
      <c r="AO4" s="59">
        <f t="shared" si="0"/>
        <v>0.3477887389801817</v>
      </c>
      <c r="AP4" s="59">
        <f t="shared" si="0"/>
        <v>0.30574602883753293</v>
      </c>
      <c r="AQ4" s="59">
        <f t="shared" si="0"/>
        <v>0.23866325635051402</v>
      </c>
      <c r="AR4" s="59">
        <f t="shared" si="0"/>
        <v>9.8756681570184135E-2</v>
      </c>
      <c r="AS4" s="59">
        <f t="shared" si="0"/>
        <v>0.35441553664080605</v>
      </c>
      <c r="AT4" s="59">
        <f t="shared" si="0"/>
        <v>0.24007566891396792</v>
      </c>
      <c r="AU4" s="59">
        <f t="shared" si="0"/>
        <v>0.14373517246192452</v>
      </c>
      <c r="AV4" s="59">
        <f t="shared" si="0"/>
        <v>9.5347279187564249E-2</v>
      </c>
      <c r="AW4" s="59">
        <f t="shared" si="0"/>
        <v>0.26246510302325332</v>
      </c>
      <c r="AX4" s="59">
        <f t="shared" si="0"/>
        <v>0.18349149182637436</v>
      </c>
      <c r="AY4" s="59">
        <f t="shared" si="0"/>
        <v>0.12533620828589068</v>
      </c>
      <c r="AZ4" s="59">
        <f t="shared" si="0"/>
        <v>8.3835676369588663E-2</v>
      </c>
      <c r="BA4" s="59">
        <f t="shared" si="0"/>
        <v>0.22645945191893024</v>
      </c>
      <c r="BB4" s="59">
        <f t="shared" si="0"/>
        <v>0.15414673128239767</v>
      </c>
      <c r="BC4" s="59">
        <f t="shared" si="0"/>
        <v>0.10713747992828364</v>
      </c>
      <c r="BD4" s="59">
        <f t="shared" si="0"/>
        <v>8.3453481966231993E-2</v>
      </c>
      <c r="BE4" s="59">
        <f t="shared" si="0"/>
        <v>0.20256805648966256</v>
      </c>
      <c r="BF4" s="59">
        <f t="shared" si="0"/>
        <v>0.13793002736325871</v>
      </c>
      <c r="BG4" s="59">
        <f t="shared" si="0"/>
        <v>9.5373030681334417E-2</v>
      </c>
      <c r="BH4" s="59">
        <f t="shared" si="0"/>
        <v>7.2785876915641104E-2</v>
      </c>
      <c r="BI4" s="59">
        <f t="shared" si="0"/>
        <v>0.17492115692743196</v>
      </c>
      <c r="BJ4" s="59">
        <f t="shared" si="0"/>
        <v>0.11369954600847582</v>
      </c>
      <c r="BK4" s="59">
        <f t="shared" si="0"/>
        <v>8.3446459621914257E-2</v>
      </c>
      <c r="BL4" s="59">
        <f t="shared" si="0"/>
        <v>7.2178765973303027E-2</v>
      </c>
      <c r="BM4" s="59">
        <f t="shared" si="0"/>
        <v>0.13539908702083367</v>
      </c>
      <c r="BN4" s="59">
        <f t="shared" si="0"/>
        <v>0.11110357288377047</v>
      </c>
      <c r="BO4" s="59">
        <f t="shared" si="0"/>
        <v>8.8219484632029194E-2</v>
      </c>
      <c r="BP4" s="59">
        <f t="shared" si="0"/>
        <v>7.7420565311610706E-2</v>
      </c>
      <c r="BQ4" s="59">
        <f t="shared" si="0"/>
        <v>0.13443298040366139</v>
      </c>
      <c r="BR4" s="59">
        <f t="shared" ref="BR4:CJ4" si="1">BR2/BR3</f>
        <v>0.40798889508865355</v>
      </c>
      <c r="BS4" s="59">
        <f t="shared" si="1"/>
        <v>0.5773908206391537</v>
      </c>
      <c r="BT4" s="59">
        <f t="shared" si="1"/>
        <v>0.75451915115445445</v>
      </c>
      <c r="BU4" s="59">
        <f t="shared" si="1"/>
        <v>0.62308330792074496</v>
      </c>
      <c r="BV4" s="59" t="e">
        <f t="shared" si="1"/>
        <v>#DIV/0!</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18614975850.473602</v>
      </c>
      <c r="F5" s="26">
        <f>股权价值增加表!F47</f>
        <v>12365646898.669605</v>
      </c>
      <c r="G5" s="26">
        <f>股权价值增加表!G47</f>
        <v>4488034139.893198</v>
      </c>
      <c r="H5" s="26">
        <f>股权价值增加表!H47</f>
        <v>-622595127.81639957</v>
      </c>
      <c r="I5" s="26">
        <f>股权价值增加表!I47</f>
        <v>10689906103.712399</v>
      </c>
      <c r="J5" s="26">
        <f>股权价值增加表!J47</f>
        <v>6818336452.1744003</v>
      </c>
      <c r="K5" s="26">
        <f>股权价值增加表!K47</f>
        <v>3482963391.1396017</v>
      </c>
      <c r="L5" s="26">
        <f>股权价值增加表!L47</f>
        <v>-694485808.7996006</v>
      </c>
      <c r="M5" s="26">
        <f>股权价值增加表!M47</f>
        <v>10429161161.726795</v>
      </c>
      <c r="N5" s="26">
        <f>股权价值增加表!N47</f>
        <v>6624353400.4435997</v>
      </c>
      <c r="O5" s="26">
        <f>股权价值增加表!O47</f>
        <v>2878092033.8368006</v>
      </c>
      <c r="P5" s="26">
        <f>股权价值增加表!P47</f>
        <v>-378341246.42680073</v>
      </c>
      <c r="Q5" s="26">
        <f>股权价值增加表!Q47</f>
        <v>11259005475.030399</v>
      </c>
      <c r="R5" s="26">
        <f>股权价值增加表!R47</f>
        <v>6937231453.2392006</v>
      </c>
      <c r="S5" s="26">
        <f>股权价值增加表!S47</f>
        <v>3669431502.1123986</v>
      </c>
      <c r="T5" s="26">
        <f>股权价值增加表!T47</f>
        <v>39668249.139600277</v>
      </c>
      <c r="U5" s="26">
        <f>股权价值增加表!U47</f>
        <v>12320940628.3992</v>
      </c>
      <c r="V5" s="26">
        <f>股权价值增加表!V47</f>
        <v>8425177571.1748018</v>
      </c>
      <c r="W5" s="26">
        <f>股权价值增加表!W47</f>
        <v>4749148245.0583992</v>
      </c>
      <c r="X5" s="26">
        <f>股权价值增加表!X47</f>
        <v>685712598.55639839</v>
      </c>
      <c r="Y5" s="26">
        <f>股权价值增加表!Y47</f>
        <v>11171524600.32</v>
      </c>
      <c r="Z5" s="26">
        <f>股权价值增加表!Z47</f>
        <v>8378654536.1976013</v>
      </c>
      <c r="AA5" s="26">
        <f>股权价值增加表!AA47</f>
        <v>5076557519.859602</v>
      </c>
      <c r="AB5" s="26">
        <f>股权价值增加表!AB47</f>
        <v>847041158.5776</v>
      </c>
      <c r="AC5" s="26">
        <f>股权价值增加表!AC47</f>
        <v>7216586140.2368011</v>
      </c>
      <c r="AD5" s="26">
        <f>股权价值增加表!AD47</f>
        <v>5084012703.307601</v>
      </c>
      <c r="AE5" s="26">
        <f>股权价值增加表!AE47</f>
        <v>3442709721.5579996</v>
      </c>
      <c r="AF5" s="26">
        <f>股权价值增加表!AF47</f>
        <v>348036847.69920039</v>
      </c>
      <c r="AG5" s="26">
        <f>股权价值增加表!AG47</f>
        <v>3855526136.6203985</v>
      </c>
      <c r="AH5" s="26">
        <f>股权价值增加表!AH47</f>
        <v>2993362862.3548012</v>
      </c>
      <c r="AI5" s="26">
        <f>股权价值增加表!AI47</f>
        <v>1935585536.3723998</v>
      </c>
      <c r="AJ5" s="26">
        <f>股权价值增加表!AJ47</f>
        <v>64706942.448399305</v>
      </c>
      <c r="AK5" s="26">
        <f>股权价值增加表!AK47</f>
        <v>3380763712.4631991</v>
      </c>
      <c r="AL5" s="26">
        <f>股权价值增加表!AL47</f>
        <v>2842541239.7175999</v>
      </c>
      <c r="AM5" s="26">
        <f>股权价值增加表!AM47</f>
        <v>1875484146.7236009</v>
      </c>
      <c r="AN5" s="26">
        <f>股权价值增加表!AN47</f>
        <v>270199969.49679959</v>
      </c>
      <c r="AO5" s="26">
        <f>股权价值增加表!AO47</f>
        <v>3080485879.4340005</v>
      </c>
      <c r="AP5" s="26">
        <f>股权价值增加表!AP47</f>
        <v>2439638402.2927995</v>
      </c>
      <c r="AQ5" s="26">
        <f>股权价值增加表!AQ47</f>
        <v>1563568475.5124011</v>
      </c>
      <c r="AR5" s="26">
        <f>股权价值增加表!AR47</f>
        <v>174173443.3876003</v>
      </c>
      <c r="AS5" s="26">
        <f>股权价值增加表!AS47</f>
        <v>2296544047.3147993</v>
      </c>
      <c r="AT5" s="26">
        <f>股权价值增加表!AT47</f>
        <v>1112990010.2336001</v>
      </c>
      <c r="AU5" s="26">
        <f>股权价值增加表!AU47</f>
        <v>396395289.77080011</v>
      </c>
      <c r="AV5" s="26">
        <f>股权价值增加表!AV47</f>
        <v>90370562.612800121</v>
      </c>
      <c r="AW5" s="26">
        <f>股权价值增加表!AW47</f>
        <v>1093883520.1456001</v>
      </c>
      <c r="AX5" s="26">
        <f>股权价值增加表!AX47</f>
        <v>560411026.17120004</v>
      </c>
      <c r="AY5" s="26">
        <f>股权价值增加表!AY47</f>
        <v>229332047.01879984</v>
      </c>
      <c r="AZ5" s="26">
        <f>股权价值增加表!AZ47</f>
        <v>21434893.270800054</v>
      </c>
      <c r="BA5" s="26">
        <f>股权价值增加表!BA47</f>
        <v>756081554.22840047</v>
      </c>
      <c r="BB5" s="26">
        <f>股权价值增加表!BB47</f>
        <v>353346496.09760004</v>
      </c>
      <c r="BC5" s="26">
        <f>股权价值增加表!BC47</f>
        <v>127324641.39000005</v>
      </c>
      <c r="BD5" s="26">
        <f>股权价值增加表!BD47</f>
        <v>15888258.920799851</v>
      </c>
      <c r="BE5" s="26">
        <f>股权价值增加表!BE47</f>
        <v>516833673.30160034</v>
      </c>
      <c r="BF5" s="26">
        <f>股权价值增加表!BF47</f>
        <v>225954586.75960004</v>
      </c>
      <c r="BG5" s="26">
        <f>股权价值增加表!BG47</f>
        <v>58681091.745599985</v>
      </c>
      <c r="BH5" s="26">
        <f>股权价值增加表!BH47</f>
        <v>-26892768.313199937</v>
      </c>
      <c r="BI5" s="26">
        <f>股权价值增加表!BI47</f>
        <v>329426161.85559964</v>
      </c>
      <c r="BJ5" s="26">
        <f>股权价值增加表!BJ47</f>
        <v>108900643.19279984</v>
      </c>
      <c r="BK5" s="26">
        <f>股权价值增加表!BK47</f>
        <v>10769404.566800028</v>
      </c>
      <c r="BL5" s="26">
        <f>股权价值增加表!BL47</f>
        <v>-24249522.394800007</v>
      </c>
      <c r="BM5" s="26">
        <f>股权价值增加表!BM47</f>
        <v>159257637.51480016</v>
      </c>
      <c r="BN5" s="26">
        <f>股权价值增加表!BN47</f>
        <v>88887925.902400017</v>
      </c>
      <c r="BO5" s="26">
        <f>股权价值增加表!BO47</f>
        <v>22883478.717599899</v>
      </c>
      <c r="BP5" s="26">
        <f>股权价值增加表!BP47</f>
        <v>-7097217.4980000854</v>
      </c>
      <c r="BQ5" s="26">
        <f>股权价值增加表!BQ47</f>
        <v>138130856.80519965</v>
      </c>
      <c r="BR5" s="26">
        <f>股权价值增加表!BR47</f>
        <v>184180656.35080001</v>
      </c>
      <c r="BS5" s="26">
        <f>股权价值增加表!BS47</f>
        <v>220731910.8867999</v>
      </c>
      <c r="BT5" s="26">
        <f>股权价值增加表!BT47</f>
        <v>192482036.36159995</v>
      </c>
      <c r="BU5" s="26">
        <f>股权价值增加表!BU47</f>
        <v>127131201.37160002</v>
      </c>
      <c r="BV5" s="26">
        <f>股权价值增加表!BV47</f>
        <v>0</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437</v>
      </c>
      <c r="E6" s="156">
        <f>股权价值增加表!E31/股权价值增加表!E4</f>
        <v>0.61897086551080815</v>
      </c>
      <c r="F6" s="156">
        <f>股权价值增加表!F31/股权价值增加表!F4</f>
        <v>0.62492231260053277</v>
      </c>
      <c r="G6" s="156">
        <f>股权价值增加表!G31/股权价值增加表!G4</f>
        <v>0.61243012036455935</v>
      </c>
      <c r="H6" s="156">
        <f>股权价值增加表!H31/股权价值增加表!H4</f>
        <v>0.61271819770816582</v>
      </c>
      <c r="I6" s="156">
        <f>股权价值增加表!I31/股权价值增加表!I4</f>
        <v>0.58739211551686454</v>
      </c>
      <c r="J6" s="156">
        <f>股权价值增加表!J31/股权价值增加表!J4</f>
        <v>0.64687529144358835</v>
      </c>
      <c r="K6" s="156">
        <f>股权价值增加表!K31/股权价值增加表!K4</f>
        <v>0.67390713548639614</v>
      </c>
      <c r="L6" s="156">
        <f>股权价值增加表!L31/股权价值增加表!L4</f>
        <v>0.69802906122032415</v>
      </c>
      <c r="M6" s="156">
        <f>股权价值增加表!M31/股权价值增加表!M4</f>
        <v>0.65272134415170757</v>
      </c>
      <c r="N6" s="156">
        <f>股权价值增加表!N31/股权价值增加表!N4</f>
        <v>0.67222679444009936</v>
      </c>
      <c r="O6" s="156">
        <f>股权价值增加表!O31/股权价值增加表!O4</f>
        <v>0.68047353560247315</v>
      </c>
      <c r="P6" s="156">
        <f>股权价值增加表!P31/股权价值增加表!P4</f>
        <v>0.70026942339769949</v>
      </c>
      <c r="Q6" s="156">
        <f>股权价值增加表!Q31/股权价值增加表!Q4</f>
        <v>0.67486136781268102</v>
      </c>
      <c r="R6" s="156">
        <f>股权价值增加表!R31/股权价值增加表!R4</f>
        <v>0.67557531358470191</v>
      </c>
      <c r="S6" s="156">
        <f>股权价值增加表!S31/股权价值增加表!S4</f>
        <v>0.69154966648227734</v>
      </c>
      <c r="T6" s="156">
        <f>股权价值增加表!T31/股权价值增加表!T4</f>
        <v>0.69414340381125672</v>
      </c>
      <c r="U6" s="156">
        <f>股权价值增加表!U31/股权价值增加表!U4</f>
        <v>0.68945412762596925</v>
      </c>
      <c r="V6" s="156">
        <f>股权价值增加表!V31/股权价值增加表!V4</f>
        <v>0.69622500872630766</v>
      </c>
      <c r="W6" s="156">
        <f>股权价值增加表!W31/股权价值增加表!W4</f>
        <v>0.69912730120617494</v>
      </c>
      <c r="X6" s="156">
        <f>股权价值增加表!X31/股权价值增加表!X4</f>
        <v>0.69823032913631489</v>
      </c>
      <c r="Y6" s="156">
        <f>股权价值增加表!Y31/股权价值增加表!Y4</f>
        <v>0.70687528935978883</v>
      </c>
      <c r="Z6" s="156">
        <f>股权价值增加表!Z31/股权价值增加表!Z4</f>
        <v>0.71684697501644024</v>
      </c>
      <c r="AA6" s="156">
        <f>股权价值增加表!AA31/股权价值增加表!AA4</f>
        <v>0.72471788692567307</v>
      </c>
      <c r="AB6" s="156">
        <f>股权价值增加表!AB31/股权价值增加表!AB4</f>
        <v>0.6777978789114929</v>
      </c>
      <c r="AC6" s="156">
        <f>股权价值增加表!AC31/股权价值增加表!AC4</f>
        <v>0.67027618665392275</v>
      </c>
      <c r="AD6" s="156">
        <f>股权价值增加表!AD31/股权价值增加表!AD4</f>
        <v>0.6642494215508844</v>
      </c>
      <c r="AE6" s="156">
        <f>股权价值增加表!AE31/股权价值增加表!AE4</f>
        <v>0.68579070190074742</v>
      </c>
      <c r="AF6" s="156">
        <f>股权价值增加表!AF31/股权价值增加表!AF4</f>
        <v>0.61617757713474786</v>
      </c>
      <c r="AG6" s="156">
        <f>股权价值增加表!AG31/股权价值增加表!AG4</f>
        <v>0.61568314599186214</v>
      </c>
      <c r="AH6" s="156">
        <f>股权价值增加表!AH31/股权价值增加表!AH4</f>
        <v>0.61735789227548898</v>
      </c>
      <c r="AI6" s="156">
        <f>股权价值增加表!AI31/股权价值增加表!AI4</f>
        <v>0.64939556102217189</v>
      </c>
      <c r="AJ6" s="156">
        <f>股权价值增加表!AJ31/股权价值增加表!AJ4</f>
        <v>0.57453506859782288</v>
      </c>
      <c r="AK6" s="156">
        <f>股权价值增加表!AK31/股权价值增加表!AK4</f>
        <v>0.61498493729380277</v>
      </c>
      <c r="AL6" s="156">
        <f>股权价值增加表!AL31/股权价值增加表!AL4</f>
        <v>0.66796493285718606</v>
      </c>
      <c r="AM6" s="156">
        <f>股权价值增加表!AM31/股权价值增加表!AM4</f>
        <v>0.68842594247087951</v>
      </c>
      <c r="AN6" s="156">
        <f>股权价值增加表!AN31/股权价值增加表!AN4</f>
        <v>0.64625343037592131</v>
      </c>
      <c r="AO6" s="156">
        <f>股权价值增加表!AO31/股权价值增加表!AO4</f>
        <v>0.6409853702542313</v>
      </c>
      <c r="AP6" s="156">
        <f>股权价值增加表!AP31/股权价值增加表!AP4</f>
        <v>0.66934361021450361</v>
      </c>
      <c r="AQ6" s="156">
        <f>股权价值增加表!AQ31/股权价值增加表!AQ4</f>
        <v>0.6687426009725902</v>
      </c>
      <c r="AR6" s="156">
        <f>股权价值增加表!AR31/股权价值增加表!AR4</f>
        <v>0.59336817095024186</v>
      </c>
      <c r="AS6" s="156">
        <f>股权价值增加表!AS31/股权价值增加表!AS4</f>
        <v>0.61862853648190685</v>
      </c>
      <c r="AT6" s="156">
        <f>股权价值增加表!AT31/股权价值增加表!AT4</f>
        <v>0.55398765985575849</v>
      </c>
      <c r="AU6" s="156">
        <f>股权价值增加表!AU31/股权价值增加表!AU4</f>
        <v>0.5051537867820014</v>
      </c>
      <c r="AV6" s="156">
        <f>股权价值增加表!AV31/股权价值增加表!AV4</f>
        <v>0.53379285031709489</v>
      </c>
      <c r="AW6" s="156">
        <f>股权价值增加表!AW31/股权价值增加表!AW4</f>
        <v>0.50285992934043011</v>
      </c>
      <c r="AX6" s="156">
        <f>股权价值增加表!AX31/股权价值增加表!AX4</f>
        <v>0.47773577980595677</v>
      </c>
      <c r="AY6" s="156">
        <f>股权价值增加表!AY31/股权价值增加表!AY4</f>
        <v>0.47564614920213238</v>
      </c>
      <c r="AZ6" s="156">
        <f>股权价值增加表!AZ31/股权价值增加表!AZ4</f>
        <v>0.49436277633323894</v>
      </c>
      <c r="BA6" s="156">
        <f>股权价值增加表!BA31/股权价值增加表!BA4</f>
        <v>0.48032705398643405</v>
      </c>
      <c r="BB6" s="156">
        <f>股权价值增加表!BB31/股权价值增加表!BB4</f>
        <v>0.44045277146639189</v>
      </c>
      <c r="BC6" s="156">
        <f>股权价值增加表!BC31/股权价值增加表!BC4</f>
        <v>0.44400633066914535</v>
      </c>
      <c r="BD6" s="156">
        <f>股权价值增加表!BD31/股权价值增加表!BD4</f>
        <v>0.48404918310143191</v>
      </c>
      <c r="BE6" s="156">
        <f>股权价值增加表!BE31/股权价值增加表!BE4</f>
        <v>0.48663698262229338</v>
      </c>
      <c r="BF6" s="156">
        <f>股权价值增加表!BF31/股权价值增加表!BF4</f>
        <v>0.41221405809362216</v>
      </c>
      <c r="BG6" s="156">
        <f>股权价值增加表!BG31/股权价值增加表!BG4</f>
        <v>0.42595722633311411</v>
      </c>
      <c r="BH6" s="156">
        <f>股权价值增加表!BH31/股权价值增加表!BH4</f>
        <v>0.46216082178523865</v>
      </c>
      <c r="BI6" s="156">
        <f>股权价值增加表!BI31/股权价值增加表!BI4</f>
        <v>0.39964673581997839</v>
      </c>
      <c r="BJ6" s="156">
        <f>股权价值增加表!BJ31/股权价值增加表!BJ4</f>
        <v>0.37459767513986664</v>
      </c>
      <c r="BK6" s="156">
        <f>股权价值增加表!BK31/股权价值增加表!BK4</f>
        <v>0.40149792799636852</v>
      </c>
      <c r="BL6" s="156">
        <f>股权价值增加表!BL31/股权价值增加表!BL4</f>
        <v>0.46041824503920242</v>
      </c>
      <c r="BM6" s="156">
        <f>股权价值增加表!BM31/股权价值增加表!BM4</f>
        <v>0.34255808943582672</v>
      </c>
      <c r="BN6" s="156">
        <f>股权价值增加表!BN31/股权价值增加表!BN4</f>
        <v>0.37428195465095471</v>
      </c>
      <c r="BO6" s="156">
        <f>股权价值增加表!BO31/股权价值增加表!BO4</f>
        <v>0.40728966731899918</v>
      </c>
      <c r="BP6" s="156">
        <f>股权价值增加表!BP31/股权价值增加表!BP4</f>
        <v>0.46595739994149604</v>
      </c>
      <c r="BQ6" s="156">
        <f>股权价值增加表!BQ31/股权价值增加表!BQ4</f>
        <v>0.37100996641529893</v>
      </c>
      <c r="BR6" s="156">
        <f>股权价值增加表!BR31/股权价值增加表!BR4</f>
        <v>0.4272585462238267</v>
      </c>
      <c r="BS6" s="156">
        <f>股权价值增加表!BS31/股权价值增加表!BS4</f>
        <v>0.40617109948589908</v>
      </c>
      <c r="BT6" s="156">
        <f>股权价值增加表!BT31/股权价值增加表!BT4</f>
        <v>0.4091457106252514</v>
      </c>
      <c r="BU6" s="156">
        <f>股权价值增加表!BU31/股权价值增加表!BU4</f>
        <v>0.41365813248575828</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431</v>
      </c>
      <c r="E7" s="61">
        <f>股权价值增加表!E4/资产资本表!E70</f>
        <v>0.54661755626369213</v>
      </c>
      <c r="F7" s="61">
        <f>股权价值增加表!F4/资产资本表!F70</f>
        <v>0.42321710401383611</v>
      </c>
      <c r="G7" s="61">
        <f>股权价值增加表!G4/资产资本表!G70</f>
        <v>0.25087938127842063</v>
      </c>
      <c r="H7" s="61">
        <f>股权价值增加表!H4/资产资本表!H70</f>
        <v>0.14304378042228041</v>
      </c>
      <c r="I7" s="61">
        <f>股权价值增加表!I4/资产资本表!I70</f>
        <v>0.45020111623305775</v>
      </c>
      <c r="J7" s="61">
        <f>股权价值增加表!J4/资产资本表!J70</f>
        <v>0.31785517280611442</v>
      </c>
      <c r="K7" s="61">
        <f>股权价值增加表!K4/资产资本表!K70</f>
        <v>0.22700315987884262</v>
      </c>
      <c r="L7" s="61">
        <f>股权价值增加表!L4/资产资本表!L70</f>
        <v>0.12882010334094621</v>
      </c>
      <c r="M7" s="61">
        <f>股权价值增加表!M4/资产资本表!M70</f>
        <v>0.45216592105499809</v>
      </c>
      <c r="N7" s="61">
        <f>股权价值增加表!N4/资产资本表!N70</f>
        <v>0.33892111098811772</v>
      </c>
      <c r="O7" s="61">
        <f>股权价值增加表!O4/资产资本表!O70</f>
        <v>0.23640595663293892</v>
      </c>
      <c r="P7" s="61">
        <f>股权价值增加表!P4/资产资本表!P70</f>
        <v>0.13608048746215601</v>
      </c>
      <c r="Q7" s="61">
        <f>股权价值增加表!Q4/资产资本表!Q70</f>
        <v>0.53203200724537647</v>
      </c>
      <c r="R7" s="61">
        <f>股权价值增加表!R4/资产资本表!R70</f>
        <v>0.39903295182288107</v>
      </c>
      <c r="S7" s="61">
        <f>股权价值增加表!S4/资产资本表!S70</f>
        <v>0.28187807949080346</v>
      </c>
      <c r="T7" s="61">
        <f>股权价值增加表!T4/资产资本表!T70</f>
        <v>0.14748300355248037</v>
      </c>
      <c r="U7" s="61">
        <f>股权价值增加表!U4/资产资本表!U70</f>
        <v>0.65889669453581912</v>
      </c>
      <c r="V7" s="61">
        <f>股权价值增加表!V4/资产资本表!V70</f>
        <v>0.50957928363612259</v>
      </c>
      <c r="W7" s="61">
        <f>股权价值增加表!W4/资产资本表!W70</f>
        <v>0.35829562968408452</v>
      </c>
      <c r="X7" s="61">
        <f>股权价值增加表!X4/资产资本表!X70</f>
        <v>0.18268345480723971</v>
      </c>
      <c r="Y7" s="61">
        <f>股权价值增加表!Y4/资产资本表!Y70</f>
        <v>0.74618683346988424</v>
      </c>
      <c r="Z7" s="61">
        <f>股权价值增加表!Z4/资产资本表!Z70</f>
        <v>0.61923389448106247</v>
      </c>
      <c r="AA7" s="61">
        <f>股权价值增加表!AA4/资产资本表!AA70</f>
        <v>0.40640413555097327</v>
      </c>
      <c r="AB7" s="61">
        <f>股权价值增加表!AB4/资产资本表!AB70</f>
        <v>0.21084341171619342</v>
      </c>
      <c r="AC7" s="61">
        <f>股权价值增加表!AC4/资产资本表!AC70</f>
        <v>0.72440578729616978</v>
      </c>
      <c r="AD7" s="61">
        <f>股权价值增加表!AD4/资产资本表!AD70</f>
        <v>0.58526159168643799</v>
      </c>
      <c r="AE7" s="61">
        <f>股权价值增加表!AE4/资产资本表!AE70</f>
        <v>0.41260643503471278</v>
      </c>
      <c r="AF7" s="61">
        <f>股权价值增加表!AF4/资产资本表!AF70</f>
        <v>0.20233642236745644</v>
      </c>
      <c r="AG7" s="61">
        <f>股权价值增加表!AG4/资产资本表!AG70</f>
        <v>0.61656242516768323</v>
      </c>
      <c r="AH7" s="61">
        <f>股权价值增加表!AH4/资产资本表!AH70</f>
        <v>0.5198734262030501</v>
      </c>
      <c r="AI7" s="61">
        <f>股权价值增加表!AI4/资产资本表!AI70</f>
        <v>0.36751345690269577</v>
      </c>
      <c r="AJ7" s="61">
        <f>股权价值增加表!AJ4/资产资本表!AJ70</f>
        <v>0.19004225719651538</v>
      </c>
      <c r="AK7" s="61">
        <f>股权价值增加表!AK4/资产资本表!AK70</f>
        <v>0.65387432941396284</v>
      </c>
      <c r="AL7" s="61">
        <f>股权价值增加表!AL4/资产资本表!AL70</f>
        <v>0.54919655855347049</v>
      </c>
      <c r="AM7" s="61">
        <f>股权价值增加表!AM4/资产资本表!AM70</f>
        <v>0.38986044192954289</v>
      </c>
      <c r="AN7" s="61">
        <f>股权价值增加表!AN4/资产资本表!AN70</f>
        <v>0.19659209375670628</v>
      </c>
      <c r="AO7" s="61">
        <f>股权价值增加表!AO4/资产资本表!AO70</f>
        <v>0.71645534849512038</v>
      </c>
      <c r="AP7" s="61">
        <f>股权价值增加表!AP4/资产资本表!AP70</f>
        <v>0.59387334315931173</v>
      </c>
      <c r="AQ7" s="61">
        <f>股权价值增加表!AQ4/资产资本表!AQ70</f>
        <v>0.46323073256178476</v>
      </c>
      <c r="AR7" s="61">
        <f>股权价值增加表!AR4/资产资本表!AR70</f>
        <v>0.21371678863817892</v>
      </c>
      <c r="AS7" s="61">
        <f>股权价值增加表!AS4/资产资本表!AS70</f>
        <v>0.8605065951120322</v>
      </c>
      <c r="AT7" s="61">
        <f>股权价值增加表!AT4/资产资本表!AT70</f>
        <v>0.63739377598988722</v>
      </c>
      <c r="AU7" s="61">
        <f>股权价值增加表!AU4/资产资本表!AU70</f>
        <v>0.37870663343417982</v>
      </c>
      <c r="AV7" s="61">
        <f>股权价值增加表!AV4/资产资本表!AV70</f>
        <v>0.24013347680436695</v>
      </c>
      <c r="AW7" s="61">
        <f>股权价值增加表!AW4/资产资本表!AW70</f>
        <v>0.8154889336443315</v>
      </c>
      <c r="AX7" s="61">
        <f>股权价值增加表!AX4/资产资本表!AX70</f>
        <v>0.59382553395474158</v>
      </c>
      <c r="AY7" s="61">
        <f>股权价值增加表!AY4/资产资本表!AY70</f>
        <v>0.40102930555114602</v>
      </c>
      <c r="AZ7" s="61">
        <f>股权价值增加表!AZ4/资产资本表!AZ70</f>
        <v>0.23870874852668136</v>
      </c>
      <c r="BA7" s="61">
        <f>股权价值增加表!BA4/资产资本表!BA70</f>
        <v>0.75451940780538673</v>
      </c>
      <c r="BB7" s="61">
        <f>股权价值增加表!BB4/资产资本表!BB70</f>
        <v>0.53587033037856291</v>
      </c>
      <c r="BC7" s="61">
        <f>股权价值增加表!BC4/资产资本表!BC70</f>
        <v>0.35642882626529887</v>
      </c>
      <c r="BD7" s="61">
        <f>股权价值增加表!BD4/资产资本表!BD70</f>
        <v>0.24500920018652175</v>
      </c>
      <c r="BE7" s="61">
        <f>股权价值增加表!BE4/资产资本表!BE70</f>
        <v>0.70832053148913032</v>
      </c>
      <c r="BF7" s="61">
        <f>股权价值增加表!BF4/资产资本表!BF70</f>
        <v>0.51388827589290353</v>
      </c>
      <c r="BG7" s="61">
        <f>股权价值增加表!BG4/资产资本表!BG70</f>
        <v>0.33785167019568396</v>
      </c>
      <c r="BH7" s="61">
        <f>股权价值增加表!BH4/资产资本表!BH70</f>
        <v>0.22409127203419721</v>
      </c>
      <c r="BI7" s="61">
        <f>股权价值增加表!BI4/资产资本表!BI70</f>
        <v>0.68876047830353038</v>
      </c>
      <c r="BJ7" s="61">
        <f>股权价值增加表!BJ4/资产资本表!BJ70</f>
        <v>0.47032103629957323</v>
      </c>
      <c r="BK7" s="61">
        <f>股权价值增加表!BK4/资产资本表!BK70</f>
        <v>0.31558637565330733</v>
      </c>
      <c r="BL7" s="61">
        <f>股权价值增加表!BL4/资产资本表!BL70</f>
        <v>0.23149784326717585</v>
      </c>
      <c r="BM7" s="61">
        <f>股权价值增加表!BM4/资产资本表!BM70</f>
        <v>0.62394140332773351</v>
      </c>
      <c r="BN7" s="61">
        <f>股权价值增加表!BN4/资产资本表!BN70</f>
        <v>0.45372170277840052</v>
      </c>
      <c r="BO7" s="61">
        <f>股权价值增加表!BO4/资产资本表!BO70</f>
        <v>0.32329115071875597</v>
      </c>
      <c r="BP7" s="61">
        <f>股权价值增加表!BP4/资产资本表!BP70</f>
        <v>0.24527473566639435</v>
      </c>
      <c r="BQ7" s="61">
        <f>股权价值增加表!BQ4/资产资本表!BQ70</f>
        <v>0.60360492351673289</v>
      </c>
      <c r="BR7" s="61">
        <f>股权价值增加表!BR4/资产资本表!BR70</f>
        <v>1.0433722801664813</v>
      </c>
      <c r="BS7" s="61">
        <f>股权价值增加表!BS4/资产资本表!BS70</f>
        <v>2.0022300488058793</v>
      </c>
      <c r="BT7" s="61">
        <f>股权价值增加表!BT4/资产资本表!BT70</f>
        <v>1.9488162999161038</v>
      </c>
      <c r="BU7" s="61">
        <f>股权价值增加表!BU4/资产资本表!BU70</f>
        <v>1.3977548747223965</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0.33834034190394036</v>
      </c>
      <c r="F8" s="63">
        <f>股权价值增加表!F31/资产资本表!F70</f>
        <v>0.26447781137242665</v>
      </c>
      <c r="G8" s="63">
        <f>股权价值增加表!G31/资产资本表!G70</f>
        <v>0.15364608967332929</v>
      </c>
      <c r="H8" s="63">
        <f>股权价值增加表!H31/资产资本表!H70</f>
        <v>8.7645527333702275E-2</v>
      </c>
      <c r="I8" s="63">
        <f>股权价值增加表!I31/资产资本表!I70</f>
        <v>0.26444458607218957</v>
      </c>
      <c r="J8" s="63">
        <f>股权价值增加表!J31/资产资本表!J70</f>
        <v>0.20561265754580738</v>
      </c>
      <c r="K8" s="63">
        <f>股权价值增加表!K31/资产资本表!K70</f>
        <v>0.15297904922031122</v>
      </c>
      <c r="L8" s="63">
        <f>股权价值增加表!L31/资产资本表!L70</f>
        <v>8.9920175801385838E-2</v>
      </c>
      <c r="M8" s="63">
        <f>股权价值增加表!M31/资产资本表!M70</f>
        <v>0.29513834777061326</v>
      </c>
      <c r="N8" s="63">
        <f>股权价值增加表!N31/资产资本表!N70</f>
        <v>0.22783185200761955</v>
      </c>
      <c r="O8" s="63">
        <f>股权价值增加表!O31/资产资本表!O70</f>
        <v>0.16086799714750089</v>
      </c>
      <c r="P8" s="63">
        <f>股权价值增加表!P31/资产资本表!P70</f>
        <v>9.5293004490801858E-2</v>
      </c>
      <c r="Q8" s="63">
        <f>股权价值增加表!Q31/资产资本表!Q70</f>
        <v>0.35904784812974094</v>
      </c>
      <c r="R8" s="63">
        <f>股权价值增加表!R31/资产资本表!R70</f>
        <v>0.2695768115583721</v>
      </c>
      <c r="S8" s="63">
        <f>股权价值增加表!S31/资产资本表!S70</f>
        <v>0.19493269186053</v>
      </c>
      <c r="T8" s="63">
        <f>股权价值增加表!T31/资产资本表!T70</f>
        <v>0.10237435409022638</v>
      </c>
      <c r="U8" s="63">
        <f>股权价值增加表!U31/资产资本表!U70</f>
        <v>0.45427904572682792</v>
      </c>
      <c r="V8" s="63">
        <f>股权价值增加表!V31/资产资本表!V70</f>
        <v>0.35478184119630507</v>
      </c>
      <c r="W8" s="63">
        <f>股权价值增加表!W31/资产资本表!W70</f>
        <v>0.25049425661500108</v>
      </c>
      <c r="X8" s="63">
        <f>股权价值增加表!X31/资产资本表!X70</f>
        <v>0.12755512877781808</v>
      </c>
      <c r="Y8" s="63">
        <f>股权价值增加表!Y31/资产资本表!Y70</f>
        <v>0.52746103382548903</v>
      </c>
      <c r="Z8" s="63">
        <f>股权价值增加表!Z31/资产资本表!Z70</f>
        <v>0.44389594408639921</v>
      </c>
      <c r="AA8" s="63">
        <f>股权价值增加表!AA31/资产资本表!AA70</f>
        <v>0.29452834635435615</v>
      </c>
      <c r="AB8" s="63">
        <f>股权价值增加表!AB31/资产资本表!AB70</f>
        <v>0.14290921724369848</v>
      </c>
      <c r="AC8" s="63">
        <f>股权价值增加表!AC31/资产资本表!AC70</f>
        <v>0.48555194869890933</v>
      </c>
      <c r="AD8" s="63">
        <f>股权价值增加表!AD31/资产资本表!AD70</f>
        <v>0.38875967373366632</v>
      </c>
      <c r="AE8" s="63">
        <f>股权价值增加表!AE31/资产资本表!AE70</f>
        <v>0.28296165669122081</v>
      </c>
      <c r="AF8" s="63">
        <f>股权价值增加表!AF31/资产资本表!AF70</f>
        <v>0.12467516650049232</v>
      </c>
      <c r="AG8" s="63">
        <f>股权价值增加表!AG31/资产资本表!AG70</f>
        <v>0.3796070936276113</v>
      </c>
      <c r="AH8" s="63">
        <f>股权价值增加表!AH31/资产资本表!AH70</f>
        <v>0.32094796265075198</v>
      </c>
      <c r="AI8" s="63">
        <f>股权价值增加表!AI31/资产资本表!AI70</f>
        <v>0.23866160752852392</v>
      </c>
      <c r="AJ8" s="63">
        <f>股权价值增加表!AJ31/资产资本表!AJ70</f>
        <v>0.10918594127488507</v>
      </c>
      <c r="AK8" s="63">
        <f>股权价值增加表!AK31/资产资本表!AK70</f>
        <v>0.40212286347267329</v>
      </c>
      <c r="AL8" s="63">
        <f>股权价值增加表!AL31/资产资本表!AL70</f>
        <v>0.36684404235956652</v>
      </c>
      <c r="AM8" s="63">
        <f>股权价值增加表!AM31/资产资本表!AM70</f>
        <v>0.26839004216745915</v>
      </c>
      <c r="AN8" s="63">
        <f>股权价值增加表!AN31/资产资本表!AN70</f>
        <v>0.1270483149750562</v>
      </c>
      <c r="AO8" s="63">
        <f>股权价值增加表!AO31/资产资本表!AO70</f>
        <v>0.45923739682576897</v>
      </c>
      <c r="AP8" s="63">
        <f>股权价值增加表!AP31/资产资本表!AP70</f>
        <v>0.39750532752041046</v>
      </c>
      <c r="AQ8" s="63">
        <f>股权价值增加表!AQ31/资产资本表!AQ70</f>
        <v>0.30978212494380625</v>
      </c>
      <c r="AR8" s="63">
        <f>股权价值增加表!AR31/资产资本表!AR70</f>
        <v>0.12681273997559564</v>
      </c>
      <c r="AS8" s="63">
        <f>股权价值增加表!AS31/资产资本表!AS70</f>
        <v>0.53233393556718533</v>
      </c>
      <c r="AT8" s="63">
        <f>股权价值增加表!AT31/资产资本表!AT70</f>
        <v>0.3531082863672631</v>
      </c>
      <c r="AU8" s="63">
        <f>股权价值增加表!AU31/资产资本表!AU70</f>
        <v>0.19130508995873924</v>
      </c>
      <c r="AV8" s="63">
        <f>股权价值增加表!AV31/资产资本表!AV70</f>
        <v>0.12818153303995702</v>
      </c>
      <c r="AW8" s="63">
        <f>股权价值增加表!AW31/资产资本表!AW70</f>
        <v>0.41007670755029124</v>
      </c>
      <c r="AX8" s="63">
        <f>股权价值增加表!AX31/资产资本表!AX70</f>
        <v>0.2836917045325571</v>
      </c>
      <c r="AY8" s="63">
        <f>股权价值增加表!AY31/资产资本表!AY70</f>
        <v>0.19074804490260791</v>
      </c>
      <c r="AZ8" s="63">
        <f>股权价值增加表!AZ31/资产资本表!AZ70</f>
        <v>0.11800871965668316</v>
      </c>
      <c r="BA8" s="63">
        <f>股权价值增加表!BA31/资产资本表!BA70</f>
        <v>0.36241608432675027</v>
      </c>
      <c r="BB8" s="63">
        <f>股权价值增加表!BB31/资产资本表!BB70</f>
        <v>0.23602557216184908</v>
      </c>
      <c r="BC8" s="63">
        <f>股权价值增加表!BC31/资产资本表!BC70</f>
        <v>0.15825665529476568</v>
      </c>
      <c r="BD8" s="63">
        <f>股权价值增加表!BD31/资产资本表!BD70</f>
        <v>0.11859650320262106</v>
      </c>
      <c r="BE8" s="63">
        <f>股权价值增加表!BE31/资产资本表!BE70</f>
        <v>0.34469496617328954</v>
      </c>
      <c r="BF8" s="63">
        <f>股权价值增加表!BF31/资产资本表!BF70</f>
        <v>0.21183197161254869</v>
      </c>
      <c r="BG8" s="63">
        <f>股权价值增加表!BG31/资产资本表!BG70</f>
        <v>0.14391036034856358</v>
      </c>
      <c r="BH8" s="63">
        <f>股权价值增加表!BH31/资产资本表!BH70</f>
        <v>0.10356620643822405</v>
      </c>
      <c r="BI8" s="63">
        <f>股权价值增加表!BI31/资产资本表!BI70</f>
        <v>0.27526087691581297</v>
      </c>
      <c r="BJ8" s="63">
        <f>股权价值增加表!BJ31/资产资本表!BJ70</f>
        <v>0.17618116676719298</v>
      </c>
      <c r="BK8" s="63">
        <f>股权价值增加表!BK31/资产资本表!BK70</f>
        <v>0.1267072759286865</v>
      </c>
      <c r="BL8" s="63">
        <f>股权价值增加表!BL31/资产资本表!BL70</f>
        <v>0.10658583072743345</v>
      </c>
      <c r="BM8" s="63">
        <f>股权价值增加表!BM31/资产资本表!BM70</f>
        <v>0.21373617504385697</v>
      </c>
      <c r="BN8" s="63">
        <f>股权价值增加表!BN31/资产资本表!BN70</f>
        <v>0.16981984578345924</v>
      </c>
      <c r="BO8" s="63">
        <f>股权价值增加表!BO31/资产资本表!BO70</f>
        <v>0.13167314522341855</v>
      </c>
      <c r="BP8" s="63">
        <f>股权价值增加表!BP31/资产资本表!BP70</f>
        <v>0.11428757810245084</v>
      </c>
      <c r="BQ8" s="63">
        <f>股权价值增加表!BQ31/资产资本表!BQ70</f>
        <v>0.22394344240205216</v>
      </c>
      <c r="BR8" s="63">
        <f>股权价值增加表!BR31/资产资本表!BR70</f>
        <v>0.44578972359417007</v>
      </c>
      <c r="BS8" s="63">
        <f>股权价值增加表!BS31/资产资本表!BS70</f>
        <v>0.81324798034718926</v>
      </c>
      <c r="BT8" s="63">
        <f>股权价值增加表!BT31/资产资本表!BT70</f>
        <v>0.79734982990724734</v>
      </c>
      <c r="BU8" s="63">
        <f>股权价值增加表!BU31/资产资本表!BU70</f>
        <v>0.57819267115053152</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432</v>
      </c>
      <c r="E9" s="156">
        <f>股权价值增加表!E38/股权价值增加表!E31</f>
        <v>0.9998622164924702</v>
      </c>
      <c r="F9" s="156">
        <f>股权价值增加表!F38/股权价值增加表!F31</f>
        <v>1.001479132590724</v>
      </c>
      <c r="G9" s="156">
        <f>股权价值增加表!G38/股权价值增加表!G31</f>
        <v>1.0025300471146728</v>
      </c>
      <c r="H9" s="156">
        <f>股权价值增加表!H38/股权价值增加表!H31</f>
        <v>1.00361489604752</v>
      </c>
      <c r="I9" s="156">
        <f>股权价值增加表!I38/股权价值增加表!I31</f>
        <v>0.99832145979007014</v>
      </c>
      <c r="J9" s="156">
        <f>股权价值增加表!J38/股权价值增加表!J31</f>
        <v>1.0000755781984985</v>
      </c>
      <c r="K9" s="156">
        <f>股权价值增加表!K38/股权价值增加表!K31</f>
        <v>1.0009982892302416</v>
      </c>
      <c r="L9" s="156">
        <f>股权价值增加表!L38/股权价值增加表!L31</f>
        <v>1.0004347693562969</v>
      </c>
      <c r="M9" s="156">
        <f>股权价值增加表!M38/股权价值增加表!M31</f>
        <v>0.99798315747793576</v>
      </c>
      <c r="N9" s="156">
        <f>股权价值增加表!N38/股权价值增加表!N31</f>
        <v>1.0033501374081542</v>
      </c>
      <c r="O9" s="156">
        <f>股权价值增加表!O38/股权价值增加表!O31</f>
        <v>1.0017691799367405</v>
      </c>
      <c r="P9" s="156">
        <f>股权价值增加表!P38/股权价值增加表!P31</f>
        <v>1.0010818419208676</v>
      </c>
      <c r="Q9" s="156">
        <f>股权价值增加表!Q38/股权价值增加表!Q31</f>
        <v>0.99947793725598133</v>
      </c>
      <c r="R9" s="156">
        <f>股权价值增加表!R38/股权价值增加表!R31</f>
        <v>1.0065274236051756</v>
      </c>
      <c r="S9" s="156">
        <f>股权价值增加表!S38/股权价值增加表!S31</f>
        <v>1.0054410942297369</v>
      </c>
      <c r="T9" s="156">
        <f>股权价值增加表!T38/股权价值增加表!T31</f>
        <v>1.0046648745329236</v>
      </c>
      <c r="U9" s="156">
        <f>股权价值增加表!U38/股权价值增加表!U31</f>
        <v>0.99997959600155262</v>
      </c>
      <c r="V9" s="156">
        <f>股权价值增加表!V38/股权价值增加表!V31</f>
        <v>1.0225132600832458</v>
      </c>
      <c r="W9" s="156">
        <f>股权价值增加表!W38/股权价值增加表!W31</f>
        <v>1.0241759884860593</v>
      </c>
      <c r="X9" s="156">
        <f>股权价值增加表!X38/股权价值增加表!X31</f>
        <v>1.022888420625514</v>
      </c>
      <c r="Y9" s="156">
        <f>股权价值增加表!Y38/股权价值增加表!Y31</f>
        <v>0.99996067444907388</v>
      </c>
      <c r="Z9" s="156">
        <f>股权价值增加表!Z38/股权价值增加表!Z31</f>
        <v>1.0208195359077177</v>
      </c>
      <c r="AA9" s="156">
        <f>股权价值增加表!AA38/股权价值增加表!AA31</f>
        <v>1.0194737647396646</v>
      </c>
      <c r="AB9" s="156">
        <f>股权价值增加表!AB38/股权价值增加表!AB31</f>
        <v>1.0238666233176894</v>
      </c>
      <c r="AC9" s="156">
        <f>股权价值增加表!AC38/股权价值增加表!AC31</f>
        <v>0.99988104265349531</v>
      </c>
      <c r="AD9" s="156">
        <f>股权价值增加表!AD38/股权价值增加表!AD31</f>
        <v>1.0240366074704546</v>
      </c>
      <c r="AE9" s="156">
        <f>股权价值增加表!AE38/股权价值增加表!AE31</f>
        <v>1.0220953425206931</v>
      </c>
      <c r="AF9" s="156">
        <f>股权价值增加表!AF38/股权价值增加表!AF31</f>
        <v>1.0205618037370341</v>
      </c>
      <c r="AG9" s="156">
        <f>股权价值增加表!AG38/股权价值增加表!AG31</f>
        <v>0.99996032278061187</v>
      </c>
      <c r="AH9" s="156">
        <f>股权价值增加表!AH38/股权价值增加表!AH31</f>
        <v>1.0238485189294926</v>
      </c>
      <c r="AI9" s="156">
        <f>股权价值增加表!AI38/股权价值增加表!AI31</f>
        <v>1.0233241706371434</v>
      </c>
      <c r="AJ9" s="156">
        <f>股权价值增加表!AJ38/股权价值增加表!AJ31</f>
        <v>1.0264799005372471</v>
      </c>
      <c r="AK9" s="156">
        <f>股权价值增加表!AK38/股权价值增加表!AK31</f>
        <v>1.0224715450214217</v>
      </c>
      <c r="AL9" s="156">
        <f>股权价值增加表!AL38/股权价值增加表!AL31</f>
        <v>1.0173404657528446</v>
      </c>
      <c r="AM9" s="156">
        <f>股权价值增加表!AM38/股权价值增加表!AM31</f>
        <v>1.0229922466615908</v>
      </c>
      <c r="AN9" s="156">
        <f>股权价值增加表!AN38/股权价值增加表!AN31</f>
        <v>1.0500742786605</v>
      </c>
      <c r="AO9" s="156">
        <f>股权价值增加表!AO38/股权价值增加表!AO31</f>
        <v>1.0194027348749612</v>
      </c>
      <c r="AP9" s="156">
        <f>股权价值增加表!AP38/股权价值增加表!AP31</f>
        <v>1.0143220161737427</v>
      </c>
      <c r="AQ9" s="156">
        <f>股权价值增加表!AQ38/股权价值增加表!AQ31</f>
        <v>1.0149292793728335</v>
      </c>
      <c r="AR9" s="156">
        <f>股权价值增加表!AR38/股权价值增加表!AR31</f>
        <v>1.0335457173669231</v>
      </c>
      <c r="AS9" s="156">
        <f>股权价值增加表!AS38/股权价值增加表!AS31</f>
        <v>1.0099935257674102</v>
      </c>
      <c r="AT9" s="156">
        <f>股权价值增加表!AT38/股权价值增加表!AT31</f>
        <v>1.015449286015532</v>
      </c>
      <c r="AU9" s="156">
        <f>股权价值增加表!AU38/股权价值增加表!AU31</f>
        <v>1.0248221467103418</v>
      </c>
      <c r="AV9" s="156">
        <f>股权价值增加表!AV38/股权价值增加表!AV31</f>
        <v>1.0315688020129494</v>
      </c>
      <c r="AW9" s="156">
        <f>股权价值增加表!AW38/股权价值增加表!AW31</f>
        <v>1.0102629490669031</v>
      </c>
      <c r="AX9" s="156">
        <f>股权价值增加表!AX38/股权价值增加表!AX31</f>
        <v>1.0093205350283265</v>
      </c>
      <c r="AY9" s="156">
        <f>股权价值增加表!AY38/股权价值增加表!AY31</f>
        <v>1.0069389765256416</v>
      </c>
      <c r="AZ9" s="156">
        <f>股权价值增加表!AZ38/股权价值增加表!AZ31</f>
        <v>1.0042100996485857</v>
      </c>
      <c r="BA9" s="156">
        <f>股权价值增加表!BA38/股权价值增加表!BA31</f>
        <v>1.0170899058849789</v>
      </c>
      <c r="BB9" s="156">
        <f>股权价值增加表!BB38/股权价值增加表!BB31</f>
        <v>1.012517198719519</v>
      </c>
      <c r="BC9" s="156">
        <f>股权价值增加表!BC38/股权价值增加表!BC31</f>
        <v>1.0108298745156596</v>
      </c>
      <c r="BD9" s="156">
        <f>股权价值增加表!BD38/股权价值增加表!BD31</f>
        <v>1.0067663240849329</v>
      </c>
      <c r="BE9" s="156">
        <f>股权价值增加表!BE38/股权价值增加表!BE31</f>
        <v>1.0177471199694148</v>
      </c>
      <c r="BF9" s="156">
        <f>股权价值增加表!BF38/股权价值增加表!BF31</f>
        <v>1.0261370762768431</v>
      </c>
      <c r="BG9" s="156">
        <f>股权价值增加表!BG38/股权价值增加表!BG31</f>
        <v>1.0177914876663841</v>
      </c>
      <c r="BH9" s="156">
        <f>股权价值增加表!BH38/股权价值增加表!BH31</f>
        <v>1.0171070799781836</v>
      </c>
      <c r="BI9" s="156">
        <f>股权价值增加表!BI38/股权价值增加表!BI31</f>
        <v>1.0167266695626287</v>
      </c>
      <c r="BJ9" s="156">
        <f>股权价值增加表!BJ38/股权价值增加表!BJ31</f>
        <v>1.0210520397913179</v>
      </c>
      <c r="BK9" s="156">
        <f>股权价值增加表!BK38/股权价值增加表!BK31</f>
        <v>1.0107893318739034</v>
      </c>
      <c r="BL9" s="156">
        <f>股权价值增加表!BL38/股权价值增加表!BL31</f>
        <v>1.0065438757745946</v>
      </c>
      <c r="BM9" s="156">
        <f>股权价值增加表!BM38/股权价值增加表!BM31</f>
        <v>1.0277802001212222</v>
      </c>
      <c r="BN9" s="156">
        <f>股权价值增加表!BN38/股权价值增加表!BN31</f>
        <v>1.0298924115660437</v>
      </c>
      <c r="BO9" s="156">
        <f>股权价值增加表!BO38/股权价值增加表!BO31</f>
        <v>1.0305996337322434</v>
      </c>
      <c r="BP9" s="156">
        <f>股权价值增加表!BP38/股权价值增加表!BP31</f>
        <v>1.0079564971480586</v>
      </c>
      <c r="BQ9" s="156">
        <f>股权价值增加表!BQ38/股权价值增加表!BQ31</f>
        <v>1.0095656239996698</v>
      </c>
      <c r="BR9" s="156">
        <f>股权价值增加表!BR38/股权价值增加表!BR31</f>
        <v>0.99642114362372569</v>
      </c>
      <c r="BS9" s="156">
        <f>股权价值增加表!BS38/股权价值增加表!BS31</f>
        <v>0.98523660616076891</v>
      </c>
      <c r="BT9" s="156">
        <f>股权价值增加表!BT38/股权价值增加表!BT31</f>
        <v>0.96906008255353426</v>
      </c>
      <c r="BU9" s="156">
        <f>股权价值增加表!BU38/股权价值增加表!BU31</f>
        <v>0.83867542396073969</v>
      </c>
      <c r="BV9" s="156" t="e">
        <f>股权价值增加表!BV38/股权价值增加表!BV31</f>
        <v>#DIV/0!</v>
      </c>
      <c r="BW9" s="156" t="e">
        <f>股权价值增加表!BW38/股权价值增加表!BW31</f>
        <v>#DIV/0!</v>
      </c>
      <c r="BX9" s="156" t="e">
        <f>股权价值增加表!BX38/股权价值增加表!BX31</f>
        <v>#DIV/0!</v>
      </c>
      <c r="BY9" s="156" t="e">
        <f>股权价值增加表!BY38/股权价值增加表!BY31</f>
        <v>#DIV/0!</v>
      </c>
      <c r="BZ9" s="156" t="e">
        <f>股权价值增加表!BZ38/股权价值增加表!BZ31</f>
        <v>#DIV/0!</v>
      </c>
      <c r="CA9" s="156" t="e">
        <f>股权价值增加表!CA38/股权价值增加表!CA31</f>
        <v>#DIV/0!</v>
      </c>
      <c r="CB9" s="156" t="e">
        <f>股权价值增加表!CB38/股权价值增加表!CB31</f>
        <v>#DIV/0!</v>
      </c>
      <c r="CC9" s="156" t="e">
        <f>股权价值增加表!CC38/股权价值增加表!CC31</f>
        <v>#DIV/0!</v>
      </c>
      <c r="CD9" s="156" t="e">
        <f>股权价值增加表!CD38/股权价值增加表!CD31</f>
        <v>#DIV/0!</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433</v>
      </c>
      <c r="E10" s="61">
        <f>资产资本表!E70/资产资本表!E107</f>
        <v>1.1092071342448337</v>
      </c>
      <c r="F10" s="61">
        <f>资产资本表!F70/资产资本表!F107</f>
        <v>1.1349091971831378</v>
      </c>
      <c r="G10" s="61">
        <f>资产资本表!G70/资产资本表!G107</f>
        <v>1.2195420365070477</v>
      </c>
      <c r="H10" s="61">
        <f>资产资本表!H70/资产资本表!H107</f>
        <v>1.1283752012000037</v>
      </c>
      <c r="I10" s="61">
        <f>资产资本表!I70/资产资本表!I107</f>
        <v>1.1373320168664054</v>
      </c>
      <c r="J10" s="61">
        <f>资产资本表!J70/资产资本表!J107</f>
        <v>1.1753942750504416</v>
      </c>
      <c r="K10" s="61">
        <f>资产资本表!K70/资产资本表!K107</f>
        <v>1.1886181155496498</v>
      </c>
      <c r="L10" s="61">
        <f>资产资本表!L70/资产资本表!L107</f>
        <v>1.0930216670239186</v>
      </c>
      <c r="M10" s="61">
        <f>资产资本表!M70/资产资本表!M107</f>
        <v>1.0905126720603266</v>
      </c>
      <c r="N10" s="61">
        <f>资产资本表!N70/资产资本表!N107</f>
        <v>1.1030747631694411</v>
      </c>
      <c r="O10" s="61">
        <f>资产资本表!O70/资产资本表!O107</f>
        <v>1.048413405940376</v>
      </c>
      <c r="P10" s="61">
        <f>资产资本表!P70/资产资本表!P107</f>
        <v>1.0476927312925195</v>
      </c>
      <c r="Q10" s="61">
        <f>资产资本表!Q70/资产资本表!Q107</f>
        <v>1.0729389852526203</v>
      </c>
      <c r="R10" s="61">
        <f>资产资本表!R70/资产资本表!R107</f>
        <v>1.0811605181829125</v>
      </c>
      <c r="S10" s="61">
        <f>资产资本表!S70/资产资本表!S107</f>
        <v>1.0897325403905451</v>
      </c>
      <c r="T10" s="61">
        <f>资产资本表!T70/资产资本表!T107</f>
        <v>1.0644744348598727</v>
      </c>
      <c r="U10" s="61">
        <f>资产资本表!U70/资产资本表!U107</f>
        <v>1.0634631904750738</v>
      </c>
      <c r="V10" s="61">
        <f>资产资本表!V70/资产资本表!V107</f>
        <v>1.0810224825240013</v>
      </c>
      <c r="W10" s="61">
        <f>资产资本表!W70/资产资本表!W107</f>
        <v>1.1020608981733326</v>
      </c>
      <c r="X10" s="61">
        <f>资产资本表!X70/资产资本表!X107</f>
        <v>1.0163105650817044</v>
      </c>
      <c r="Y10" s="61">
        <f>资产资本表!Y70/资产资本表!Y107</f>
        <v>1</v>
      </c>
      <c r="Z10" s="61">
        <f>资产资本表!Z70/资产资本表!Z107</f>
        <v>1.0061168765301896</v>
      </c>
      <c r="AA10" s="61">
        <f>资产资本表!AA70/资产资本表!AA107</f>
        <v>1.1490511799071521</v>
      </c>
      <c r="AB10" s="61">
        <f>资产资本表!AB70/资产资本表!AB107</f>
        <v>1.0000788626383967</v>
      </c>
      <c r="AC10" s="61">
        <f>资产资本表!AC70/资产资本表!AC107</f>
        <v>1.0000000000000002</v>
      </c>
      <c r="AD10" s="61">
        <f>资产资本表!AD70/资产资本表!AD107</f>
        <v>1.0097728356249269</v>
      </c>
      <c r="AE10" s="61">
        <f>资产资本表!AE70/资产资本表!AE107</f>
        <v>1.1053182717033707</v>
      </c>
      <c r="AF10" s="61">
        <f>资产资本表!AF70/资产资本表!AF107</f>
        <v>1.0155099140049804</v>
      </c>
      <c r="AG10" s="61">
        <f>资产资本表!AG70/资产资本表!AG107</f>
        <v>1.0171749152686358</v>
      </c>
      <c r="AH10" s="61">
        <f>资产资本表!AH70/资产资本表!AH107</f>
        <v>1.0124280292502343</v>
      </c>
      <c r="AI10" s="61">
        <f>资产资本表!AI70/资产资本表!AI107</f>
        <v>1.0708997774634323</v>
      </c>
      <c r="AJ10" s="61">
        <f>资产资本表!AJ70/资产资本表!AJ107</f>
        <v>1</v>
      </c>
      <c r="AK10" s="61">
        <f>资产资本表!AK70/资产资本表!AK107</f>
        <v>1.0093647101131067</v>
      </c>
      <c r="AL10" s="61">
        <f>资产资本表!AL70/资产资本表!AL107</f>
        <v>0.99999999999999989</v>
      </c>
      <c r="AM10" s="61">
        <f>资产资本表!AM70/资产资本表!AM107</f>
        <v>1.0804013312696459</v>
      </c>
      <c r="AN10" s="61">
        <f>资产资本表!AN70/资产资本表!AN107</f>
        <v>1.0136779253198169</v>
      </c>
      <c r="AO10" s="61">
        <f>资产资本表!AO70/资产资本表!AO107</f>
        <v>1</v>
      </c>
      <c r="AP10" s="61">
        <f>资产资本表!AP70/资产资本表!AP107</f>
        <v>1.0106770544208876</v>
      </c>
      <c r="AQ10" s="61">
        <f>资产资本表!AQ70/资产资本表!AQ107</f>
        <v>1.0119929666499261</v>
      </c>
      <c r="AR10" s="61">
        <f>资产资本表!AR70/资产资本表!AR107</f>
        <v>1.0045021777380223</v>
      </c>
      <c r="AS10" s="61">
        <f>资产资本表!AS70/资产资本表!AS107</f>
        <v>1.0049955405119619</v>
      </c>
      <c r="AT10" s="61">
        <f>资产资本表!AT70/资产资本表!AT107</f>
        <v>1.0060128812585718</v>
      </c>
      <c r="AU10" s="61">
        <f>资产资本表!AU70/资产资本表!AU107</f>
        <v>1.1162283162937303</v>
      </c>
      <c r="AV10" s="61">
        <f>资产资本表!AV70/资产资本表!AV107</f>
        <v>1.1227313623011879</v>
      </c>
      <c r="AW10" s="61">
        <f>资产资本表!AW70/资产资本表!AW107</f>
        <v>1.0014946943749554</v>
      </c>
      <c r="AX10" s="61">
        <f>资产资本表!AX70/资产资本表!AX107</f>
        <v>1.0105304408942593</v>
      </c>
      <c r="AY10" s="61">
        <f>资产资本表!AY70/资产资本表!AY107</f>
        <v>1.0004266622202758</v>
      </c>
      <c r="AZ10" s="61">
        <f>资产资本表!AZ70/资产资本表!AZ107</f>
        <v>1.0153848514339106</v>
      </c>
      <c r="BA10" s="61">
        <f>资产资本表!BA70/资产资本表!BA107</f>
        <v>1.0090851865169896</v>
      </c>
      <c r="BB10" s="61">
        <f>资产资本表!BB70/资产资本表!BB107</f>
        <v>1.0104268728529944</v>
      </c>
      <c r="BC10" s="61">
        <f>资产资本表!BC70/资产资本表!BC107</f>
        <v>1.0082749619270783</v>
      </c>
      <c r="BD10" s="61">
        <f>资产资本表!BD70/资产资本表!BD107</f>
        <v>1.0149183180837194</v>
      </c>
      <c r="BE10" s="61">
        <f>资产资本表!BE70/资产资本表!BE107</f>
        <v>1.0077049004084275</v>
      </c>
      <c r="BF10" s="61">
        <f>资产资本表!BF70/资产资本表!BF107</f>
        <v>1.0329424567857082</v>
      </c>
      <c r="BG10" s="61">
        <f>资产资本表!BG70/资产资本表!BG107</f>
        <v>1.0189824338444764</v>
      </c>
      <c r="BH10" s="61">
        <f>资产资本表!BH70/资产资本表!BH107</f>
        <v>1.0216260791867391</v>
      </c>
      <c r="BI10" s="61">
        <f>资产资本表!BI70/资产资本表!BI107</f>
        <v>1.0044587856400251</v>
      </c>
      <c r="BJ10" s="61">
        <f>资产资本表!BJ70/资产资本表!BJ107</f>
        <v>1.0216429954813062</v>
      </c>
      <c r="BK10" s="61">
        <f>资产资本表!BK70/资产资本表!BK107</f>
        <v>1.0232338429291448</v>
      </c>
      <c r="BL10" s="61">
        <f>资产资本表!BL70/资产资本表!BL107</f>
        <v>1.0224820016259453</v>
      </c>
      <c r="BM10" s="61">
        <f>资产资本表!BM70/资产资本表!BM107</f>
        <v>1.0229879788939782</v>
      </c>
      <c r="BN10" s="61">
        <f>资产资本表!BN70/资产资本表!BN107</f>
        <v>1.0518555349478798</v>
      </c>
      <c r="BO10" s="61">
        <f>资产资本表!BO70/资产资本表!BO107</f>
        <v>1.061767684620738</v>
      </c>
      <c r="BP10" s="61">
        <f>资产资本表!BP70/资产资本表!BP107</f>
        <v>1.0639397540399571</v>
      </c>
      <c r="BQ10" s="61">
        <f>资产资本表!BQ70/资产资本表!BQ107</f>
        <v>1.0563544746250171</v>
      </c>
      <c r="BR10" s="61">
        <f>资产资本表!BR70/资产资本表!BR107</f>
        <v>1.4914868151134044</v>
      </c>
      <c r="BS10" s="61">
        <f>资产资本表!BS70/资产资本表!BS107</f>
        <v>1.2537304563662912</v>
      </c>
      <c r="BT10" s="61">
        <f>资产资本表!BT70/资产资本表!BT107</f>
        <v>1.6019234230922617</v>
      </c>
      <c r="BU10" s="61">
        <f>资产资本表!BU70/资产资本表!BU107</f>
        <v>1.9198639693120263</v>
      </c>
      <c r="BV10" s="61" t="e">
        <f>资产资本表!BV70/资产资本表!BV107</f>
        <v>#DIV/0!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1.1090543037953005</v>
      </c>
      <c r="F11" s="28">
        <f t="shared" ref="F11:BQ11" si="2">F9*F10</f>
        <v>1.1365878783642036</v>
      </c>
      <c r="G11" s="28">
        <f t="shared" si="2"/>
        <v>1.2226275353177345</v>
      </c>
      <c r="H11" s="28">
        <f t="shared" si="2"/>
        <v>1.1324541602549412</v>
      </c>
      <c r="I11" s="28">
        <f t="shared" si="2"/>
        <v>1.1354229593440546</v>
      </c>
      <c r="J11" s="28">
        <f t="shared" si="2"/>
        <v>1.1754831092322753</v>
      </c>
      <c r="K11" s="28">
        <f t="shared" si="2"/>
        <v>1.189804700213273</v>
      </c>
      <c r="L11" s="28">
        <f t="shared" si="2"/>
        <v>1.0934968793505091</v>
      </c>
      <c r="M11" s="28">
        <f t="shared" si="2"/>
        <v>1.0883132797324655</v>
      </c>
      <c r="N11" s="28">
        <f t="shared" si="2"/>
        <v>1.1067702151975258</v>
      </c>
      <c r="O11" s="28">
        <f t="shared" si="2"/>
        <v>1.0502682379035755</v>
      </c>
      <c r="P11" s="28">
        <f t="shared" si="2"/>
        <v>1.0488261692094201</v>
      </c>
      <c r="Q11" s="28">
        <f t="shared" si="2"/>
        <v>1.0723788437818147</v>
      </c>
      <c r="R11" s="28">
        <f t="shared" si="2"/>
        <v>1.0882177108702835</v>
      </c>
      <c r="S11" s="28">
        <f t="shared" si="2"/>
        <v>1.0956618778280207</v>
      </c>
      <c r="T11" s="28">
        <f t="shared" si="2"/>
        <v>1.0694400745419987</v>
      </c>
      <c r="U11" s="28">
        <f t="shared" si="2"/>
        <v>1.0634414915737864</v>
      </c>
      <c r="V11" s="28">
        <f t="shared" si="2"/>
        <v>1.1053598228289003</v>
      </c>
      <c r="W11" s="28">
        <f t="shared" si="2"/>
        <v>1.1287043097585072</v>
      </c>
      <c r="X11" s="28">
        <f t="shared" si="2"/>
        <v>1.0395723087814481</v>
      </c>
      <c r="Y11" s="28">
        <f t="shared" si="2"/>
        <v>0.99996067444907388</v>
      </c>
      <c r="Z11" s="28">
        <f t="shared" si="2"/>
        <v>1.0270637629684707</v>
      </c>
      <c r="AA11" s="28">
        <f t="shared" si="2"/>
        <v>1.1714275322584979</v>
      </c>
      <c r="AB11" s="28">
        <f t="shared" si="2"/>
        <v>1.0239473681409705</v>
      </c>
      <c r="AC11" s="28">
        <f t="shared" si="2"/>
        <v>0.99988104265349553</v>
      </c>
      <c r="AD11" s="28">
        <f t="shared" si="2"/>
        <v>1.0340443489091711</v>
      </c>
      <c r="AE11" s="28">
        <f t="shared" si="2"/>
        <v>1.1297406575110371</v>
      </c>
      <c r="AF11" s="28">
        <f t="shared" si="2"/>
        <v>1.0363906295497631</v>
      </c>
      <c r="AG11" s="28">
        <f t="shared" si="2"/>
        <v>1.0171345565963665</v>
      </c>
      <c r="AH11" s="28">
        <f t="shared" si="2"/>
        <v>1.0365729382705575</v>
      </c>
      <c r="AI11" s="28">
        <f t="shared" si="2"/>
        <v>1.0958776266082684</v>
      </c>
      <c r="AJ11" s="28">
        <f t="shared" si="2"/>
        <v>1.0264799005372471</v>
      </c>
      <c r="AK11" s="28">
        <f t="shared" si="2"/>
        <v>1.0320466946394475</v>
      </c>
      <c r="AL11" s="28">
        <f t="shared" si="2"/>
        <v>1.0173404657528444</v>
      </c>
      <c r="AM11" s="28">
        <f t="shared" si="2"/>
        <v>1.1052421851717087</v>
      </c>
      <c r="AN11" s="28">
        <f t="shared" si="2"/>
        <v>1.0644371162242789</v>
      </c>
      <c r="AO11" s="28">
        <f t="shared" si="2"/>
        <v>1.0194027348749612</v>
      </c>
      <c r="AP11" s="28">
        <f t="shared" si="2"/>
        <v>1.0251519875407342</v>
      </c>
      <c r="AQ11" s="28">
        <f t="shared" si="2"/>
        <v>1.0271012923723855</v>
      </c>
      <c r="AR11" s="28">
        <f t="shared" si="2"/>
        <v>1.0381989238868807</v>
      </c>
      <c r="AS11" s="28">
        <f t="shared" si="2"/>
        <v>1.0150389893422005</v>
      </c>
      <c r="AT11" s="28">
        <f t="shared" si="2"/>
        <v>1.0215550619964449</v>
      </c>
      <c r="AU11" s="28">
        <f t="shared" si="2"/>
        <v>1.1439354993230111</v>
      </c>
      <c r="AV11" s="28">
        <f t="shared" si="2"/>
        <v>1.1581746463914031</v>
      </c>
      <c r="AW11" s="28">
        <f t="shared" si="2"/>
        <v>1.0117729834140992</v>
      </c>
      <c r="AX11" s="28">
        <f t="shared" si="2"/>
        <v>1.0199491252658044</v>
      </c>
      <c r="AY11" s="28">
        <f t="shared" si="2"/>
        <v>1.0073685993450483</v>
      </c>
      <c r="AZ11" s="28">
        <f t="shared" si="2"/>
        <v>1.0196597228401116</v>
      </c>
      <c r="BA11" s="28">
        <f t="shared" si="2"/>
        <v>1.0263303573844915</v>
      </c>
      <c r="BB11" s="28">
        <f t="shared" si="2"/>
        <v>1.0230745868120374</v>
      </c>
      <c r="BC11" s="28">
        <f t="shared" si="2"/>
        <v>1.0191944532420301</v>
      </c>
      <c r="BD11" s="28">
        <f t="shared" si="2"/>
        <v>1.0217855843436088</v>
      </c>
      <c r="BE11" s="28">
        <f t="shared" si="2"/>
        <v>1.0255887601697431</v>
      </c>
      <c r="BF11" s="28">
        <f t="shared" si="2"/>
        <v>1.0599405525683059</v>
      </c>
      <c r="BG11" s="28">
        <f t="shared" si="2"/>
        <v>1.0371116472484825</v>
      </c>
      <c r="BH11" s="28">
        <f t="shared" si="2"/>
        <v>1.0391031182311847</v>
      </c>
      <c r="BI11" s="28">
        <f t="shared" si="2"/>
        <v>1.021260035836705</v>
      </c>
      <c r="BJ11" s="28">
        <f t="shared" si="2"/>
        <v>1.0431506644747</v>
      </c>
      <c r="BK11" s="28">
        <f t="shared" si="2"/>
        <v>1.0342738524451169</v>
      </c>
      <c r="BL11" s="28">
        <f t="shared" si="2"/>
        <v>1.0291729968263443</v>
      </c>
      <c r="BM11" s="28">
        <f t="shared" si="2"/>
        <v>1.0514067896692576</v>
      </c>
      <c r="BN11" s="28">
        <f t="shared" si="2"/>
        <v>1.083298033506563</v>
      </c>
      <c r="BO11" s="28">
        <f t="shared" si="2"/>
        <v>1.0942573868788648</v>
      </c>
      <c r="BP11" s="28">
        <f t="shared" si="2"/>
        <v>1.0724049876586821</v>
      </c>
      <c r="BQ11" s="28">
        <f t="shared" si="2"/>
        <v>1.0664591643396486</v>
      </c>
      <c r="BR11" s="28">
        <f t="shared" ref="BR11:CJ11" si="3">BR9*BR10</f>
        <v>1.4861489980150067</v>
      </c>
      <c r="BS11" s="28">
        <f t="shared" si="3"/>
        <v>1.2352211398707167</v>
      </c>
      <c r="BT11" s="28">
        <f t="shared" si="3"/>
        <v>1.5523600446262273</v>
      </c>
      <c r="BU11" s="28">
        <f t="shared" si="3"/>
        <v>1.6101427284097123</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6" customFormat="1" x14ac:dyDescent="0.25">
      <c r="A12" s="156" t="s">
        <v>434</v>
      </c>
      <c r="E12" s="156">
        <f>E2/股权价值增加表!E38</f>
        <v>0.72984745381657656</v>
      </c>
      <c r="F12" s="156">
        <f>F2/股权价值增加表!F38</f>
        <v>0.73157530349367061</v>
      </c>
      <c r="G12" s="156">
        <f>G2/股权价值增加表!G38</f>
        <v>0.72804736691909411</v>
      </c>
      <c r="H12" s="156">
        <f>H2/股权价值增加表!H38</f>
        <v>0.72993306317912254</v>
      </c>
      <c r="I12" s="156">
        <f>I2/股权价值增加表!I38</f>
        <v>0.73552018052778145</v>
      </c>
      <c r="J12" s="156">
        <f>J2/股权价值增加表!J38</f>
        <v>0.72674879442140372</v>
      </c>
      <c r="K12" s="156">
        <f>K2/股权价值增加表!K38</f>
        <v>0.72363163545831521</v>
      </c>
      <c r="L12" s="156">
        <f>L2/股权价值增加表!L38</f>
        <v>0.71404702910005147</v>
      </c>
      <c r="M12" s="156">
        <f>M2/股权价值增加表!M38</f>
        <v>0.73927994357301463</v>
      </c>
      <c r="N12" s="156">
        <f>N2/股权价值增加表!N38</f>
        <v>0.74153830652890751</v>
      </c>
      <c r="O12" s="156">
        <f>O2/股权价值增加表!O38</f>
        <v>0.74108157500086769</v>
      </c>
      <c r="P12" s="156">
        <f>P2/股权价值增加表!P38</f>
        <v>0.73726925249168584</v>
      </c>
      <c r="Q12" s="156">
        <f>Q2/股权价值增加表!Q38</f>
        <v>0.73644188573571145</v>
      </c>
      <c r="R12" s="156">
        <f>R2/股权价值增加表!R38</f>
        <v>0.74245020513325777</v>
      </c>
      <c r="S12" s="156">
        <f>S2/股权价值增加表!S38</f>
        <v>0.7430569152711467</v>
      </c>
      <c r="T12" s="156">
        <f>T2/股权价值增加表!T38</f>
        <v>0.73834077640103923</v>
      </c>
      <c r="U12" s="156">
        <f>U2/股权价值增加表!U38</f>
        <v>0.74353721279538865</v>
      </c>
      <c r="V12" s="156">
        <f>V2/股权价值增加表!V38</f>
        <v>0.74351901778095497</v>
      </c>
      <c r="W12" s="156">
        <f>W2/股权价值增加表!W38</f>
        <v>0.75242198011810157</v>
      </c>
      <c r="X12" s="156">
        <f>X2/股权价值增加表!X38</f>
        <v>0.73728910728915509</v>
      </c>
      <c r="Y12" s="156">
        <f>Y2/股权价值增加表!Y38</f>
        <v>0.74908727004806142</v>
      </c>
      <c r="Z12" s="156">
        <f>Z2/股权价值增加表!Z38</f>
        <v>0.74993399373609215</v>
      </c>
      <c r="AA12" s="156">
        <f>AA2/股权价值增加表!AA38</f>
        <v>0.74987830862113969</v>
      </c>
      <c r="AB12" s="156">
        <f>AB2/股权价值增加表!AB38</f>
        <v>0.74959138706587436</v>
      </c>
      <c r="AC12" s="156">
        <f>AC2/股权价值增加表!AC38</f>
        <v>0.74991580669051083</v>
      </c>
      <c r="AD12" s="156">
        <f>AD2/股权价值增加表!AD38</f>
        <v>0.74688008977724707</v>
      </c>
      <c r="AE12" s="156">
        <f>AE2/股权价值增加表!AE38</f>
        <v>0.75011557789127126</v>
      </c>
      <c r="AF12" s="156">
        <f>AF2/股权价值增加表!AF38</f>
        <v>0.75026818336750256</v>
      </c>
      <c r="AG12" s="156">
        <f>AG2/股权价值增加表!AG38</f>
        <v>0.74551500931551529</v>
      </c>
      <c r="AH12" s="156">
        <f>AH2/股权价值增加表!AH38</f>
        <v>0.7481794130696009</v>
      </c>
      <c r="AI12" s="156">
        <f>AI2/股权价值增加表!AI38</f>
        <v>0.74804121083676578</v>
      </c>
      <c r="AJ12" s="156">
        <f>AJ2/股权价值增加表!AJ38</f>
        <v>0.74988693236112292</v>
      </c>
      <c r="AK12" s="156">
        <f>AK2/股权价值增加表!AK38</f>
        <v>0.74876393056824009</v>
      </c>
      <c r="AL12" s="156">
        <f>AL2/股权价值增加表!AL38</f>
        <v>0.75014522508766512</v>
      </c>
      <c r="AM12" s="156">
        <f>AM2/股权价值增加表!AM38</f>
        <v>0.74987016417334484</v>
      </c>
      <c r="AN12" s="156">
        <f>AN2/股权价值增加表!AN38</f>
        <v>0.75003413260957497</v>
      </c>
      <c r="AO12" s="156">
        <f>AO2/股权价值增加表!AO38</f>
        <v>0.74290362078595906</v>
      </c>
      <c r="AP12" s="156">
        <f>AP2/股权价值增加表!AP38</f>
        <v>0.75029078633494317</v>
      </c>
      <c r="AQ12" s="156">
        <f>AQ2/股权价值增加表!AQ38</f>
        <v>0.75009441483563544</v>
      </c>
      <c r="AR12" s="156">
        <f>AR2/股权价值增加表!AR38</f>
        <v>0.75010667076424409</v>
      </c>
      <c r="AS12" s="156">
        <f>AS2/股权价值增加表!AS38</f>
        <v>0.65591245039585455</v>
      </c>
      <c r="AT12" s="156">
        <f>AT2/股权价值增加表!AT38</f>
        <v>0.66554658323337124</v>
      </c>
      <c r="AU12" s="156">
        <f>AU2/股权价值增加表!AU38</f>
        <v>0.65680279413389253</v>
      </c>
      <c r="AV12" s="156">
        <f>AV2/股权价值增加表!AV38</f>
        <v>0.64225691612328073</v>
      </c>
      <c r="AW12" s="156">
        <f>AW2/股权价值增加表!AW38</f>
        <v>0.63259155209141427</v>
      </c>
      <c r="AX12" s="156">
        <f>AX2/股权价值增加表!AX38</f>
        <v>0.63414823062911219</v>
      </c>
      <c r="AY12" s="156">
        <f>AY2/股权价值增加表!AY38</f>
        <v>0.65227096589842637</v>
      </c>
      <c r="AZ12" s="156">
        <f>AZ2/股权价值增加表!AZ38</f>
        <v>0.69672197597827601</v>
      </c>
      <c r="BA12" s="156">
        <f>BA2/股权价值增加表!BA38</f>
        <v>0.60882967634143004</v>
      </c>
      <c r="BB12" s="156">
        <f>BB2/股权价值增加表!BB38</f>
        <v>0.63836337744637084</v>
      </c>
      <c r="BC12" s="156">
        <f>BC2/股权价值增加表!BC38</f>
        <v>0.66423597381333777</v>
      </c>
      <c r="BD12" s="156">
        <f>BD2/股权价值增加表!BD38</f>
        <v>0.68867260334397318</v>
      </c>
      <c r="BE12" s="156">
        <f>BE2/股权价值增加表!BE38</f>
        <v>0.57301074729734525</v>
      </c>
      <c r="BF12" s="156">
        <f>BF2/股权价值增加表!BF38</f>
        <v>0.61430748316584061</v>
      </c>
      <c r="BG12" s="156">
        <f>BG2/股权价值增加表!BG38</f>
        <v>0.63901052475107667</v>
      </c>
      <c r="BH12" s="156">
        <f>BH2/股权价值增加表!BH38</f>
        <v>0.67634829879120983</v>
      </c>
      <c r="BI12" s="156">
        <f>BI2/股权价值增加表!BI38</f>
        <v>0.62224514200069869</v>
      </c>
      <c r="BJ12" s="156">
        <f>BJ2/股权价值增加表!BJ38</f>
        <v>0.61866024576613554</v>
      </c>
      <c r="BK12" s="156">
        <f>BK2/股权价值增加表!BK38</f>
        <v>0.63675273066631644</v>
      </c>
      <c r="BL12" s="156">
        <f>BL2/股权价值增加表!BL38</f>
        <v>0.6579934879941739</v>
      </c>
      <c r="BM12" s="156">
        <f>BM2/股权价值增加表!BM38</f>
        <v>0.60251369892796292</v>
      </c>
      <c r="BN12" s="156">
        <f>BN2/股权价值增加表!BN38</f>
        <v>0.60393698748715829</v>
      </c>
      <c r="BO12" s="156">
        <f>BO2/股权价值增加表!BO38</f>
        <v>0.61227682265456806</v>
      </c>
      <c r="BP12" s="156">
        <f>BP2/股权价值增加表!BP38</f>
        <v>0.63168197337425669</v>
      </c>
      <c r="BQ12" s="156">
        <f>BQ2/股权价值增加表!BQ38</f>
        <v>0.56288962862173497</v>
      </c>
      <c r="BR12" s="156">
        <f>BR2/股权价值增加表!BR38</f>
        <v>0.61582304453722259</v>
      </c>
      <c r="BS12" s="156">
        <f>BS2/股权价值增加表!BS38</f>
        <v>0.57478068562988605</v>
      </c>
      <c r="BT12" s="156">
        <f>BT2/股权价值增加表!BT38</f>
        <v>0.60957746766693421</v>
      </c>
      <c r="BU12" s="156">
        <f>BU2/股权价值增加表!BU38</f>
        <v>0.66928202206139853</v>
      </c>
      <c r="BV12" s="156" t="e">
        <f>BV2/股权价值增加表!BV38</f>
        <v>#DIV/0!</v>
      </c>
      <c r="BW12" s="156">
        <f>BW2/股权价值增加表!BW38</f>
        <v>-19.112527092609866</v>
      </c>
      <c r="BX12" s="156">
        <f>BX2/股权价值增加表!BX38</f>
        <v>-5.948062846312304</v>
      </c>
      <c r="BY12" s="156">
        <f>BY2/股权价值增加表!BY38</f>
        <v>-5.0894858138564683</v>
      </c>
      <c r="BZ12" s="156">
        <f>BZ2/股权价值增加表!BZ38</f>
        <v>-10.640426755835241</v>
      </c>
      <c r="CA12" s="156">
        <f>CA2/股权价值增加表!CA38</f>
        <v>15.20372750495731</v>
      </c>
      <c r="CB12" s="156">
        <f>CB2/股权价值增加表!CB38</f>
        <v>8.8774211764848925</v>
      </c>
      <c r="CC12" s="156">
        <f>CC2/股权价值增加表!CC38</f>
        <v>9.6111449985966146</v>
      </c>
      <c r="CD12" s="156" t="e">
        <f>CD2/股权价值增加表!CD38</f>
        <v>#DIV/0!</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435</v>
      </c>
      <c r="E13" s="63">
        <f>1-E2/股权价值增加表!E38</f>
        <v>0.27015254618342344</v>
      </c>
      <c r="F13" s="63">
        <f>1-F2/股权价值增加表!F38</f>
        <v>0.26842469650632939</v>
      </c>
      <c r="G13" s="63">
        <f>1-G2/股权价值增加表!G38</f>
        <v>0.27195263308090589</v>
      </c>
      <c r="H13" s="63">
        <f>1-H2/股权价值增加表!H38</f>
        <v>0.27006693682087746</v>
      </c>
      <c r="I13" s="63">
        <f>1-I2/股权价值增加表!I38</f>
        <v>0.26447981947221855</v>
      </c>
      <c r="J13" s="63">
        <f>1-J2/股权价值增加表!J38</f>
        <v>0.27325120557859628</v>
      </c>
      <c r="K13" s="63">
        <f>1-K2/股权价值增加表!K38</f>
        <v>0.27636836454168479</v>
      </c>
      <c r="L13" s="63">
        <f>1-L2/股权价值增加表!L38</f>
        <v>0.28595297089994853</v>
      </c>
      <c r="M13" s="63">
        <f>1-M2/股权价值增加表!M38</f>
        <v>0.26072005642698537</v>
      </c>
      <c r="N13" s="63">
        <f>1-N2/股权价值增加表!N38</f>
        <v>0.25846169347109249</v>
      </c>
      <c r="O13" s="63">
        <f>1-O2/股权价值增加表!O38</f>
        <v>0.25891842499913231</v>
      </c>
      <c r="P13" s="63">
        <f>1-P2/股权价值增加表!P38</f>
        <v>0.26273074750831416</v>
      </c>
      <c r="Q13" s="63">
        <f>1-Q2/股权价值增加表!Q38</f>
        <v>0.26355811426428855</v>
      </c>
      <c r="R13" s="63">
        <f>1-R2/股权价值增加表!R38</f>
        <v>0.25754979486674223</v>
      </c>
      <c r="S13" s="63">
        <f>1-S2/股权价值增加表!S38</f>
        <v>0.2569430847288533</v>
      </c>
      <c r="T13" s="63">
        <f>1-T2/股权价值增加表!T38</f>
        <v>0.26165922359896077</v>
      </c>
      <c r="U13" s="63">
        <f>1-U2/股权价值增加表!U38</f>
        <v>0.25646278720461135</v>
      </c>
      <c r="V13" s="63">
        <f>1-V2/股权价值增加表!V38</f>
        <v>0.25648098221904503</v>
      </c>
      <c r="W13" s="63">
        <f>1-W2/股权价值增加表!W38</f>
        <v>0.24757801988189843</v>
      </c>
      <c r="X13" s="63">
        <f>1-X2/股权价值增加表!X38</f>
        <v>0.26271089271084491</v>
      </c>
      <c r="Y13" s="63">
        <f>1-Y2/股权价值增加表!Y38</f>
        <v>0.25091272995193858</v>
      </c>
      <c r="Z13" s="63">
        <f>1-Z2/股权价值增加表!Z38</f>
        <v>0.25006600626390785</v>
      </c>
      <c r="AA13" s="63">
        <f>1-AA2/股权价值增加表!AA38</f>
        <v>0.25012169137886031</v>
      </c>
      <c r="AB13" s="63">
        <f>1-AB2/股权价值增加表!AB38</f>
        <v>0.25040861293412564</v>
      </c>
      <c r="AC13" s="63">
        <f>1-AC2/股权价值增加表!AC38</f>
        <v>0.25008419330948917</v>
      </c>
      <c r="AD13" s="63">
        <f>1-AD2/股权价值增加表!AD38</f>
        <v>0.25311991022275293</v>
      </c>
      <c r="AE13" s="63">
        <f>1-AE2/股权价值增加表!AE38</f>
        <v>0.24988442210872874</v>
      </c>
      <c r="AF13" s="63">
        <f>1-AF2/股权价值增加表!AF38</f>
        <v>0.24973181663249744</v>
      </c>
      <c r="AG13" s="63">
        <f>1-AG2/股权价值增加表!AG38</f>
        <v>0.25448499068448471</v>
      </c>
      <c r="AH13" s="63">
        <f>1-AH2/股权价值增加表!AH38</f>
        <v>0.2518205869303991</v>
      </c>
      <c r="AI13" s="63">
        <f>1-AI2/股权价值增加表!AI38</f>
        <v>0.25195878916323422</v>
      </c>
      <c r="AJ13" s="63">
        <f>1-AJ2/股权价值增加表!AJ38</f>
        <v>0.25011306763887708</v>
      </c>
      <c r="AK13" s="63">
        <f>1-AK2/股权价值增加表!AK38</f>
        <v>0.25123606943175991</v>
      </c>
      <c r="AL13" s="63">
        <f>1-AL2/股权价值增加表!AL38</f>
        <v>0.24985477491233488</v>
      </c>
      <c r="AM13" s="63">
        <f>1-AM2/股权价值增加表!AM38</f>
        <v>0.25012983582665516</v>
      </c>
      <c r="AN13" s="63">
        <f>1-AN2/股权价值增加表!AN38</f>
        <v>0.24996586739042503</v>
      </c>
      <c r="AO13" s="63">
        <f>1-AO2/股权价值增加表!AO38</f>
        <v>0.25709637921404094</v>
      </c>
      <c r="AP13" s="63">
        <f>1-AP2/股权价值增加表!AP38</f>
        <v>0.24970921366505683</v>
      </c>
      <c r="AQ13" s="63">
        <f>1-AQ2/股权价值增加表!AQ38</f>
        <v>0.24990558516436456</v>
      </c>
      <c r="AR13" s="63">
        <f>1-AR2/股权价值增加表!AR38</f>
        <v>0.24989332923575591</v>
      </c>
      <c r="AS13" s="63">
        <f>1-AS2/股权价值增加表!AS38</f>
        <v>0.34408754960414545</v>
      </c>
      <c r="AT13" s="63">
        <f>1-AT2/股权价值增加表!AT38</f>
        <v>0.33445341676662876</v>
      </c>
      <c r="AU13" s="63">
        <f>1-AU2/股权价值增加表!AU38</f>
        <v>0.34319720586610747</v>
      </c>
      <c r="AV13" s="63">
        <f>1-AV2/股权价值增加表!AV38</f>
        <v>0.35774308387671927</v>
      </c>
      <c r="AW13" s="63">
        <f>1-AW2/股权价值增加表!AW38</f>
        <v>0.36740844790858573</v>
      </c>
      <c r="AX13" s="63">
        <f>1-AX2/股权价值增加表!AX38</f>
        <v>0.36585176937088781</v>
      </c>
      <c r="AY13" s="63">
        <f>1-AY2/股权价值增加表!AY38</f>
        <v>0.34772903410157363</v>
      </c>
      <c r="AZ13" s="63">
        <f>1-AZ2/股权价值增加表!AZ38</f>
        <v>0.30327802402172399</v>
      </c>
      <c r="BA13" s="63">
        <f>1-BA2/股权价值增加表!BA38</f>
        <v>0.39117032365856996</v>
      </c>
      <c r="BB13" s="63">
        <f>1-BB2/股权价值增加表!BB38</f>
        <v>0.36163662255362916</v>
      </c>
      <c r="BC13" s="63">
        <f>1-BC2/股权价值增加表!BC38</f>
        <v>0.33576402618666223</v>
      </c>
      <c r="BD13" s="63">
        <f>1-BD2/股权价值增加表!BD38</f>
        <v>0.31132739665602682</v>
      </c>
      <c r="BE13" s="63">
        <f>1-BE2/股权价值增加表!BE38</f>
        <v>0.42698925270265475</v>
      </c>
      <c r="BF13" s="63">
        <f>1-BF2/股权价值增加表!BF38</f>
        <v>0.38569251683415939</v>
      </c>
      <c r="BG13" s="63">
        <f>1-BG2/股权价值增加表!BG38</f>
        <v>0.36098947524892333</v>
      </c>
      <c r="BH13" s="63">
        <f>1-BH2/股权价值增加表!BH38</f>
        <v>0.32365170120879017</v>
      </c>
      <c r="BI13" s="63">
        <f>1-BI2/股权价值增加表!BI38</f>
        <v>0.37775485799930131</v>
      </c>
      <c r="BJ13" s="63">
        <f>1-BJ2/股权价值增加表!BJ38</f>
        <v>0.38133975423386446</v>
      </c>
      <c r="BK13" s="63">
        <f>1-BK2/股权价值增加表!BK38</f>
        <v>0.36324726933368356</v>
      </c>
      <c r="BL13" s="63">
        <f>1-BL2/股权价值增加表!BL38</f>
        <v>0.3420065120058261</v>
      </c>
      <c r="BM13" s="63">
        <f>1-BM2/股权价值增加表!BM38</f>
        <v>0.39748630107203708</v>
      </c>
      <c r="BN13" s="63">
        <f>1-BN2/股权价值增加表!BN38</f>
        <v>0.39606301251284171</v>
      </c>
      <c r="BO13" s="63">
        <f>1-BO2/股权价值增加表!BO38</f>
        <v>0.38772317734543194</v>
      </c>
      <c r="BP13" s="63">
        <f>1-BP2/股权价值增加表!BP38</f>
        <v>0.36831802662574331</v>
      </c>
      <c r="BQ13" s="63">
        <f>1-BQ2/股权价值增加表!BQ38</f>
        <v>0.43711037137826503</v>
      </c>
      <c r="BR13" s="63">
        <f>1-BR2/股权价值增加表!BR38</f>
        <v>0.38417695546277741</v>
      </c>
      <c r="BS13" s="63">
        <f>1-BS2/股权价值增加表!BS38</f>
        <v>0.42521931437011395</v>
      </c>
      <c r="BT13" s="63">
        <f>1-BT2/股权价值增加表!BT38</f>
        <v>0.39042253233306579</v>
      </c>
      <c r="BU13" s="63">
        <f>1-BU2/股权价值增加表!BU38</f>
        <v>0.33071797793860147</v>
      </c>
      <c r="BV13" s="63" t="e">
        <f>1-BV2/股权价值增加表!BV38</f>
        <v>#DIV/0!</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436</v>
      </c>
      <c r="E14" s="59">
        <f>E6*E7*E9*E10*E12</f>
        <v>0.27386636190923314</v>
      </c>
      <c r="F14" s="59">
        <f t="shared" ref="F14:BQ14" si="4">F6*F7*F9*F10*F12</f>
        <v>0.21991320019983068</v>
      </c>
      <c r="G14" s="59">
        <f t="shared" si="4"/>
        <v>0.1367651102355957</v>
      </c>
      <c r="H14" s="59">
        <f t="shared" si="4"/>
        <v>7.2449171917953262E-2</v>
      </c>
      <c r="I14" s="59">
        <f t="shared" si="4"/>
        <v>0.22084468161891221</v>
      </c>
      <c r="J14" s="59">
        <f t="shared" si="4"/>
        <v>0.1756509728214761</v>
      </c>
      <c r="K14" s="59">
        <f t="shared" si="4"/>
        <v>0.1317119509179486</v>
      </c>
      <c r="L14" s="59">
        <f t="shared" si="4"/>
        <v>7.021041043405761E-2</v>
      </c>
      <c r="M14" s="59">
        <f t="shared" si="4"/>
        <v>0.23745892332297552</v>
      </c>
      <c r="N14" s="59">
        <f t="shared" si="4"/>
        <v>0.18698445136841732</v>
      </c>
      <c r="O14" s="59">
        <f t="shared" si="4"/>
        <v>0.1252091024606862</v>
      </c>
      <c r="P14" s="59">
        <f t="shared" si="4"/>
        <v>7.3686962935160832E-2</v>
      </c>
      <c r="Q14" s="59">
        <f t="shared" si="4"/>
        <v>0.28355613436642557</v>
      </c>
      <c r="R14" s="59">
        <f t="shared" si="4"/>
        <v>0.2178039008919847</v>
      </c>
      <c r="S14" s="59">
        <f t="shared" si="4"/>
        <v>0.15870233315776622</v>
      </c>
      <c r="T14" s="59">
        <f t="shared" si="4"/>
        <v>8.0835938113081734E-2</v>
      </c>
      <c r="U14" s="59">
        <f t="shared" si="4"/>
        <v>0.35920222224614096</v>
      </c>
      <c r="V14" s="59">
        <f t="shared" si="4"/>
        <v>0.29157960253369136</v>
      </c>
      <c r="W14" s="59">
        <f t="shared" si="4"/>
        <v>0.21273523625670215</v>
      </c>
      <c r="X14" s="59">
        <f t="shared" si="4"/>
        <v>9.776658508416676E-2</v>
      </c>
      <c r="Y14" s="59">
        <f t="shared" si="4"/>
        <v>0.39509880779573292</v>
      </c>
      <c r="Z14" s="59">
        <f t="shared" si="4"/>
        <v>0.34190198614613537</v>
      </c>
      <c r="AA14" s="59">
        <f t="shared" si="4"/>
        <v>0.25872197467168062</v>
      </c>
      <c r="AB14" s="59">
        <f t="shared" si="4"/>
        <v>0.10968884470936117</v>
      </c>
      <c r="AC14" s="59">
        <f t="shared" si="4"/>
        <v>0.36407976618313981</v>
      </c>
      <c r="AD14" s="59">
        <f t="shared" si="4"/>
        <v>0.30024187027066529</v>
      </c>
      <c r="AE14" s="59">
        <f t="shared" si="4"/>
        <v>0.23979191322509627</v>
      </c>
      <c r="AF14" s="59">
        <f t="shared" si="4"/>
        <v>9.6943783280025828E-2</v>
      </c>
      <c r="AG14" s="59">
        <f t="shared" si="4"/>
        <v>0.28785191319467734</v>
      </c>
      <c r="AH14" s="59">
        <f t="shared" si="4"/>
        <v>0.24890879577384675</v>
      </c>
      <c r="AI14" s="59">
        <f t="shared" si="4"/>
        <v>0.19564562762724311</v>
      </c>
      <c r="AJ14" s="59">
        <f t="shared" si="4"/>
        <v>8.4045208303480279E-2</v>
      </c>
      <c r="AK14" s="59">
        <f t="shared" si="4"/>
        <v>0.31074419841849854</v>
      </c>
      <c r="AL14" s="59">
        <f t="shared" si="4"/>
        <v>0.27995816545535268</v>
      </c>
      <c r="AM14" s="59">
        <f t="shared" si="4"/>
        <v>0.22243848353277212</v>
      </c>
      <c r="AN14" s="59">
        <f t="shared" si="4"/>
        <v>0.10143082243137862</v>
      </c>
      <c r="AO14" s="59">
        <f t="shared" si="4"/>
        <v>0.3477887389801817</v>
      </c>
      <c r="AP14" s="59">
        <f t="shared" si="4"/>
        <v>0.30574602883753299</v>
      </c>
      <c r="AQ14" s="59">
        <f t="shared" si="4"/>
        <v>0.238663256350514</v>
      </c>
      <c r="AR14" s="59">
        <f t="shared" si="4"/>
        <v>9.8756681570184135E-2</v>
      </c>
      <c r="AS14" s="59">
        <f t="shared" si="4"/>
        <v>0.35441553664080594</v>
      </c>
      <c r="AT14" s="59">
        <f t="shared" si="4"/>
        <v>0.24007566891396795</v>
      </c>
      <c r="AU14" s="59">
        <f t="shared" si="4"/>
        <v>0.14373517246192455</v>
      </c>
      <c r="AV14" s="59">
        <f t="shared" si="4"/>
        <v>9.5347279187564249E-2</v>
      </c>
      <c r="AW14" s="59">
        <f t="shared" si="4"/>
        <v>0.26246510302325327</v>
      </c>
      <c r="AX14" s="59">
        <f t="shared" si="4"/>
        <v>0.18349149182637439</v>
      </c>
      <c r="AY14" s="59">
        <f t="shared" si="4"/>
        <v>0.1253362082858907</v>
      </c>
      <c r="AZ14" s="59">
        <f t="shared" si="4"/>
        <v>8.3835676369588663E-2</v>
      </c>
      <c r="BA14" s="59">
        <f t="shared" si="4"/>
        <v>0.22645945191893022</v>
      </c>
      <c r="BB14" s="59">
        <f t="shared" si="4"/>
        <v>0.15414673128239767</v>
      </c>
      <c r="BC14" s="59">
        <f t="shared" si="4"/>
        <v>0.10713747992828364</v>
      </c>
      <c r="BD14" s="59">
        <f t="shared" si="4"/>
        <v>8.3453481966231993E-2</v>
      </c>
      <c r="BE14" s="59">
        <f t="shared" si="4"/>
        <v>0.20256805648966253</v>
      </c>
      <c r="BF14" s="59">
        <f t="shared" si="4"/>
        <v>0.13793002736325871</v>
      </c>
      <c r="BG14" s="59">
        <f t="shared" si="4"/>
        <v>9.5373030681334403E-2</v>
      </c>
      <c r="BH14" s="59">
        <f t="shared" si="4"/>
        <v>7.2785876915641104E-2</v>
      </c>
      <c r="BI14" s="59">
        <f t="shared" si="4"/>
        <v>0.17492115692743196</v>
      </c>
      <c r="BJ14" s="59">
        <f t="shared" si="4"/>
        <v>0.11369954600847579</v>
      </c>
      <c r="BK14" s="59">
        <f t="shared" si="4"/>
        <v>8.3446459621914243E-2</v>
      </c>
      <c r="BL14" s="59">
        <f t="shared" si="4"/>
        <v>7.2178765973303013E-2</v>
      </c>
      <c r="BM14" s="59">
        <f t="shared" si="4"/>
        <v>0.13539908702083364</v>
      </c>
      <c r="BN14" s="59">
        <f t="shared" si="4"/>
        <v>0.11110357288377047</v>
      </c>
      <c r="BO14" s="59">
        <f t="shared" si="4"/>
        <v>8.8219484632029194E-2</v>
      </c>
      <c r="BP14" s="59">
        <f t="shared" si="4"/>
        <v>7.7420565311610692E-2</v>
      </c>
      <c r="BQ14" s="59">
        <f t="shared" si="4"/>
        <v>0.13443298040366142</v>
      </c>
      <c r="BR14" s="59">
        <f t="shared" ref="BR14:CJ14" si="5">BR6*BR7*BR9*BR10*BR12</f>
        <v>0.4079888950886536</v>
      </c>
      <c r="BS14" s="59">
        <f t="shared" si="5"/>
        <v>0.5773908206391537</v>
      </c>
      <c r="BT14" s="59">
        <f t="shared" si="5"/>
        <v>0.75451915115445445</v>
      </c>
      <c r="BU14" s="59">
        <f t="shared" si="5"/>
        <v>0.62308330792074496</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697</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48" customFormat="1" x14ac:dyDescent="0.25">
      <c r="A18" s="247"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36525</v>
      </c>
      <c r="BU18" s="1">
        <v>36160</v>
      </c>
      <c r="BV18" s="1">
        <v>25569</v>
      </c>
      <c r="BW18" s="1"/>
      <c r="BX18" s="1"/>
      <c r="BY18" s="1"/>
      <c r="BZ18" s="1"/>
      <c r="CA18" s="1"/>
      <c r="CB18" s="1"/>
      <c r="CC18" s="1"/>
      <c r="CD18" s="1"/>
      <c r="CE18" s="1"/>
      <c r="CF18" s="1"/>
      <c r="CG18" s="1"/>
      <c r="CH18" s="1"/>
      <c r="CI18" s="1"/>
      <c r="CJ18" s="1"/>
      <c r="CK18" s="1"/>
    </row>
    <row r="19" spans="1:89" s="116" customFormat="1" x14ac:dyDescent="0.25">
      <c r="A19" s="157" t="s">
        <v>446</v>
      </c>
      <c r="B19" s="76">
        <v>43373</v>
      </c>
      <c r="C19" s="76">
        <v>43281</v>
      </c>
      <c r="D19" s="76">
        <v>43190</v>
      </c>
      <c r="E19" s="76">
        <f>股权价值增加表!E4</f>
        <v>58217861314.169998</v>
      </c>
      <c r="F19" s="76">
        <f>股权价值增加表!F4</f>
        <v>42450467500.010002</v>
      </c>
      <c r="G19" s="76">
        <f>股权价值增加表!G4</f>
        <v>24190030218.959999</v>
      </c>
      <c r="H19" s="76">
        <f>股权价值增加表!H4</f>
        <v>13308639084.870001</v>
      </c>
      <c r="I19" s="76">
        <f>股权价值增加表!I4</f>
        <v>38862189993.839996</v>
      </c>
      <c r="J19" s="76">
        <f>股权价值增加表!J4</f>
        <v>26631884032.43</v>
      </c>
      <c r="K19" s="76">
        <f>股权价值增加表!K4</f>
        <v>18173234673.439999</v>
      </c>
      <c r="L19" s="76">
        <f>股权价值增加表!L4</f>
        <v>9988753730.9699993</v>
      </c>
      <c r="M19" s="76">
        <f>股权价值增加表!M4</f>
        <v>32659583725.279999</v>
      </c>
      <c r="N19" s="76">
        <f>股权价值增加表!N4</f>
        <v>23148688960.889999</v>
      </c>
      <c r="O19" s="76">
        <f>股权价值增加表!O4</f>
        <v>15778647465.950001</v>
      </c>
      <c r="P19" s="76">
        <f>股权价值增加表!P4</f>
        <v>8544273436</v>
      </c>
      <c r="Q19" s="76">
        <f>股权价值增加表!Q4</f>
        <v>31573928530.939999</v>
      </c>
      <c r="R19" s="76">
        <f>股权价值增加表!R4</f>
        <v>21718189167.610001</v>
      </c>
      <c r="S19" s="76">
        <f>股权价值增加表!S4</f>
        <v>14321628403.09</v>
      </c>
      <c r="T19" s="76">
        <f>股权价值增加表!T4</f>
        <v>7449825750.6400003</v>
      </c>
      <c r="U19" s="76">
        <f>股权价值增加表!U4</f>
        <v>30921801316.599998</v>
      </c>
      <c r="V19" s="76">
        <f>股权价值增加表!V4</f>
        <v>21935713045.240002</v>
      </c>
      <c r="W19" s="76">
        <f>股权价值增加表!W4</f>
        <v>14127867191.110001</v>
      </c>
      <c r="X19" s="76">
        <f>股权价值增加表!X4</f>
        <v>7165785851.6099997</v>
      </c>
      <c r="Y19" s="76">
        <f>股权价值增加表!Y4</f>
        <v>26455335152.990002</v>
      </c>
      <c r="Z19" s="76">
        <f>股权价值增加表!Z4</f>
        <v>19931438600.48</v>
      </c>
      <c r="AA19" s="76">
        <f>股权价值增加表!AA4</f>
        <v>13264437836.41</v>
      </c>
      <c r="AB19" s="76">
        <f>股权价值增加表!AB4</f>
        <v>6015967741.6199999</v>
      </c>
      <c r="AC19" s="76">
        <f>股权价值增加表!AC4</f>
        <v>18402355207.299999</v>
      </c>
      <c r="AD19" s="76">
        <f>股权价值增加表!AD4</f>
        <v>13642075480.07</v>
      </c>
      <c r="AE19" s="76">
        <f>股权价值增加表!AE4</f>
        <v>9825823427.0799999</v>
      </c>
      <c r="AF19" s="76">
        <f>股权价值增加表!AF4</f>
        <v>4220589097.9400001</v>
      </c>
      <c r="AG19" s="76">
        <f>股权价值增加表!AG4</f>
        <v>11633283740.18</v>
      </c>
      <c r="AH19" s="76">
        <f>股权价值增加表!AH4</f>
        <v>9327577784.1200008</v>
      </c>
      <c r="AI19" s="76">
        <f>股权价值增加表!AI4</f>
        <v>6587266362.7799997</v>
      </c>
      <c r="AJ19" s="76">
        <f>股权价值增加表!AJ4</f>
        <v>3039906100.4099998</v>
      </c>
      <c r="AK19" s="76">
        <f>股权价值增加表!AK4</f>
        <v>9669999065.3899994</v>
      </c>
      <c r="AL19" s="76">
        <f>股权价值增加表!AL4</f>
        <v>7807202385.7799997</v>
      </c>
      <c r="AM19" s="76">
        <f>股权价值增加表!AM4</f>
        <v>5546006031.29</v>
      </c>
      <c r="AN19" s="76">
        <f>股权价值增加表!AN4</f>
        <v>2512537167.1999998</v>
      </c>
      <c r="AO19" s="76">
        <f>股权价值增加表!AO4</f>
        <v>8241685564.1099997</v>
      </c>
      <c r="AP19" s="76">
        <f>股权价值增加表!AP4</f>
        <v>6486517281.0100002</v>
      </c>
      <c r="AQ19" s="76">
        <f>股权价值增加表!AQ4</f>
        <v>4619717309.6000004</v>
      </c>
      <c r="AR19" s="76">
        <f>股权价值增加表!AR4</f>
        <v>1993496395.46</v>
      </c>
      <c r="AS19" s="76">
        <f>股权价值增加表!AS4</f>
        <v>7237430747.1199999</v>
      </c>
      <c r="AT19" s="76">
        <f>股权价值增加表!AT4</f>
        <v>4458382249.2600002</v>
      </c>
      <c r="AU19" s="76">
        <f>股权价值增加表!AU4</f>
        <v>2629088876.4200001</v>
      </c>
      <c r="AV19" s="76">
        <f>股权价值增加表!AV4</f>
        <v>1587538095.6800001</v>
      </c>
      <c r="AW19" s="76">
        <f>股权价值增加表!AW4</f>
        <v>4896186901.21</v>
      </c>
      <c r="AX19" s="76">
        <f>股权价值增加表!AX4</f>
        <v>3249453246.71</v>
      </c>
      <c r="AY19" s="76">
        <f>股权价值增加表!AY4</f>
        <v>2029461983.6600001</v>
      </c>
      <c r="AZ19" s="76">
        <f>股权价值增加表!AZ4</f>
        <v>1354498050.1700001</v>
      </c>
      <c r="BA19" s="76">
        <f>股权价值增加表!BA4</f>
        <v>3930515237.6100001</v>
      </c>
      <c r="BB19" s="76">
        <f>股权价值增加表!BB4</f>
        <v>2580318873.25</v>
      </c>
      <c r="BC19" s="76">
        <f>股权价值增加表!BC4</f>
        <v>1686144341.9100001</v>
      </c>
      <c r="BD19" s="76">
        <f>股权价值增加表!BD4</f>
        <v>1144017320.6199999</v>
      </c>
      <c r="BE19" s="76">
        <f>股权价值增加表!BE4</f>
        <v>3009793519.9200001</v>
      </c>
      <c r="BF19" s="76">
        <f>股权价值增加表!BF4</f>
        <v>2070438172.6500001</v>
      </c>
      <c r="BG19" s="76">
        <f>股权价值增加表!BG4</f>
        <v>1314109209.0599999</v>
      </c>
      <c r="BH19" s="76">
        <f>股权价值增加表!BH4</f>
        <v>853431905.86000001</v>
      </c>
      <c r="BI19" s="76">
        <f>股权价值增加表!BI4</f>
        <v>2401017934.9299998</v>
      </c>
      <c r="BJ19" s="76">
        <f>股权价值增加表!BJ4</f>
        <v>1552744360.0999999</v>
      </c>
      <c r="BK19" s="76">
        <f>股权价值增加表!BK4</f>
        <v>1009047565.48</v>
      </c>
      <c r="BL19" s="76">
        <f>股权价值增加表!BL4</f>
        <v>733889255.88999999</v>
      </c>
      <c r="BM19" s="76">
        <f>股权价值增加表!BM4</f>
        <v>1834898294.9000001</v>
      </c>
      <c r="BN19" s="76">
        <f>股权价值增加表!BN4</f>
        <v>1363886224.3199999</v>
      </c>
      <c r="BO19" s="76">
        <f>股权价值增加表!BO4</f>
        <v>955654212.62</v>
      </c>
      <c r="BP19" s="76">
        <f>股权价值增加表!BP4</f>
        <v>718014858.52999997</v>
      </c>
      <c r="BQ19" s="76">
        <f>股权价值增加表!BQ4</f>
        <v>1618046660.3099999</v>
      </c>
      <c r="BR19" s="76">
        <f>股权价值增加表!BR4</f>
        <v>873863478.94000006</v>
      </c>
      <c r="BS19" s="76">
        <f>股权价值增加表!BS4</f>
        <v>1114000813.26</v>
      </c>
      <c r="BT19" s="76">
        <f>股权价值增加表!BT4</f>
        <v>890858185.63999999</v>
      </c>
      <c r="BU19" s="76">
        <f>股权价值增加表!BU4</f>
        <v>628184433.19000006</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7" t="s">
        <v>447</v>
      </c>
      <c r="E20" s="76">
        <f>股权价值增加表!E15</f>
        <v>35970633343.730003</v>
      </c>
      <c r="F20" s="76">
        <f>股权价值增加表!F15</f>
        <v>26524201357.680004</v>
      </c>
      <c r="G20" s="76">
        <f>股权价值增加表!G15</f>
        <v>14811232432.109999</v>
      </c>
      <c r="H20" s="76">
        <f>股权价值增加表!H15</f>
        <v>8153918546.2400007</v>
      </c>
      <c r="I20" s="76">
        <f>股权价值增加表!I15</f>
        <v>22754058956.889999</v>
      </c>
      <c r="J20" s="76">
        <f>股权价值增加表!J15</f>
        <v>17224302576.93</v>
      </c>
      <c r="K20" s="76">
        <f>股权价值增加表!K15</f>
        <v>12244780312.01</v>
      </c>
      <c r="L20" s="76">
        <f>股权价值增加表!L15</f>
        <v>6968923187.1999989</v>
      </c>
      <c r="M20" s="76">
        <f>股权价值增加表!M15</f>
        <v>21215892085.159996</v>
      </c>
      <c r="N20" s="76">
        <f>股权价值增加表!N15</f>
        <v>15569153338.09</v>
      </c>
      <c r="O20" s="76">
        <f>股权价值增加表!O15</f>
        <v>10747899018.51</v>
      </c>
      <c r="P20" s="76">
        <f>股权价值增加表!P15</f>
        <v>5993303437.5699997</v>
      </c>
      <c r="Q20" s="76">
        <f>股权价值增加表!Q15</f>
        <v>21171255454.220001</v>
      </c>
      <c r="R20" s="76">
        <f>股权价值增加表!R15</f>
        <v>14669262457.400002</v>
      </c>
      <c r="S20" s="76">
        <f>股权价值增加表!S15</f>
        <v>9901107345.6399994</v>
      </c>
      <c r="T20" s="76">
        <f>股权价值增加表!T15</f>
        <v>5171247404.3500004</v>
      </c>
      <c r="U20" s="76">
        <f>股权价值增加表!U15</f>
        <v>20886644190.5</v>
      </c>
      <c r="V20" s="76">
        <f>股权价值增加表!V15</f>
        <v>15269182006.340002</v>
      </c>
      <c r="W20" s="76">
        <f>股权价值增加表!W15</f>
        <v>9874167661.1199989</v>
      </c>
      <c r="X20" s="76">
        <f>股权价值增加表!X15</f>
        <v>5003369013.6899986</v>
      </c>
      <c r="Y20" s="76">
        <f>股权价值增加表!Y15</f>
        <v>18275808106.600002</v>
      </c>
      <c r="Z20" s="76">
        <f>股权价值增加表!Z15</f>
        <v>14284688218.48</v>
      </c>
      <c r="AA20" s="76">
        <f>股权价值增加表!AA15</f>
        <v>9609872110.0600014</v>
      </c>
      <c r="AB20" s="76">
        <f>股权价值增加表!AB15</f>
        <v>4077516924.8699999</v>
      </c>
      <c r="AC20" s="76">
        <f>股权价值增加表!AC15</f>
        <v>11980173666.880001</v>
      </c>
      <c r="AD20" s="76">
        <f>股权价值增加表!AD15</f>
        <v>9058450996.3900013</v>
      </c>
      <c r="AE20" s="76">
        <f>股权价值增加表!AE15</f>
        <v>6735261844.8100004</v>
      </c>
      <c r="AF20" s="76">
        <f>股权价值增加表!AF15</f>
        <v>2600539114.4500003</v>
      </c>
      <c r="AG20" s="76">
        <f>股权价值增加表!AG15</f>
        <v>6985086471.6799994</v>
      </c>
      <c r="AH20" s="76">
        <f>股权价值增加表!AH15</f>
        <v>5758077960.8400002</v>
      </c>
      <c r="AI20" s="76">
        <f>股权价值增加表!AI15</f>
        <v>4277458985.2599998</v>
      </c>
      <c r="AJ20" s="76">
        <f>股权价值增加表!AJ15</f>
        <v>1746532659.9299996</v>
      </c>
      <c r="AK20" s="76">
        <f>股权价值增加表!AK15</f>
        <v>5945694321.5999994</v>
      </c>
      <c r="AL20" s="76">
        <f>股权价值增加表!AL15</f>
        <v>5213965295.1599998</v>
      </c>
      <c r="AM20" s="76">
        <f>股权价值增加表!AM15</f>
        <v>3817279631.7800002</v>
      </c>
      <c r="AN20" s="76">
        <f>股权价值增加表!AN15</f>
        <v>1623434688.2499998</v>
      </c>
      <c r="AO20" s="76">
        <f>股权价值增加表!AO15</f>
        <v>5281477622.8300009</v>
      </c>
      <c r="AP20" s="76">
        <f>股权价值增加表!AP15</f>
        <v>4340687719.5899992</v>
      </c>
      <c r="AQ20" s="76">
        <f>股权价值增加表!AQ15</f>
        <v>3088681669.3800011</v>
      </c>
      <c r="AR20" s="76">
        <f>股权价值增加表!AR15</f>
        <v>1182458284.9700003</v>
      </c>
      <c r="AS20" s="76">
        <f>股权价值增加表!AS15</f>
        <v>4475466240.9799995</v>
      </c>
      <c r="AT20" s="76">
        <f>股权价值增加表!AT15</f>
        <v>2469028799.0100002</v>
      </c>
      <c r="AU20" s="76">
        <f>股权价值增加表!AU15</f>
        <v>1327234251.7100003</v>
      </c>
      <c r="AV20" s="76">
        <f>股权价值增加表!AV15</f>
        <v>847416485.08000016</v>
      </c>
      <c r="AW20" s="76">
        <f>股权价值增加表!AW15</f>
        <v>2459083270.2400002</v>
      </c>
      <c r="AX20" s="76">
        <f>股权价值增加表!AX15</f>
        <v>1552235645.4000001</v>
      </c>
      <c r="AY20" s="76">
        <f>股权价值增加表!AY15</f>
        <v>965161342.11999989</v>
      </c>
      <c r="AZ20" s="76">
        <f>股权价值增加表!AZ15</f>
        <v>669613416.62</v>
      </c>
      <c r="BA20" s="76">
        <f>股权价值增加表!BA15</f>
        <v>1887504851.1300004</v>
      </c>
      <c r="BB20" s="76">
        <f>股权价值增加表!BB15</f>
        <v>1136484880.76</v>
      </c>
      <c r="BC20" s="76">
        <f>股权价值增加表!BC15</f>
        <v>748635044</v>
      </c>
      <c r="BD20" s="76">
        <f>股权价值增加表!BD15</f>
        <v>553948308.0999999</v>
      </c>
      <c r="BE20" s="76">
        <f>股权价值增加表!BE15</f>
        <v>1464361773.1400003</v>
      </c>
      <c r="BF20" s="76">
        <f>股权价值增加表!BF15</f>
        <v>853463721.18000007</v>
      </c>
      <c r="BG20" s="76">
        <f>股权价值增加表!BG15</f>
        <v>559754313.78999996</v>
      </c>
      <c r="BH20" s="76">
        <f>股权价值增加表!BH15</f>
        <v>394422790.95000005</v>
      </c>
      <c r="BI20" s="76">
        <f>股权价值增加表!BI15</f>
        <v>959558980.33999968</v>
      </c>
      <c r="BJ20" s="76">
        <f>股权价值增加表!BJ15</f>
        <v>581654427.37999988</v>
      </c>
      <c r="BK20" s="76">
        <f>股权价值增加表!BK15</f>
        <v>405130506.79000002</v>
      </c>
      <c r="BL20" s="76">
        <f>股权价值增加表!BL15</f>
        <v>337896003.24999994</v>
      </c>
      <c r="BM20" s="76">
        <f>股权价值增加表!BM15</f>
        <v>628559254.21000016</v>
      </c>
      <c r="BN20" s="76">
        <f>股权价值增加表!BN15</f>
        <v>510478001.96000004</v>
      </c>
      <c r="BO20" s="76">
        <f>股权价值增加表!BO15</f>
        <v>389228086.32999992</v>
      </c>
      <c r="BP20" s="76">
        <f>股权价值增加表!BP15</f>
        <v>334564336.5999999</v>
      </c>
      <c r="BQ20" s="76">
        <f>股权价值增加表!BQ15</f>
        <v>600311437.09999967</v>
      </c>
      <c r="BR20" s="76">
        <f>股权价值增加表!BR15</f>
        <v>373365639.61000001</v>
      </c>
      <c r="BS20" s="76">
        <f>股权价值增加表!BS15</f>
        <v>452474935.14999992</v>
      </c>
      <c r="BT20" s="76">
        <f>股权价值增加表!BT15</f>
        <v>364490805.42999995</v>
      </c>
      <c r="BU20" s="76">
        <f>股权价值增加表!BU15</f>
        <v>259853599.49000001</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2" customFormat="1" x14ac:dyDescent="0.25">
      <c r="A21" s="232" t="s">
        <v>448</v>
      </c>
      <c r="E21" s="242">
        <f>E20/E19</f>
        <v>0.61786250012888899</v>
      </c>
      <c r="F21" s="242">
        <f t="shared" ref="F21:BQ21" si="6">F20/F19</f>
        <v>0.62482707305105067</v>
      </c>
      <c r="G21" s="242">
        <f t="shared" si="6"/>
        <v>0.61228664445822167</v>
      </c>
      <c r="H21" s="242">
        <f t="shared" si="6"/>
        <v>0.61267861381182298</v>
      </c>
      <c r="I21" s="242">
        <f t="shared" si="6"/>
        <v>0.58550634847127037</v>
      </c>
      <c r="J21" s="242">
        <f t="shared" si="6"/>
        <v>0.64675494065518369</v>
      </c>
      <c r="K21" s="242">
        <f t="shared" si="6"/>
        <v>0.67378100442986211</v>
      </c>
      <c r="L21" s="242">
        <f t="shared" si="6"/>
        <v>0.69767694498192945</v>
      </c>
      <c r="M21" s="242">
        <f t="shared" si="6"/>
        <v>0.64960693509200895</v>
      </c>
      <c r="N21" s="242">
        <f t="shared" si="6"/>
        <v>0.67257171083832346</v>
      </c>
      <c r="O21" s="242">
        <f t="shared" si="6"/>
        <v>0.68116732069106345</v>
      </c>
      <c r="P21" s="242">
        <f t="shared" si="6"/>
        <v>0.70144096890885121</v>
      </c>
      <c r="Q21" s="242">
        <f t="shared" si="6"/>
        <v>0.67052965656376318</v>
      </c>
      <c r="R21" s="242">
        <f t="shared" si="6"/>
        <v>0.67543672007781375</v>
      </c>
      <c r="S21" s="242">
        <f t="shared" si="6"/>
        <v>0.69133949485128099</v>
      </c>
      <c r="T21" s="242">
        <f t="shared" si="6"/>
        <v>0.69414340381125672</v>
      </c>
      <c r="U21" s="242">
        <f t="shared" si="6"/>
        <v>0.67546660612191622</v>
      </c>
      <c r="V21" s="242">
        <f t="shared" si="6"/>
        <v>0.69608778957169015</v>
      </c>
      <c r="W21" s="242">
        <f t="shared" si="6"/>
        <v>0.69891424710825045</v>
      </c>
      <c r="X21" s="242">
        <f t="shared" si="6"/>
        <v>0.69823032913631489</v>
      </c>
      <c r="Y21" s="242">
        <f t="shared" si="6"/>
        <v>0.69081748543013477</v>
      </c>
      <c r="Z21" s="242">
        <f t="shared" si="6"/>
        <v>0.71669127877884276</v>
      </c>
      <c r="AA21" s="242">
        <f t="shared" si="6"/>
        <v>0.72448393430451619</v>
      </c>
      <c r="AB21" s="242">
        <f t="shared" si="6"/>
        <v>0.67778237849593126</v>
      </c>
      <c r="AC21" s="242">
        <f t="shared" si="6"/>
        <v>0.65101306500852707</v>
      </c>
      <c r="AD21" s="242">
        <f t="shared" si="6"/>
        <v>0.66400827422657838</v>
      </c>
      <c r="AE21" s="242">
        <f t="shared" si="6"/>
        <v>0.6854653856538474</v>
      </c>
      <c r="AF21" s="242">
        <f t="shared" si="6"/>
        <v>0.61615548306260859</v>
      </c>
      <c r="AG21" s="242">
        <f t="shared" si="6"/>
        <v>0.60043979221054566</v>
      </c>
      <c r="AH21" s="242">
        <f t="shared" si="6"/>
        <v>0.61731760314483819</v>
      </c>
      <c r="AI21" s="242">
        <f t="shared" si="6"/>
        <v>0.64935266766027655</v>
      </c>
      <c r="AJ21" s="242">
        <f t="shared" si="6"/>
        <v>0.57453506859782288</v>
      </c>
      <c r="AK21" s="242">
        <f t="shared" si="6"/>
        <v>0.61485986517623359</v>
      </c>
      <c r="AL21" s="242">
        <f t="shared" si="6"/>
        <v>0.66784041677422001</v>
      </c>
      <c r="AM21" s="242">
        <f t="shared" si="6"/>
        <v>0.68829345122296981</v>
      </c>
      <c r="AN21" s="242">
        <f t="shared" si="6"/>
        <v>0.64613360130277153</v>
      </c>
      <c r="AO21" s="242">
        <f t="shared" si="6"/>
        <v>0.64082493583948508</v>
      </c>
      <c r="AP21" s="242">
        <f t="shared" si="6"/>
        <v>0.66918617981606932</v>
      </c>
      <c r="AQ21" s="242">
        <f t="shared" si="6"/>
        <v>0.66858672563396215</v>
      </c>
      <c r="AR21" s="242">
        <f t="shared" si="6"/>
        <v>0.59315797493436029</v>
      </c>
      <c r="AS21" s="242">
        <f t="shared" si="6"/>
        <v>0.61837776378874887</v>
      </c>
      <c r="AT21" s="242">
        <f t="shared" si="6"/>
        <v>0.55379477599073257</v>
      </c>
      <c r="AU21" s="242">
        <f t="shared" si="6"/>
        <v>0.50482669628014998</v>
      </c>
      <c r="AV21" s="242">
        <f t="shared" si="6"/>
        <v>0.53379285031709489</v>
      </c>
      <c r="AW21" s="242">
        <f t="shared" si="6"/>
        <v>0.50224456701852704</v>
      </c>
      <c r="AX21" s="242">
        <f t="shared" si="6"/>
        <v>0.47769133067897024</v>
      </c>
      <c r="AY21" s="242">
        <f t="shared" si="6"/>
        <v>0.47557497991630049</v>
      </c>
      <c r="AZ21" s="242">
        <f t="shared" si="6"/>
        <v>0.49436277633323894</v>
      </c>
      <c r="BA21" s="242">
        <f t="shared" si="6"/>
        <v>0.48021817421517532</v>
      </c>
      <c r="BB21" s="242">
        <f t="shared" si="6"/>
        <v>0.44044357949006446</v>
      </c>
      <c r="BC21" s="242">
        <f t="shared" si="6"/>
        <v>0.44399226412133541</v>
      </c>
      <c r="BD21" s="242">
        <f t="shared" si="6"/>
        <v>0.48421321785564203</v>
      </c>
      <c r="BE21" s="242">
        <f t="shared" si="6"/>
        <v>0.48653230311258128</v>
      </c>
      <c r="BF21" s="242">
        <f t="shared" si="6"/>
        <v>0.41221405809362216</v>
      </c>
      <c r="BG21" s="242">
        <f t="shared" si="6"/>
        <v>0.42595722633311411</v>
      </c>
      <c r="BH21" s="242">
        <f t="shared" si="6"/>
        <v>0.46216082178523865</v>
      </c>
      <c r="BI21" s="242">
        <f t="shared" si="6"/>
        <v>0.39964673581997839</v>
      </c>
      <c r="BJ21" s="242">
        <f t="shared" si="6"/>
        <v>0.37459767513986664</v>
      </c>
      <c r="BK21" s="242">
        <f t="shared" si="6"/>
        <v>0.40149792799636852</v>
      </c>
      <c r="BL21" s="242">
        <f t="shared" si="6"/>
        <v>0.46041824503920242</v>
      </c>
      <c r="BM21" s="242">
        <f t="shared" si="6"/>
        <v>0.34255808943582672</v>
      </c>
      <c r="BN21" s="242">
        <f t="shared" si="6"/>
        <v>0.37428195465095471</v>
      </c>
      <c r="BO21" s="242">
        <f t="shared" si="6"/>
        <v>0.40728966731899918</v>
      </c>
      <c r="BP21" s="242">
        <f t="shared" si="6"/>
        <v>0.46595739994149604</v>
      </c>
      <c r="BQ21" s="242">
        <f t="shared" si="6"/>
        <v>0.37100996641529893</v>
      </c>
      <c r="BR21" s="242">
        <f t="shared" ref="BR21:CK21" si="7">BR20/BR19</f>
        <v>0.4272585462238267</v>
      </c>
      <c r="BS21" s="242">
        <f t="shared" si="7"/>
        <v>0.40617109948589908</v>
      </c>
      <c r="BT21" s="242">
        <f t="shared" si="7"/>
        <v>0.4091457106252514</v>
      </c>
      <c r="BU21" s="242">
        <f t="shared" si="7"/>
        <v>0.41365813248575828</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684</v>
      </c>
      <c r="E22" s="26">
        <f>资产资本表!E69</f>
        <v>18333177293.660004</v>
      </c>
      <c r="F22" s="191">
        <f>资产资本表!F69</f>
        <v>19038618531.790001</v>
      </c>
      <c r="G22" s="191">
        <f>资产资本表!G69</f>
        <v>22375469750.970001</v>
      </c>
      <c r="H22" s="191">
        <f>资产资本表!H69</f>
        <v>19819663109.770004</v>
      </c>
      <c r="I22" s="191">
        <f>资产资本表!I69</f>
        <v>19236142330.050003</v>
      </c>
      <c r="J22" s="191">
        <f>资产资本表!J69</f>
        <v>21462163431.490002</v>
      </c>
      <c r="K22" s="191">
        <f>资产资本表!K69</f>
        <v>32248320744.110001</v>
      </c>
      <c r="L22" s="191">
        <f>资产资本表!L69</f>
        <v>33465523930.550003</v>
      </c>
      <c r="M22" s="191">
        <f>资产资本表!M69</f>
        <v>35294605221.290001</v>
      </c>
      <c r="N22" s="191">
        <f>资产资本表!N69</f>
        <v>37578209319.600006</v>
      </c>
      <c r="O22" s="191">
        <f>资产资本表!O69</f>
        <v>36261021443.699997</v>
      </c>
      <c r="P22" s="191">
        <f>资产资本表!P69</f>
        <v>34165256625.169998</v>
      </c>
      <c r="Q22" s="191">
        <f>资产资本表!Q69</f>
        <v>31459788629.68</v>
      </c>
      <c r="R22" s="191">
        <f>资产资本表!R69</f>
        <v>31513581175.470001</v>
      </c>
      <c r="S22" s="191">
        <f>资产资本表!S69</f>
        <v>29600828359.630001</v>
      </c>
      <c r="T22" s="191">
        <f>资产资本表!T69</f>
        <v>27005784131.07</v>
      </c>
      <c r="U22" s="191">
        <f>资产资本表!U69</f>
        <v>21411529282.779999</v>
      </c>
      <c r="V22" s="191">
        <f>资产资本表!V69</f>
        <v>20665520717.809998</v>
      </c>
      <c r="W22" s="191">
        <f>资产资本表!W69</f>
        <v>20864084058.559998</v>
      </c>
      <c r="X22" s="191">
        <f>资产资本表!X69</f>
        <v>17266112795.889999</v>
      </c>
      <c r="Y22" s="191">
        <f>资产资本表!Y69</f>
        <v>13073423733.859999</v>
      </c>
      <c r="Z22" s="191">
        <f>资产资本表!Z69</f>
        <v>13177266167.59</v>
      </c>
      <c r="AA22" s="191">
        <f>资产资本表!AA69</f>
        <v>11388895016.580002</v>
      </c>
      <c r="AB22" s="191">
        <f>资产资本表!AB69</f>
        <v>9472857395.9499989</v>
      </c>
      <c r="AC22" s="191">
        <f>资产资本表!AC69</f>
        <v>6859506689.1999989</v>
      </c>
      <c r="AD22" s="191">
        <f>资产资本表!AD69</f>
        <v>4780928465.1400023</v>
      </c>
      <c r="AE22" s="191">
        <f>资产资本表!AE69</f>
        <v>6330739827.5599995</v>
      </c>
      <c r="AF22" s="191">
        <f>资产资本表!AF69</f>
        <v>4757328279.9800014</v>
      </c>
      <c r="AG22" s="191">
        <f>资产资本表!AG69</f>
        <v>5872851576.2800007</v>
      </c>
      <c r="AH22" s="191">
        <f>资产资本表!AH69</f>
        <v>6774650753.2599993</v>
      </c>
      <c r="AI22" s="191">
        <f>资产资本表!AI69</f>
        <v>7541572650</v>
      </c>
      <c r="AJ22" s="191">
        <f>资产资本表!AJ69</f>
        <v>6001329308.4499989</v>
      </c>
      <c r="AK22" s="191">
        <f>资产资本表!AK69</f>
        <v>5029708301.5900011</v>
      </c>
      <c r="AL22" s="191">
        <f>资产资本表!AL69</f>
        <v>6287723893.2299995</v>
      </c>
      <c r="AM22" s="191">
        <f>资产资本表!AM69</f>
        <v>6397372476.7400007</v>
      </c>
      <c r="AN22" s="191">
        <f>资产资本表!AN69</f>
        <v>5059053107.4699993</v>
      </c>
      <c r="AO22" s="191">
        <f>资产资本表!AO69</f>
        <v>3360912854.7899995</v>
      </c>
      <c r="AP22" s="191">
        <f>资产资本表!AP69</f>
        <v>4476893441.9700003</v>
      </c>
      <c r="AQ22" s="191">
        <f>资产资本表!AQ69</f>
        <v>4863768054.29</v>
      </c>
      <c r="AR22" s="191">
        <f>资产资本表!AR69</f>
        <v>3720424578.7800002</v>
      </c>
      <c r="AS22" s="191">
        <f>资产资本表!AS69</f>
        <v>3622372028.46</v>
      </c>
      <c r="AT22" s="191">
        <f>资产资本表!AT69</f>
        <v>2176691346.0199995</v>
      </c>
      <c r="AU22" s="191">
        <f>资产资本表!AU69</f>
        <v>2067789212.2799997</v>
      </c>
      <c r="AV22" s="191">
        <f>资产资本表!AV69</f>
        <v>1891810367.920001</v>
      </c>
      <c r="AW22" s="191">
        <f>资产资本表!AW69</f>
        <v>1486635400.0999994</v>
      </c>
      <c r="AX22" s="191">
        <f>资产资本表!AX69</f>
        <v>1377391992.3499999</v>
      </c>
      <c r="AY22" s="191">
        <f>资产资本表!AY69</f>
        <v>1631145242.6799998</v>
      </c>
      <c r="AZ22" s="191">
        <f>资产资本表!AZ69</f>
        <v>1688319464.6699998</v>
      </c>
      <c r="BA22" s="191">
        <f>资产资本表!BA69</f>
        <v>1307063952.8499997</v>
      </c>
      <c r="BB22" s="191">
        <f>资产资本表!BB69</f>
        <v>1588346585.8</v>
      </c>
      <c r="BC22" s="191">
        <f>资产资本表!BC69</f>
        <v>1655608553.8800004</v>
      </c>
      <c r="BD22" s="191">
        <f>资产资本表!BD69</f>
        <v>1634730365.1000001</v>
      </c>
      <c r="BE22" s="191">
        <f>资产资本表!BE69</f>
        <v>1341054577.3899999</v>
      </c>
      <c r="BF22" s="191">
        <f>资产资本表!BF69</f>
        <v>1605676607.9200003</v>
      </c>
      <c r="BG22" s="191">
        <f>资产资本表!BG69</f>
        <v>1712813847.1399999</v>
      </c>
      <c r="BH22" s="191">
        <f>资产资本表!BH69</f>
        <v>1702963227.2399995</v>
      </c>
      <c r="BI22" s="191">
        <f>资产资本表!BI69</f>
        <v>1141951027.0599999</v>
      </c>
      <c r="BJ22" s="191">
        <f>资产资本表!BJ69</f>
        <v>1428663361.3499999</v>
      </c>
      <c r="BK22" s="191">
        <f>资产资本表!BK69</f>
        <v>1657124345.98</v>
      </c>
      <c r="BL22" s="191">
        <f>资产资本表!BL69</f>
        <v>1481219769.5</v>
      </c>
      <c r="BM22" s="191">
        <f>资产资本表!BM69</f>
        <v>1156510605.9400001</v>
      </c>
      <c r="BN22" s="191">
        <f>资产资本表!BN69</f>
        <v>1324772403.8</v>
      </c>
      <c r="BO22" s="191">
        <f>资产资本表!BO69</f>
        <v>1438216942.6100001</v>
      </c>
      <c r="BP22" s="191">
        <f>资产资本表!BP69</f>
        <v>1049460358.12</v>
      </c>
      <c r="BQ22" s="191">
        <f>资产资本表!BQ69</f>
        <v>724202035.17000008</v>
      </c>
      <c r="BR22" s="191">
        <f>资产资本表!BR69</f>
        <v>501098351.51999992</v>
      </c>
      <c r="BS22" s="191">
        <f>资产资本表!BS69</f>
        <v>95396445.859999955</v>
      </c>
      <c r="BT22" s="191">
        <f>资产资本表!BT69</f>
        <v>258737224.83000001</v>
      </c>
      <c r="BU22" s="191">
        <f>资产资本表!BU69</f>
        <v>324658521.35000002</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685</v>
      </c>
      <c r="E23" s="244">
        <f>E19/E22</f>
        <v>3.1755467359333811</v>
      </c>
      <c r="F23" s="244">
        <f t="shared" ref="F23:BQ23" si="8">F19/F22</f>
        <v>2.2297031388662858</v>
      </c>
      <c r="G23" s="244">
        <f t="shared" si="8"/>
        <v>1.0810959719811619</v>
      </c>
      <c r="H23" s="244">
        <f t="shared" si="8"/>
        <v>0.67148664491222221</v>
      </c>
      <c r="I23" s="244">
        <f t="shared" si="8"/>
        <v>2.0202694140566266</v>
      </c>
      <c r="J23" s="244">
        <f t="shared" si="8"/>
        <v>1.2408760243319559</v>
      </c>
      <c r="K23" s="244">
        <f t="shared" si="8"/>
        <v>0.56354049619030944</v>
      </c>
      <c r="L23" s="244">
        <f t="shared" si="8"/>
        <v>0.29847892869388093</v>
      </c>
      <c r="M23" s="244">
        <f t="shared" si="8"/>
        <v>0.92534208898246761</v>
      </c>
      <c r="N23" s="244">
        <f t="shared" si="8"/>
        <v>0.6160136254501124</v>
      </c>
      <c r="O23" s="244">
        <f t="shared" si="8"/>
        <v>0.4351407334304806</v>
      </c>
      <c r="P23" s="244">
        <f t="shared" si="8"/>
        <v>0.25008661663923581</v>
      </c>
      <c r="Q23" s="244">
        <f t="shared" si="8"/>
        <v>1.0036281204112196</v>
      </c>
      <c r="R23" s="244">
        <f t="shared" si="8"/>
        <v>0.68916918856925469</v>
      </c>
      <c r="S23" s="244">
        <f t="shared" si="8"/>
        <v>0.48382525749252425</v>
      </c>
      <c r="T23" s="244">
        <f t="shared" si="8"/>
        <v>0.27586037548411779</v>
      </c>
      <c r="U23" s="244">
        <f t="shared" si="8"/>
        <v>1.4441659401446181</v>
      </c>
      <c r="V23" s="244">
        <f t="shared" si="8"/>
        <v>1.0614643272131694</v>
      </c>
      <c r="W23" s="244">
        <f t="shared" si="8"/>
        <v>0.67713814569845443</v>
      </c>
      <c r="X23" s="244">
        <f t="shared" si="8"/>
        <v>0.41502021539646916</v>
      </c>
      <c r="Y23" s="244">
        <f t="shared" si="8"/>
        <v>2.0235965491175065</v>
      </c>
      <c r="Z23" s="244">
        <f t="shared" si="8"/>
        <v>1.5125624956640968</v>
      </c>
      <c r="AA23" s="244">
        <f t="shared" si="8"/>
        <v>1.1646817199648933</v>
      </c>
      <c r="AB23" s="244">
        <f t="shared" si="8"/>
        <v>0.6350742431942501</v>
      </c>
      <c r="AC23" s="244">
        <f t="shared" si="8"/>
        <v>2.6827519880217805</v>
      </c>
      <c r="AD23" s="244">
        <f t="shared" si="8"/>
        <v>2.8534364359435176</v>
      </c>
      <c r="AE23" s="244">
        <f t="shared" si="8"/>
        <v>1.5520813830169797</v>
      </c>
      <c r="AF23" s="244">
        <f t="shared" si="8"/>
        <v>0.8871763413303364</v>
      </c>
      <c r="AG23" s="244">
        <f t="shared" si="8"/>
        <v>1.9808577807697278</v>
      </c>
      <c r="AH23" s="244">
        <f t="shared" si="8"/>
        <v>1.3768352235178352</v>
      </c>
      <c r="AI23" s="244">
        <f t="shared" si="8"/>
        <v>0.87346057228262597</v>
      </c>
      <c r="AJ23" s="244">
        <f t="shared" si="8"/>
        <v>0.50653879235217902</v>
      </c>
      <c r="AK23" s="244">
        <f t="shared" si="8"/>
        <v>1.9225765164817015</v>
      </c>
      <c r="AL23" s="244">
        <f t="shared" si="8"/>
        <v>1.2416579541900725</v>
      </c>
      <c r="AM23" s="244">
        <f t="shared" si="8"/>
        <v>0.86691935657249031</v>
      </c>
      <c r="AN23" s="244">
        <f t="shared" si="8"/>
        <v>0.4966417852957673</v>
      </c>
      <c r="AO23" s="244">
        <f t="shared" si="8"/>
        <v>2.4522163829281931</v>
      </c>
      <c r="AP23" s="244">
        <f t="shared" si="8"/>
        <v>1.4488880213677122</v>
      </c>
      <c r="AQ23" s="244">
        <f t="shared" si="8"/>
        <v>0.94982270084307596</v>
      </c>
      <c r="AR23" s="244">
        <f t="shared" si="8"/>
        <v>0.53582497192127099</v>
      </c>
      <c r="AS23" s="244">
        <f t="shared" si="8"/>
        <v>1.9979810715899577</v>
      </c>
      <c r="AT23" s="244">
        <f t="shared" si="8"/>
        <v>2.0482381470445907</v>
      </c>
      <c r="AU23" s="244">
        <f t="shared" si="8"/>
        <v>1.2714491693866108</v>
      </c>
      <c r="AV23" s="244">
        <f t="shared" si="8"/>
        <v>0.83916343974024155</v>
      </c>
      <c r="AW23" s="244">
        <f t="shared" si="8"/>
        <v>3.2934685269035402</v>
      </c>
      <c r="AX23" s="244">
        <f t="shared" si="8"/>
        <v>2.3591347014919362</v>
      </c>
      <c r="AY23" s="244">
        <f t="shared" si="8"/>
        <v>1.2441945269849539</v>
      </c>
      <c r="AZ23" s="244">
        <f t="shared" si="8"/>
        <v>0.80227591905110873</v>
      </c>
      <c r="BA23" s="244">
        <f t="shared" si="8"/>
        <v>3.0071330702982602</v>
      </c>
      <c r="BB23" s="244">
        <f t="shared" si="8"/>
        <v>1.6245313814493296</v>
      </c>
      <c r="BC23" s="244">
        <f t="shared" si="8"/>
        <v>1.0184438452908675</v>
      </c>
      <c r="BD23" s="244">
        <f t="shared" si="8"/>
        <v>0.69982019361952563</v>
      </c>
      <c r="BE23" s="244">
        <f t="shared" si="8"/>
        <v>2.244348269387924</v>
      </c>
      <c r="BF23" s="244">
        <f t="shared" si="8"/>
        <v>1.2894490474841342</v>
      </c>
      <c r="BG23" s="244">
        <f t="shared" si="8"/>
        <v>0.76722243415666924</v>
      </c>
      <c r="BH23" s="244">
        <f t="shared" si="8"/>
        <v>0.50114523449996107</v>
      </c>
      <c r="BI23" s="244">
        <f t="shared" si="8"/>
        <v>2.1025577087237441</v>
      </c>
      <c r="BJ23" s="244">
        <f t="shared" si="8"/>
        <v>1.0868511100002949</v>
      </c>
      <c r="BK23" s="244">
        <f t="shared" si="8"/>
        <v>0.60891481555251881</v>
      </c>
      <c r="BL23" s="244">
        <f t="shared" si="8"/>
        <v>0.49546277399317412</v>
      </c>
      <c r="BM23" s="244">
        <f t="shared" si="8"/>
        <v>1.5865814679741854</v>
      </c>
      <c r="BN23" s="244">
        <f t="shared" si="8"/>
        <v>1.0295249360628325</v>
      </c>
      <c r="BO23" s="244">
        <f t="shared" si="8"/>
        <v>0.66447153020303684</v>
      </c>
      <c r="BP23" s="244">
        <f t="shared" si="8"/>
        <v>0.68417530302549923</v>
      </c>
      <c r="BQ23" s="244">
        <f t="shared" si="8"/>
        <v>2.2342476018176027</v>
      </c>
      <c r="BR23" s="244">
        <f t="shared" ref="BR23:CK23" si="9">BR19/BR22</f>
        <v>1.743896135936744</v>
      </c>
      <c r="BS23" s="244">
        <f t="shared" si="9"/>
        <v>11.677592421995087</v>
      </c>
      <c r="BT23" s="244">
        <f t="shared" si="9"/>
        <v>3.4431001809860446</v>
      </c>
      <c r="BU23" s="244">
        <f t="shared" si="9"/>
        <v>1.9349081939321167</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692</v>
      </c>
      <c r="E24" s="159">
        <f>E21*E23</f>
        <v>1.9620512455399317</v>
      </c>
      <c r="F24" s="159">
        <f t="shared" ref="F24:BQ24" si="10">F21*F23</f>
        <v>1.3931788860305618</v>
      </c>
      <c r="G24" s="159">
        <f t="shared" si="10"/>
        <v>0.6619406250216453</v>
      </c>
      <c r="H24" s="159">
        <f t="shared" si="10"/>
        <v>0.41140550679797211</v>
      </c>
      <c r="I24" s="159">
        <f t="shared" si="10"/>
        <v>1.1828805675524885</v>
      </c>
      <c r="J24" s="159">
        <f t="shared" si="10"/>
        <v>0.80254269947725443</v>
      </c>
      <c r="K24" s="159">
        <f t="shared" si="10"/>
        <v>0.37970288156000959</v>
      </c>
      <c r="L24" s="159">
        <f t="shared" si="10"/>
        <v>0.20824186711262602</v>
      </c>
      <c r="M24" s="159">
        <f t="shared" si="10"/>
        <v>0.60110863833553785</v>
      </c>
      <c r="N24" s="159">
        <f t="shared" si="10"/>
        <v>0.41431333796870029</v>
      </c>
      <c r="O24" s="159">
        <f t="shared" si="10"/>
        <v>0.29640364751438475</v>
      </c>
      <c r="P24" s="159">
        <f t="shared" si="10"/>
        <v>0.175420998686562</v>
      </c>
      <c r="Q24" s="159">
        <f t="shared" si="10"/>
        <v>0.6729624188970702</v>
      </c>
      <c r="R24" s="159">
        <f t="shared" si="10"/>
        <v>0.46549017630590572</v>
      </c>
      <c r="S24" s="159">
        <f t="shared" si="10"/>
        <v>0.33448750911117264</v>
      </c>
      <c r="T24" s="159">
        <f t="shared" si="10"/>
        <v>0.19148666001519687</v>
      </c>
      <c r="U24" s="159">
        <f t="shared" si="10"/>
        <v>0.97548586626635159</v>
      </c>
      <c r="V24" s="159">
        <f t="shared" si="10"/>
        <v>0.73887235723901634</v>
      </c>
      <c r="W24" s="159">
        <f t="shared" si="10"/>
        <v>0.4732614972891121</v>
      </c>
      <c r="X24" s="159">
        <f t="shared" si="10"/>
        <v>0.28977970159450095</v>
      </c>
      <c r="Y24" s="159">
        <f t="shared" si="10"/>
        <v>1.397935879586454</v>
      </c>
      <c r="Z24" s="159">
        <f t="shared" si="10"/>
        <v>1.0840403492504194</v>
      </c>
      <c r="AA24" s="159">
        <f t="shared" si="10"/>
        <v>0.84379319469271674</v>
      </c>
      <c r="AB24" s="159">
        <f t="shared" si="10"/>
        <v>0.43044213107370233</v>
      </c>
      <c r="AC24" s="159">
        <f t="shared" si="10"/>
        <v>1.7465065943797786</v>
      </c>
      <c r="AD24" s="159">
        <f t="shared" si="10"/>
        <v>1.8947054034460937</v>
      </c>
      <c r="AE24" s="159">
        <f t="shared" si="10"/>
        <v>1.0638980637758908</v>
      </c>
      <c r="AF24" s="159">
        <f t="shared" si="10"/>
        <v>0.54663856715411119</v>
      </c>
      <c r="AG24" s="159">
        <f t="shared" si="10"/>
        <v>1.189385834284018</v>
      </c>
      <c r="AH24" s="159">
        <f t="shared" si="10"/>
        <v>0.84994462010741756</v>
      </c>
      <c r="AI24" s="159">
        <f t="shared" si="10"/>
        <v>0.56718395270779498</v>
      </c>
      <c r="AJ24" s="159">
        <f t="shared" si="10"/>
        <v>0.29102429981151756</v>
      </c>
      <c r="AK24" s="159">
        <f t="shared" si="10"/>
        <v>1.1821151377149317</v>
      </c>
      <c r="AL24" s="159">
        <f t="shared" si="10"/>
        <v>0.82922936561732341</v>
      </c>
      <c r="AM24" s="159">
        <f t="shared" si="10"/>
        <v>0.59669491586727574</v>
      </c>
      <c r="AN24" s="159">
        <f t="shared" si="10"/>
        <v>0.32089694529059198</v>
      </c>
      <c r="AO24" s="159">
        <f t="shared" si="10"/>
        <v>1.5714414062544935</v>
      </c>
      <c r="AP24" s="159">
        <f t="shared" si="10"/>
        <v>0.96957584000032271</v>
      </c>
      <c r="AQ24" s="159">
        <f t="shared" si="10"/>
        <v>0.63503884948947853</v>
      </c>
      <c r="AR24" s="159">
        <f t="shared" si="10"/>
        <v>0.31782885526408156</v>
      </c>
      <c r="AS24" s="159">
        <f t="shared" si="10"/>
        <v>1.2355070671420463</v>
      </c>
      <c r="AT24" s="159">
        <f t="shared" si="10"/>
        <v>1.1343035858182322</v>
      </c>
      <c r="AU24" s="159">
        <f t="shared" si="10"/>
        <v>0.64186148366958351</v>
      </c>
      <c r="AV24" s="159">
        <f t="shared" si="10"/>
        <v>0.44793944438084121</v>
      </c>
      <c r="AW24" s="159">
        <f t="shared" si="10"/>
        <v>1.6541266742838145</v>
      </c>
      <c r="AX24" s="159">
        <f t="shared" si="10"/>
        <v>1.1269381948066182</v>
      </c>
      <c r="AY24" s="159">
        <f t="shared" si="10"/>
        <v>0.59170778718284045</v>
      </c>
      <c r="AZ24" s="159">
        <f t="shared" si="10"/>
        <v>0.396615350727407</v>
      </c>
      <c r="BA24" s="159">
        <f t="shared" si="10"/>
        <v>1.4440799526407049</v>
      </c>
      <c r="BB24" s="159">
        <f t="shared" si="10"/>
        <v>0.71551441663948201</v>
      </c>
      <c r="BC24" s="159">
        <f t="shared" si="10"/>
        <v>0.45218118875113134</v>
      </c>
      <c r="BD24" s="159">
        <f t="shared" si="10"/>
        <v>0.33886218787286893</v>
      </c>
      <c r="BE24" s="159">
        <f t="shared" si="10"/>
        <v>1.0919479324920427</v>
      </c>
      <c r="BF24" s="159">
        <f t="shared" si="10"/>
        <v>0.53152902456839068</v>
      </c>
      <c r="BG24" s="159">
        <f t="shared" si="10"/>
        <v>0.32680394003391511</v>
      </c>
      <c r="BH24" s="159">
        <f t="shared" si="10"/>
        <v>0.23160969341025814</v>
      </c>
      <c r="BI24" s="159">
        <f t="shared" si="10"/>
        <v>0.84028032516457729</v>
      </c>
      <c r="BJ24" s="159">
        <f t="shared" si="10"/>
        <v>0.40713189902929392</v>
      </c>
      <c r="BK24" s="159">
        <f t="shared" si="10"/>
        <v>0.24447803677062721</v>
      </c>
      <c r="BL24" s="159">
        <f t="shared" si="10"/>
        <v>0.22812010088419221</v>
      </c>
      <c r="BM24" s="159">
        <f t="shared" si="10"/>
        <v>0.54349631640352625</v>
      </c>
      <c r="BN24" s="159">
        <f t="shared" si="10"/>
        <v>0.38533260543149611</v>
      </c>
      <c r="BO24" s="159">
        <f t="shared" si="10"/>
        <v>0.27063238847934118</v>
      </c>
      <c r="BP24" s="159">
        <f t="shared" si="10"/>
        <v>0.31879654530194679</v>
      </c>
      <c r="BQ24" s="159">
        <f t="shared" si="10"/>
        <v>0.82892812771381097</v>
      </c>
      <c r="BR24" s="159">
        <f t="shared" ref="BR24:CK24" si="11">BR21*BR23</f>
        <v>0.74509452780568208</v>
      </c>
      <c r="BS24" s="159">
        <f t="shared" si="11"/>
        <v>4.7431005533899473</v>
      </c>
      <c r="BT24" s="159">
        <f t="shared" si="11"/>
        <v>1.4087296703034669</v>
      </c>
      <c r="BU24" s="159">
        <f t="shared" si="11"/>
        <v>0.80039051003335082</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36525</v>
      </c>
      <c r="BU25" s="1">
        <v>36160</v>
      </c>
      <c r="BV25" s="1">
        <v>25569</v>
      </c>
      <c r="BW25" s="1"/>
      <c r="BX25" s="1"/>
      <c r="BY25" s="1"/>
      <c r="BZ25" s="1"/>
      <c r="CA25" s="1"/>
      <c r="CB25" s="1"/>
      <c r="CC25" s="1"/>
      <c r="CD25" s="1"/>
      <c r="CE25" s="1"/>
      <c r="CF25" s="1"/>
      <c r="CG25" s="1"/>
      <c r="CH25" s="1"/>
      <c r="CI25" s="1"/>
      <c r="CJ25" s="1"/>
      <c r="CK25" s="1"/>
    </row>
    <row r="26" spans="1:89" s="76" customFormat="1" x14ac:dyDescent="0.25">
      <c r="A26" s="145" t="s">
        <v>442</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5" t="s">
        <v>443</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0</v>
      </c>
      <c r="O27" s="76">
        <f>资产资本表!O19</f>
        <v>0</v>
      </c>
      <c r="P27" s="76">
        <f>资产资本表!P19</f>
        <v>0</v>
      </c>
      <c r="Q27" s="76">
        <f>资产资本表!Q19</f>
        <v>0</v>
      </c>
      <c r="R27" s="76">
        <f>资产资本表!R19</f>
        <v>2750000</v>
      </c>
      <c r="S27" s="76">
        <f>资产资本表!S19</f>
        <v>6750000</v>
      </c>
      <c r="T27" s="76">
        <f>资产资本表!T19</f>
        <v>6750000</v>
      </c>
      <c r="U27" s="76">
        <f>资产资本表!U19</f>
        <v>4000000</v>
      </c>
      <c r="V27" s="76">
        <f>资产资本表!V19</f>
        <v>4000000</v>
      </c>
      <c r="W27" s="76">
        <f>资产资本表!W19</f>
        <v>4000000</v>
      </c>
      <c r="X27" s="76">
        <f>资产资本表!X19</f>
        <v>4000000</v>
      </c>
      <c r="Y27" s="76">
        <f>资产资本表!Y19</f>
        <v>4000000</v>
      </c>
      <c r="Z27" s="76">
        <f>资产资本表!Z19</f>
        <v>4000000</v>
      </c>
      <c r="AA27" s="76">
        <f>资产资本表!AA19</f>
        <v>4000000</v>
      </c>
      <c r="AB27" s="76">
        <f>资产资本表!AB19</f>
        <v>4000000</v>
      </c>
      <c r="AC27" s="76">
        <f>资产资本表!AC19</f>
        <v>4000000</v>
      </c>
      <c r="AD27" s="76">
        <f>资产资本表!AD19</f>
        <v>4000000</v>
      </c>
      <c r="AE27" s="76">
        <f>资产资本表!AE19</f>
        <v>4000000</v>
      </c>
      <c r="AF27" s="76">
        <f>资产资本表!AF19</f>
        <v>4000000</v>
      </c>
      <c r="AG27" s="76">
        <f>资产资本表!AG19</f>
        <v>4000000</v>
      </c>
      <c r="AH27" s="76">
        <f>资产资本表!AH19</f>
        <v>4000000</v>
      </c>
      <c r="AI27" s="76">
        <f>资产资本表!AI19</f>
        <v>4000000</v>
      </c>
      <c r="AJ27" s="76">
        <f>资产资本表!AJ19</f>
        <v>4000000</v>
      </c>
      <c r="AK27" s="76">
        <f>资产资本表!AK19</f>
        <v>4000000</v>
      </c>
      <c r="AL27" s="76">
        <f>资产资本表!AL19</f>
        <v>4000000</v>
      </c>
      <c r="AM27" s="76">
        <f>资产资本表!AM19</f>
        <v>4000000</v>
      </c>
      <c r="AN27" s="76">
        <f>资产资本表!AN19</f>
        <v>4000000</v>
      </c>
      <c r="AO27" s="76">
        <f>资产资本表!AO19</f>
        <v>4000000</v>
      </c>
      <c r="AP27" s="76">
        <f>资产资本表!AP19</f>
        <v>4000000</v>
      </c>
      <c r="AQ27" s="76">
        <f>资产资本表!AQ19</f>
        <v>4000000</v>
      </c>
      <c r="AR27" s="76">
        <f>资产资本表!AR19</f>
        <v>4000000</v>
      </c>
      <c r="AS27" s="76">
        <f>资产资本表!AS19</f>
        <v>4000000</v>
      </c>
      <c r="AT27" s="76">
        <f>资产资本表!AT19</f>
        <v>4000000</v>
      </c>
      <c r="AU27" s="76">
        <f>资产资本表!AU19</f>
        <v>4000000</v>
      </c>
      <c r="AV27" s="76">
        <f>资产资本表!AV19</f>
        <v>4000000</v>
      </c>
      <c r="AW27" s="76">
        <f>资产资本表!AW19</f>
        <v>11486496.289999999</v>
      </c>
      <c r="AX27" s="76">
        <f>资产资本表!AX19</f>
        <v>10767452.710000001</v>
      </c>
      <c r="AY27" s="76">
        <f>资产资本表!AY19</f>
        <v>10387452.699999999</v>
      </c>
      <c r="AZ27" s="76">
        <f>资产资本表!AZ19</f>
        <v>10243017.33</v>
      </c>
      <c r="BA27" s="76">
        <f>资产资本表!BA19</f>
        <v>10243017.33</v>
      </c>
      <c r="BB27" s="76">
        <f>资产资本表!BB19</f>
        <v>9838781.9600000009</v>
      </c>
      <c r="BC27" s="76">
        <f>资产资本表!BC19</f>
        <v>9838781.9600000009</v>
      </c>
      <c r="BD27" s="76">
        <f>资产资本表!BD19</f>
        <v>9627405.1300000008</v>
      </c>
      <c r="BE27" s="76">
        <f>资产资本表!BE19</f>
        <v>9815063.7300000004</v>
      </c>
      <c r="BF27" s="76">
        <f>资产资本表!BF19</f>
        <v>4000000</v>
      </c>
      <c r="BG27" s="76">
        <f>资产资本表!BG19</f>
        <v>4000000</v>
      </c>
      <c r="BH27" s="76">
        <f>资产资本表!BH19</f>
        <v>4000000</v>
      </c>
      <c r="BI27" s="76">
        <f>资产资本表!BI19</f>
        <v>4000000</v>
      </c>
      <c r="BJ27" s="76">
        <f>资产资本表!BJ19</f>
        <v>4000000</v>
      </c>
      <c r="BK27" s="76">
        <f>资产资本表!BK19</f>
        <v>4000000</v>
      </c>
      <c r="BL27" s="76">
        <f>资产资本表!BL19</f>
        <v>4000000</v>
      </c>
      <c r="BM27" s="76">
        <f>资产资本表!BM19</f>
        <v>4000000</v>
      </c>
      <c r="BN27" s="76">
        <f>资产资本表!BN19</f>
        <v>4000000</v>
      </c>
      <c r="BO27" s="76">
        <f>资产资本表!BO19</f>
        <v>4000000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3" t="s">
        <v>444</v>
      </c>
      <c r="E28" s="110" t="e">
        <f>E26/E27</f>
        <v>#DIV/0!</v>
      </c>
      <c r="F28" s="110" t="e">
        <f t="shared" ref="F28:BQ28" si="12">F26/F27</f>
        <v>#DIV/0!</v>
      </c>
      <c r="G28" s="110" t="e">
        <f t="shared" si="12"/>
        <v>#DIV/0!</v>
      </c>
      <c r="H28" s="110" t="e">
        <f t="shared" si="12"/>
        <v>#DIV/0!</v>
      </c>
      <c r="I28" s="110" t="e">
        <f t="shared" si="12"/>
        <v>#DIV/0!</v>
      </c>
      <c r="J28" s="110" t="e">
        <f t="shared" si="12"/>
        <v>#DIV/0!</v>
      </c>
      <c r="K28" s="110" t="e">
        <f t="shared" si="12"/>
        <v>#DIV/0!</v>
      </c>
      <c r="L28" s="110" t="e">
        <f t="shared" si="12"/>
        <v>#DIV/0!</v>
      </c>
      <c r="M28" s="110" t="e">
        <f t="shared" si="12"/>
        <v>#DIV/0!</v>
      </c>
      <c r="N28" s="110" t="e">
        <f t="shared" si="12"/>
        <v>#DIV/0!</v>
      </c>
      <c r="O28" s="110" t="e">
        <f t="shared" si="12"/>
        <v>#DIV/0!</v>
      </c>
      <c r="P28" s="110" t="e">
        <f t="shared" si="12"/>
        <v>#DIV/0!</v>
      </c>
      <c r="Q28" s="110" t="e">
        <f t="shared" si="12"/>
        <v>#DIV/0!</v>
      </c>
      <c r="R28" s="110">
        <f t="shared" si="12"/>
        <v>0</v>
      </c>
      <c r="S28" s="110">
        <f t="shared" si="12"/>
        <v>0</v>
      </c>
      <c r="T28" s="110">
        <f t="shared" si="12"/>
        <v>0</v>
      </c>
      <c r="U28" s="110">
        <f t="shared" si="12"/>
        <v>0</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0</v>
      </c>
      <c r="AF28" s="110">
        <f t="shared" si="12"/>
        <v>0</v>
      </c>
      <c r="AG28" s="110">
        <f t="shared" si="12"/>
        <v>0</v>
      </c>
      <c r="AH28" s="110">
        <f t="shared" si="12"/>
        <v>0</v>
      </c>
      <c r="AI28" s="110">
        <f t="shared" si="12"/>
        <v>0</v>
      </c>
      <c r="AJ28" s="110">
        <f t="shared" si="12"/>
        <v>0</v>
      </c>
      <c r="AK28" s="110">
        <f t="shared" si="12"/>
        <v>0</v>
      </c>
      <c r="AL28" s="110">
        <f t="shared" si="12"/>
        <v>0</v>
      </c>
      <c r="AM28" s="110">
        <f t="shared" si="12"/>
        <v>0</v>
      </c>
      <c r="AN28" s="110">
        <f t="shared" si="12"/>
        <v>0</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694</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36525</v>
      </c>
      <c r="BU31" s="1">
        <v>36160</v>
      </c>
      <c r="BV31" s="1">
        <v>25569</v>
      </c>
      <c r="BW31" s="1"/>
      <c r="BX31" s="1"/>
      <c r="BY31" s="1"/>
      <c r="BZ31" s="1"/>
      <c r="CA31" s="1"/>
      <c r="CB31" s="1"/>
      <c r="CC31" s="1"/>
      <c r="CD31" s="1"/>
      <c r="CE31" s="1"/>
      <c r="CF31" s="1"/>
      <c r="CG31" s="1"/>
      <c r="CH31" s="1"/>
      <c r="CI31" s="1"/>
      <c r="CJ31" s="1"/>
      <c r="CK31" s="1"/>
    </row>
    <row r="32" spans="1:89" s="76" customFormat="1" x14ac:dyDescent="0.25">
      <c r="A32" s="145" t="s">
        <v>449</v>
      </c>
      <c r="E32" s="76">
        <f>股权价值增加表!E29</f>
        <v>48131807.288116425</v>
      </c>
      <c r="F32" s="76">
        <f>股权价值增加表!F29</f>
        <v>4034446.2843798539</v>
      </c>
      <c r="G32" s="76">
        <f>股权价值增加表!G29</f>
        <v>3464245.0399328456</v>
      </c>
      <c r="H32" s="76">
        <f>股权价值增加表!H29</f>
        <v>522539.11199660925</v>
      </c>
      <c r="I32" s="76">
        <f>股权价值增加表!I29</f>
        <v>54376897.979472637</v>
      </c>
      <c r="J32" s="76">
        <f>股权价值增加表!J29</f>
        <v>3205168.24</v>
      </c>
      <c r="K32" s="76">
        <f>股权价值增加表!K29</f>
        <v>2292209.29</v>
      </c>
      <c r="L32" s="76">
        <f>股权价值增加表!L29</f>
        <v>3517202.39</v>
      </c>
      <c r="M32" s="76">
        <f>股权价值增加表!M29</f>
        <v>71959236.079626858</v>
      </c>
      <c r="N32" s="76">
        <f>股权价值增加表!N29</f>
        <v>-8984329.9989195429</v>
      </c>
      <c r="O32" s="76">
        <f>股权价值增加表!O29</f>
        <v>-11812339.686230771</v>
      </c>
      <c r="P32" s="76">
        <f>股权价值增加表!P29</f>
        <v>-10097276.425617533</v>
      </c>
      <c r="Q32" s="76">
        <f>股权价值增加表!Q29</f>
        <v>100559370.32905468</v>
      </c>
      <c r="R32" s="76">
        <f>股权价值增加表!R29</f>
        <v>2234775.1174511062</v>
      </c>
      <c r="S32" s="76">
        <f>股权价值增加表!S29</f>
        <v>2236601.3149661515</v>
      </c>
      <c r="T32" s="76">
        <f>股权价值增加表!T29</f>
        <v>0</v>
      </c>
      <c r="U32" s="76">
        <f>股权价值增加表!U29</f>
        <v>321594240.05388731</v>
      </c>
      <c r="V32" s="76">
        <f>股权价值增加表!V29</f>
        <v>2237992.2435206743</v>
      </c>
      <c r="W32" s="76">
        <f>股权价值增加表!W29</f>
        <v>2264790.1601554858</v>
      </c>
      <c r="X32" s="76">
        <f>股权价值增加表!X29</f>
        <v>0</v>
      </c>
      <c r="Y32" s="76">
        <f>股权价值增加表!Y29</f>
        <v>318223197.58945096</v>
      </c>
      <c r="Z32" s="76">
        <f>股权价值增加表!Z29</f>
        <v>2327232.666061528</v>
      </c>
      <c r="AA32" s="76">
        <f>股权价值增加表!AA29</f>
        <v>2327059.8612285517</v>
      </c>
      <c r="AB32" s="76">
        <f>股权价值增加表!AB29</f>
        <v>69899.396843892784</v>
      </c>
      <c r="AC32" s="76">
        <f>股权价值增加表!AC29</f>
        <v>265835259.77255511</v>
      </c>
      <c r="AD32" s="76">
        <f>股权价值增加表!AD29</f>
        <v>2457048.7753446987</v>
      </c>
      <c r="AE32" s="76">
        <f>股权价值增加表!AE29</f>
        <v>2397744.4447294488</v>
      </c>
      <c r="AF32" s="76">
        <f>股权价值增加表!AF29</f>
        <v>69962.508099019615</v>
      </c>
      <c r="AG32" s="76">
        <f>股权价值增加表!AG29</f>
        <v>132202370.20471311</v>
      </c>
      <c r="AH32" s="76">
        <f>股权价值增加表!AH29</f>
        <v>281165.823431556</v>
      </c>
      <c r="AI32" s="76">
        <f>股权价值增加表!AI29</f>
        <v>211359.04412192813</v>
      </c>
      <c r="AJ32" s="76">
        <f>股权价值增加表!AJ29</f>
        <v>0</v>
      </c>
      <c r="AK32" s="76">
        <f>股权价值增加表!AK29</f>
        <v>905590.48421258829</v>
      </c>
      <c r="AL32" s="76">
        <f>股权价值增加表!AL29</f>
        <v>729232.87154042965</v>
      </c>
      <c r="AM32" s="76">
        <f>股权价值增加表!AM29</f>
        <v>551002.54199032392</v>
      </c>
      <c r="AN32" s="76">
        <f>股权价值增加表!AN29</f>
        <v>225816.52647542776</v>
      </c>
      <c r="AO32" s="76">
        <f>股权价值增加表!AO29</f>
        <v>982304.3125842344</v>
      </c>
      <c r="AP32" s="76">
        <f>股权价值增加表!AP29</f>
        <v>766178.19373558555</v>
      </c>
      <c r="AQ32" s="76">
        <f>股权价值增加表!AQ29</f>
        <v>540142.98812314111</v>
      </c>
      <c r="AR32" s="76">
        <f>股权价值增加表!AR29</f>
        <v>314313.44771698734</v>
      </c>
      <c r="AS32" s="76">
        <f>股权价值增加表!AS29</f>
        <v>1190448.3018459564</v>
      </c>
      <c r="AT32" s="76">
        <f>股权价值增加表!AT29</f>
        <v>572336.78425153764</v>
      </c>
      <c r="AU32" s="76">
        <f>股权价值增加表!AU29</f>
        <v>564817.56281544082</v>
      </c>
      <c r="AV32" s="76">
        <f>股权价值增加表!AV29</f>
        <v>0</v>
      </c>
      <c r="AW32" s="76">
        <f>股权价值增加表!AW29</f>
        <v>1905953.3944957396</v>
      </c>
      <c r="AX32" s="76">
        <f>股权价值增加表!AX29</f>
        <v>91593.427984278838</v>
      </c>
      <c r="AY32" s="76">
        <f>股权价值增加表!AY29</f>
        <v>94210.991777086922</v>
      </c>
      <c r="AZ32" s="76">
        <f>股权价值增加表!AZ29</f>
        <v>0</v>
      </c>
      <c r="BA32" s="76">
        <f>股权价值增加表!BA29</f>
        <v>260550.85177714977</v>
      </c>
      <c r="BB32" s="76">
        <f>股权价值增加表!BB29</f>
        <v>15140.849409849834</v>
      </c>
      <c r="BC32" s="76">
        <f>股权价值增加表!BC29</f>
        <v>15754.501601178723</v>
      </c>
      <c r="BD32" s="76">
        <f>股权价值增加表!BD29</f>
        <v>-129235.33660188534</v>
      </c>
      <c r="BE32" s="76">
        <f>股权价值增加表!BE29</f>
        <v>180534.89191337407</v>
      </c>
      <c r="BF32" s="76">
        <f>股权价值增加表!BF29</f>
        <v>0</v>
      </c>
      <c r="BG32" s="76">
        <f>股权价值增加表!BG29</f>
        <v>0</v>
      </c>
      <c r="BH32" s="76">
        <f>股权价值增加表!BH29</f>
        <v>0</v>
      </c>
      <c r="BI32" s="76">
        <f>股权价值增加表!BI29</f>
        <v>0</v>
      </c>
      <c r="BJ32" s="76">
        <f>股权价值增加表!BJ29</f>
        <v>0</v>
      </c>
      <c r="BK32" s="76">
        <f>股权价值增加表!BK29</f>
        <v>0</v>
      </c>
      <c r="BL32" s="76">
        <f>股权价值增加表!BL29</f>
        <v>0</v>
      </c>
      <c r="BM32" s="76">
        <f>股权价值增加表!BM29</f>
        <v>0</v>
      </c>
      <c r="BN32" s="76">
        <f>股权价值增加表!BN29</f>
        <v>0</v>
      </c>
      <c r="BO32" s="76">
        <f>股权价值增加表!BO29</f>
        <v>0</v>
      </c>
      <c r="BP32" s="76">
        <f>股权价值增加表!BP29</f>
        <v>0</v>
      </c>
      <c r="BQ32" s="76">
        <f>股权价值增加表!BQ29</f>
        <v>0</v>
      </c>
      <c r="BR32" s="76">
        <f>股权价值增加表!BR29</f>
        <v>0</v>
      </c>
      <c r="BS32" s="76">
        <f>股权价值增加表!BS29</f>
        <v>0</v>
      </c>
      <c r="BT32" s="76">
        <f>股权价值增加表!BT29</f>
        <v>0</v>
      </c>
      <c r="BU32" s="76">
        <f>股权价值增加表!BU29</f>
        <v>0</v>
      </c>
      <c r="BV32" s="76" t="e">
        <f>股权价值增加表!BV29</f>
        <v>#DIV/0!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6" t="s">
        <v>450</v>
      </c>
    </row>
    <row r="34" spans="1:89" s="76" customFormat="1" x14ac:dyDescent="0.25">
      <c r="A34" s="145" t="s">
        <v>451</v>
      </c>
      <c r="E34" s="76">
        <f>资产资本表!E4</f>
        <v>87868869913.339996</v>
      </c>
      <c r="F34" s="76">
        <f>资产资本表!F4</f>
        <v>80964678997.119995</v>
      </c>
      <c r="G34" s="76">
        <f>资产资本表!G4</f>
        <v>73635347053.149994</v>
      </c>
      <c r="H34" s="76">
        <f>资产资本表!H4</f>
        <v>72708333794.740005</v>
      </c>
      <c r="I34" s="76">
        <f>资产资本表!I4</f>
        <v>66854962118.220001</v>
      </c>
      <c r="J34" s="76">
        <f>资产资本表!J4</f>
        <v>61999742903.470001</v>
      </c>
      <c r="K34" s="76">
        <f>资产资本表!K4</f>
        <v>47528057097.449997</v>
      </c>
      <c r="L34" s="76">
        <f>资产资本表!L4</f>
        <v>43775736151.699997</v>
      </c>
      <c r="M34" s="76">
        <f>资产资本表!M4</f>
        <v>36800749895.059998</v>
      </c>
      <c r="N34" s="76">
        <f>资产资本表!N4</f>
        <v>30536117619.709999</v>
      </c>
      <c r="O34" s="76">
        <f>资产资本表!O4</f>
        <v>30236504717.380001</v>
      </c>
      <c r="P34" s="76">
        <f>资产资本表!P4</f>
        <v>28420683403.889999</v>
      </c>
      <c r="Q34" s="76">
        <f>资产资本表!Q4</f>
        <v>27710717680.209999</v>
      </c>
      <c r="R34" s="76">
        <f>资产资本表!R4</f>
        <v>22795906975.310001</v>
      </c>
      <c r="S34" s="76">
        <f>资产资本表!S4</f>
        <v>21095077301.209999</v>
      </c>
      <c r="T34" s="76">
        <f>资产资本表!T4</f>
        <v>23364071644.09</v>
      </c>
      <c r="U34" s="76">
        <f>资产资本表!U4</f>
        <v>25185009331.68</v>
      </c>
      <c r="V34" s="76">
        <f>资产资本表!V4</f>
        <v>22011372945.09</v>
      </c>
      <c r="W34" s="76">
        <f>资产资本表!W4</f>
        <v>18274962102.509998</v>
      </c>
      <c r="X34" s="76">
        <f>资产资本表!X4</f>
        <v>21735234696.970001</v>
      </c>
      <c r="Y34" s="76">
        <f>资产资本表!Y4</f>
        <v>22061999850.169998</v>
      </c>
      <c r="Z34" s="76">
        <f>资产资本表!Z4</f>
        <v>18690032974.060001</v>
      </c>
      <c r="AA34" s="76">
        <f>资产资本表!AA4</f>
        <v>20981859110.759998</v>
      </c>
      <c r="AB34" s="76">
        <f>资产资本表!AB4</f>
        <v>18851427038.66</v>
      </c>
      <c r="AC34" s="76">
        <f>资产资本表!AC4</f>
        <v>18254690162.040001</v>
      </c>
      <c r="AD34" s="76">
        <f>资产资本表!AD4</f>
        <v>18288326258.07</v>
      </c>
      <c r="AE34" s="76">
        <f>资产资本表!AE4</f>
        <v>17291687378.52</v>
      </c>
      <c r="AF34" s="76">
        <f>资产资本表!AF4</f>
        <v>15998489422.76</v>
      </c>
      <c r="AG34" s="76">
        <f>资产资本表!AG4</f>
        <v>12888393889.290001</v>
      </c>
      <c r="AH34" s="76">
        <f>资产资本表!AH4</f>
        <v>11026669577.42</v>
      </c>
      <c r="AI34" s="76">
        <f>资产资本表!AI4</f>
        <v>10268861587.440001</v>
      </c>
      <c r="AJ34" s="76">
        <f>资产资本表!AJ4</f>
        <v>9980435183.5699997</v>
      </c>
      <c r="AK34" s="76">
        <f>资产资本表!AK4</f>
        <v>9743152155.2399998</v>
      </c>
      <c r="AL34" s="76">
        <f>资产资本表!AL4</f>
        <v>7895280562.8000002</v>
      </c>
      <c r="AM34" s="76">
        <f>资产资本表!AM4</f>
        <v>7795808371.21</v>
      </c>
      <c r="AN34" s="76">
        <f>资产资本表!AN4</f>
        <v>7662321131.3000002</v>
      </c>
      <c r="AO34" s="76">
        <f>资产资本表!AO4</f>
        <v>8093721891.1599998</v>
      </c>
      <c r="AP34" s="76">
        <f>资产资本表!AP4</f>
        <v>6402015794.54</v>
      </c>
      <c r="AQ34" s="76">
        <f>资产资本表!AQ4</f>
        <v>5065871830.8000002</v>
      </c>
      <c r="AR34" s="76">
        <f>资产资本表!AR4</f>
        <v>5564443319.29</v>
      </c>
      <c r="AS34" s="76">
        <f>资产资本表!AS4</f>
        <v>4722706300.0200005</v>
      </c>
      <c r="AT34" s="76">
        <f>资产资本表!AT4</f>
        <v>4753385536.3500004</v>
      </c>
      <c r="AU34" s="76">
        <f>资产资本表!AU4</f>
        <v>4809865056.1599998</v>
      </c>
      <c r="AV34" s="76">
        <f>资产资本表!AV4</f>
        <v>4655485481.29</v>
      </c>
      <c r="AW34" s="76">
        <f>资产资本表!AW4</f>
        <v>4463098038.6400003</v>
      </c>
      <c r="AX34" s="76">
        <f>资产资本表!AX4</f>
        <v>4083907788.3400002</v>
      </c>
      <c r="AY34" s="76">
        <f>资产资本表!AY4</f>
        <v>3419099920.6599998</v>
      </c>
      <c r="AZ34" s="76">
        <f>资产资本表!AZ4</f>
        <v>3975708186.8800001</v>
      </c>
      <c r="BA34" s="76">
        <f>资产资本表!BA4</f>
        <v>3891989433.5300002</v>
      </c>
      <c r="BB34" s="76">
        <f>资产资本表!BB4</f>
        <v>3217007276.75</v>
      </c>
      <c r="BC34" s="76">
        <f>资产资本表!BC4</f>
        <v>3065214770.1900001</v>
      </c>
      <c r="BD34" s="76">
        <f>资产资本表!BD4</f>
        <v>3024925341.3800001</v>
      </c>
      <c r="BE34" s="76">
        <f>资产资本表!BE4</f>
        <v>2898327418.8499999</v>
      </c>
      <c r="BF34" s="76">
        <f>资产资本表!BF4</f>
        <v>2419288966.46</v>
      </c>
      <c r="BG34" s="76">
        <f>资产资本表!BG4</f>
        <v>2172790156.5900002</v>
      </c>
      <c r="BH34" s="76">
        <f>资产资本表!BH4</f>
        <v>2091330580.1099999</v>
      </c>
      <c r="BI34" s="76">
        <f>资产资本表!BI4</f>
        <v>2340047386.8499999</v>
      </c>
      <c r="BJ34" s="76">
        <f>资产资本表!BJ4</f>
        <v>1868792963.71</v>
      </c>
      <c r="BK34" s="76">
        <f>资产资本表!BK4</f>
        <v>1536249315.6400001</v>
      </c>
      <c r="BL34" s="76">
        <f>资产资本表!BL4</f>
        <v>1684957738.5599999</v>
      </c>
      <c r="BM34" s="76">
        <f>资产资本表!BM4</f>
        <v>1780307690.6400001</v>
      </c>
      <c r="BN34" s="76">
        <f>资产资本表!BN4</f>
        <v>1677224920.04</v>
      </c>
      <c r="BO34" s="76">
        <f>资产资本表!BO4</f>
        <v>1513800289.8299999</v>
      </c>
      <c r="BP34" s="76">
        <f>资产资本表!BP4</f>
        <v>1877929846.0899999</v>
      </c>
      <c r="BQ34" s="76">
        <f>资产资本表!BQ4</f>
        <v>1956436570.0999999</v>
      </c>
      <c r="BR34" s="76">
        <f>资产资本表!BR4</f>
        <v>336439213.5</v>
      </c>
      <c r="BS34" s="76">
        <f>资产资本表!BS4</f>
        <v>460983583.45999998</v>
      </c>
      <c r="BT34" s="76">
        <f>资产资本表!BT4</f>
        <v>198390615.12</v>
      </c>
      <c r="BU34" s="76">
        <f>资产资本表!BU4</f>
        <v>124765368.73999999</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5"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5" t="s">
        <v>453</v>
      </c>
      <c r="E36" s="76">
        <f>资产资本表!E13</f>
        <v>241458615.88999999</v>
      </c>
      <c r="F36" s="76">
        <f>资产资本表!F13</f>
        <v>242686627.52000001</v>
      </c>
      <c r="G36" s="76">
        <f>资产资本表!G13</f>
        <v>156890931.40000001</v>
      </c>
      <c r="H36" s="76">
        <f>资产资本表!H13</f>
        <v>239223538.55000001</v>
      </c>
      <c r="I36" s="76">
        <f>资产资本表!I13</f>
        <v>140904856.88</v>
      </c>
      <c r="J36" s="76">
        <f>资产资本表!J13</f>
        <v>125442817.73</v>
      </c>
      <c r="K36" s="76">
        <f>资产资本表!K13</f>
        <v>80171834.959999993</v>
      </c>
      <c r="L36" s="76">
        <f>资产资本表!L13</f>
        <v>133573079.36</v>
      </c>
      <c r="M36" s="76">
        <f>资产资本表!M13</f>
        <v>85347051.469999999</v>
      </c>
      <c r="N36" s="76">
        <f>资产资本表!N13</f>
        <v>136725651.16999999</v>
      </c>
      <c r="O36" s="76">
        <f>资产资本表!O13</f>
        <v>136529732.49000001</v>
      </c>
      <c r="P36" s="76">
        <f>资产资本表!P13</f>
        <v>117630548.84</v>
      </c>
      <c r="Q36" s="76">
        <f>资产资本表!Q13</f>
        <v>80602922.329999998</v>
      </c>
      <c r="R36" s="76">
        <f>资产资本表!R13</f>
        <v>35968733.609999999</v>
      </c>
      <c r="S36" s="76">
        <f>资产资本表!S13</f>
        <v>40227055.549999997</v>
      </c>
      <c r="T36" s="76">
        <f>资产资本表!T13</f>
        <v>69911833.340000004</v>
      </c>
      <c r="U36" s="76">
        <f>资产资本表!U13</f>
        <v>188599147.22999999</v>
      </c>
      <c r="V36" s="76">
        <f>资产资本表!V13</f>
        <v>291069085.54000002</v>
      </c>
      <c r="W36" s="76">
        <f>资产资本表!W13</f>
        <v>237708837.44</v>
      </c>
      <c r="X36" s="76">
        <f>资产资本表!X13</f>
        <v>169802147.38</v>
      </c>
      <c r="Y36" s="76">
        <f>资产资本表!Y13</f>
        <v>264612813.22</v>
      </c>
      <c r="Z36" s="76">
        <f>资产资本表!Z13</f>
        <v>265954783.11000001</v>
      </c>
      <c r="AA36" s="76">
        <f>资产资本表!AA13</f>
        <v>213786369.86000001</v>
      </c>
      <c r="AB36" s="76">
        <f>资产资本表!AB13</f>
        <v>154585967.41999999</v>
      </c>
      <c r="AC36" s="76">
        <f>资产资本表!AC13</f>
        <v>225182760.05000001</v>
      </c>
      <c r="AD36" s="76">
        <f>资产资本表!AD13</f>
        <v>176109284.02000001</v>
      </c>
      <c r="AE36" s="76">
        <f>资产资本表!AE13</f>
        <v>127606199.03</v>
      </c>
      <c r="AF36" s="76">
        <f>资产资本表!AF13</f>
        <v>39447517.810000002</v>
      </c>
      <c r="AG36" s="76">
        <f>资产资本表!AG13</f>
        <v>42728425.340000004</v>
      </c>
      <c r="AH36" s="76">
        <f>资产资本表!AH13</f>
        <v>76696541.090000004</v>
      </c>
      <c r="AI36" s="76">
        <f>资产资本表!AI13</f>
        <v>49443756.840000004</v>
      </c>
      <c r="AJ36" s="76">
        <f>资产资本表!AJ13</f>
        <v>183700</v>
      </c>
      <c r="AK36" s="76">
        <f>资产资本表!AK13</f>
        <v>1912600</v>
      </c>
      <c r="AL36" s="76">
        <f>资产资本表!AL13</f>
        <v>1675275</v>
      </c>
      <c r="AM36" s="76">
        <f>资产资本表!AM13</f>
        <v>1437950</v>
      </c>
      <c r="AN36" s="76">
        <f>资产资本表!AN13</f>
        <v>3084625</v>
      </c>
      <c r="AO36" s="76">
        <f>资产资本表!AO13</f>
        <v>2783550</v>
      </c>
      <c r="AP36" s="76">
        <f>资产资本表!AP13</f>
        <v>2482475</v>
      </c>
      <c r="AQ36" s="76">
        <f>资产资本表!AQ13</f>
        <v>2181400</v>
      </c>
      <c r="AR36" s="76">
        <f>资产资本表!AR13</f>
        <v>1880325</v>
      </c>
      <c r="AS36" s="76">
        <f>资产资本表!AS13</f>
        <v>3584400</v>
      </c>
      <c r="AT36" s="76">
        <f>资产资本表!AT13</f>
        <v>2629400</v>
      </c>
      <c r="AU36" s="76">
        <f>资产资本表!AU13</f>
        <v>2629400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5"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10118265.609999999</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5" t="s">
        <v>455</v>
      </c>
      <c r="E38" s="76">
        <f>资产资本表!E8</f>
        <v>29000000</v>
      </c>
      <c r="F38" s="76">
        <f>资产资本表!F8</f>
        <v>29000000</v>
      </c>
      <c r="G38" s="76">
        <f>资产资本表!G8</f>
        <v>29000000</v>
      </c>
      <c r="H38" s="76">
        <f>资产资本表!H8</f>
        <v>29000000</v>
      </c>
      <c r="I38" s="76">
        <f>资产资本表!I8</f>
        <v>29000000</v>
      </c>
      <c r="J38" s="76">
        <f>资产资本表!J8</f>
        <v>29000000</v>
      </c>
      <c r="K38" s="76">
        <f>资产资本表!K8</f>
        <v>29000000</v>
      </c>
      <c r="L38" s="76">
        <f>资产资本表!L8</f>
        <v>29000000</v>
      </c>
      <c r="M38" s="76">
        <f>资产资本表!M8</f>
        <v>29000000</v>
      </c>
      <c r="N38" s="76">
        <f>资产资本表!N8</f>
        <v>29000000</v>
      </c>
      <c r="O38" s="76">
        <f>资产资本表!O8</f>
        <v>29000000</v>
      </c>
      <c r="P38" s="76">
        <f>资产资本表!P8</f>
        <v>4000000</v>
      </c>
      <c r="Q38" s="76">
        <f>资产资本表!Q8</f>
        <v>4000000</v>
      </c>
      <c r="R38" s="76">
        <f>资产资本表!R8</f>
        <v>4000000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5"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50000000</v>
      </c>
      <c r="P39" s="76">
        <f>资产资本表!P9</f>
        <v>50000000</v>
      </c>
      <c r="Q39" s="76">
        <f>资产资本表!Q9</f>
        <v>60000000</v>
      </c>
      <c r="R39" s="76">
        <f>资产资本表!R9</f>
        <v>65000000</v>
      </c>
      <c r="S39" s="76">
        <f>资产资本表!S9</f>
        <v>65000000</v>
      </c>
      <c r="T39" s="76">
        <f>资产资本表!T9</f>
        <v>50000000</v>
      </c>
      <c r="U39" s="76">
        <f>资产资本表!U9</f>
        <v>50000000</v>
      </c>
      <c r="V39" s="76">
        <f>资产资本表!V9</f>
        <v>50000000</v>
      </c>
      <c r="W39" s="76">
        <f>资产资本表!W9</f>
        <v>50000000</v>
      </c>
      <c r="X39" s="76">
        <f>资产资本表!X9</f>
        <v>50000000</v>
      </c>
      <c r="Y39" s="76">
        <f>资产资本表!Y9</f>
        <v>50000000</v>
      </c>
      <c r="Z39" s="76">
        <f>资产资本表!Z9</f>
        <v>50000000</v>
      </c>
      <c r="AA39" s="76">
        <f>资产资本表!AA9</f>
        <v>50000000</v>
      </c>
      <c r="AB39" s="76">
        <f>资产资本表!AB9</f>
        <v>50000000</v>
      </c>
      <c r="AC39" s="76">
        <f>资产资本表!AC9</f>
        <v>60000000</v>
      </c>
      <c r="AD39" s="76">
        <f>资产资本表!AD9</f>
        <v>60000000</v>
      </c>
      <c r="AE39" s="76">
        <f>资产资本表!AE9</f>
        <v>60000000</v>
      </c>
      <c r="AF39" s="76">
        <f>资产资本表!AF9</f>
        <v>60000000</v>
      </c>
      <c r="AG39" s="76">
        <f>资产资本表!AG9</f>
        <v>60000000</v>
      </c>
      <c r="AH39" s="76">
        <f>资产资本表!AH9</f>
        <v>60000000</v>
      </c>
      <c r="AI39" s="76">
        <f>资产资本表!AI9</f>
        <v>60000000</v>
      </c>
      <c r="AJ39" s="76">
        <f>资产资本表!AJ9</f>
        <v>10000000</v>
      </c>
      <c r="AK39" s="76">
        <f>资产资本表!AK9</f>
        <v>10000000</v>
      </c>
      <c r="AL39" s="76">
        <f>资产资本表!AL9</f>
        <v>27000000</v>
      </c>
      <c r="AM39" s="76">
        <f>资产资本表!AM9</f>
        <v>27000000</v>
      </c>
      <c r="AN39" s="76">
        <f>资产资本表!AN9</f>
        <v>52000000</v>
      </c>
      <c r="AO39" s="76">
        <f>资产资本表!AO9</f>
        <v>42000000</v>
      </c>
      <c r="AP39" s="76">
        <f>资产资本表!AP9</f>
        <v>37000000</v>
      </c>
      <c r="AQ39" s="76">
        <f>资产资本表!AQ9</f>
        <v>37000000</v>
      </c>
      <c r="AR39" s="76">
        <f>资产资本表!AR9</f>
        <v>37000000</v>
      </c>
      <c r="AS39" s="76">
        <f>资产资本表!AS9</f>
        <v>58000000</v>
      </c>
      <c r="AT39" s="76">
        <f>资产资本表!AT9</f>
        <v>58000000</v>
      </c>
      <c r="AU39" s="76">
        <f>资产资本表!AU9</f>
        <v>58000000</v>
      </c>
      <c r="AV39" s="76">
        <f>资产资本表!AV9</f>
        <v>59769450</v>
      </c>
      <c r="AW39" s="76">
        <f>资产资本表!AW9</f>
        <v>42769450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5"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5"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5"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6" t="s">
        <v>460</v>
      </c>
      <c r="E43" s="76">
        <f>SUM(E34:E42)</f>
        <v>88139328529.229996</v>
      </c>
      <c r="F43" s="76">
        <f t="shared" ref="F43:BQ43" si="14">SUM(F34:F42)</f>
        <v>81236365624.639999</v>
      </c>
      <c r="G43" s="76">
        <f t="shared" si="14"/>
        <v>73821237984.549988</v>
      </c>
      <c r="H43" s="76">
        <f t="shared" si="14"/>
        <v>72976557333.290009</v>
      </c>
      <c r="I43" s="76">
        <f t="shared" si="14"/>
        <v>67024866975.099998</v>
      </c>
      <c r="J43" s="76">
        <f t="shared" si="14"/>
        <v>62154185721.200005</v>
      </c>
      <c r="K43" s="76">
        <f t="shared" si="14"/>
        <v>47637228932.409996</v>
      </c>
      <c r="L43" s="76">
        <f t="shared" si="14"/>
        <v>43938309231.059998</v>
      </c>
      <c r="M43" s="76">
        <f t="shared" si="14"/>
        <v>36915096946.529999</v>
      </c>
      <c r="N43" s="76">
        <f t="shared" si="14"/>
        <v>30701843270.879997</v>
      </c>
      <c r="O43" s="76">
        <f t="shared" si="14"/>
        <v>30452034449.870003</v>
      </c>
      <c r="P43" s="76">
        <f t="shared" si="14"/>
        <v>28592313952.73</v>
      </c>
      <c r="Q43" s="76">
        <f t="shared" si="14"/>
        <v>27855320602.540001</v>
      </c>
      <c r="R43" s="76">
        <f t="shared" si="14"/>
        <v>22900875708.920002</v>
      </c>
      <c r="S43" s="76">
        <f t="shared" si="14"/>
        <v>21200304356.759998</v>
      </c>
      <c r="T43" s="76">
        <f t="shared" si="14"/>
        <v>23483983477.43</v>
      </c>
      <c r="U43" s="76">
        <f t="shared" si="14"/>
        <v>25423608478.91</v>
      </c>
      <c r="V43" s="76">
        <f t="shared" si="14"/>
        <v>22352442030.630001</v>
      </c>
      <c r="W43" s="76">
        <f t="shared" si="14"/>
        <v>18562670939.949997</v>
      </c>
      <c r="X43" s="76">
        <f t="shared" si="14"/>
        <v>21955036844.350002</v>
      </c>
      <c r="Y43" s="76">
        <f t="shared" si="14"/>
        <v>22376612663.389999</v>
      </c>
      <c r="Z43" s="76">
        <f t="shared" si="14"/>
        <v>19005987757.170002</v>
      </c>
      <c r="AA43" s="76">
        <f t="shared" si="14"/>
        <v>21245645480.619999</v>
      </c>
      <c r="AB43" s="76">
        <f t="shared" si="14"/>
        <v>19056013006.079998</v>
      </c>
      <c r="AC43" s="76">
        <f t="shared" si="14"/>
        <v>18539872922.09</v>
      </c>
      <c r="AD43" s="76">
        <f t="shared" si="14"/>
        <v>18524435542.09</v>
      </c>
      <c r="AE43" s="76">
        <f t="shared" si="14"/>
        <v>17479293577.549999</v>
      </c>
      <c r="AF43" s="76">
        <f t="shared" si="14"/>
        <v>16097936940.57</v>
      </c>
      <c r="AG43" s="76">
        <f t="shared" si="14"/>
        <v>12991122314.630001</v>
      </c>
      <c r="AH43" s="76">
        <f t="shared" si="14"/>
        <v>11163366118.51</v>
      </c>
      <c r="AI43" s="76">
        <f t="shared" si="14"/>
        <v>10378305344.280001</v>
      </c>
      <c r="AJ43" s="76">
        <f t="shared" si="14"/>
        <v>9990618883.5699997</v>
      </c>
      <c r="AK43" s="76">
        <f t="shared" si="14"/>
        <v>9755064755.2399998</v>
      </c>
      <c r="AL43" s="76">
        <f t="shared" si="14"/>
        <v>7923955837.8000002</v>
      </c>
      <c r="AM43" s="76">
        <f t="shared" si="14"/>
        <v>7824246321.21</v>
      </c>
      <c r="AN43" s="76">
        <f t="shared" si="14"/>
        <v>7717405756.3000002</v>
      </c>
      <c r="AO43" s="76">
        <f t="shared" si="14"/>
        <v>8138505441.1599998</v>
      </c>
      <c r="AP43" s="76">
        <f t="shared" si="14"/>
        <v>6441498269.54</v>
      </c>
      <c r="AQ43" s="76">
        <f t="shared" si="14"/>
        <v>5105053230.8000002</v>
      </c>
      <c r="AR43" s="76">
        <f t="shared" si="14"/>
        <v>5603323644.29</v>
      </c>
      <c r="AS43" s="76">
        <f t="shared" si="14"/>
        <v>4784290700.0200005</v>
      </c>
      <c r="AT43" s="76">
        <f t="shared" si="14"/>
        <v>4814014936.3500004</v>
      </c>
      <c r="AU43" s="76">
        <f t="shared" si="14"/>
        <v>4870494456.1599998</v>
      </c>
      <c r="AV43" s="76">
        <f t="shared" si="14"/>
        <v>4715254931.29</v>
      </c>
      <c r="AW43" s="76">
        <f t="shared" si="14"/>
        <v>4505867488.6400003</v>
      </c>
      <c r="AX43" s="76">
        <f t="shared" si="14"/>
        <v>4083907788.3400002</v>
      </c>
      <c r="AY43" s="76">
        <f t="shared" si="14"/>
        <v>3419099920.6599998</v>
      </c>
      <c r="AZ43" s="76">
        <f t="shared" si="14"/>
        <v>3975708186.8800001</v>
      </c>
      <c r="BA43" s="76">
        <f t="shared" si="14"/>
        <v>3891989433.5300002</v>
      </c>
      <c r="BB43" s="76">
        <f t="shared" si="14"/>
        <v>3217007276.75</v>
      </c>
      <c r="BC43" s="76">
        <f t="shared" si="14"/>
        <v>3065214770.1900001</v>
      </c>
      <c r="BD43" s="76">
        <f t="shared" si="14"/>
        <v>3024925341.3800001</v>
      </c>
      <c r="BE43" s="76">
        <f t="shared" si="14"/>
        <v>2898327418.8499999</v>
      </c>
      <c r="BF43" s="76">
        <f t="shared" si="14"/>
        <v>2419288966.46</v>
      </c>
      <c r="BG43" s="76">
        <f t="shared" si="14"/>
        <v>2172790156.5900002</v>
      </c>
      <c r="BH43" s="76">
        <f t="shared" si="14"/>
        <v>2101448845.7199998</v>
      </c>
      <c r="BI43" s="76">
        <f t="shared" si="14"/>
        <v>2340047386.8499999</v>
      </c>
      <c r="BJ43" s="76">
        <f t="shared" si="14"/>
        <v>1868792963.71</v>
      </c>
      <c r="BK43" s="76">
        <f t="shared" si="14"/>
        <v>1536249315.6400001</v>
      </c>
      <c r="BL43" s="76">
        <f t="shared" si="14"/>
        <v>1684957738.5599999</v>
      </c>
      <c r="BM43" s="76">
        <f t="shared" si="14"/>
        <v>1780307690.6400001</v>
      </c>
      <c r="BN43" s="76">
        <f t="shared" si="14"/>
        <v>1677224920.04</v>
      </c>
      <c r="BO43" s="76">
        <f t="shared" si="14"/>
        <v>1513800289.8299999</v>
      </c>
      <c r="BP43" s="76">
        <f t="shared" si="14"/>
        <v>1877929846.0899999</v>
      </c>
      <c r="BQ43" s="76">
        <f t="shared" si="14"/>
        <v>1956436570.0999999</v>
      </c>
      <c r="BR43" s="76">
        <f t="shared" ref="BR43:CJ43" si="15">SUM(BR34:BR42)</f>
        <v>336439213.5</v>
      </c>
      <c r="BS43" s="76">
        <f t="shared" si="15"/>
        <v>460983583.45999998</v>
      </c>
      <c r="BT43" s="76">
        <f t="shared" si="15"/>
        <v>198390615.12</v>
      </c>
      <c r="BU43" s="76">
        <f t="shared" si="15"/>
        <v>124765368.73999999</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3" t="s">
        <v>461</v>
      </c>
      <c r="E44" s="110">
        <f>E32/E43</f>
        <v>5.4608774642700257E-4</v>
      </c>
      <c r="F44" s="110">
        <f t="shared" ref="F44:BQ44" si="16">F32/F43</f>
        <v>4.9663057343325511E-5</v>
      </c>
      <c r="G44" s="110">
        <f t="shared" si="16"/>
        <v>4.6927485023454579E-5</v>
      </c>
      <c r="H44" s="110">
        <f t="shared" si="16"/>
        <v>7.1603694541266132E-6</v>
      </c>
      <c r="I44" s="110">
        <f t="shared" si="16"/>
        <v>8.1129438122829649E-4</v>
      </c>
      <c r="J44" s="110">
        <f t="shared" si="16"/>
        <v>5.1568019157666445E-5</v>
      </c>
      <c r="K44" s="110">
        <f t="shared" si="16"/>
        <v>4.8118023263953856E-5</v>
      </c>
      <c r="L44" s="110">
        <f t="shared" si="16"/>
        <v>8.0048651201027309E-5</v>
      </c>
      <c r="M44" s="110">
        <f t="shared" si="16"/>
        <v>1.9493172721138144E-3</v>
      </c>
      <c r="N44" s="110">
        <f t="shared" si="16"/>
        <v>-2.9263161562162547E-4</v>
      </c>
      <c r="O44" s="110">
        <f t="shared" si="16"/>
        <v>-3.8789985298605221E-4</v>
      </c>
      <c r="P44" s="110">
        <f t="shared" si="16"/>
        <v>-3.5314652889971654E-4</v>
      </c>
      <c r="Q44" s="110">
        <f t="shared" si="16"/>
        <v>3.6100596996857083E-3</v>
      </c>
      <c r="R44" s="110">
        <f t="shared" si="16"/>
        <v>9.7584701382430128E-5</v>
      </c>
      <c r="S44" s="110">
        <f t="shared" si="16"/>
        <v>1.0549854744198432E-4</v>
      </c>
      <c r="T44" s="110">
        <f t="shared" si="16"/>
        <v>0</v>
      </c>
      <c r="U44" s="110">
        <f t="shared" si="16"/>
        <v>1.2649433313947698E-2</v>
      </c>
      <c r="V44" s="110">
        <f t="shared" si="16"/>
        <v>1.001229413973609E-4</v>
      </c>
      <c r="W44" s="110">
        <f t="shared" si="16"/>
        <v>1.2200777396108852E-4</v>
      </c>
      <c r="X44" s="110">
        <f t="shared" si="16"/>
        <v>0</v>
      </c>
      <c r="Y44" s="110">
        <f t="shared" si="16"/>
        <v>1.4221240827486395E-2</v>
      </c>
      <c r="Z44" s="110">
        <f t="shared" si="16"/>
        <v>1.2244734111141266E-4</v>
      </c>
      <c r="AA44" s="110">
        <f t="shared" si="16"/>
        <v>1.095311443161972E-4</v>
      </c>
      <c r="AB44" s="110">
        <f t="shared" si="16"/>
        <v>3.668101864833464E-6</v>
      </c>
      <c r="AC44" s="110">
        <f t="shared" si="16"/>
        <v>1.4338569681123117E-2</v>
      </c>
      <c r="AD44" s="110">
        <f t="shared" si="16"/>
        <v>1.3263825339033703E-4</v>
      </c>
      <c r="AE44" s="110">
        <f t="shared" si="16"/>
        <v>1.3717627855447525E-4</v>
      </c>
      <c r="AF44" s="110">
        <f t="shared" si="16"/>
        <v>4.346054302318715E-6</v>
      </c>
      <c r="AG44" s="110">
        <f t="shared" si="16"/>
        <v>1.0176362519182266E-2</v>
      </c>
      <c r="AH44" s="110">
        <f t="shared" si="16"/>
        <v>2.5186473367146346E-5</v>
      </c>
      <c r="AI44" s="110">
        <f t="shared" si="16"/>
        <v>2.0365467878473878E-5</v>
      </c>
      <c r="AJ44" s="110">
        <f t="shared" si="16"/>
        <v>0</v>
      </c>
      <c r="AK44" s="110">
        <f t="shared" si="16"/>
        <v>9.2832852157761857E-5</v>
      </c>
      <c r="AL44" s="110">
        <f t="shared" si="16"/>
        <v>9.2028891435984227E-5</v>
      </c>
      <c r="AM44" s="110">
        <f t="shared" si="16"/>
        <v>7.0422443181097693E-5</v>
      </c>
      <c r="AN44" s="110">
        <f t="shared" si="16"/>
        <v>2.9260678213152845E-5</v>
      </c>
      <c r="AO44" s="110">
        <f t="shared" si="16"/>
        <v>1.2069836651042704E-4</v>
      </c>
      <c r="AP44" s="110">
        <f t="shared" si="16"/>
        <v>1.1894409680409646E-4</v>
      </c>
      <c r="AQ44" s="110">
        <f t="shared" si="16"/>
        <v>1.0580555455608769E-4</v>
      </c>
      <c r="AR44" s="110">
        <f t="shared" si="16"/>
        <v>5.6094109080649788E-5</v>
      </c>
      <c r="AS44" s="110">
        <f t="shared" si="16"/>
        <v>2.4882440814914943E-4</v>
      </c>
      <c r="AT44" s="110">
        <f t="shared" si="16"/>
        <v>1.1888969847806184E-4</v>
      </c>
      <c r="AU44" s="110">
        <f t="shared" si="16"/>
        <v>1.159671914010872E-4</v>
      </c>
      <c r="AV44" s="110">
        <f t="shared" si="16"/>
        <v>0</v>
      </c>
      <c r="AW44" s="110">
        <f t="shared" si="16"/>
        <v>4.2299366310725902E-4</v>
      </c>
      <c r="AX44" s="110">
        <f t="shared" si="16"/>
        <v>2.242788836853467E-5</v>
      </c>
      <c r="AY44" s="110">
        <f t="shared" si="16"/>
        <v>2.7554325396521628E-5</v>
      </c>
      <c r="AZ44" s="110">
        <f t="shared" si="16"/>
        <v>0</v>
      </c>
      <c r="BA44" s="110">
        <f t="shared" si="16"/>
        <v>6.6945416021037976E-5</v>
      </c>
      <c r="BB44" s="110">
        <f t="shared" si="16"/>
        <v>4.7065014491188728E-6</v>
      </c>
      <c r="BC44" s="110">
        <f t="shared" si="16"/>
        <v>5.1397708749139836E-6</v>
      </c>
      <c r="BD44" s="110">
        <f t="shared" si="16"/>
        <v>-4.2723479761297825E-5</v>
      </c>
      <c r="BE44" s="110">
        <f t="shared" si="16"/>
        <v>6.2289336511541139E-5</v>
      </c>
      <c r="BF44" s="110">
        <f t="shared" si="16"/>
        <v>0</v>
      </c>
      <c r="BG44" s="110">
        <f t="shared" si="16"/>
        <v>0</v>
      </c>
      <c r="BH44" s="110">
        <f t="shared" si="16"/>
        <v>0</v>
      </c>
      <c r="BI44" s="110">
        <f t="shared" si="16"/>
        <v>0</v>
      </c>
      <c r="BJ44" s="110">
        <f t="shared" si="16"/>
        <v>0</v>
      </c>
      <c r="BK44" s="110">
        <f t="shared" si="16"/>
        <v>0</v>
      </c>
      <c r="BL44" s="110">
        <f t="shared" si="16"/>
        <v>0</v>
      </c>
      <c r="BM44" s="110">
        <f t="shared" si="16"/>
        <v>0</v>
      </c>
      <c r="BN44" s="110">
        <f t="shared" si="16"/>
        <v>0</v>
      </c>
      <c r="BO44" s="110">
        <f t="shared" si="16"/>
        <v>0</v>
      </c>
      <c r="BP44" s="110">
        <f t="shared" si="16"/>
        <v>0</v>
      </c>
      <c r="BQ44" s="110">
        <f t="shared" si="16"/>
        <v>0</v>
      </c>
      <c r="BR44" s="110">
        <f t="shared" ref="BR44:CK44" si="17">BR32/BR43</f>
        <v>0</v>
      </c>
      <c r="BS44" s="110">
        <f t="shared" si="17"/>
        <v>0</v>
      </c>
      <c r="BT44" s="110">
        <f t="shared" si="17"/>
        <v>0</v>
      </c>
      <c r="BU44" s="110">
        <f t="shared" si="17"/>
        <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695</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696</v>
      </c>
      <c r="E46" s="57">
        <f>E43/资产资本表!E70</f>
        <v>0.82755538049357991</v>
      </c>
      <c r="F46" s="57">
        <f>F43/资产资本表!F70</f>
        <v>0.80989966483316544</v>
      </c>
      <c r="G46" s="57">
        <f>G43/资产资本表!G70</f>
        <v>0.76561402954572999</v>
      </c>
      <c r="H46" s="57">
        <f>H43/资产资本表!H70</f>
        <v>0.78436589771410581</v>
      </c>
      <c r="I46" s="57">
        <f>I43/资产资本表!I70</f>
        <v>0.7764531523402356</v>
      </c>
      <c r="J46" s="57">
        <f>J43/资产资本表!J70</f>
        <v>0.74181869442575576</v>
      </c>
      <c r="K46" s="57">
        <f>K43/资产资本表!K70</f>
        <v>0.59503999644780659</v>
      </c>
      <c r="L46" s="57">
        <f>L43/资产资本表!L70</f>
        <v>0.56665102456399719</v>
      </c>
      <c r="M46" s="57">
        <f>M43/资产资本表!M70</f>
        <v>0.51108271777334735</v>
      </c>
      <c r="N46" s="57">
        <f>N43/资产资本表!N70</f>
        <v>0.44950722040155028</v>
      </c>
      <c r="O46" s="57">
        <f>O43/资产资本表!O70</f>
        <v>0.45625218201218554</v>
      </c>
      <c r="P46" s="57">
        <f>P43/资产资本表!P70</f>
        <v>0.45537587830054355</v>
      </c>
      <c r="Q46" s="57">
        <f>Q43/资产资本表!Q70</f>
        <v>0.46937213144415885</v>
      </c>
      <c r="R46" s="57">
        <f>R43/资产资本表!R70</f>
        <v>0.42076270553383732</v>
      </c>
      <c r="S46" s="57">
        <f>S43/资产资本表!S70</f>
        <v>0.41726407839311597</v>
      </c>
      <c r="T46" s="57">
        <f>T43/资产资本表!T70</f>
        <v>0.46490864814263033</v>
      </c>
      <c r="U46" s="57">
        <f>U43/资产资本表!U70</f>
        <v>0.54173854292679136</v>
      </c>
      <c r="V46" s="57">
        <f>V43/资产资本表!V70</f>
        <v>0.51926013866041476</v>
      </c>
      <c r="W46" s="57">
        <f>W43/资产资本表!W70</f>
        <v>0.47076630768676486</v>
      </c>
      <c r="X46" s="57">
        <f>X43/资产资本表!X70</f>
        <v>0.55971837062992191</v>
      </c>
      <c r="Y46" s="57">
        <f>Y43/资产资本表!Y70</f>
        <v>0.63114429095372748</v>
      </c>
      <c r="Z46" s="57">
        <f>Z43/资产资本表!Z70</f>
        <v>0.5904818038096028</v>
      </c>
      <c r="AA46" s="57">
        <f>AA43/资产资本表!AA70</f>
        <v>0.65093736291433202</v>
      </c>
      <c r="AB46" s="57">
        <f>AB43/资产资本表!AB70</f>
        <v>0.66786175865167208</v>
      </c>
      <c r="AC46" s="57">
        <f>AC43/资产资本表!AC70</f>
        <v>0.7298191502775615</v>
      </c>
      <c r="AD46" s="57">
        <f>AD43/资产资本表!AD70</f>
        <v>0.79472076270910552</v>
      </c>
      <c r="AE46" s="57">
        <f>AE43/资产资本表!AE70</f>
        <v>0.73399131009026397</v>
      </c>
      <c r="AF46" s="57">
        <f>AF43/资产资本表!AF70</f>
        <v>0.77174036431114235</v>
      </c>
      <c r="AG46" s="57">
        <f>AG43/资产资本表!AG70</f>
        <v>0.68852768133671816</v>
      </c>
      <c r="AH46" s="57">
        <f>AH43/资产资本表!AH70</f>
        <v>0.62219126190180207</v>
      </c>
      <c r="AI46" s="57">
        <f>AI43/资产资本表!AI70</f>
        <v>0.5790211999653202</v>
      </c>
      <c r="AJ46" s="57">
        <f>AJ43/资产资本表!AJ70</f>
        <v>0.624571845547367</v>
      </c>
      <c r="AK46" s="57">
        <f>AK43/资产资本表!AK70</f>
        <v>0.65962637453110085</v>
      </c>
      <c r="AL46" s="57">
        <f>AL43/资产资本表!AL70</f>
        <v>0.55740956378635786</v>
      </c>
      <c r="AM46" s="57">
        <f>AM43/资产资本表!AM70</f>
        <v>0.55001096488945156</v>
      </c>
      <c r="AN46" s="57">
        <f>AN43/资产资本表!AN70</f>
        <v>0.60384418420040264</v>
      </c>
      <c r="AO46" s="57">
        <f>AO43/资产资本表!AO70</f>
        <v>0.70748583001848397</v>
      </c>
      <c r="AP46" s="57">
        <f>AP43/资产资本表!AP70</f>
        <v>0.58975162580480966</v>
      </c>
      <c r="AQ46" s="57">
        <f>AQ43/资产资本表!AQ70</f>
        <v>0.51189659223437389</v>
      </c>
      <c r="AR46" s="57">
        <f>AR43/资产资本表!AR70</f>
        <v>0.6007155757518724</v>
      </c>
      <c r="AS46" s="57">
        <f>AS43/资产资本表!AS70</f>
        <v>0.56883635148268885</v>
      </c>
      <c r="AT46" s="57">
        <f>AT43/资产资本表!AT70</f>
        <v>0.68823689544815014</v>
      </c>
      <c r="AU46" s="57">
        <f>AU43/资产资本表!AU70</f>
        <v>0.70156949625978748</v>
      </c>
      <c r="AV46" s="57">
        <f>AV43/资产资本表!AV70</f>
        <v>0.71323678074295471</v>
      </c>
      <c r="AW46" s="57">
        <f>AW43/资产资本表!AW70</f>
        <v>0.75047892320973619</v>
      </c>
      <c r="AX46" s="57">
        <f>AX43/资产资本表!AX70</f>
        <v>0.74631900781718208</v>
      </c>
      <c r="AY46" s="57">
        <f>AY43/资产资本表!AY70</f>
        <v>0.67562697790449044</v>
      </c>
      <c r="AZ46" s="57">
        <f>AZ43/资产资本表!AZ70</f>
        <v>0.70065536504707027</v>
      </c>
      <c r="BA46" s="57">
        <f>BA43/资产资本表!BA70</f>
        <v>0.74712382093638807</v>
      </c>
      <c r="BB46" s="57">
        <f>BB43/资产资本表!BB70</f>
        <v>0.66809523818695871</v>
      </c>
      <c r="BC46" s="57">
        <f>BC43/资产资本表!BC70</f>
        <v>0.64794624969787706</v>
      </c>
      <c r="BD46" s="57">
        <f>BD43/资产资本表!BD70</f>
        <v>0.64783506784127842</v>
      </c>
      <c r="BE46" s="57">
        <f>BE43/资产资本表!BE70</f>
        <v>0.68208825760377012</v>
      </c>
      <c r="BF46" s="57">
        <f>BF43/资产资本表!BF70</f>
        <v>0.60047397323127882</v>
      </c>
      <c r="BG46" s="57">
        <f>BG43/资产资本表!BG70</f>
        <v>0.55861474702986913</v>
      </c>
      <c r="BH46" s="57">
        <f>BH43/资产资本表!BH70</f>
        <v>0.55179135173959726</v>
      </c>
      <c r="BI46" s="57">
        <f>BI43/资产资本表!BI70</f>
        <v>0.6712703532831884</v>
      </c>
      <c r="BJ46" s="57">
        <f>BJ43/资产资本表!BJ70</f>
        <v>0.56605109373241125</v>
      </c>
      <c r="BK46" s="57">
        <f>BK43/资产资本表!BK70</f>
        <v>0.48047224948417044</v>
      </c>
      <c r="BL46" s="57">
        <f>BL43/资产资本表!BL70</f>
        <v>0.53150264749405629</v>
      </c>
      <c r="BM46" s="57">
        <f>BM43/资产资本表!BM70</f>
        <v>0.60537833728469181</v>
      </c>
      <c r="BN46" s="57">
        <f>BN43/资产资本表!BN70</f>
        <v>0.55795955197239999</v>
      </c>
      <c r="BO46" s="57">
        <f>BO43/资产资本表!BO70</f>
        <v>0.51210807339592412</v>
      </c>
      <c r="BP46" s="57">
        <f>BP43/资产资本表!BP70</f>
        <v>0.64150308468931538</v>
      </c>
      <c r="BQ46" s="57">
        <f>BQ43/资产资本表!BQ70</f>
        <v>0.72983973529805346</v>
      </c>
      <c r="BR46" s="57">
        <f>BR43/资产资本表!BR70</f>
        <v>0.40170044610711403</v>
      </c>
      <c r="BS46" s="57">
        <f>BS43/资产资本表!BS70</f>
        <v>0.82854085187674298</v>
      </c>
      <c r="BT46" s="57">
        <f>BT43/资产资本表!BT70</f>
        <v>0.43399372731641039</v>
      </c>
      <c r="BU46" s="57">
        <f>BU43/资产资本表!BU70</f>
        <v>0.27761178586882623</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36525</v>
      </c>
      <c r="BU48" s="1">
        <v>36160</v>
      </c>
      <c r="BV48" s="1">
        <v>25569</v>
      </c>
      <c r="BW48" s="1"/>
      <c r="BX48" s="1"/>
      <c r="BY48" s="1"/>
      <c r="BZ48" s="1"/>
      <c r="CA48" s="1"/>
      <c r="CB48" s="1"/>
      <c r="CC48" s="1"/>
      <c r="CD48" s="1"/>
      <c r="CE48" s="1"/>
      <c r="CF48" s="1"/>
      <c r="CG48" s="1"/>
      <c r="CH48" s="1"/>
      <c r="CI48" s="1"/>
      <c r="CJ48" s="1"/>
      <c r="CK48" s="1"/>
    </row>
    <row r="49" spans="1:89" s="76" customFormat="1" x14ac:dyDescent="0.25">
      <c r="A49" s="145" t="s">
        <v>463</v>
      </c>
      <c r="E49" s="76">
        <f>利润表!E4</f>
        <v>58217861314.169998</v>
      </c>
      <c r="F49" s="76">
        <f>利润表!F4</f>
        <v>42450467500.010002</v>
      </c>
      <c r="G49" s="76">
        <f>利润表!G4</f>
        <v>24190030218.959999</v>
      </c>
      <c r="H49" s="76">
        <f>利润表!H4</f>
        <v>13308639084.870001</v>
      </c>
      <c r="I49" s="76">
        <f>利润表!I4</f>
        <v>38862189993.839996</v>
      </c>
      <c r="J49" s="76">
        <f>利润表!J4</f>
        <v>26631884032.43</v>
      </c>
      <c r="K49" s="76">
        <f>利润表!K4</f>
        <v>18173234673.439999</v>
      </c>
      <c r="L49" s="76">
        <f>利润表!L4</f>
        <v>9988753730.9699993</v>
      </c>
      <c r="M49" s="76">
        <f>利润表!M4</f>
        <v>32659583725.279999</v>
      </c>
      <c r="N49" s="76">
        <f>利润表!N4</f>
        <v>23148688960.889999</v>
      </c>
      <c r="O49" s="76">
        <f>利润表!O4</f>
        <v>15778647465.950001</v>
      </c>
      <c r="P49" s="76">
        <f>利润表!P4</f>
        <v>8544273436</v>
      </c>
      <c r="Q49" s="76">
        <f>利润表!Q4</f>
        <v>31573928530.939999</v>
      </c>
      <c r="R49" s="76">
        <f>利润表!R4</f>
        <v>21718189167.610001</v>
      </c>
      <c r="S49" s="76">
        <f>利润表!S4</f>
        <v>14321628403.09</v>
      </c>
      <c r="T49" s="76">
        <f>利润表!T4</f>
        <v>7449825750.6400003</v>
      </c>
      <c r="U49" s="76">
        <f>利润表!U4</f>
        <v>30921801316.599998</v>
      </c>
      <c r="V49" s="76">
        <f>利润表!V4</f>
        <v>21935713045.240002</v>
      </c>
      <c r="W49" s="76">
        <f>利润表!W4</f>
        <v>14127867191.110001</v>
      </c>
      <c r="X49" s="76">
        <f>利润表!X4</f>
        <v>7165785851.6099997</v>
      </c>
      <c r="Y49" s="76">
        <f>利润表!Y4</f>
        <v>26455335152.990002</v>
      </c>
      <c r="Z49" s="76">
        <f>利润表!Z4</f>
        <v>19931438600.48</v>
      </c>
      <c r="AA49" s="76">
        <f>利润表!AA4</f>
        <v>13264437836.41</v>
      </c>
      <c r="AB49" s="76">
        <f>利润表!AB4</f>
        <v>6015967741.6199999</v>
      </c>
      <c r="AC49" s="76">
        <f>利润表!AC4</f>
        <v>18402355207.299999</v>
      </c>
      <c r="AD49" s="76">
        <f>利润表!AD4</f>
        <v>13642075480.07</v>
      </c>
      <c r="AE49" s="76">
        <f>利润表!AE4</f>
        <v>9825823427.0799999</v>
      </c>
      <c r="AF49" s="76">
        <f>利润表!AF4</f>
        <v>4220589097.9400001</v>
      </c>
      <c r="AG49" s="76">
        <f>利润表!AG4</f>
        <v>11633283740.18</v>
      </c>
      <c r="AH49" s="76">
        <f>利润表!AH4</f>
        <v>9327577784.1200008</v>
      </c>
      <c r="AI49" s="76">
        <f>利润表!AI4</f>
        <v>6587266362.7799997</v>
      </c>
      <c r="AJ49" s="76">
        <f>利润表!AJ4</f>
        <v>3039906100.4099998</v>
      </c>
      <c r="AK49" s="76">
        <f>利润表!AK4</f>
        <v>9669999065.3899994</v>
      </c>
      <c r="AL49" s="76">
        <f>利润表!AL4</f>
        <v>7807202385.7799997</v>
      </c>
      <c r="AM49" s="76">
        <f>利润表!AM4</f>
        <v>5546006031.29</v>
      </c>
      <c r="AN49" s="76">
        <f>利润表!AN4</f>
        <v>2512537167.1999998</v>
      </c>
      <c r="AO49" s="76">
        <f>利润表!AO4</f>
        <v>8241685564.1099997</v>
      </c>
      <c r="AP49" s="76">
        <f>利润表!AP4</f>
        <v>6486517281.0100002</v>
      </c>
      <c r="AQ49" s="76">
        <f>利润表!AQ4</f>
        <v>4619717309.6000004</v>
      </c>
      <c r="AR49" s="76">
        <f>利润表!AR4</f>
        <v>1993496395.46</v>
      </c>
      <c r="AS49" s="76">
        <f>利润表!AS4</f>
        <v>7237430747.1199999</v>
      </c>
      <c r="AT49" s="76">
        <f>利润表!AT4</f>
        <v>4458382249.2600002</v>
      </c>
      <c r="AU49" s="76">
        <f>利润表!AU4</f>
        <v>2629088876.4200001</v>
      </c>
      <c r="AV49" s="76">
        <f>利润表!AV4</f>
        <v>1587538095.6800001</v>
      </c>
      <c r="AW49" s="76">
        <f>利润表!AW4</f>
        <v>4896186901.21</v>
      </c>
      <c r="AX49" s="76">
        <f>利润表!AX4</f>
        <v>3249453246.71</v>
      </c>
      <c r="AY49" s="76">
        <f>利润表!AY4</f>
        <v>2029461983.6600001</v>
      </c>
      <c r="AZ49" s="76">
        <f>利润表!AZ4</f>
        <v>1354498050.1700001</v>
      </c>
      <c r="BA49" s="76">
        <f>利润表!BA4</f>
        <v>3930515237.6100001</v>
      </c>
      <c r="BB49" s="76">
        <f>利润表!BB4</f>
        <v>2580318873.25</v>
      </c>
      <c r="BC49" s="76">
        <f>利润表!BC4</f>
        <v>1686144341.9100001</v>
      </c>
      <c r="BD49" s="76">
        <f>利润表!BD4</f>
        <v>1144017320.6199999</v>
      </c>
      <c r="BE49" s="76">
        <f>利润表!BE4</f>
        <v>3009793519.9200001</v>
      </c>
      <c r="BF49" s="76">
        <f>利润表!BF4</f>
        <v>2070438172.6500001</v>
      </c>
      <c r="BG49" s="76">
        <f>利润表!BG4</f>
        <v>1314109209.0599999</v>
      </c>
      <c r="BH49" s="76">
        <f>利润表!BH4</f>
        <v>853431905.86000001</v>
      </c>
      <c r="BI49" s="76">
        <f>利润表!BI4</f>
        <v>2401017934.9299998</v>
      </c>
      <c r="BJ49" s="76">
        <f>利润表!BJ4</f>
        <v>1552744360.0999999</v>
      </c>
      <c r="BK49" s="76">
        <f>利润表!BK4</f>
        <v>1009047565.48</v>
      </c>
      <c r="BL49" s="76">
        <f>利润表!BL4</f>
        <v>733889255.88999999</v>
      </c>
      <c r="BM49" s="76">
        <f>利润表!BM4</f>
        <v>1834898294.9000001</v>
      </c>
      <c r="BN49" s="76">
        <f>利润表!BN4</f>
        <v>1363886224.3199999</v>
      </c>
      <c r="BO49" s="76">
        <f>利润表!BO4</f>
        <v>955654212.62</v>
      </c>
      <c r="BP49" s="76">
        <f>利润表!BP4</f>
        <v>718014858.52999997</v>
      </c>
      <c r="BQ49" s="76">
        <f>利润表!BQ4</f>
        <v>1618046660.3099999</v>
      </c>
      <c r="BR49" s="76">
        <f>利润表!BR4</f>
        <v>873863478.94000006</v>
      </c>
      <c r="BS49" s="76">
        <f>利润表!BS4</f>
        <v>1114000813.26</v>
      </c>
      <c r="BT49" s="76">
        <f>利润表!BT4</f>
        <v>890858185.63999999</v>
      </c>
      <c r="BU49" s="76">
        <f>利润表!BU4</f>
        <v>628184433.19000006</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5" t="s">
        <v>464</v>
      </c>
      <c r="E50" s="76">
        <f>资产资本表!E50</f>
        <v>-3965603619.8199997</v>
      </c>
      <c r="F50" s="76">
        <f>资产资本表!F50</f>
        <v>-3879872811.2099953</v>
      </c>
      <c r="G50" s="76">
        <f>资产资本表!G50</f>
        <v>-356230023.98999786</v>
      </c>
      <c r="H50" s="76">
        <f>资产资本表!H50</f>
        <v>-2997931597.6099968</v>
      </c>
      <c r="I50" s="76">
        <f>资产资本表!I50</f>
        <v>-3428013627.7599945</v>
      </c>
      <c r="J50" s="76">
        <f>资产资本表!J50</f>
        <v>17890197.009998322</v>
      </c>
      <c r="K50" s="76">
        <f>资产资本表!K50</f>
        <v>10855927043.779999</v>
      </c>
      <c r="L50" s="76">
        <f>资产资本表!L50</f>
        <v>12054370526.109999</v>
      </c>
      <c r="M50" s="76">
        <f>资产资本表!M50</f>
        <v>14046155822.110003</v>
      </c>
      <c r="N50" s="76">
        <f>资产资本表!N50</f>
        <v>17366677202.509998</v>
      </c>
      <c r="O50" s="76">
        <f>资产资本表!O50</f>
        <v>17273056685.869999</v>
      </c>
      <c r="P50" s="76">
        <f>资产资本表!P50</f>
        <v>15934420088.649998</v>
      </c>
      <c r="Q50" s="76">
        <f>资产资本表!Q50</f>
        <v>13252362479.369999</v>
      </c>
      <c r="R50" s="76">
        <f>资产资本表!R50</f>
        <v>14934385952.550001</v>
      </c>
      <c r="S50" s="76">
        <f>资产资本表!S50</f>
        <v>13092803795</v>
      </c>
      <c r="T50" s="76">
        <f>资产资本表!T50</f>
        <v>11495522122.059999</v>
      </c>
      <c r="U50" s="76">
        <f>资产资本表!U50</f>
        <v>8033489539.96</v>
      </c>
      <c r="V50" s="76">
        <f>资产资本表!V50</f>
        <v>11310680004.709999</v>
      </c>
      <c r="W50" s="76">
        <f>资产资本表!W50</f>
        <v>11980350746.769999</v>
      </c>
      <c r="X50" s="76">
        <f>资产资本表!X50</f>
        <v>8273990580.3700008</v>
      </c>
      <c r="Y50" s="76">
        <f>资产资本表!Y50</f>
        <v>4354291394.2799988</v>
      </c>
      <c r="Z50" s="76">
        <f>资产资本表!Z50</f>
        <v>5882282456.0699997</v>
      </c>
      <c r="AA50" s="76">
        <f>资产资本表!AA50</f>
        <v>4155722505.7600012</v>
      </c>
      <c r="AB50" s="76">
        <f>资产资本表!AB50</f>
        <v>2351899852.6799994</v>
      </c>
      <c r="AC50" s="76">
        <f>资产资本表!AC50</f>
        <v>-147730105.78000069</v>
      </c>
      <c r="AD50" s="76">
        <f>资产资本表!AD50</f>
        <v>-1062664717.4899979</v>
      </c>
      <c r="AE50" s="76">
        <f>资产资本表!AE50</f>
        <v>944075050.65999985</v>
      </c>
      <c r="AF50" s="76">
        <f>资产资本表!AF50</f>
        <v>-583582474.69999886</v>
      </c>
      <c r="AG50" s="76">
        <f>资产资本表!AG50</f>
        <v>649556463.90000057</v>
      </c>
      <c r="AH50" s="76">
        <f>资产资本表!AH50</f>
        <v>1984328661.0199995</v>
      </c>
      <c r="AI50" s="76">
        <f>资产资本表!AI50</f>
        <v>2855050075.5199995</v>
      </c>
      <c r="AJ50" s="76">
        <f>资产资本表!AJ50</f>
        <v>1791831400.9899998</v>
      </c>
      <c r="AK50" s="76">
        <f>资产资本表!AK50</f>
        <v>929670517.26000118</v>
      </c>
      <c r="AL50" s="76">
        <f>资产资本表!AL50</f>
        <v>2425641944.8799996</v>
      </c>
      <c r="AM50" s="76">
        <f>资产资本表!AM50</f>
        <v>2671434887.5800009</v>
      </c>
      <c r="AN50" s="76">
        <f>资产资本表!AN50</f>
        <v>1386375282.5700002</v>
      </c>
      <c r="AO50" s="76">
        <f>资产资本表!AO50</f>
        <v>-106524098.72000027</v>
      </c>
      <c r="AP50" s="76">
        <f>资产资本表!AP50</f>
        <v>778879170.97000027</v>
      </c>
      <c r="AQ50" s="76">
        <f>资产资本表!AQ50</f>
        <v>1378687881.8600001</v>
      </c>
      <c r="AR50" s="76">
        <f>资产资本表!AR50</f>
        <v>423085678.25</v>
      </c>
      <c r="AS50" s="76">
        <f>资产资本表!AS50</f>
        <v>474403091.43000007</v>
      </c>
      <c r="AT50" s="76">
        <f>资产资本表!AT50</f>
        <v>-847444657.22000027</v>
      </c>
      <c r="AU50" s="76">
        <f>资产资本表!AU50</f>
        <v>-823210332.78999996</v>
      </c>
      <c r="AV50" s="76">
        <f>资产资本表!AV50</f>
        <v>-889705035.06999922</v>
      </c>
      <c r="AW50" s="76">
        <f>资产资本表!AW50</f>
        <v>-1097449417.3099999</v>
      </c>
      <c r="AX50" s="76">
        <f>资产资本表!AX50</f>
        <v>-1062230332.1300006</v>
      </c>
      <c r="AY50" s="76">
        <f>资产资本表!AY50</f>
        <v>-621895281.67000008</v>
      </c>
      <c r="AZ50" s="76">
        <f>资产资本表!AZ50</f>
        <v>-417076439.48000026</v>
      </c>
      <c r="BA50" s="76">
        <f>资产资本表!BA50</f>
        <v>-720769206.80000019</v>
      </c>
      <c r="BB50" s="76">
        <f>资产资本表!BB50</f>
        <v>-306771530.96000004</v>
      </c>
      <c r="BC50" s="76">
        <f>资产资本表!BC50</f>
        <v>-115429303.48999977</v>
      </c>
      <c r="BD50" s="76">
        <f>资产资本表!BD50</f>
        <v>-41052018.059999943</v>
      </c>
      <c r="BE50" s="76">
        <f>资产资本表!BE50</f>
        <v>-250144834.6500001</v>
      </c>
      <c r="BF50" s="76">
        <f>资产资本表!BF50</f>
        <v>146105948.47000003</v>
      </c>
      <c r="BG50" s="76">
        <f>资产资本表!BG50</f>
        <v>318020086.88000011</v>
      </c>
      <c r="BH50" s="76">
        <f>资产资本表!BH50</f>
        <v>374663088.67999983</v>
      </c>
      <c r="BI50" s="76">
        <f>资产资本表!BI50</f>
        <v>-54385749.870000124</v>
      </c>
      <c r="BJ50" s="76">
        <f>资产资本表!BJ50</f>
        <v>266752468.06999993</v>
      </c>
      <c r="BK50" s="76">
        <f>资产资本表!BK50</f>
        <v>568191009.9000001</v>
      </c>
      <c r="BL50" s="76">
        <f>资产资本表!BL50</f>
        <v>465445449.63999999</v>
      </c>
      <c r="BM50" s="76">
        <f>资产资本表!BM50</f>
        <v>220861898.69000006</v>
      </c>
      <c r="BN50" s="76">
        <f>资产资本表!BN50</f>
        <v>469171373.13999999</v>
      </c>
      <c r="BO50" s="76">
        <f>资产资本表!BO50</f>
        <v>693395515.64999998</v>
      </c>
      <c r="BP50" s="76">
        <f>资产资本表!BP50</f>
        <v>438258677.16999996</v>
      </c>
      <c r="BQ50" s="76">
        <f>资产资本表!BQ50</f>
        <v>130738590.88999999</v>
      </c>
      <c r="BR50" s="76">
        <f>资产资本表!BR50</f>
        <v>306413823.19999993</v>
      </c>
      <c r="BS50" s="76">
        <f>资产资本表!BS50</f>
        <v>-103489887.68000007</v>
      </c>
      <c r="BT50" s="76">
        <f>资产资本表!BT50</f>
        <v>64397571.980000019</v>
      </c>
      <c r="BU50" s="76">
        <f>资产资本表!BU50</f>
        <v>103717141.55000001</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1" t="s">
        <v>465</v>
      </c>
      <c r="E51" s="44">
        <f>E49/E50</f>
        <v>-14.68070611575963</v>
      </c>
      <c r="F51" s="44">
        <f t="shared" ref="F51:BQ51" si="18">F49/F50</f>
        <v>-10.941200798479578</v>
      </c>
      <c r="G51" s="44">
        <f t="shared" si="18"/>
        <v>-67.905646885168778</v>
      </c>
      <c r="H51" s="44">
        <f t="shared" si="18"/>
        <v>-4.4392737631104993</v>
      </c>
      <c r="I51" s="44">
        <f t="shared" si="18"/>
        <v>-11.336649796002753</v>
      </c>
      <c r="J51" s="44">
        <f t="shared" si="18"/>
        <v>1488.6300032104843</v>
      </c>
      <c r="K51" s="44">
        <f t="shared" si="18"/>
        <v>1.6740380255090712</v>
      </c>
      <c r="L51" s="44">
        <f t="shared" si="18"/>
        <v>0.82864167061516536</v>
      </c>
      <c r="M51" s="44">
        <f t="shared" si="18"/>
        <v>2.325161712492942</v>
      </c>
      <c r="N51" s="44">
        <f t="shared" si="18"/>
        <v>1.3329371353516222</v>
      </c>
      <c r="O51" s="44">
        <f t="shared" si="18"/>
        <v>0.91348322146464789</v>
      </c>
      <c r="P51" s="44">
        <f t="shared" si="18"/>
        <v>0.53621489759053365</v>
      </c>
      <c r="Q51" s="44">
        <f t="shared" si="18"/>
        <v>2.3825131994458535</v>
      </c>
      <c r="R51" s="44">
        <f t="shared" si="18"/>
        <v>1.454240518265278</v>
      </c>
      <c r="S51" s="44">
        <f t="shared" si="18"/>
        <v>1.0938549624152525</v>
      </c>
      <c r="T51" s="44">
        <f t="shared" si="18"/>
        <v>0.64806327816495823</v>
      </c>
      <c r="U51" s="44">
        <f t="shared" si="18"/>
        <v>3.8491120406380666</v>
      </c>
      <c r="V51" s="44">
        <f t="shared" si="18"/>
        <v>1.9393805709387517</v>
      </c>
      <c r="W51" s="44">
        <f t="shared" si="18"/>
        <v>1.1792532196871606</v>
      </c>
      <c r="X51" s="44">
        <f t="shared" si="18"/>
        <v>0.86606164002782271</v>
      </c>
      <c r="Y51" s="44">
        <f t="shared" si="18"/>
        <v>6.0756924049095495</v>
      </c>
      <c r="Z51" s="44">
        <f t="shared" si="18"/>
        <v>3.3883851632987296</v>
      </c>
      <c r="AA51" s="44">
        <f t="shared" si="18"/>
        <v>3.1918487863482095</v>
      </c>
      <c r="AB51" s="44">
        <f t="shared" si="18"/>
        <v>2.5579183292029977</v>
      </c>
      <c r="AC51" s="44">
        <f t="shared" si="18"/>
        <v>-124.56740019332784</v>
      </c>
      <c r="AD51" s="44">
        <f t="shared" si="18"/>
        <v>-12.837610259887454</v>
      </c>
      <c r="AE51" s="44">
        <f t="shared" si="18"/>
        <v>10.40788380141049</v>
      </c>
      <c r="AF51" s="44">
        <f t="shared" si="18"/>
        <v>-7.2322067246958888</v>
      </c>
      <c r="AG51" s="44">
        <f t="shared" si="18"/>
        <v>17.909580439447289</v>
      </c>
      <c r="AH51" s="44">
        <f t="shared" si="18"/>
        <v>4.700621407809213</v>
      </c>
      <c r="AI51" s="44">
        <f t="shared" si="18"/>
        <v>2.3072332143176997</v>
      </c>
      <c r="AJ51" s="44">
        <f t="shared" si="18"/>
        <v>1.6965357894333306</v>
      </c>
      <c r="AK51" s="44">
        <f t="shared" si="18"/>
        <v>10.401533538882344</v>
      </c>
      <c r="AL51" s="44">
        <f t="shared" si="18"/>
        <v>3.2186128716397318</v>
      </c>
      <c r="AM51" s="44">
        <f t="shared" si="18"/>
        <v>2.0760401299969602</v>
      </c>
      <c r="AN51" s="44">
        <f t="shared" si="18"/>
        <v>1.8123066667362759</v>
      </c>
      <c r="AO51" s="44">
        <f t="shared" si="18"/>
        <v>-77.369211879213907</v>
      </c>
      <c r="AP51" s="44">
        <f t="shared" si="18"/>
        <v>8.3280148228021353</v>
      </c>
      <c r="AQ51" s="44">
        <f t="shared" si="18"/>
        <v>3.3508072206796351</v>
      </c>
      <c r="AR51" s="44">
        <f t="shared" si="18"/>
        <v>4.7118030648204767</v>
      </c>
      <c r="AS51" s="44">
        <f t="shared" si="18"/>
        <v>15.255867589952055</v>
      </c>
      <c r="AT51" s="44">
        <f t="shared" si="18"/>
        <v>-5.2609715705630853</v>
      </c>
      <c r="AU51" s="44">
        <f t="shared" si="18"/>
        <v>-3.1937024739589579</v>
      </c>
      <c r="AV51" s="44">
        <f t="shared" si="18"/>
        <v>-1.784342038207188</v>
      </c>
      <c r="AW51" s="44">
        <f t="shared" si="18"/>
        <v>-4.4614237558312526</v>
      </c>
      <c r="AX51" s="44">
        <f t="shared" si="18"/>
        <v>-3.059085349402654</v>
      </c>
      <c r="AY51" s="44">
        <f t="shared" si="18"/>
        <v>-3.2633500260851074</v>
      </c>
      <c r="AZ51" s="44">
        <f t="shared" si="18"/>
        <v>-3.2476014513280873</v>
      </c>
      <c r="BA51" s="44">
        <f t="shared" si="18"/>
        <v>-5.4532230296856223</v>
      </c>
      <c r="BB51" s="44">
        <f t="shared" si="18"/>
        <v>-8.4112070803155721</v>
      </c>
      <c r="BC51" s="44">
        <f t="shared" si="18"/>
        <v>-14.607593487351151</v>
      </c>
      <c r="BD51" s="44">
        <f t="shared" si="18"/>
        <v>-27.867505050493527</v>
      </c>
      <c r="BE51" s="44">
        <f t="shared" si="18"/>
        <v>-12.032203359830596</v>
      </c>
      <c r="BF51" s="44">
        <f t="shared" si="18"/>
        <v>14.170799986799468</v>
      </c>
      <c r="BG51" s="44">
        <f t="shared" si="18"/>
        <v>4.1321578833347665</v>
      </c>
      <c r="BH51" s="44">
        <f t="shared" si="18"/>
        <v>2.277864918230355</v>
      </c>
      <c r="BI51" s="44">
        <f t="shared" si="18"/>
        <v>-44.147923687164827</v>
      </c>
      <c r="BJ51" s="44">
        <f t="shared" si="18"/>
        <v>5.8209184392345943</v>
      </c>
      <c r="BK51" s="44">
        <f t="shared" si="18"/>
        <v>1.7758949858386344</v>
      </c>
      <c r="BL51" s="44">
        <f t="shared" si="18"/>
        <v>1.5767460106391169</v>
      </c>
      <c r="BM51" s="44">
        <f t="shared" si="18"/>
        <v>8.3078987629072607</v>
      </c>
      <c r="BN51" s="44">
        <f t="shared" si="18"/>
        <v>2.9070107478893825</v>
      </c>
      <c r="BO51" s="44">
        <f t="shared" si="18"/>
        <v>1.3782238146206565</v>
      </c>
      <c r="BP51" s="44">
        <f t="shared" si="18"/>
        <v>1.6383357499422264</v>
      </c>
      <c r="BQ51" s="44">
        <f t="shared" si="18"/>
        <v>12.37619779512066</v>
      </c>
      <c r="BR51" s="44">
        <f t="shared" ref="BR51:CJ51" si="19">BR49/BR50</f>
        <v>2.8519061895246778</v>
      </c>
      <c r="BS51" s="44">
        <f t="shared" si="19"/>
        <v>-10.764344596687451</v>
      </c>
      <c r="BT51" s="44">
        <f t="shared" si="19"/>
        <v>13.833723201810686</v>
      </c>
      <c r="BU51" s="44">
        <f t="shared" si="19"/>
        <v>6.0567079250556146</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5" t="s">
        <v>466</v>
      </c>
      <c r="E52" s="76">
        <f>资产资本表!E68</f>
        <v>22298780913.480003</v>
      </c>
      <c r="F52" s="76">
        <f>资产资本表!F68</f>
        <v>22918491342.999996</v>
      </c>
      <c r="G52" s="76">
        <f>资产资本表!G68</f>
        <v>22731699774.959999</v>
      </c>
      <c r="H52" s="76">
        <f>资产资本表!H68</f>
        <v>22817594707.380001</v>
      </c>
      <c r="I52" s="76">
        <f>资产资本表!I68</f>
        <v>22664155957.809998</v>
      </c>
      <c r="J52" s="76">
        <f>资产资本表!J68</f>
        <v>21444273234.480003</v>
      </c>
      <c r="K52" s="76">
        <f>资产资本表!K68</f>
        <v>21392393700.330002</v>
      </c>
      <c r="L52" s="76">
        <f>资产资本表!L68</f>
        <v>21411153404.440002</v>
      </c>
      <c r="M52" s="76">
        <f>资产资本表!M68</f>
        <v>21248449399.18</v>
      </c>
      <c r="N52" s="76">
        <f>资产资本表!N68</f>
        <v>20211532117.090004</v>
      </c>
      <c r="O52" s="76">
        <f>资产资本表!O68</f>
        <v>18987964757.829998</v>
      </c>
      <c r="P52" s="76">
        <f>资产资本表!P68</f>
        <v>18230836536.52</v>
      </c>
      <c r="Q52" s="76">
        <f>资产资本表!Q68</f>
        <v>18207426150.310001</v>
      </c>
      <c r="R52" s="76">
        <f>资产资本表!R68</f>
        <v>16579195222.92</v>
      </c>
      <c r="S52" s="76">
        <f>资产资本表!S68</f>
        <v>16508024564.630001</v>
      </c>
      <c r="T52" s="76">
        <f>资产资本表!T68</f>
        <v>15510262009.01</v>
      </c>
      <c r="U52" s="76">
        <f>资产资本表!U68</f>
        <v>13378039742.819998</v>
      </c>
      <c r="V52" s="76">
        <f>资产资本表!V68</f>
        <v>9354840713.1000004</v>
      </c>
      <c r="W52" s="76">
        <f>资产资本表!W68</f>
        <v>8883733311.7900009</v>
      </c>
      <c r="X52" s="76">
        <f>资产资本表!X68</f>
        <v>8992122215.5200005</v>
      </c>
      <c r="Y52" s="76">
        <f>资产资本表!Y68</f>
        <v>8719132339.5799999</v>
      </c>
      <c r="Z52" s="76">
        <f>资产资本表!Z68</f>
        <v>7294983711.5200014</v>
      </c>
      <c r="AA52" s="76">
        <f>资产资本表!AA68</f>
        <v>7233172510.8199997</v>
      </c>
      <c r="AB52" s="76">
        <f>资产资本表!AB68</f>
        <v>7120957543.2699995</v>
      </c>
      <c r="AC52" s="76">
        <f>资产资本表!AC68</f>
        <v>7007236794.9799995</v>
      </c>
      <c r="AD52" s="76">
        <f>资产资本表!AD68</f>
        <v>5843593182.6300001</v>
      </c>
      <c r="AE52" s="76">
        <f>资产资本表!AE68</f>
        <v>5386664776.8999996</v>
      </c>
      <c r="AF52" s="76">
        <f>资产资本表!AF68</f>
        <v>5340910754.6800003</v>
      </c>
      <c r="AG52" s="76">
        <f>资产资本表!AG68</f>
        <v>5223295112.3800001</v>
      </c>
      <c r="AH52" s="76">
        <f>资产资本表!AH68</f>
        <v>4790322092.2399998</v>
      </c>
      <c r="AI52" s="76">
        <f>资产资本表!AI68</f>
        <v>4686522574.4800005</v>
      </c>
      <c r="AJ52" s="76">
        <f>资产资本表!AJ68</f>
        <v>4209497907.4599996</v>
      </c>
      <c r="AK52" s="76">
        <f>资产资本表!AK68</f>
        <v>4100037784.3299999</v>
      </c>
      <c r="AL52" s="76">
        <f>资产资本表!AL68</f>
        <v>3862081948.3500004</v>
      </c>
      <c r="AM52" s="76">
        <f>资产资本表!AM68</f>
        <v>3725937589.1599998</v>
      </c>
      <c r="AN52" s="76">
        <f>资产资本表!AN68</f>
        <v>3672677824.8999996</v>
      </c>
      <c r="AO52" s="76">
        <f>资产资本表!AO68</f>
        <v>3467436953.5099998</v>
      </c>
      <c r="AP52" s="76">
        <f>资产资本表!AP68</f>
        <v>3698014271</v>
      </c>
      <c r="AQ52" s="76">
        <f>资产资本表!AQ68</f>
        <v>3485080172.4299998</v>
      </c>
      <c r="AR52" s="76">
        <f>资产资本表!AR68</f>
        <v>3297338900.5300002</v>
      </c>
      <c r="AS52" s="76">
        <f>资产资本表!AS68</f>
        <v>3147968937.0299997</v>
      </c>
      <c r="AT52" s="76">
        <f>资产资本表!AT68</f>
        <v>3024136003.2399998</v>
      </c>
      <c r="AU52" s="76">
        <f>资产资本表!AU68</f>
        <v>2890999545.0699997</v>
      </c>
      <c r="AV52" s="76">
        <f>资产资本表!AV68</f>
        <v>2781515402.9900002</v>
      </c>
      <c r="AW52" s="76">
        <f>资产资本表!AW68</f>
        <v>2584084817.4099994</v>
      </c>
      <c r="AX52" s="76">
        <f>资产资本表!AX68</f>
        <v>2439622324.4800005</v>
      </c>
      <c r="AY52" s="76">
        <f>资产资本表!AY68</f>
        <v>2253040524.3499999</v>
      </c>
      <c r="AZ52" s="76">
        <f>资产资本表!AZ68</f>
        <v>2105395904.1500001</v>
      </c>
      <c r="BA52" s="76">
        <f>资产资本表!BA68</f>
        <v>2027833159.6499999</v>
      </c>
      <c r="BB52" s="76">
        <f>资产资本表!BB68</f>
        <v>1895118116.76</v>
      </c>
      <c r="BC52" s="76">
        <f>资产资本表!BC68</f>
        <v>1771037857.3700001</v>
      </c>
      <c r="BD52" s="76">
        <f>资产资本表!BD68</f>
        <v>1675782383.1600001</v>
      </c>
      <c r="BE52" s="76">
        <f>资产资本表!BE68</f>
        <v>1591199412.04</v>
      </c>
      <c r="BF52" s="76">
        <f>资产资本表!BF68</f>
        <v>1459570659.4500003</v>
      </c>
      <c r="BG52" s="76">
        <f>资产资本表!BG68</f>
        <v>1394793760.2599998</v>
      </c>
      <c r="BH52" s="76">
        <f>资产资本表!BH68</f>
        <v>1328300138.5599997</v>
      </c>
      <c r="BI52" s="76">
        <f>资产资本表!BI68</f>
        <v>1196336776.9300001</v>
      </c>
      <c r="BJ52" s="76">
        <f>资产资本表!BJ68</f>
        <v>1161910893.28</v>
      </c>
      <c r="BK52" s="76">
        <f>资产资本表!BK68</f>
        <v>1088933336.0799999</v>
      </c>
      <c r="BL52" s="76">
        <f>资产资本表!BL68</f>
        <v>1015774319.86</v>
      </c>
      <c r="BM52" s="76">
        <f>资产资本表!BM68</f>
        <v>935648707.24999988</v>
      </c>
      <c r="BN52" s="76">
        <f>资产资本表!BN68</f>
        <v>855601030.65999997</v>
      </c>
      <c r="BO52" s="76">
        <f>资产资本表!BO68</f>
        <v>744821426.96000004</v>
      </c>
      <c r="BP52" s="76">
        <f>资产资本表!BP68</f>
        <v>611201680.95000005</v>
      </c>
      <c r="BQ52" s="76">
        <f>资产资本表!BQ68</f>
        <v>593463444.28000009</v>
      </c>
      <c r="BR52" s="76">
        <f>资产资本表!BR68</f>
        <v>194684528.31999999</v>
      </c>
      <c r="BS52" s="76">
        <f>资产资本表!BS68</f>
        <v>198886333.54000002</v>
      </c>
      <c r="BT52" s="76">
        <f>资产资本表!BT68</f>
        <v>194339652.84999999</v>
      </c>
      <c r="BU52" s="76">
        <f>资产资本表!BU68</f>
        <v>220941379.79999998</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1" t="s">
        <v>467</v>
      </c>
      <c r="E53" s="44">
        <f>E49/E52</f>
        <v>2.6108091532024642</v>
      </c>
      <c r="F53" s="44">
        <f t="shared" ref="F53:BQ53" si="20">F49/F52</f>
        <v>1.8522365571403838</v>
      </c>
      <c r="G53" s="44">
        <f t="shared" si="20"/>
        <v>1.0641540429636687</v>
      </c>
      <c r="H53" s="44">
        <f t="shared" si="20"/>
        <v>0.58326213851828679</v>
      </c>
      <c r="I53" s="44">
        <f t="shared" si="20"/>
        <v>1.7146983133271374</v>
      </c>
      <c r="J53" s="44">
        <f t="shared" si="20"/>
        <v>1.2419112432128918</v>
      </c>
      <c r="K53" s="44">
        <f t="shared" si="20"/>
        <v>0.84951852177064491</v>
      </c>
      <c r="L53" s="44">
        <f t="shared" si="20"/>
        <v>0.46652104827284291</v>
      </c>
      <c r="M53" s="44">
        <f t="shared" si="20"/>
        <v>1.5370337435794428</v>
      </c>
      <c r="N53" s="44">
        <f t="shared" si="20"/>
        <v>1.1453208409330069</v>
      </c>
      <c r="O53" s="44">
        <f t="shared" si="20"/>
        <v>0.83098150155579031</v>
      </c>
      <c r="P53" s="44">
        <f t="shared" si="20"/>
        <v>0.4686714961699161</v>
      </c>
      <c r="Q53" s="44">
        <f t="shared" si="20"/>
        <v>1.7341236630748282</v>
      </c>
      <c r="R53" s="44">
        <f t="shared" si="20"/>
        <v>1.3099664293466773</v>
      </c>
      <c r="S53" s="44">
        <f t="shared" si="20"/>
        <v>0.86755555439234322</v>
      </c>
      <c r="T53" s="44">
        <f t="shared" si="20"/>
        <v>0.48031591899043058</v>
      </c>
      <c r="U53" s="44">
        <f t="shared" si="20"/>
        <v>2.3113850691911533</v>
      </c>
      <c r="V53" s="44">
        <f t="shared" si="20"/>
        <v>2.3448515819753557</v>
      </c>
      <c r="W53" s="44">
        <f t="shared" si="20"/>
        <v>1.5903074411700624</v>
      </c>
      <c r="X53" s="44">
        <f t="shared" si="20"/>
        <v>0.79689595846931149</v>
      </c>
      <c r="Y53" s="44">
        <f t="shared" si="20"/>
        <v>3.0341706172869438</v>
      </c>
      <c r="Z53" s="44">
        <f t="shared" si="20"/>
        <v>2.732211528999704</v>
      </c>
      <c r="AA53" s="44">
        <f t="shared" si="20"/>
        <v>1.8338340218718572</v>
      </c>
      <c r="AB53" s="44">
        <f t="shared" si="20"/>
        <v>0.84482567197801606</v>
      </c>
      <c r="AC53" s="44">
        <f t="shared" si="20"/>
        <v>2.6261928554324707</v>
      </c>
      <c r="AD53" s="44">
        <f t="shared" si="20"/>
        <v>2.3345354568180552</v>
      </c>
      <c r="AE53" s="44">
        <f t="shared" si="20"/>
        <v>1.824101523676904</v>
      </c>
      <c r="AF53" s="44">
        <f t="shared" si="20"/>
        <v>0.79023771259268605</v>
      </c>
      <c r="AG53" s="44">
        <f t="shared" si="20"/>
        <v>2.2271925077729873</v>
      </c>
      <c r="AH53" s="44">
        <f t="shared" si="20"/>
        <v>1.9471713184443382</v>
      </c>
      <c r="AI53" s="44">
        <f t="shared" si="20"/>
        <v>1.4055765779621576</v>
      </c>
      <c r="AJ53" s="44">
        <f t="shared" si="20"/>
        <v>0.72215408279992988</v>
      </c>
      <c r="AK53" s="44">
        <f t="shared" si="20"/>
        <v>2.3585146220720024</v>
      </c>
      <c r="AL53" s="44">
        <f t="shared" si="20"/>
        <v>2.0215009650728608</v>
      </c>
      <c r="AM53" s="44">
        <f t="shared" si="20"/>
        <v>1.4884860249471674</v>
      </c>
      <c r="AN53" s="44">
        <f t="shared" si="20"/>
        <v>0.68411586504144606</v>
      </c>
      <c r="AO53" s="44">
        <f t="shared" si="20"/>
        <v>2.3768811587957344</v>
      </c>
      <c r="AP53" s="44">
        <f t="shared" si="20"/>
        <v>1.7540541505957861</v>
      </c>
      <c r="AQ53" s="44">
        <f t="shared" si="20"/>
        <v>1.3255698810449075</v>
      </c>
      <c r="AR53" s="44">
        <f t="shared" si="20"/>
        <v>0.60457734421523179</v>
      </c>
      <c r="AS53" s="44">
        <f t="shared" si="20"/>
        <v>2.2990794673940673</v>
      </c>
      <c r="AT53" s="44">
        <f t="shared" si="20"/>
        <v>1.4742664498168658</v>
      </c>
      <c r="AU53" s="44">
        <f t="shared" si="20"/>
        <v>0.90940480461277351</v>
      </c>
      <c r="AV53" s="44">
        <f t="shared" si="20"/>
        <v>0.57074575031059338</v>
      </c>
      <c r="AW53" s="44">
        <f t="shared" si="20"/>
        <v>1.8947469789778015</v>
      </c>
      <c r="AX53" s="44">
        <f t="shared" si="20"/>
        <v>1.3319492997354059</v>
      </c>
      <c r="AY53" s="44">
        <f t="shared" si="20"/>
        <v>0.90076585916957619</v>
      </c>
      <c r="AZ53" s="44">
        <f t="shared" si="20"/>
        <v>0.64334600798838548</v>
      </c>
      <c r="BA53" s="44">
        <f t="shared" si="20"/>
        <v>1.9382833439257889</v>
      </c>
      <c r="BB53" s="44">
        <f t="shared" si="20"/>
        <v>1.3615609762949539</v>
      </c>
      <c r="BC53" s="44">
        <f t="shared" si="20"/>
        <v>0.9520656686661304</v>
      </c>
      <c r="BD53" s="44">
        <f t="shared" si="20"/>
        <v>0.68267654088995844</v>
      </c>
      <c r="BE53" s="44">
        <f t="shared" si="20"/>
        <v>1.891525032718111</v>
      </c>
      <c r="BF53" s="44">
        <f t="shared" si="20"/>
        <v>1.4185254816167576</v>
      </c>
      <c r="BG53" s="44">
        <f t="shared" si="20"/>
        <v>0.94215305982946207</v>
      </c>
      <c r="BH53" s="44">
        <f t="shared" si="20"/>
        <v>0.64249929747443912</v>
      </c>
      <c r="BI53" s="44">
        <f t="shared" si="20"/>
        <v>2.0069749432023753</v>
      </c>
      <c r="BJ53" s="44">
        <f t="shared" si="20"/>
        <v>1.3363712906733338</v>
      </c>
      <c r="BK53" s="44">
        <f t="shared" si="20"/>
        <v>0.92663851132744546</v>
      </c>
      <c r="BL53" s="44">
        <f t="shared" si="20"/>
        <v>0.72249242921513213</v>
      </c>
      <c r="BM53" s="44">
        <f t="shared" si="20"/>
        <v>1.9610974510861221</v>
      </c>
      <c r="BN53" s="44">
        <f t="shared" si="20"/>
        <v>1.5940680006754024</v>
      </c>
      <c r="BO53" s="44">
        <f t="shared" si="20"/>
        <v>1.2830648770679398</v>
      </c>
      <c r="BP53" s="44">
        <f t="shared" si="20"/>
        <v>1.1747592994410267</v>
      </c>
      <c r="BQ53" s="44">
        <f t="shared" si="20"/>
        <v>2.7264470556784532</v>
      </c>
      <c r="BR53" s="44">
        <f t="shared" ref="BR53:CK53" si="21">BR49/BR52</f>
        <v>4.4886128676010859</v>
      </c>
      <c r="BS53" s="44">
        <f t="shared" si="21"/>
        <v>5.6011933722733751</v>
      </c>
      <c r="BT53" s="44">
        <f t="shared" si="21"/>
        <v>4.5840268446275552</v>
      </c>
      <c r="BU53" s="44">
        <f t="shared" si="21"/>
        <v>2.8432176614387203</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5" t="s">
        <v>468</v>
      </c>
      <c r="E54" s="76">
        <f>资产资本表!E17</f>
        <v>88172478529.229996</v>
      </c>
      <c r="F54" s="76">
        <f>资产资本表!F17</f>
        <v>81265615624.639999</v>
      </c>
      <c r="G54" s="76">
        <f>资产资本表!G17</f>
        <v>74045487984.549988</v>
      </c>
      <c r="H54" s="76">
        <f>资产资本表!H17</f>
        <v>73219258579.670013</v>
      </c>
      <c r="I54" s="76">
        <f>资产资本表!I17</f>
        <v>67085700492.129997</v>
      </c>
      <c r="J54" s="76">
        <f>资产资本表!J17</f>
        <v>62324058442.190002</v>
      </c>
      <c r="K54" s="76">
        <f>资产资本表!K17</f>
        <v>47808867372.299995</v>
      </c>
      <c r="L54" s="76">
        <f>资产资本表!L17</f>
        <v>44074809231.059998</v>
      </c>
      <c r="M54" s="76">
        <f>资产资本表!M17</f>
        <v>36934596946.529999</v>
      </c>
      <c r="N54" s="76">
        <f>资产资本表!N17</f>
        <v>30722903270.879997</v>
      </c>
      <c r="O54" s="76">
        <f>资产资本表!O17</f>
        <v>30482844449.870003</v>
      </c>
      <c r="P54" s="76">
        <f>资产资本表!P17</f>
        <v>28623123952.73</v>
      </c>
      <c r="Q54" s="76">
        <f>资产资本表!Q17</f>
        <v>27886130602.540001</v>
      </c>
      <c r="R54" s="76">
        <f>资产资本表!R17</f>
        <v>22910725708.920002</v>
      </c>
      <c r="S54" s="76">
        <f>资产资本表!S17</f>
        <v>21200304356.759998</v>
      </c>
      <c r="T54" s="76">
        <f>资产资本表!T17</f>
        <v>23500579727.43</v>
      </c>
      <c r="U54" s="76">
        <f>资产资本表!U17</f>
        <v>25514135978.91</v>
      </c>
      <c r="V54" s="76">
        <f>资产资本表!V17</f>
        <v>22377192030.630001</v>
      </c>
      <c r="W54" s="76">
        <f>资产资本表!W17</f>
        <v>18562670939.949997</v>
      </c>
      <c r="X54" s="76">
        <f>资产资本表!X17</f>
        <v>21955036844.350002</v>
      </c>
      <c r="Y54" s="76">
        <f>资产资本表!Y17</f>
        <v>22376612663.389999</v>
      </c>
      <c r="Z54" s="76">
        <f>资产资本表!Z17</f>
        <v>19005987757.170002</v>
      </c>
      <c r="AA54" s="76">
        <f>资产资本表!AA17</f>
        <v>21245645480.619999</v>
      </c>
      <c r="AB54" s="76">
        <f>资产资本表!AB17</f>
        <v>19056013006.079998</v>
      </c>
      <c r="AC54" s="76">
        <f>资产资本表!AC17</f>
        <v>18539872922.09</v>
      </c>
      <c r="AD54" s="76">
        <f>资产资本表!AD17</f>
        <v>18524435542.09</v>
      </c>
      <c r="AE54" s="76">
        <f>资产资本表!AE17</f>
        <v>17479293577.549999</v>
      </c>
      <c r="AF54" s="76">
        <f>资产资本表!AF17</f>
        <v>16097936940.57</v>
      </c>
      <c r="AG54" s="76">
        <f>资产资本表!AG17</f>
        <v>12991122314.630001</v>
      </c>
      <c r="AH54" s="76">
        <f>资产资本表!AH17</f>
        <v>11163366118.51</v>
      </c>
      <c r="AI54" s="76">
        <f>资产资本表!AI17</f>
        <v>10378305344.280001</v>
      </c>
      <c r="AJ54" s="76">
        <f>资产资本表!AJ17</f>
        <v>9990618883.5699997</v>
      </c>
      <c r="AK54" s="76">
        <f>资产资本表!AK17</f>
        <v>9755064755.2399998</v>
      </c>
      <c r="AL54" s="76">
        <f>资产资本表!AL17</f>
        <v>7923955837.8000002</v>
      </c>
      <c r="AM54" s="76">
        <f>资产资本表!AM17</f>
        <v>7824246321.21</v>
      </c>
      <c r="AN54" s="76">
        <f>资产资本表!AN17</f>
        <v>7717405756.3000002</v>
      </c>
      <c r="AO54" s="76">
        <f>资产资本表!AO17</f>
        <v>8138505441.1599998</v>
      </c>
      <c r="AP54" s="76">
        <f>资产资本表!AP17</f>
        <v>6441498269.54</v>
      </c>
      <c r="AQ54" s="76">
        <f>资产资本表!AQ17</f>
        <v>5105053230.8000002</v>
      </c>
      <c r="AR54" s="76">
        <f>资产资本表!AR17</f>
        <v>5603323644.29</v>
      </c>
      <c r="AS54" s="76">
        <f>资产资本表!AS17</f>
        <v>4784290700.0200005</v>
      </c>
      <c r="AT54" s="76">
        <f>资产资本表!AT17</f>
        <v>4814014936.3500004</v>
      </c>
      <c r="AU54" s="76">
        <f>资产资本表!AU17</f>
        <v>4870494456.1599998</v>
      </c>
      <c r="AV54" s="76">
        <f>资产资本表!AV17</f>
        <v>4715254931.29</v>
      </c>
      <c r="AW54" s="76">
        <f>资产资本表!AW17</f>
        <v>4505867488.6400003</v>
      </c>
      <c r="AX54" s="76">
        <f>资产资本表!AX17</f>
        <v>4083907788.3400002</v>
      </c>
      <c r="AY54" s="76">
        <f>资产资本表!AY17</f>
        <v>3419099920.6599998</v>
      </c>
      <c r="AZ54" s="76">
        <f>资产资本表!AZ17</f>
        <v>3975708186.8800001</v>
      </c>
      <c r="BA54" s="76">
        <f>资产资本表!BA17</f>
        <v>3891989433.5300002</v>
      </c>
      <c r="BB54" s="76">
        <f>资产资本表!BB17</f>
        <v>3217007276.75</v>
      </c>
      <c r="BC54" s="76">
        <f>资产资本表!BC17</f>
        <v>3065214770.1900001</v>
      </c>
      <c r="BD54" s="76">
        <f>资产资本表!BD17</f>
        <v>3024925341.3800001</v>
      </c>
      <c r="BE54" s="76">
        <f>资产资本表!BE17</f>
        <v>2898327418.8499999</v>
      </c>
      <c r="BF54" s="76">
        <f>资产资本表!BF17</f>
        <v>2419288966.46</v>
      </c>
      <c r="BG54" s="76">
        <f>资产资本表!BG17</f>
        <v>2172790156.5900002</v>
      </c>
      <c r="BH54" s="76">
        <f>资产资本表!BH17</f>
        <v>2101448845.7199998</v>
      </c>
      <c r="BI54" s="76">
        <f>资产资本表!BI17</f>
        <v>2340047386.8499999</v>
      </c>
      <c r="BJ54" s="76">
        <f>资产资本表!BJ17</f>
        <v>1868792963.71</v>
      </c>
      <c r="BK54" s="76">
        <f>资产资本表!BK17</f>
        <v>1536249315.6400001</v>
      </c>
      <c r="BL54" s="76">
        <f>资产资本表!BL17</f>
        <v>1684957738.5599999</v>
      </c>
      <c r="BM54" s="76">
        <f>资产资本表!BM17</f>
        <v>1780307690.6400001</v>
      </c>
      <c r="BN54" s="76">
        <f>资产资本表!BN17</f>
        <v>1677224920.04</v>
      </c>
      <c r="BO54" s="76">
        <f>资产资本表!BO17</f>
        <v>1513800289.8299999</v>
      </c>
      <c r="BP54" s="76">
        <f>资产资本表!BP17</f>
        <v>1877929846.0899999</v>
      </c>
      <c r="BQ54" s="76">
        <f>资产资本表!BQ17</f>
        <v>1956436570.0999999</v>
      </c>
      <c r="BR54" s="76">
        <f>资产资本表!BR17</f>
        <v>336439213.5</v>
      </c>
      <c r="BS54" s="76">
        <f>资产资本表!BS17</f>
        <v>460983583.45999998</v>
      </c>
      <c r="BT54" s="76">
        <f>资产资本表!BT17</f>
        <v>198390615.12</v>
      </c>
      <c r="BU54" s="76">
        <f>资产资本表!BU17</f>
        <v>124765368.73999999</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1" t="s">
        <v>469</v>
      </c>
      <c r="E55" s="44">
        <f>E49/E54</f>
        <v>0.6602724828118588</v>
      </c>
      <c r="F55" s="44">
        <f t="shared" ref="F55:BQ55" si="22">F49/F54</f>
        <v>0.52236689741065445</v>
      </c>
      <c r="G55" s="44">
        <f t="shared" si="22"/>
        <v>0.32669148218737359</v>
      </c>
      <c r="H55" s="44">
        <f t="shared" si="22"/>
        <v>0.18176418804335262</v>
      </c>
      <c r="I55" s="44">
        <f t="shared" si="22"/>
        <v>0.57929170760315785</v>
      </c>
      <c r="J55" s="44">
        <f t="shared" si="22"/>
        <v>0.42731305852190238</v>
      </c>
      <c r="K55" s="44">
        <f t="shared" si="22"/>
        <v>0.38012267749244771</v>
      </c>
      <c r="L55" s="44">
        <f t="shared" si="22"/>
        <v>0.22663180862801821</v>
      </c>
      <c r="M55" s="44">
        <f t="shared" si="22"/>
        <v>0.88425450459256638</v>
      </c>
      <c r="N55" s="44">
        <f t="shared" si="22"/>
        <v>0.75346684383278828</v>
      </c>
      <c r="O55" s="44">
        <f t="shared" si="22"/>
        <v>0.51762385534258404</v>
      </c>
      <c r="P55" s="44">
        <f t="shared" si="22"/>
        <v>0.29850946563731279</v>
      </c>
      <c r="Q55" s="44">
        <f t="shared" si="22"/>
        <v>1.1322448776046432</v>
      </c>
      <c r="R55" s="44">
        <f t="shared" si="22"/>
        <v>0.94794854792200223</v>
      </c>
      <c r="S55" s="44">
        <f t="shared" si="22"/>
        <v>0.67553881123991311</v>
      </c>
      <c r="T55" s="44">
        <f t="shared" si="22"/>
        <v>0.3170060414273323</v>
      </c>
      <c r="U55" s="44">
        <f t="shared" si="22"/>
        <v>1.2119478136418171</v>
      </c>
      <c r="V55" s="44">
        <f t="shared" si="22"/>
        <v>0.98027102842994329</v>
      </c>
      <c r="W55" s="44">
        <f t="shared" si="22"/>
        <v>0.7610902136235389</v>
      </c>
      <c r="X55" s="44">
        <f t="shared" si="22"/>
        <v>0.32638459695657818</v>
      </c>
      <c r="Y55" s="44">
        <f t="shared" si="22"/>
        <v>1.1822761358457587</v>
      </c>
      <c r="Z55" s="44">
        <f t="shared" si="22"/>
        <v>1.0486925938885165</v>
      </c>
      <c r="AA55" s="44">
        <f t="shared" si="22"/>
        <v>0.62433677755329431</v>
      </c>
      <c r="AB55" s="44">
        <f t="shared" si="22"/>
        <v>0.31569918322896556</v>
      </c>
      <c r="AC55" s="44">
        <f t="shared" si="22"/>
        <v>0.99258259668942228</v>
      </c>
      <c r="AD55" s="44">
        <f t="shared" si="22"/>
        <v>0.7364367701824639</v>
      </c>
      <c r="AE55" s="44">
        <f t="shared" si="22"/>
        <v>0.56214076292534276</v>
      </c>
      <c r="AF55" s="44">
        <f t="shared" si="22"/>
        <v>0.26218198726467096</v>
      </c>
      <c r="AG55" s="44">
        <f t="shared" si="22"/>
        <v>0.89547950195797432</v>
      </c>
      <c r="AH55" s="44">
        <f t="shared" si="22"/>
        <v>0.83555243867294871</v>
      </c>
      <c r="AI55" s="44">
        <f t="shared" si="22"/>
        <v>0.63471502757534204</v>
      </c>
      <c r="AJ55" s="44">
        <f t="shared" si="22"/>
        <v>0.30427605495083548</v>
      </c>
      <c r="AK55" s="44">
        <f t="shared" si="22"/>
        <v>0.99127984365205712</v>
      </c>
      <c r="AL55" s="44">
        <f t="shared" si="22"/>
        <v>0.98526576189848936</v>
      </c>
      <c r="AM55" s="44">
        <f t="shared" si="22"/>
        <v>0.70882303593329665</v>
      </c>
      <c r="AN55" s="44">
        <f t="shared" si="22"/>
        <v>0.32556758663996954</v>
      </c>
      <c r="AO55" s="44">
        <f t="shared" si="22"/>
        <v>1.0126780185497171</v>
      </c>
      <c r="AP55" s="44">
        <f t="shared" si="22"/>
        <v>1.0069889037590651</v>
      </c>
      <c r="AQ55" s="44">
        <f t="shared" si="22"/>
        <v>0.90493029176035755</v>
      </c>
      <c r="AR55" s="44">
        <f t="shared" si="22"/>
        <v>0.35577034667477198</v>
      </c>
      <c r="AS55" s="44">
        <f t="shared" si="22"/>
        <v>1.5127489529617721</v>
      </c>
      <c r="AT55" s="44">
        <f t="shared" si="22"/>
        <v>0.92612555386883744</v>
      </c>
      <c r="AU55" s="44">
        <f t="shared" si="22"/>
        <v>0.53979917236017738</v>
      </c>
      <c r="AV55" s="44">
        <f t="shared" si="22"/>
        <v>0.33668128633835737</v>
      </c>
      <c r="AW55" s="44">
        <f t="shared" si="22"/>
        <v>1.0866246984746126</v>
      </c>
      <c r="AX55" s="44">
        <f t="shared" si="22"/>
        <v>0.79567253109571712</v>
      </c>
      <c r="AY55" s="44">
        <f t="shared" si="22"/>
        <v>0.5935661521317126</v>
      </c>
      <c r="AZ55" s="44">
        <f t="shared" si="22"/>
        <v>0.34069352842341377</v>
      </c>
      <c r="BA55" s="44">
        <f t="shared" si="22"/>
        <v>1.0098987432360671</v>
      </c>
      <c r="BB55" s="44">
        <f t="shared" si="22"/>
        <v>0.80208673816143239</v>
      </c>
      <c r="BC55" s="44">
        <f t="shared" si="22"/>
        <v>0.55009011385048323</v>
      </c>
      <c r="BD55" s="44">
        <f t="shared" si="22"/>
        <v>0.37819687810810171</v>
      </c>
      <c r="BE55" s="44">
        <f t="shared" si="22"/>
        <v>1.0384587677517221</v>
      </c>
      <c r="BF55" s="44">
        <f t="shared" si="22"/>
        <v>0.85580441251693373</v>
      </c>
      <c r="BG55" s="44">
        <f t="shared" si="22"/>
        <v>0.60480263364335962</v>
      </c>
      <c r="BH55" s="44">
        <f t="shared" si="22"/>
        <v>0.40611595547432733</v>
      </c>
      <c r="BI55" s="44">
        <f t="shared" si="22"/>
        <v>1.0260552621381203</v>
      </c>
      <c r="BJ55" s="44">
        <f t="shared" si="22"/>
        <v>0.83088088956490491</v>
      </c>
      <c r="BK55" s="44">
        <f t="shared" si="22"/>
        <v>0.6568253962473739</v>
      </c>
      <c r="BL55" s="44">
        <f t="shared" si="22"/>
        <v>0.43555350920385522</v>
      </c>
      <c r="BM55" s="44">
        <f t="shared" si="22"/>
        <v>1.0306635782943652</v>
      </c>
      <c r="BN55" s="44">
        <f t="shared" si="22"/>
        <v>0.8131802765531726</v>
      </c>
      <c r="BO55" s="44">
        <f t="shared" si="22"/>
        <v>0.63129477450907356</v>
      </c>
      <c r="BP55" s="44">
        <f t="shared" si="22"/>
        <v>0.38234381333518092</v>
      </c>
      <c r="BQ55" s="44">
        <f t="shared" si="22"/>
        <v>0.82703762802148817</v>
      </c>
      <c r="BR55" s="44">
        <f t="shared" ref="BR55:CK55" si="23">BR49/BR54</f>
        <v>2.5973889008036219</v>
      </c>
      <c r="BS55" s="44">
        <f t="shared" si="23"/>
        <v>2.4165737202584419</v>
      </c>
      <c r="BT55" s="44">
        <f t="shared" si="23"/>
        <v>4.4904250390128029</v>
      </c>
      <c r="BU55" s="44">
        <f t="shared" si="23"/>
        <v>5.0349262742859429</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5" t="s">
        <v>443</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0</v>
      </c>
      <c r="O56" s="76">
        <f>资产资本表!O19</f>
        <v>0</v>
      </c>
      <c r="P56" s="76">
        <f>资产资本表!P19</f>
        <v>0</v>
      </c>
      <c r="Q56" s="76">
        <f>资产资本表!Q19</f>
        <v>0</v>
      </c>
      <c r="R56" s="76">
        <f>资产资本表!R19</f>
        <v>2750000</v>
      </c>
      <c r="S56" s="76">
        <f>资产资本表!S19</f>
        <v>6750000</v>
      </c>
      <c r="T56" s="76">
        <f>资产资本表!T19</f>
        <v>6750000</v>
      </c>
      <c r="U56" s="76">
        <f>资产资本表!U19</f>
        <v>4000000</v>
      </c>
      <c r="V56" s="76">
        <f>资产资本表!V19</f>
        <v>4000000</v>
      </c>
      <c r="W56" s="76">
        <f>资产资本表!W19</f>
        <v>4000000</v>
      </c>
      <c r="X56" s="76">
        <f>资产资本表!X19</f>
        <v>4000000</v>
      </c>
      <c r="Y56" s="76">
        <f>资产资本表!Y19</f>
        <v>4000000</v>
      </c>
      <c r="Z56" s="76">
        <f>资产资本表!Z19</f>
        <v>4000000</v>
      </c>
      <c r="AA56" s="76">
        <f>资产资本表!AA19</f>
        <v>4000000</v>
      </c>
      <c r="AB56" s="76">
        <f>资产资本表!AB19</f>
        <v>4000000</v>
      </c>
      <c r="AC56" s="76">
        <f>资产资本表!AC19</f>
        <v>4000000</v>
      </c>
      <c r="AD56" s="76">
        <f>资产资本表!AD19</f>
        <v>4000000</v>
      </c>
      <c r="AE56" s="76">
        <f>资产资本表!AE19</f>
        <v>4000000</v>
      </c>
      <c r="AF56" s="76">
        <f>资产资本表!AF19</f>
        <v>4000000</v>
      </c>
      <c r="AG56" s="76">
        <f>资产资本表!AG19</f>
        <v>4000000</v>
      </c>
      <c r="AH56" s="76">
        <f>资产资本表!AH19</f>
        <v>4000000</v>
      </c>
      <c r="AI56" s="76">
        <f>资产资本表!AI19</f>
        <v>4000000</v>
      </c>
      <c r="AJ56" s="76">
        <f>资产资本表!AJ19</f>
        <v>4000000</v>
      </c>
      <c r="AK56" s="76">
        <f>资产资本表!AK19</f>
        <v>4000000</v>
      </c>
      <c r="AL56" s="76">
        <f>资产资本表!AL19</f>
        <v>4000000</v>
      </c>
      <c r="AM56" s="76">
        <f>资产资本表!AM19</f>
        <v>4000000</v>
      </c>
      <c r="AN56" s="76">
        <f>资产资本表!AN19</f>
        <v>4000000</v>
      </c>
      <c r="AO56" s="76">
        <f>资产资本表!AO19</f>
        <v>4000000</v>
      </c>
      <c r="AP56" s="76">
        <f>资产资本表!AP19</f>
        <v>4000000</v>
      </c>
      <c r="AQ56" s="76">
        <f>资产资本表!AQ19</f>
        <v>4000000</v>
      </c>
      <c r="AR56" s="76">
        <f>资产资本表!AR19</f>
        <v>4000000</v>
      </c>
      <c r="AS56" s="76">
        <f>资产资本表!AS19</f>
        <v>4000000</v>
      </c>
      <c r="AT56" s="76">
        <f>资产资本表!AT19</f>
        <v>4000000</v>
      </c>
      <c r="AU56" s="76">
        <f>资产资本表!AU19</f>
        <v>4000000</v>
      </c>
      <c r="AV56" s="76">
        <f>资产资本表!AV19</f>
        <v>4000000</v>
      </c>
      <c r="AW56" s="76">
        <f>资产资本表!AW19</f>
        <v>11486496.289999999</v>
      </c>
      <c r="AX56" s="76">
        <f>资产资本表!AX19</f>
        <v>10767452.710000001</v>
      </c>
      <c r="AY56" s="76">
        <f>资产资本表!AY19</f>
        <v>10387452.699999999</v>
      </c>
      <c r="AZ56" s="76">
        <f>资产资本表!AZ19</f>
        <v>10243017.33</v>
      </c>
      <c r="BA56" s="76">
        <f>资产资本表!BA19</f>
        <v>10243017.33</v>
      </c>
      <c r="BB56" s="76">
        <f>资产资本表!BB19</f>
        <v>9838781.9600000009</v>
      </c>
      <c r="BC56" s="76">
        <f>资产资本表!BC19</f>
        <v>9838781.9600000009</v>
      </c>
      <c r="BD56" s="76">
        <f>资产资本表!BD19</f>
        <v>9627405.1300000008</v>
      </c>
      <c r="BE56" s="76">
        <f>资产资本表!BE19</f>
        <v>9815063.7300000004</v>
      </c>
      <c r="BF56" s="76">
        <f>资产资本表!BF19</f>
        <v>4000000</v>
      </c>
      <c r="BG56" s="76">
        <f>资产资本表!BG19</f>
        <v>4000000</v>
      </c>
      <c r="BH56" s="76">
        <f>资产资本表!BH19</f>
        <v>4000000</v>
      </c>
      <c r="BI56" s="76">
        <f>资产资本表!BI19</f>
        <v>4000000</v>
      </c>
      <c r="BJ56" s="76">
        <f>资产资本表!BJ19</f>
        <v>4000000</v>
      </c>
      <c r="BK56" s="76">
        <f>资产资本表!BK19</f>
        <v>4000000</v>
      </c>
      <c r="BL56" s="76">
        <f>资产资本表!BL19</f>
        <v>4000000</v>
      </c>
      <c r="BM56" s="76">
        <f>资产资本表!BM19</f>
        <v>4000000</v>
      </c>
      <c r="BN56" s="76">
        <f>资产资本表!BN19</f>
        <v>4000000</v>
      </c>
      <c r="BO56" s="76">
        <f>资产资本表!BO19</f>
        <v>4000000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3" t="s">
        <v>470</v>
      </c>
      <c r="E57" s="117" t="e">
        <f>E49/E56</f>
        <v>#DIV/0!</v>
      </c>
      <c r="F57" s="117" t="e">
        <f t="shared" ref="F57:BQ57" si="24">F49/F56</f>
        <v>#DIV/0!</v>
      </c>
      <c r="G57" s="117" t="e">
        <f t="shared" si="24"/>
        <v>#DIV/0!</v>
      </c>
      <c r="H57" s="117" t="e">
        <f t="shared" si="24"/>
        <v>#DIV/0!</v>
      </c>
      <c r="I57" s="117" t="e">
        <f t="shared" si="24"/>
        <v>#DIV/0!</v>
      </c>
      <c r="J57" s="117" t="e">
        <f t="shared" si="24"/>
        <v>#DIV/0!</v>
      </c>
      <c r="K57" s="117" t="e">
        <f t="shared" si="24"/>
        <v>#DIV/0!</v>
      </c>
      <c r="L57" s="117" t="e">
        <f t="shared" si="24"/>
        <v>#DIV/0!</v>
      </c>
      <c r="M57" s="117" t="e">
        <f t="shared" si="24"/>
        <v>#DIV/0!</v>
      </c>
      <c r="N57" s="117" t="e">
        <f t="shared" si="24"/>
        <v>#DIV/0!</v>
      </c>
      <c r="O57" s="117" t="e">
        <f t="shared" si="24"/>
        <v>#DIV/0!</v>
      </c>
      <c r="P57" s="117" t="e">
        <f t="shared" si="24"/>
        <v>#DIV/0!</v>
      </c>
      <c r="Q57" s="117" t="e">
        <f t="shared" si="24"/>
        <v>#DIV/0!</v>
      </c>
      <c r="R57" s="117">
        <f t="shared" si="24"/>
        <v>7897.523333676364</v>
      </c>
      <c r="S57" s="117">
        <f t="shared" si="24"/>
        <v>2121.7227263837035</v>
      </c>
      <c r="T57" s="117">
        <f t="shared" si="24"/>
        <v>1103.6778889837037</v>
      </c>
      <c r="U57" s="117">
        <f t="shared" si="24"/>
        <v>7730.4503291499996</v>
      </c>
      <c r="V57" s="117">
        <f t="shared" si="24"/>
        <v>5483.9282613100004</v>
      </c>
      <c r="W57" s="117">
        <f t="shared" si="24"/>
        <v>3531.9667977775002</v>
      </c>
      <c r="X57" s="117">
        <f t="shared" si="24"/>
        <v>1791.4464629024999</v>
      </c>
      <c r="Y57" s="117">
        <f t="shared" si="24"/>
        <v>6613.8337882475007</v>
      </c>
      <c r="Z57" s="117">
        <f t="shared" si="24"/>
        <v>4982.85965012</v>
      </c>
      <c r="AA57" s="117">
        <f t="shared" si="24"/>
        <v>3316.1094591024998</v>
      </c>
      <c r="AB57" s="117">
        <f t="shared" si="24"/>
        <v>1503.991935405</v>
      </c>
      <c r="AC57" s="117">
        <f t="shared" si="24"/>
        <v>4600.5888018249998</v>
      </c>
      <c r="AD57" s="117">
        <f t="shared" si="24"/>
        <v>3410.5188700174999</v>
      </c>
      <c r="AE57" s="117">
        <f t="shared" si="24"/>
        <v>2456.4558567700001</v>
      </c>
      <c r="AF57" s="117">
        <f t="shared" si="24"/>
        <v>1055.147274485</v>
      </c>
      <c r="AG57" s="117">
        <f t="shared" si="24"/>
        <v>2908.3209350450002</v>
      </c>
      <c r="AH57" s="117">
        <f t="shared" si="24"/>
        <v>2331.8944460300004</v>
      </c>
      <c r="AI57" s="117">
        <f t="shared" si="24"/>
        <v>1646.8165906949998</v>
      </c>
      <c r="AJ57" s="117">
        <f t="shared" si="24"/>
        <v>759.97652510249998</v>
      </c>
      <c r="AK57" s="117">
        <f t="shared" si="24"/>
        <v>2417.4997663474996</v>
      </c>
      <c r="AL57" s="117">
        <f t="shared" si="24"/>
        <v>1951.8005964449999</v>
      </c>
      <c r="AM57" s="117">
        <f t="shared" si="24"/>
        <v>1386.5015078224999</v>
      </c>
      <c r="AN57" s="117">
        <f t="shared" si="24"/>
        <v>628.13429179999991</v>
      </c>
      <c r="AO57" s="117">
        <f t="shared" si="24"/>
        <v>2060.4213910274998</v>
      </c>
      <c r="AP57" s="117">
        <f t="shared" si="24"/>
        <v>1621.6293202525001</v>
      </c>
      <c r="AQ57" s="117">
        <f t="shared" si="24"/>
        <v>1154.9293274000001</v>
      </c>
      <c r="AR57" s="117">
        <f t="shared" si="24"/>
        <v>498.37409886500001</v>
      </c>
      <c r="AS57" s="117">
        <f t="shared" si="24"/>
        <v>1809.35768678</v>
      </c>
      <c r="AT57" s="117">
        <f t="shared" si="24"/>
        <v>1114.5955623150001</v>
      </c>
      <c r="AU57" s="117">
        <f t="shared" si="24"/>
        <v>657.27221910499998</v>
      </c>
      <c r="AV57" s="117">
        <f t="shared" si="24"/>
        <v>396.88452391999999</v>
      </c>
      <c r="AW57" s="117">
        <f t="shared" si="24"/>
        <v>426.25590759756386</v>
      </c>
      <c r="AX57" s="117">
        <f t="shared" si="24"/>
        <v>301.78477066280976</v>
      </c>
      <c r="AY57" s="117">
        <f t="shared" si="24"/>
        <v>195.37629121141512</v>
      </c>
      <c r="AZ57" s="117">
        <f t="shared" si="24"/>
        <v>132.23623533301199</v>
      </c>
      <c r="BA57" s="117">
        <f t="shared" si="24"/>
        <v>383.72630944382092</v>
      </c>
      <c r="BB57" s="117">
        <f t="shared" si="24"/>
        <v>262.25999150508665</v>
      </c>
      <c r="BC57" s="117">
        <f t="shared" si="24"/>
        <v>171.37734617609109</v>
      </c>
      <c r="BD57" s="117">
        <f t="shared" si="24"/>
        <v>118.8292489172521</v>
      </c>
      <c r="BE57" s="117">
        <f t="shared" si="24"/>
        <v>306.65043067631717</v>
      </c>
      <c r="BF57" s="117">
        <f t="shared" si="24"/>
        <v>517.60954316250002</v>
      </c>
      <c r="BG57" s="117">
        <f t="shared" si="24"/>
        <v>328.527302265</v>
      </c>
      <c r="BH57" s="117">
        <f t="shared" si="24"/>
        <v>213.35797646500001</v>
      </c>
      <c r="BI57" s="117">
        <f t="shared" si="24"/>
        <v>600.25448373249992</v>
      </c>
      <c r="BJ57" s="117">
        <f t="shared" si="24"/>
        <v>388.186090025</v>
      </c>
      <c r="BK57" s="117">
        <f t="shared" si="24"/>
        <v>252.26189137</v>
      </c>
      <c r="BL57" s="117">
        <f t="shared" si="24"/>
        <v>183.47231397249999</v>
      </c>
      <c r="BM57" s="117">
        <f t="shared" si="24"/>
        <v>458.72457372500003</v>
      </c>
      <c r="BN57" s="117">
        <f t="shared" si="24"/>
        <v>340.97155607999997</v>
      </c>
      <c r="BO57" s="117">
        <f t="shared" si="24"/>
        <v>238.91355315499999</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693</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36525</v>
      </c>
      <c r="BU61" s="1">
        <v>36160</v>
      </c>
      <c r="BV61" s="1">
        <v>25569</v>
      </c>
      <c r="BW61" s="1"/>
      <c r="BX61" s="1"/>
      <c r="BY61" s="1"/>
      <c r="BZ61" s="1"/>
      <c r="CA61" s="1"/>
      <c r="CB61" s="1"/>
      <c r="CC61" s="1"/>
      <c r="CD61" s="1"/>
      <c r="CE61" s="1"/>
      <c r="CF61" s="1"/>
      <c r="CG61" s="1"/>
      <c r="CH61" s="1"/>
      <c r="CI61" s="1"/>
      <c r="CJ61" s="1"/>
      <c r="CK61" s="1"/>
    </row>
    <row r="62" spans="1:89" s="76" customFormat="1" x14ac:dyDescent="0.25">
      <c r="A62" s="145"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5" t="s">
        <v>463</v>
      </c>
      <c r="E63" s="76">
        <f>E49</f>
        <v>58217861314.169998</v>
      </c>
      <c r="F63" s="76">
        <f t="shared" ref="F63:BQ63" si="26">F49</f>
        <v>42450467500.010002</v>
      </c>
      <c r="G63" s="76">
        <f t="shared" si="26"/>
        <v>24190030218.959999</v>
      </c>
      <c r="H63" s="76">
        <f t="shared" si="26"/>
        <v>13308639084.870001</v>
      </c>
      <c r="I63" s="76">
        <f t="shared" si="26"/>
        <v>38862189993.839996</v>
      </c>
      <c r="J63" s="76">
        <f t="shared" si="26"/>
        <v>26631884032.43</v>
      </c>
      <c r="K63" s="76">
        <f t="shared" si="26"/>
        <v>18173234673.439999</v>
      </c>
      <c r="L63" s="76">
        <f t="shared" si="26"/>
        <v>9988753730.9699993</v>
      </c>
      <c r="M63" s="76">
        <f t="shared" si="26"/>
        <v>32659583725.279999</v>
      </c>
      <c r="N63" s="76">
        <f t="shared" si="26"/>
        <v>23148688960.889999</v>
      </c>
      <c r="O63" s="76">
        <f t="shared" si="26"/>
        <v>15778647465.950001</v>
      </c>
      <c r="P63" s="76">
        <f t="shared" si="26"/>
        <v>8544273436</v>
      </c>
      <c r="Q63" s="76">
        <f t="shared" si="26"/>
        <v>31573928530.939999</v>
      </c>
      <c r="R63" s="76">
        <f t="shared" si="26"/>
        <v>21718189167.610001</v>
      </c>
      <c r="S63" s="76">
        <f t="shared" si="26"/>
        <v>14321628403.09</v>
      </c>
      <c r="T63" s="76">
        <f t="shared" si="26"/>
        <v>7449825750.6400003</v>
      </c>
      <c r="U63" s="76">
        <f t="shared" si="26"/>
        <v>30921801316.599998</v>
      </c>
      <c r="V63" s="76">
        <f t="shared" si="26"/>
        <v>21935713045.240002</v>
      </c>
      <c r="W63" s="76">
        <f t="shared" si="26"/>
        <v>14127867191.110001</v>
      </c>
      <c r="X63" s="76">
        <f t="shared" si="26"/>
        <v>7165785851.6099997</v>
      </c>
      <c r="Y63" s="76">
        <f t="shared" si="26"/>
        <v>26455335152.990002</v>
      </c>
      <c r="Z63" s="76">
        <f t="shared" si="26"/>
        <v>19931438600.48</v>
      </c>
      <c r="AA63" s="76">
        <f t="shared" si="26"/>
        <v>13264437836.41</v>
      </c>
      <c r="AB63" s="76">
        <f t="shared" si="26"/>
        <v>6015967741.6199999</v>
      </c>
      <c r="AC63" s="76">
        <f t="shared" si="26"/>
        <v>18402355207.299999</v>
      </c>
      <c r="AD63" s="76">
        <f t="shared" si="26"/>
        <v>13642075480.07</v>
      </c>
      <c r="AE63" s="76">
        <f t="shared" si="26"/>
        <v>9825823427.0799999</v>
      </c>
      <c r="AF63" s="76">
        <f t="shared" si="26"/>
        <v>4220589097.9400001</v>
      </c>
      <c r="AG63" s="76">
        <f t="shared" si="26"/>
        <v>11633283740.18</v>
      </c>
      <c r="AH63" s="76">
        <f t="shared" si="26"/>
        <v>9327577784.1200008</v>
      </c>
      <c r="AI63" s="76">
        <f t="shared" si="26"/>
        <v>6587266362.7799997</v>
      </c>
      <c r="AJ63" s="76">
        <f t="shared" si="26"/>
        <v>3039906100.4099998</v>
      </c>
      <c r="AK63" s="76">
        <f t="shared" si="26"/>
        <v>9669999065.3899994</v>
      </c>
      <c r="AL63" s="76">
        <f t="shared" si="26"/>
        <v>7807202385.7799997</v>
      </c>
      <c r="AM63" s="76">
        <f t="shared" si="26"/>
        <v>5546006031.29</v>
      </c>
      <c r="AN63" s="76">
        <f t="shared" si="26"/>
        <v>2512537167.1999998</v>
      </c>
      <c r="AO63" s="76">
        <f t="shared" si="26"/>
        <v>8241685564.1099997</v>
      </c>
      <c r="AP63" s="76">
        <f t="shared" si="26"/>
        <v>6486517281.0100002</v>
      </c>
      <c r="AQ63" s="76">
        <f t="shared" si="26"/>
        <v>4619717309.6000004</v>
      </c>
      <c r="AR63" s="76">
        <f t="shared" si="26"/>
        <v>1993496395.46</v>
      </c>
      <c r="AS63" s="76">
        <f t="shared" si="26"/>
        <v>7237430747.1199999</v>
      </c>
      <c r="AT63" s="76">
        <f t="shared" si="26"/>
        <v>4458382249.2600002</v>
      </c>
      <c r="AU63" s="76">
        <f t="shared" si="26"/>
        <v>2629088876.4200001</v>
      </c>
      <c r="AV63" s="76">
        <f t="shared" si="26"/>
        <v>1587538095.6800001</v>
      </c>
      <c r="AW63" s="76">
        <f t="shared" si="26"/>
        <v>4896186901.21</v>
      </c>
      <c r="AX63" s="76">
        <f t="shared" si="26"/>
        <v>3249453246.71</v>
      </c>
      <c r="AY63" s="76">
        <f t="shared" si="26"/>
        <v>2029461983.6600001</v>
      </c>
      <c r="AZ63" s="76">
        <f t="shared" si="26"/>
        <v>1354498050.1700001</v>
      </c>
      <c r="BA63" s="76">
        <f t="shared" si="26"/>
        <v>3930515237.6100001</v>
      </c>
      <c r="BB63" s="76">
        <f t="shared" si="26"/>
        <v>2580318873.25</v>
      </c>
      <c r="BC63" s="76">
        <f t="shared" si="26"/>
        <v>1686144341.9100001</v>
      </c>
      <c r="BD63" s="76">
        <f t="shared" si="26"/>
        <v>1144017320.6199999</v>
      </c>
      <c r="BE63" s="76">
        <f t="shared" si="26"/>
        <v>3009793519.9200001</v>
      </c>
      <c r="BF63" s="76">
        <f t="shared" si="26"/>
        <v>2070438172.6500001</v>
      </c>
      <c r="BG63" s="76">
        <f t="shared" si="26"/>
        <v>1314109209.0599999</v>
      </c>
      <c r="BH63" s="76">
        <f t="shared" si="26"/>
        <v>853431905.86000001</v>
      </c>
      <c r="BI63" s="76">
        <f t="shared" si="26"/>
        <v>2401017934.9299998</v>
      </c>
      <c r="BJ63" s="76">
        <f t="shared" si="26"/>
        <v>1552744360.0999999</v>
      </c>
      <c r="BK63" s="76">
        <f t="shared" si="26"/>
        <v>1009047565.48</v>
      </c>
      <c r="BL63" s="76">
        <f t="shared" si="26"/>
        <v>733889255.88999999</v>
      </c>
      <c r="BM63" s="76">
        <f t="shared" si="26"/>
        <v>1834898294.9000001</v>
      </c>
      <c r="BN63" s="76">
        <f t="shared" si="26"/>
        <v>1363886224.3199999</v>
      </c>
      <c r="BO63" s="76">
        <f t="shared" si="26"/>
        <v>955654212.62</v>
      </c>
      <c r="BP63" s="76">
        <f t="shared" si="26"/>
        <v>718014858.52999997</v>
      </c>
      <c r="BQ63" s="76">
        <f t="shared" si="26"/>
        <v>1618046660.3099999</v>
      </c>
      <c r="BR63" s="76">
        <f t="shared" ref="BR63:CJ63" si="27">BR49</f>
        <v>873863478.94000006</v>
      </c>
      <c r="BS63" s="76">
        <f t="shared" si="27"/>
        <v>1114000813.26</v>
      </c>
      <c r="BT63" s="76">
        <f t="shared" si="27"/>
        <v>890858185.63999999</v>
      </c>
      <c r="BU63" s="76">
        <f t="shared" si="27"/>
        <v>628184433.19000006</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5" t="s">
        <v>473</v>
      </c>
      <c r="E64" s="76">
        <f>资产资本表!E22+资产资本表!E23-资产资本表!E37</f>
        <v>-13207400863.379999</v>
      </c>
      <c r="F64" s="76">
        <f>资产资本表!F22+资产资本表!F23-资产资本表!F37</f>
        <v>-15641973794.5</v>
      </c>
      <c r="G64" s="76">
        <f>资产资本表!G22+资产资本表!G23-资产资本表!G37</f>
        <v>-16082395195.129999</v>
      </c>
      <c r="H64" s="76">
        <f>资产资本表!H22+资产资本表!H23-资产资本表!H37</f>
        <v>-17810814698.639999</v>
      </c>
      <c r="I64" s="76">
        <f>资产资本表!I22+资产资本表!I23-资产资本表!I37</f>
        <v>-16723455065.009998</v>
      </c>
      <c r="J64" s="76">
        <f>资产资本表!J22+资产资本表!J23-资产资本表!J37</f>
        <v>-16246473210.150002</v>
      </c>
      <c r="K64" s="76">
        <f>资产资本表!K22+资产资本表!K23-资产资本表!K37</f>
        <v>-4918933213.6599998</v>
      </c>
      <c r="L64" s="76">
        <f>资产资本表!L22+资产资本表!L23-资产资本表!L37</f>
        <v>-3866181559.6399994</v>
      </c>
      <c r="M64" s="76">
        <f>资产资本表!M22+资产资本表!M23-资产资本表!M37</f>
        <v>317584102.67000008</v>
      </c>
      <c r="N64" s="76">
        <f>资产资本表!N22+资产资本表!N23-资产资本表!N37</f>
        <v>2689536420.6699991</v>
      </c>
      <c r="O64" s="76">
        <f>资产资本表!O22+资产资本表!O23-资产资本表!O37</f>
        <v>1618708931.3999996</v>
      </c>
      <c r="P64" s="76">
        <f>资产资本表!P22+资产资本表!P23-资产资本表!P37</f>
        <v>17260526.859999657</v>
      </c>
      <c r="Q64" s="76">
        <f>资产资本表!Q22+资产资本表!Q23-资产资本表!Q37</f>
        <v>375911682.98000002</v>
      </c>
      <c r="R64" s="76">
        <f>资产资本表!R22+资产资本表!R23-资产资本表!R37</f>
        <v>297950244.54999995</v>
      </c>
      <c r="S64" s="76">
        <f>资产资本表!S22+资产资本表!S23-资产资本表!S37</f>
        <v>-242181046.96999991</v>
      </c>
      <c r="T64" s="76">
        <f>资产资本表!T22+资产资本表!T23-资产资本表!T37</f>
        <v>-1331011505.1500001</v>
      </c>
      <c r="U64" s="76">
        <f>资产资本表!U22+资产资本表!U23-资产资本表!U37</f>
        <v>-2748102358.3099999</v>
      </c>
      <c r="V64" s="76">
        <f>资产资本表!V22+资产资本表!V23-资产资本表!V37</f>
        <v>-1745123844.6800001</v>
      </c>
      <c r="W64" s="76">
        <f>资产资本表!W22+资产资本表!W23-资产资本表!W37</f>
        <v>-674830517.37</v>
      </c>
      <c r="X64" s="76">
        <f>资产资本表!X22+资产资本表!X23-资产资本表!X37</f>
        <v>-2794436835.8099999</v>
      </c>
      <c r="Y64" s="76">
        <f>资产资本表!Y22+资产资本表!Y23-资产资本表!Y37</f>
        <v>-4869489004.4800005</v>
      </c>
      <c r="Z64" s="76">
        <f>资产资本表!Z22+资产资本表!Z23-资产资本表!Z37</f>
        <v>-3396851748.3800001</v>
      </c>
      <c r="AA64" s="76">
        <f>资产资本表!AA22+资产资本表!AA23-资产资本表!AA37</f>
        <v>-3821604228.9799995</v>
      </c>
      <c r="AB64" s="76">
        <f>资产资本表!AB22+资产资本表!AB23-资产资本表!AB37</f>
        <v>-5538046930.71</v>
      </c>
      <c r="AC64" s="76">
        <f>资产资本表!AC22+资产资本表!AC23-资产资本表!AC37</f>
        <v>-6772321984.2399998</v>
      </c>
      <c r="AD64" s="76">
        <f>资产资本表!AD22+资产资本表!AD23-资产资本表!AD37</f>
        <v>-6519084262.5799999</v>
      </c>
      <c r="AE64" s="76">
        <f>资产资本表!AE22+资产资本表!AE23-资产资本表!AE37</f>
        <v>-4716159919.3299999</v>
      </c>
      <c r="AF64" s="76">
        <f>资产资本表!AF22+资产资本表!AF23-资产资本表!AF37</f>
        <v>-6166774327.8899994</v>
      </c>
      <c r="AG64" s="76">
        <f>资产资本表!AG22+资产资本表!AG23-资产资本表!AG37</f>
        <v>-4532505049.0500002</v>
      </c>
      <c r="AH64" s="76">
        <f>资产资本表!AH22+资产资本表!AH23-资产资本表!AH37</f>
        <v>-2962793508.6499996</v>
      </c>
      <c r="AI64" s="76">
        <f>资产资本表!AI22+资产资本表!AI23-资产资本表!AI37</f>
        <v>-1759161424.3200002</v>
      </c>
      <c r="AJ64" s="76">
        <f>资产资本表!AJ22+资产资本表!AJ23-资产资本表!AJ37</f>
        <v>-2728517553.1199999</v>
      </c>
      <c r="AK64" s="76">
        <f>资产资本表!AK22+资产资本表!AK23-资产资本表!AK37</f>
        <v>-3114277282.7199998</v>
      </c>
      <c r="AL64" s="76">
        <f>资产资本表!AL22+资产资本表!AL23-资产资本表!AL37</f>
        <v>-974467753.02999997</v>
      </c>
      <c r="AM64" s="76">
        <f>资产资本表!AM22+资产资本表!AM23-资产资本表!AM37</f>
        <v>-459112401.01000005</v>
      </c>
      <c r="AN64" s="76">
        <f>资产资本表!AN22+资产资本表!AN23-资产资本表!AN37</f>
        <v>-1610900321.7</v>
      </c>
      <c r="AO64" s="76">
        <f>资产资本表!AO22+资产资本表!AO23-资产资本表!AO37</f>
        <v>-2730828671.2599998</v>
      </c>
      <c r="AP64" s="76">
        <f>资产资本表!AP22+资产资本表!AP23-资产资本表!AP37</f>
        <v>-798354756.08000004</v>
      </c>
      <c r="AQ64" s="76">
        <f>资产资本表!AQ22+资产资本表!AQ23-资产资本表!AQ37</f>
        <v>-151667319.19999999</v>
      </c>
      <c r="AR64" s="76">
        <f>资产资本表!AR22+资产资本表!AR23-资产资本表!AR37</f>
        <v>-1139326002.03</v>
      </c>
      <c r="AS64" s="76">
        <f>资产资本表!AS22+资产资本表!AS23-资产资本表!AS37</f>
        <v>-977834818.91999996</v>
      </c>
      <c r="AT64" s="76">
        <f>资产资本表!AT22+资产资本表!AT23-资产资本表!AT37</f>
        <v>-2010299695.74</v>
      </c>
      <c r="AU64" s="76">
        <f>资产资本表!AU22+资产资本表!AU23-资产资本表!AU37</f>
        <v>-2197856608.77</v>
      </c>
      <c r="AV64" s="76">
        <f>资产资本表!AV22+资产资本表!AV23-资产资本表!AV37</f>
        <v>-1989696877.2999997</v>
      </c>
      <c r="AW64" s="76">
        <f>资产资本表!AW22+资产资本表!AW23-资产资本表!AW37</f>
        <v>-1883046859.3599999</v>
      </c>
      <c r="AX64" s="76">
        <f>资产资本表!AX22+资产资本表!AX23-资产资本表!AX37</f>
        <v>-2064404628.0899999</v>
      </c>
      <c r="AY64" s="76">
        <f>资产资本表!AY22+资产资本表!AY23-资产资本表!AY37</f>
        <v>-1748468379.22</v>
      </c>
      <c r="AZ64" s="76">
        <f>资产资本表!AZ22+资产资本表!AZ23-资产资本表!AZ37</f>
        <v>-1364292718.72</v>
      </c>
      <c r="BA64" s="76">
        <f>资产资本表!BA22+资产资本表!BA23-资产资本表!BA37</f>
        <v>-1339847096.5599999</v>
      </c>
      <c r="BB64" s="76">
        <f>资产资本表!BB22+资产资本表!BB23-资产资本表!BB37</f>
        <v>-1249151611.9400001</v>
      </c>
      <c r="BC64" s="76">
        <f>资产资本表!BC22+资产资本表!BC23-资产资本表!BC37</f>
        <v>-997547182.08000004</v>
      </c>
      <c r="BD64" s="76">
        <f>资产资本表!BD22+资产资本表!BD23-资产资本表!BD37</f>
        <v>-817122261.11000001</v>
      </c>
      <c r="BE64" s="76">
        <f>资产资本表!BE22+资产资本表!BE23-资产资本表!BE37</f>
        <v>-890241455.54999995</v>
      </c>
      <c r="BF64" s="76">
        <f>资产资本表!BF22+资产资本表!BF23-资产资本表!BF37</f>
        <v>-769524745.37999988</v>
      </c>
      <c r="BG64" s="76">
        <f>资产资本表!BG22+资产资本表!BG23-资产资本表!BG37</f>
        <v>-597188293.14999998</v>
      </c>
      <c r="BH64" s="76">
        <f>资产资本表!BH22+资产资本表!BH23-资产资本表!BH37</f>
        <v>-481975485.78000003</v>
      </c>
      <c r="BI64" s="76">
        <f>资产资本表!BI22+资产资本表!BI23-资产资本表!BI37</f>
        <v>-671341953.63</v>
      </c>
      <c r="BJ64" s="76">
        <f>资产资本表!BJ22+资产资本表!BJ23-资产资本表!BJ37</f>
        <v>-638562088.55000007</v>
      </c>
      <c r="BK64" s="76">
        <f>资产资本表!BK22+资产资本表!BK23-资产资本表!BK37</f>
        <v>-352043449.11000001</v>
      </c>
      <c r="BL64" s="76">
        <f>资产资本表!BL22+资产资本表!BL23-资产资本表!BL37</f>
        <v>-98180636.340000004</v>
      </c>
      <c r="BM64" s="76">
        <f>资产资本表!BM22+资产资本表!BM23-资产资本表!BM37</f>
        <v>-372764222.86000001</v>
      </c>
      <c r="BN64" s="76">
        <f>资产资本表!BN22+资产资本表!BN23-资产资本表!BN37</f>
        <v>-243978365.75999999</v>
      </c>
      <c r="BO64" s="76">
        <f>资产资本表!BO22+资产资本表!BO23-资产资本表!BO37</f>
        <v>-142017958.76999998</v>
      </c>
      <c r="BP64" s="76">
        <f>资产资本表!BP22+资产资本表!BP23-资产资本表!BP37</f>
        <v>-83103637.959999993</v>
      </c>
      <c r="BQ64" s="76">
        <f>资产资本表!BQ22+资产资本表!BQ23-资产资本表!BQ37</f>
        <v>-247706557.39999998</v>
      </c>
      <c r="BR64" s="76">
        <f>资产资本表!BR22+资产资本表!BR23-资产资本表!BR37</f>
        <v>16302231.480000004</v>
      </c>
      <c r="BS64" s="76">
        <f>资产资本表!BS22+资产资本表!BS23-资产资本表!BS37</f>
        <v>-334955393.88</v>
      </c>
      <c r="BT64" s="76">
        <f>资产资本表!BT22+资产资本表!BT23-资产资本表!BT37</f>
        <v>-13840010.219999999</v>
      </c>
      <c r="BU64" s="76">
        <f>资产资本表!BU22+资产资本表!BU23-资产资本表!BU37</f>
        <v>-64494189.560000002</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3" customFormat="1" x14ac:dyDescent="0.25">
      <c r="A65" s="152" t="s">
        <v>691</v>
      </c>
      <c r="E65" s="153">
        <f>E63/(E64+I64)*2</f>
        <v>-3.8901567969494133</v>
      </c>
      <c r="F65" s="153">
        <f t="shared" ref="F65:BQ65" si="28">F63/(F64+J64)*2</f>
        <v>-2.6624355518987701</v>
      </c>
      <c r="G65" s="153">
        <f t="shared" si="28"/>
        <v>-2.3036666774693533</v>
      </c>
      <c r="H65" s="153">
        <f t="shared" si="28"/>
        <v>-1.2279043578084743</v>
      </c>
      <c r="I65" s="153">
        <f t="shared" si="28"/>
        <v>-4.7375954721390805</v>
      </c>
      <c r="J65" s="153">
        <f t="shared" si="28"/>
        <v>-3.9288940335099851</v>
      </c>
      <c r="K65" s="153">
        <f t="shared" si="28"/>
        <v>-11.013333106557795</v>
      </c>
      <c r="L65" s="153">
        <f t="shared" si="28"/>
        <v>-5.1904175980224361</v>
      </c>
      <c r="M65" s="153">
        <f t="shared" si="28"/>
        <v>94.188268771291249</v>
      </c>
      <c r="N65" s="153">
        <f t="shared" si="28"/>
        <v>15.497099438390514</v>
      </c>
      <c r="O65" s="153">
        <f t="shared" si="28"/>
        <v>22.925285632675301</v>
      </c>
      <c r="P65" s="153">
        <f t="shared" si="28"/>
        <v>-13.007447495295288</v>
      </c>
      <c r="Q65" s="153">
        <f t="shared" si="28"/>
        <v>-26.620059558701108</v>
      </c>
      <c r="R65" s="153">
        <f t="shared" si="28"/>
        <v>-30.014628743447293</v>
      </c>
      <c r="S65" s="153">
        <f t="shared" si="28"/>
        <v>-31.235436847293624</v>
      </c>
      <c r="T65" s="153">
        <f t="shared" si="28"/>
        <v>-3.6116441826084826</v>
      </c>
      <c r="U65" s="153">
        <f t="shared" si="28"/>
        <v>-8.1185245687095122</v>
      </c>
      <c r="V65" s="153">
        <f t="shared" si="28"/>
        <v>-8.5320175672735985</v>
      </c>
      <c r="W65" s="153">
        <f t="shared" si="28"/>
        <v>-6.2840307879830162</v>
      </c>
      <c r="X65" s="153">
        <f t="shared" si="28"/>
        <v>-1.7199639513015785</v>
      </c>
      <c r="Y65" s="153">
        <f t="shared" si="28"/>
        <v>-4.5448831249061064</v>
      </c>
      <c r="Z65" s="153">
        <f t="shared" si="28"/>
        <v>-4.0200821341424451</v>
      </c>
      <c r="AA65" s="153">
        <f t="shared" si="28"/>
        <v>-3.1072392270371201</v>
      </c>
      <c r="AB65" s="153">
        <f t="shared" si="28"/>
        <v>-1.0279469645381947</v>
      </c>
      <c r="AC65" s="153">
        <f t="shared" si="28"/>
        <v>-3.2556632937610601</v>
      </c>
      <c r="AD65" s="153">
        <f t="shared" si="28"/>
        <v>-2.8775050278464693</v>
      </c>
      <c r="AE65" s="153">
        <f t="shared" si="28"/>
        <v>-3.034852760385601</v>
      </c>
      <c r="AF65" s="153">
        <f t="shared" si="28"/>
        <v>-0.94894898433861885</v>
      </c>
      <c r="AG65" s="153">
        <f t="shared" si="28"/>
        <v>-3.0426611443737133</v>
      </c>
      <c r="AH65" s="153">
        <f t="shared" si="28"/>
        <v>-4.7381045677116154</v>
      </c>
      <c r="AI65" s="153">
        <f t="shared" si="28"/>
        <v>-5.9390921783969102</v>
      </c>
      <c r="AJ65" s="153">
        <f t="shared" si="28"/>
        <v>-1.4010663126265968</v>
      </c>
      <c r="AK65" s="153">
        <f t="shared" si="28"/>
        <v>-3.3087506510658158</v>
      </c>
      <c r="AL65" s="153">
        <f t="shared" si="28"/>
        <v>-8.8076525942796202</v>
      </c>
      <c r="AM65" s="153">
        <f t="shared" si="28"/>
        <v>-18.160413149877197</v>
      </c>
      <c r="AN65" s="153">
        <f t="shared" si="28"/>
        <v>-1.8271493844131099</v>
      </c>
      <c r="AO65" s="153">
        <f t="shared" si="28"/>
        <v>-4.444558308367843</v>
      </c>
      <c r="AP65" s="153">
        <f t="shared" si="28"/>
        <v>-4.6189500291192855</v>
      </c>
      <c r="AQ65" s="153">
        <f t="shared" si="28"/>
        <v>-3.9324709611205866</v>
      </c>
      <c r="AR65" s="153">
        <f t="shared" si="28"/>
        <v>-1.2741973915427913</v>
      </c>
      <c r="AS65" s="153">
        <f t="shared" si="28"/>
        <v>-5.0595806195460975</v>
      </c>
      <c r="AT65" s="153">
        <f t="shared" si="28"/>
        <v>-2.1883218486240317</v>
      </c>
      <c r="AU65" s="153">
        <f t="shared" si="28"/>
        <v>-1.3324239054924294</v>
      </c>
      <c r="AV65" s="153">
        <f t="shared" si="28"/>
        <v>-0.94665654154911327</v>
      </c>
      <c r="AW65" s="153">
        <f t="shared" si="28"/>
        <v>-3.0383791512695586</v>
      </c>
      <c r="AX65" s="153">
        <f t="shared" si="28"/>
        <v>-1.961308643236175</v>
      </c>
      <c r="AY65" s="153">
        <f t="shared" si="28"/>
        <v>-1.478113971575038</v>
      </c>
      <c r="AZ65" s="153">
        <f t="shared" si="28"/>
        <v>-1.2418527081679411</v>
      </c>
      <c r="BA65" s="153">
        <f t="shared" si="28"/>
        <v>-3.5249857983362505</v>
      </c>
      <c r="BB65" s="153">
        <f t="shared" si="28"/>
        <v>-2.5564463207719319</v>
      </c>
      <c r="BC65" s="153">
        <f t="shared" si="28"/>
        <v>-2.1146382808933457</v>
      </c>
      <c r="BD65" s="153">
        <f t="shared" si="28"/>
        <v>-1.7612490258854532</v>
      </c>
      <c r="BE65" s="153">
        <f t="shared" si="28"/>
        <v>-3.8547969992848055</v>
      </c>
      <c r="BF65" s="153">
        <f t="shared" si="28"/>
        <v>-2.9407819500326751</v>
      </c>
      <c r="BG65" s="153">
        <f t="shared" si="28"/>
        <v>-2.7687847983913247</v>
      </c>
      <c r="BH65" s="153">
        <f t="shared" si="28"/>
        <v>-2.9420767042547054</v>
      </c>
      <c r="BI65" s="153">
        <f t="shared" si="28"/>
        <v>-4.5991834719368612</v>
      </c>
      <c r="BJ65" s="153">
        <f t="shared" si="28"/>
        <v>-3.5188060842241797</v>
      </c>
      <c r="BK65" s="153">
        <f t="shared" si="28"/>
        <v>-4.0847050564414147</v>
      </c>
      <c r="BL65" s="153">
        <f t="shared" si="28"/>
        <v>-8.0965572852228362</v>
      </c>
      <c r="BM65" s="153">
        <f t="shared" si="28"/>
        <v>-5.9145357147394124</v>
      </c>
      <c r="BN65" s="153">
        <f t="shared" si="28"/>
        <v>-11.980932728264523</v>
      </c>
      <c r="BO65" s="153">
        <f t="shared" si="28"/>
        <v>-4.0071597598084399</v>
      </c>
      <c r="BP65" s="153">
        <f t="shared" si="28"/>
        <v>-14.813035655452678</v>
      </c>
      <c r="BQ65" s="153">
        <f t="shared" si="28"/>
        <v>-10.365424657470845</v>
      </c>
      <c r="BR65" s="153">
        <f t="shared" ref="BR65:CK65" si="29">BR63/(BR64+BV64)*2</f>
        <v>107.20783593486306</v>
      </c>
      <c r="BS65" s="153">
        <f t="shared" si="29"/>
        <v>-6.6516368066555049</v>
      </c>
      <c r="BT65" s="153">
        <f t="shared" si="29"/>
        <v>-128.73663696470885</v>
      </c>
      <c r="BU65" s="153">
        <f t="shared" si="29"/>
        <v>-19.480341949427547</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3" customFormat="1" x14ac:dyDescent="0.25">
      <c r="A66" s="146" t="s">
        <v>474</v>
      </c>
      <c r="E66" s="83">
        <f>E62/E65</f>
        <v>-93.826552257797431</v>
      </c>
      <c r="F66" s="83">
        <f t="shared" ref="F66:BQ66" si="30">F62/F65</f>
        <v>-137.09252032023568</v>
      </c>
      <c r="G66" s="83">
        <f t="shared" si="30"/>
        <v>-158.44306104256515</v>
      </c>
      <c r="H66" s="83">
        <f t="shared" si="30"/>
        <v>-297.25442187650566</v>
      </c>
      <c r="I66" s="83">
        <f t="shared" si="30"/>
        <v>-77.043302271478694</v>
      </c>
      <c r="J66" s="83">
        <f t="shared" si="30"/>
        <v>-92.901462062064638</v>
      </c>
      <c r="K66" s="83">
        <f t="shared" si="30"/>
        <v>-33.141647171523751</v>
      </c>
      <c r="L66" s="83">
        <f t="shared" si="30"/>
        <v>-70.321894742932827</v>
      </c>
      <c r="M66" s="83">
        <f t="shared" si="30"/>
        <v>3.8752172086982095</v>
      </c>
      <c r="N66" s="83">
        <f t="shared" si="30"/>
        <v>23.552794602052828</v>
      </c>
      <c r="O66" s="83">
        <f t="shared" si="30"/>
        <v>15.921284726754603</v>
      </c>
      <c r="P66" s="83">
        <f t="shared" si="30"/>
        <v>-28.06084745927425</v>
      </c>
      <c r="Q66" s="83">
        <f t="shared" si="30"/>
        <v>-13.71146443888008</v>
      </c>
      <c r="R66" s="83">
        <f t="shared" si="30"/>
        <v>-12.160736790045613</v>
      </c>
      <c r="S66" s="83">
        <f t="shared" si="30"/>
        <v>-11.685445661747652</v>
      </c>
      <c r="T66" s="83">
        <f t="shared" si="30"/>
        <v>-101.06200432413071</v>
      </c>
      <c r="U66" s="83">
        <f t="shared" si="30"/>
        <v>-44.958908100960386</v>
      </c>
      <c r="V66" s="83">
        <f t="shared" si="30"/>
        <v>-42.780033810529943</v>
      </c>
      <c r="W66" s="83">
        <f t="shared" si="30"/>
        <v>-58.083738338454886</v>
      </c>
      <c r="X66" s="83">
        <f t="shared" si="30"/>
        <v>-212.21375001713679</v>
      </c>
      <c r="Y66" s="83">
        <f t="shared" si="30"/>
        <v>-80.310095984600395</v>
      </c>
      <c r="Z66" s="83">
        <f t="shared" si="30"/>
        <v>-90.794164850530095</v>
      </c>
      <c r="AA66" s="83">
        <f t="shared" si="30"/>
        <v>-117.46762103928587</v>
      </c>
      <c r="AB66" s="83">
        <f t="shared" si="30"/>
        <v>-355.0766844902123</v>
      </c>
      <c r="AC66" s="83">
        <f t="shared" si="30"/>
        <v>-112.11233074976214</v>
      </c>
      <c r="AD66" s="83">
        <f t="shared" si="30"/>
        <v>-126.84599904006657</v>
      </c>
      <c r="AE66" s="83">
        <f t="shared" si="30"/>
        <v>-120.26942616933547</v>
      </c>
      <c r="AF66" s="83">
        <f t="shared" si="30"/>
        <v>-384.63606160492498</v>
      </c>
      <c r="AG66" s="83">
        <f t="shared" si="30"/>
        <v>-119.96077863449689</v>
      </c>
      <c r="AH66" s="83">
        <f t="shared" si="30"/>
        <v>-77.035024192445334</v>
      </c>
      <c r="AI66" s="83">
        <f t="shared" si="30"/>
        <v>-61.457204070289649</v>
      </c>
      <c r="AJ66" s="83">
        <f t="shared" si="30"/>
        <v>-260.515863318225</v>
      </c>
      <c r="AK66" s="83">
        <f t="shared" si="30"/>
        <v>-110.31354081711358</v>
      </c>
      <c r="AL66" s="83">
        <f t="shared" si="30"/>
        <v>-41.441234891242146</v>
      </c>
      <c r="AM66" s="83">
        <f t="shared" si="30"/>
        <v>-20.09866168724626</v>
      </c>
      <c r="AN66" s="83">
        <f t="shared" si="30"/>
        <v>-199.76472811348151</v>
      </c>
      <c r="AO66" s="83">
        <f t="shared" si="30"/>
        <v>-82.122896062092039</v>
      </c>
      <c r="AP66" s="83">
        <f t="shared" si="30"/>
        <v>-79.022288117197078</v>
      </c>
      <c r="AQ66" s="83">
        <f t="shared" si="30"/>
        <v>-92.816960025558728</v>
      </c>
      <c r="AR66" s="83">
        <f t="shared" si="30"/>
        <v>-286.45483221250356</v>
      </c>
      <c r="AS66" s="83">
        <f t="shared" si="30"/>
        <v>-72.140366454472016</v>
      </c>
      <c r="AT66" s="83">
        <f t="shared" si="30"/>
        <v>-166.79447780019376</v>
      </c>
      <c r="AU66" s="83">
        <f t="shared" si="30"/>
        <v>-273.93684434467229</v>
      </c>
      <c r="AV66" s="83">
        <f t="shared" si="30"/>
        <v>-385.56750413694101</v>
      </c>
      <c r="AW66" s="83">
        <f t="shared" si="30"/>
        <v>-120.12983957169668</v>
      </c>
      <c r="AX66" s="83">
        <f t="shared" si="30"/>
        <v>-186.10023529889057</v>
      </c>
      <c r="AY66" s="83">
        <f t="shared" si="30"/>
        <v>-246.93630330215061</v>
      </c>
      <c r="AZ66" s="83">
        <f t="shared" si="30"/>
        <v>-293.91569354345643</v>
      </c>
      <c r="BA66" s="83">
        <f t="shared" si="30"/>
        <v>-103.54651646320829</v>
      </c>
      <c r="BB66" s="83">
        <f t="shared" si="30"/>
        <v>-142.77632079901699</v>
      </c>
      <c r="BC66" s="83">
        <f t="shared" si="30"/>
        <v>-172.60635225321036</v>
      </c>
      <c r="BD66" s="83">
        <f t="shared" si="30"/>
        <v>-207.23929134126806</v>
      </c>
      <c r="BE66" s="83">
        <f t="shared" si="30"/>
        <v>-94.687217009798388</v>
      </c>
      <c r="BF66" s="83">
        <f t="shared" si="30"/>
        <v>-124.11664863351888</v>
      </c>
      <c r="BG66" s="83">
        <f t="shared" si="30"/>
        <v>-131.82678560358553</v>
      </c>
      <c r="BH66" s="83">
        <f t="shared" si="30"/>
        <v>-124.06202716338179</v>
      </c>
      <c r="BI66" s="83">
        <f t="shared" si="30"/>
        <v>-79.361913310730998</v>
      </c>
      <c r="BJ66" s="83">
        <f t="shared" si="30"/>
        <v>-103.72836446896009</v>
      </c>
      <c r="BK66" s="83">
        <f t="shared" si="30"/>
        <v>-89.357736961793549</v>
      </c>
      <c r="BL66" s="83">
        <f t="shared" si="30"/>
        <v>-45.080888968224514</v>
      </c>
      <c r="BM66" s="83">
        <f t="shared" si="30"/>
        <v>-61.712367226119873</v>
      </c>
      <c r="BN66" s="83">
        <f t="shared" si="30"/>
        <v>-30.465073820080736</v>
      </c>
      <c r="BO66" s="83">
        <f t="shared" si="30"/>
        <v>-91.086959811517133</v>
      </c>
      <c r="BP66" s="83">
        <f t="shared" si="30"/>
        <v>-24.640459152992285</v>
      </c>
      <c r="BQ66" s="83">
        <f t="shared" si="30"/>
        <v>-35.213222039767324</v>
      </c>
      <c r="BR66" s="83">
        <f t="shared" ref="BR66:CJ66" si="31">BR62/BR65</f>
        <v>3.4046018821027726</v>
      </c>
      <c r="BS66" s="83">
        <f t="shared" si="31"/>
        <v>-54.873711630615148</v>
      </c>
      <c r="BT66" s="83">
        <f t="shared" si="31"/>
        <v>-2.8352457280677532</v>
      </c>
      <c r="BU66" s="83">
        <f t="shared" si="31"/>
        <v>-18.736837420388607</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5" t="s">
        <v>475</v>
      </c>
      <c r="E67" s="76">
        <f>股权价值增加表!E5</f>
        <v>5940436371.9700003</v>
      </c>
      <c r="F67" s="76">
        <f>股权价值增加表!F5</f>
        <v>4273438303.5</v>
      </c>
      <c r="G67" s="76">
        <f>股权价值增加表!G5</f>
        <v>2511228414.9099998</v>
      </c>
      <c r="H67" s="76">
        <f>股权价值增加表!H5</f>
        <v>1176997676.0699999</v>
      </c>
      <c r="I67" s="76">
        <f>股权价值增加表!I5</f>
        <v>3410104085.9699998</v>
      </c>
      <c r="J67" s="76">
        <f>股权价值增加表!J5</f>
        <v>2225398682.8200002</v>
      </c>
      <c r="K67" s="76">
        <f>股权价值增加表!K5</f>
        <v>1475407709.24</v>
      </c>
      <c r="L67" s="76">
        <f>股权价值增加表!L5</f>
        <v>765002011.76999998</v>
      </c>
      <c r="M67" s="76">
        <f>股权价值增加表!M5</f>
        <v>2538337449.0599999</v>
      </c>
      <c r="N67" s="76">
        <f>股权价值增加表!N5</f>
        <v>1747047687.23</v>
      </c>
      <c r="O67" s="76">
        <f>股权价值增加表!O5</f>
        <v>1165878006.3299999</v>
      </c>
      <c r="P67" s="76">
        <f>股权价值增加表!P5</f>
        <v>579796944.51999998</v>
      </c>
      <c r="Q67" s="76">
        <f>股权价值增加表!Q5</f>
        <v>2338550532.3299999</v>
      </c>
      <c r="R67" s="76">
        <f>股权价值增加表!R5</f>
        <v>1593307325.6800001</v>
      </c>
      <c r="S67" s="76">
        <f>股权价值增加表!S5</f>
        <v>987543281.35000002</v>
      </c>
      <c r="T67" s="76">
        <f>股权价值增加表!T5</f>
        <v>506935182.39999998</v>
      </c>
      <c r="U67" s="76">
        <f>股权价值增加表!U5</f>
        <v>2193920307.9899998</v>
      </c>
      <c r="V67" s="76">
        <f>股权价值增加表!V5</f>
        <v>1440864963.8099999</v>
      </c>
      <c r="W67" s="76">
        <f>股权价值增加表!W5</f>
        <v>932566677.01999998</v>
      </c>
      <c r="X67" s="76">
        <f>股权价值增加表!X5</f>
        <v>481121235.63999999</v>
      </c>
      <c r="Y67" s="76">
        <f>股权价值增加表!Y5</f>
        <v>2044306468.76</v>
      </c>
      <c r="Z67" s="76">
        <f>股权价值增加表!Z5</f>
        <v>1628876041.8800001</v>
      </c>
      <c r="AA67" s="76">
        <f>股权价值增加表!AA5</f>
        <v>1059645343.97</v>
      </c>
      <c r="AB67" s="76">
        <f>股权价值增加表!AB5</f>
        <v>482055429.18000001</v>
      </c>
      <c r="AC67" s="76">
        <f>股权价值增加表!AC5</f>
        <v>1551233976.0599999</v>
      </c>
      <c r="AD67" s="76">
        <f>股权价值增加表!AD5</f>
        <v>1155847115.6800001</v>
      </c>
      <c r="AE67" s="76">
        <f>股权价值增加表!AE5</f>
        <v>845072449.14999998</v>
      </c>
      <c r="AF67" s="76">
        <f>股权价值增加表!AF5</f>
        <v>392063100.98000002</v>
      </c>
      <c r="AG67" s="76">
        <f>股权价值增加表!AG5</f>
        <v>1052931591.61</v>
      </c>
      <c r="AH67" s="76">
        <f>股权价值增加表!AH5</f>
        <v>821295137.52999997</v>
      </c>
      <c r="AI67" s="76">
        <f>股权价值增加表!AI5</f>
        <v>569190230.52999997</v>
      </c>
      <c r="AJ67" s="76">
        <f>股权价值增加表!AJ5</f>
        <v>295386812.48000002</v>
      </c>
      <c r="AK67" s="76">
        <f>股权价值增加表!AK5</f>
        <v>950672855.26999998</v>
      </c>
      <c r="AL67" s="76">
        <f>股权价值增加表!AL5</f>
        <v>743207551.34000003</v>
      </c>
      <c r="AM67" s="76">
        <f>股权价值增加表!AM5</f>
        <v>531620176.31999999</v>
      </c>
      <c r="AN67" s="76">
        <f>股权价值增加表!AN5</f>
        <v>251448334.91999999</v>
      </c>
      <c r="AO67" s="76">
        <f>股权价值增加表!AO5</f>
        <v>799713319.24000001</v>
      </c>
      <c r="AP67" s="76">
        <f>股权价值增加表!AP5</f>
        <v>614940094.35000002</v>
      </c>
      <c r="AQ67" s="76">
        <f>股权价值增加表!AQ5</f>
        <v>442054720.19</v>
      </c>
      <c r="AR67" s="76">
        <f>股权价值增加表!AR5</f>
        <v>200810712.08000001</v>
      </c>
      <c r="AS67" s="76">
        <f>股权价值增加表!AS5</f>
        <v>871643568.33000004</v>
      </c>
      <c r="AT67" s="76">
        <f>股权价值增加表!AT5</f>
        <v>662636478.87</v>
      </c>
      <c r="AU67" s="76">
        <f>股权价值增加表!AU5</f>
        <v>389216762.31</v>
      </c>
      <c r="AV67" s="76">
        <f>股权价值增加表!AV5</f>
        <v>237704974.13</v>
      </c>
      <c r="AW67" s="76">
        <f>股权价值增加表!AW5</f>
        <v>791179840.49000001</v>
      </c>
      <c r="AX67" s="76">
        <f>股权价值增加表!AX5</f>
        <v>536197408.26999998</v>
      </c>
      <c r="AY67" s="76">
        <f>股权价值增加表!AY5</f>
        <v>342467207.13999999</v>
      </c>
      <c r="AZ67" s="76">
        <f>股权价值增加表!AZ5</f>
        <v>227552584.91999999</v>
      </c>
      <c r="BA67" s="76">
        <f>股权价值增加表!BA5</f>
        <v>687106816.67999995</v>
      </c>
      <c r="BB67" s="76">
        <f>股权价值增加表!BB5</f>
        <v>450496529.88</v>
      </c>
      <c r="BC67" s="76">
        <f>股权价值增加表!BC5</f>
        <v>294128874.10000002</v>
      </c>
      <c r="BD67" s="76">
        <f>股权价值增加表!BD5</f>
        <v>196715027.49000001</v>
      </c>
      <c r="BE67" s="76">
        <f>股权价值增加表!BE5</f>
        <v>535056248.94999999</v>
      </c>
      <c r="BF67" s="76">
        <f>股权价值增加表!BF5</f>
        <v>367934435.61000001</v>
      </c>
      <c r="BG67" s="76">
        <f>股权价值增加表!BG5</f>
        <v>229941422.72</v>
      </c>
      <c r="BH67" s="76">
        <f>股权价值增加表!BH5</f>
        <v>151243768.25</v>
      </c>
      <c r="BI67" s="76">
        <f>股权价值增加表!BI5</f>
        <v>477388129.86000001</v>
      </c>
      <c r="BJ67" s="76">
        <f>股权价值增加表!BJ5</f>
        <v>302733307.68000001</v>
      </c>
      <c r="BK67" s="76">
        <f>股权价值增加表!BK5</f>
        <v>196938828.78999999</v>
      </c>
      <c r="BL67" s="76">
        <f>股权价值增加表!BL5</f>
        <v>136080903.15000001</v>
      </c>
      <c r="BM67" s="76">
        <f>股权价值增加表!BM5</f>
        <v>340556444.79000002</v>
      </c>
      <c r="BN67" s="76">
        <f>股权价值增加表!BN5</f>
        <v>230795750.63</v>
      </c>
      <c r="BO67" s="76">
        <f>股权价值增加表!BO5</f>
        <v>158368542.33000001</v>
      </c>
      <c r="BP67" s="76">
        <f>股权价值增加表!BP5</f>
        <v>115551849.97</v>
      </c>
      <c r="BQ67" s="76">
        <f>股权价值增加表!BQ5</f>
        <v>287538468.11000001</v>
      </c>
      <c r="BR67" s="76">
        <f>股权价值增加表!BR5</f>
        <v>146483164.84999999</v>
      </c>
      <c r="BS67" s="76">
        <f>股权价值增加表!BS5</f>
        <v>196863443.99000001</v>
      </c>
      <c r="BT67" s="76">
        <f>股权价值增加表!BT5</f>
        <v>129133236.27</v>
      </c>
      <c r="BU67" s="76">
        <f>股权价值增加表!BU5</f>
        <v>76725369.980000004</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5" t="s">
        <v>476</v>
      </c>
      <c r="E68" s="76">
        <f>资产资本表!E26</f>
        <v>22057481376.459999</v>
      </c>
      <c r="F68" s="76">
        <f>资产资本表!F26</f>
        <v>20871002103.490002</v>
      </c>
      <c r="G68" s="76">
        <f>资产资本表!G26</f>
        <v>20850310407.040001</v>
      </c>
      <c r="H68" s="76">
        <f>资产资本表!H26</f>
        <v>20760473514.599998</v>
      </c>
      <c r="I68" s="76">
        <f>资产资本表!I26</f>
        <v>20622251825.549999</v>
      </c>
      <c r="J68" s="76">
        <f>资产资本表!J26</f>
        <v>18782523499.959999</v>
      </c>
      <c r="K68" s="76">
        <f>资产资本表!K26</f>
        <v>18444926424.66</v>
      </c>
      <c r="L68" s="76">
        <f>资产资本表!L26</f>
        <v>18537817778.200001</v>
      </c>
      <c r="M68" s="76">
        <f>资产资本表!M26</f>
        <v>18013297022.700001</v>
      </c>
      <c r="N68" s="76">
        <f>资产资本表!N26</f>
        <v>16381165059.870001</v>
      </c>
      <c r="O68" s="76">
        <f>资产资本表!O26</f>
        <v>16284072631.219999</v>
      </c>
      <c r="P68" s="76">
        <f>资产资本表!P26</f>
        <v>15619209608.459999</v>
      </c>
      <c r="Q68" s="76">
        <f>资产资本表!Q26</f>
        <v>14982364367.85</v>
      </c>
      <c r="R68" s="76">
        <f>资产资本表!R26</f>
        <v>13454959038.030001</v>
      </c>
      <c r="S68" s="76">
        <f>资产资本表!S26</f>
        <v>13240654522.65</v>
      </c>
      <c r="T68" s="76">
        <f>资产资本表!T26</f>
        <v>12697658854.74</v>
      </c>
      <c r="U68" s="76">
        <f>资产资本表!U26</f>
        <v>11836810239.030001</v>
      </c>
      <c r="V68" s="76">
        <f>资产资本表!V26</f>
        <v>10686189842.1</v>
      </c>
      <c r="W68" s="76">
        <f>资产资本表!W26</f>
        <v>10339021451.719999</v>
      </c>
      <c r="X68" s="76">
        <f>资产资本表!X26</f>
        <v>10085273971.49</v>
      </c>
      <c r="Y68" s="76">
        <f>资产资本表!Y26</f>
        <v>9665727593.4200001</v>
      </c>
      <c r="Z68" s="76">
        <f>资产资本表!Z26</f>
        <v>7887354887.0600004</v>
      </c>
      <c r="AA68" s="76">
        <f>资产资本表!AA26</f>
        <v>7773834492.6700001</v>
      </c>
      <c r="AB68" s="76">
        <f>资产资本表!AB26</f>
        <v>7578019306.96</v>
      </c>
      <c r="AC68" s="76">
        <f>资产资本表!AC26</f>
        <v>7187117552.8599997</v>
      </c>
      <c r="AD68" s="76">
        <f>资产资本表!AD26</f>
        <v>6232185752.04</v>
      </c>
      <c r="AE68" s="76">
        <f>资产资本表!AE26</f>
        <v>5915613288.3299999</v>
      </c>
      <c r="AF68" s="76">
        <f>资产资本表!AF26</f>
        <v>5831734652.0799999</v>
      </c>
      <c r="AG68" s="76">
        <f>资产资本表!AG26</f>
        <v>5574126083.4200001</v>
      </c>
      <c r="AH68" s="76">
        <f>资产资本表!AH26</f>
        <v>4791428914.6599998</v>
      </c>
      <c r="AI68" s="76">
        <f>资产资本表!AI26</f>
        <v>4495328930.5799999</v>
      </c>
      <c r="AJ68" s="76">
        <f>资产资本表!AJ26</f>
        <v>4350958976.0299997</v>
      </c>
      <c r="AK68" s="76">
        <f>资产资本表!AK26</f>
        <v>4192246440.3600001</v>
      </c>
      <c r="AL68" s="76">
        <f>资产资本表!AL26</f>
        <v>3405325024.77</v>
      </c>
      <c r="AM68" s="76">
        <f>资产资本表!AM26</f>
        <v>3256220582.6500001</v>
      </c>
      <c r="AN68" s="76">
        <f>资产资本表!AN26</f>
        <v>3222966302.98</v>
      </c>
      <c r="AO68" s="76">
        <f>资产资本表!AO26</f>
        <v>3114567813.3299999</v>
      </c>
      <c r="AP68" s="76">
        <f>资产资本表!AP26</f>
        <v>2588105778.73</v>
      </c>
      <c r="AQ68" s="76">
        <f>资产资本表!AQ26</f>
        <v>2443474684.3400002</v>
      </c>
      <c r="AR68" s="76">
        <f>资产资本表!AR26</f>
        <v>2388248473.75</v>
      </c>
      <c r="AS68" s="76">
        <f>资产资本表!AS26</f>
        <v>2304818947.9200001</v>
      </c>
      <c r="AT68" s="76">
        <f>资产资本表!AT26</f>
        <v>2100782615.3299999</v>
      </c>
      <c r="AU68" s="76">
        <f>资产资本表!AU26</f>
        <v>2120021426.0999999</v>
      </c>
      <c r="AV68" s="76">
        <f>资产资本表!AV26</f>
        <v>2008331715.46</v>
      </c>
      <c r="AW68" s="76">
        <f>资产资本表!AW26</f>
        <v>1974710283.3499999</v>
      </c>
      <c r="AX68" s="76">
        <f>资产资本表!AX26</f>
        <v>1883507683.55</v>
      </c>
      <c r="AY68" s="76">
        <f>资产资本表!AY26</f>
        <v>1855279898.3099999</v>
      </c>
      <c r="AZ68" s="76">
        <f>资产资本表!AZ26</f>
        <v>1800160745.1700001</v>
      </c>
      <c r="BA68" s="76">
        <f>资产资本表!BA26</f>
        <v>1860549625.24</v>
      </c>
      <c r="BB68" s="76">
        <f>资产资本表!BB26</f>
        <v>1684279669.8499999</v>
      </c>
      <c r="BC68" s="76">
        <f>资产资本表!BC26</f>
        <v>1668181460.46</v>
      </c>
      <c r="BD68" s="76">
        <f>资产资本表!BD26</f>
        <v>1640412382.3499999</v>
      </c>
      <c r="BE68" s="76">
        <f>资产资本表!BE26</f>
        <v>1693741195.1099999</v>
      </c>
      <c r="BF68" s="76">
        <f>资产资本表!BF26</f>
        <v>1516497795.8499999</v>
      </c>
      <c r="BG68" s="76">
        <f>资产资本表!BG26</f>
        <v>1318555940.24</v>
      </c>
      <c r="BH68" s="76">
        <f>资产资本表!BH26</f>
        <v>1279320067.02</v>
      </c>
      <c r="BI68" s="76">
        <f>资产资本表!BI26</f>
        <v>1215006621.05</v>
      </c>
      <c r="BJ68" s="76">
        <f>资产资本表!BJ26</f>
        <v>1215900105.02</v>
      </c>
      <c r="BK68" s="76">
        <f>资产资本表!BK26</f>
        <v>1203247938.1400001</v>
      </c>
      <c r="BL68" s="76">
        <f>资产资本表!BL26</f>
        <v>1045879054.34</v>
      </c>
      <c r="BM68" s="76">
        <f>资产资本表!BM26</f>
        <v>1076612588.52</v>
      </c>
      <c r="BN68" s="76">
        <f>资产资本表!BN26</f>
        <v>1021098759.08</v>
      </c>
      <c r="BO68" s="76">
        <f>资产资本表!BO26</f>
        <v>1011422579.27</v>
      </c>
      <c r="BP68" s="76">
        <f>资产资本表!BP26</f>
        <v>819827003.17999995</v>
      </c>
      <c r="BQ68" s="76">
        <f>资产资本表!BQ26</f>
        <v>786368826.80999994</v>
      </c>
      <c r="BR68" s="76">
        <f>资产资本表!BR26</f>
        <v>575547814.27999997</v>
      </c>
      <c r="BS68" s="76">
        <f>资产资本表!BS26</f>
        <v>512332818.61000001</v>
      </c>
      <c r="BT68" s="76">
        <f>资产资本表!BT26</f>
        <v>423401102.17000002</v>
      </c>
      <c r="BU68" s="76">
        <f>资产资本表!BU26</f>
        <v>316665851.52999997</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3" customFormat="1" x14ac:dyDescent="0.25">
      <c r="A69" s="152" t="s">
        <v>477</v>
      </c>
      <c r="E69" s="153">
        <f>E67/(E68+I68)*2</f>
        <v>0.27837270415224791</v>
      </c>
      <c r="F69" s="153">
        <f t="shared" ref="F69:BQ69" si="32">F67/(F68+J68)*2</f>
        <v>0.21553888278363806</v>
      </c>
      <c r="G69" s="153">
        <f t="shared" si="32"/>
        <v>0.12781337471844212</v>
      </c>
      <c r="H69" s="153">
        <f t="shared" si="32"/>
        <v>5.9900704959436363E-2</v>
      </c>
      <c r="I69" s="153">
        <f t="shared" si="32"/>
        <v>0.1765267577465493</v>
      </c>
      <c r="J69" s="153">
        <f t="shared" si="32"/>
        <v>0.12657367722009871</v>
      </c>
      <c r="K69" s="153">
        <f t="shared" si="32"/>
        <v>8.4966900823489039E-2</v>
      </c>
      <c r="L69" s="153">
        <f t="shared" si="32"/>
        <v>4.4793242872696287E-2</v>
      </c>
      <c r="M69" s="153">
        <f t="shared" si="32"/>
        <v>0.15385886156456818</v>
      </c>
      <c r="N69" s="153">
        <f t="shared" si="32"/>
        <v>0.11710956031001124</v>
      </c>
      <c r="O69" s="153">
        <f t="shared" si="32"/>
        <v>7.8976378020630122E-2</v>
      </c>
      <c r="P69" s="153">
        <f t="shared" si="32"/>
        <v>4.0950640094507045E-2</v>
      </c>
      <c r="Q69" s="153">
        <f t="shared" si="32"/>
        <v>0.17439392275182733</v>
      </c>
      <c r="R69" s="153">
        <f t="shared" si="32"/>
        <v>0.1319992957743128</v>
      </c>
      <c r="S69" s="153">
        <f t="shared" si="32"/>
        <v>8.3762243588369339E-2</v>
      </c>
      <c r="T69" s="153">
        <f t="shared" si="32"/>
        <v>4.4501310368291594E-2</v>
      </c>
      <c r="U69" s="153">
        <f t="shared" si="32"/>
        <v>0.20406152288490351</v>
      </c>
      <c r="V69" s="153">
        <f t="shared" si="32"/>
        <v>0.15515239388288418</v>
      </c>
      <c r="W69" s="153">
        <f t="shared" si="32"/>
        <v>0.10297290276952034</v>
      </c>
      <c r="X69" s="153">
        <f t="shared" si="32"/>
        <v>5.4476957162568229E-2</v>
      </c>
      <c r="Y69" s="153">
        <f t="shared" si="32"/>
        <v>0.24260668759675261</v>
      </c>
      <c r="Z69" s="153">
        <f t="shared" si="32"/>
        <v>0.23072649224427275</v>
      </c>
      <c r="AA69" s="153">
        <f t="shared" si="32"/>
        <v>0.15481199255396028</v>
      </c>
      <c r="AB69" s="153">
        <f t="shared" si="32"/>
        <v>7.1896237716580769E-2</v>
      </c>
      <c r="AC69" s="153">
        <f t="shared" si="32"/>
        <v>0.24311642662316518</v>
      </c>
      <c r="AD69" s="153">
        <f t="shared" si="32"/>
        <v>0.20970383138873111</v>
      </c>
      <c r="AE69" s="153">
        <f t="shared" si="32"/>
        <v>0.16234312541184712</v>
      </c>
      <c r="AF69" s="153">
        <f t="shared" si="32"/>
        <v>7.7005773776338285E-2</v>
      </c>
      <c r="AG69" s="153">
        <f t="shared" si="32"/>
        <v>0.21562388472203614</v>
      </c>
      <c r="AH69" s="153">
        <f t="shared" si="32"/>
        <v>0.2003952158620276</v>
      </c>
      <c r="AI69" s="153">
        <f t="shared" si="32"/>
        <v>0.14685843896334053</v>
      </c>
      <c r="AJ69" s="153">
        <f t="shared" si="32"/>
        <v>7.8000984060040926E-2</v>
      </c>
      <c r="AK69" s="153">
        <f t="shared" si="32"/>
        <v>0.26021541598375858</v>
      </c>
      <c r="AL69" s="153">
        <f t="shared" si="32"/>
        <v>0.24800738532127112</v>
      </c>
      <c r="AM69" s="153">
        <f t="shared" si="32"/>
        <v>0.18654336816878556</v>
      </c>
      <c r="AN69" s="153">
        <f t="shared" si="32"/>
        <v>8.962349328090928E-2</v>
      </c>
      <c r="AO69" s="153">
        <f t="shared" si="32"/>
        <v>0.29513055792886184</v>
      </c>
      <c r="AP69" s="153">
        <f t="shared" si="32"/>
        <v>0.26229675038929118</v>
      </c>
      <c r="AQ69" s="153">
        <f t="shared" si="32"/>
        <v>0.19373511425974602</v>
      </c>
      <c r="AR69" s="153">
        <f t="shared" si="32"/>
        <v>9.1348595243560288E-2</v>
      </c>
      <c r="AS69" s="153">
        <f t="shared" si="32"/>
        <v>0.40735488472003251</v>
      </c>
      <c r="AT69" s="153">
        <f t="shared" si="32"/>
        <v>0.3326245976887125</v>
      </c>
      <c r="AU69" s="153">
        <f t="shared" si="32"/>
        <v>0.19581748931586521</v>
      </c>
      <c r="AV69" s="153">
        <f t="shared" si="32"/>
        <v>0.1248289062337694</v>
      </c>
      <c r="AW69" s="153">
        <f t="shared" si="32"/>
        <v>0.41258212446982262</v>
      </c>
      <c r="AX69" s="153">
        <f t="shared" si="32"/>
        <v>0.30057699921998948</v>
      </c>
      <c r="AY69" s="153">
        <f t="shared" si="32"/>
        <v>0.19439248640408044</v>
      </c>
      <c r="AZ69" s="153">
        <f t="shared" si="32"/>
        <v>0.13227597640630426</v>
      </c>
      <c r="BA69" s="153">
        <f t="shared" si="32"/>
        <v>0.38663511311229104</v>
      </c>
      <c r="BB69" s="153">
        <f t="shared" si="32"/>
        <v>0.28149194044733616</v>
      </c>
      <c r="BC69" s="153">
        <f t="shared" si="32"/>
        <v>0.19695663504335215</v>
      </c>
      <c r="BD69" s="153">
        <f t="shared" si="32"/>
        <v>0.13474866680503267</v>
      </c>
      <c r="BE69" s="153">
        <f t="shared" si="32"/>
        <v>0.36789455997347859</v>
      </c>
      <c r="BF69" s="153">
        <f t="shared" si="32"/>
        <v>0.26931248592516421</v>
      </c>
      <c r="BG69" s="153">
        <f t="shared" si="32"/>
        <v>0.18236265293375131</v>
      </c>
      <c r="BH69" s="153">
        <f t="shared" si="32"/>
        <v>0.13009102477342938</v>
      </c>
      <c r="BI69" s="153">
        <f t="shared" si="32"/>
        <v>0.41663826858003805</v>
      </c>
      <c r="BJ69" s="153">
        <f t="shared" si="32"/>
        <v>0.2706602247666291</v>
      </c>
      <c r="BK69" s="153">
        <f t="shared" si="32"/>
        <v>0.17784932543402879</v>
      </c>
      <c r="BL69" s="153">
        <f t="shared" si="32"/>
        <v>0.14587603722623518</v>
      </c>
      <c r="BM69" s="153">
        <f t="shared" si="32"/>
        <v>0.36560369522492037</v>
      </c>
      <c r="BN69" s="153">
        <f t="shared" si="32"/>
        <v>0.28910061184587765</v>
      </c>
      <c r="BO69" s="153">
        <f t="shared" si="32"/>
        <v>0.20786609524118904</v>
      </c>
      <c r="BP69" s="153">
        <f t="shared" si="32"/>
        <v>0.18589002206874861</v>
      </c>
      <c r="BQ69" s="153">
        <f t="shared" si="32"/>
        <v>0.52135889062477692</v>
      </c>
      <c r="BR69" s="153">
        <f t="shared" ref="BR69:CJ69" si="33">BR67/(BR68+BV68)*2</f>
        <v>0.50902170494122301</v>
      </c>
      <c r="BS69" s="153">
        <f t="shared" si="33"/>
        <v>0.76849827627324874</v>
      </c>
      <c r="BT69" s="153">
        <f t="shared" si="33"/>
        <v>0.60998063353246368</v>
      </c>
      <c r="BU69" s="153">
        <f t="shared" si="33"/>
        <v>0.48458253145575614</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3" customFormat="1" x14ac:dyDescent="0.25">
      <c r="A70" s="146" t="s">
        <v>478</v>
      </c>
      <c r="E70" s="83">
        <f>E62/E69</f>
        <v>1311.1917747523614</v>
      </c>
      <c r="F70" s="83">
        <f t="shared" ref="F70:BQ70" si="34">F62/F69</f>
        <v>1693.4299523413313</v>
      </c>
      <c r="G70" s="83">
        <f t="shared" si="34"/>
        <v>2855.7261773586074</v>
      </c>
      <c r="H70" s="83">
        <f t="shared" si="34"/>
        <v>6093.4174355238583</v>
      </c>
      <c r="I70" s="83">
        <f t="shared" si="34"/>
        <v>2067.6752049343913</v>
      </c>
      <c r="J70" s="83">
        <f t="shared" si="34"/>
        <v>2883.6959470277711</v>
      </c>
      <c r="K70" s="83">
        <f t="shared" si="34"/>
        <v>4295.79043677554</v>
      </c>
      <c r="L70" s="83">
        <f t="shared" si="34"/>
        <v>8148.5504641255984</v>
      </c>
      <c r="M70" s="83">
        <f t="shared" si="34"/>
        <v>2372.3040472831308</v>
      </c>
      <c r="N70" s="83">
        <f t="shared" si="34"/>
        <v>3116.7395645050301</v>
      </c>
      <c r="O70" s="83">
        <f t="shared" si="34"/>
        <v>4621.6350907439073</v>
      </c>
      <c r="P70" s="83">
        <f t="shared" si="34"/>
        <v>8913.1695904543303</v>
      </c>
      <c r="Q70" s="83">
        <f t="shared" si="34"/>
        <v>2092.9628409094057</v>
      </c>
      <c r="R70" s="83">
        <f t="shared" si="34"/>
        <v>2765.1662674326885</v>
      </c>
      <c r="S70" s="83">
        <f t="shared" si="34"/>
        <v>4357.5719126353661</v>
      </c>
      <c r="T70" s="83">
        <f t="shared" si="34"/>
        <v>8202.0056708278989</v>
      </c>
      <c r="U70" s="83">
        <f t="shared" si="34"/>
        <v>1788.6762523372443</v>
      </c>
      <c r="V70" s="83">
        <f t="shared" si="34"/>
        <v>2352.5257385040281</v>
      </c>
      <c r="W70" s="83">
        <f t="shared" si="34"/>
        <v>3544.6218391741681</v>
      </c>
      <c r="X70" s="83">
        <f t="shared" si="34"/>
        <v>6700.0805296591689</v>
      </c>
      <c r="Y70" s="83">
        <f t="shared" si="34"/>
        <v>1504.4927393208663</v>
      </c>
      <c r="Z70" s="83">
        <f t="shared" si="34"/>
        <v>1581.9596460278622</v>
      </c>
      <c r="AA70" s="83">
        <f t="shared" si="34"/>
        <v>2357.6984830343681</v>
      </c>
      <c r="AB70" s="83">
        <f t="shared" si="34"/>
        <v>5076.7607818207625</v>
      </c>
      <c r="AC70" s="83">
        <f t="shared" si="34"/>
        <v>1501.3382891060526</v>
      </c>
      <c r="AD70" s="83">
        <f t="shared" si="34"/>
        <v>1740.5499822432623</v>
      </c>
      <c r="AE70" s="83">
        <f t="shared" si="34"/>
        <v>2248.3243381820703</v>
      </c>
      <c r="AF70" s="83">
        <f t="shared" si="34"/>
        <v>4739.9043227607208</v>
      </c>
      <c r="AG70" s="83">
        <f t="shared" si="34"/>
        <v>1692.7623786693518</v>
      </c>
      <c r="AH70" s="83">
        <f t="shared" si="34"/>
        <v>1821.4007676276215</v>
      </c>
      <c r="AI70" s="83">
        <f t="shared" si="34"/>
        <v>2485.3866252188132</v>
      </c>
      <c r="AJ70" s="83">
        <f t="shared" si="34"/>
        <v>4679.4281430993587</v>
      </c>
      <c r="AK70" s="83">
        <f t="shared" si="34"/>
        <v>1402.6839978719076</v>
      </c>
      <c r="AL70" s="83">
        <f t="shared" si="34"/>
        <v>1471.7303661226683</v>
      </c>
      <c r="AM70" s="83">
        <f t="shared" si="34"/>
        <v>1956.6495640292385</v>
      </c>
      <c r="AN70" s="83">
        <f t="shared" si="34"/>
        <v>4072.5928731205654</v>
      </c>
      <c r="AO70" s="83">
        <f t="shared" si="34"/>
        <v>1236.7407921479262</v>
      </c>
      <c r="AP70" s="83">
        <f t="shared" si="34"/>
        <v>1391.5536485232105</v>
      </c>
      <c r="AQ70" s="83">
        <f t="shared" si="34"/>
        <v>1884.0157159668763</v>
      </c>
      <c r="AR70" s="83">
        <f t="shared" si="34"/>
        <v>3995.6826815651666</v>
      </c>
      <c r="AS70" s="83">
        <f t="shared" si="34"/>
        <v>896.02460579516003</v>
      </c>
      <c r="AT70" s="83">
        <f t="shared" si="34"/>
        <v>1097.3331573679529</v>
      </c>
      <c r="AU70" s="83">
        <f t="shared" si="34"/>
        <v>1863.9805937417234</v>
      </c>
      <c r="AV70" s="83">
        <f t="shared" si="34"/>
        <v>2924.0022284298298</v>
      </c>
      <c r="AW70" s="83">
        <f t="shared" si="34"/>
        <v>884.67235576197891</v>
      </c>
      <c r="AX70" s="83">
        <f t="shared" si="34"/>
        <v>1214.3311063294632</v>
      </c>
      <c r="AY70" s="83">
        <f t="shared" si="34"/>
        <v>1877.6445877711578</v>
      </c>
      <c r="AZ70" s="83">
        <f t="shared" si="34"/>
        <v>2759.3823906379735</v>
      </c>
      <c r="BA70" s="83">
        <f t="shared" si="34"/>
        <v>944.04255490885146</v>
      </c>
      <c r="BB70" s="83">
        <f t="shared" si="34"/>
        <v>1296.6623464243987</v>
      </c>
      <c r="BC70" s="83">
        <f t="shared" si="34"/>
        <v>1853.1998169021308</v>
      </c>
      <c r="BD70" s="83">
        <f t="shared" si="34"/>
        <v>2708.7466514835141</v>
      </c>
      <c r="BE70" s="83">
        <f t="shared" si="34"/>
        <v>992.13209357135577</v>
      </c>
      <c r="BF70" s="83">
        <f t="shared" si="34"/>
        <v>1355.302925321573</v>
      </c>
      <c r="BG70" s="83">
        <f t="shared" si="34"/>
        <v>2001.5063069552798</v>
      </c>
      <c r="BH70" s="83">
        <f t="shared" si="34"/>
        <v>2805.7277635847322</v>
      </c>
      <c r="BI70" s="83">
        <f t="shared" si="34"/>
        <v>876.05970820676521</v>
      </c>
      <c r="BJ70" s="83">
        <f t="shared" si="34"/>
        <v>1348.5542632454153</v>
      </c>
      <c r="BK70" s="83">
        <f t="shared" si="34"/>
        <v>2052.2990408270771</v>
      </c>
      <c r="BL70" s="83">
        <f t="shared" si="34"/>
        <v>2502.1244540248335</v>
      </c>
      <c r="BM70" s="83">
        <f t="shared" si="34"/>
        <v>998.34877154469416</v>
      </c>
      <c r="BN70" s="83">
        <f t="shared" si="34"/>
        <v>1262.5362418623488</v>
      </c>
      <c r="BO70" s="83">
        <f t="shared" si="34"/>
        <v>1755.9381176448567</v>
      </c>
      <c r="BP70" s="83">
        <f t="shared" si="34"/>
        <v>1963.5265838260555</v>
      </c>
      <c r="BQ70" s="83">
        <f t="shared" si="34"/>
        <v>700.09355659514642</v>
      </c>
      <c r="BR70" s="83">
        <f t="shared" ref="BR70:CJ70" si="35">BR62/BR69</f>
        <v>717.06176073994084</v>
      </c>
      <c r="BS70" s="83">
        <f t="shared" si="35"/>
        <v>474.95226894981334</v>
      </c>
      <c r="BT70" s="83">
        <f t="shared" si="35"/>
        <v>598.37965327890106</v>
      </c>
      <c r="BU70" s="83">
        <f t="shared" si="35"/>
        <v>753.22566602532515</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5" t="s">
        <v>479</v>
      </c>
      <c r="E71" s="76">
        <f>资产资本表!E35+资产资本表!E36-资产资本表!E24</f>
        <v>201248588.39999998</v>
      </c>
      <c r="F71" s="76">
        <f>资产资本表!F35+资产资本表!F36-资产资本表!F24</f>
        <v>286615986.0200001</v>
      </c>
      <c r="G71" s="76">
        <f>资产资本表!G35+资产资本表!G36-资产资本表!G24</f>
        <v>79852920.75999999</v>
      </c>
      <c r="H71" s="76">
        <f>资产资本表!H35+资产资本表!H36-资产资本表!H24</f>
        <v>200617800.49000001</v>
      </c>
      <c r="I71" s="76">
        <f>资产资本表!I35+资产资本表!I36-资产资本表!I24</f>
        <v>-5492493.7400000095</v>
      </c>
      <c r="J71" s="76">
        <f>资产资本表!J35+资产资本表!J36-资产资本表!J24</f>
        <v>-1126358634.6500001</v>
      </c>
      <c r="K71" s="76">
        <f>资产资本表!K35+资产资本表!K36-资产资本表!K24</f>
        <v>-994178253.06999993</v>
      </c>
      <c r="L71" s="76">
        <f>资产资本表!L35+资产资本表!L36-资产资本表!L24</f>
        <v>-996159454.95999992</v>
      </c>
      <c r="M71" s="76">
        <f>资产资本表!M35+资产资本表!M36-资产资本表!M24</f>
        <v>-596758787.81000006</v>
      </c>
      <c r="N71" s="76">
        <f>资产资本表!N35+资产资本表!N36-资产资本表!N24</f>
        <v>-1571629997.1600001</v>
      </c>
      <c r="O71" s="76">
        <f>资产资本表!O35+资产资本表!O36-资产资本表!O24</f>
        <v>-1992340625.5500002</v>
      </c>
      <c r="P71" s="76">
        <f>资产资本表!P35+资产资本表!P36-资产资本表!P24</f>
        <v>-3118872510.1299996</v>
      </c>
      <c r="Q71" s="76">
        <f>资产资本表!Q35+资产资本表!Q36-资产资本表!Q24</f>
        <v>-2156675756.7400002</v>
      </c>
      <c r="R71" s="76">
        <f>资产资本表!R35+资产资本表!R36-资产资本表!R24</f>
        <v>-4143501916.7199998</v>
      </c>
      <c r="S71" s="76">
        <f>资产资本表!S35+资产资本表!S36-资产资本表!S24</f>
        <v>-3564191010.46</v>
      </c>
      <c r="T71" s="76">
        <f>资产资本表!T35+资产资本表!T36-资产资本表!T24</f>
        <v>-3702505343.98</v>
      </c>
      <c r="U71" s="76">
        <f>资产资本表!U35+资产资本表!U36-资产资本表!U24</f>
        <v>-4019831010.7900004</v>
      </c>
      <c r="V71" s="76">
        <f>资产资本表!V35+资产资本表!V36-资产资本表!V24</f>
        <v>-6219155029.71</v>
      </c>
      <c r="W71" s="76">
        <f>资产资本表!W35+资产资本表!W36-资产资本表!W24</f>
        <v>-5405976612</v>
      </c>
      <c r="X71" s="76">
        <f>资产资本表!X35+资产资本表!X36-资产资本表!X24</f>
        <v>-4454233425.9200001</v>
      </c>
      <c r="Y71" s="76">
        <f>资产资本表!Y35+资产资本表!Y36-资产资本表!Y24</f>
        <v>-3527589430.21</v>
      </c>
      <c r="Z71" s="76">
        <f>资产资本表!Z35+资产资本表!Z36-资产资本表!Z24</f>
        <v>-3775232243.96</v>
      </c>
      <c r="AA71" s="76">
        <f>资产资本表!AA35+资产资本表!AA36-资产资本表!AA24</f>
        <v>-2832705811.1300001</v>
      </c>
      <c r="AB71" s="76">
        <f>资产资本表!AB35+资产资本表!AB36-资产资本表!AB24</f>
        <v>-2098491056.99</v>
      </c>
      <c r="AC71" s="76">
        <f>资产资本表!AC35+资产资本表!AC36-资产资本表!AC24</f>
        <v>-1688683838.97</v>
      </c>
      <c r="AD71" s="76">
        <f>资产资本表!AD35+资产资本表!AD36-资产资本表!AD24</f>
        <v>-1654807427.4400001</v>
      </c>
      <c r="AE71" s="76">
        <f>资产资本表!AE35+资产资本表!AE36-资产资本表!AE24</f>
        <v>-1757834353.05</v>
      </c>
      <c r="AF71" s="76">
        <f>资产资本表!AF35+资产资本表!AF36-资产资本表!AF24</f>
        <v>-1503578109.5799999</v>
      </c>
      <c r="AG71" s="76">
        <f>资产资本表!AG35+资产资本表!AG36-资产资本表!AG24</f>
        <v>-1297855733.24</v>
      </c>
      <c r="AH71" s="76">
        <f>资产资本表!AH35+资产资本表!AH36-资产资本表!AH24</f>
        <v>-1554908677.5599999</v>
      </c>
      <c r="AI71" s="76">
        <f>资产资本表!AI35+资产资本表!AI36-资产资本表!AI24</f>
        <v>-1405613336.01</v>
      </c>
      <c r="AJ71" s="76">
        <f>资产资本表!AJ35+资产资本表!AJ36-资产资本表!AJ24</f>
        <v>-1381156525.4000001</v>
      </c>
      <c r="AK71" s="76">
        <f>资产资本表!AK35+资产资本表!AK36-资产资本表!AK24</f>
        <v>-1064004734.71</v>
      </c>
      <c r="AL71" s="76">
        <f>资产资本表!AL35+资产资本表!AL36-资产资本表!AL24</f>
        <v>-1051693704.73</v>
      </c>
      <c r="AM71" s="76">
        <f>资产资本表!AM35+资产资本表!AM36-资产资本表!AM24</f>
        <v>-836806342.60000002</v>
      </c>
      <c r="AN71" s="76">
        <f>资产资本表!AN35+资产资本表!AN36-资产资本表!AN24</f>
        <v>-658900543.96000004</v>
      </c>
      <c r="AO71" s="76">
        <f>资产资本表!AO35+资产资本表!AO36-资产资本表!AO24</f>
        <v>-620349462.76999998</v>
      </c>
      <c r="AP71" s="76">
        <f>资产资本表!AP35+资产资本表!AP36-资产资本表!AP24</f>
        <v>91957585.069999993</v>
      </c>
      <c r="AQ71" s="76">
        <f>资产资本表!AQ35+资产资本表!AQ36-资产资本表!AQ24</f>
        <v>67435176.670000002</v>
      </c>
      <c r="AR71" s="76">
        <f>资产资本表!AR35+资产资本表!AR36-资产资本表!AR24</f>
        <v>65644928.980000004</v>
      </c>
      <c r="AS71" s="76">
        <f>资产资本表!AS35+资产资本表!AS36-资产资本表!AS24</f>
        <v>52856339.880000003</v>
      </c>
      <c r="AT71" s="76">
        <f>资产资本表!AT35+资产资本表!AT36-资产资本表!AT24</f>
        <v>54101164.050000004</v>
      </c>
      <c r="AU71" s="76">
        <f>资产资本表!AU35+资产资本表!AU36-资产资本表!AU24</f>
        <v>69251645.530000001</v>
      </c>
      <c r="AV71" s="76">
        <f>资产资本表!AV35+资产资本表!AV36-资产资本表!AV24</f>
        <v>56885323.799999997</v>
      </c>
      <c r="AW71" s="76">
        <f>资产资本表!AW35+资产资本表!AW36-资产资本表!AW24</f>
        <v>36571539.700000003</v>
      </c>
      <c r="AX71" s="76">
        <f>资产资本表!AX35+资产资本表!AX36-资产资本表!AX24</f>
        <v>45270567.790000007</v>
      </c>
      <c r="AY71" s="76">
        <f>资产资本表!AY35+资产资本表!AY36-资产资本表!AY24</f>
        <v>5893093.1400000006</v>
      </c>
      <c r="AZ71" s="76">
        <f>资产资本表!AZ35+资产资本表!AZ36-资产资本表!AZ24</f>
        <v>38999264.43</v>
      </c>
      <c r="BA71" s="76">
        <f>资产资本表!BA35+资产资本表!BA36-资产资本表!BA24</f>
        <v>17943262.609999999</v>
      </c>
      <c r="BB71" s="76">
        <f>资产资本表!BB35+资产资本表!BB36-资产资本表!BB24</f>
        <v>12499027.43</v>
      </c>
      <c r="BC71" s="76">
        <f>资产资本表!BC35+资产资本表!BC36-资产资本表!BC24</f>
        <v>-8353606.0099999998</v>
      </c>
      <c r="BD71" s="76">
        <f>资产资本表!BD35+资产资本表!BD36-资产资本表!BD24</f>
        <v>29395921.440000001</v>
      </c>
      <c r="BE71" s="76">
        <f>资产资本表!BE35+资产资本表!BE36-资产资本表!BE24</f>
        <v>31038185.399999999</v>
      </c>
      <c r="BF71" s="76">
        <f>资产资本表!BF35+资产资本表!BF36-资产资本表!BF24</f>
        <v>22345501.649999999</v>
      </c>
      <c r="BG71" s="76">
        <f>资产资本表!BG35+资产资本表!BG36-资产资本表!BG24</f>
        <v>16513177.760000002</v>
      </c>
      <c r="BH71" s="76">
        <f>资产资本表!BH35+资产资本表!BH36-资产资本表!BH24</f>
        <v>6593173.8499999996</v>
      </c>
      <c r="BI71" s="76">
        <f>资产资本表!BI35+资产资本表!BI36-资产资本表!BI24</f>
        <v>33827915.219999999</v>
      </c>
      <c r="BJ71" s="76">
        <f>资产资本表!BJ35+资产资本表!BJ36-资产资本表!BJ24</f>
        <v>39670857.75</v>
      </c>
      <c r="BK71" s="76">
        <f>资产资本表!BK35+资产资本表!BK36-资产资本表!BK24</f>
        <v>27253391.379999999</v>
      </c>
      <c r="BL71" s="76">
        <f>资产资本表!BL35+资产资本表!BL36-资产资本表!BL24</f>
        <v>61559906.439999998</v>
      </c>
      <c r="BM71" s="76">
        <f>资产资本表!BM35+资产资本表!BM36-资产资本表!BM24</f>
        <v>18088627.149999999</v>
      </c>
      <c r="BN71" s="76">
        <f>资产资本表!BN35+资产资本表!BN36-资产资本表!BN24</f>
        <v>41699595.340000004</v>
      </c>
      <c r="BO71" s="76">
        <f>资产资本表!BO35+资产资本表!BO36-资产资本表!BO24</f>
        <v>18239444.390000001</v>
      </c>
      <c r="BP71" s="76">
        <f>资产资本表!BP35+资产资本表!BP36-资产资本表!BP24</f>
        <v>17563035.990000002</v>
      </c>
      <c r="BQ71" s="76">
        <f>资产资本表!BQ35+资产资本表!BQ36-资产资本表!BQ24</f>
        <v>7073219.6399999987</v>
      </c>
      <c r="BR71" s="76">
        <f>资产资本表!BR35+资产资本表!BR36-资产资本表!BR24</f>
        <v>29546343.32</v>
      </c>
      <c r="BS71" s="76">
        <f>资产资本表!BS35+资产资本表!BS36-资产资本表!BS24</f>
        <v>14602796.970000003</v>
      </c>
      <c r="BT71" s="76">
        <f>资产资本表!BT35+资产资本表!BT36-资产资本表!BT24</f>
        <v>22174343.710000001</v>
      </c>
      <c r="BU71" s="76">
        <f>资产资本表!BU35+资产资本表!BU36-资产资本表!BU24</f>
        <v>15110008.26</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3" customFormat="1" x14ac:dyDescent="0.25">
      <c r="A72" s="152" t="s">
        <v>480</v>
      </c>
      <c r="E72" s="153">
        <f>E67/(E71+I71)*2</f>
        <v>60.692223987076154</v>
      </c>
      <c r="F72" s="153">
        <f t="shared" ref="F72:BQ72" si="36">F67/(F71+J71)*2</f>
        <v>-10.177971335555984</v>
      </c>
      <c r="G72" s="153">
        <f t="shared" si="36"/>
        <v>-5.4930741305515385</v>
      </c>
      <c r="H72" s="153">
        <f t="shared" si="36"/>
        <v>-2.958984408815478</v>
      </c>
      <c r="I72" s="153">
        <f t="shared" si="36"/>
        <v>-11.324522472392236</v>
      </c>
      <c r="J72" s="153">
        <f t="shared" si="36"/>
        <v>-1.6496723941546383</v>
      </c>
      <c r="K72" s="153">
        <f t="shared" si="36"/>
        <v>-0.98804512491262153</v>
      </c>
      <c r="L72" s="153">
        <f t="shared" si="36"/>
        <v>-0.3718085391607735</v>
      </c>
      <c r="M72" s="153">
        <f t="shared" si="36"/>
        <v>-1.8437608797232883</v>
      </c>
      <c r="N72" s="153">
        <f t="shared" si="36"/>
        <v>-0.61137615493600406</v>
      </c>
      <c r="O72" s="153">
        <f t="shared" si="36"/>
        <v>-0.41964235343297224</v>
      </c>
      <c r="P72" s="153">
        <f t="shared" si="36"/>
        <v>-0.16999408533590091</v>
      </c>
      <c r="Q72" s="153">
        <f t="shared" si="36"/>
        <v>-0.75724049866626852</v>
      </c>
      <c r="R72" s="153">
        <f t="shared" si="36"/>
        <v>-0.30750942232607714</v>
      </c>
      <c r="S72" s="153">
        <f t="shared" si="36"/>
        <v>-0.22018390801913998</v>
      </c>
      <c r="T72" s="153">
        <f t="shared" si="36"/>
        <v>-0.12429849642131298</v>
      </c>
      <c r="U72" s="153">
        <f t="shared" si="36"/>
        <v>-0.58136957524505284</v>
      </c>
      <c r="V72" s="153">
        <f t="shared" si="36"/>
        <v>-0.28833482720965353</v>
      </c>
      <c r="W72" s="153">
        <f t="shared" si="36"/>
        <v>-0.22638733455772744</v>
      </c>
      <c r="X72" s="153">
        <f t="shared" si="36"/>
        <v>-0.14684616662727099</v>
      </c>
      <c r="Y72" s="153">
        <f t="shared" si="36"/>
        <v>-0.78381877760839225</v>
      </c>
      <c r="Z72" s="153">
        <f t="shared" si="36"/>
        <v>-0.59994996001936585</v>
      </c>
      <c r="AA72" s="153">
        <f t="shared" si="36"/>
        <v>-0.46166477411020868</v>
      </c>
      <c r="AB72" s="153">
        <f t="shared" si="36"/>
        <v>-0.2676547322599182</v>
      </c>
      <c r="AC72" s="153">
        <f t="shared" si="36"/>
        <v>-1.0388169575882145</v>
      </c>
      <c r="AD72" s="153">
        <f t="shared" si="36"/>
        <v>-0.72021766278921417</v>
      </c>
      <c r="AE72" s="153">
        <f t="shared" si="36"/>
        <v>-0.53427306673821329</v>
      </c>
      <c r="AF72" s="153">
        <f t="shared" si="36"/>
        <v>-0.2718191796402224</v>
      </c>
      <c r="AG72" s="153">
        <f t="shared" si="36"/>
        <v>-0.8916120201833112</v>
      </c>
      <c r="AH72" s="153">
        <f t="shared" si="36"/>
        <v>-0.63016526272676909</v>
      </c>
      <c r="AI72" s="153">
        <f t="shared" si="36"/>
        <v>-0.50765718474502652</v>
      </c>
      <c r="AJ72" s="153">
        <f t="shared" si="36"/>
        <v>-0.2895868129538825</v>
      </c>
      <c r="AK72" s="153">
        <f t="shared" si="36"/>
        <v>-1.1288277212623365</v>
      </c>
      <c r="AL72" s="153">
        <f t="shared" si="36"/>
        <v>-1.5487747853093028</v>
      </c>
      <c r="AM72" s="153">
        <f t="shared" si="36"/>
        <v>-1.3819602289809976</v>
      </c>
      <c r="AN72" s="153">
        <f t="shared" si="36"/>
        <v>-0.84768969250624582</v>
      </c>
      <c r="AO72" s="153">
        <f t="shared" si="36"/>
        <v>-2.8184070854194734</v>
      </c>
      <c r="AP72" s="153">
        <f t="shared" si="36"/>
        <v>8.4204485942129086</v>
      </c>
      <c r="AQ72" s="153">
        <f t="shared" si="36"/>
        <v>6.4681395481297539</v>
      </c>
      <c r="AR72" s="153">
        <f t="shared" si="36"/>
        <v>3.2777327643410743</v>
      </c>
      <c r="AS72" s="153">
        <f t="shared" si="36"/>
        <v>19.493776938996945</v>
      </c>
      <c r="AT72" s="153">
        <f t="shared" si="36"/>
        <v>13.336518677905735</v>
      </c>
      <c r="AU72" s="153">
        <f t="shared" si="36"/>
        <v>10.359122120824857</v>
      </c>
      <c r="AV72" s="153">
        <f t="shared" si="36"/>
        <v>4.9581476756162948</v>
      </c>
      <c r="AW72" s="153">
        <f t="shared" si="36"/>
        <v>29.02623900169106</v>
      </c>
      <c r="AX72" s="153">
        <f t="shared" si="36"/>
        <v>18.563308474917854</v>
      </c>
      <c r="AY72" s="153">
        <f t="shared" si="36"/>
        <v>-278.3705879498205</v>
      </c>
      <c r="AZ72" s="153">
        <f t="shared" si="36"/>
        <v>6.6540526800384283</v>
      </c>
      <c r="BA72" s="153">
        <f t="shared" si="36"/>
        <v>28.055798454129857</v>
      </c>
      <c r="BB72" s="153">
        <f t="shared" si="36"/>
        <v>25.857518627713365</v>
      </c>
      <c r="BC72" s="153">
        <f t="shared" si="36"/>
        <v>72.094193938548301</v>
      </c>
      <c r="BD72" s="153">
        <f t="shared" si="36"/>
        <v>10.931924012252658</v>
      </c>
      <c r="BE72" s="153">
        <f t="shared" si="36"/>
        <v>16.497253383072252</v>
      </c>
      <c r="BF72" s="153">
        <f t="shared" si="36"/>
        <v>11.865721856933124</v>
      </c>
      <c r="BG72" s="153">
        <f t="shared" si="36"/>
        <v>10.507628413114404</v>
      </c>
      <c r="BH72" s="153">
        <f t="shared" si="36"/>
        <v>4.4383545866581118</v>
      </c>
      <c r="BI72" s="153">
        <f t="shared" si="36"/>
        <v>18.390597989278231</v>
      </c>
      <c r="BJ72" s="153">
        <f t="shared" si="36"/>
        <v>7.4408657241999387</v>
      </c>
      <c r="BK72" s="153">
        <f t="shared" si="36"/>
        <v>8.6580150679404451</v>
      </c>
      <c r="BL72" s="153">
        <f t="shared" si="36"/>
        <v>3.4397331284890131</v>
      </c>
      <c r="BM72" s="153">
        <f t="shared" si="36"/>
        <v>27.069272588158864</v>
      </c>
      <c r="BN72" s="153">
        <f t="shared" si="36"/>
        <v>6.4788465131017201</v>
      </c>
      <c r="BO72" s="153">
        <f t="shared" si="36"/>
        <v>9.6441981894015285</v>
      </c>
      <c r="BP72" s="153">
        <f t="shared" si="36"/>
        <v>5.8157760195748383</v>
      </c>
      <c r="BQ72" s="153">
        <f t="shared" si="36"/>
        <v>25.923952042164256</v>
      </c>
      <c r="BR72" s="153">
        <f t="shared" ref="BR72:CJ72" si="37">BR67/(BR71+BV71)*2</f>
        <v>9.9154851931098449</v>
      </c>
      <c r="BS72" s="153">
        <f t="shared" si="37"/>
        <v>26.962429785805611</v>
      </c>
      <c r="BT72" s="153">
        <f t="shared" si="37"/>
        <v>11.647085294503174</v>
      </c>
      <c r="BU72" s="153">
        <f t="shared" si="37"/>
        <v>10.15556956154834</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3" customFormat="1" x14ac:dyDescent="0.25">
      <c r="A73" s="146" t="s">
        <v>481</v>
      </c>
      <c r="E73" s="83">
        <f>E62/E72</f>
        <v>6.0139499926337079</v>
      </c>
      <c r="F73" s="83">
        <f t="shared" ref="F73:BQ73" si="38">F62/F72</f>
        <v>-35.86176340710449</v>
      </c>
      <c r="G73" s="83">
        <f t="shared" si="38"/>
        <v>-66.447310071774282</v>
      </c>
      <c r="H73" s="83">
        <f t="shared" si="38"/>
        <v>-123.35313390384322</v>
      </c>
      <c r="I73" s="83">
        <f t="shared" si="38"/>
        <v>-32.230939617085326</v>
      </c>
      <c r="J73" s="83">
        <f t="shared" si="38"/>
        <v>-221.25605137924455</v>
      </c>
      <c r="K73" s="83">
        <f t="shared" si="38"/>
        <v>-369.41632603296233</v>
      </c>
      <c r="L73" s="83">
        <f t="shared" si="38"/>
        <v>-981.68805058608564</v>
      </c>
      <c r="M73" s="83">
        <f t="shared" si="38"/>
        <v>-197.96493353019792</v>
      </c>
      <c r="N73" s="83">
        <f t="shared" si="38"/>
        <v>-597.013797566584</v>
      </c>
      <c r="O73" s="83">
        <f t="shared" si="38"/>
        <v>-869.7882780754635</v>
      </c>
      <c r="P73" s="83">
        <f t="shared" si="38"/>
        <v>-2147.1335269034562</v>
      </c>
      <c r="Q73" s="83">
        <f t="shared" si="38"/>
        <v>-482.01331101925518</v>
      </c>
      <c r="R73" s="83">
        <f t="shared" si="38"/>
        <v>-1186.9554995715253</v>
      </c>
      <c r="S73" s="83">
        <f t="shared" si="38"/>
        <v>-1657.7051578550036</v>
      </c>
      <c r="T73" s="83">
        <f t="shared" si="38"/>
        <v>-2936.4796076279395</v>
      </c>
      <c r="U73" s="83">
        <f t="shared" si="38"/>
        <v>-627.82783197099536</v>
      </c>
      <c r="V73" s="83">
        <f t="shared" si="38"/>
        <v>-1265.8893950906659</v>
      </c>
      <c r="W73" s="83">
        <f t="shared" si="38"/>
        <v>-1612.2810081803721</v>
      </c>
      <c r="X73" s="83">
        <f t="shared" si="38"/>
        <v>-2485.5943357816968</v>
      </c>
      <c r="Y73" s="83">
        <f t="shared" si="38"/>
        <v>-465.66886431797064</v>
      </c>
      <c r="Z73" s="83">
        <f t="shared" si="38"/>
        <v>-608.38407254534718</v>
      </c>
      <c r="AA73" s="83">
        <f t="shared" si="38"/>
        <v>-790.61695946692942</v>
      </c>
      <c r="AB73" s="83">
        <f t="shared" si="38"/>
        <v>-1363.6971665628923</v>
      </c>
      <c r="AC73" s="83">
        <f t="shared" si="38"/>
        <v>-351.36122618503254</v>
      </c>
      <c r="AD73" s="83">
        <f t="shared" si="38"/>
        <v>-506.79123667482787</v>
      </c>
      <c r="AE73" s="83">
        <f t="shared" si="38"/>
        <v>-683.17125216204306</v>
      </c>
      <c r="AF73" s="83">
        <f t="shared" si="38"/>
        <v>-1342.8044352245893</v>
      </c>
      <c r="AG73" s="83">
        <f t="shared" si="38"/>
        <v>-409.37088300464785</v>
      </c>
      <c r="AH73" s="83">
        <f t="shared" si="38"/>
        <v>-579.21313913848485</v>
      </c>
      <c r="AI73" s="83">
        <f t="shared" si="38"/>
        <v>-718.98913473138998</v>
      </c>
      <c r="AJ73" s="83">
        <f t="shared" si="38"/>
        <v>-1260.4165095671233</v>
      </c>
      <c r="AK73" s="83">
        <f t="shared" si="38"/>
        <v>-323.34429171515268</v>
      </c>
      <c r="AL73" s="83">
        <f t="shared" si="38"/>
        <v>-235.67015905873401</v>
      </c>
      <c r="AM73" s="83">
        <f t="shared" si="38"/>
        <v>-264.11758627029121</v>
      </c>
      <c r="AN73" s="83">
        <f t="shared" si="38"/>
        <v>-430.58209062428898</v>
      </c>
      <c r="AO73" s="83">
        <f t="shared" si="38"/>
        <v>-129.50577717756332</v>
      </c>
      <c r="AP73" s="83">
        <f t="shared" si="38"/>
        <v>43.346859245818834</v>
      </c>
      <c r="AQ73" s="83">
        <f t="shared" si="38"/>
        <v>56.43044607866242</v>
      </c>
      <c r="AR73" s="83">
        <f t="shared" si="38"/>
        <v>111.35746146570808</v>
      </c>
      <c r="AS73" s="83">
        <f t="shared" si="38"/>
        <v>18.72392410881773</v>
      </c>
      <c r="AT73" s="83">
        <f t="shared" si="38"/>
        <v>27.36846165144177</v>
      </c>
      <c r="AU73" s="83">
        <f t="shared" si="38"/>
        <v>35.234645922963253</v>
      </c>
      <c r="AV73" s="83">
        <f t="shared" si="38"/>
        <v>73.616201831792097</v>
      </c>
      <c r="AW73" s="83">
        <f t="shared" si="38"/>
        <v>12.574829277011576</v>
      </c>
      <c r="AX73" s="83">
        <f t="shared" si="38"/>
        <v>19.662443281227389</v>
      </c>
      <c r="AY73" s="83">
        <f t="shared" si="38"/>
        <v>-1.3112017425698559</v>
      </c>
      <c r="AZ73" s="83">
        <f t="shared" si="38"/>
        <v>54.853788743658107</v>
      </c>
      <c r="BA73" s="83">
        <f t="shared" si="38"/>
        <v>13.009788354331132</v>
      </c>
      <c r="BB73" s="83">
        <f t="shared" si="38"/>
        <v>14.115816960441178</v>
      </c>
      <c r="BC73" s="83">
        <f t="shared" si="38"/>
        <v>5.0628210131750544</v>
      </c>
      <c r="BD73" s="83">
        <f t="shared" si="38"/>
        <v>33.388450156706426</v>
      </c>
      <c r="BE73" s="83">
        <f t="shared" si="38"/>
        <v>22.124895067352522</v>
      </c>
      <c r="BF73" s="83">
        <f t="shared" si="38"/>
        <v>30.760876110266398</v>
      </c>
      <c r="BG73" s="83">
        <f t="shared" si="38"/>
        <v>34.736668032954924</v>
      </c>
      <c r="BH73" s="83">
        <f t="shared" si="38"/>
        <v>82.237683554442896</v>
      </c>
      <c r="BI73" s="83">
        <f t="shared" si="38"/>
        <v>19.84709796890759</v>
      </c>
      <c r="BJ73" s="83">
        <f t="shared" si="38"/>
        <v>49.053431889371417</v>
      </c>
      <c r="BK73" s="83">
        <f t="shared" si="38"/>
        <v>42.157468788839338</v>
      </c>
      <c r="BL73" s="83">
        <f t="shared" si="38"/>
        <v>106.11288328648193</v>
      </c>
      <c r="BM73" s="83">
        <f t="shared" si="38"/>
        <v>13.483923471207904</v>
      </c>
      <c r="BN73" s="83">
        <f t="shared" si="38"/>
        <v>56.337188921189274</v>
      </c>
      <c r="BO73" s="83">
        <f t="shared" si="38"/>
        <v>37.846588470269722</v>
      </c>
      <c r="BP73" s="83">
        <f t="shared" si="38"/>
        <v>62.760326183724537</v>
      </c>
      <c r="BQ73" s="83">
        <f t="shared" si="38"/>
        <v>14.079643389493327</v>
      </c>
      <c r="BR73" s="83">
        <f t="shared" ref="BR73:CJ73" si="39">BR62/BR72</f>
        <v>36.811108371543355</v>
      </c>
      <c r="BS73" s="83">
        <f t="shared" si="39"/>
        <v>13.537355605545406</v>
      </c>
      <c r="BT73" s="83">
        <f t="shared" si="39"/>
        <v>31.338312613908755</v>
      </c>
      <c r="BU73" s="83">
        <f t="shared" si="39"/>
        <v>35.940869469496434</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4" customFormat="1" x14ac:dyDescent="0.25">
      <c r="A74" s="253" t="s">
        <v>482</v>
      </c>
      <c r="E74" s="254">
        <f>E66+E70</f>
        <v>1217.365222494564</v>
      </c>
      <c r="F74" s="254">
        <f t="shared" ref="F74:BQ74" si="40">F66+F70</f>
        <v>1556.3374320210955</v>
      </c>
      <c r="G74" s="254">
        <f t="shared" si="40"/>
        <v>2697.2831163160422</v>
      </c>
      <c r="H74" s="254">
        <f t="shared" si="40"/>
        <v>5796.1630136473523</v>
      </c>
      <c r="I74" s="254">
        <f t="shared" si="40"/>
        <v>1990.6319026629126</v>
      </c>
      <c r="J74" s="254">
        <f t="shared" si="40"/>
        <v>2790.7944849657065</v>
      </c>
      <c r="K74" s="254">
        <f t="shared" si="40"/>
        <v>4262.6487896040162</v>
      </c>
      <c r="L74" s="254">
        <f t="shared" si="40"/>
        <v>8078.2285693826652</v>
      </c>
      <c r="M74" s="254">
        <f t="shared" si="40"/>
        <v>2376.1792644918291</v>
      </c>
      <c r="N74" s="254">
        <f t="shared" si="40"/>
        <v>3140.292359107083</v>
      </c>
      <c r="O74" s="254">
        <f t="shared" si="40"/>
        <v>4637.5563754706618</v>
      </c>
      <c r="P74" s="254">
        <f t="shared" si="40"/>
        <v>8885.1087429950567</v>
      </c>
      <c r="Q74" s="254">
        <f t="shared" si="40"/>
        <v>2079.2513764705254</v>
      </c>
      <c r="R74" s="254">
        <f t="shared" si="40"/>
        <v>2753.005530642643</v>
      </c>
      <c r="S74" s="254">
        <f t="shared" si="40"/>
        <v>4345.8864669736186</v>
      </c>
      <c r="T74" s="254">
        <f t="shared" si="40"/>
        <v>8100.9436665037683</v>
      </c>
      <c r="U74" s="254">
        <f t="shared" si="40"/>
        <v>1743.7173442362839</v>
      </c>
      <c r="V74" s="254">
        <f t="shared" si="40"/>
        <v>2309.7457046934983</v>
      </c>
      <c r="W74" s="254">
        <f t="shared" si="40"/>
        <v>3486.5381008357131</v>
      </c>
      <c r="X74" s="254">
        <f t="shared" si="40"/>
        <v>6487.8667796420323</v>
      </c>
      <c r="Y74" s="254">
        <f t="shared" si="40"/>
        <v>1424.182643336266</v>
      </c>
      <c r="Z74" s="254">
        <f t="shared" si="40"/>
        <v>1491.1654811773321</v>
      </c>
      <c r="AA74" s="254">
        <f t="shared" si="40"/>
        <v>2240.2308619950823</v>
      </c>
      <c r="AB74" s="254">
        <f t="shared" si="40"/>
        <v>4721.6840973305498</v>
      </c>
      <c r="AC74" s="254">
        <f t="shared" si="40"/>
        <v>1389.2259583562904</v>
      </c>
      <c r="AD74" s="254">
        <f t="shared" si="40"/>
        <v>1613.7039832031958</v>
      </c>
      <c r="AE74" s="254">
        <f t="shared" si="40"/>
        <v>2128.0549120127348</v>
      </c>
      <c r="AF74" s="254">
        <f t="shared" si="40"/>
        <v>4355.2682611557957</v>
      </c>
      <c r="AG74" s="254">
        <f t="shared" si="40"/>
        <v>1572.801600034855</v>
      </c>
      <c r="AH74" s="254">
        <f t="shared" si="40"/>
        <v>1744.3657434351762</v>
      </c>
      <c r="AI74" s="254">
        <f t="shared" si="40"/>
        <v>2423.9294211485235</v>
      </c>
      <c r="AJ74" s="254">
        <f t="shared" si="40"/>
        <v>4418.9122797811342</v>
      </c>
      <c r="AK74" s="254">
        <f t="shared" si="40"/>
        <v>1292.3704570547941</v>
      </c>
      <c r="AL74" s="254">
        <f t="shared" si="40"/>
        <v>1430.2891312314262</v>
      </c>
      <c r="AM74" s="254">
        <f t="shared" si="40"/>
        <v>1936.5509023419922</v>
      </c>
      <c r="AN74" s="254">
        <f t="shared" si="40"/>
        <v>3872.828145007084</v>
      </c>
      <c r="AO74" s="254">
        <f t="shared" si="40"/>
        <v>1154.6178960858342</v>
      </c>
      <c r="AP74" s="254">
        <f t="shared" si="40"/>
        <v>1312.5313604060134</v>
      </c>
      <c r="AQ74" s="254">
        <f t="shared" si="40"/>
        <v>1791.1987559413176</v>
      </c>
      <c r="AR74" s="254">
        <f t="shared" si="40"/>
        <v>3709.2278493526628</v>
      </c>
      <c r="AS74" s="254">
        <f t="shared" si="40"/>
        <v>823.88423934068805</v>
      </c>
      <c r="AT74" s="254">
        <f t="shared" si="40"/>
        <v>930.53867956775912</v>
      </c>
      <c r="AU74" s="254">
        <f t="shared" si="40"/>
        <v>1590.0437493970512</v>
      </c>
      <c r="AV74" s="254">
        <f t="shared" si="40"/>
        <v>2538.4347242928889</v>
      </c>
      <c r="AW74" s="254">
        <f t="shared" si="40"/>
        <v>764.54251619028219</v>
      </c>
      <c r="AX74" s="254">
        <f t="shared" si="40"/>
        <v>1028.2308710305726</v>
      </c>
      <c r="AY74" s="254">
        <f t="shared" si="40"/>
        <v>1630.7082844690071</v>
      </c>
      <c r="AZ74" s="254">
        <f t="shared" si="40"/>
        <v>2465.4666970945173</v>
      </c>
      <c r="BA74" s="254">
        <f t="shared" si="40"/>
        <v>840.49603844564319</v>
      </c>
      <c r="BB74" s="254">
        <f t="shared" si="40"/>
        <v>1153.8860256253818</v>
      </c>
      <c r="BC74" s="254">
        <f t="shared" si="40"/>
        <v>1680.5934646489204</v>
      </c>
      <c r="BD74" s="254">
        <f t="shared" si="40"/>
        <v>2501.5073601422459</v>
      </c>
      <c r="BE74" s="254">
        <f t="shared" si="40"/>
        <v>897.44487656155741</v>
      </c>
      <c r="BF74" s="254">
        <f t="shared" si="40"/>
        <v>1231.186276688054</v>
      </c>
      <c r="BG74" s="254">
        <f t="shared" si="40"/>
        <v>1869.6795213516943</v>
      </c>
      <c r="BH74" s="254">
        <f t="shared" si="40"/>
        <v>2681.6657364213506</v>
      </c>
      <c r="BI74" s="254">
        <f t="shared" si="40"/>
        <v>796.69779489603422</v>
      </c>
      <c r="BJ74" s="254">
        <f t="shared" si="40"/>
        <v>1244.8258987764552</v>
      </c>
      <c r="BK74" s="254">
        <f t="shared" si="40"/>
        <v>1962.9413038652835</v>
      </c>
      <c r="BL74" s="254">
        <f t="shared" si="40"/>
        <v>2457.0435650566092</v>
      </c>
      <c r="BM74" s="254">
        <f t="shared" si="40"/>
        <v>936.63640431857425</v>
      </c>
      <c r="BN74" s="254">
        <f t="shared" si="40"/>
        <v>1232.071168042268</v>
      </c>
      <c r="BO74" s="254">
        <f t="shared" si="40"/>
        <v>1664.8511578333396</v>
      </c>
      <c r="BP74" s="254">
        <f t="shared" si="40"/>
        <v>1938.8861246730633</v>
      </c>
      <c r="BQ74" s="254">
        <f t="shared" si="40"/>
        <v>664.88033455537914</v>
      </c>
      <c r="BR74" s="254">
        <f t="shared" ref="BR74:CK74" si="41">BR66+BR70</f>
        <v>720.46636262204356</v>
      </c>
      <c r="BS74" s="254">
        <f t="shared" si="41"/>
        <v>420.07855731919818</v>
      </c>
      <c r="BT74" s="254">
        <f t="shared" si="41"/>
        <v>595.54440755083328</v>
      </c>
      <c r="BU74" s="254">
        <f t="shared" si="41"/>
        <v>734.48882860493654</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483</v>
      </c>
      <c r="E75" s="254">
        <f>E74-E73</f>
        <v>1211.3512725019302</v>
      </c>
      <c r="F75" s="254">
        <f t="shared" ref="F75:BQ75" si="42">F74-F73</f>
        <v>1592.1991954282</v>
      </c>
      <c r="G75" s="254">
        <f t="shared" si="42"/>
        <v>2763.7304263878164</v>
      </c>
      <c r="H75" s="254">
        <f t="shared" si="42"/>
        <v>5919.5161475511959</v>
      </c>
      <c r="I75" s="254">
        <f t="shared" si="42"/>
        <v>2022.8628422799979</v>
      </c>
      <c r="J75" s="254">
        <f t="shared" si="42"/>
        <v>3012.0505363449511</v>
      </c>
      <c r="K75" s="254">
        <f t="shared" si="42"/>
        <v>4632.0651156369786</v>
      </c>
      <c r="L75" s="254">
        <f t="shared" si="42"/>
        <v>9059.9166199687515</v>
      </c>
      <c r="M75" s="254">
        <f t="shared" si="42"/>
        <v>2574.144198022027</v>
      </c>
      <c r="N75" s="254">
        <f t="shared" si="42"/>
        <v>3737.3061566736669</v>
      </c>
      <c r="O75" s="254">
        <f t="shared" si="42"/>
        <v>5507.3446535461253</v>
      </c>
      <c r="P75" s="254">
        <f t="shared" si="42"/>
        <v>11032.242269898514</v>
      </c>
      <c r="Q75" s="254">
        <f t="shared" si="42"/>
        <v>2561.2646874897805</v>
      </c>
      <c r="R75" s="254">
        <f t="shared" si="42"/>
        <v>3939.9610302141682</v>
      </c>
      <c r="S75" s="254">
        <f t="shared" si="42"/>
        <v>6003.5916248286221</v>
      </c>
      <c r="T75" s="254">
        <f t="shared" si="42"/>
        <v>11037.423274131708</v>
      </c>
      <c r="U75" s="254">
        <f t="shared" si="42"/>
        <v>2371.5451762072794</v>
      </c>
      <c r="V75" s="254">
        <f t="shared" si="42"/>
        <v>3575.6350997841641</v>
      </c>
      <c r="W75" s="254">
        <f t="shared" si="42"/>
        <v>5098.8191090160853</v>
      </c>
      <c r="X75" s="254">
        <f t="shared" si="42"/>
        <v>8973.4611154237282</v>
      </c>
      <c r="Y75" s="254">
        <f t="shared" si="42"/>
        <v>1889.8515076542367</v>
      </c>
      <c r="Z75" s="254">
        <f t="shared" si="42"/>
        <v>2099.5495537226793</v>
      </c>
      <c r="AA75" s="254">
        <f t="shared" si="42"/>
        <v>3030.8478214620118</v>
      </c>
      <c r="AB75" s="254">
        <f t="shared" si="42"/>
        <v>6085.3812638934423</v>
      </c>
      <c r="AC75" s="254">
        <f t="shared" si="42"/>
        <v>1740.587184541323</v>
      </c>
      <c r="AD75" s="254">
        <f t="shared" si="42"/>
        <v>2120.4952198780238</v>
      </c>
      <c r="AE75" s="254">
        <f t="shared" si="42"/>
        <v>2811.2261641747778</v>
      </c>
      <c r="AF75" s="254">
        <f t="shared" si="42"/>
        <v>5698.0726963803845</v>
      </c>
      <c r="AG75" s="254">
        <f t="shared" si="42"/>
        <v>1982.1724830395028</v>
      </c>
      <c r="AH75" s="254">
        <f t="shared" si="42"/>
        <v>2323.5788825736608</v>
      </c>
      <c r="AI75" s="254">
        <f t="shared" si="42"/>
        <v>3142.9185558799136</v>
      </c>
      <c r="AJ75" s="254">
        <f t="shared" si="42"/>
        <v>5679.3287893482575</v>
      </c>
      <c r="AK75" s="254">
        <f t="shared" si="42"/>
        <v>1615.7147487699467</v>
      </c>
      <c r="AL75" s="254">
        <f t="shared" si="42"/>
        <v>1665.9592902901602</v>
      </c>
      <c r="AM75" s="254">
        <f t="shared" si="42"/>
        <v>2200.6684886122835</v>
      </c>
      <c r="AN75" s="254">
        <f t="shared" si="42"/>
        <v>4303.4102356313733</v>
      </c>
      <c r="AO75" s="254">
        <f t="shared" si="42"/>
        <v>1284.1236732633974</v>
      </c>
      <c r="AP75" s="254">
        <f t="shared" si="42"/>
        <v>1269.1845011601945</v>
      </c>
      <c r="AQ75" s="254">
        <f t="shared" si="42"/>
        <v>1734.7683098626551</v>
      </c>
      <c r="AR75" s="254">
        <f t="shared" si="42"/>
        <v>3597.8703878869546</v>
      </c>
      <c r="AS75" s="254">
        <f t="shared" si="42"/>
        <v>805.1603152318703</v>
      </c>
      <c r="AT75" s="254">
        <f t="shared" si="42"/>
        <v>903.17021791631737</v>
      </c>
      <c r="AU75" s="254">
        <f t="shared" si="42"/>
        <v>1554.809103474088</v>
      </c>
      <c r="AV75" s="254">
        <f t="shared" si="42"/>
        <v>2464.8185224610966</v>
      </c>
      <c r="AW75" s="254">
        <f t="shared" si="42"/>
        <v>751.96768691327065</v>
      </c>
      <c r="AX75" s="254">
        <f t="shared" si="42"/>
        <v>1008.5684277493452</v>
      </c>
      <c r="AY75" s="254">
        <f t="shared" si="42"/>
        <v>1632.019486211577</v>
      </c>
      <c r="AZ75" s="254">
        <f t="shared" si="42"/>
        <v>2410.612908350859</v>
      </c>
      <c r="BA75" s="254">
        <f t="shared" si="42"/>
        <v>827.48625009131206</v>
      </c>
      <c r="BB75" s="254">
        <f t="shared" si="42"/>
        <v>1139.7702086649406</v>
      </c>
      <c r="BC75" s="254">
        <f t="shared" si="42"/>
        <v>1675.5306436357453</v>
      </c>
      <c r="BD75" s="254">
        <f t="shared" si="42"/>
        <v>2468.1189099855396</v>
      </c>
      <c r="BE75" s="254">
        <f t="shared" si="42"/>
        <v>875.31998149420485</v>
      </c>
      <c r="BF75" s="254">
        <f t="shared" si="42"/>
        <v>1200.4254005777875</v>
      </c>
      <c r="BG75" s="254">
        <f t="shared" si="42"/>
        <v>1834.9428533187395</v>
      </c>
      <c r="BH75" s="254">
        <f t="shared" si="42"/>
        <v>2599.4280528669078</v>
      </c>
      <c r="BI75" s="254">
        <f t="shared" si="42"/>
        <v>776.85069692712659</v>
      </c>
      <c r="BJ75" s="254">
        <f t="shared" si="42"/>
        <v>1195.7724668870837</v>
      </c>
      <c r="BK75" s="254">
        <f t="shared" si="42"/>
        <v>1920.7838350764441</v>
      </c>
      <c r="BL75" s="254">
        <f t="shared" si="42"/>
        <v>2350.9306817701272</v>
      </c>
      <c r="BM75" s="254">
        <f t="shared" si="42"/>
        <v>923.15248084736629</v>
      </c>
      <c r="BN75" s="254">
        <f t="shared" si="42"/>
        <v>1175.7339791210788</v>
      </c>
      <c r="BO75" s="254">
        <f t="shared" si="42"/>
        <v>1627.0045693630698</v>
      </c>
      <c r="BP75" s="254">
        <f t="shared" si="42"/>
        <v>1876.1257984893386</v>
      </c>
      <c r="BQ75" s="254">
        <f t="shared" si="42"/>
        <v>650.80069116588584</v>
      </c>
      <c r="BR75" s="254">
        <f t="shared" ref="BR75:CJ75" si="43">BR74-BR73</f>
        <v>683.65525425050021</v>
      </c>
      <c r="BS75" s="254">
        <f t="shared" si="43"/>
        <v>406.54120171365275</v>
      </c>
      <c r="BT75" s="254">
        <f t="shared" si="43"/>
        <v>564.2060949369245</v>
      </c>
      <c r="BU75" s="254">
        <f t="shared" si="43"/>
        <v>698.54795913544012</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20" customFormat="1" x14ac:dyDescent="0.25">
      <c r="A76" s="147" t="s">
        <v>484</v>
      </c>
      <c r="E76" s="120">
        <f>E71-E64-E68</f>
        <v>-8648831924.6800003</v>
      </c>
      <c r="F76" s="120">
        <f t="shared" ref="F76:BQ76" si="44">F71-F64-F68</f>
        <v>-4942412322.9700012</v>
      </c>
      <c r="G76" s="120">
        <f t="shared" si="44"/>
        <v>-4688062291.1500015</v>
      </c>
      <c r="H76" s="120">
        <f t="shared" si="44"/>
        <v>-2749041015.4699974</v>
      </c>
      <c r="I76" s="120">
        <f t="shared" si="44"/>
        <v>-3904289254.2800007</v>
      </c>
      <c r="J76" s="120">
        <f t="shared" si="44"/>
        <v>-3662408924.4599972</v>
      </c>
      <c r="K76" s="120">
        <f t="shared" si="44"/>
        <v>-14520171464.07</v>
      </c>
      <c r="L76" s="120">
        <f t="shared" si="44"/>
        <v>-15667795673.52</v>
      </c>
      <c r="M76" s="120">
        <f t="shared" si="44"/>
        <v>-18927639913.18</v>
      </c>
      <c r="N76" s="120">
        <f t="shared" si="44"/>
        <v>-20642331477.700001</v>
      </c>
      <c r="O76" s="120">
        <f t="shared" si="44"/>
        <v>-19895122188.169998</v>
      </c>
      <c r="P76" s="120">
        <f t="shared" si="44"/>
        <v>-18755342645.449997</v>
      </c>
      <c r="Q76" s="120">
        <f t="shared" si="44"/>
        <v>-17514951807.57</v>
      </c>
      <c r="R76" s="120">
        <f t="shared" si="44"/>
        <v>-17896411199.299999</v>
      </c>
      <c r="S76" s="120">
        <f t="shared" si="44"/>
        <v>-16562664486.139999</v>
      </c>
      <c r="T76" s="120">
        <f t="shared" si="44"/>
        <v>-15069152693.57</v>
      </c>
      <c r="U76" s="120">
        <f t="shared" si="44"/>
        <v>-13108538891.510002</v>
      </c>
      <c r="V76" s="120">
        <f t="shared" si="44"/>
        <v>-15160221027.130001</v>
      </c>
      <c r="W76" s="120">
        <f t="shared" si="44"/>
        <v>-15070167546.349998</v>
      </c>
      <c r="X76" s="120">
        <f t="shared" si="44"/>
        <v>-11745070561.6</v>
      </c>
      <c r="Y76" s="120">
        <f t="shared" si="44"/>
        <v>-8323828019.1499996</v>
      </c>
      <c r="Z76" s="120">
        <f t="shared" si="44"/>
        <v>-8265735382.6400003</v>
      </c>
      <c r="AA76" s="120">
        <f t="shared" si="44"/>
        <v>-6784936074.8200006</v>
      </c>
      <c r="AB76" s="120">
        <f t="shared" si="44"/>
        <v>-4138463433.2399998</v>
      </c>
      <c r="AC76" s="120">
        <f t="shared" si="44"/>
        <v>-2103479407.5900002</v>
      </c>
      <c r="AD76" s="120">
        <f t="shared" si="44"/>
        <v>-1367908916.9000006</v>
      </c>
      <c r="AE76" s="120">
        <f t="shared" si="44"/>
        <v>-2957287722.0500002</v>
      </c>
      <c r="AF76" s="120">
        <f t="shared" si="44"/>
        <v>-1168538433.7700005</v>
      </c>
      <c r="AG76" s="120">
        <f t="shared" si="44"/>
        <v>-2339476767.6099997</v>
      </c>
      <c r="AH76" s="120">
        <f t="shared" si="44"/>
        <v>-3383544083.5700002</v>
      </c>
      <c r="AI76" s="120">
        <f t="shared" si="44"/>
        <v>-4141780842.2699995</v>
      </c>
      <c r="AJ76" s="120">
        <f t="shared" si="44"/>
        <v>-3003597948.3099999</v>
      </c>
      <c r="AK76" s="120">
        <f t="shared" si="44"/>
        <v>-2141973892.3500004</v>
      </c>
      <c r="AL76" s="120">
        <f t="shared" si="44"/>
        <v>-3482550976.4700003</v>
      </c>
      <c r="AM76" s="120">
        <f t="shared" si="44"/>
        <v>-3633914524.2400002</v>
      </c>
      <c r="AN76" s="120">
        <f t="shared" si="44"/>
        <v>-2270966525.2399998</v>
      </c>
      <c r="AO76" s="120">
        <f t="shared" si="44"/>
        <v>-1004088604.8400002</v>
      </c>
      <c r="AP76" s="120">
        <f t="shared" si="44"/>
        <v>-1697793437.5799999</v>
      </c>
      <c r="AQ76" s="120">
        <f t="shared" si="44"/>
        <v>-2224372188.4700003</v>
      </c>
      <c r="AR76" s="120">
        <f t="shared" si="44"/>
        <v>-1183277542.74</v>
      </c>
      <c r="AS76" s="120">
        <f t="shared" si="44"/>
        <v>-1274127789.1200001</v>
      </c>
      <c r="AT76" s="120">
        <f t="shared" si="44"/>
        <v>-36381755.539999962</v>
      </c>
      <c r="AU76" s="120">
        <f t="shared" si="44"/>
        <v>147086828.20000029</v>
      </c>
      <c r="AV76" s="120">
        <f t="shared" si="44"/>
        <v>38250485.639999628</v>
      </c>
      <c r="AW76" s="120">
        <f t="shared" si="44"/>
        <v>-55091884.289999962</v>
      </c>
      <c r="AX76" s="120">
        <f t="shared" si="44"/>
        <v>226167512.32999992</v>
      </c>
      <c r="AY76" s="120">
        <f t="shared" si="44"/>
        <v>-100918425.94999981</v>
      </c>
      <c r="AZ76" s="120">
        <f t="shared" si="44"/>
        <v>-396868762.01999998</v>
      </c>
      <c r="BA76" s="120">
        <f t="shared" si="44"/>
        <v>-502759266.07000017</v>
      </c>
      <c r="BB76" s="120">
        <f t="shared" si="44"/>
        <v>-422629030.47999978</v>
      </c>
      <c r="BC76" s="120">
        <f t="shared" si="44"/>
        <v>-678987884.38999999</v>
      </c>
      <c r="BD76" s="120">
        <f t="shared" si="44"/>
        <v>-793894199.79999983</v>
      </c>
      <c r="BE76" s="120">
        <f t="shared" si="44"/>
        <v>-772461554.15999997</v>
      </c>
      <c r="BF76" s="120">
        <f t="shared" si="44"/>
        <v>-724627548.82000005</v>
      </c>
      <c r="BG76" s="120">
        <f t="shared" si="44"/>
        <v>-704854469.33000004</v>
      </c>
      <c r="BH76" s="120">
        <f t="shared" si="44"/>
        <v>-790751407.38999987</v>
      </c>
      <c r="BI76" s="120">
        <f t="shared" si="44"/>
        <v>-509836752.19999993</v>
      </c>
      <c r="BJ76" s="120">
        <f t="shared" si="44"/>
        <v>-537667158.71999991</v>
      </c>
      <c r="BK76" s="120">
        <f t="shared" si="44"/>
        <v>-823951097.6500001</v>
      </c>
      <c r="BL76" s="120">
        <f t="shared" si="44"/>
        <v>-886138511.56000006</v>
      </c>
      <c r="BM76" s="120">
        <f t="shared" si="44"/>
        <v>-685759738.50999999</v>
      </c>
      <c r="BN76" s="120">
        <f t="shared" si="44"/>
        <v>-735420797.98000002</v>
      </c>
      <c r="BO76" s="120">
        <f t="shared" si="44"/>
        <v>-851165176.11000001</v>
      </c>
      <c r="BP76" s="120">
        <f t="shared" si="44"/>
        <v>-719160329.23000002</v>
      </c>
      <c r="BQ76" s="120">
        <f t="shared" si="44"/>
        <v>-531589049.76999998</v>
      </c>
      <c r="BR76" s="120">
        <f t="shared" ref="BR76:CJ76" si="45">BR71-BR64-BR68</f>
        <v>-562303702.43999994</v>
      </c>
      <c r="BS76" s="120">
        <f t="shared" si="45"/>
        <v>-162774627.75999999</v>
      </c>
      <c r="BT76" s="120">
        <f t="shared" si="45"/>
        <v>-387386748.24000001</v>
      </c>
      <c r="BU76" s="120">
        <f t="shared" si="45"/>
        <v>-237061653.70999998</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690</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36525</v>
      </c>
      <c r="BU80" s="1">
        <v>36160</v>
      </c>
      <c r="BV80" s="1">
        <v>25569</v>
      </c>
      <c r="BW80" s="1"/>
      <c r="BX80" s="1"/>
      <c r="BY80" s="1"/>
      <c r="BZ80" s="1"/>
      <c r="CA80" s="1"/>
      <c r="CB80" s="1"/>
      <c r="CC80" s="1"/>
      <c r="CD80" s="1"/>
      <c r="CE80" s="1"/>
      <c r="CF80" s="1"/>
      <c r="CG80" s="1"/>
      <c r="CH80" s="1"/>
      <c r="CI80" s="1"/>
      <c r="CJ80" s="1"/>
      <c r="CK80" s="1"/>
    </row>
    <row r="81" spans="1:89" s="76" customFormat="1" x14ac:dyDescent="0.25">
      <c r="A81" s="70" t="s">
        <v>579</v>
      </c>
      <c r="E81" s="76">
        <f>股权价值增加表!E4</f>
        <v>58217861314.169998</v>
      </c>
      <c r="F81" s="76">
        <f>股权价值增加表!F4</f>
        <v>42450467500.010002</v>
      </c>
      <c r="G81" s="76">
        <f>股权价值增加表!G4</f>
        <v>24190030218.959999</v>
      </c>
      <c r="H81" s="76">
        <f>股权价值增加表!H4</f>
        <v>13308639084.870001</v>
      </c>
      <c r="I81" s="76">
        <f>股权价值增加表!I4</f>
        <v>38862189993.839996</v>
      </c>
      <c r="J81" s="76">
        <f>股权价值增加表!J4</f>
        <v>26631884032.43</v>
      </c>
      <c r="K81" s="76">
        <f>股权价值增加表!K4</f>
        <v>18173234673.439999</v>
      </c>
      <c r="L81" s="76">
        <f>股权价值增加表!L4</f>
        <v>9988753730.9699993</v>
      </c>
      <c r="M81" s="76">
        <f>股权价值增加表!M4</f>
        <v>32659583725.279999</v>
      </c>
      <c r="N81" s="76">
        <f>股权价值增加表!N4</f>
        <v>23148688960.889999</v>
      </c>
      <c r="O81" s="76">
        <f>股权价值增加表!O4</f>
        <v>15778647465.950001</v>
      </c>
      <c r="P81" s="76">
        <f>股权价值增加表!P4</f>
        <v>8544273436</v>
      </c>
      <c r="Q81" s="76">
        <f>股权价值增加表!Q4</f>
        <v>31573928530.939999</v>
      </c>
      <c r="R81" s="76">
        <f>股权价值增加表!R4</f>
        <v>21718189167.610001</v>
      </c>
      <c r="S81" s="76">
        <f>股权价值增加表!S4</f>
        <v>14321628403.09</v>
      </c>
      <c r="T81" s="76">
        <f>股权价值增加表!T4</f>
        <v>7449825750.6400003</v>
      </c>
      <c r="U81" s="76">
        <f>股权价值增加表!U4</f>
        <v>30921801316.599998</v>
      </c>
      <c r="V81" s="76">
        <f>股权价值增加表!V4</f>
        <v>21935713045.240002</v>
      </c>
      <c r="W81" s="76">
        <f>股权价值增加表!W4</f>
        <v>14127867191.110001</v>
      </c>
      <c r="X81" s="76">
        <f>股权价值增加表!X4</f>
        <v>7165785851.6099997</v>
      </c>
      <c r="Y81" s="76">
        <f>股权价值增加表!Y4</f>
        <v>26455335152.990002</v>
      </c>
      <c r="Z81" s="76">
        <f>股权价值增加表!Z4</f>
        <v>19931438600.48</v>
      </c>
      <c r="AA81" s="76">
        <f>股权价值增加表!AA4</f>
        <v>13264437836.41</v>
      </c>
      <c r="AB81" s="76">
        <f>股权价值增加表!AB4</f>
        <v>6015967741.6199999</v>
      </c>
      <c r="AC81" s="76">
        <f>股权价值增加表!AC4</f>
        <v>18402355207.299999</v>
      </c>
      <c r="AD81" s="76">
        <f>股权价值增加表!AD4</f>
        <v>13642075480.07</v>
      </c>
      <c r="AE81" s="76">
        <f>股权价值增加表!AE4</f>
        <v>9825823427.0799999</v>
      </c>
      <c r="AF81" s="76">
        <f>股权价值增加表!AF4</f>
        <v>4220589097.9400001</v>
      </c>
      <c r="AG81" s="76">
        <f>股权价值增加表!AG4</f>
        <v>11633283740.18</v>
      </c>
      <c r="AH81" s="76">
        <f>股权价值增加表!AH4</f>
        <v>9327577784.1200008</v>
      </c>
      <c r="AI81" s="76">
        <f>股权价值增加表!AI4</f>
        <v>6587266362.7799997</v>
      </c>
      <c r="AJ81" s="76">
        <f>股权价值增加表!AJ4</f>
        <v>3039906100.4099998</v>
      </c>
      <c r="AK81" s="76">
        <f>股权价值增加表!AK4</f>
        <v>9669999065.3899994</v>
      </c>
      <c r="AL81" s="76">
        <f>股权价值增加表!AL4</f>
        <v>7807202385.7799997</v>
      </c>
      <c r="AM81" s="76">
        <f>股权价值增加表!AM4</f>
        <v>5546006031.29</v>
      </c>
      <c r="AN81" s="76">
        <f>股权价值增加表!AN4</f>
        <v>2512537167.1999998</v>
      </c>
      <c r="AO81" s="76">
        <f>股权价值增加表!AO4</f>
        <v>8241685564.1099997</v>
      </c>
      <c r="AP81" s="76">
        <f>股权价值增加表!AP4</f>
        <v>6486517281.0100002</v>
      </c>
      <c r="AQ81" s="76">
        <f>股权价值增加表!AQ4</f>
        <v>4619717309.6000004</v>
      </c>
      <c r="AR81" s="76">
        <f>股权价值增加表!AR4</f>
        <v>1993496395.46</v>
      </c>
      <c r="AS81" s="76">
        <f>股权价值增加表!AS4</f>
        <v>7237430747.1199999</v>
      </c>
      <c r="AT81" s="76">
        <f>股权价值增加表!AT4</f>
        <v>4458382249.2600002</v>
      </c>
      <c r="AU81" s="76">
        <f>股权价值增加表!AU4</f>
        <v>2629088876.4200001</v>
      </c>
      <c r="AV81" s="76">
        <f>股权价值增加表!AV4</f>
        <v>1587538095.6800001</v>
      </c>
      <c r="AW81" s="76">
        <f>股权价值增加表!AW4</f>
        <v>4896186901.21</v>
      </c>
      <c r="AX81" s="76">
        <f>股权价值增加表!AX4</f>
        <v>3249453246.71</v>
      </c>
      <c r="AY81" s="76">
        <f>股权价值增加表!AY4</f>
        <v>2029461983.6600001</v>
      </c>
      <c r="AZ81" s="76">
        <f>股权价值增加表!AZ4</f>
        <v>1354498050.1700001</v>
      </c>
      <c r="BA81" s="76">
        <f>股权价值增加表!BA4</f>
        <v>3930515237.6100001</v>
      </c>
      <c r="BB81" s="76">
        <f>股权价值增加表!BB4</f>
        <v>2580318873.25</v>
      </c>
      <c r="BC81" s="76">
        <f>股权价值增加表!BC4</f>
        <v>1686144341.9100001</v>
      </c>
      <c r="BD81" s="76">
        <f>股权价值增加表!BD4</f>
        <v>1144017320.6199999</v>
      </c>
      <c r="BE81" s="76">
        <f>股权价值增加表!BE4</f>
        <v>3009793519.9200001</v>
      </c>
      <c r="BF81" s="76">
        <f>股权价值增加表!BF4</f>
        <v>2070438172.6500001</v>
      </c>
      <c r="BG81" s="76">
        <f>股权价值增加表!BG4</f>
        <v>1314109209.0599999</v>
      </c>
      <c r="BH81" s="76">
        <f>股权价值增加表!BH4</f>
        <v>853431905.86000001</v>
      </c>
      <c r="BI81" s="76">
        <f>股权价值增加表!BI4</f>
        <v>2401017934.9299998</v>
      </c>
      <c r="BJ81" s="76">
        <f>股权价值增加表!BJ4</f>
        <v>1552744360.0999999</v>
      </c>
      <c r="BK81" s="76">
        <f>股权价值增加表!BK4</f>
        <v>1009047565.48</v>
      </c>
      <c r="BL81" s="76">
        <f>股权价值增加表!BL4</f>
        <v>733889255.88999999</v>
      </c>
      <c r="BM81" s="76">
        <f>股权价值增加表!BM4</f>
        <v>1834898294.9000001</v>
      </c>
      <c r="BN81" s="76">
        <f>股权价值增加表!BN4</f>
        <v>1363886224.3199999</v>
      </c>
      <c r="BO81" s="76">
        <f>股权价值增加表!BO4</f>
        <v>955654212.62</v>
      </c>
      <c r="BP81" s="76">
        <f>股权价值增加表!BP4</f>
        <v>718014858.52999997</v>
      </c>
      <c r="BQ81" s="76">
        <f>股权价值增加表!BQ4</f>
        <v>1618046660.3099999</v>
      </c>
      <c r="BR81" s="76">
        <f>股权价值增加表!BR4</f>
        <v>873863478.94000006</v>
      </c>
      <c r="BS81" s="76">
        <f>股权价值增加表!BS4</f>
        <v>1114000813.26</v>
      </c>
      <c r="BT81" s="76">
        <f>股权价值增加表!BT4</f>
        <v>890858185.63999999</v>
      </c>
      <c r="BU81" s="76">
        <f>股权价值增加表!BU4</f>
        <v>628184433.19000006</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22331930913.48</v>
      </c>
      <c r="F82" s="76">
        <f>投资和筹资活动现金流表!F34</f>
        <v>22947741343</v>
      </c>
      <c r="G82" s="76">
        <f>投资和筹资活动现金流表!G34</f>
        <v>22955949774.959999</v>
      </c>
      <c r="H82" s="76">
        <f>投资和筹资活动现金流表!H34</f>
        <v>23060295953.759998</v>
      </c>
      <c r="I82" s="76">
        <f>投资和筹资活动现金流表!I34</f>
        <v>22724989474.84</v>
      </c>
      <c r="J82" s="76">
        <f>投资和筹资活动现金流表!J34</f>
        <v>21614145955.470001</v>
      </c>
      <c r="K82" s="76">
        <f>投资和筹资活动现金流表!K34</f>
        <v>21564032140.220001</v>
      </c>
      <c r="L82" s="76">
        <f>投资和筹资活动现金流表!L34</f>
        <v>21547653404.439999</v>
      </c>
      <c r="M82" s="76">
        <f>投资和筹资活动现金流表!M34</f>
        <v>21267949399.18</v>
      </c>
      <c r="N82" s="76">
        <f>投资和筹资活动现金流表!N34</f>
        <v>20232592117.09</v>
      </c>
      <c r="O82" s="76">
        <f>投资和筹资活动现金流表!O34</f>
        <v>19068774757.830002</v>
      </c>
      <c r="P82" s="76">
        <f>投资和筹资活动现金流表!P34</f>
        <v>18311646536.52</v>
      </c>
      <c r="Q82" s="76">
        <f>投资和筹资活动现金流表!Q34</f>
        <v>18298236150.310001</v>
      </c>
      <c r="R82" s="76">
        <f>投资和筹资活动现金流表!R34</f>
        <v>16656795222.92</v>
      </c>
      <c r="S82" s="76">
        <f>投资和筹资活动现金流表!S34</f>
        <v>16579774564.629999</v>
      </c>
      <c r="T82" s="76">
        <f>投资和筹资活动现金流表!T34</f>
        <v>15583608259.01</v>
      </c>
      <c r="U82" s="76">
        <f>投资和筹资活动现金流表!U34</f>
        <v>13522567242.82</v>
      </c>
      <c r="V82" s="76">
        <f>投资和筹资活动现金流表!V34</f>
        <v>9433590713.1000004</v>
      </c>
      <c r="W82" s="76">
        <f>投资和筹资活动现金流表!W34</f>
        <v>8937733311.7900009</v>
      </c>
      <c r="X82" s="76">
        <f>投资和筹资活动现金流表!X34</f>
        <v>9046122215.5200005</v>
      </c>
      <c r="Y82" s="76">
        <f>投资和筹资活动现金流表!AZ34</f>
        <v>2115638921.48</v>
      </c>
      <c r="Z82" s="76">
        <f>投资和筹资活动现金流表!BA34</f>
        <v>2038076176.98</v>
      </c>
      <c r="AA82" s="76">
        <f>投资和筹资活动现金流表!BB34</f>
        <v>1904956898.72</v>
      </c>
      <c r="AB82" s="76">
        <f>投资和筹资活动现金流表!BC34</f>
        <v>1780876639.3299999</v>
      </c>
      <c r="AC82" s="76">
        <f>投资和筹资活动现金流表!BD34</f>
        <v>1685409788.29</v>
      </c>
      <c r="AD82" s="76">
        <f>投资和筹资活动现金流表!BE34</f>
        <v>1601014475.77</v>
      </c>
      <c r="AE82" s="76">
        <f>投资和筹资活动现金流表!BF34</f>
        <v>1463570659.45</v>
      </c>
      <c r="AF82" s="76">
        <f>投资和筹资活动现金流表!BG34</f>
        <v>1398793760.26</v>
      </c>
      <c r="AG82" s="76">
        <f>投资和筹资活动现金流表!BH34</f>
        <v>1332300138.5599999</v>
      </c>
      <c r="AH82" s="76">
        <f>投资和筹资活动现金流表!BI34</f>
        <v>1200336776.9300001</v>
      </c>
      <c r="AI82" s="76">
        <f>投资和筹资活动现金流表!BJ34</f>
        <v>1165910893.28</v>
      </c>
      <c r="AJ82" s="76">
        <f>投资和筹资活动现金流表!BK34</f>
        <v>1092933336.0799999</v>
      </c>
      <c r="AK82" s="76">
        <f>投资和筹资活动现金流表!BL34</f>
        <v>1019774319.86</v>
      </c>
      <c r="AL82" s="76">
        <f>投资和筹资活动现金流表!BM34</f>
        <v>939648707.25</v>
      </c>
      <c r="AM82" s="76">
        <f>投资和筹资活动现金流表!BN34</f>
        <v>859601030.65999997</v>
      </c>
      <c r="AN82" s="76">
        <f>投资和筹资活动现金流表!BO34</f>
        <v>748821426.96000004</v>
      </c>
      <c r="AO82" s="76">
        <f>投资和筹资活动现金流表!BP34</f>
        <v>611201680.95000005</v>
      </c>
      <c r="AP82" s="76">
        <f>投资和筹资活动现金流表!BQ34</f>
        <v>3739014271</v>
      </c>
      <c r="AQ82" s="76">
        <f>投资和筹资活动现金流表!BR34</f>
        <v>3526080172.4299998</v>
      </c>
      <c r="AR82" s="76">
        <f>投资和筹资活动现金流表!BS34</f>
        <v>3338338900.5300002</v>
      </c>
      <c r="AS82" s="76">
        <f>投资和筹资活动现金流表!AS34</f>
        <v>3209968937.0300002</v>
      </c>
      <c r="AT82" s="76">
        <f>投资和筹资活动现金流表!AT34</f>
        <v>3086136003.2399998</v>
      </c>
      <c r="AU82" s="76">
        <f>投资和筹资活动现金流表!AU34</f>
        <v>2952999545.0700002</v>
      </c>
      <c r="AV82" s="76">
        <f>投资和筹资活动现金流表!AV34</f>
        <v>2845284852.9899998</v>
      </c>
      <c r="AW82" s="76">
        <f>投资和筹资活动现金流表!AW34</f>
        <v>2638340763.6999998</v>
      </c>
      <c r="AX82" s="76">
        <f>投资和筹资活动现金流表!AX34</f>
        <v>2450389777.1900001</v>
      </c>
      <c r="AY82" s="76">
        <f>投资和筹资活动现金流表!AY34</f>
        <v>2263427977.0500002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3" customFormat="1" x14ac:dyDescent="0.25">
      <c r="A83" s="249" t="s">
        <v>581</v>
      </c>
      <c r="E83" s="153">
        <f>E81/E82</f>
        <v>2.6069336117741853</v>
      </c>
      <c r="F83" s="153">
        <f t="shared" ref="F83:BQ83" si="46">F81/F82</f>
        <v>1.8498756311352242</v>
      </c>
      <c r="G83" s="153">
        <f t="shared" si="46"/>
        <v>1.0537586314701783</v>
      </c>
      <c r="H83" s="153">
        <f t="shared" si="46"/>
        <v>0.57712351617499591</v>
      </c>
      <c r="I83" s="153">
        <f t="shared" si="46"/>
        <v>1.7101081625083399</v>
      </c>
      <c r="J83" s="153">
        <f t="shared" si="46"/>
        <v>1.2321506520450851</v>
      </c>
      <c r="K83" s="153">
        <f t="shared" si="46"/>
        <v>0.84275679776716339</v>
      </c>
      <c r="L83" s="153">
        <f t="shared" si="46"/>
        <v>0.46356573235542059</v>
      </c>
      <c r="M83" s="153">
        <f t="shared" si="46"/>
        <v>1.5356244794591813</v>
      </c>
      <c r="N83" s="153">
        <f t="shared" si="46"/>
        <v>1.1441286824211141</v>
      </c>
      <c r="O83" s="153">
        <f t="shared" si="46"/>
        <v>0.82745995305602882</v>
      </c>
      <c r="P83" s="153">
        <f t="shared" si="46"/>
        <v>0.46660323084325867</v>
      </c>
      <c r="Q83" s="153">
        <f t="shared" si="46"/>
        <v>1.7255176002526935</v>
      </c>
      <c r="R83" s="153">
        <f t="shared" si="46"/>
        <v>1.303863611033979</v>
      </c>
      <c r="S83" s="153">
        <f t="shared" si="46"/>
        <v>0.86380115406651237</v>
      </c>
      <c r="T83" s="153">
        <f t="shared" si="46"/>
        <v>0.47805525054396325</v>
      </c>
      <c r="U83" s="153">
        <f t="shared" si="46"/>
        <v>2.2866812759254995</v>
      </c>
      <c r="V83" s="153">
        <f t="shared" si="46"/>
        <v>2.3252771624678257</v>
      </c>
      <c r="W83" s="153">
        <f t="shared" si="46"/>
        <v>1.580699121160122</v>
      </c>
      <c r="X83" s="153">
        <f t="shared" si="46"/>
        <v>0.79213896085949431</v>
      </c>
      <c r="Y83" s="153">
        <f t="shared" si="46"/>
        <v>12.504655158491371</v>
      </c>
      <c r="Z83" s="153">
        <f t="shared" si="46"/>
        <v>9.7795356354217322</v>
      </c>
      <c r="AA83" s="153">
        <f t="shared" si="46"/>
        <v>6.9631170370955848</v>
      </c>
      <c r="AB83" s="153">
        <f t="shared" si="46"/>
        <v>3.3780934674303564</v>
      </c>
      <c r="AC83" s="153">
        <f t="shared" si="46"/>
        <v>10.918623669541427</v>
      </c>
      <c r="AD83" s="153">
        <f t="shared" si="46"/>
        <v>8.5208945243976704</v>
      </c>
      <c r="AE83" s="153">
        <f t="shared" si="46"/>
        <v>6.7135968896592102</v>
      </c>
      <c r="AF83" s="153">
        <f t="shared" si="46"/>
        <v>3.017306208997887</v>
      </c>
      <c r="AG83" s="153">
        <f t="shared" si="46"/>
        <v>8.7317289876991904</v>
      </c>
      <c r="AH83" s="153">
        <f t="shared" si="46"/>
        <v>7.7708006314497489</v>
      </c>
      <c r="AI83" s="153">
        <f t="shared" si="46"/>
        <v>5.6498883411650489</v>
      </c>
      <c r="AJ83" s="153">
        <f t="shared" si="46"/>
        <v>2.7814195066216616</v>
      </c>
      <c r="AK83" s="153">
        <f t="shared" si="46"/>
        <v>9.4824892891179573</v>
      </c>
      <c r="AL83" s="153">
        <f t="shared" si="46"/>
        <v>8.3086395219217177</v>
      </c>
      <c r="AM83" s="153">
        <f t="shared" si="46"/>
        <v>6.4518373448572852</v>
      </c>
      <c r="AN83" s="153">
        <f t="shared" si="46"/>
        <v>3.3553222126671498</v>
      </c>
      <c r="AO83" s="153">
        <f t="shared" si="46"/>
        <v>13.484396101954141</v>
      </c>
      <c r="AP83" s="153">
        <f t="shared" si="46"/>
        <v>1.7348201453307586</v>
      </c>
      <c r="AQ83" s="153">
        <f t="shared" si="46"/>
        <v>1.310156628235801</v>
      </c>
      <c r="AR83" s="153">
        <f t="shared" si="46"/>
        <v>0.59715219300937639</v>
      </c>
      <c r="AS83" s="153">
        <f t="shared" si="46"/>
        <v>2.2546731414218542</v>
      </c>
      <c r="AT83" s="153">
        <f t="shared" si="46"/>
        <v>1.4446486624631381</v>
      </c>
      <c r="AU83" s="153">
        <f t="shared" si="46"/>
        <v>0.89031130424968563</v>
      </c>
      <c r="AV83" s="153">
        <f t="shared" si="46"/>
        <v>0.55795401083013452</v>
      </c>
      <c r="AW83" s="153">
        <f t="shared" si="46"/>
        <v>1.8557826072260677</v>
      </c>
      <c r="AX83" s="153">
        <f t="shared" si="46"/>
        <v>1.3260964753274196</v>
      </c>
      <c r="AY83" s="153">
        <f t="shared" si="46"/>
        <v>0.8966320131401152</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6" customFormat="1" x14ac:dyDescent="0.25">
      <c r="A84" s="70" t="s">
        <v>582</v>
      </c>
      <c r="E84" s="76">
        <f>资产资本表!E52</f>
        <v>15244096632.02</v>
      </c>
      <c r="F84" s="76">
        <f>资产资本表!F52</f>
        <v>14851183242.59</v>
      </c>
      <c r="G84" s="76">
        <f>资产资本表!G52</f>
        <v>15035615814.030001</v>
      </c>
      <c r="H84" s="76">
        <f>资产资本表!H52</f>
        <v>15197596002.52</v>
      </c>
      <c r="I84" s="76">
        <f>资产资本表!I52</f>
        <v>14453177439.34</v>
      </c>
      <c r="J84" s="76">
        <f>资产资本表!J52</f>
        <v>11249022570.67</v>
      </c>
      <c r="K84" s="76">
        <f>资产资本表!K52</f>
        <v>11357781630.610001</v>
      </c>
      <c r="L84" s="76">
        <f>资产资本表!L52</f>
        <v>11485879409.51</v>
      </c>
      <c r="M84" s="76">
        <f>资产资本表!M52</f>
        <v>11415953189.719999</v>
      </c>
      <c r="N84" s="76">
        <f>资产资本表!N52</f>
        <v>10891205189.389999</v>
      </c>
      <c r="O84" s="76">
        <f>资产资本表!O52</f>
        <v>10376471791.040001</v>
      </c>
      <c r="P84" s="76">
        <f>资产资本表!P52</f>
        <v>10438792823.57</v>
      </c>
      <c r="Q84" s="76">
        <f>资产资本表!Q52</f>
        <v>10375757771.59</v>
      </c>
      <c r="R84" s="76">
        <f>资产资本表!R52</f>
        <v>9003408249.8600006</v>
      </c>
      <c r="S84" s="76">
        <f>资产资本表!S52</f>
        <v>8917854215.1200008</v>
      </c>
      <c r="T84" s="76">
        <f>资产资本表!T52</f>
        <v>8768403594.1200008</v>
      </c>
      <c r="U84" s="76">
        <f>资产资本表!U52</f>
        <v>8523256960.1099997</v>
      </c>
      <c r="V84" s="76">
        <f>资产资本表!V52</f>
        <v>7165765337.1599998</v>
      </c>
      <c r="W84" s="76">
        <f>资产资本表!W52</f>
        <v>7047000358.4200001</v>
      </c>
      <c r="X84" s="76">
        <f>资产资本表!X52</f>
        <v>6984113447.4300003</v>
      </c>
      <c r="Y84" s="76">
        <f>资产资本表!Y52</f>
        <v>6807333231.0900002</v>
      </c>
      <c r="Z84" s="76">
        <f>资产资本表!Z52</f>
        <v>5838430602.0500002</v>
      </c>
      <c r="AA84" s="76">
        <f>资产资本表!AA52</f>
        <v>5698697789.6599998</v>
      </c>
      <c r="AB84" s="76">
        <f>资产资本表!AB52</f>
        <v>5489821741.0500002</v>
      </c>
      <c r="AC84" s="76">
        <f>资产资本表!AC52</f>
        <v>5426012349.6099997</v>
      </c>
      <c r="AD84" s="76">
        <f>资产资本表!AD52</f>
        <v>4703882763.3800001</v>
      </c>
      <c r="AE84" s="76">
        <f>资产资本表!AE52</f>
        <v>4268588603.6599998</v>
      </c>
      <c r="AF84" s="76">
        <f>资产资本表!AF52</f>
        <v>4218762324.3099999</v>
      </c>
      <c r="AG84" s="76">
        <f>资产资本表!AG52</f>
        <v>4191851111.9699998</v>
      </c>
      <c r="AH84" s="76">
        <f>资产资本表!AH52</f>
        <v>3754654673.6300001</v>
      </c>
      <c r="AI84" s="76">
        <f>资产资本表!AI52</f>
        <v>3731222904.1199999</v>
      </c>
      <c r="AJ84" s="76">
        <f>资产资本表!AJ52</f>
        <v>3223949711.6999998</v>
      </c>
      <c r="AK84" s="76">
        <f>资产资本表!AK52</f>
        <v>3168725156.29</v>
      </c>
      <c r="AL84" s="76">
        <f>资产资本表!AL52</f>
        <v>2420836029.8800001</v>
      </c>
      <c r="AM84" s="76">
        <f>资产资本表!AM52</f>
        <v>2285285756.6500001</v>
      </c>
      <c r="AN84" s="76">
        <f>资产资本表!AN52</f>
        <v>2247266187.8000002</v>
      </c>
      <c r="AO84" s="76">
        <f>资产资本表!AO52</f>
        <v>2190171911.8899999</v>
      </c>
      <c r="AP84" s="76">
        <f>资产资本表!AP52</f>
        <v>1962510407.21</v>
      </c>
      <c r="AQ84" s="76">
        <f>资产资本表!AQ52</f>
        <v>1946505196.6800001</v>
      </c>
      <c r="AR84" s="76">
        <f>资产资本表!AR52</f>
        <v>1869754284.6900001</v>
      </c>
      <c r="AS84" s="76">
        <f>资产资本表!AS52</f>
        <v>1826983364.3599999</v>
      </c>
      <c r="AT84" s="76">
        <f>资产资本表!AT52</f>
        <v>1435078966.8699999</v>
      </c>
      <c r="AU84" s="76">
        <f>资产资本表!AU52</f>
        <v>1431615294.0599999</v>
      </c>
      <c r="AV84" s="76">
        <f>资产资本表!AV52</f>
        <v>1317726492.5999999</v>
      </c>
      <c r="AW84" s="76">
        <f>资产资本表!AW52</f>
        <v>1222202623.3</v>
      </c>
      <c r="AX84" s="76">
        <f>资产资本表!AX52</f>
        <v>1018003338.64</v>
      </c>
      <c r="AY84" s="76">
        <f>资产资本表!AY52</f>
        <v>1030973670.35</v>
      </c>
      <c r="AZ84" s="76">
        <f>资产资本表!AZ52</f>
        <v>1019701197.52</v>
      </c>
      <c r="BA84" s="76">
        <f>资产资本表!BA52</f>
        <v>981382035.5</v>
      </c>
      <c r="BB84" s="76">
        <f>资产资本表!BB52</f>
        <v>744749773.96000004</v>
      </c>
      <c r="BC84" s="76">
        <f>资产资本表!BC52</f>
        <v>704628195.86000001</v>
      </c>
      <c r="BD84" s="76">
        <f>资产资本表!BD52</f>
        <v>718609837.72000003</v>
      </c>
      <c r="BE84" s="76">
        <f>资产资本表!BE52</f>
        <v>715522677.41999996</v>
      </c>
      <c r="BF84" s="76">
        <f>资产资本表!BF52</f>
        <v>650253702.34000003</v>
      </c>
      <c r="BG84" s="76">
        <f>资产资本表!BG52</f>
        <v>651728272.55999994</v>
      </c>
      <c r="BH84" s="76">
        <f>资产资本表!BH52</f>
        <v>644654996.78999996</v>
      </c>
      <c r="BI84" s="76">
        <f>资产资本表!BI52</f>
        <v>440813831.82999998</v>
      </c>
      <c r="BJ84" s="76">
        <f>资产资本表!BJ52</f>
        <v>436222878.81</v>
      </c>
      <c r="BK84" s="76">
        <f>资产资本表!BK52</f>
        <v>445032882.23000002</v>
      </c>
      <c r="BL84" s="76">
        <f>资产资本表!BL52</f>
        <v>453833289.69999999</v>
      </c>
      <c r="BM84" s="76">
        <f>资产资本表!BM52</f>
        <v>470098687.69</v>
      </c>
      <c r="BN84" s="76">
        <f>资产资本表!BN52</f>
        <v>447507946.97000003</v>
      </c>
      <c r="BO84" s="76">
        <f>资产资本表!BO52</f>
        <v>452942750.17000002</v>
      </c>
      <c r="BP84" s="76">
        <f>资产资本表!BP52</f>
        <v>409558858.49000001</v>
      </c>
      <c r="BQ84" s="76">
        <f>资产资本表!BQ52</f>
        <v>414239895.73000002</v>
      </c>
      <c r="BR84" s="76">
        <f>资产资本表!BR52</f>
        <v>177835639.06999999</v>
      </c>
      <c r="BS84" s="76">
        <f>资产资本表!BS52</f>
        <v>180320389.09</v>
      </c>
      <c r="BT84" s="76">
        <f>资产资本表!BT52</f>
        <v>184936865.90000001</v>
      </c>
      <c r="BU84" s="76">
        <f>资产资本表!BU52</f>
        <v>213023445.34999999</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3" customFormat="1" x14ac:dyDescent="0.25">
      <c r="A85" s="249" t="s">
        <v>583</v>
      </c>
      <c r="E85" s="153">
        <f>E81/E84</f>
        <v>3.8190430511890248</v>
      </c>
      <c r="F85" s="153">
        <f t="shared" ref="F85:BQ85" si="48">F81/F84</f>
        <v>2.8583895846272496</v>
      </c>
      <c r="G85" s="153">
        <f t="shared" si="48"/>
        <v>1.6088486509736337</v>
      </c>
      <c r="H85" s="153">
        <f t="shared" si="48"/>
        <v>0.87570686065501535</v>
      </c>
      <c r="I85" s="153">
        <f t="shared" si="48"/>
        <v>2.6888336600684966</v>
      </c>
      <c r="J85" s="153">
        <f t="shared" si="48"/>
        <v>2.3674842738664523</v>
      </c>
      <c r="K85" s="153">
        <f t="shared" si="48"/>
        <v>1.6000690332398966</v>
      </c>
      <c r="L85" s="153">
        <f t="shared" si="48"/>
        <v>0.86965511083980029</v>
      </c>
      <c r="M85" s="153">
        <f t="shared" si="48"/>
        <v>2.8608722532858462</v>
      </c>
      <c r="N85" s="153">
        <f t="shared" si="48"/>
        <v>2.1254478782055268</v>
      </c>
      <c r="O85" s="153">
        <f t="shared" si="48"/>
        <v>1.5206177768029721</v>
      </c>
      <c r="P85" s="153">
        <f t="shared" si="48"/>
        <v>0.81851164022603085</v>
      </c>
      <c r="Q85" s="153">
        <f t="shared" si="48"/>
        <v>3.0430479610263252</v>
      </c>
      <c r="R85" s="153">
        <f t="shared" si="48"/>
        <v>2.4122186359757385</v>
      </c>
      <c r="S85" s="153">
        <f t="shared" si="48"/>
        <v>1.6059500478050015</v>
      </c>
      <c r="T85" s="153">
        <f t="shared" si="48"/>
        <v>0.84962167521985132</v>
      </c>
      <c r="U85" s="153">
        <f t="shared" si="48"/>
        <v>3.62793254518997</v>
      </c>
      <c r="V85" s="153">
        <f t="shared" si="48"/>
        <v>3.0611821645186277</v>
      </c>
      <c r="W85" s="153">
        <f t="shared" si="48"/>
        <v>2.004805799992551</v>
      </c>
      <c r="X85" s="153">
        <f t="shared" si="48"/>
        <v>1.0260122355611005</v>
      </c>
      <c r="Y85" s="153">
        <f t="shared" si="48"/>
        <v>3.8862994148964169</v>
      </c>
      <c r="Z85" s="153">
        <f t="shared" si="48"/>
        <v>3.4138349770710019</v>
      </c>
      <c r="AA85" s="153">
        <f t="shared" si="48"/>
        <v>2.3276261219673122</v>
      </c>
      <c r="AB85" s="153">
        <f t="shared" si="48"/>
        <v>1.0958402704837857</v>
      </c>
      <c r="AC85" s="153">
        <f t="shared" si="48"/>
        <v>3.391506325750012</v>
      </c>
      <c r="AD85" s="153">
        <f t="shared" si="48"/>
        <v>2.900173360244934</v>
      </c>
      <c r="AE85" s="153">
        <f t="shared" si="48"/>
        <v>2.3018904699916694</v>
      </c>
      <c r="AF85" s="153">
        <f t="shared" si="48"/>
        <v>1.0004330117436278</v>
      </c>
      <c r="AG85" s="153">
        <f t="shared" si="48"/>
        <v>2.7752139638167703</v>
      </c>
      <c r="AH85" s="153">
        <f t="shared" si="48"/>
        <v>2.4842704842152896</v>
      </c>
      <c r="AI85" s="153">
        <f t="shared" si="48"/>
        <v>1.7654443414534065</v>
      </c>
      <c r="AJ85" s="153">
        <f t="shared" si="48"/>
        <v>0.94291362218768815</v>
      </c>
      <c r="AK85" s="153">
        <f t="shared" si="48"/>
        <v>3.051700159666674</v>
      </c>
      <c r="AL85" s="153">
        <f t="shared" si="48"/>
        <v>3.2250025567270657</v>
      </c>
      <c r="AM85" s="153">
        <f t="shared" si="48"/>
        <v>2.4268326248267038</v>
      </c>
      <c r="AN85" s="153">
        <f t="shared" si="48"/>
        <v>1.1180416369187183</v>
      </c>
      <c r="AO85" s="153">
        <f t="shared" si="48"/>
        <v>3.7630313489856926</v>
      </c>
      <c r="AP85" s="153">
        <f t="shared" si="48"/>
        <v>3.305214207873449</v>
      </c>
      <c r="AQ85" s="153">
        <f t="shared" si="48"/>
        <v>2.3733393147264579</v>
      </c>
      <c r="AR85" s="153">
        <f t="shared" si="48"/>
        <v>1.0661809478300064</v>
      </c>
      <c r="AS85" s="153">
        <f t="shared" si="48"/>
        <v>3.9614103162101331</v>
      </c>
      <c r="AT85" s="153">
        <f t="shared" si="48"/>
        <v>3.1067156248439907</v>
      </c>
      <c r="AU85" s="153">
        <f t="shared" si="48"/>
        <v>1.8364492802839625</v>
      </c>
      <c r="AV85" s="153">
        <f t="shared" si="48"/>
        <v>1.2047553908911979</v>
      </c>
      <c r="AW85" s="153">
        <f t="shared" si="48"/>
        <v>4.0060353396968527</v>
      </c>
      <c r="AX85" s="153">
        <f t="shared" si="48"/>
        <v>3.191986826930354</v>
      </c>
      <c r="AY85" s="153">
        <f t="shared" si="48"/>
        <v>1.9684906045864665</v>
      </c>
      <c r="AZ85" s="153">
        <f t="shared" si="48"/>
        <v>1.3283283901835699</v>
      </c>
      <c r="BA85" s="153">
        <f t="shared" si="48"/>
        <v>4.005081706643896</v>
      </c>
      <c r="BB85" s="153">
        <f t="shared" si="48"/>
        <v>3.4646789612702684</v>
      </c>
      <c r="BC85" s="153">
        <f t="shared" si="48"/>
        <v>2.3929561033986979</v>
      </c>
      <c r="BD85" s="153">
        <f t="shared" si="48"/>
        <v>1.5919867229340048</v>
      </c>
      <c r="BE85" s="153">
        <f t="shared" si="48"/>
        <v>4.2064264556541806</v>
      </c>
      <c r="BF85" s="153">
        <f t="shared" si="48"/>
        <v>3.1840467269918351</v>
      </c>
      <c r="BG85" s="153">
        <f t="shared" si="48"/>
        <v>2.0163452536716817</v>
      </c>
      <c r="BH85" s="153">
        <f t="shared" si="48"/>
        <v>1.3238583585167034</v>
      </c>
      <c r="BI85" s="153">
        <f t="shared" si="48"/>
        <v>5.4467844735324755</v>
      </c>
      <c r="BJ85" s="153">
        <f t="shared" si="48"/>
        <v>3.5595206843250162</v>
      </c>
      <c r="BK85" s="153">
        <f t="shared" si="48"/>
        <v>2.267355078177141</v>
      </c>
      <c r="BL85" s="153">
        <f t="shared" si="48"/>
        <v>1.6170899591238161</v>
      </c>
      <c r="BM85" s="153">
        <f t="shared" si="48"/>
        <v>3.9032193514864653</v>
      </c>
      <c r="BN85" s="153">
        <f t="shared" si="48"/>
        <v>3.0477363219014117</v>
      </c>
      <c r="BO85" s="153">
        <f t="shared" si="48"/>
        <v>2.1098785934013087</v>
      </c>
      <c r="BP85" s="153">
        <f t="shared" si="48"/>
        <v>1.7531420543001914</v>
      </c>
      <c r="BQ85" s="153">
        <f t="shared" si="48"/>
        <v>3.906061866538892</v>
      </c>
      <c r="BR85" s="153">
        <f t="shared" ref="BR85:CK85" si="49">BR81/BR84</f>
        <v>4.9138827487555981</v>
      </c>
      <c r="BS85" s="153">
        <f t="shared" si="49"/>
        <v>6.1778971245674787</v>
      </c>
      <c r="BT85" s="153">
        <f t="shared" si="49"/>
        <v>4.8170935594945643</v>
      </c>
      <c r="BU85" s="153">
        <f t="shared" si="49"/>
        <v>2.9488980997274066</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6" customFormat="1" x14ac:dyDescent="0.25">
      <c r="A86" s="70" t="s">
        <v>584</v>
      </c>
      <c r="E86" s="76">
        <f>资产资本表!E53</f>
        <v>2016405005.77</v>
      </c>
      <c r="F86" s="76">
        <f>资产资本表!F53</f>
        <v>2393782465.27</v>
      </c>
      <c r="G86" s="76">
        <f>资产资本表!G53</f>
        <v>2191037165.1399999</v>
      </c>
      <c r="H86" s="76">
        <f>资产资本表!H53</f>
        <v>2082556665.8099999</v>
      </c>
      <c r="I86" s="76">
        <f>资产资本表!I53</f>
        <v>2745579995.6799998</v>
      </c>
      <c r="J86" s="76">
        <f>资产资本表!J53</f>
        <v>5549022900.4099998</v>
      </c>
      <c r="K86" s="76">
        <f>资产资本表!K53</f>
        <v>5372267342.3199997</v>
      </c>
      <c r="L86" s="76">
        <f>资产资本表!L53</f>
        <v>5277866268.5</v>
      </c>
      <c r="M86" s="76">
        <f>资产资本表!M53</f>
        <v>4895150716.5100002</v>
      </c>
      <c r="N86" s="76">
        <f>资产资本表!N53</f>
        <v>4746332449.54</v>
      </c>
      <c r="O86" s="76">
        <f>资产资本表!O53</f>
        <v>4446804735.3000002</v>
      </c>
      <c r="P86" s="76">
        <f>资产资本表!P53</f>
        <v>3480877159.5599999</v>
      </c>
      <c r="Q86" s="76">
        <f>资产资本表!Q53</f>
        <v>3421774448.02</v>
      </c>
      <c r="R86" s="76">
        <f>资产资本表!R53</f>
        <v>3051662444.0799999</v>
      </c>
      <c r="S86" s="76">
        <f>资产资本表!S53</f>
        <v>2921492322.6199999</v>
      </c>
      <c r="T86" s="76">
        <f>资产资本表!T53</f>
        <v>2241975574.71</v>
      </c>
      <c r="U86" s="76">
        <f>资产资本表!U53</f>
        <v>456328292.13</v>
      </c>
      <c r="V86" s="76">
        <f>资产资本表!V53</f>
        <v>508298207</v>
      </c>
      <c r="W86" s="76">
        <f>资产资本表!W53</f>
        <v>500633130.51999998</v>
      </c>
      <c r="X86" s="76">
        <f>资产资本表!X53</f>
        <v>477739596.64999998</v>
      </c>
      <c r="Y86" s="76">
        <f>资产资本表!Y53</f>
        <v>392672323.94999999</v>
      </c>
      <c r="Z86" s="76">
        <f>资产资本表!Z53</f>
        <v>357930180.56</v>
      </c>
      <c r="AA86" s="76">
        <f>资产资本表!AA53</f>
        <v>331098306.48000002</v>
      </c>
      <c r="AB86" s="76">
        <f>资产资本表!AB53</f>
        <v>316656062.33999997</v>
      </c>
      <c r="AC86" s="76">
        <f>资产资本表!AC53</f>
        <v>251446326.43000001</v>
      </c>
      <c r="AD86" s="76">
        <f>资产资本表!AD53</f>
        <v>293041026.48000002</v>
      </c>
      <c r="AE86" s="76">
        <f>资产资本表!AE53</f>
        <v>341962470.41000003</v>
      </c>
      <c r="AF86" s="76">
        <f>资产资本表!AF53</f>
        <v>312224946.49000001</v>
      </c>
      <c r="AG86" s="76">
        <f>资产资本表!AG53</f>
        <v>263458445.09999999</v>
      </c>
      <c r="AH86" s="76">
        <f>资产资本表!AH53</f>
        <v>267427752.28999999</v>
      </c>
      <c r="AI86" s="76">
        <f>资产资本表!AI53</f>
        <v>277632965.17000002</v>
      </c>
      <c r="AJ86" s="76">
        <f>资产资本表!AJ53</f>
        <v>270471465.01999998</v>
      </c>
      <c r="AK86" s="76">
        <f>资产资本表!AK53</f>
        <v>193956334.38999999</v>
      </c>
      <c r="AL86" s="76">
        <f>资产资本表!AL53</f>
        <v>811284321.63999999</v>
      </c>
      <c r="AM86" s="76">
        <f>资产资本表!AM53</f>
        <v>819595902.76999998</v>
      </c>
      <c r="AN86" s="76">
        <f>资产资本表!AN53</f>
        <v>673327881.15999997</v>
      </c>
      <c r="AO86" s="76">
        <f>资产资本表!AO53</f>
        <v>582860996.70000005</v>
      </c>
      <c r="AP86" s="76">
        <f>资产资本表!AP53</f>
        <v>1314894893.3699999</v>
      </c>
      <c r="AQ86" s="76">
        <f>资产资本表!AQ53</f>
        <v>1197950992.3099999</v>
      </c>
      <c r="AR86" s="76">
        <f>资产资本表!AR53</f>
        <v>1043792132.59</v>
      </c>
      <c r="AS86" s="76">
        <f>资产资本表!AS53</f>
        <v>994453165.72000003</v>
      </c>
      <c r="AT86" s="76">
        <f>资产资本表!AT53</f>
        <v>1207096398.72</v>
      </c>
      <c r="AU86" s="76">
        <f>资产资本表!AU53</f>
        <v>1074086870.21</v>
      </c>
      <c r="AV86" s="76">
        <f>资产资本表!AV53</f>
        <v>1073527595.41</v>
      </c>
      <c r="AW86" s="76">
        <f>资产资本表!AW53</f>
        <v>1179883698.02</v>
      </c>
      <c r="AX86" s="76">
        <f>资产资本表!AX53</f>
        <v>1208808413.78</v>
      </c>
      <c r="AY86" s="76">
        <f>资产资本表!AY53</f>
        <v>1042924430.55</v>
      </c>
      <c r="AZ86" s="76">
        <f>资产资本表!AZ53</f>
        <v>943031845.61000001</v>
      </c>
      <c r="BA86" s="76">
        <f>资产资本表!BA53</f>
        <v>909890443.63</v>
      </c>
      <c r="BB86" s="76">
        <f>资产资本表!BB53</f>
        <v>974012522.40999997</v>
      </c>
      <c r="BC86" s="76">
        <f>资产资本表!BC53</f>
        <v>929053724.75</v>
      </c>
      <c r="BD86" s="76">
        <f>资产资本表!BD53</f>
        <v>849288036.95000005</v>
      </c>
      <c r="BE86" s="76">
        <f>资产资本表!BE53</f>
        <v>776047024.87</v>
      </c>
      <c r="BF86" s="76">
        <f>资产资本表!BF53</f>
        <v>733384383.46000004</v>
      </c>
      <c r="BG86" s="76">
        <f>资产资本表!BG53</f>
        <v>675660352.38999999</v>
      </c>
      <c r="BH86" s="76">
        <f>资产资本表!BH53</f>
        <v>637644833.05999994</v>
      </c>
      <c r="BI86" s="76">
        <f>资产资本表!BI53</f>
        <v>721652502.10000002</v>
      </c>
      <c r="BJ86" s="76">
        <f>资产资本表!BJ53</f>
        <v>697188715.02999997</v>
      </c>
      <c r="BK86" s="76">
        <f>资产资本表!BK53</f>
        <v>617706515.54999995</v>
      </c>
      <c r="BL86" s="76">
        <f>资产资本表!BL53</f>
        <v>536385132.75</v>
      </c>
      <c r="BM86" s="76">
        <f>资产资本表!BM53</f>
        <v>442903497.32999998</v>
      </c>
      <c r="BN86" s="76">
        <f>资产资本表!BN53</f>
        <v>389477083.10000002</v>
      </c>
      <c r="BO86" s="76">
        <f>资产资本表!BO53</f>
        <v>273149253.39999998</v>
      </c>
      <c r="BP86" s="76">
        <f>资产资本表!BP53</f>
        <v>184181516.44999999</v>
      </c>
      <c r="BQ86" s="76">
        <f>资产资本表!BQ53</f>
        <v>162048784.65000001</v>
      </c>
      <c r="BR86" s="76">
        <f>资产资本表!BR53</f>
        <v>0</v>
      </c>
      <c r="BS86" s="76">
        <f>资产资本表!BS53</f>
        <v>5776136.6299999999</v>
      </c>
      <c r="BT86" s="76">
        <f>资产资本表!BT53</f>
        <v>25290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2" t="s">
        <v>585</v>
      </c>
      <c r="E87" s="54">
        <f>E81/E86</f>
        <v>28.872107115176732</v>
      </c>
      <c r="F87" s="54">
        <f t="shared" ref="F87:BQ87" si="50">F81/F86</f>
        <v>17.733636249700709</v>
      </c>
      <c r="G87" s="54">
        <f t="shared" si="50"/>
        <v>11.040447238335338</v>
      </c>
      <c r="H87" s="54">
        <f t="shared" si="50"/>
        <v>6.390529152633488</v>
      </c>
      <c r="I87" s="54">
        <f t="shared" si="50"/>
        <v>14.154455544907542</v>
      </c>
      <c r="J87" s="54">
        <f t="shared" si="50"/>
        <v>4.7993826139124875</v>
      </c>
      <c r="K87" s="54">
        <f t="shared" si="50"/>
        <v>3.3827867295956153</v>
      </c>
      <c r="L87" s="54">
        <f t="shared" si="50"/>
        <v>1.8925742379237775</v>
      </c>
      <c r="M87" s="54">
        <f t="shared" si="50"/>
        <v>6.6718239369276588</v>
      </c>
      <c r="N87" s="54">
        <f t="shared" si="50"/>
        <v>4.8771739457764909</v>
      </c>
      <c r="O87" s="54">
        <f t="shared" si="50"/>
        <v>3.5483112943310982</v>
      </c>
      <c r="P87" s="54">
        <f t="shared" si="50"/>
        <v>2.454632279261483</v>
      </c>
      <c r="Q87" s="54">
        <f t="shared" si="50"/>
        <v>9.2273552832245151</v>
      </c>
      <c r="R87" s="54">
        <f t="shared" si="50"/>
        <v>7.1168386299545308</v>
      </c>
      <c r="S87" s="54">
        <f t="shared" si="50"/>
        <v>4.9021619164298667</v>
      </c>
      <c r="T87" s="54">
        <f t="shared" si="50"/>
        <v>3.3228844393648833</v>
      </c>
      <c r="U87" s="54">
        <f t="shared" si="50"/>
        <v>67.762183169197215</v>
      </c>
      <c r="V87" s="54">
        <f t="shared" si="50"/>
        <v>43.155204451154006</v>
      </c>
      <c r="W87" s="54">
        <f t="shared" si="50"/>
        <v>28.220000495044346</v>
      </c>
      <c r="X87" s="54">
        <f t="shared" si="50"/>
        <v>14.999355091890727</v>
      </c>
      <c r="Y87" s="54">
        <f t="shared" si="50"/>
        <v>67.372548405928981</v>
      </c>
      <c r="Z87" s="54">
        <f t="shared" si="50"/>
        <v>55.685269594467414</v>
      </c>
      <c r="AA87" s="54">
        <f t="shared" si="50"/>
        <v>40.061931990616323</v>
      </c>
      <c r="AB87" s="54">
        <f t="shared" si="50"/>
        <v>18.998429075267584</v>
      </c>
      <c r="AC87" s="54">
        <f t="shared" si="50"/>
        <v>73.186017344433225</v>
      </c>
      <c r="AD87" s="54">
        <f t="shared" si="50"/>
        <v>46.553466058791152</v>
      </c>
      <c r="AE87" s="54">
        <f t="shared" si="50"/>
        <v>28.733630960436127</v>
      </c>
      <c r="AF87" s="54">
        <f t="shared" si="50"/>
        <v>13.517783077192961</v>
      </c>
      <c r="AG87" s="54">
        <f t="shared" si="50"/>
        <v>44.156047970921549</v>
      </c>
      <c r="AH87" s="54">
        <f t="shared" si="50"/>
        <v>34.878869916257344</v>
      </c>
      <c r="AI87" s="54">
        <f t="shared" si="50"/>
        <v>23.726528147500385</v>
      </c>
      <c r="AJ87" s="54">
        <f t="shared" si="50"/>
        <v>11.239285815918564</v>
      </c>
      <c r="AK87" s="54">
        <f t="shared" si="50"/>
        <v>49.85657774881399</v>
      </c>
      <c r="AL87" s="54">
        <f t="shared" si="50"/>
        <v>9.6232629887359948</v>
      </c>
      <c r="AM87" s="54">
        <f t="shared" si="50"/>
        <v>6.7667566572088562</v>
      </c>
      <c r="AN87" s="54">
        <f t="shared" si="50"/>
        <v>3.7315210575736675</v>
      </c>
      <c r="AO87" s="54">
        <f t="shared" si="50"/>
        <v>14.140053307344589</v>
      </c>
      <c r="AP87" s="54">
        <f t="shared" si="50"/>
        <v>4.9331070595197382</v>
      </c>
      <c r="AQ87" s="54">
        <f t="shared" si="50"/>
        <v>3.8563491655796653</v>
      </c>
      <c r="AR87" s="54">
        <f t="shared" si="50"/>
        <v>1.9098595718607916</v>
      </c>
      <c r="AS87" s="54">
        <f t="shared" si="50"/>
        <v>7.2777994948409503</v>
      </c>
      <c r="AT87" s="54">
        <f t="shared" si="50"/>
        <v>3.6934765557975737</v>
      </c>
      <c r="AU87" s="54">
        <f t="shared" si="50"/>
        <v>2.4477432406430721</v>
      </c>
      <c r="AV87" s="54">
        <f t="shared" si="50"/>
        <v>1.4788051117341703</v>
      </c>
      <c r="AW87" s="54">
        <f t="shared" si="50"/>
        <v>4.1497199337752066</v>
      </c>
      <c r="AX87" s="54">
        <f t="shared" si="50"/>
        <v>2.6881457885859752</v>
      </c>
      <c r="AY87" s="54">
        <f t="shared" si="50"/>
        <v>1.9459338799741575</v>
      </c>
      <c r="AZ87" s="54">
        <f t="shared" si="50"/>
        <v>1.4363227037087418</v>
      </c>
      <c r="BA87" s="54">
        <f t="shared" si="50"/>
        <v>4.3197675776539031</v>
      </c>
      <c r="BB87" s="54">
        <f t="shared" si="50"/>
        <v>2.6491639623539078</v>
      </c>
      <c r="BC87" s="54">
        <f t="shared" si="50"/>
        <v>1.8149050985869803</v>
      </c>
      <c r="BD87" s="54">
        <f t="shared" si="50"/>
        <v>1.3470310081470644</v>
      </c>
      <c r="BE87" s="54">
        <f t="shared" si="50"/>
        <v>3.8783648715413701</v>
      </c>
      <c r="BF87" s="54">
        <f t="shared" si="50"/>
        <v>2.8231282521751777</v>
      </c>
      <c r="BG87" s="54">
        <f t="shared" si="50"/>
        <v>1.9449257373347828</v>
      </c>
      <c r="BH87" s="54">
        <f t="shared" si="50"/>
        <v>1.3384126422925084</v>
      </c>
      <c r="BI87" s="54">
        <f t="shared" si="50"/>
        <v>3.3271109404361057</v>
      </c>
      <c r="BJ87" s="54">
        <f t="shared" si="50"/>
        <v>2.2271507364160152</v>
      </c>
      <c r="BK87" s="54">
        <f t="shared" si="50"/>
        <v>1.6335388086064686</v>
      </c>
      <c r="BL87" s="54">
        <f t="shared" si="50"/>
        <v>1.3682132689387074</v>
      </c>
      <c r="BM87" s="54">
        <f t="shared" si="50"/>
        <v>4.142885088877156</v>
      </c>
      <c r="BN87" s="54">
        <f t="shared" si="50"/>
        <v>3.5018394752890143</v>
      </c>
      <c r="BO87" s="54">
        <f t="shared" si="50"/>
        <v>3.4986521131746944</v>
      </c>
      <c r="BP87" s="54">
        <f t="shared" si="50"/>
        <v>3.898408876033554</v>
      </c>
      <c r="BQ87" s="54">
        <f t="shared" si="50"/>
        <v>9.9849354859694088</v>
      </c>
      <c r="BR87" s="54" t="e">
        <f t="shared" ref="BR87:CK87" si="51">BR81/BR86</f>
        <v>#DIV/0!</v>
      </c>
      <c r="BS87" s="54">
        <f t="shared" si="51"/>
        <v>192.86261468853101</v>
      </c>
      <c r="BT87" s="54">
        <f t="shared" si="51"/>
        <v>35225.709198892844</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269870.82</v>
      </c>
      <c r="K88" s="76">
        <f>资产资本表!K54</f>
        <v>269870.82</v>
      </c>
      <c r="L88" s="76">
        <f>资产资本表!L54</f>
        <v>260855.92</v>
      </c>
      <c r="M88" s="76">
        <f>资产资本表!M54</f>
        <v>260855.92</v>
      </c>
      <c r="N88" s="76">
        <f>资产资本表!N54</f>
        <v>260855.92</v>
      </c>
      <c r="O88" s="76">
        <f>资产资本表!O54</f>
        <v>260855.92</v>
      </c>
      <c r="P88" s="76">
        <f>资产资本表!P54</f>
        <v>260855.92</v>
      </c>
      <c r="Q88" s="76">
        <f>资产资本表!Q54</f>
        <v>260855.92</v>
      </c>
      <c r="R88" s="76">
        <f>资产资本表!R54</f>
        <v>1224766.1499999999</v>
      </c>
      <c r="S88" s="76">
        <f>资产资本表!S54</f>
        <v>1224766.1499999999</v>
      </c>
      <c r="T88" s="76">
        <f>资产资本表!T54</f>
        <v>1725110.46</v>
      </c>
      <c r="U88" s="76">
        <f>资产资本表!U54</f>
        <v>1725110.46</v>
      </c>
      <c r="V88" s="76">
        <f>资产资本表!V54</f>
        <v>2676942.59</v>
      </c>
      <c r="W88" s="76">
        <f>资产资本表!W54</f>
        <v>2676942.59</v>
      </c>
      <c r="X88" s="76">
        <f>资产资本表!X54</f>
        <v>2676942.59</v>
      </c>
      <c r="Y88" s="76">
        <f>资产资本表!Y54</f>
        <v>2676942.59</v>
      </c>
      <c r="Z88" s="76">
        <f>资产资本表!Z54</f>
        <v>2090289.79</v>
      </c>
      <c r="AA88" s="76">
        <f>资产资本表!AA54</f>
        <v>2090289.79</v>
      </c>
      <c r="AB88" s="76">
        <f>资产资本表!AB54</f>
        <v>17063746.940000001</v>
      </c>
      <c r="AC88" s="76">
        <f>资产资本表!AC54</f>
        <v>4918294.6399999997</v>
      </c>
      <c r="AD88" s="76">
        <f>资产资本表!AD54</f>
        <v>9193593.0800000001</v>
      </c>
      <c r="AE88" s="76">
        <f>资产资本表!AE54</f>
        <v>8457630.3800000008</v>
      </c>
      <c r="AF88" s="76">
        <f>资产资本表!AF54</f>
        <v>13359601.050000001</v>
      </c>
      <c r="AG88" s="76">
        <f>资产资本表!AG54</f>
        <v>18528802.460000001</v>
      </c>
      <c r="AH88" s="76">
        <f>资产资本表!AH54</f>
        <v>29764562.68</v>
      </c>
      <c r="AI88" s="76">
        <f>资产资本表!AI54</f>
        <v>28534493.73</v>
      </c>
      <c r="AJ88" s="76">
        <f>资产资本表!AJ54</f>
        <v>34573760.18</v>
      </c>
      <c r="AK88" s="76">
        <f>资产资本表!AK54</f>
        <v>24915041.530000001</v>
      </c>
      <c r="AL88" s="76">
        <f>资产资本表!AL54</f>
        <v>58066303.960000001</v>
      </c>
      <c r="AM88" s="76">
        <f>资产资本表!AM54</f>
        <v>48241829.450000003</v>
      </c>
      <c r="AN88" s="76">
        <f>资产资本表!AN54</f>
        <v>76212689.329999998</v>
      </c>
      <c r="AO88" s="76">
        <f>资产资本表!AO54</f>
        <v>62368950.890000001</v>
      </c>
      <c r="AP88" s="76">
        <f>资产资本表!AP54</f>
        <v>86238644.049999997</v>
      </c>
      <c r="AQ88" s="76">
        <f>资产资本表!AQ54</f>
        <v>20951751.210000001</v>
      </c>
      <c r="AR88" s="76">
        <f>资产资本表!AR54</f>
        <v>49874189.399999999</v>
      </c>
      <c r="AS88" s="76">
        <f>资产资本表!AS54</f>
        <v>11931427.66</v>
      </c>
      <c r="AT88" s="76">
        <f>资产资本表!AT54</f>
        <v>54999356.25</v>
      </c>
      <c r="AU88" s="76">
        <f>资产资本表!AU54</f>
        <v>23465945.789999999</v>
      </c>
      <c r="AV88" s="76">
        <f>资产资本表!AV54</f>
        <v>15359723.76</v>
      </c>
      <c r="AW88" s="76">
        <f>资产资本表!AW54</f>
        <v>47444702.520000003</v>
      </c>
      <c r="AX88" s="76">
        <f>资产资本表!AX54</f>
        <v>81705306.280000001</v>
      </c>
      <c r="AY88" s="76">
        <f>资产资本表!AY54</f>
        <v>49288779.32</v>
      </c>
      <c r="AZ88" s="76">
        <f>资产资本表!AZ54</f>
        <v>27434478.82</v>
      </c>
      <c r="BA88" s="76">
        <f>资产资本表!BA54</f>
        <v>19108529.359999999</v>
      </c>
      <c r="BB88" s="76">
        <f>资产资本表!BB54</f>
        <v>60212675.93</v>
      </c>
      <c r="BC88" s="76">
        <f>资产资本表!BC54</f>
        <v>45532107.710000001</v>
      </c>
      <c r="BD88" s="76">
        <f>资产资本表!BD54</f>
        <v>20256459.23</v>
      </c>
      <c r="BE88" s="76">
        <f>资产资本表!BE54</f>
        <v>10991173.91</v>
      </c>
      <c r="BF88" s="76">
        <f>资产资本表!BF54</f>
        <v>20644752.170000002</v>
      </c>
      <c r="BG88" s="76">
        <f>资产资本表!BG54</f>
        <v>17528075.469999999</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0</v>
      </c>
      <c r="G89" s="76">
        <f>资产资本表!G55</f>
        <v>0</v>
      </c>
      <c r="H89" s="76">
        <f>资产资本表!H55</f>
        <v>0</v>
      </c>
      <c r="I89" s="76">
        <f>资产资本表!I55</f>
        <v>0</v>
      </c>
      <c r="J89" s="76">
        <f>资产资本表!J55</f>
        <v>1792981.04</v>
      </c>
      <c r="K89" s="76">
        <f>资产资本表!K55</f>
        <v>1792981.04</v>
      </c>
      <c r="L89" s="76">
        <f>资产资本表!L55</f>
        <v>1792981.04</v>
      </c>
      <c r="M89" s="76">
        <f>资产资本表!M55</f>
        <v>682594.04</v>
      </c>
      <c r="N89" s="76">
        <f>资产资本表!N55</f>
        <v>682594.04</v>
      </c>
      <c r="O89" s="76">
        <f>资产资本表!O55</f>
        <v>0</v>
      </c>
      <c r="P89" s="76">
        <f>资产资本表!P55</f>
        <v>0</v>
      </c>
      <c r="Q89" s="76">
        <f>资产资本表!Q55</f>
        <v>0</v>
      </c>
      <c r="R89" s="76">
        <f>资产资本表!R55</f>
        <v>836478.5</v>
      </c>
      <c r="S89" s="76">
        <f>资产资本表!S55</f>
        <v>260558.5</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494592.89</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164317.37</v>
      </c>
      <c r="AS89" s="76">
        <f>资产资本表!AS55</f>
        <v>0</v>
      </c>
      <c r="AT89" s="76">
        <f>资产资本表!AT55</f>
        <v>456645.64</v>
      </c>
      <c r="AU89" s="76">
        <f>资产资本表!AU55</f>
        <v>0</v>
      </c>
      <c r="AV89" s="76">
        <f>资产资本表!AV55</f>
        <v>35490</v>
      </c>
      <c r="AW89" s="76">
        <f>资产资本表!AW55</f>
        <v>0</v>
      </c>
      <c r="AX89" s="76">
        <f>资产资本表!AX55</f>
        <v>140744.01</v>
      </c>
      <c r="AY89" s="76">
        <f>资产资本表!AY55</f>
        <v>122591.96</v>
      </c>
      <c r="AZ89" s="76">
        <f>资产资本表!AZ55</f>
        <v>15676.67</v>
      </c>
      <c r="BA89" s="76">
        <f>资产资本表!BA55</f>
        <v>0</v>
      </c>
      <c r="BB89" s="76">
        <f>资产资本表!BB55</f>
        <v>13066.32</v>
      </c>
      <c r="BC89" s="76">
        <f>资产资本表!BC55</f>
        <v>0</v>
      </c>
      <c r="BD89" s="76">
        <f>资产资本表!BD55</f>
        <v>0</v>
      </c>
      <c r="BE89" s="76">
        <f>资产资本表!BE55</f>
        <v>0</v>
      </c>
      <c r="BF89" s="76">
        <f>资产资本表!BF55</f>
        <v>144779.23000000001</v>
      </c>
      <c r="BG89" s="76">
        <f>资产资本表!BG55</f>
        <v>144779.23000000001</v>
      </c>
      <c r="BH89" s="76">
        <f>资产资本表!BH55</f>
        <v>117684.47</v>
      </c>
      <c r="BI89" s="76">
        <f>资产资本表!BI55</f>
        <v>6730</v>
      </c>
      <c r="BJ89" s="76">
        <f>资产资本表!BJ55</f>
        <v>6730</v>
      </c>
      <c r="BK89" s="76">
        <f>资产资本表!BK55</f>
        <v>6730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449993.46</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3458622239.3800001</v>
      </c>
      <c r="F92" s="76">
        <f>资产资本表!F58</f>
        <v>3473785664.3499999</v>
      </c>
      <c r="G92" s="76">
        <f>资产资本表!G58</f>
        <v>3486620572.5500002</v>
      </c>
      <c r="H92" s="76">
        <f>资产资本表!H58</f>
        <v>3506692179.8400002</v>
      </c>
      <c r="I92" s="76">
        <f>资产资本表!I58</f>
        <v>3531740625.5999999</v>
      </c>
      <c r="J92" s="76">
        <f>资产资本表!J58</f>
        <v>3551889907.73</v>
      </c>
      <c r="K92" s="76">
        <f>资产资本表!K58</f>
        <v>3572114511.04</v>
      </c>
      <c r="L92" s="76">
        <f>资产资本表!L58</f>
        <v>3562139114.3499999</v>
      </c>
      <c r="M92" s="76">
        <f>资产资本表!M58</f>
        <v>3582462431.04</v>
      </c>
      <c r="N92" s="76">
        <f>资产资本表!N58</f>
        <v>3603081357.7800002</v>
      </c>
      <c r="O92" s="76">
        <f>资产资本表!O58</f>
        <v>3612750116.1100001</v>
      </c>
      <c r="P92" s="76">
        <f>资产资本表!P58</f>
        <v>3562868314.6999998</v>
      </c>
      <c r="Q92" s="76">
        <f>资产资本表!Q58</f>
        <v>3582623682.2399998</v>
      </c>
      <c r="R92" s="76">
        <f>资产资本表!R58</f>
        <v>3565626838.7800002</v>
      </c>
      <c r="S92" s="76">
        <f>资产资本表!S58</f>
        <v>3700019421.5900002</v>
      </c>
      <c r="T92" s="76">
        <f>资产资本表!T58</f>
        <v>3686129714.0799999</v>
      </c>
      <c r="U92" s="76">
        <f>资产资本表!U58</f>
        <v>3563308110.5100002</v>
      </c>
      <c r="V92" s="76">
        <f>资产资本表!V58</f>
        <v>1041613845.3099999</v>
      </c>
      <c r="W92" s="76">
        <f>资产资本表!W58</f>
        <v>1022370760.39</v>
      </c>
      <c r="X92" s="76">
        <f>资产资本表!X58</f>
        <v>950991339.07000005</v>
      </c>
      <c r="Y92" s="76">
        <f>资产资本表!Y58</f>
        <v>862615899.20000005</v>
      </c>
      <c r="Z92" s="76">
        <f>资产资本表!Z58</f>
        <v>803234798.05999994</v>
      </c>
      <c r="AA92" s="76">
        <f>资产资本表!AA58</f>
        <v>807769533.46000004</v>
      </c>
      <c r="AB92" s="76">
        <f>资产资本表!AB58</f>
        <v>805843181.95000005</v>
      </c>
      <c r="AC92" s="76">
        <f>资产资本表!AC58</f>
        <v>808425512.33000004</v>
      </c>
      <c r="AD92" s="76">
        <f>资产资本表!AD58</f>
        <v>464193004.38999999</v>
      </c>
      <c r="AE92" s="76">
        <f>资产资本表!AE58</f>
        <v>465496995.37</v>
      </c>
      <c r="AF92" s="76">
        <f>资产资本表!AF58</f>
        <v>467473261.33999997</v>
      </c>
      <c r="AG92" s="76">
        <f>资产资本表!AG58</f>
        <v>452317235.72000003</v>
      </c>
      <c r="AH92" s="76">
        <f>资产资本表!AH58</f>
        <v>460772956.60000002</v>
      </c>
      <c r="AI92" s="76">
        <f>资产资本表!AI58</f>
        <v>463868158.93000001</v>
      </c>
      <c r="AJ92" s="76">
        <f>资产资本表!AJ58</f>
        <v>462690687.36000001</v>
      </c>
      <c r="AK92" s="76">
        <f>资产资本表!AK58</f>
        <v>465550825.17000002</v>
      </c>
      <c r="AL92" s="76">
        <f>资产资本表!AL58</f>
        <v>466854656.80000001</v>
      </c>
      <c r="AM92" s="76">
        <f>资产资本表!AM58</f>
        <v>473613977</v>
      </c>
      <c r="AN92" s="76">
        <f>资产资本表!AN58</f>
        <v>476520713.93000001</v>
      </c>
      <c r="AO92" s="76">
        <f>资产资本表!AO58</f>
        <v>445207595.72000003</v>
      </c>
      <c r="AP92" s="76">
        <f>资产资本表!AP58</f>
        <v>257618015.97</v>
      </c>
      <c r="AQ92" s="76">
        <f>资产资本表!AQ58</f>
        <v>259113847.75999999</v>
      </c>
      <c r="AR92" s="76">
        <f>资产资本表!AR58</f>
        <v>247652499.97999999</v>
      </c>
      <c r="AS92" s="76">
        <f>资产资本表!AS58</f>
        <v>249274093.40000001</v>
      </c>
      <c r="AT92" s="76">
        <f>资产资本表!AT58</f>
        <v>252846793.83000001</v>
      </c>
      <c r="AU92" s="76">
        <f>资产资本表!AU58</f>
        <v>254479095.53999999</v>
      </c>
      <c r="AV92" s="76">
        <f>资产资本表!AV58</f>
        <v>255348897.25</v>
      </c>
      <c r="AW92" s="76">
        <f>资产资本表!AW58</f>
        <v>66093918.659999996</v>
      </c>
      <c r="AX92" s="76">
        <f>资产资本表!AX58</f>
        <v>66853374.939999998</v>
      </c>
      <c r="AY92" s="76">
        <f>资产资本表!AY58</f>
        <v>69018445.219999999</v>
      </c>
      <c r="AZ92" s="76">
        <f>资产资本表!AZ58</f>
        <v>56933580.289999999</v>
      </c>
      <c r="BA92" s="76">
        <f>资产资本表!BA58</f>
        <v>57074911.579999998</v>
      </c>
      <c r="BB92" s="76">
        <f>资产资本表!BB58</f>
        <v>57229688</v>
      </c>
      <c r="BC92" s="76">
        <f>资产资本表!BC58</f>
        <v>39766396</v>
      </c>
      <c r="BD92" s="76">
        <f>资产资本表!BD58</f>
        <v>37656999.829999998</v>
      </c>
      <c r="BE92" s="76">
        <f>资产资本表!BE58</f>
        <v>37699499.840000004</v>
      </c>
      <c r="BF92" s="76">
        <f>资产资本表!BF58</f>
        <v>128704.85</v>
      </c>
      <c r="BG92" s="76">
        <f>资产资本表!BG58</f>
        <v>171204.86</v>
      </c>
      <c r="BH92" s="76">
        <f>资产资本表!BH58</f>
        <v>213704.87</v>
      </c>
      <c r="BI92" s="76">
        <f>资产资本表!BI58</f>
        <v>256204.88</v>
      </c>
      <c r="BJ92" s="76">
        <f>资产资本表!BJ58</f>
        <v>297499.89</v>
      </c>
      <c r="BK92" s="76">
        <f>资产资本表!BK58</f>
        <v>339999.9</v>
      </c>
      <c r="BL92" s="76">
        <f>资产资本表!BL58</f>
        <v>382499.91</v>
      </c>
      <c r="BM92" s="76">
        <f>资产资本表!BM58</f>
        <v>424999.92</v>
      </c>
      <c r="BN92" s="76">
        <f>资产资本表!BN58</f>
        <v>467499.93</v>
      </c>
      <c r="BO92" s="76">
        <f>资产资本表!BO58</f>
        <v>509999.94</v>
      </c>
      <c r="BP92" s="76">
        <f>资产资本表!BP58</f>
        <v>552499.94999999995</v>
      </c>
      <c r="BQ92" s="76">
        <f>资产资本表!BQ58</f>
        <v>594999.96</v>
      </c>
      <c r="BR92" s="76">
        <f>资产资本表!BR58</f>
        <v>679999.98</v>
      </c>
      <c r="BS92" s="76">
        <f>资产资本表!BS58</f>
        <v>765000</v>
      </c>
      <c r="BT92" s="76">
        <f>资产资本表!BT58</f>
        <v>935000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3" customFormat="1" x14ac:dyDescent="0.25">
      <c r="A93" s="249" t="s">
        <v>689</v>
      </c>
      <c r="E93" s="153">
        <f>E81/E92</f>
        <v>16.832674193584744</v>
      </c>
      <c r="F93" s="153">
        <f t="shared" ref="F93:BQ93" si="52">F81/F92</f>
        <v>12.220232219754166</v>
      </c>
      <c r="G93" s="153">
        <f t="shared" si="52"/>
        <v>6.9379588961893273</v>
      </c>
      <c r="H93" s="153">
        <f t="shared" si="52"/>
        <v>3.7952116702405383</v>
      </c>
      <c r="I93" s="153">
        <f t="shared" si="52"/>
        <v>11.003693111590771</v>
      </c>
      <c r="J93" s="153">
        <f t="shared" si="52"/>
        <v>7.4979474939442428</v>
      </c>
      <c r="K93" s="153">
        <f t="shared" si="52"/>
        <v>5.0875285820971534</v>
      </c>
      <c r="L93" s="153">
        <f t="shared" si="52"/>
        <v>2.8041447597401579</v>
      </c>
      <c r="M93" s="153">
        <f t="shared" si="52"/>
        <v>9.116518136325249</v>
      </c>
      <c r="N93" s="153">
        <f t="shared" si="52"/>
        <v>6.4246922737134122</v>
      </c>
      <c r="O93" s="153">
        <f t="shared" si="52"/>
        <v>4.3674892973056032</v>
      </c>
      <c r="P93" s="153">
        <f t="shared" si="52"/>
        <v>2.3981446074633954</v>
      </c>
      <c r="Q93" s="153">
        <f t="shared" si="52"/>
        <v>8.8130742526657766</v>
      </c>
      <c r="R93" s="153">
        <f t="shared" si="52"/>
        <v>6.0909876859242527</v>
      </c>
      <c r="S93" s="153">
        <f t="shared" si="52"/>
        <v>3.8706900616580016</v>
      </c>
      <c r="T93" s="153">
        <f t="shared" si="52"/>
        <v>2.0210427544597032</v>
      </c>
      <c r="U93" s="153">
        <f t="shared" si="52"/>
        <v>8.677835415185104</v>
      </c>
      <c r="V93" s="153">
        <f t="shared" si="52"/>
        <v>21.059352411652711</v>
      </c>
      <c r="W93" s="153">
        <f t="shared" si="52"/>
        <v>13.81873165633248</v>
      </c>
      <c r="X93" s="153">
        <f t="shared" si="52"/>
        <v>7.5350695187377985</v>
      </c>
      <c r="Y93" s="153">
        <f t="shared" si="52"/>
        <v>30.668731213423015</v>
      </c>
      <c r="Z93" s="153">
        <f t="shared" si="52"/>
        <v>24.81396305117643</v>
      </c>
      <c r="AA93" s="153">
        <f t="shared" si="52"/>
        <v>16.421067256143107</v>
      </c>
      <c r="AB93" s="153">
        <f t="shared" si="52"/>
        <v>7.4654323277419889</v>
      </c>
      <c r="AC93" s="153">
        <f t="shared" si="52"/>
        <v>22.76320443458264</v>
      </c>
      <c r="AD93" s="153">
        <f t="shared" si="52"/>
        <v>29.388800242686052</v>
      </c>
      <c r="AE93" s="153">
        <f t="shared" si="52"/>
        <v>21.108242426505782</v>
      </c>
      <c r="AF93" s="153">
        <f t="shared" si="52"/>
        <v>9.028514456295941</v>
      </c>
      <c r="AG93" s="153">
        <f t="shared" si="52"/>
        <v>25.719302342441367</v>
      </c>
      <c r="AH93" s="153">
        <f t="shared" si="52"/>
        <v>20.243327327513562</v>
      </c>
      <c r="AI93" s="153">
        <f t="shared" si="52"/>
        <v>14.200729746087294</v>
      </c>
      <c r="AJ93" s="153">
        <f t="shared" si="52"/>
        <v>6.5700611303740759</v>
      </c>
      <c r="AK93" s="153">
        <f t="shared" si="52"/>
        <v>20.771092096891707</v>
      </c>
      <c r="AL93" s="153">
        <f t="shared" si="52"/>
        <v>16.722982778609396</v>
      </c>
      <c r="AM93" s="153">
        <f t="shared" si="52"/>
        <v>11.709971201483354</v>
      </c>
      <c r="AN93" s="153">
        <f t="shared" si="52"/>
        <v>5.2726714574029758</v>
      </c>
      <c r="AO93" s="153">
        <f t="shared" si="52"/>
        <v>18.512005732474879</v>
      </c>
      <c r="AP93" s="153">
        <f t="shared" si="52"/>
        <v>25.178818556561527</v>
      </c>
      <c r="AQ93" s="153">
        <f t="shared" si="52"/>
        <v>17.828909375306484</v>
      </c>
      <c r="AR93" s="153">
        <f t="shared" si="52"/>
        <v>8.0495710546874815</v>
      </c>
      <c r="AS93" s="153">
        <f t="shared" si="52"/>
        <v>29.034026955646727</v>
      </c>
      <c r="AT93" s="153">
        <f t="shared" si="52"/>
        <v>17.632741873949037</v>
      </c>
      <c r="AU93" s="153">
        <f t="shared" si="52"/>
        <v>10.331256761350559</v>
      </c>
      <c r="AV93" s="153">
        <f t="shared" si="52"/>
        <v>6.2171331569359269</v>
      </c>
      <c r="AW93" s="153">
        <f t="shared" si="52"/>
        <v>74.079234526809344</v>
      </c>
      <c r="AX93" s="153">
        <f t="shared" si="52"/>
        <v>48.605672482897695</v>
      </c>
      <c r="AY93" s="153">
        <f t="shared" si="52"/>
        <v>29.404632010920864</v>
      </c>
      <c r="AZ93" s="153">
        <f t="shared" si="52"/>
        <v>23.790846162680349</v>
      </c>
      <c r="BA93" s="153">
        <f t="shared" si="52"/>
        <v>68.865901475830199</v>
      </c>
      <c r="BB93" s="153">
        <f t="shared" si="52"/>
        <v>45.087068677536735</v>
      </c>
      <c r="BC93" s="153">
        <f t="shared" si="52"/>
        <v>42.401236006149517</v>
      </c>
      <c r="BD93" s="153">
        <f t="shared" si="52"/>
        <v>30.379938013771394</v>
      </c>
      <c r="BE93" s="153">
        <f t="shared" si="52"/>
        <v>79.836431058603665</v>
      </c>
      <c r="BF93" s="153">
        <f t="shared" si="52"/>
        <v>16086.714468413584</v>
      </c>
      <c r="BG93" s="153">
        <f t="shared" si="52"/>
        <v>7675.6536529395253</v>
      </c>
      <c r="BH93" s="153">
        <f t="shared" si="52"/>
        <v>3993.5070541911377</v>
      </c>
      <c r="BI93" s="153">
        <f t="shared" si="52"/>
        <v>9371.4761987749789</v>
      </c>
      <c r="BJ93" s="153">
        <f t="shared" si="52"/>
        <v>5219.3107032745456</v>
      </c>
      <c r="BK93" s="153">
        <f t="shared" si="52"/>
        <v>2967.7878301728911</v>
      </c>
      <c r="BL93" s="153">
        <f t="shared" si="52"/>
        <v>1918.6651727316748</v>
      </c>
      <c r="BM93" s="153">
        <f t="shared" si="52"/>
        <v>4317.408565394554</v>
      </c>
      <c r="BN93" s="153">
        <f t="shared" si="52"/>
        <v>2917.4041252155907</v>
      </c>
      <c r="BO93" s="153">
        <f t="shared" si="52"/>
        <v>1873.8320099018051</v>
      </c>
      <c r="BP93" s="153">
        <f t="shared" si="52"/>
        <v>1299.5745221877396</v>
      </c>
      <c r="BQ93" s="153">
        <f t="shared" si="52"/>
        <v>2719.4063345987452</v>
      </c>
      <c r="BR93" s="153">
        <f t="shared" ref="BR93:CK93" si="53">BR81/BR92</f>
        <v>1285.0933891792174</v>
      </c>
      <c r="BS93" s="153">
        <f t="shared" si="53"/>
        <v>1456.2102134117647</v>
      </c>
      <c r="BT93" s="153">
        <f t="shared" si="53"/>
        <v>952.7895033582887</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6" customFormat="1" x14ac:dyDescent="0.25">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177859674.53999999</v>
      </c>
      <c r="F96" s="76">
        <f>资产资本表!F61</f>
        <v>180381853.66999999</v>
      </c>
      <c r="G96" s="76">
        <f>资产资本表!G61</f>
        <v>182978339.78</v>
      </c>
      <c r="H96" s="76">
        <f>资产资本表!H61</f>
        <v>185603910.53</v>
      </c>
      <c r="I96" s="76">
        <f>资产资本表!I61</f>
        <v>188118776.50999999</v>
      </c>
      <c r="J96" s="76">
        <f>资产资本表!J61</f>
        <v>190287366.19999999</v>
      </c>
      <c r="K96" s="76">
        <f>资产资本表!K61</f>
        <v>192922015.68000001</v>
      </c>
      <c r="L96" s="76">
        <f>资产资本表!L61</f>
        <v>195934362.53999999</v>
      </c>
      <c r="M96" s="76">
        <f>资产资本表!M61</f>
        <v>198603537.81</v>
      </c>
      <c r="N96" s="76">
        <f>资产资本表!N61</f>
        <v>202031249.06</v>
      </c>
      <c r="O96" s="76">
        <f>资产资本表!O61</f>
        <v>2963228.01</v>
      </c>
      <c r="P96" s="76">
        <f>资产资本表!P61</f>
        <v>4437945.83</v>
      </c>
      <c r="Q96" s="76">
        <f>资产资本表!Q61</f>
        <v>5408286.8300000001</v>
      </c>
      <c r="R96" s="76">
        <f>资产资本表!R61</f>
        <v>5917951.8899999997</v>
      </c>
      <c r="S96" s="76">
        <f>资产资本表!S61</f>
        <v>6799810.7400000002</v>
      </c>
      <c r="T96" s="76">
        <f>资产资本表!T61</f>
        <v>7196207.0800000001</v>
      </c>
      <c r="U96" s="76">
        <f>资产资本表!U61</f>
        <v>8048744.96</v>
      </c>
      <c r="V96" s="76">
        <f>资产资本表!V61</f>
        <v>8736497.5999999996</v>
      </c>
      <c r="W96" s="76">
        <f>资产资本表!W61</f>
        <v>8234551.5099999998</v>
      </c>
      <c r="X96" s="76">
        <f>资产资本表!X61</f>
        <v>9205790.4700000007</v>
      </c>
      <c r="Y96" s="76">
        <f>资产资本表!Y61</f>
        <v>10177029.43</v>
      </c>
      <c r="Z96" s="76">
        <f>资产资本表!Z61</f>
        <v>11148268.390000001</v>
      </c>
      <c r="AA96" s="76">
        <f>资产资本表!AA61</f>
        <v>11885526.800000001</v>
      </c>
      <c r="AB96" s="76">
        <f>资产资本表!AB61</f>
        <v>12845444.119999999</v>
      </c>
      <c r="AC96" s="76">
        <f>资产资本表!AC61</f>
        <v>13805361.439999999</v>
      </c>
      <c r="AD96" s="76">
        <f>资产资本表!AD61</f>
        <v>16893673.399999999</v>
      </c>
      <c r="AE96" s="76">
        <f>资产资本表!AE61</f>
        <v>17838414.5</v>
      </c>
      <c r="AF96" s="76">
        <f>资产资本表!AF61</f>
        <v>18202831.82</v>
      </c>
      <c r="AG96" s="76">
        <f>资产资本表!AG61</f>
        <v>18701578.16</v>
      </c>
      <c r="AH96" s="76">
        <f>资产资本表!AH61</f>
        <v>19768820.690000001</v>
      </c>
      <c r="AI96" s="76">
        <f>资产资本表!AI61</f>
        <v>18891838.010000002</v>
      </c>
      <c r="AJ96" s="76">
        <f>资产资本表!AJ61</f>
        <v>20112027.370000001</v>
      </c>
      <c r="AK96" s="76">
        <f>资产资本表!AK61</f>
        <v>21469624.809999999</v>
      </c>
      <c r="AL96" s="76">
        <f>资产资本表!AL61</f>
        <v>3152879.4</v>
      </c>
      <c r="AM96" s="76">
        <f>资产资本表!AM61</f>
        <v>5462382.6500000004</v>
      </c>
      <c r="AN96" s="76">
        <f>资产资本表!AN61</f>
        <v>7803175.4299999997</v>
      </c>
      <c r="AO96" s="76">
        <f>资产资本表!AO61</f>
        <v>10146520.77</v>
      </c>
      <c r="AP96" s="76">
        <f>资产资本表!AP61</f>
        <v>8582962.8599999994</v>
      </c>
      <c r="AQ96" s="76">
        <f>资产资本表!AQ61</f>
        <v>11461634.75</v>
      </c>
      <c r="AR96" s="76">
        <f>资产资本表!AR61</f>
        <v>13941111.949999999</v>
      </c>
      <c r="AS96" s="76">
        <f>资产资本表!AS61</f>
        <v>12477325.460000001</v>
      </c>
      <c r="AT96" s="76">
        <f>资产资本表!AT61</f>
        <v>36691360.520000003</v>
      </c>
      <c r="AU96" s="76">
        <f>资产资本表!AU61</f>
        <v>70552699.730000004</v>
      </c>
      <c r="AV96" s="76">
        <f>资产资本表!AV61</f>
        <v>68191994.959999993</v>
      </c>
      <c r="AW96" s="76">
        <f>资产资本表!AW61</f>
        <v>68459874.909999996</v>
      </c>
      <c r="AX96" s="76">
        <f>资产资本表!AX61</f>
        <v>64111146.829999998</v>
      </c>
      <c r="AY96" s="76">
        <f>资产资本表!AY61</f>
        <v>60712606.950000003</v>
      </c>
      <c r="AZ96" s="76">
        <f>资产资本表!AZ61</f>
        <v>58279125.240000002</v>
      </c>
      <c r="BA96" s="76">
        <f>资产资本表!BA61</f>
        <v>60377239.579999998</v>
      </c>
      <c r="BB96" s="76">
        <f>资产资本表!BB61</f>
        <v>58900390.140000001</v>
      </c>
      <c r="BC96" s="76">
        <f>资产资本表!BC61</f>
        <v>52057433.049999997</v>
      </c>
      <c r="BD96" s="76">
        <f>资产资本表!BD61</f>
        <v>49971049.43</v>
      </c>
      <c r="BE96" s="76">
        <f>资产资本表!BE61</f>
        <v>50939036</v>
      </c>
      <c r="BF96" s="76">
        <f>资产资本表!BF61</f>
        <v>55014337.399999999</v>
      </c>
      <c r="BG96" s="76">
        <f>资产资本表!BG61</f>
        <v>49561075.75</v>
      </c>
      <c r="BH96" s="76">
        <f>资产资本表!BH61</f>
        <v>45668919.369999997</v>
      </c>
      <c r="BI96" s="76">
        <f>资产资本表!BI61</f>
        <v>33607508.119999997</v>
      </c>
      <c r="BJ96" s="76">
        <f>资产资本表!BJ61</f>
        <v>28195069.550000001</v>
      </c>
      <c r="BK96" s="76">
        <f>资产资本表!BK61</f>
        <v>25847208.399999999</v>
      </c>
      <c r="BL96" s="76">
        <f>资产资本表!BL61</f>
        <v>25173397.5</v>
      </c>
      <c r="BM96" s="76">
        <f>资产资本表!BM61</f>
        <v>22221522.309999999</v>
      </c>
      <c r="BN96" s="76">
        <f>资产资本表!BN61</f>
        <v>18148500.66</v>
      </c>
      <c r="BO96" s="76">
        <f>资产资本表!BO61</f>
        <v>18219423.449999999</v>
      </c>
      <c r="BP96" s="76">
        <f>资产资本表!BP61</f>
        <v>16908806.059999999</v>
      </c>
      <c r="BQ96" s="76">
        <f>资产资本表!BQ61</f>
        <v>16579763.939999999</v>
      </c>
      <c r="BR96" s="76">
        <f>资产资本表!BR61</f>
        <v>16168889.27</v>
      </c>
      <c r="BS96" s="76">
        <f>资产资本表!BS61</f>
        <v>11574814.359999999</v>
      </c>
      <c r="BT96" s="76">
        <f>资产资本表!BT61</f>
        <v>8442496.9499999993</v>
      </c>
      <c r="BU96" s="76">
        <f>资产资本表!BU61</f>
        <v>7917934.4500000002</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1401797361.77</v>
      </c>
      <c r="F97" s="76">
        <f>资产资本表!F62</f>
        <v>2019358117.1199999</v>
      </c>
      <c r="G97" s="76">
        <f>资产资本表!G62</f>
        <v>1835447883.46</v>
      </c>
      <c r="H97" s="76">
        <f>资产资本表!H62</f>
        <v>1845145948.6800001</v>
      </c>
      <c r="I97" s="76">
        <f>资产资本表!I62</f>
        <v>1745539120.6800001</v>
      </c>
      <c r="J97" s="76">
        <f>资产资本表!J62</f>
        <v>901987637.61000001</v>
      </c>
      <c r="K97" s="76">
        <f>资产资本表!K62</f>
        <v>895245348.82000005</v>
      </c>
      <c r="L97" s="76">
        <f>资产资本表!L62</f>
        <v>887280412.58000004</v>
      </c>
      <c r="M97" s="76">
        <f>资产资本表!M62</f>
        <v>1155336074.1400001</v>
      </c>
      <c r="N97" s="76">
        <f>资产资本表!N62</f>
        <v>767938421.36000001</v>
      </c>
      <c r="O97" s="76">
        <f>资产资本表!O62</f>
        <v>548714031.45000005</v>
      </c>
      <c r="P97" s="76">
        <f>资产资本表!P62</f>
        <v>743599436.94000006</v>
      </c>
      <c r="Q97" s="76">
        <f>资产资本表!Q62</f>
        <v>821601105.71000004</v>
      </c>
      <c r="R97" s="76">
        <f>资产资本表!R62</f>
        <v>950518493.65999997</v>
      </c>
      <c r="S97" s="76">
        <f>资产资本表!S62</f>
        <v>960373469.90999997</v>
      </c>
      <c r="T97" s="76">
        <f>资产资本表!T62</f>
        <v>804831808.55999994</v>
      </c>
      <c r="U97" s="76">
        <f>资产资本表!U62</f>
        <v>825372524.64999998</v>
      </c>
      <c r="V97" s="76">
        <f>资产资本表!V62</f>
        <v>627749883.44000006</v>
      </c>
      <c r="W97" s="76">
        <f>资产资本表!W62</f>
        <v>302817568.36000001</v>
      </c>
      <c r="X97" s="76">
        <f>资产资本表!X62</f>
        <v>567395099.30999994</v>
      </c>
      <c r="Y97" s="76">
        <f>资产资本表!Y62</f>
        <v>643656913.32000005</v>
      </c>
      <c r="Z97" s="76">
        <f>资产资本表!Z62</f>
        <v>282149572.67000002</v>
      </c>
      <c r="AA97" s="76">
        <f>资产资本表!AA62</f>
        <v>381631064.63</v>
      </c>
      <c r="AB97" s="76">
        <f>资产资本表!AB62</f>
        <v>478727366.87</v>
      </c>
      <c r="AC97" s="76">
        <f>资产资本表!AC62</f>
        <v>502628950.52999997</v>
      </c>
      <c r="AD97" s="76">
        <f>资产资本表!AD62</f>
        <v>356389121.89999998</v>
      </c>
      <c r="AE97" s="76">
        <f>资产资本表!AE62</f>
        <v>284320662.57999998</v>
      </c>
      <c r="AF97" s="76">
        <f>资产资本表!AF62</f>
        <v>310887789.67000002</v>
      </c>
      <c r="AG97" s="76">
        <f>资产资本表!AG62</f>
        <v>278437938.97000003</v>
      </c>
      <c r="AH97" s="76">
        <f>资产资本表!AH62</f>
        <v>257933326.34999999</v>
      </c>
      <c r="AI97" s="76">
        <f>资产资本表!AI62</f>
        <v>166372214.52000001</v>
      </c>
      <c r="AJ97" s="76">
        <f>资产资本表!AJ62</f>
        <v>197205662.94</v>
      </c>
      <c r="AK97" s="76">
        <f>资产资本表!AK62</f>
        <v>225420802.13999999</v>
      </c>
      <c r="AL97" s="76">
        <f>资产资本表!AL62</f>
        <v>101887756.67</v>
      </c>
      <c r="AM97" s="76">
        <f>资产资本表!AM62</f>
        <v>93737740.640000001</v>
      </c>
      <c r="AN97" s="76">
        <f>资产资本表!AN62</f>
        <v>191547177.25</v>
      </c>
      <c r="AO97" s="76">
        <f>资产资本表!AO62</f>
        <v>176680977.53999999</v>
      </c>
      <c r="AP97" s="76">
        <f>资产资本表!AP62</f>
        <v>68169347.540000007</v>
      </c>
      <c r="AQ97" s="76">
        <f>资产资本表!AQ62</f>
        <v>49096749.719999999</v>
      </c>
      <c r="AR97" s="76">
        <f>资产资本表!AR62</f>
        <v>72160364.549999997</v>
      </c>
      <c r="AS97" s="76">
        <f>资产资本表!AS62</f>
        <v>52849560.43</v>
      </c>
      <c r="AT97" s="76">
        <f>资产资本表!AT62</f>
        <v>36966481.409999996</v>
      </c>
      <c r="AU97" s="76">
        <f>资产资本表!AU62</f>
        <v>36799639.740000002</v>
      </c>
      <c r="AV97" s="76">
        <f>资产资本表!AV62</f>
        <v>51325209.009999998</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5" customFormat="1" x14ac:dyDescent="0.25">
      <c r="A100" s="88" t="s">
        <v>686</v>
      </c>
      <c r="E100" s="195">
        <f>(E84+I84)/2</f>
        <v>14848637035.68</v>
      </c>
      <c r="F100" s="195">
        <f t="shared" ref="F100:BQ100" si="54">(F84+J84)/2</f>
        <v>13050102906.630001</v>
      </c>
      <c r="G100" s="195">
        <f t="shared" si="54"/>
        <v>13196698722.32</v>
      </c>
      <c r="H100" s="195">
        <f t="shared" si="54"/>
        <v>13341737706.014999</v>
      </c>
      <c r="I100" s="195">
        <f t="shared" si="54"/>
        <v>12934565314.529999</v>
      </c>
      <c r="J100" s="195">
        <f t="shared" si="54"/>
        <v>11070113880.029999</v>
      </c>
      <c r="K100" s="195">
        <f t="shared" si="54"/>
        <v>10867126710.825001</v>
      </c>
      <c r="L100" s="195">
        <f t="shared" si="54"/>
        <v>10962336116.540001</v>
      </c>
      <c r="M100" s="195">
        <f t="shared" si="54"/>
        <v>10895855480.654999</v>
      </c>
      <c r="N100" s="195">
        <f t="shared" si="54"/>
        <v>9947306719.625</v>
      </c>
      <c r="O100" s="195">
        <f t="shared" si="54"/>
        <v>9647163003.0800018</v>
      </c>
      <c r="P100" s="195">
        <f t="shared" si="54"/>
        <v>9603598208.8450012</v>
      </c>
      <c r="Q100" s="195">
        <f t="shared" si="54"/>
        <v>9449507365.8500004</v>
      </c>
      <c r="R100" s="195">
        <f t="shared" si="54"/>
        <v>8084586793.5100002</v>
      </c>
      <c r="S100" s="195">
        <f t="shared" si="54"/>
        <v>7982427286.7700005</v>
      </c>
      <c r="T100" s="195">
        <f t="shared" si="54"/>
        <v>7876258520.7750006</v>
      </c>
      <c r="U100" s="195">
        <f t="shared" si="54"/>
        <v>7665295095.6000004</v>
      </c>
      <c r="V100" s="195">
        <f t="shared" si="54"/>
        <v>6502097969.6049995</v>
      </c>
      <c r="W100" s="195">
        <f t="shared" si="54"/>
        <v>6372849074.04</v>
      </c>
      <c r="X100" s="195">
        <f t="shared" si="54"/>
        <v>6236967594.2399998</v>
      </c>
      <c r="Y100" s="195">
        <f t="shared" si="54"/>
        <v>6116672790.3500004</v>
      </c>
      <c r="Z100" s="195">
        <f t="shared" si="54"/>
        <v>5271156682.7150002</v>
      </c>
      <c r="AA100" s="195">
        <f t="shared" si="54"/>
        <v>4983643196.6599998</v>
      </c>
      <c r="AB100" s="195">
        <f t="shared" si="54"/>
        <v>4854292032.6800003</v>
      </c>
      <c r="AC100" s="195">
        <f t="shared" si="54"/>
        <v>4808931730.79</v>
      </c>
      <c r="AD100" s="195">
        <f t="shared" si="54"/>
        <v>4229268718.5050001</v>
      </c>
      <c r="AE100" s="195">
        <f t="shared" si="54"/>
        <v>3999905753.8899999</v>
      </c>
      <c r="AF100" s="195">
        <f t="shared" si="54"/>
        <v>3721356018.0050001</v>
      </c>
      <c r="AG100" s="195">
        <f t="shared" si="54"/>
        <v>3680288134.1300001</v>
      </c>
      <c r="AH100" s="195">
        <f t="shared" si="54"/>
        <v>3087745351.7550001</v>
      </c>
      <c r="AI100" s="195">
        <f t="shared" si="54"/>
        <v>3008254330.3850002</v>
      </c>
      <c r="AJ100" s="195">
        <f t="shared" si="54"/>
        <v>2735607949.75</v>
      </c>
      <c r="AK100" s="195">
        <f t="shared" si="54"/>
        <v>2679448534.0900002</v>
      </c>
      <c r="AL100" s="195">
        <f t="shared" si="54"/>
        <v>2191673218.5450001</v>
      </c>
      <c r="AM100" s="195">
        <f t="shared" si="54"/>
        <v>2115895476.665</v>
      </c>
      <c r="AN100" s="195">
        <f t="shared" si="54"/>
        <v>2058510236.2450001</v>
      </c>
      <c r="AO100" s="195">
        <f t="shared" si="54"/>
        <v>2008577638.125</v>
      </c>
      <c r="AP100" s="195">
        <f t="shared" si="54"/>
        <v>1698794687.04</v>
      </c>
      <c r="AQ100" s="195">
        <f t="shared" si="54"/>
        <v>1689060245.3699999</v>
      </c>
      <c r="AR100" s="195">
        <f t="shared" si="54"/>
        <v>1593740388.645</v>
      </c>
      <c r="AS100" s="195">
        <f t="shared" si="54"/>
        <v>1524592993.8299999</v>
      </c>
      <c r="AT100" s="195">
        <f t="shared" si="54"/>
        <v>1226541152.7549999</v>
      </c>
      <c r="AU100" s="195">
        <f t="shared" si="54"/>
        <v>1231294482.2049999</v>
      </c>
      <c r="AV100" s="195">
        <f t="shared" si="54"/>
        <v>1168713845.0599999</v>
      </c>
      <c r="AW100" s="195">
        <f t="shared" si="54"/>
        <v>1101792329.4000001</v>
      </c>
      <c r="AX100" s="195">
        <f t="shared" si="54"/>
        <v>881376556.29999995</v>
      </c>
      <c r="AY100" s="195">
        <f t="shared" si="54"/>
        <v>867800933.10500002</v>
      </c>
      <c r="AZ100" s="195">
        <f t="shared" si="54"/>
        <v>869155517.62</v>
      </c>
      <c r="BA100" s="195">
        <f t="shared" si="54"/>
        <v>848452356.46000004</v>
      </c>
      <c r="BB100" s="195">
        <f t="shared" si="54"/>
        <v>697501738.1500001</v>
      </c>
      <c r="BC100" s="195">
        <f t="shared" si="54"/>
        <v>678178234.21000004</v>
      </c>
      <c r="BD100" s="195">
        <f t="shared" si="54"/>
        <v>681632417.255</v>
      </c>
      <c r="BE100" s="195">
        <f t="shared" si="54"/>
        <v>578168254.625</v>
      </c>
      <c r="BF100" s="195">
        <f t="shared" si="54"/>
        <v>543238290.57500005</v>
      </c>
      <c r="BG100" s="195">
        <f t="shared" si="54"/>
        <v>548380577.39499998</v>
      </c>
      <c r="BH100" s="195">
        <f t="shared" si="54"/>
        <v>549244143.245</v>
      </c>
      <c r="BI100" s="195">
        <f t="shared" si="54"/>
        <v>455456259.75999999</v>
      </c>
      <c r="BJ100" s="195">
        <f t="shared" si="54"/>
        <v>441865412.88999999</v>
      </c>
      <c r="BK100" s="195">
        <f t="shared" si="54"/>
        <v>448987816.20000005</v>
      </c>
      <c r="BL100" s="195">
        <f t="shared" si="54"/>
        <v>431696074.09500003</v>
      </c>
      <c r="BM100" s="195">
        <f t="shared" si="54"/>
        <v>442169291.71000004</v>
      </c>
      <c r="BN100" s="195">
        <f t="shared" si="54"/>
        <v>312671793.01999998</v>
      </c>
      <c r="BO100" s="195">
        <f t="shared" si="54"/>
        <v>316631569.63</v>
      </c>
      <c r="BP100" s="195">
        <f t="shared" si="54"/>
        <v>297247862.19499999</v>
      </c>
      <c r="BQ100" s="195">
        <f t="shared" si="54"/>
        <v>313631670.54000002</v>
      </c>
      <c r="BR100" s="195">
        <f t="shared" ref="BR100:CK100" si="55">(BR84+BV84)/2</f>
        <v>88917819.534999996</v>
      </c>
      <c r="BS100" s="195">
        <f t="shared" si="55"/>
        <v>90160194.545000002</v>
      </c>
      <c r="BT100" s="195">
        <f t="shared" si="55"/>
        <v>92468432.950000003</v>
      </c>
      <c r="BU100" s="195">
        <f t="shared" si="55"/>
        <v>106511722.675</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687</v>
      </c>
      <c r="E101" s="250">
        <f>E100/E84</f>
        <v>0.97405818095449859</v>
      </c>
      <c r="F101" s="250">
        <f t="shared" ref="F101:BQ101" si="56">F100/F84</f>
        <v>0.87872479205596976</v>
      </c>
      <c r="G101" s="250">
        <f t="shared" si="56"/>
        <v>0.87769592449987488</v>
      </c>
      <c r="H101" s="250">
        <f t="shared" si="56"/>
        <v>0.87788474596921307</v>
      </c>
      <c r="I101" s="250">
        <f t="shared" si="56"/>
        <v>0.89492883961442959</v>
      </c>
      <c r="J101" s="250">
        <f t="shared" si="56"/>
        <v>0.98409562346274626</v>
      </c>
      <c r="K101" s="250">
        <f t="shared" si="56"/>
        <v>0.95680010976239838</v>
      </c>
      <c r="L101" s="250">
        <f t="shared" si="56"/>
        <v>0.95441852780236236</v>
      </c>
      <c r="M101" s="250">
        <f t="shared" si="56"/>
        <v>0.95444114911636591</v>
      </c>
      <c r="N101" s="250">
        <f t="shared" si="56"/>
        <v>0.91333388239856805</v>
      </c>
      <c r="O101" s="250">
        <f t="shared" si="56"/>
        <v>0.92971514762949081</v>
      </c>
      <c r="P101" s="250">
        <f t="shared" si="56"/>
        <v>0.9199912644267455</v>
      </c>
      <c r="Q101" s="250">
        <f t="shared" si="56"/>
        <v>0.91072937262701159</v>
      </c>
      <c r="R101" s="250">
        <f t="shared" si="56"/>
        <v>0.897947373833205</v>
      </c>
      <c r="S101" s="250">
        <f t="shared" si="56"/>
        <v>0.8951062771620546</v>
      </c>
      <c r="T101" s="250">
        <f t="shared" si="56"/>
        <v>0.8982545609621273</v>
      </c>
      <c r="U101" s="250">
        <f t="shared" si="56"/>
        <v>0.89933873066066439</v>
      </c>
      <c r="V101" s="250">
        <f t="shared" si="56"/>
        <v>0.9073836029609601</v>
      </c>
      <c r="W101" s="250">
        <f t="shared" si="56"/>
        <v>0.90433500069650186</v>
      </c>
      <c r="X101" s="250">
        <f t="shared" si="56"/>
        <v>0.89302209094771601</v>
      </c>
      <c r="Y101" s="250">
        <f t="shared" si="56"/>
        <v>0.89854170241208975</v>
      </c>
      <c r="Z101" s="250">
        <f t="shared" si="56"/>
        <v>0.90283794430376241</v>
      </c>
      <c r="AA101" s="250">
        <f t="shared" si="56"/>
        <v>0.87452315960719473</v>
      </c>
      <c r="AB101" s="250">
        <f t="shared" si="56"/>
        <v>0.88423490992105569</v>
      </c>
      <c r="AC101" s="250">
        <f t="shared" si="56"/>
        <v>0.88627364276744536</v>
      </c>
      <c r="AD101" s="250">
        <f t="shared" si="56"/>
        <v>0.89910164246228719</v>
      </c>
      <c r="AE101" s="250">
        <f t="shared" si="56"/>
        <v>0.93705581054599074</v>
      </c>
      <c r="AF101" s="250">
        <f t="shared" si="56"/>
        <v>0.88209662738316197</v>
      </c>
      <c r="AG101" s="250">
        <f t="shared" si="56"/>
        <v>0.87796251246156831</v>
      </c>
      <c r="AH101" s="250">
        <f t="shared" si="56"/>
        <v>0.82237798683354491</v>
      </c>
      <c r="AI101" s="250">
        <f t="shared" si="56"/>
        <v>0.80623817115383245</v>
      </c>
      <c r="AJ101" s="250">
        <f t="shared" si="56"/>
        <v>0.84852686747012085</v>
      </c>
      <c r="AK101" s="250">
        <f t="shared" si="56"/>
        <v>0.84559196583245055</v>
      </c>
      <c r="AL101" s="250">
        <f t="shared" si="56"/>
        <v>0.90533732623503649</v>
      </c>
      <c r="AM101" s="250">
        <f t="shared" si="56"/>
        <v>0.92587785597836603</v>
      </c>
      <c r="AN101" s="250">
        <f t="shared" si="56"/>
        <v>0.91600641144350325</v>
      </c>
      <c r="AO101" s="250">
        <f t="shared" si="56"/>
        <v>0.91708674886242425</v>
      </c>
      <c r="AP101" s="250">
        <f t="shared" si="56"/>
        <v>0.8656232755754345</v>
      </c>
      <c r="AQ101" s="250">
        <f t="shared" si="56"/>
        <v>0.86773991061051181</v>
      </c>
      <c r="AR101" s="250">
        <f t="shared" si="56"/>
        <v>0.85237958896253452</v>
      </c>
      <c r="AS101" s="250">
        <f t="shared" si="56"/>
        <v>0.83448652219341435</v>
      </c>
      <c r="AT101" s="250">
        <f t="shared" si="56"/>
        <v>0.85468547799161565</v>
      </c>
      <c r="AU101" s="250">
        <f t="shared" si="56"/>
        <v>0.86007357375534965</v>
      </c>
      <c r="AV101" s="250">
        <f t="shared" si="56"/>
        <v>0.88691686144521253</v>
      </c>
      <c r="AW101" s="250">
        <f t="shared" si="56"/>
        <v>0.90148090700796657</v>
      </c>
      <c r="AX101" s="250">
        <f t="shared" si="56"/>
        <v>0.86578945554095488</v>
      </c>
      <c r="AY101" s="250">
        <f t="shared" si="56"/>
        <v>0.84172948161750305</v>
      </c>
      <c r="AZ101" s="250">
        <f t="shared" si="56"/>
        <v>0.85236294684546821</v>
      </c>
      <c r="BA101" s="250">
        <f t="shared" si="56"/>
        <v>0.8645484895469131</v>
      </c>
      <c r="BB101" s="250">
        <f t="shared" si="56"/>
        <v>0.93655850936513663</v>
      </c>
      <c r="BC101" s="250">
        <f t="shared" si="56"/>
        <v>0.96246252732234516</v>
      </c>
      <c r="BD101" s="250">
        <f t="shared" si="56"/>
        <v>0.94854311961227566</v>
      </c>
      <c r="BE101" s="250">
        <f t="shared" si="56"/>
        <v>0.80803624101717297</v>
      </c>
      <c r="BF101" s="250">
        <f t="shared" si="56"/>
        <v>0.83542514040305371</v>
      </c>
      <c r="BG101" s="250">
        <f t="shared" si="56"/>
        <v>0.8414251774607715</v>
      </c>
      <c r="BH101" s="250">
        <f t="shared" si="56"/>
        <v>0.85199703093889056</v>
      </c>
      <c r="BI101" s="250">
        <f t="shared" si="56"/>
        <v>1.0332168068983072</v>
      </c>
      <c r="BJ101" s="250">
        <f t="shared" si="56"/>
        <v>1.0129349796952252</v>
      </c>
      <c r="BK101" s="250">
        <f t="shared" si="56"/>
        <v>1.0088868353955833</v>
      </c>
      <c r="BL101" s="250">
        <f t="shared" si="56"/>
        <v>0.95122170165253095</v>
      </c>
      <c r="BM101" s="250">
        <f t="shared" si="56"/>
        <v>0.94058822815004839</v>
      </c>
      <c r="BN101" s="250">
        <f t="shared" si="56"/>
        <v>0.69869550951451775</v>
      </c>
      <c r="BO101" s="250">
        <f t="shared" si="56"/>
        <v>0.69905428337501985</v>
      </c>
      <c r="BP101" s="250">
        <f t="shared" si="56"/>
        <v>0.72577568775076984</v>
      </c>
      <c r="BQ101" s="250">
        <f t="shared" si="56"/>
        <v>0.75712569883520819</v>
      </c>
      <c r="BR101" s="250">
        <f t="shared" ref="BR101:CK101" si="57">BR100/BR84</f>
        <v>0.5</v>
      </c>
      <c r="BS101" s="250">
        <f t="shared" si="57"/>
        <v>0.5</v>
      </c>
      <c r="BT101" s="250">
        <f t="shared" si="57"/>
        <v>0.5</v>
      </c>
      <c r="BU101" s="250">
        <f t="shared" si="57"/>
        <v>0.5</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87" t="s">
        <v>688</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11" workbookViewId="0">
      <selection activeCell="E27" sqref="E27:CL27"/>
    </sheetView>
  </sheetViews>
  <sheetFormatPr defaultRowHeight="14.4" x14ac:dyDescent="0.25"/>
  <cols>
    <col min="1" max="1" width="63.21875" style="17" bestFit="1" customWidth="1"/>
    <col min="2" max="4" width="9.5546875" hidden="1" customWidth="1"/>
    <col min="5" max="5" width="22.6640625" bestFit="1" customWidth="1"/>
    <col min="6" max="6" width="22.6640625" hidden="1" customWidth="1"/>
    <col min="7" max="8" width="21.44140625" hidden="1" customWidth="1"/>
    <col min="9" max="9" width="22.6640625" bestFit="1" customWidth="1"/>
    <col min="10" max="11" width="22.6640625" hidden="1" customWidth="1"/>
    <col min="12" max="12" width="21.44140625" hidden="1" customWidth="1"/>
    <col min="13" max="13" width="22.6640625" bestFit="1" customWidth="1"/>
    <col min="14" max="14" width="22.6640625" hidden="1" customWidth="1"/>
    <col min="15" max="16" width="21.44140625" hidden="1" customWidth="1"/>
    <col min="17" max="17" width="22.6640625" bestFit="1" customWidth="1"/>
    <col min="18" max="19" width="21.44140625" hidden="1" customWidth="1"/>
    <col min="20" max="20" width="19.33203125" hidden="1" customWidth="1"/>
    <col min="21" max="21" width="22.6640625" bestFit="1" customWidth="1"/>
    <col min="22" max="23" width="21.44140625" hidden="1" customWidth="1"/>
    <col min="24" max="24" width="19.33203125" hidden="1" customWidth="1"/>
    <col min="25" max="25" width="22.6640625" bestFit="1" customWidth="1"/>
    <col min="26" max="28" width="21.44140625" hidden="1" customWidth="1"/>
    <col min="29" max="29" width="21.44140625" bestFit="1" customWidth="1"/>
    <col min="30" max="32" width="21.44140625" hidden="1" customWidth="1"/>
    <col min="33" max="33" width="21.44140625" bestFit="1" customWidth="1"/>
    <col min="34" max="35" width="21.44140625" hidden="1" customWidth="1"/>
    <col min="36" max="36" width="19.33203125" hidden="1" customWidth="1"/>
    <col min="37" max="37" width="21.44140625" bestFit="1" customWidth="1"/>
    <col min="38" max="38" width="21.44140625" hidden="1" customWidth="1"/>
    <col min="39" max="39" width="19.33203125" hidden="1" customWidth="1"/>
    <col min="40" max="40" width="20.21875" hidden="1" customWidth="1"/>
    <col min="41" max="41" width="21.44140625" bestFit="1" customWidth="1"/>
    <col min="42" max="43" width="21.44140625" hidden="1" customWidth="1"/>
    <col min="44" max="44" width="19.33203125" hidden="1" customWidth="1"/>
    <col min="45" max="45" width="21.44140625" bestFit="1" customWidth="1"/>
    <col min="46" max="46" width="21.44140625" hidden="1" customWidth="1"/>
    <col min="47" max="48" width="19.33203125" hidden="1" customWidth="1"/>
    <col min="49" max="49" width="21.44140625" bestFit="1" customWidth="1"/>
    <col min="50" max="50" width="21.44140625" hidden="1" customWidth="1"/>
    <col min="51" max="52" width="19.33203125" hidden="1" customWidth="1"/>
    <col min="53" max="53" width="21.44140625" bestFit="1" customWidth="1"/>
    <col min="54" max="56" width="19.33203125" hidden="1" customWidth="1"/>
    <col min="57" max="57" width="19.33203125" bestFit="1" customWidth="1"/>
    <col min="58" max="59" width="19.33203125" hidden="1" customWidth="1"/>
    <col min="60" max="60" width="20.21875" hidden="1" customWidth="1"/>
    <col min="61" max="61" width="19.33203125" bestFit="1" customWidth="1"/>
    <col min="62" max="63" width="19.33203125" hidden="1" customWidth="1"/>
    <col min="64" max="64" width="19" hidden="1" customWidth="1"/>
    <col min="65" max="65" width="19.33203125" bestFit="1" customWidth="1"/>
    <col min="66" max="66" width="20.21875" hidden="1" customWidth="1"/>
    <col min="67" max="67" width="19.33203125" bestFit="1" customWidth="1"/>
    <col min="68" max="68" width="19" hidden="1" customWidth="1"/>
    <col min="69" max="69" width="19.33203125" bestFit="1" customWidth="1"/>
    <col min="70" max="70" width="17.21875" hidden="1" customWidth="1"/>
    <col min="71" max="71" width="19.33203125" bestFit="1" customWidth="1"/>
    <col min="72" max="72" width="17.21875" hidden="1" customWidth="1"/>
    <col min="73" max="73" width="17.21875" bestFit="1" customWidth="1"/>
    <col min="74" max="74" width="9.554687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600519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25569</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64421479343.019997</v>
      </c>
      <c r="F2" s="26">
        <f>现金流量表!F4</f>
        <v>48901003501.120003</v>
      </c>
      <c r="G2" s="26">
        <f>现金流量表!G4</f>
        <v>28152402920.57</v>
      </c>
      <c r="H2" s="26">
        <f>现金流量表!H4</f>
        <v>17391210439.619999</v>
      </c>
      <c r="I2" s="26">
        <f>现金流量表!I4</f>
        <v>61012964102.540001</v>
      </c>
      <c r="J2" s="26">
        <f>现金流量表!J4</f>
        <v>46386049733.349998</v>
      </c>
      <c r="K2" s="26">
        <f>现金流量表!K4</f>
        <v>25749880783.759998</v>
      </c>
      <c r="L2" s="26">
        <f>现金流量表!L4</f>
        <v>15490821766.280001</v>
      </c>
      <c r="M2" s="26">
        <f>现金流量表!M4</f>
        <v>37083071835.580002</v>
      </c>
      <c r="N2" s="26">
        <f>现金流量表!N4</f>
        <v>24477232865.84</v>
      </c>
      <c r="O2" s="26">
        <f>现金流量表!O4</f>
        <v>16984694704.92</v>
      </c>
      <c r="P2" s="26">
        <f>现金流量表!P4</f>
        <v>10255492585.92</v>
      </c>
      <c r="Q2" s="26">
        <f>现金流量表!Q4</f>
        <v>33384835714.040001</v>
      </c>
      <c r="R2" s="26">
        <f>现金流量表!R4</f>
        <v>22043789017.419998</v>
      </c>
      <c r="S2" s="26">
        <f>现金流量表!S4</f>
        <v>14058517766.440001</v>
      </c>
      <c r="T2" s="26">
        <f>现金流量表!T4</f>
        <v>7238091747.4399996</v>
      </c>
      <c r="U2" s="26">
        <f>现金流量表!U4</f>
        <v>33233870603.650002</v>
      </c>
      <c r="V2" s="26">
        <f>现金流量表!V4</f>
        <v>22279996954.57</v>
      </c>
      <c r="W2" s="26">
        <f>现金流量表!W4</f>
        <v>11959656578.26</v>
      </c>
      <c r="X2" s="26">
        <f>现金流量表!X4</f>
        <v>6160758035.21</v>
      </c>
      <c r="Y2" s="26">
        <f>现金流量表!Y4</f>
        <v>28912367684.82</v>
      </c>
      <c r="Z2" s="26">
        <f>现金流量表!Z4</f>
        <v>19826920342.040001</v>
      </c>
      <c r="AA2" s="26">
        <f>现金流量表!AA4</f>
        <v>12535721525.74</v>
      </c>
      <c r="AB2" s="26">
        <f>现金流量表!AB4</f>
        <v>5766087219.6000004</v>
      </c>
      <c r="AC2" s="26">
        <f>现金流量表!AC4</f>
        <v>23659131281.080002</v>
      </c>
      <c r="AD2" s="26">
        <f>现金流量表!AD4</f>
        <v>18023629691.34</v>
      </c>
      <c r="AE2" s="26">
        <f>现金流量表!AE4</f>
        <v>11546468176.969999</v>
      </c>
      <c r="AF2" s="26">
        <f>现金流量表!AF4</f>
        <v>6544163647.0900002</v>
      </c>
      <c r="AG2" s="26">
        <f>现金流量表!AG4</f>
        <v>14938581885.610001</v>
      </c>
      <c r="AH2" s="26">
        <f>现金流量表!AH4</f>
        <v>10738917455.57</v>
      </c>
      <c r="AI2" s="26">
        <f>现金流量表!AI4</f>
        <v>6360486576.4200001</v>
      </c>
      <c r="AJ2" s="26">
        <f>现金流量表!AJ4</f>
        <v>3073704697.75</v>
      </c>
      <c r="AK2" s="26">
        <f>现金流量表!AK4</f>
        <v>11756243820.83</v>
      </c>
      <c r="AL2" s="26">
        <f>现金流量表!AL4</f>
        <v>7459722509.0600004</v>
      </c>
      <c r="AM2" s="26">
        <f>现金流量表!AM4</f>
        <v>4198651823.5999999</v>
      </c>
      <c r="AN2" s="26">
        <f>现金流量表!AN4</f>
        <v>1870765265.03</v>
      </c>
      <c r="AO2" s="26">
        <f>现金流量表!AO4</f>
        <v>11275230701.85</v>
      </c>
      <c r="AP2" s="26">
        <f>现金流量表!AP4</f>
        <v>7405857676.6300001</v>
      </c>
      <c r="AQ2" s="26">
        <f>现金流量表!AQ4</f>
        <v>4568988857.1400003</v>
      </c>
      <c r="AR2" s="26">
        <f>现金流量表!AR4</f>
        <v>2560048958.8000002</v>
      </c>
      <c r="AS2" s="26">
        <f>现金流量表!AS4</f>
        <v>7437754281.3400002</v>
      </c>
      <c r="AT2" s="26">
        <f>现金流量表!AT4</f>
        <v>5298220603.1099997</v>
      </c>
      <c r="AU2" s="26">
        <f>现金流量表!AU4</f>
        <v>3382733993.4099998</v>
      </c>
      <c r="AV2" s="26">
        <f>现金流量表!AV4</f>
        <v>1961548939.6600001</v>
      </c>
      <c r="AW2" s="26">
        <f>现金流量表!AW4</f>
        <v>6140872490.1000004</v>
      </c>
      <c r="AX2" s="26">
        <f>现金流量表!AX4</f>
        <v>4457700568.5299997</v>
      </c>
      <c r="AY2" s="26">
        <f>现金流量表!AY4</f>
        <v>2736888169.0799999</v>
      </c>
      <c r="AZ2" s="26">
        <f>现金流量表!AZ4</f>
        <v>1609268366.9400001</v>
      </c>
      <c r="BA2" s="26">
        <f>现金流量表!BA4</f>
        <v>4976668595.3400002</v>
      </c>
      <c r="BB2" s="26">
        <f>现金流量表!BB4</f>
        <v>3318894379.77</v>
      </c>
      <c r="BC2" s="26">
        <f>现金流量表!BC4</f>
        <v>2076306245.0999999</v>
      </c>
      <c r="BD2" s="26">
        <f>现金流量表!BD4</f>
        <v>1260553705.1400001</v>
      </c>
      <c r="BE2" s="26">
        <f>现金流量表!BE4</f>
        <v>3646470061.6100001</v>
      </c>
      <c r="BF2" s="26">
        <f>现金流量表!BF4</f>
        <v>2471054635.8499999</v>
      </c>
      <c r="BG2" s="26">
        <f>现金流量表!BG4</f>
        <v>1459948868.5</v>
      </c>
      <c r="BH2" s="26">
        <f>现金流量表!BH4</f>
        <v>825380774.65999997</v>
      </c>
      <c r="BI2" s="26">
        <f>现金流量表!BI4</f>
        <v>3057788375.3499999</v>
      </c>
      <c r="BJ2" s="26">
        <f>现金流量表!BJ4</f>
        <v>2080861242.0599999</v>
      </c>
      <c r="BK2" s="26">
        <f>现金流量表!BK4</f>
        <v>1153018889.1400001</v>
      </c>
      <c r="BL2" s="26">
        <f>现金流量表!BL4</f>
        <v>627432958.78999996</v>
      </c>
      <c r="BM2" s="26">
        <f>现金流量表!BM4</f>
        <v>2288635492.04</v>
      </c>
      <c r="BN2" s="26">
        <f>现金流量表!BN4</f>
        <v>1020056872.8</v>
      </c>
      <c r="BO2" s="26">
        <f>现金流量表!BO4</f>
        <v>1800399443.0899999</v>
      </c>
      <c r="BP2" s="26">
        <f>现金流量表!BP4</f>
        <v>0</v>
      </c>
      <c r="BQ2" s="26">
        <f>现金流量表!BQ4</f>
        <v>1322877029.52</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61062756866.160004</v>
      </c>
      <c r="F3" s="26">
        <f>利润表!F3</f>
        <v>44487374571.440002</v>
      </c>
      <c r="G3" s="26">
        <f>利润表!G3</f>
        <v>25493896745.029999</v>
      </c>
      <c r="H3" s="26">
        <f>利润表!H3</f>
        <v>13913411369.299999</v>
      </c>
      <c r="I3" s="26">
        <f>利润表!I3</f>
        <v>40155084412.93</v>
      </c>
      <c r="J3" s="26">
        <f>利润表!J3</f>
        <v>27532735151.02</v>
      </c>
      <c r="K3" s="26">
        <f>利润表!K3</f>
        <v>18737617091.82</v>
      </c>
      <c r="L3" s="26">
        <f>利润表!L3</f>
        <v>10250867583.690001</v>
      </c>
      <c r="M3" s="26">
        <f>利润表!M3</f>
        <v>33446859045.580002</v>
      </c>
      <c r="N3" s="26">
        <f>利润表!N3</f>
        <v>23734319250.48</v>
      </c>
      <c r="O3" s="26">
        <f>利润表!O3</f>
        <v>16185651569.469999</v>
      </c>
      <c r="P3" s="26">
        <f>利润表!P3</f>
        <v>8760367928.2199993</v>
      </c>
      <c r="Q3" s="26">
        <f>利润表!Q3</f>
        <v>32217213741.080002</v>
      </c>
      <c r="R3" s="26">
        <f>利润表!R3</f>
        <v>22173257722.32</v>
      </c>
      <c r="S3" s="26">
        <f>利润表!S3</f>
        <v>14615639258.110001</v>
      </c>
      <c r="T3" s="26">
        <f>利润表!T3</f>
        <v>7581739634.1400003</v>
      </c>
      <c r="U3" s="26">
        <f>利润表!U3</f>
        <v>31070596222.23</v>
      </c>
      <c r="V3" s="26">
        <f>利润表!V3</f>
        <v>22002381371.16</v>
      </c>
      <c r="W3" s="26">
        <f>利润表!W3</f>
        <v>14137431736.59</v>
      </c>
      <c r="X3" s="26">
        <f>利润表!X3</f>
        <v>7165785851.6099997</v>
      </c>
      <c r="Y3" s="26">
        <f>利润表!Y3</f>
        <v>26455335152.990002</v>
      </c>
      <c r="Z3" s="26">
        <f>利润表!Z3</f>
        <v>19931438600.48</v>
      </c>
      <c r="AA3" s="26">
        <f>利润表!AA3</f>
        <v>13264437836.41</v>
      </c>
      <c r="AB3" s="26">
        <f>利润表!AB3</f>
        <v>6015967741.6199999</v>
      </c>
      <c r="AC3" s="26">
        <f>利润表!AC3</f>
        <v>18402355207.299999</v>
      </c>
      <c r="AD3" s="26">
        <f>利润表!AD3</f>
        <v>13642075480.07</v>
      </c>
      <c r="AE3" s="26">
        <f>利润表!AE3</f>
        <v>9825823427.0799999</v>
      </c>
      <c r="AF3" s="26">
        <f>利润表!AF3</f>
        <v>4220589097.9400001</v>
      </c>
      <c r="AG3" s="26">
        <f>利润表!AG3</f>
        <v>11633283740.18</v>
      </c>
      <c r="AH3" s="26">
        <f>利润表!AH3</f>
        <v>9327577784.1200008</v>
      </c>
      <c r="AI3" s="26">
        <f>利润表!AI3</f>
        <v>6587266362.7799997</v>
      </c>
      <c r="AJ3" s="26">
        <f>利润表!AJ3</f>
        <v>3039906100.4099998</v>
      </c>
      <c r="AK3" s="26">
        <f>利润表!AK3</f>
        <v>9669999065.3899994</v>
      </c>
      <c r="AL3" s="26">
        <f>利润表!AL3</f>
        <v>7807202385.7799997</v>
      </c>
      <c r="AM3" s="26">
        <f>利润表!AM3</f>
        <v>5546006031.29</v>
      </c>
      <c r="AN3" s="26">
        <f>利润表!AN3</f>
        <v>2512537167.1999998</v>
      </c>
      <c r="AO3" s="26">
        <f>利润表!AO3</f>
        <v>8241685564.1099997</v>
      </c>
      <c r="AP3" s="26">
        <f>利润表!AP3</f>
        <v>6486517281.0100002</v>
      </c>
      <c r="AQ3" s="26">
        <f>利润表!AQ3</f>
        <v>4619717309.6000004</v>
      </c>
      <c r="AR3" s="26">
        <f>利润表!AR3</f>
        <v>1993496395.46</v>
      </c>
      <c r="AS3" s="26">
        <f>利润表!AS3</f>
        <v>7237430747.1199999</v>
      </c>
      <c r="AT3" s="26">
        <f>利润表!AT3</f>
        <v>4458382249.2600002</v>
      </c>
      <c r="AU3" s="26">
        <f>利润表!AU3</f>
        <v>2629088876.4200001</v>
      </c>
      <c r="AV3" s="26">
        <f>利润表!AV3</f>
        <v>1587538095.6800001</v>
      </c>
      <c r="AW3" s="26">
        <f>利润表!AW3</f>
        <v>4896582817.0200005</v>
      </c>
      <c r="AX3" s="26">
        <f>利润表!AX3</f>
        <v>3249824937.8800001</v>
      </c>
      <c r="AY3" s="26">
        <f>利润表!AY3</f>
        <v>2029466570.98</v>
      </c>
      <c r="AZ3" s="26">
        <f>利润表!AZ3</f>
        <v>1354500055.8699999</v>
      </c>
      <c r="BA3" s="26">
        <f>利润表!BA3</f>
        <v>3930564202.5700002</v>
      </c>
      <c r="BB3" s="26">
        <f>利润表!BB3</f>
        <v>2580364529.21</v>
      </c>
      <c r="BC3" s="26">
        <f>利润表!BC3</f>
        <v>1686177749</v>
      </c>
      <c r="BD3" s="26">
        <f>利润表!BD3</f>
        <v>1144018545.8399999</v>
      </c>
      <c r="BE3" s="26">
        <f>利润表!BE3</f>
        <v>3009795402.3400002</v>
      </c>
      <c r="BF3" s="26">
        <f>利润表!BF3</f>
        <v>2070521111.48</v>
      </c>
      <c r="BG3" s="26">
        <f>利润表!BG3</f>
        <v>1314118558.0899999</v>
      </c>
      <c r="BH3" s="26">
        <f>利润表!BH3</f>
        <v>853431905.86000001</v>
      </c>
      <c r="BI3" s="26">
        <f>利润表!BI3</f>
        <v>2402101953.8600001</v>
      </c>
      <c r="BJ3" s="26">
        <f>利润表!BJ3</f>
        <v>1554532689.3499999</v>
      </c>
      <c r="BK3" s="26">
        <f>利润表!BK3</f>
        <v>1010782352.89</v>
      </c>
      <c r="BL3" s="26">
        <f>利润表!BL3</f>
        <v>735224645.91999996</v>
      </c>
      <c r="BM3" s="26">
        <f>利润表!BM3</f>
        <v>1838129976.3399999</v>
      </c>
      <c r="BN3" s="26">
        <f>利润表!BN3</f>
        <v>1366363003.04</v>
      </c>
      <c r="BO3" s="26">
        <f>利润表!BO3</f>
        <v>956401891.61000001</v>
      </c>
      <c r="BP3" s="26">
        <f>利润表!BP3</f>
        <v>718793418.69000006</v>
      </c>
      <c r="BQ3" s="26">
        <f>利润表!BQ3</f>
        <v>1619202408.97</v>
      </c>
      <c r="BR3" s="26">
        <f>利润表!BR3</f>
        <v>874826252.94000006</v>
      </c>
      <c r="BS3" s="26">
        <f>利润表!BS3</f>
        <v>1113019554.9100001</v>
      </c>
      <c r="BT3" s="26">
        <f>利润表!BT3</f>
        <v>891237329.50999999</v>
      </c>
      <c r="BU3" s="26">
        <f>利润表!BU3</f>
        <v>629217329.19000006</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0.90171319281011075</v>
      </c>
      <c r="F5" s="28">
        <f t="shared" ref="F5:BQ5" si="2">(F2/(1+F4))/F3</f>
        <v>0.93949642771162256</v>
      </c>
      <c r="G5" s="28">
        <f t="shared" si="2"/>
        <v>0.94382914776591964</v>
      </c>
      <c r="H5" s="28">
        <f t="shared" si="2"/>
        <v>1.0683420501620287</v>
      </c>
      <c r="I5" s="28">
        <f t="shared" si="2"/>
        <v>1.2986607631058005</v>
      </c>
      <c r="J5" s="28">
        <f t="shared" si="2"/>
        <v>1.4399657765865601</v>
      </c>
      <c r="K5" s="28">
        <f t="shared" si="2"/>
        <v>1.1745594440572</v>
      </c>
      <c r="L5" s="28">
        <f t="shared" si="2"/>
        <v>1.2915998080712809</v>
      </c>
      <c r="M5" s="28">
        <f t="shared" si="2"/>
        <v>0.94762061662085728</v>
      </c>
      <c r="N5" s="28">
        <f t="shared" si="2"/>
        <v>0.88145405100347274</v>
      </c>
      <c r="O5" s="28">
        <f t="shared" si="2"/>
        <v>0.89689519256119521</v>
      </c>
      <c r="P5" s="28">
        <f t="shared" si="2"/>
        <v>1.0005719337800829</v>
      </c>
      <c r="Q5" s="28">
        <f t="shared" si="2"/>
        <v>0.88567707462715783</v>
      </c>
      <c r="R5" s="28">
        <f t="shared" si="2"/>
        <v>0.84971029291147659</v>
      </c>
      <c r="S5" s="28">
        <f t="shared" si="2"/>
        <v>0.82212121814213601</v>
      </c>
      <c r="T5" s="28">
        <f t="shared" si="2"/>
        <v>0.81596091417901839</v>
      </c>
      <c r="U5" s="28">
        <f t="shared" si="2"/>
        <v>0.91420896486158842</v>
      </c>
      <c r="V5" s="28">
        <f t="shared" si="2"/>
        <v>0.86548506357425525</v>
      </c>
      <c r="W5" s="28">
        <f t="shared" si="2"/>
        <v>0.7230400039995587</v>
      </c>
      <c r="X5" s="28">
        <f t="shared" si="2"/>
        <v>0.73482591684149701</v>
      </c>
      <c r="Y5" s="28">
        <f t="shared" si="2"/>
        <v>0.93408097945975643</v>
      </c>
      <c r="Z5" s="28">
        <f t="shared" si="2"/>
        <v>0.8502188979986246</v>
      </c>
      <c r="AA5" s="28">
        <f t="shared" si="2"/>
        <v>0.80774564549821037</v>
      </c>
      <c r="AB5" s="28">
        <f t="shared" si="2"/>
        <v>0.81919981730897584</v>
      </c>
      <c r="AC5" s="28">
        <f t="shared" si="2"/>
        <v>1.0988528098510555</v>
      </c>
      <c r="AD5" s="28">
        <f t="shared" si="2"/>
        <v>1.1292131995974675</v>
      </c>
      <c r="AE5" s="28">
        <f t="shared" si="2"/>
        <v>1.0043714191356321</v>
      </c>
      <c r="AF5" s="28">
        <f t="shared" si="2"/>
        <v>1.3252420770361382</v>
      </c>
      <c r="AG5" s="28">
        <f t="shared" si="2"/>
        <v>1.0975421034002921</v>
      </c>
      <c r="AH5" s="28">
        <f t="shared" si="2"/>
        <v>0.9840241636434176</v>
      </c>
      <c r="AI5" s="28">
        <f t="shared" si="2"/>
        <v>0.82527607262039115</v>
      </c>
      <c r="AJ5" s="28">
        <f t="shared" si="2"/>
        <v>0.864203677840784</v>
      </c>
      <c r="AK5" s="28">
        <f t="shared" si="2"/>
        <v>1.0390974780647297</v>
      </c>
      <c r="AL5" s="28">
        <f t="shared" si="2"/>
        <v>0.81666016701932753</v>
      </c>
      <c r="AM5" s="28">
        <f t="shared" si="2"/>
        <v>0.64705867284957075</v>
      </c>
      <c r="AN5" s="28">
        <f t="shared" si="2"/>
        <v>0.63638647493031686</v>
      </c>
      <c r="AO5" s="28">
        <f t="shared" si="2"/>
        <v>1.1692934949843827</v>
      </c>
      <c r="AP5" s="28">
        <f t="shared" si="2"/>
        <v>0.97583843714403096</v>
      </c>
      <c r="AQ5" s="28">
        <f t="shared" si="2"/>
        <v>0.84531550733660921</v>
      </c>
      <c r="AR5" s="28">
        <f t="shared" si="2"/>
        <v>1.0976072182249892</v>
      </c>
      <c r="AS5" s="28">
        <f t="shared" si="2"/>
        <v>0.87835796478548833</v>
      </c>
      <c r="AT5" s="28">
        <f t="shared" si="2"/>
        <v>1.0157033257126875</v>
      </c>
      <c r="AU5" s="28">
        <f t="shared" si="2"/>
        <v>1.0997063132114844</v>
      </c>
      <c r="AV5" s="28">
        <f t="shared" si="2"/>
        <v>1.0560613063882638</v>
      </c>
      <c r="AW5" s="28">
        <f t="shared" si="2"/>
        <v>1.0718922076950952</v>
      </c>
      <c r="AX5" s="28">
        <f t="shared" si="2"/>
        <v>1.1723709918997987</v>
      </c>
      <c r="AY5" s="28">
        <f t="shared" si="2"/>
        <v>1.152628326468939</v>
      </c>
      <c r="AZ5" s="28">
        <f t="shared" si="2"/>
        <v>1.015461788064095</v>
      </c>
      <c r="BA5" s="28">
        <f t="shared" si="2"/>
        <v>1.0821761667749397</v>
      </c>
      <c r="BB5" s="28">
        <f t="shared" si="2"/>
        <v>1.0993260180644902</v>
      </c>
      <c r="BC5" s="28">
        <f t="shared" si="2"/>
        <v>1.0524517497399928</v>
      </c>
      <c r="BD5" s="28">
        <f t="shared" si="2"/>
        <v>0.94176474070042715</v>
      </c>
      <c r="BE5" s="28">
        <f t="shared" si="2"/>
        <v>1.0354993152943477</v>
      </c>
      <c r="BF5" s="28">
        <f t="shared" si="2"/>
        <v>1.0200391087844771</v>
      </c>
      <c r="BG5" s="28">
        <f t="shared" si="2"/>
        <v>0.94954868268517101</v>
      </c>
      <c r="BH5" s="28">
        <f t="shared" si="2"/>
        <v>0.8266080149003483</v>
      </c>
      <c r="BI5" s="28">
        <f t="shared" si="2"/>
        <v>1.0880030856751484</v>
      </c>
      <c r="BJ5" s="28">
        <f t="shared" si="2"/>
        <v>1.1440826521610286</v>
      </c>
      <c r="BK5" s="28">
        <f t="shared" si="2"/>
        <v>0.97497371933385468</v>
      </c>
      <c r="BL5" s="28">
        <f t="shared" si="2"/>
        <v>0.72939269530914308</v>
      </c>
      <c r="BM5" s="28">
        <f t="shared" si="2"/>
        <v>1.0641786687142729</v>
      </c>
      <c r="BN5" s="28">
        <f t="shared" si="2"/>
        <v>0.63807603037105809</v>
      </c>
      <c r="BO5" s="28">
        <f t="shared" si="2"/>
        <v>1.6089501247446889</v>
      </c>
      <c r="BP5" s="28">
        <f t="shared" si="2"/>
        <v>0</v>
      </c>
      <c r="BQ5" s="28">
        <f t="shared" si="2"/>
        <v>0.69828461317205237</v>
      </c>
      <c r="BR5" s="28">
        <f t="shared" ref="BR5:CL5" si="3">(BR2/(1+BR4))/BR3</f>
        <v>0</v>
      </c>
      <c r="BS5" s="28">
        <f t="shared" si="3"/>
        <v>0</v>
      </c>
      <c r="BT5" s="28">
        <f t="shared" si="3"/>
        <v>0</v>
      </c>
      <c r="BU5" s="28">
        <f t="shared" si="3"/>
        <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4875768504.1599998</v>
      </c>
      <c r="F6" s="26">
        <f>现金流量表!F8</f>
        <v>3385873042.9299998</v>
      </c>
      <c r="G6" s="26">
        <f>现金流量表!G8</f>
        <v>2145743960.98</v>
      </c>
      <c r="H6" s="26">
        <f>现金流量表!H8</f>
        <v>1339616768.4300001</v>
      </c>
      <c r="I6" s="26">
        <f>现金流量表!I8</f>
        <v>2773020403.27</v>
      </c>
      <c r="J6" s="26">
        <f>现金流量表!J8</f>
        <v>1690057834.95</v>
      </c>
      <c r="K6" s="26">
        <f>现金流量表!K8</f>
        <v>1304317657.3599999</v>
      </c>
      <c r="L6" s="26">
        <f>现金流量表!L8</f>
        <v>874194565.59000003</v>
      </c>
      <c r="M6" s="26">
        <f>现金流量表!M8</f>
        <v>2967732630.3699999</v>
      </c>
      <c r="N6" s="26">
        <f>现金流量表!N8</f>
        <v>2303416797.9099998</v>
      </c>
      <c r="O6" s="26">
        <f>现金流量表!O8</f>
        <v>1639661852.6600001</v>
      </c>
      <c r="P6" s="26">
        <f>现金流量表!P8</f>
        <v>1021009336.47</v>
      </c>
      <c r="Q6" s="26">
        <f>现金流量表!Q8</f>
        <v>2838028404.9699998</v>
      </c>
      <c r="R6" s="26">
        <f>现金流量表!R8</f>
        <v>2052692261.4400001</v>
      </c>
      <c r="S6" s="26">
        <f>现金流量表!S8</f>
        <v>1456478035.3399999</v>
      </c>
      <c r="T6" s="26">
        <f>现金流量表!T8</f>
        <v>931198195.66999996</v>
      </c>
      <c r="U6" s="26">
        <f>现金流量表!U8</f>
        <v>3152308925.4699998</v>
      </c>
      <c r="V6" s="26">
        <f>现金流量表!V8</f>
        <v>1971215647.3</v>
      </c>
      <c r="W6" s="26">
        <f>现金流量表!W8</f>
        <v>1249950055.5699999</v>
      </c>
      <c r="X6" s="26">
        <f>现金流量表!X8</f>
        <v>712762334.01999998</v>
      </c>
      <c r="Y6" s="26">
        <f>现金流量表!Y8</f>
        <v>2707393653.3299999</v>
      </c>
      <c r="Z6" s="26">
        <f>现金流量表!Z8</f>
        <v>1587342838.29</v>
      </c>
      <c r="AA6" s="26">
        <f>现金流量表!AA8</f>
        <v>1077894925.3199999</v>
      </c>
      <c r="AB6" s="26">
        <f>现金流量表!AB8</f>
        <v>494802933.56999999</v>
      </c>
      <c r="AC6" s="26">
        <f>现金流量表!AC8</f>
        <v>2353687717.48</v>
      </c>
      <c r="AD6" s="26">
        <f>现金流量表!AD8</f>
        <v>1482300477.04</v>
      </c>
      <c r="AE6" s="26">
        <f>现金流量表!AE8</f>
        <v>1030579091.21</v>
      </c>
      <c r="AF6" s="26">
        <f>现金流量表!AF8</f>
        <v>656095092.99000001</v>
      </c>
      <c r="AG6" s="26">
        <f>现金流量表!AG8</f>
        <v>1669804222.04</v>
      </c>
      <c r="AH6" s="26">
        <f>现金流量表!AH8</f>
        <v>1065979806.61</v>
      </c>
      <c r="AI6" s="26">
        <f>现金流量表!AI8</f>
        <v>682354660.79999995</v>
      </c>
      <c r="AJ6" s="26">
        <f>现金流量表!AJ8</f>
        <v>351943207.13</v>
      </c>
      <c r="AK6" s="26">
        <f>现金流量表!AK8</f>
        <v>1557075938.7</v>
      </c>
      <c r="AL6" s="26">
        <f>现金流量表!AL8</f>
        <v>922300963.46000004</v>
      </c>
      <c r="AM6" s="26">
        <f>现金流量表!AM8</f>
        <v>567740503.57000005</v>
      </c>
      <c r="AN6" s="26">
        <f>现金流量表!AN8</f>
        <v>295729558.55000001</v>
      </c>
      <c r="AO6" s="26">
        <f>现金流量表!AO8</f>
        <v>1214717814.8299999</v>
      </c>
      <c r="AP6" s="26">
        <f>现金流量表!AP8</f>
        <v>794495241.79999995</v>
      </c>
      <c r="AQ6" s="26">
        <f>现金流量表!AQ8</f>
        <v>529788503.56</v>
      </c>
      <c r="AR6" s="26">
        <f>现金流量表!AR8</f>
        <v>282490555.57999998</v>
      </c>
      <c r="AS6" s="26">
        <f>现金流量表!AS8</f>
        <v>1098306968.3299999</v>
      </c>
      <c r="AT6" s="26">
        <f>现金流量表!AT8</f>
        <v>776996775.72000003</v>
      </c>
      <c r="AU6" s="26">
        <f>现金流量表!AU8</f>
        <v>566986527.25999999</v>
      </c>
      <c r="AV6" s="26">
        <f>现金流量表!AV8</f>
        <v>312227426.81</v>
      </c>
      <c r="AW6" s="26">
        <f>现金流量表!AW8</f>
        <v>804488570.85000002</v>
      </c>
      <c r="AX6" s="26">
        <f>现金流量表!AX8</f>
        <v>517881887.75</v>
      </c>
      <c r="AY6" s="26">
        <f>现金流量表!AY8</f>
        <v>384969462.19</v>
      </c>
      <c r="AZ6" s="26">
        <f>现金流量表!AZ8</f>
        <v>241303988.43000001</v>
      </c>
      <c r="BA6" s="26">
        <f>现金流量表!BA8</f>
        <v>950764775.72000003</v>
      </c>
      <c r="BB6" s="26">
        <f>现金流量表!BB8</f>
        <v>392909166.24000001</v>
      </c>
      <c r="BC6" s="26">
        <f>现金流量表!BC8</f>
        <v>375489465.93000001</v>
      </c>
      <c r="BD6" s="26">
        <f>现金流量表!BD8</f>
        <v>142994882.34999999</v>
      </c>
      <c r="BE6" s="26">
        <f>现金流量表!BE8</f>
        <v>864365999.46000004</v>
      </c>
      <c r="BF6" s="26">
        <f>现金流量表!BF8</f>
        <v>572967651.70000005</v>
      </c>
      <c r="BG6" s="26">
        <f>现金流量表!BG8</f>
        <v>345839931.79000002</v>
      </c>
      <c r="BH6" s="26">
        <f>现金流量表!BH8</f>
        <v>258467411.80000001</v>
      </c>
      <c r="BI6" s="26">
        <f>现金流量表!BI8</f>
        <v>638529865.39999998</v>
      </c>
      <c r="BJ6" s="26">
        <f>现金流量表!BJ8</f>
        <v>412688201.74000001</v>
      </c>
      <c r="BK6" s="26">
        <f>现金流量表!BK8</f>
        <v>312930923.05000001</v>
      </c>
      <c r="BL6" s="26">
        <f>现金流量表!BL8</f>
        <v>88592882.359999999</v>
      </c>
      <c r="BM6" s="26">
        <f>现金流量表!BM8</f>
        <v>623577741.01999998</v>
      </c>
      <c r="BN6" s="26">
        <f>现金流量表!BN8</f>
        <v>382532138.75999999</v>
      </c>
      <c r="BO6" s="26">
        <f>现金流量表!BO8</f>
        <v>594708128.38999999</v>
      </c>
      <c r="BP6" s="26">
        <f>现金流量表!BP8</f>
        <v>0</v>
      </c>
      <c r="BQ6" s="26">
        <f>现金流量表!BQ8</f>
        <v>299675876.19999999</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5489606122.4799995</v>
      </c>
      <c r="F7" s="26">
        <f>现金流量表!F9</f>
        <v>4411221320.8999996</v>
      </c>
      <c r="G7" s="26">
        <f>现金流量表!G9</f>
        <v>3405303499.1900001</v>
      </c>
      <c r="H7" s="26">
        <f>现金流量表!H9</f>
        <v>2374274685.5700002</v>
      </c>
      <c r="I7" s="26">
        <f>现金流量表!I9</f>
        <v>4674154236.6599998</v>
      </c>
      <c r="J7" s="26">
        <f>现金流量表!J9</f>
        <v>3702135185.5999999</v>
      </c>
      <c r="K7" s="26">
        <f>现金流量表!K9</f>
        <v>2698571545.0100002</v>
      </c>
      <c r="L7" s="26">
        <f>现金流量表!L9</f>
        <v>1617022189.5799999</v>
      </c>
      <c r="M7" s="26">
        <f>现金流量表!M9</f>
        <v>4536877341.1000004</v>
      </c>
      <c r="N7" s="26">
        <f>现金流量表!N9</f>
        <v>3492388231.79</v>
      </c>
      <c r="O7" s="26">
        <f>现金流量表!O9</f>
        <v>2618952481.3499999</v>
      </c>
      <c r="P7" s="26">
        <f>现金流量表!P9</f>
        <v>1668685977.8399999</v>
      </c>
      <c r="Q7" s="26">
        <f>现金流量表!Q9</f>
        <v>3393609756.8699999</v>
      </c>
      <c r="R7" s="26">
        <f>现金流量表!R9</f>
        <v>2614183518.1300001</v>
      </c>
      <c r="S7" s="26">
        <f>现金流量表!S9</f>
        <v>1647462749.5599999</v>
      </c>
      <c r="T7" s="26">
        <f>现金流量表!T9</f>
        <v>927475783.99000001</v>
      </c>
      <c r="U7" s="26">
        <f>现金流量表!U9</f>
        <v>3135608084.79</v>
      </c>
      <c r="V7" s="26">
        <f>现金流量表!V9</f>
        <v>1794756331.6199999</v>
      </c>
      <c r="W7" s="26">
        <f>现金流量表!W9</f>
        <v>1212195199.6600001</v>
      </c>
      <c r="X7" s="26">
        <f>现金流量表!X9</f>
        <v>519174131.85000002</v>
      </c>
      <c r="Y7" s="26">
        <f>现金流量表!Y9</f>
        <v>2953919072.54</v>
      </c>
      <c r="Z7" s="26">
        <f>现金流量表!Z9</f>
        <v>1819144570.29</v>
      </c>
      <c r="AA7" s="26">
        <f>现金流量表!AA9</f>
        <v>1426295388</v>
      </c>
      <c r="AB7" s="26">
        <f>现金流量表!AB9</f>
        <v>958500142.79999995</v>
      </c>
      <c r="AC7" s="26">
        <f>现金流量表!AC9</f>
        <v>1925571991.79</v>
      </c>
      <c r="AD7" s="26">
        <f>现金流量表!AD9</f>
        <v>1375305648.6199999</v>
      </c>
      <c r="AE7" s="26">
        <f>现金流量表!AE9</f>
        <v>994367300.41999996</v>
      </c>
      <c r="AF7" s="26">
        <f>现金流量表!AF9</f>
        <v>542976591.21000004</v>
      </c>
      <c r="AG7" s="26">
        <f>现金流量表!AG9</f>
        <v>1492813443.3499999</v>
      </c>
      <c r="AH7" s="26">
        <f>现金流量表!AH9</f>
        <v>1091754586.28</v>
      </c>
      <c r="AI7" s="26">
        <f>现金流量表!AI9</f>
        <v>827492138.01999998</v>
      </c>
      <c r="AJ7" s="26">
        <f>现金流量表!AJ9</f>
        <v>529295958.94999999</v>
      </c>
      <c r="AK7" s="26">
        <f>现金流量表!AK9</f>
        <v>1229305038.48</v>
      </c>
      <c r="AL7" s="26">
        <f>现金流量表!AL9</f>
        <v>898644456.09000003</v>
      </c>
      <c r="AM7" s="26">
        <f>现金流量表!AM9</f>
        <v>655373497.21000004</v>
      </c>
      <c r="AN7" s="26">
        <f>现金流量表!AN9</f>
        <v>461410921.19</v>
      </c>
      <c r="AO7" s="26">
        <f>现金流量表!AO9</f>
        <v>809386845.14999998</v>
      </c>
      <c r="AP7" s="26">
        <f>现金流量表!AP9</f>
        <v>558262259.67999995</v>
      </c>
      <c r="AQ7" s="26">
        <f>现金流量表!AQ9</f>
        <v>391783564.12</v>
      </c>
      <c r="AR7" s="26">
        <f>现金流量表!AR9</f>
        <v>231677868.47</v>
      </c>
      <c r="AS7" s="26">
        <f>现金流量表!AS9</f>
        <v>623333896.62</v>
      </c>
      <c r="AT7" s="26">
        <f>现金流量表!AT9</f>
        <v>425064074.29000002</v>
      </c>
      <c r="AU7" s="26">
        <f>现金流量表!AU9</f>
        <v>308683973.48000002</v>
      </c>
      <c r="AV7" s="26">
        <f>现金流量表!AV9</f>
        <v>184609700.68000001</v>
      </c>
      <c r="AW7" s="26">
        <f>现金流量表!AW9</f>
        <v>403859477.30000001</v>
      </c>
      <c r="AX7" s="26">
        <f>现金流量表!AX9</f>
        <v>255688947</v>
      </c>
      <c r="AY7" s="26">
        <f>现金流量表!AY9</f>
        <v>177284970.91999999</v>
      </c>
      <c r="AZ7" s="26">
        <f>现金流量表!AZ9</f>
        <v>127066708.01000001</v>
      </c>
      <c r="BA7" s="26">
        <f>现金流量表!BA9</f>
        <v>250797895.84999999</v>
      </c>
      <c r="BB7" s="26">
        <f>现金流量表!BB9</f>
        <v>167395485.75</v>
      </c>
      <c r="BC7" s="26">
        <f>现金流量表!BC9</f>
        <v>127127345.04000001</v>
      </c>
      <c r="BD7" s="26">
        <f>现金流量表!BD9</f>
        <v>87945173.939999998</v>
      </c>
      <c r="BE7" s="26">
        <f>现金流量表!BE9</f>
        <v>159838716.74000001</v>
      </c>
      <c r="BF7" s="26">
        <f>现金流量表!BF9</f>
        <v>121521637.47</v>
      </c>
      <c r="BG7" s="26">
        <f>现金流量表!BG9</f>
        <v>100417771.72</v>
      </c>
      <c r="BH7" s="26">
        <f>现金流量表!BH9</f>
        <v>32225261.68</v>
      </c>
      <c r="BI7" s="26">
        <f>现金流量表!BI9</f>
        <v>205782831.25</v>
      </c>
      <c r="BJ7" s="26">
        <f>现金流量表!BJ9</f>
        <v>116178529.7</v>
      </c>
      <c r="BK7" s="26">
        <f>现金流量表!BK9</f>
        <v>76906046.650000006</v>
      </c>
      <c r="BL7" s="26">
        <f>现金流量表!BL9</f>
        <v>43095006.030000001</v>
      </c>
      <c r="BM7" s="26">
        <f>现金流量表!BM9</f>
        <v>106684520.62</v>
      </c>
      <c r="BN7" s="26">
        <f>现金流量表!BN9</f>
        <v>64881700.939999998</v>
      </c>
      <c r="BO7" s="26">
        <f>现金流量表!BO9</f>
        <v>93314750.840000004</v>
      </c>
      <c r="BP7" s="26">
        <f>现金流量表!BP9</f>
        <v>0</v>
      </c>
      <c r="BQ7" s="26">
        <f>现金流量表!BQ9</f>
        <v>55344800.609999999</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490</v>
      </c>
      <c r="E8" s="58">
        <f>利润表!E6</f>
        <v>5940436371.9700003</v>
      </c>
      <c r="F8" s="58">
        <f>利润表!F6</f>
        <v>4273438303.5</v>
      </c>
      <c r="G8" s="58">
        <f>利润表!G6</f>
        <v>2511228414.9099998</v>
      </c>
      <c r="H8" s="58">
        <f>利润表!H6</f>
        <v>1176997676.0699999</v>
      </c>
      <c r="I8" s="58">
        <f>利润表!I6</f>
        <v>3410104085.9699998</v>
      </c>
      <c r="J8" s="58">
        <f>利润表!J6</f>
        <v>2225398682.8200002</v>
      </c>
      <c r="K8" s="58">
        <f>利润表!K6</f>
        <v>1475407709.24</v>
      </c>
      <c r="L8" s="58">
        <f>利润表!L6</f>
        <v>765002011.76999998</v>
      </c>
      <c r="M8" s="58">
        <f>利润表!M6</f>
        <v>2538337449.0599999</v>
      </c>
      <c r="N8" s="58">
        <f>利润表!N6</f>
        <v>1747047687.23</v>
      </c>
      <c r="O8" s="58">
        <f>利润表!O6</f>
        <v>1165878006.3299999</v>
      </c>
      <c r="P8" s="58">
        <f>利润表!P6</f>
        <v>579796944.51999998</v>
      </c>
      <c r="Q8" s="58">
        <f>利润表!Q6</f>
        <v>2338550532.3299999</v>
      </c>
      <c r="R8" s="58">
        <f>利润表!R6</f>
        <v>1593307325.6800001</v>
      </c>
      <c r="S8" s="58">
        <f>利润表!S6</f>
        <v>987543281.35000002</v>
      </c>
      <c r="T8" s="58">
        <f>利润表!T6</f>
        <v>506935182.39999998</v>
      </c>
      <c r="U8" s="58">
        <f>利润表!U6</f>
        <v>2193920307.9899998</v>
      </c>
      <c r="V8" s="58">
        <f>利润表!V6</f>
        <v>1440864963.8099999</v>
      </c>
      <c r="W8" s="58">
        <f>利润表!W6</f>
        <v>932566677.01999998</v>
      </c>
      <c r="X8" s="58">
        <f>利润表!X6</f>
        <v>481121235.63999999</v>
      </c>
      <c r="Y8" s="58">
        <f>利润表!Y6</f>
        <v>2044306468.76</v>
      </c>
      <c r="Z8" s="58">
        <f>利润表!Z6</f>
        <v>1628876041.8800001</v>
      </c>
      <c r="AA8" s="58">
        <f>利润表!AA6</f>
        <v>1059645343.97</v>
      </c>
      <c r="AB8" s="58">
        <f>利润表!AB6</f>
        <v>482055429.18000001</v>
      </c>
      <c r="AC8" s="58">
        <f>利润表!AC6</f>
        <v>1551233976.0599999</v>
      </c>
      <c r="AD8" s="58">
        <f>利润表!AD6</f>
        <v>1155847115.6800001</v>
      </c>
      <c r="AE8" s="58">
        <f>利润表!AE6</f>
        <v>845072449.14999998</v>
      </c>
      <c r="AF8" s="58">
        <f>利润表!AF6</f>
        <v>392063100.98000002</v>
      </c>
      <c r="AG8" s="58">
        <f>利润表!AG6</f>
        <v>1052931591.61</v>
      </c>
      <c r="AH8" s="58">
        <f>利润表!AH6</f>
        <v>821295137.52999997</v>
      </c>
      <c r="AI8" s="58">
        <f>利润表!AI6</f>
        <v>569190230.52999997</v>
      </c>
      <c r="AJ8" s="58">
        <f>利润表!AJ6</f>
        <v>295386812.48000002</v>
      </c>
      <c r="AK8" s="58">
        <f>利润表!AK6</f>
        <v>950672855.26999998</v>
      </c>
      <c r="AL8" s="58">
        <f>利润表!AL6</f>
        <v>743207551.34000003</v>
      </c>
      <c r="AM8" s="58">
        <f>利润表!AM6</f>
        <v>531620176.31999999</v>
      </c>
      <c r="AN8" s="58">
        <f>利润表!AN6</f>
        <v>251448334.91999999</v>
      </c>
      <c r="AO8" s="58">
        <f>利润表!AO6</f>
        <v>799713319.24000001</v>
      </c>
      <c r="AP8" s="58">
        <f>利润表!AP6</f>
        <v>614940094.35000002</v>
      </c>
      <c r="AQ8" s="58">
        <f>利润表!AQ6</f>
        <v>442054720.19</v>
      </c>
      <c r="AR8" s="58">
        <f>利润表!AR6</f>
        <v>200810712.08000001</v>
      </c>
      <c r="AS8" s="58">
        <f>利润表!AS6</f>
        <v>871643568.33000004</v>
      </c>
      <c r="AT8" s="58">
        <f>利润表!AT6</f>
        <v>662636478.87</v>
      </c>
      <c r="AU8" s="58">
        <f>利润表!AU6</f>
        <v>389216762.31</v>
      </c>
      <c r="AV8" s="58">
        <f>利润表!AV6</f>
        <v>237704974.13</v>
      </c>
      <c r="AW8" s="58">
        <f>利润表!AW6</f>
        <v>791179840.49000001</v>
      </c>
      <c r="AX8" s="58">
        <f>利润表!AX6</f>
        <v>536197408.26999998</v>
      </c>
      <c r="AY8" s="58">
        <f>利润表!AY6</f>
        <v>342467207.13999999</v>
      </c>
      <c r="AZ8" s="58">
        <f>利润表!AZ6</f>
        <v>227552584.91999999</v>
      </c>
      <c r="BA8" s="58">
        <f>利润表!BA6</f>
        <v>687106816.67999995</v>
      </c>
      <c r="BB8" s="58">
        <f>利润表!BB6</f>
        <v>450496529.88</v>
      </c>
      <c r="BC8" s="58">
        <f>利润表!BC6</f>
        <v>294128874.10000002</v>
      </c>
      <c r="BD8" s="58">
        <f>利润表!BD6</f>
        <v>196715027.49000001</v>
      </c>
      <c r="BE8" s="58">
        <f>利润表!BE6</f>
        <v>535056248.94999999</v>
      </c>
      <c r="BF8" s="58">
        <f>利润表!BF6</f>
        <v>367934435.61000001</v>
      </c>
      <c r="BG8" s="58">
        <f>利润表!BG6</f>
        <v>229941422.72</v>
      </c>
      <c r="BH8" s="58">
        <f>利润表!BH6</f>
        <v>151243768.25</v>
      </c>
      <c r="BI8" s="58">
        <f>利润表!BI6</f>
        <v>477388129.86000001</v>
      </c>
      <c r="BJ8" s="58">
        <f>利润表!BJ6</f>
        <v>302733307.68000001</v>
      </c>
      <c r="BK8" s="58">
        <f>利润表!BK6</f>
        <v>196938828.78999999</v>
      </c>
      <c r="BL8" s="58">
        <f>利润表!BL6</f>
        <v>136080903.15000001</v>
      </c>
      <c r="BM8" s="58">
        <f>利润表!BM6</f>
        <v>340556444.79000002</v>
      </c>
      <c r="BN8" s="58">
        <f>利润表!BN6</f>
        <v>230795750.63</v>
      </c>
      <c r="BO8" s="58">
        <f>利润表!BO6</f>
        <v>158368542.33000001</v>
      </c>
      <c r="BP8" s="58">
        <f>利润表!BP6</f>
        <v>115551849.97</v>
      </c>
      <c r="BQ8" s="58">
        <f>利润表!BQ6</f>
        <v>287538468.11000001</v>
      </c>
      <c r="BR8" s="58">
        <f>利润表!BR6</f>
        <v>146483164.84999999</v>
      </c>
      <c r="BS8" s="58">
        <f>利润表!BS6</f>
        <v>196863443.99000001</v>
      </c>
      <c r="BT8" s="58">
        <f>利润表!BT6</f>
        <v>129133236.27</v>
      </c>
      <c r="BU8" s="58">
        <f>利润表!BU6</f>
        <v>76725369.980000004</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491</v>
      </c>
      <c r="E9" s="58">
        <f>利润表!E7</f>
        <v>8404214470.6899996</v>
      </c>
      <c r="F9" s="58">
        <f>利润表!F7</f>
        <v>6423976199.8900003</v>
      </c>
      <c r="G9" s="58">
        <f>利润表!G7</f>
        <v>3419416545.5</v>
      </c>
      <c r="H9" s="58">
        <f>利润表!H7</f>
        <v>1973301671.9300001</v>
      </c>
      <c r="I9" s="58">
        <f>利润表!I7</f>
        <v>6508926343.2600002</v>
      </c>
      <c r="J9" s="58">
        <f>利润表!J7</f>
        <v>3623883800.0500002</v>
      </c>
      <c r="K9" s="58">
        <f>利润表!K7</f>
        <v>2205658604.8699999</v>
      </c>
      <c r="L9" s="58">
        <f>利润表!L7</f>
        <v>1180622899.52</v>
      </c>
      <c r="M9" s="58">
        <f>利润表!M7</f>
        <v>3449170637.4000001</v>
      </c>
      <c r="N9" s="58">
        <f>利润表!N7</f>
        <v>2171605445.23</v>
      </c>
      <c r="O9" s="58">
        <f>利润表!O7</f>
        <v>1443140055.8199999</v>
      </c>
      <c r="P9" s="58">
        <f>利润表!P7</f>
        <v>806537815.96000004</v>
      </c>
      <c r="Q9" s="58">
        <f>利润表!Q7</f>
        <v>2788994436.0500002</v>
      </c>
      <c r="R9" s="58">
        <f>利润表!R7</f>
        <v>2004308881.3199999</v>
      </c>
      <c r="S9" s="58">
        <f>利润表!S7</f>
        <v>1265321917.52</v>
      </c>
      <c r="T9" s="58">
        <f>利润表!T7</f>
        <v>704741188.09000003</v>
      </c>
      <c r="U9" s="58">
        <f>利润表!U7</f>
        <v>2790747889.4899998</v>
      </c>
      <c r="V9" s="58">
        <f>利润表!V7</f>
        <v>1972678618.54</v>
      </c>
      <c r="W9" s="58">
        <f>利润表!W7</f>
        <v>1099186549.1099999</v>
      </c>
      <c r="X9" s="58">
        <f>利润表!X7</f>
        <v>586532904</v>
      </c>
      <c r="Y9" s="58">
        <f>利润表!Y7</f>
        <v>2572644755.4200001</v>
      </c>
      <c r="Z9" s="58">
        <f>利润表!Z7</f>
        <v>1784696541.1800001</v>
      </c>
      <c r="AA9" s="58">
        <f>利润表!AA7</f>
        <v>1356209475.46</v>
      </c>
      <c r="AB9" s="58">
        <f>利润表!AB7</f>
        <v>808353307.79999995</v>
      </c>
      <c r="AC9" s="58">
        <f>利润表!AC7</f>
        <v>2477391798.0100002</v>
      </c>
      <c r="AD9" s="58">
        <f>利润表!AD7</f>
        <v>1931440577.01</v>
      </c>
      <c r="AE9" s="58">
        <f>利润表!AE7</f>
        <v>1277257264.3</v>
      </c>
      <c r="AF9" s="58">
        <f>利润表!AF7</f>
        <v>708575156.14999998</v>
      </c>
      <c r="AG9" s="58">
        <f>利润表!AG7</f>
        <v>1577013104.9000001</v>
      </c>
      <c r="AH9" s="58">
        <f>利润表!AH7</f>
        <v>1409893974.9300001</v>
      </c>
      <c r="AI9" s="58">
        <f>利润表!AI7</f>
        <v>858980338.08000004</v>
      </c>
      <c r="AJ9" s="58">
        <f>利润表!AJ7</f>
        <v>540768518.44000006</v>
      </c>
      <c r="AK9" s="58">
        <f>利润表!AK7</f>
        <v>940508549.65999997</v>
      </c>
      <c r="AL9" s="58">
        <f>利润表!AL7</f>
        <v>676193009.49000001</v>
      </c>
      <c r="AM9" s="58">
        <f>利润表!AM7</f>
        <v>418028504.85000002</v>
      </c>
      <c r="AN9" s="58">
        <f>利润表!AN7</f>
        <v>234708691.38999999</v>
      </c>
      <c r="AO9" s="58">
        <f>利润表!AO7</f>
        <v>681761604.71000004</v>
      </c>
      <c r="AP9" s="58">
        <f>利润表!AP7</f>
        <v>533718466.75999999</v>
      </c>
      <c r="AQ9" s="58">
        <f>利润表!AQ7</f>
        <v>370471947.33999997</v>
      </c>
      <c r="AR9" s="58">
        <f>利润表!AR7</f>
        <v>198645627.71000001</v>
      </c>
      <c r="AS9" s="58">
        <f>利润表!AS7</f>
        <v>604078928.40999997</v>
      </c>
      <c r="AT9" s="58">
        <f>利润表!AT7</f>
        <v>412234460.64999998</v>
      </c>
      <c r="AU9" s="58">
        <f>利润表!AU7</f>
        <v>291887086.48000002</v>
      </c>
      <c r="AV9" s="58">
        <f>利润表!AV7</f>
        <v>191506723.52000001</v>
      </c>
      <c r="AW9" s="58">
        <f>利润表!AW7</f>
        <v>574699589.65999997</v>
      </c>
      <c r="AX9" s="58">
        <f>利润表!AX7</f>
        <v>422145286.06</v>
      </c>
      <c r="AY9" s="58">
        <f>利润表!AY7</f>
        <v>297988718.55000001</v>
      </c>
      <c r="AZ9" s="58">
        <f>利润表!AZ7</f>
        <v>178317665.44</v>
      </c>
      <c r="BA9" s="58">
        <f>利润表!BA7</f>
        <v>530245028.45999998</v>
      </c>
      <c r="BB9" s="58">
        <f>利润表!BB7</f>
        <v>406925341.75999999</v>
      </c>
      <c r="BC9" s="58">
        <f>利润表!BC7</f>
        <v>265598185.91999999</v>
      </c>
      <c r="BD9" s="58">
        <f>利润表!BD7</f>
        <v>165915935.69999999</v>
      </c>
      <c r="BE9" s="58">
        <f>利润表!BE7</f>
        <v>324855608.17000002</v>
      </c>
      <c r="BF9" s="58">
        <f>利润表!BF7</f>
        <v>320394935.06999999</v>
      </c>
      <c r="BG9" s="58">
        <f>利润表!BG7</f>
        <v>198084137.61000001</v>
      </c>
      <c r="BH9" s="58">
        <f>利润表!BH7</f>
        <v>119817149.3</v>
      </c>
      <c r="BI9" s="58">
        <f>利润表!BI7</f>
        <v>308189009.56</v>
      </c>
      <c r="BJ9" s="58">
        <f>利润表!BJ7</f>
        <v>268206392.63</v>
      </c>
      <c r="BK9" s="58">
        <f>利润表!BK7</f>
        <v>161846133.84999999</v>
      </c>
      <c r="BL9" s="58">
        <f>利润表!BL7</f>
        <v>121107780.34</v>
      </c>
      <c r="BM9" s="58">
        <f>利润表!BM7</f>
        <v>320026615.94999999</v>
      </c>
      <c r="BN9" s="58">
        <f>利润表!BN7</f>
        <v>228116802.27000001</v>
      </c>
      <c r="BO9" s="58">
        <f>利润表!BO7</f>
        <v>160878207.99000001</v>
      </c>
      <c r="BP9" s="58">
        <f>利润表!BP7</f>
        <v>124848157.48</v>
      </c>
      <c r="BQ9" s="58">
        <f>利润表!BQ7</f>
        <v>317884849.44</v>
      </c>
      <c r="BR9" s="58">
        <f>利润表!BR7</f>
        <v>161749763</v>
      </c>
      <c r="BS9" s="58">
        <f>利润表!BS7</f>
        <v>199224062.88</v>
      </c>
      <c r="BT9" s="58">
        <f>利润表!BT7</f>
        <v>172867651.11000001</v>
      </c>
      <c r="BU9" s="58">
        <f>利润表!BU7</f>
        <v>119074532.43000001</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492</v>
      </c>
      <c r="E10" s="58">
        <f>利润表!E8</f>
        <v>2986068544.9899998</v>
      </c>
      <c r="F10" s="58">
        <f>利润表!F8</f>
        <v>1977910933.9000001</v>
      </c>
      <c r="G10" s="58">
        <f>利润表!G8</f>
        <v>1378870495.3199999</v>
      </c>
      <c r="H10" s="58">
        <f>利润表!H8</f>
        <v>852434090.09000003</v>
      </c>
      <c r="I10" s="58">
        <f>利润表!I8</f>
        <v>1681052022.9000001</v>
      </c>
      <c r="J10" s="58">
        <f>利润表!J8</f>
        <v>655110282.33000004</v>
      </c>
      <c r="K10" s="58">
        <f>利润表!K8</f>
        <v>387421652.44999999</v>
      </c>
      <c r="L10" s="58">
        <f>利润表!L8</f>
        <v>170385412.55000001</v>
      </c>
      <c r="M10" s="58">
        <f>利润表!M8</f>
        <v>1484961519.21</v>
      </c>
      <c r="N10" s="58">
        <f>利润表!N8</f>
        <v>935401479.02999997</v>
      </c>
      <c r="O10" s="58">
        <f>利润表!O8</f>
        <v>592014002.75</v>
      </c>
      <c r="P10" s="58">
        <f>利润表!P8</f>
        <v>242599825.81999999</v>
      </c>
      <c r="Q10" s="58">
        <f>利润表!Q8</f>
        <v>1674733451.0599999</v>
      </c>
      <c r="R10" s="58">
        <f>利润表!R8</f>
        <v>976711335.94000006</v>
      </c>
      <c r="S10" s="58">
        <f>利润表!S8</f>
        <v>646806094.26999998</v>
      </c>
      <c r="T10" s="58">
        <f>利润表!T8</f>
        <v>329145907.60000002</v>
      </c>
      <c r="U10" s="58">
        <f>利润表!U8</f>
        <v>1858132722.71</v>
      </c>
      <c r="V10" s="58">
        <f>利润表!V8</f>
        <v>1165549963.0799999</v>
      </c>
      <c r="W10" s="58">
        <f>利润表!W8</f>
        <v>799796571.35000002</v>
      </c>
      <c r="X10" s="58">
        <f>利润表!X8</f>
        <v>284030284.32999998</v>
      </c>
      <c r="Y10" s="58">
        <f>利润表!Y8</f>
        <v>1224553444.02</v>
      </c>
      <c r="Z10" s="58">
        <f>利润表!Z8</f>
        <v>842051124.48000002</v>
      </c>
      <c r="AA10" s="58">
        <f>利润表!AA8</f>
        <v>406579445.95999998</v>
      </c>
      <c r="AB10" s="58">
        <f>利润表!AB8</f>
        <v>190131949.47</v>
      </c>
      <c r="AC10" s="58">
        <f>利润表!AC8</f>
        <v>720327727.88999999</v>
      </c>
      <c r="AD10" s="58">
        <f>利润表!AD8</f>
        <v>493777287.81999999</v>
      </c>
      <c r="AE10" s="58">
        <f>利润表!AE8</f>
        <v>324597983.18000001</v>
      </c>
      <c r="AF10" s="58">
        <f>利润表!AF8</f>
        <v>167210185.33000001</v>
      </c>
      <c r="AG10" s="58">
        <f>利润表!AG8</f>
        <v>676531662.09000003</v>
      </c>
      <c r="AH10" s="58">
        <f>利润表!AH8</f>
        <v>482572956.68000001</v>
      </c>
      <c r="AI10" s="58">
        <f>利润表!AI8</f>
        <v>314756689.20999998</v>
      </c>
      <c r="AJ10" s="58">
        <f>利润表!AJ8</f>
        <v>144719684.59</v>
      </c>
      <c r="AK10" s="58">
        <f>利润表!AK8</f>
        <v>621284334.75</v>
      </c>
      <c r="AL10" s="58">
        <f>利润表!AL8</f>
        <v>439653539.35000002</v>
      </c>
      <c r="AM10" s="58">
        <f>利润表!AM8</f>
        <v>315584024.69999999</v>
      </c>
      <c r="AN10" s="58">
        <f>利润表!AN8</f>
        <v>180649086.71000001</v>
      </c>
      <c r="AO10" s="58">
        <f>利润表!AO8</f>
        <v>532024659.80000001</v>
      </c>
      <c r="AP10" s="58">
        <f>利润表!AP8</f>
        <v>455051645.88999999</v>
      </c>
      <c r="AQ10" s="58">
        <f>利润表!AQ8</f>
        <v>341612858.30000001</v>
      </c>
      <c r="AR10" s="58">
        <f>利润表!AR8</f>
        <v>243703730.18000001</v>
      </c>
      <c r="AS10" s="58">
        <f>利润表!AS8</f>
        <v>560385186.98000002</v>
      </c>
      <c r="AT10" s="58">
        <f>利润表!AT8</f>
        <v>439695589.05000001</v>
      </c>
      <c r="AU10" s="58">
        <f>利润表!AU8</f>
        <v>343733134.56999999</v>
      </c>
      <c r="AV10" s="58">
        <f>利润表!AV8</f>
        <v>212477800.28999999</v>
      </c>
      <c r="AW10" s="58">
        <f>利润表!AW8</f>
        <v>579353831.58000004</v>
      </c>
      <c r="AX10" s="58">
        <f>利润表!AX8</f>
        <v>483225031.23000002</v>
      </c>
      <c r="AY10" s="58">
        <f>利润表!AY8</f>
        <v>269828737.06999999</v>
      </c>
      <c r="AZ10" s="58">
        <f>利润表!AZ8</f>
        <v>197589630.34999999</v>
      </c>
      <c r="BA10" s="58">
        <f>利润表!BA8</f>
        <v>475939394.32999998</v>
      </c>
      <c r="BB10" s="58">
        <f>利润表!BB8</f>
        <v>371220561.92000002</v>
      </c>
      <c r="BC10" s="58">
        <f>利润表!BC8</f>
        <v>236478908.59</v>
      </c>
      <c r="BD10" s="58">
        <f>利润表!BD8</f>
        <v>153658444.72</v>
      </c>
      <c r="BE10" s="58">
        <f>利润表!BE8</f>
        <v>376522300.75</v>
      </c>
      <c r="BF10" s="58">
        <f>利润表!BF8</f>
        <v>338181343.52999997</v>
      </c>
      <c r="BG10" s="58">
        <f>利润表!BG8</f>
        <v>199936560.31</v>
      </c>
      <c r="BH10" s="58">
        <f>利润表!BH8</f>
        <v>139760649.13999999</v>
      </c>
      <c r="BI10" s="58">
        <f>利润表!BI8</f>
        <v>365256375.5</v>
      </c>
      <c r="BJ10" s="58">
        <f>利润表!BJ8</f>
        <v>247758788.18000001</v>
      </c>
      <c r="BK10" s="58">
        <f>利润表!BK8</f>
        <v>148471350.83000001</v>
      </c>
      <c r="BL10" s="58">
        <f>利润表!BL8</f>
        <v>99955921.620000005</v>
      </c>
      <c r="BM10" s="58">
        <f>利润表!BM8</f>
        <v>308176458.60000002</v>
      </c>
      <c r="BN10" s="58">
        <f>利润表!BN8</f>
        <v>240365513.08000001</v>
      </c>
      <c r="BO10" s="58">
        <f>利润表!BO8</f>
        <v>167320806.24000001</v>
      </c>
      <c r="BP10" s="58">
        <f>利润表!BP8</f>
        <v>103935965.36</v>
      </c>
      <c r="BQ10" s="58">
        <f>利润表!BQ8</f>
        <v>228319500.78</v>
      </c>
      <c r="BR10" s="58">
        <f>利润表!BR8</f>
        <v>117289100</v>
      </c>
      <c r="BS10" s="58">
        <f>利润表!BS8</f>
        <v>134826000.83000001</v>
      </c>
      <c r="BT10" s="58">
        <f>利润表!BT8</f>
        <v>101900556.98</v>
      </c>
      <c r="BU10" s="58">
        <f>利润表!BU8</f>
        <v>56426807.149999999</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493</v>
      </c>
      <c r="E11" s="58">
        <f>利润表!E9</f>
        <v>4720542820.1400003</v>
      </c>
      <c r="F11" s="58">
        <f>利润表!F9</f>
        <v>3115038946.7600002</v>
      </c>
      <c r="G11" s="58">
        <f>利润表!G9</f>
        <v>2032246237.8800001</v>
      </c>
      <c r="H11" s="58">
        <f>利润表!H9</f>
        <v>1122230514.3299999</v>
      </c>
      <c r="I11" s="58">
        <f>利润表!I9</f>
        <v>4187189840.4200001</v>
      </c>
      <c r="J11" s="58">
        <f>利润表!J9</f>
        <v>2786104248.79</v>
      </c>
      <c r="K11" s="58">
        <f>利润表!K9</f>
        <v>1859591870.3199999</v>
      </c>
      <c r="L11" s="58">
        <f>利润表!L9</f>
        <v>905013030.88</v>
      </c>
      <c r="M11" s="58">
        <f>利润表!M9</f>
        <v>3812852076.1900001</v>
      </c>
      <c r="N11" s="58">
        <f>利润表!N9</f>
        <v>2592580782.23</v>
      </c>
      <c r="O11" s="58">
        <f>利润表!O9</f>
        <v>1827131652.26</v>
      </c>
      <c r="P11" s="58">
        <f>利润表!P9</f>
        <v>919920409</v>
      </c>
      <c r="Q11" s="58">
        <f>利润表!Q9</f>
        <v>3378499544.5900002</v>
      </c>
      <c r="R11" s="58">
        <f>利润表!R9</f>
        <v>2336957697.6399999</v>
      </c>
      <c r="S11" s="58">
        <f>利润表!S9</f>
        <v>1492808431.3399999</v>
      </c>
      <c r="T11" s="58">
        <f>利润表!T9</f>
        <v>730947216.88</v>
      </c>
      <c r="U11" s="58">
        <f>利润表!U9</f>
        <v>2834740716</v>
      </c>
      <c r="V11" s="58">
        <f>利润表!V9</f>
        <v>1743433452.3800001</v>
      </c>
      <c r="W11" s="58">
        <f>利润表!W9</f>
        <v>1151877819.8900001</v>
      </c>
      <c r="X11" s="58">
        <f>利润表!X9</f>
        <v>558440922.01999998</v>
      </c>
      <c r="Y11" s="58">
        <f>利润表!Y9</f>
        <v>2204190581.1300001</v>
      </c>
      <c r="Z11" s="58">
        <f>利润表!Z9</f>
        <v>1288134049.01</v>
      </c>
      <c r="AA11" s="58">
        <f>利润表!AA9</f>
        <v>831662727.75</v>
      </c>
      <c r="AB11" s="58">
        <f>利润表!AB9</f>
        <v>459827167.05000001</v>
      </c>
      <c r="AC11" s="58">
        <f>利润表!AC9</f>
        <v>1673872427.75</v>
      </c>
      <c r="AD11" s="58">
        <f>利润表!AD9</f>
        <v>1001317983.5599999</v>
      </c>
      <c r="AE11" s="58">
        <f>利润表!AE9</f>
        <v>642955797.35000002</v>
      </c>
      <c r="AF11" s="58">
        <f>利润表!AF9</f>
        <v>354029240.72000003</v>
      </c>
      <c r="AG11" s="58">
        <f>利润表!AG9</f>
        <v>1346014202.04</v>
      </c>
      <c r="AH11" s="58">
        <f>利润表!AH9</f>
        <v>851216571.00999999</v>
      </c>
      <c r="AI11" s="58">
        <f>利润表!AI9</f>
        <v>560864374.54999995</v>
      </c>
      <c r="AJ11" s="58">
        <f>利润表!AJ9</f>
        <v>309690750.82999998</v>
      </c>
      <c r="AK11" s="58">
        <f>利润表!AK9</f>
        <v>1217158463.04</v>
      </c>
      <c r="AL11" s="58">
        <f>利润表!AL9</f>
        <v>733148103.42999995</v>
      </c>
      <c r="AM11" s="58">
        <f>利润表!AM9</f>
        <v>463903828.94999999</v>
      </c>
      <c r="AN11" s="58">
        <f>利润表!AN9</f>
        <v>222527985.93000001</v>
      </c>
      <c r="AO11" s="58">
        <f>利润表!AO9</f>
        <v>941174062.44000006</v>
      </c>
      <c r="AP11" s="58">
        <f>利润表!AP9</f>
        <v>536075599.36000001</v>
      </c>
      <c r="AQ11" s="58">
        <f>利润表!AQ9</f>
        <v>369708813.51999998</v>
      </c>
      <c r="AR11" s="58">
        <f>利润表!AR9</f>
        <v>168448490.52000001</v>
      </c>
      <c r="AS11" s="58">
        <f>利润表!AS9</f>
        <v>723155575.20000005</v>
      </c>
      <c r="AT11" s="58">
        <f>利润表!AT9</f>
        <v>475793089.54000002</v>
      </c>
      <c r="AU11" s="58">
        <f>利润表!AU9</f>
        <v>277866482.92000002</v>
      </c>
      <c r="AV11" s="58">
        <f>利润表!AV9</f>
        <v>99539514.049999997</v>
      </c>
      <c r="AW11" s="58">
        <f>利润表!AW9</f>
        <v>492828170.27999997</v>
      </c>
      <c r="AX11" s="58">
        <f>利润表!AX9</f>
        <v>256603509.80000001</v>
      </c>
      <c r="AY11" s="58">
        <f>利润表!AY9</f>
        <v>154874288.83000001</v>
      </c>
      <c r="AZ11" s="58">
        <f>利润表!AZ9</f>
        <v>81752353.340000004</v>
      </c>
      <c r="BA11" s="58">
        <f>利润表!BA9</f>
        <v>350685099.47000003</v>
      </c>
      <c r="BB11" s="58">
        <f>利润表!BB9</f>
        <v>216504598.13</v>
      </c>
      <c r="BC11" s="58">
        <f>利润表!BC9</f>
        <v>142501033.12</v>
      </c>
      <c r="BD11" s="58">
        <f>利润表!BD9</f>
        <v>73791104.609999999</v>
      </c>
      <c r="BE11" s="58">
        <f>利润表!BE9</f>
        <v>311563047.88999999</v>
      </c>
      <c r="BF11" s="58">
        <f>利润表!BF9</f>
        <v>190624537.22999999</v>
      </c>
      <c r="BG11" s="58">
        <f>利润表!BG9</f>
        <v>126425959.59999999</v>
      </c>
      <c r="BH11" s="58">
        <f>利润表!BH9</f>
        <v>48201023.189999998</v>
      </c>
      <c r="BI11" s="58">
        <f>利润表!BI9</f>
        <v>291880260.69</v>
      </c>
      <c r="BJ11" s="58">
        <f>利润表!BJ9</f>
        <v>153324035.58000001</v>
      </c>
      <c r="BK11" s="58">
        <f>利润表!BK9</f>
        <v>97233132.640000001</v>
      </c>
      <c r="BL11" s="58">
        <f>利润表!BL9</f>
        <v>38951847.950000003</v>
      </c>
      <c r="BM11" s="58">
        <f>利润表!BM9</f>
        <v>237706731.47</v>
      </c>
      <c r="BN11" s="58">
        <f>利润表!BN9</f>
        <v>154188146.5</v>
      </c>
      <c r="BO11" s="58">
        <f>利润表!BO9</f>
        <v>79903159.849999994</v>
      </c>
      <c r="BP11" s="58">
        <f>利润表!BP9</f>
        <v>39164507.240000002</v>
      </c>
      <c r="BQ11" s="58">
        <f>利润表!BQ9</f>
        <v>181060278.22</v>
      </c>
      <c r="BR11" s="58">
        <f>利润表!BR9</f>
        <v>74414401</v>
      </c>
      <c r="BS11" s="58">
        <f>利润表!BS9</f>
        <v>129669631.27</v>
      </c>
      <c r="BT11" s="58">
        <f>利润表!BT9</f>
        <v>122410821.54000001</v>
      </c>
      <c r="BU11" s="58">
        <f>利润表!BU9</f>
        <v>116104124.14</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494</v>
      </c>
      <c r="E12" s="58">
        <f>SUM(E8:E11)</f>
        <v>22051262207.790001</v>
      </c>
      <c r="F12" s="58">
        <f t="shared" ref="F12:BQ12" si="4">SUM(F8:F11)</f>
        <v>15790364384.049999</v>
      </c>
      <c r="G12" s="58">
        <f t="shared" si="4"/>
        <v>9341761693.6100006</v>
      </c>
      <c r="H12" s="58">
        <f t="shared" si="4"/>
        <v>5124963952.4200001</v>
      </c>
      <c r="I12" s="58">
        <f t="shared" si="4"/>
        <v>15787272292.549999</v>
      </c>
      <c r="J12" s="58">
        <f t="shared" si="4"/>
        <v>9290497013.9900017</v>
      </c>
      <c r="K12" s="58">
        <f t="shared" si="4"/>
        <v>5928079836.8799992</v>
      </c>
      <c r="L12" s="58">
        <f t="shared" si="4"/>
        <v>3021023354.7199998</v>
      </c>
      <c r="M12" s="58">
        <f t="shared" si="4"/>
        <v>11285321681.860001</v>
      </c>
      <c r="N12" s="58">
        <f t="shared" si="4"/>
        <v>7446635393.7199993</v>
      </c>
      <c r="O12" s="58">
        <f t="shared" si="4"/>
        <v>5028163717.1599998</v>
      </c>
      <c r="P12" s="58">
        <f t="shared" si="4"/>
        <v>2548854995.3000002</v>
      </c>
      <c r="Q12" s="58">
        <f t="shared" si="4"/>
        <v>10180777964.030001</v>
      </c>
      <c r="R12" s="58">
        <f t="shared" si="4"/>
        <v>6911285240.5799999</v>
      </c>
      <c r="S12" s="58">
        <f t="shared" si="4"/>
        <v>4392479724.4799995</v>
      </c>
      <c r="T12" s="58">
        <f t="shared" si="4"/>
        <v>2271769494.9700003</v>
      </c>
      <c r="U12" s="58">
        <f t="shared" si="4"/>
        <v>9677541636.1899986</v>
      </c>
      <c r="V12" s="58">
        <f t="shared" si="4"/>
        <v>6322526997.8100004</v>
      </c>
      <c r="W12" s="58">
        <f t="shared" si="4"/>
        <v>3983427617.3699999</v>
      </c>
      <c r="X12" s="58">
        <f t="shared" si="4"/>
        <v>1910125345.99</v>
      </c>
      <c r="Y12" s="58">
        <f t="shared" si="4"/>
        <v>8045695249.3300009</v>
      </c>
      <c r="Z12" s="58">
        <f t="shared" si="4"/>
        <v>5543757756.5500002</v>
      </c>
      <c r="AA12" s="58">
        <f t="shared" si="4"/>
        <v>3654096993.1400003</v>
      </c>
      <c r="AB12" s="58">
        <f t="shared" si="4"/>
        <v>1940367853.5</v>
      </c>
      <c r="AC12" s="58">
        <f t="shared" si="4"/>
        <v>6422825929.71</v>
      </c>
      <c r="AD12" s="58">
        <f t="shared" si="4"/>
        <v>4582382964.0699997</v>
      </c>
      <c r="AE12" s="58">
        <f t="shared" si="4"/>
        <v>3089883493.9799995</v>
      </c>
      <c r="AF12" s="58">
        <f t="shared" si="4"/>
        <v>1621877683.1800001</v>
      </c>
      <c r="AG12" s="58">
        <f t="shared" si="4"/>
        <v>4652490560.6400003</v>
      </c>
      <c r="AH12" s="58">
        <f t="shared" si="4"/>
        <v>3564978640.1499996</v>
      </c>
      <c r="AI12" s="58">
        <f t="shared" si="4"/>
        <v>2303791632.3699999</v>
      </c>
      <c r="AJ12" s="58">
        <f t="shared" si="4"/>
        <v>1290565766.3400002</v>
      </c>
      <c r="AK12" s="58">
        <f t="shared" si="4"/>
        <v>3729624202.7199998</v>
      </c>
      <c r="AL12" s="58">
        <f t="shared" si="4"/>
        <v>2592202203.6099997</v>
      </c>
      <c r="AM12" s="58">
        <f t="shared" si="4"/>
        <v>1729136534.8200002</v>
      </c>
      <c r="AN12" s="58">
        <f t="shared" si="4"/>
        <v>889334098.95000005</v>
      </c>
      <c r="AO12" s="58">
        <f t="shared" si="4"/>
        <v>2954673646.1900001</v>
      </c>
      <c r="AP12" s="58">
        <f t="shared" si="4"/>
        <v>2139785806.3600001</v>
      </c>
      <c r="AQ12" s="58">
        <f t="shared" si="4"/>
        <v>1523848339.3499999</v>
      </c>
      <c r="AR12" s="58">
        <f t="shared" si="4"/>
        <v>811608560.49000001</v>
      </c>
      <c r="AS12" s="58">
        <f t="shared" si="4"/>
        <v>2759263258.9200001</v>
      </c>
      <c r="AT12" s="58">
        <f t="shared" si="4"/>
        <v>1990359618.1099999</v>
      </c>
      <c r="AU12" s="58">
        <f t="shared" si="4"/>
        <v>1302703466.28</v>
      </c>
      <c r="AV12" s="58">
        <f t="shared" si="4"/>
        <v>741229011.98999989</v>
      </c>
      <c r="AW12" s="58">
        <f t="shared" si="4"/>
        <v>2438061432.0100002</v>
      </c>
      <c r="AX12" s="58">
        <f t="shared" si="4"/>
        <v>1698171235.3599999</v>
      </c>
      <c r="AY12" s="58">
        <f t="shared" si="4"/>
        <v>1065158951.59</v>
      </c>
      <c r="AZ12" s="58">
        <f t="shared" si="4"/>
        <v>685212234.05000007</v>
      </c>
      <c r="BA12" s="58">
        <f t="shared" si="4"/>
        <v>2043976338.9399998</v>
      </c>
      <c r="BB12" s="58">
        <f t="shared" si="4"/>
        <v>1445147031.6900001</v>
      </c>
      <c r="BC12" s="58">
        <f t="shared" si="4"/>
        <v>938707001.73000002</v>
      </c>
      <c r="BD12" s="58">
        <f t="shared" si="4"/>
        <v>590080512.51999998</v>
      </c>
      <c r="BE12" s="58">
        <f t="shared" si="4"/>
        <v>1547997205.7599998</v>
      </c>
      <c r="BF12" s="58">
        <f t="shared" si="4"/>
        <v>1217135251.4400001</v>
      </c>
      <c r="BG12" s="58">
        <f t="shared" si="4"/>
        <v>754388080.24000013</v>
      </c>
      <c r="BH12" s="58">
        <f t="shared" si="4"/>
        <v>459022589.88</v>
      </c>
      <c r="BI12" s="58">
        <f t="shared" si="4"/>
        <v>1442713775.6100001</v>
      </c>
      <c r="BJ12" s="58">
        <f t="shared" si="4"/>
        <v>972022524.07000005</v>
      </c>
      <c r="BK12" s="58">
        <f t="shared" si="4"/>
        <v>604489446.11000001</v>
      </c>
      <c r="BL12" s="58">
        <f t="shared" si="4"/>
        <v>396096453.06</v>
      </c>
      <c r="BM12" s="58">
        <f t="shared" si="4"/>
        <v>1206466250.8099999</v>
      </c>
      <c r="BN12" s="58">
        <f t="shared" si="4"/>
        <v>853466212.48000002</v>
      </c>
      <c r="BO12" s="58">
        <f t="shared" si="4"/>
        <v>566470716.41000009</v>
      </c>
      <c r="BP12" s="58">
        <f t="shared" si="4"/>
        <v>383500480.05000001</v>
      </c>
      <c r="BQ12" s="58">
        <f t="shared" si="4"/>
        <v>1014803096.55</v>
      </c>
      <c r="BR12" s="58">
        <f t="shared" ref="BR12:CL12" si="5">SUM(BR8:BR11)</f>
        <v>499936428.85000002</v>
      </c>
      <c r="BS12" s="58">
        <f t="shared" si="5"/>
        <v>660583138.97000003</v>
      </c>
      <c r="BT12" s="58">
        <f t="shared" si="5"/>
        <v>526312265.90000004</v>
      </c>
      <c r="BU12" s="58">
        <f t="shared" si="5"/>
        <v>368330833.70000005</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0.4379309238315427</v>
      </c>
      <c r="F13" s="28">
        <f t="shared" ref="F13:BQ13" si="6">(F6/(1+F4)+F7)/F12</f>
        <v>0.46263212975501933</v>
      </c>
      <c r="G13" s="28">
        <f t="shared" si="6"/>
        <v>0.56084418211958864</v>
      </c>
      <c r="H13" s="28">
        <f t="shared" si="6"/>
        <v>0.68668703139988629</v>
      </c>
      <c r="I13" s="28">
        <f t="shared" si="6"/>
        <v>0.44619849552870239</v>
      </c>
      <c r="J13" s="28">
        <f t="shared" si="6"/>
        <v>0.5539670325361109</v>
      </c>
      <c r="K13" s="28">
        <f t="shared" si="6"/>
        <v>0.64327287527963195</v>
      </c>
      <c r="L13" s="28">
        <f t="shared" si="6"/>
        <v>0.78258151439671286</v>
      </c>
      <c r="M13" s="28">
        <f t="shared" si="6"/>
        <v>0.62677885098930086</v>
      </c>
      <c r="N13" s="28">
        <f t="shared" si="6"/>
        <v>0.73336752089427282</v>
      </c>
      <c r="O13" s="28">
        <f t="shared" si="6"/>
        <v>0.79957079649539931</v>
      </c>
      <c r="P13" s="28">
        <f t="shared" si="6"/>
        <v>0.99705300421742715</v>
      </c>
      <c r="Q13" s="28">
        <f t="shared" si="6"/>
        <v>0.57159433992406183</v>
      </c>
      <c r="R13" s="28">
        <f t="shared" si="6"/>
        <v>0.632099703072591</v>
      </c>
      <c r="S13" s="28">
        <f t="shared" si="6"/>
        <v>0.65846991964442692</v>
      </c>
      <c r="T13" s="28">
        <f t="shared" si="6"/>
        <v>0.75860323045133626</v>
      </c>
      <c r="U13" s="28">
        <f t="shared" si="6"/>
        <v>0.60241427387601931</v>
      </c>
      <c r="V13" s="28">
        <f t="shared" si="6"/>
        <v>0.55034261322605005</v>
      </c>
      <c r="W13" s="28">
        <f t="shared" si="6"/>
        <v>0.57250408430786193</v>
      </c>
      <c r="X13" s="28">
        <f t="shared" si="6"/>
        <v>0.59073228377619647</v>
      </c>
      <c r="Y13" s="28">
        <f t="shared" si="6"/>
        <v>0.65475146383297367</v>
      </c>
      <c r="Z13" s="28">
        <f t="shared" si="6"/>
        <v>0.5728691602960917</v>
      </c>
      <c r="AA13" s="28">
        <f t="shared" si="6"/>
        <v>0.64244958641106731</v>
      </c>
      <c r="AB13" s="28">
        <f t="shared" si="6"/>
        <v>0.71193131268331922</v>
      </c>
      <c r="AC13" s="28">
        <f t="shared" si="6"/>
        <v>0.6130122377140047</v>
      </c>
      <c r="AD13" s="28">
        <f t="shared" si="6"/>
        <v>0.57660591748595069</v>
      </c>
      <c r="AE13" s="28">
        <f t="shared" si="6"/>
        <v>0.60688506028381506</v>
      </c>
      <c r="AF13" s="28">
        <f t="shared" si="6"/>
        <v>0.68053321122804666</v>
      </c>
      <c r="AG13" s="28">
        <f t="shared" si="6"/>
        <v>0.62762008886462017</v>
      </c>
      <c r="AH13" s="28">
        <f t="shared" si="6"/>
        <v>0.5618121846584605</v>
      </c>
      <c r="AI13" s="28">
        <f t="shared" si="6"/>
        <v>0.61233890686703674</v>
      </c>
      <c r="AJ13" s="28">
        <f t="shared" si="6"/>
        <v>0.64320791744252737</v>
      </c>
      <c r="AK13" s="28">
        <f t="shared" si="6"/>
        <v>0.68643354798425182</v>
      </c>
      <c r="AL13" s="28">
        <f t="shared" si="6"/>
        <v>0.65077325970226885</v>
      </c>
      <c r="AM13" s="28">
        <f t="shared" si="6"/>
        <v>0.6596481931245004</v>
      </c>
      <c r="AN13" s="28">
        <f t="shared" si="6"/>
        <v>0.80304041921498792</v>
      </c>
      <c r="AO13" s="28">
        <f t="shared" si="6"/>
        <v>0.62531684407447585</v>
      </c>
      <c r="AP13" s="28">
        <f t="shared" si="6"/>
        <v>0.57824386825288354</v>
      </c>
      <c r="AQ13" s="28">
        <f t="shared" si="6"/>
        <v>0.55425085890350601</v>
      </c>
      <c r="AR13" s="28">
        <f t="shared" si="6"/>
        <v>0.5829445508602108</v>
      </c>
      <c r="AS13" s="28">
        <f t="shared" si="6"/>
        <v>0.56611408720274081</v>
      </c>
      <c r="AT13" s="28">
        <f t="shared" si="6"/>
        <v>0.54721964447406624</v>
      </c>
      <c r="AU13" s="28">
        <f t="shared" si="6"/>
        <v>0.60895504116397592</v>
      </c>
      <c r="AV13" s="28">
        <f t="shared" si="6"/>
        <v>0.6090840238747246</v>
      </c>
      <c r="AW13" s="28">
        <f t="shared" si="6"/>
        <v>0.44767393145739548</v>
      </c>
      <c r="AX13" s="28">
        <f t="shared" si="6"/>
        <v>0.41122062637339263</v>
      </c>
      <c r="AY13" s="28">
        <f t="shared" si="6"/>
        <v>0.47534567355578405</v>
      </c>
      <c r="AZ13" s="28">
        <f t="shared" si="6"/>
        <v>0.48643240240150842</v>
      </c>
      <c r="BA13" s="28">
        <f t="shared" si="6"/>
        <v>0.52026891995669367</v>
      </c>
      <c r="BB13" s="28">
        <f t="shared" si="6"/>
        <v>0.34821044151241315</v>
      </c>
      <c r="BC13" s="28">
        <f t="shared" si="6"/>
        <v>0.47731455254492011</v>
      </c>
      <c r="BD13" s="28">
        <f t="shared" si="6"/>
        <v>0.35615990978056566</v>
      </c>
      <c r="BE13" s="28">
        <f t="shared" si="6"/>
        <v>0.58050045045891441</v>
      </c>
      <c r="BF13" s="28">
        <f t="shared" si="6"/>
        <v>0.50219363737166667</v>
      </c>
      <c r="BG13" s="28">
        <f t="shared" si="6"/>
        <v>0.52493864548418234</v>
      </c>
      <c r="BH13" s="28">
        <f t="shared" si="6"/>
        <v>0.55147085358904513</v>
      </c>
      <c r="BI13" s="28">
        <f t="shared" si="6"/>
        <v>0.52091749982884994</v>
      </c>
      <c r="BJ13" s="28">
        <f t="shared" si="6"/>
        <v>0.48239981774163987</v>
      </c>
      <c r="BK13" s="28">
        <f t="shared" si="6"/>
        <v>0.56968467565353842</v>
      </c>
      <c r="BL13" s="28">
        <f t="shared" si="6"/>
        <v>0.29996587292213472</v>
      </c>
      <c r="BM13" s="28">
        <f t="shared" si="6"/>
        <v>0.53019050339184204</v>
      </c>
      <c r="BN13" s="28">
        <f t="shared" si="6"/>
        <v>0.45910692322562224</v>
      </c>
      <c r="BO13" s="28">
        <f t="shared" si="6"/>
        <v>1.0620360047650614</v>
      </c>
      <c r="BP13" s="28">
        <f t="shared" si="6"/>
        <v>0</v>
      </c>
      <c r="BQ13" s="28">
        <f t="shared" si="6"/>
        <v>0.30693444786509949</v>
      </c>
      <c r="BR13" s="28">
        <f t="shared" ref="BR13:CK13" si="7">(BR6/(1+BR4)+BR7)/BR12</f>
        <v>0</v>
      </c>
      <c r="BS13" s="28">
        <f t="shared" si="7"/>
        <v>0</v>
      </c>
      <c r="BT13" s="28">
        <f t="shared" si="7"/>
        <v>0</v>
      </c>
      <c r="BU13" s="28">
        <f t="shared" si="7"/>
        <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22153036084.130001</v>
      </c>
      <c r="F14" s="26">
        <f>现金流量表!F13</f>
        <v>22786767198.189999</v>
      </c>
      <c r="G14" s="26">
        <f>现金流量表!G13</f>
        <v>6935360410.3599997</v>
      </c>
      <c r="H14" s="26">
        <f>现金流量表!H13</f>
        <v>6108975096.5600004</v>
      </c>
      <c r="I14" s="26">
        <f>现金流量表!I13</f>
        <v>37451249647.050003</v>
      </c>
      <c r="J14" s="26">
        <f>现金流量表!J13</f>
        <v>32535332631.689999</v>
      </c>
      <c r="K14" s="26">
        <f>现金流量表!K13</f>
        <v>13603962283.99</v>
      </c>
      <c r="L14" s="26">
        <f>现金流量表!L13</f>
        <v>7436044334.9799995</v>
      </c>
      <c r="M14" s="26">
        <f>现金流量表!M13</f>
        <v>17436340141.720001</v>
      </c>
      <c r="N14" s="26">
        <f>现金流量表!N13</f>
        <v>11423393327.059999</v>
      </c>
      <c r="O14" s="26">
        <f>现金流量表!O13</f>
        <v>4901688343.2799997</v>
      </c>
      <c r="P14" s="26">
        <f>现金流量表!P13</f>
        <v>2111633649.4000001</v>
      </c>
      <c r="Q14" s="26">
        <f>现金流量表!Q13</f>
        <v>12632522436.6</v>
      </c>
      <c r="R14" s="26">
        <f>现金流量表!R13</f>
        <v>7679397243.8699999</v>
      </c>
      <c r="S14" s="26">
        <f>现金流量表!S13</f>
        <v>4288743348.5</v>
      </c>
      <c r="T14" s="26">
        <f>现金流量表!T13</f>
        <v>173915705.72</v>
      </c>
      <c r="U14" s="26">
        <f>现金流量表!U13</f>
        <v>12655024861.92</v>
      </c>
      <c r="V14" s="26">
        <f>现金流量表!V13</f>
        <v>9245117959.3099995</v>
      </c>
      <c r="W14" s="26">
        <f>现金流量表!W13</f>
        <v>5215024506.9099998</v>
      </c>
      <c r="X14" s="26">
        <f>现金流量表!X13</f>
        <v>790228914.26999998</v>
      </c>
      <c r="Y14" s="26">
        <f>现金流量表!Y13</f>
        <v>11921310609.25</v>
      </c>
      <c r="Z14" s="26">
        <f>现金流量表!Z13</f>
        <v>7561565324.8999996</v>
      </c>
      <c r="AA14" s="26">
        <f>现金流量表!AA13</f>
        <v>4459709495.3299999</v>
      </c>
      <c r="AB14" s="26">
        <f>现金流量表!AB13</f>
        <v>1339500999.5999999</v>
      </c>
      <c r="AC14" s="26">
        <f>现金流量表!AC13</f>
        <v>10148564689.530001</v>
      </c>
      <c r="AD14" s="26">
        <f>现金流量表!AD13</f>
        <v>9026937978.2999992</v>
      </c>
      <c r="AE14" s="26">
        <f>现金流量表!AE13</f>
        <v>5327897835.0799999</v>
      </c>
      <c r="AF14" s="26">
        <f>现金流量表!AF13</f>
        <v>3411131919.8499999</v>
      </c>
      <c r="AG14" s="26">
        <f>现金流量表!AG13</f>
        <v>6201476519.5699997</v>
      </c>
      <c r="AH14" s="26">
        <f>现金流量表!AH13</f>
        <v>3964406933.9299998</v>
      </c>
      <c r="AI14" s="26">
        <f>现金流量表!AI13</f>
        <v>1766383110.55</v>
      </c>
      <c r="AJ14" s="26">
        <f>现金流量表!AJ13</f>
        <v>824771903.73000002</v>
      </c>
      <c r="AK14" s="26">
        <f>现金流量表!AK13</f>
        <v>4223937144.1900001</v>
      </c>
      <c r="AL14" s="26">
        <f>现金流量表!AL13</f>
        <v>2077542093.22</v>
      </c>
      <c r="AM14" s="26">
        <f>现金流量表!AM13</f>
        <v>548187840.42999995</v>
      </c>
      <c r="AN14" s="26">
        <f>现金流量表!AN13</f>
        <v>-130764695.25</v>
      </c>
      <c r="AO14" s="26">
        <f>现金流量表!AO13</f>
        <v>5247488535.7399998</v>
      </c>
      <c r="AP14" s="26">
        <f>现金流量表!AP13</f>
        <v>3068605688.1700001</v>
      </c>
      <c r="AQ14" s="26">
        <f>现金流量表!AQ13</f>
        <v>1495681406.98</v>
      </c>
      <c r="AR14" s="26">
        <f>现金流量表!AR13</f>
        <v>992687155.95000005</v>
      </c>
      <c r="AS14" s="26">
        <f>现金流量表!AS13</f>
        <v>1743303211.3800001</v>
      </c>
      <c r="AT14" s="26">
        <f>现金流量表!AT13</f>
        <v>1548259234.8800001</v>
      </c>
      <c r="AU14" s="26">
        <f>现金流量表!AU13</f>
        <v>685813057.54999995</v>
      </c>
      <c r="AV14" s="26">
        <f>现金流量表!AV13</f>
        <v>380543066.07999998</v>
      </c>
      <c r="AW14" s="26">
        <f>现金流量表!AW13</f>
        <v>2105171033.6900001</v>
      </c>
      <c r="AX14" s="26">
        <f>现金流量表!AX13</f>
        <v>1490129273.8</v>
      </c>
      <c r="AY14" s="26">
        <f>现金流量表!AY13</f>
        <v>594871612.89999998</v>
      </c>
      <c r="AZ14" s="26">
        <f>现金流量表!AZ13</f>
        <v>222204247.83000001</v>
      </c>
      <c r="BA14" s="26">
        <f>现金流量表!BA13</f>
        <v>1693707488.3199999</v>
      </c>
      <c r="BB14" s="26">
        <f>现金流量表!BB13</f>
        <v>883720092.28999996</v>
      </c>
      <c r="BC14" s="26">
        <f>现金流量表!BC13</f>
        <v>436604511.29000002</v>
      </c>
      <c r="BD14" s="26">
        <f>现金流量表!BD13</f>
        <v>242281053.09999999</v>
      </c>
      <c r="BE14" s="26">
        <f>现金流量表!BE13</f>
        <v>975784480.20000005</v>
      </c>
      <c r="BF14" s="26">
        <f>现金流量表!BF13</f>
        <v>372675167.5</v>
      </c>
      <c r="BG14" s="26">
        <f>现金流量表!BG13</f>
        <v>-37984534.130000003</v>
      </c>
      <c r="BH14" s="26">
        <f>现金流量表!BH13</f>
        <v>-181383371.87</v>
      </c>
      <c r="BI14" s="26">
        <f>现金流量表!BI13</f>
        <v>941706242.08000004</v>
      </c>
      <c r="BJ14" s="26">
        <f>现金流量表!BJ13</f>
        <v>439378658.54000002</v>
      </c>
      <c r="BK14" s="26">
        <f>现金流量表!BK13</f>
        <v>-33965937.280000001</v>
      </c>
      <c r="BL14" s="26">
        <f>现金流量表!BL13</f>
        <v>9112186.6699999999</v>
      </c>
      <c r="BM14" s="26">
        <f>现金流量表!BM13</f>
        <v>434582378.66000003</v>
      </c>
      <c r="BN14" s="26">
        <f>现金流量表!BN13</f>
        <v>-180120845.05000001</v>
      </c>
      <c r="BO14" s="26">
        <f>现金流量表!BO13</f>
        <v>42283037.350000001</v>
      </c>
      <c r="BP14" s="26">
        <f>现金流量表!BP13</f>
        <v>-86280877.689999998</v>
      </c>
      <c r="BQ14" s="26">
        <f>现金流量表!BQ13</f>
        <v>443124645.68000001</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26253075158.090992</v>
      </c>
      <c r="F15" s="26">
        <f>股权价值增加表!F17</f>
        <v>19404450658.171982</v>
      </c>
      <c r="G15" s="26">
        <f>股权价值增加表!G17</f>
        <v>10783278773.024376</v>
      </c>
      <c r="H15" s="26">
        <f>股权价值增加表!H17</f>
        <v>5951814741.3700209</v>
      </c>
      <c r="I15" s="26">
        <f>股权价值增加表!I17</f>
        <v>16736069551.711514</v>
      </c>
      <c r="J15" s="26">
        <f>股权价值增加表!J17</f>
        <v>12517741132.533356</v>
      </c>
      <c r="K15" s="26">
        <f>股权价值增加表!K17</f>
        <v>8860710403.007576</v>
      </c>
      <c r="L15" s="26">
        <f>股权价值增加表!L17</f>
        <v>4976138897.8466206</v>
      </c>
      <c r="M15" s="26">
        <f>股权价值增加表!M17</f>
        <v>15684483503.568249</v>
      </c>
      <c r="N15" s="26">
        <f>股权价值增加表!N17</f>
        <v>11545123600.416145</v>
      </c>
      <c r="O15" s="26">
        <f>股权价值增加表!O17</f>
        <v>7965069932.5876713</v>
      </c>
      <c r="P15" s="26">
        <f>股权价值增加表!P17</f>
        <v>4418678345.373085</v>
      </c>
      <c r="Q15" s="26">
        <f>股权价值增加表!Q17</f>
        <v>15591399290.098244</v>
      </c>
      <c r="R15" s="26">
        <f>股权价值增加表!R17</f>
        <v>10891196920.650229</v>
      </c>
      <c r="S15" s="26">
        <f>股权价值增加表!S17</f>
        <v>7357086282.0197487</v>
      </c>
      <c r="T15" s="26">
        <f>股权价值增加表!T17</f>
        <v>3818142823.4896383</v>
      </c>
      <c r="U15" s="26">
        <f>股权价值增加表!U17</f>
        <v>15529997206.053368</v>
      </c>
      <c r="V15" s="26">
        <f>股权价值增加表!V17</f>
        <v>11352927207.672548</v>
      </c>
      <c r="W15" s="26">
        <f>股权价值增加表!W17</f>
        <v>7429540783.5980339</v>
      </c>
      <c r="X15" s="26">
        <f>股权价值增加表!X17</f>
        <v>3688929473.5417194</v>
      </c>
      <c r="Y15" s="26">
        <f>股权价值增加表!Y17</f>
        <v>13690175202.495228</v>
      </c>
      <c r="Z15" s="26">
        <f>股权价值增加表!Z17</f>
        <v>10712573284.959608</v>
      </c>
      <c r="AA15" s="26">
        <f>股权价值增加表!AA17</f>
        <v>7206234643.9572573</v>
      </c>
      <c r="AB15" s="26">
        <f>股权价值增加表!AB17</f>
        <v>3056471567.4978819</v>
      </c>
      <c r="AC15" s="26">
        <f>股权价值增加表!AC17</f>
        <v>8984121599.690731</v>
      </c>
      <c r="AD15" s="26">
        <f>股权价值增加表!AD17</f>
        <v>6765576693.4265585</v>
      </c>
      <c r="AE15" s="26">
        <f>股权价值增加表!AE17</f>
        <v>5052224830.9686832</v>
      </c>
      <c r="AF15" s="26">
        <f>股权价值增加表!AF17</f>
        <v>1951101757.1745355</v>
      </c>
      <c r="AG15" s="26">
        <f>股权价值增加表!AG17</f>
        <v>5207486806.0041952</v>
      </c>
      <c r="AH15" s="26">
        <f>股权价值增加表!AH17</f>
        <v>4308075389.1502752</v>
      </c>
      <c r="AI15" s="26">
        <f>股权价值增加表!AI17</f>
        <v>3199715598.6384935</v>
      </c>
      <c r="AJ15" s="26">
        <f>股权价值增加表!AJ17</f>
        <v>1309702018.6234198</v>
      </c>
      <c r="AK15" s="26">
        <f>股权价值增加表!AK17</f>
        <v>4451921450.1984816</v>
      </c>
      <c r="AL15" s="26">
        <f>股权价值增加表!AL17</f>
        <v>3911231169.9370718</v>
      </c>
      <c r="AM15" s="26">
        <f>股权价值增加表!AM17</f>
        <v>2862464104.1784334</v>
      </c>
      <c r="AN15" s="26">
        <f>股权价值增加表!AN17</f>
        <v>1217631428.2498841</v>
      </c>
      <c r="AO15" s="26">
        <f>股权价值增加表!AO17</f>
        <v>3923628849.1004276</v>
      </c>
      <c r="AP15" s="26">
        <f>股权价值增加表!AP17</f>
        <v>3256778002.365612</v>
      </c>
      <c r="AQ15" s="26">
        <f>股权价值增加表!AQ17</f>
        <v>2316802869.4071455</v>
      </c>
      <c r="AR15" s="26">
        <f>股权价值增加表!AR17</f>
        <v>886969847.45644474</v>
      </c>
      <c r="AS15" s="26">
        <f>股权价值增加表!AS17</f>
        <v>2935514028.7851157</v>
      </c>
      <c r="AT15" s="26">
        <f>股权价值增加表!AT17</f>
        <v>1643253681.0858998</v>
      </c>
      <c r="AU15" s="26">
        <f>股权价值增加表!AU17</f>
        <v>871731164.99333429</v>
      </c>
      <c r="AV15" s="26">
        <f>股权价值增加表!AV17</f>
        <v>544259098.379511</v>
      </c>
      <c r="AW15" s="26">
        <f>股权价值增加表!AW17</f>
        <v>1555595302.6431525</v>
      </c>
      <c r="AX15" s="26">
        <f>股权价值增加表!AX17</f>
        <v>984347488.04984808</v>
      </c>
      <c r="AY15" s="26">
        <f>股权价值增加表!AY17</f>
        <v>629546720.8724339</v>
      </c>
      <c r="AZ15" s="26">
        <f>股权价值增加表!AZ17</f>
        <v>466534382.76905102</v>
      </c>
      <c r="BA15" s="26">
        <f>股权价值增加表!BA17</f>
        <v>1149168967.6063571</v>
      </c>
      <c r="BB15" s="26">
        <f>股权价值增加表!BB17</f>
        <v>725490326.89868951</v>
      </c>
      <c r="BC15" s="26">
        <f>股权价值增加表!BC17</f>
        <v>497270327.482131</v>
      </c>
      <c r="BD15" s="26">
        <f>股权价值增加表!BD17</f>
        <v>381489023.45721632</v>
      </c>
      <c r="BE15" s="26">
        <f>股权价值增加表!BE17</f>
        <v>839095033.9406172</v>
      </c>
      <c r="BF15" s="26">
        <f>股权价值增加表!BF17</f>
        <v>524289150.53143865</v>
      </c>
      <c r="BG15" s="26">
        <f>股权价值增加表!BG17</f>
        <v>357688897.7866267</v>
      </c>
      <c r="BH15" s="26">
        <f>股权价值增加表!BH17</f>
        <v>266767183.66351357</v>
      </c>
      <c r="BI15" s="26">
        <f>股权价值增加表!BI17</f>
        <v>597080913.97970891</v>
      </c>
      <c r="BJ15" s="26">
        <f>股权价值增加表!BJ17</f>
        <v>359846470.99387157</v>
      </c>
      <c r="BK15" s="26">
        <f>股权价值增加表!BK17</f>
        <v>257967956.47476113</v>
      </c>
      <c r="BL15" s="26">
        <f>股权价值增加表!BL17</f>
        <v>222333369.7577582</v>
      </c>
      <c r="BM15" s="26">
        <f>股权价值增加表!BM17</f>
        <v>378715561.24946892</v>
      </c>
      <c r="BN15" s="26">
        <f>股权价值增加表!BN17</f>
        <v>308296546.68218607</v>
      </c>
      <c r="BO15" s="26">
        <f>股权价值增加表!BO17</f>
        <v>238315335.98605028</v>
      </c>
      <c r="BP15" s="26">
        <f>股权价值增加表!BP17</f>
        <v>211338260.36413699</v>
      </c>
      <c r="BQ15" s="26">
        <f>股权价值增加表!BQ17</f>
        <v>337909081.88659883</v>
      </c>
      <c r="BR15" s="26">
        <f>股权价值增加表!BR17</f>
        <v>229927164.91021764</v>
      </c>
      <c r="BS15" s="26">
        <f>股权价值增加表!BS17</f>
        <v>260073853.45585519</v>
      </c>
      <c r="BT15" s="26">
        <f>股权价值增加表!BT17</f>
        <v>222185382.16190058</v>
      </c>
      <c r="BU15" s="26">
        <f>股权价值增加表!BU17</f>
        <v>173915342.50660002</v>
      </c>
      <c r="BV15" s="26" t="e">
        <f>股权价值增加表!BV17</f>
        <v>#DIV/0!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0.84382633084804959</v>
      </c>
      <c r="F16" s="28">
        <f t="shared" ref="F16:BQ16" si="8">F14/F15</f>
        <v>1.1743062248759715</v>
      </c>
      <c r="G16" s="28">
        <f t="shared" si="8"/>
        <v>0.64315877910062091</v>
      </c>
      <c r="H16" s="28">
        <f t="shared" si="8"/>
        <v>1.0264054514495529</v>
      </c>
      <c r="I16" s="28">
        <f t="shared" si="8"/>
        <v>2.2377565730909654</v>
      </c>
      <c r="J16" s="28">
        <f t="shared" si="8"/>
        <v>2.5991376788525629</v>
      </c>
      <c r="K16" s="28">
        <f t="shared" si="8"/>
        <v>1.5353128208966664</v>
      </c>
      <c r="L16" s="28">
        <f t="shared" si="8"/>
        <v>1.4943401877704581</v>
      </c>
      <c r="M16" s="28">
        <f t="shared" si="8"/>
        <v>1.1116936134845117</v>
      </c>
      <c r="N16" s="28">
        <f t="shared" si="8"/>
        <v>0.98945613078133199</v>
      </c>
      <c r="O16" s="28">
        <f t="shared" si="8"/>
        <v>0.61539802974304236</v>
      </c>
      <c r="P16" s="28">
        <f t="shared" si="8"/>
        <v>0.47788806614791218</v>
      </c>
      <c r="Q16" s="28">
        <f t="shared" si="8"/>
        <v>0.81022377796601219</v>
      </c>
      <c r="R16" s="28">
        <f t="shared" si="8"/>
        <v>0.70510131253889063</v>
      </c>
      <c r="S16" s="28">
        <f t="shared" si="8"/>
        <v>0.58294047182529529</v>
      </c>
      <c r="T16" s="28">
        <f t="shared" si="8"/>
        <v>4.5549816693616407E-2</v>
      </c>
      <c r="U16" s="28">
        <f t="shared" si="8"/>
        <v>0.81487618407215523</v>
      </c>
      <c r="V16" s="28">
        <f t="shared" si="8"/>
        <v>0.81433781703999242</v>
      </c>
      <c r="W16" s="28">
        <f t="shared" si="8"/>
        <v>0.70193093473866475</v>
      </c>
      <c r="X16" s="28">
        <f t="shared" si="8"/>
        <v>0.21421632480040501</v>
      </c>
      <c r="Y16" s="28">
        <f t="shared" si="8"/>
        <v>0.87079313689697502</v>
      </c>
      <c r="Z16" s="28">
        <f t="shared" si="8"/>
        <v>0.70585891211744556</v>
      </c>
      <c r="AA16" s="28">
        <f t="shared" si="8"/>
        <v>0.61886820450256375</v>
      </c>
      <c r="AB16" s="28">
        <f t="shared" si="8"/>
        <v>0.43825076399992657</v>
      </c>
      <c r="AC16" s="28">
        <f t="shared" si="8"/>
        <v>1.1296112343224911</v>
      </c>
      <c r="AD16" s="28">
        <f t="shared" si="8"/>
        <v>1.3342451630280951</v>
      </c>
      <c r="AE16" s="28">
        <f t="shared" si="8"/>
        <v>1.0545646746402735</v>
      </c>
      <c r="AF16" s="28">
        <f t="shared" si="8"/>
        <v>1.7483106185039725</v>
      </c>
      <c r="AG16" s="28">
        <f t="shared" si="8"/>
        <v>1.1908770488712024</v>
      </c>
      <c r="AH16" s="28">
        <f t="shared" si="8"/>
        <v>0.9202269170855758</v>
      </c>
      <c r="AI16" s="28">
        <f t="shared" si="8"/>
        <v>0.55204378517316077</v>
      </c>
      <c r="AJ16" s="28">
        <f t="shared" si="8"/>
        <v>0.62974011798262919</v>
      </c>
      <c r="AK16" s="28">
        <f t="shared" si="8"/>
        <v>0.94878968360991245</v>
      </c>
      <c r="AL16" s="28">
        <f t="shared" si="8"/>
        <v>0.53117343438777764</v>
      </c>
      <c r="AM16" s="28">
        <f t="shared" si="8"/>
        <v>0.19150907067438577</v>
      </c>
      <c r="AN16" s="28">
        <f t="shared" si="8"/>
        <v>-0.10739267418380423</v>
      </c>
      <c r="AO16" s="28">
        <f t="shared" si="8"/>
        <v>1.337406961145954</v>
      </c>
      <c r="AP16" s="28">
        <f t="shared" si="8"/>
        <v>0.9422213260901019</v>
      </c>
      <c r="AQ16" s="28">
        <f t="shared" si="8"/>
        <v>0.64557991822702421</v>
      </c>
      <c r="AR16" s="28">
        <f t="shared" si="8"/>
        <v>1.1191892923944595</v>
      </c>
      <c r="AS16" s="28">
        <f t="shared" si="8"/>
        <v>0.59386642144629065</v>
      </c>
      <c r="AT16" s="28">
        <f t="shared" si="8"/>
        <v>0.94219124697586243</v>
      </c>
      <c r="AU16" s="28">
        <f t="shared" si="8"/>
        <v>0.78672540926679391</v>
      </c>
      <c r="AV16" s="28">
        <f t="shared" si="8"/>
        <v>0.69919467991079487</v>
      </c>
      <c r="AW16" s="28">
        <f t="shared" si="8"/>
        <v>1.3532896570933644</v>
      </c>
      <c r="AX16" s="28">
        <f t="shared" si="8"/>
        <v>1.5138244287616232</v>
      </c>
      <c r="AY16" s="28">
        <f t="shared" si="8"/>
        <v>0.94492051690082557</v>
      </c>
      <c r="AZ16" s="28">
        <f t="shared" si="8"/>
        <v>0.47628697055753338</v>
      </c>
      <c r="BA16" s="28">
        <f t="shared" si="8"/>
        <v>1.4738541816421309</v>
      </c>
      <c r="BB16" s="28">
        <f t="shared" si="8"/>
        <v>1.2181004481034332</v>
      </c>
      <c r="BC16" s="28">
        <f t="shared" si="8"/>
        <v>0.87800234029787161</v>
      </c>
      <c r="BD16" s="28">
        <f t="shared" si="8"/>
        <v>0.63509311723924766</v>
      </c>
      <c r="BE16" s="28">
        <f t="shared" si="8"/>
        <v>1.1629010311471542</v>
      </c>
      <c r="BF16" s="28">
        <f t="shared" si="8"/>
        <v>0.71081991134518585</v>
      </c>
      <c r="BG16" s="28">
        <f t="shared" si="8"/>
        <v>-0.10619433358163394</v>
      </c>
      <c r="BH16" s="28">
        <f t="shared" si="8"/>
        <v>-0.67993135204661337</v>
      </c>
      <c r="BI16" s="28">
        <f t="shared" si="8"/>
        <v>1.5771836279328848</v>
      </c>
      <c r="BJ16" s="28">
        <f t="shared" si="8"/>
        <v>1.2210170001847342</v>
      </c>
      <c r="BK16" s="28">
        <f t="shared" si="8"/>
        <v>-0.13166727272704171</v>
      </c>
      <c r="BL16" s="28">
        <f t="shared" si="8"/>
        <v>4.098434112669691E-2</v>
      </c>
      <c r="BM16" s="28">
        <f t="shared" si="8"/>
        <v>1.1475165615751668</v>
      </c>
      <c r="BN16" s="28">
        <f t="shared" si="8"/>
        <v>-0.58424541886186399</v>
      </c>
      <c r="BO16" s="28">
        <f t="shared" si="8"/>
        <v>0.1774247434603832</v>
      </c>
      <c r="BP16" s="28">
        <f t="shared" si="8"/>
        <v>-0.40825961915905606</v>
      </c>
      <c r="BQ16" s="28">
        <f t="shared" si="8"/>
        <v>1.3113724058731016</v>
      </c>
      <c r="BR16" s="28">
        <f t="shared" ref="BR16:CL16" si="9">BR14/BR15</f>
        <v>0</v>
      </c>
      <c r="BS16" s="28">
        <f t="shared" si="9"/>
        <v>0</v>
      </c>
      <c r="BT16" s="28">
        <f t="shared" si="9"/>
        <v>0</v>
      </c>
      <c r="BU16" s="28">
        <f t="shared" si="9"/>
        <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26296546048.480003</v>
      </c>
      <c r="F17" s="26">
        <f>股权价值增加表!F42</f>
        <v>19436114520.600006</v>
      </c>
      <c r="G17" s="26">
        <f>股权价值增加表!G42</f>
        <v>10813094193.529999</v>
      </c>
      <c r="H17" s="26">
        <f>股权价值增加表!H42</f>
        <v>5973715857.4300003</v>
      </c>
      <c r="I17" s="26">
        <f>股权价值增加表!I42</f>
        <v>16761789532.09</v>
      </c>
      <c r="J17" s="26">
        <f>股权价值增加表!J42</f>
        <v>12521016729.060001</v>
      </c>
      <c r="K17" s="26">
        <f>股权价值增加表!K42</f>
        <v>8871216325.8100014</v>
      </c>
      <c r="L17" s="26">
        <f>股权价值增加表!L42</f>
        <v>4980814910.3699989</v>
      </c>
      <c r="M17" s="26">
        <f>股权价值增加表!M42</f>
        <v>15727894795.429996</v>
      </c>
      <c r="N17" s="26">
        <f>股权价值增加表!N42</f>
        <v>11577860805.09</v>
      </c>
      <c r="O17" s="26">
        <f>股权价值增加表!O42</f>
        <v>7971034609.000001</v>
      </c>
      <c r="P17" s="26">
        <f>股权价值增加表!P42</f>
        <v>4416070603.7299995</v>
      </c>
      <c r="Q17" s="26">
        <f>股权价值增加表!Q42</f>
        <v>15683929542.32</v>
      </c>
      <c r="R17" s="26">
        <f>股权价值增加表!R42</f>
        <v>10964537738.960001</v>
      </c>
      <c r="S17" s="26">
        <f>股权价值增加表!S42</f>
        <v>7399365652.6099987</v>
      </c>
      <c r="T17" s="26">
        <f>股权价值增加表!T42</f>
        <v>3835953980.71</v>
      </c>
      <c r="U17" s="26">
        <f>股权价值增加表!U42</f>
        <v>15851268010.26</v>
      </c>
      <c r="V17" s="26">
        <f>股权价值增加表!V42</f>
        <v>11610806987.350002</v>
      </c>
      <c r="W17" s="26">
        <f>股权价值增加表!W42</f>
        <v>7611476819.7399988</v>
      </c>
      <c r="X17" s="26">
        <f>股权价值增加表!X42</f>
        <v>3773363242.9899983</v>
      </c>
      <c r="Y17" s="26">
        <f>股权价值增加表!Y42</f>
        <v>14007847512.1</v>
      </c>
      <c r="Z17" s="26">
        <f>股权价值增加表!Z42</f>
        <v>10937979773.700001</v>
      </c>
      <c r="AA17" s="26">
        <f>股权价值增加表!AA42</f>
        <v>7348939538.5500021</v>
      </c>
      <c r="AB17" s="26">
        <f>股权价值增加表!AB42</f>
        <v>3129490790.7399998</v>
      </c>
      <c r="AC17" s="26">
        <f>股权价值增加表!AC42</f>
        <v>9248856509.1400013</v>
      </c>
      <c r="AD17" s="26">
        <f>股权价值增加表!AD42</f>
        <v>6930714312.6100006</v>
      </c>
      <c r="AE17" s="26">
        <f>股权价值增加表!AE42</f>
        <v>5166306192.5299997</v>
      </c>
      <c r="AF17" s="26">
        <f>股权价值增加表!AF42</f>
        <v>1991291329.6400003</v>
      </c>
      <c r="AG17" s="26">
        <f>股权价值增加表!AG42</f>
        <v>5339477312.1899986</v>
      </c>
      <c r="AH17" s="26">
        <f>股权价值增加表!AH42</f>
        <v>4411104477.8300009</v>
      </c>
      <c r="AI17" s="26">
        <f>股权价值增加表!AI42</f>
        <v>3274562600.0699997</v>
      </c>
      <c r="AJ17" s="26">
        <f>股权价值增加表!AJ42</f>
        <v>1344382797.8099995</v>
      </c>
      <c r="AK17" s="26">
        <f>股权价值增加表!AK42</f>
        <v>4552888943.999999</v>
      </c>
      <c r="AL17" s="26">
        <f>股权价值增加表!AL42</f>
        <v>3979795618.1999998</v>
      </c>
      <c r="AM17" s="26">
        <f>股权价值增加表!AM42</f>
        <v>2928842256.250001</v>
      </c>
      <c r="AN17" s="26">
        <f>股权价值增加表!AN42</f>
        <v>1278840567.8199997</v>
      </c>
      <c r="AO17" s="26">
        <f>股权价值增加表!AO42</f>
        <v>4000759343.1100006</v>
      </c>
      <c r="AP17" s="26">
        <f>股权价值增加表!AP42</f>
        <v>3304198780.9999995</v>
      </c>
      <c r="AQ17" s="26">
        <f>股权价值增加表!AQ42</f>
        <v>2351939273.6300011</v>
      </c>
      <c r="AR17" s="26">
        <f>股权价值增加表!AR42</f>
        <v>917048744.59000039</v>
      </c>
      <c r="AS17" s="26">
        <f>股权价值增加表!AS42</f>
        <v>2966052508.9499993</v>
      </c>
      <c r="AT17" s="26">
        <f>股权价值增加表!AT42</f>
        <v>1669221956.1800003</v>
      </c>
      <c r="AU17" s="26">
        <f>股权价值增加表!AU42</f>
        <v>893948241.41000009</v>
      </c>
      <c r="AV17" s="26">
        <f>股权价值增加表!AV42</f>
        <v>561440706.10000014</v>
      </c>
      <c r="AW17" s="26">
        <f>股权价值增加表!AW42</f>
        <v>1573485812.1000001</v>
      </c>
      <c r="AX17" s="26">
        <f>股权价值增加表!AX42</f>
        <v>993614580.42000008</v>
      </c>
      <c r="AY17" s="26">
        <f>股权价值增加表!AY42</f>
        <v>634009995.50999987</v>
      </c>
      <c r="AZ17" s="26">
        <f>股权价值增加表!AZ42</f>
        <v>468498539.01000005</v>
      </c>
      <c r="BA17" s="26">
        <f>股权价值增加表!BA42</f>
        <v>1169073160.7500005</v>
      </c>
      <c r="BB17" s="26">
        <f>股权价值增加表!BB42</f>
        <v>734586763.86000001</v>
      </c>
      <c r="BC17" s="26">
        <f>股权价值增加表!BC42</f>
        <v>502671627.85000002</v>
      </c>
      <c r="BD17" s="26">
        <f>股权价值增加表!BD42</f>
        <v>383940192.03999984</v>
      </c>
      <c r="BE17" s="26">
        <f>股权价值增加表!BE42</f>
        <v>854170293.04000032</v>
      </c>
      <c r="BF17" s="26">
        <f>股权价值增加表!BF42</f>
        <v>537992536.05000007</v>
      </c>
      <c r="BG17" s="26">
        <f>股权价值增加表!BG42</f>
        <v>364052715.39999998</v>
      </c>
      <c r="BH17" s="26">
        <f>股权价值增加表!BH42</f>
        <v>271330791.21000004</v>
      </c>
      <c r="BI17" s="26">
        <f>股权价值增加表!BI42</f>
        <v>607068089.12999964</v>
      </c>
      <c r="BJ17" s="26">
        <f>股权价值增加表!BJ42</f>
        <v>367421973.21999985</v>
      </c>
      <c r="BK17" s="26">
        <f>股权价值增加表!BK42</f>
        <v>260751258.37000003</v>
      </c>
      <c r="BL17" s="26">
        <f>股权价值增加表!BL42</f>
        <v>223788291.70999998</v>
      </c>
      <c r="BM17" s="26">
        <f>股权价值增加表!BM42</f>
        <v>389236355.33000016</v>
      </c>
      <c r="BN17" s="26">
        <f>股权价值增加表!BN42</f>
        <v>317512273.94</v>
      </c>
      <c r="BO17" s="26">
        <f>股权价值增加表!BO42</f>
        <v>245607697.97999993</v>
      </c>
      <c r="BP17" s="26">
        <f>股权价值增加表!BP42</f>
        <v>213019772.62999991</v>
      </c>
      <c r="BQ17" s="26">
        <f>股权价值增加表!BQ42</f>
        <v>341141393.10999966</v>
      </c>
      <c r="BR17" s="26">
        <f>股权价值增加表!BR42</f>
        <v>229104288.61000001</v>
      </c>
      <c r="BS17" s="26">
        <f>股权价值增加表!BS42</f>
        <v>256234280.7299999</v>
      </c>
      <c r="BT17" s="26">
        <f>股权价值增加表!BT42</f>
        <v>215310984.77999994</v>
      </c>
      <c r="BU17" s="26">
        <f>股权价值增加表!BU42</f>
        <v>145858523.61000001</v>
      </c>
      <c r="BV17" s="26">
        <f>股权价值增加表!BV42</f>
        <v>0</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0.84243139929057309</v>
      </c>
      <c r="F18" s="28">
        <f t="shared" ref="F18:BQ18" si="10">F14/F17</f>
        <v>1.172393133104803</v>
      </c>
      <c r="G18" s="28">
        <f t="shared" si="10"/>
        <v>0.64138536909349808</v>
      </c>
      <c r="H18" s="28">
        <f t="shared" si="10"/>
        <v>1.0226423958484345</v>
      </c>
      <c r="I18" s="28">
        <f t="shared" si="10"/>
        <v>2.234322867218359</v>
      </c>
      <c r="J18" s="28">
        <f t="shared" si="10"/>
        <v>2.5984577239785018</v>
      </c>
      <c r="K18" s="28">
        <f t="shared" si="10"/>
        <v>1.5334945946939094</v>
      </c>
      <c r="L18" s="28">
        <f t="shared" si="10"/>
        <v>1.492937294156071</v>
      </c>
      <c r="M18" s="28">
        <f t="shared" si="10"/>
        <v>1.1086251763832005</v>
      </c>
      <c r="N18" s="28">
        <f t="shared" si="10"/>
        <v>0.98665837492517683</v>
      </c>
      <c r="O18" s="28">
        <f t="shared" si="10"/>
        <v>0.61493753116384187</v>
      </c>
      <c r="P18" s="28">
        <f t="shared" si="10"/>
        <v>0.47817026467294821</v>
      </c>
      <c r="Q18" s="28">
        <f t="shared" si="10"/>
        <v>0.80544371246463597</v>
      </c>
      <c r="R18" s="28">
        <f t="shared" si="10"/>
        <v>0.70038495253502586</v>
      </c>
      <c r="S18" s="28">
        <f t="shared" si="10"/>
        <v>0.57960959761290076</v>
      </c>
      <c r="T18" s="28">
        <f t="shared" si="10"/>
        <v>4.5338319123372224E-2</v>
      </c>
      <c r="U18" s="28">
        <f t="shared" si="10"/>
        <v>0.79836041215938192</v>
      </c>
      <c r="V18" s="28">
        <f t="shared" si="10"/>
        <v>0.79625111065773246</v>
      </c>
      <c r="W18" s="28">
        <f t="shared" si="10"/>
        <v>0.68515278052021189</v>
      </c>
      <c r="X18" s="28">
        <f t="shared" si="10"/>
        <v>0.20942296391370624</v>
      </c>
      <c r="Y18" s="28">
        <f t="shared" si="10"/>
        <v>0.8510451444415249</v>
      </c>
      <c r="Z18" s="28">
        <f t="shared" si="10"/>
        <v>0.69131279096726117</v>
      </c>
      <c r="AA18" s="28">
        <f t="shared" si="10"/>
        <v>0.60685075335507965</v>
      </c>
      <c r="AB18" s="28">
        <f t="shared" si="10"/>
        <v>0.42802522492269784</v>
      </c>
      <c r="AC18" s="28">
        <f t="shared" si="10"/>
        <v>1.0972777747714952</v>
      </c>
      <c r="AD18" s="28">
        <f t="shared" si="10"/>
        <v>1.3024542018527658</v>
      </c>
      <c r="AE18" s="28">
        <f t="shared" si="10"/>
        <v>1.0312779840234105</v>
      </c>
      <c r="AF18" s="28">
        <f t="shared" si="10"/>
        <v>1.7130250451432882</v>
      </c>
      <c r="AG18" s="28">
        <f t="shared" si="10"/>
        <v>1.1614388744403992</v>
      </c>
      <c r="AH18" s="28">
        <f t="shared" si="10"/>
        <v>0.89873340199827922</v>
      </c>
      <c r="AI18" s="28">
        <f t="shared" si="10"/>
        <v>0.53942566573998019</v>
      </c>
      <c r="AJ18" s="28">
        <f t="shared" si="10"/>
        <v>0.61349483575180674</v>
      </c>
      <c r="AK18" s="28">
        <f t="shared" si="10"/>
        <v>0.92774877580892756</v>
      </c>
      <c r="AL18" s="28">
        <f t="shared" si="10"/>
        <v>0.52202230780877146</v>
      </c>
      <c r="AM18" s="28">
        <f t="shared" si="10"/>
        <v>0.18716878290737402</v>
      </c>
      <c r="AN18" s="28">
        <f t="shared" si="10"/>
        <v>-0.10225253916749807</v>
      </c>
      <c r="AO18" s="28">
        <f t="shared" si="10"/>
        <v>1.3116231409362531</v>
      </c>
      <c r="AP18" s="28">
        <f t="shared" si="10"/>
        <v>0.92869887423700992</v>
      </c>
      <c r="AQ18" s="28">
        <f t="shared" si="10"/>
        <v>0.63593538479059197</v>
      </c>
      <c r="AR18" s="28">
        <f t="shared" si="10"/>
        <v>1.0824802517927403</v>
      </c>
      <c r="AS18" s="28">
        <f t="shared" si="10"/>
        <v>0.58775197206375152</v>
      </c>
      <c r="AT18" s="28">
        <f t="shared" si="10"/>
        <v>0.92753347099697736</v>
      </c>
      <c r="AU18" s="28">
        <f t="shared" si="10"/>
        <v>0.76717311560262791</v>
      </c>
      <c r="AV18" s="28">
        <f t="shared" si="10"/>
        <v>0.67779742712887681</v>
      </c>
      <c r="AW18" s="28">
        <f t="shared" si="10"/>
        <v>1.3379027745286143</v>
      </c>
      <c r="AX18" s="28">
        <f t="shared" si="10"/>
        <v>1.4997055228095824</v>
      </c>
      <c r="AY18" s="28">
        <f t="shared" si="10"/>
        <v>0.93826850856110422</v>
      </c>
      <c r="AZ18" s="28">
        <f t="shared" si="10"/>
        <v>0.47429016171437216</v>
      </c>
      <c r="BA18" s="28">
        <f t="shared" si="10"/>
        <v>1.4487609032384496</v>
      </c>
      <c r="BB18" s="28">
        <f t="shared" si="10"/>
        <v>1.2030166288953477</v>
      </c>
      <c r="BC18" s="28">
        <f t="shared" si="10"/>
        <v>0.86856804144172861</v>
      </c>
      <c r="BD18" s="28">
        <f t="shared" si="10"/>
        <v>0.63103852663270676</v>
      </c>
      <c r="BE18" s="28">
        <f t="shared" si="10"/>
        <v>1.1423769805048754</v>
      </c>
      <c r="BF18" s="28">
        <f t="shared" si="10"/>
        <v>0.69271438268683383</v>
      </c>
      <c r="BG18" s="28">
        <f t="shared" si="10"/>
        <v>-0.10433800524812678</v>
      </c>
      <c r="BH18" s="28">
        <f t="shared" si="10"/>
        <v>-0.66849534865217697</v>
      </c>
      <c r="BI18" s="28">
        <f t="shared" si="10"/>
        <v>1.5512366058139813</v>
      </c>
      <c r="BJ18" s="28">
        <f t="shared" si="10"/>
        <v>1.1958420850266214</v>
      </c>
      <c r="BK18" s="28">
        <f t="shared" si="10"/>
        <v>-0.13026183456343332</v>
      </c>
      <c r="BL18" s="28">
        <f t="shared" si="10"/>
        <v>4.0717888323702781E-2</v>
      </c>
      <c r="BM18" s="28">
        <f t="shared" si="10"/>
        <v>1.1164999690009811</v>
      </c>
      <c r="BN18" s="28">
        <f t="shared" si="10"/>
        <v>-0.56728781793184246</v>
      </c>
      <c r="BO18" s="28">
        <f t="shared" si="10"/>
        <v>0.17215680818539797</v>
      </c>
      <c r="BP18" s="28">
        <f t="shared" si="10"/>
        <v>-0.40503694387029371</v>
      </c>
      <c r="BQ18" s="28">
        <f t="shared" si="10"/>
        <v>1.2989471656906679</v>
      </c>
      <c r="BR18" s="28">
        <f t="shared" ref="BR18:CK18" si="11">BR14/BR17</f>
        <v>0</v>
      </c>
      <c r="BS18" s="28">
        <f t="shared" si="11"/>
        <v>0</v>
      </c>
      <c r="BT18" s="28">
        <f t="shared" si="11"/>
        <v>0</v>
      </c>
      <c r="BU18" s="28">
        <f t="shared" si="11"/>
        <v>0</v>
      </c>
      <c r="BV18" s="28" t="e">
        <f t="shared" si="11"/>
        <v>#DIV/0!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-8053703.9500000002</v>
      </c>
      <c r="F19" s="26">
        <f>现金流量表!F48</f>
        <v>0</v>
      </c>
      <c r="G19" s="26">
        <f>现金流量表!G48</f>
        <v>-3205173.03</v>
      </c>
      <c r="H19" s="26">
        <f>现金流量表!H48</f>
        <v>0</v>
      </c>
      <c r="I19" s="26">
        <f>现金流量表!I48</f>
        <v>12327496.220000001</v>
      </c>
      <c r="J19" s="26">
        <f>现金流量表!J48</f>
        <v>0</v>
      </c>
      <c r="K19" s="26">
        <f>现金流量表!K48</f>
        <v>5536334.9299999997</v>
      </c>
      <c r="L19" s="26">
        <f>现金流量表!L48</f>
        <v>0</v>
      </c>
      <c r="M19" s="26">
        <f>现金流量表!M48</f>
        <v>-540313.39</v>
      </c>
      <c r="N19" s="26">
        <f>现金流量表!N48</f>
        <v>0</v>
      </c>
      <c r="O19" s="26">
        <f>现金流量表!O48</f>
        <v>404373.28</v>
      </c>
      <c r="P19" s="26">
        <f>现金流量表!P48</f>
        <v>0</v>
      </c>
      <c r="Q19" s="26">
        <f>现金流量表!Q48</f>
        <v>432745.88</v>
      </c>
      <c r="R19" s="26">
        <f>现金流量表!R48</f>
        <v>0</v>
      </c>
      <c r="S19" s="26">
        <f>现金流量表!S48</f>
        <v>243295.23</v>
      </c>
      <c r="T19" s="26">
        <f>现金流量表!T48</f>
        <v>0</v>
      </c>
      <c r="U19" s="26">
        <f>现金流量表!U48</f>
        <v>-2004032.3</v>
      </c>
      <c r="V19" s="26">
        <f>现金流量表!V48</f>
        <v>0</v>
      </c>
      <c r="W19" s="26">
        <f>现金流量表!W48</f>
        <v>-2068342.1</v>
      </c>
      <c r="X19" s="26">
        <f>现金流量表!X48</f>
        <v>0</v>
      </c>
      <c r="Y19" s="26">
        <f>现金流量表!Y48</f>
        <v>2979258.5</v>
      </c>
      <c r="Z19" s="26">
        <f>现金流量表!Z48</f>
        <v>0</v>
      </c>
      <c r="AA19" s="26">
        <f>现金流量表!AA48</f>
        <v>955859.42</v>
      </c>
      <c r="AB19" s="26">
        <f>现金流量表!AB48</f>
        <v>0</v>
      </c>
      <c r="AC19" s="26">
        <f>现金流量表!AC48</f>
        <v>-2500650.5699999998</v>
      </c>
      <c r="AD19" s="26">
        <f>现金流量表!AD48</f>
        <v>0</v>
      </c>
      <c r="AE19" s="26">
        <f>现金流量表!AE48</f>
        <v>-1568169.42</v>
      </c>
      <c r="AF19" s="26">
        <f>现金流量表!AF48</f>
        <v>0</v>
      </c>
      <c r="AG19" s="26">
        <f>现金流量表!AG48</f>
        <v>-3066975.05</v>
      </c>
      <c r="AH19" s="26">
        <f>现金流量表!AH48</f>
        <v>0</v>
      </c>
      <c r="AI19" s="26">
        <f>现金流量表!AI48</f>
        <v>2776574.21</v>
      </c>
      <c r="AJ19" s="26">
        <f>现金流量表!AJ48</f>
        <v>0</v>
      </c>
      <c r="AK19" s="26">
        <f>现金流量表!AK48</f>
        <v>-300085.01</v>
      </c>
      <c r="AL19" s="26">
        <f>现金流量表!AL48</f>
        <v>0</v>
      </c>
      <c r="AM19" s="26">
        <f>现金流量表!AM48</f>
        <v>442604</v>
      </c>
      <c r="AN19" s="26">
        <f>现金流量表!AN48</f>
        <v>0</v>
      </c>
      <c r="AO19" s="26">
        <f>现金流量表!AO48</f>
        <v>450078.22</v>
      </c>
      <c r="AP19" s="26">
        <f>现金流量表!AP48</f>
        <v>0</v>
      </c>
      <c r="AQ19" s="26">
        <f>现金流量表!AQ48</f>
        <v>-1411074.74</v>
      </c>
      <c r="AR19" s="26">
        <f>现金流量表!AR48</f>
        <v>0</v>
      </c>
      <c r="AS19" s="26">
        <f>现金流量表!AS48</f>
        <v>-614738.65</v>
      </c>
      <c r="AT19" s="26">
        <f>现金流量表!AT48</f>
        <v>0</v>
      </c>
      <c r="AU19" s="26">
        <f>现金流量表!AU48</f>
        <v>1317514.0900000001</v>
      </c>
      <c r="AV19" s="26">
        <f>现金流量表!AV48</f>
        <v>0</v>
      </c>
      <c r="AW19" s="26">
        <f>现金流量表!AW48</f>
        <v>0</v>
      </c>
      <c r="AX19" s="26">
        <f>现金流量表!AX48</f>
        <v>0</v>
      </c>
      <c r="AY19" s="26">
        <f>现金流量表!AY48</f>
        <v>0</v>
      </c>
      <c r="AZ19" s="26">
        <f>现金流量表!AZ48</f>
        <v>0</v>
      </c>
      <c r="BA19" s="26">
        <f>现金流量表!BA48</f>
        <v>-1324018.3500000001</v>
      </c>
      <c r="BB19" s="26">
        <f>现金流量表!BB48</f>
        <v>0</v>
      </c>
      <c r="BC19" s="26">
        <f>现金流量表!BC48</f>
        <v>0</v>
      </c>
      <c r="BD19" s="26">
        <f>现金流量表!BD48</f>
        <v>0</v>
      </c>
      <c r="BE19" s="26">
        <f>现金流量表!BE48</f>
        <v>761947.03</v>
      </c>
      <c r="BF19" s="26">
        <f>现金流量表!BF48</f>
        <v>0</v>
      </c>
      <c r="BG19" s="26">
        <f>现金流量表!BG48</f>
        <v>0</v>
      </c>
      <c r="BH19" s="26">
        <f>现金流量表!BH48</f>
        <v>0</v>
      </c>
      <c r="BI19" s="26">
        <f>现金流量表!BI48</f>
        <v>2052540.39</v>
      </c>
      <c r="BJ19" s="26">
        <f>现金流量表!BJ48</f>
        <v>0</v>
      </c>
      <c r="BK19" s="26">
        <f>现金流量表!BK48</f>
        <v>0</v>
      </c>
      <c r="BL19" s="26">
        <f>现金流量表!BL48</f>
        <v>0</v>
      </c>
      <c r="BM19" s="26">
        <f>现金流量表!BM48</f>
        <v>5977107.7199999997</v>
      </c>
      <c r="BN19" s="26">
        <f>现金流量表!BN48</f>
        <v>0</v>
      </c>
      <c r="BO19" s="26">
        <f>现金流量表!BO48</f>
        <v>6692428.5199999996</v>
      </c>
      <c r="BP19" s="26">
        <f>现金流量表!BP48</f>
        <v>0</v>
      </c>
      <c r="BQ19" s="26">
        <f>现金流量表!BQ48</f>
        <v>-557245</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1035052733.45</v>
      </c>
      <c r="F20" s="26">
        <f>现金流量表!F49</f>
        <v>0</v>
      </c>
      <c r="G20" s="26">
        <f>现金流量表!G49</f>
        <v>516162327.69999999</v>
      </c>
      <c r="H20" s="26">
        <f>现金流量表!H49</f>
        <v>0</v>
      </c>
      <c r="I20" s="26">
        <f>现金流量表!I49</f>
        <v>842728072.03999996</v>
      </c>
      <c r="J20" s="26">
        <f>现金流量表!J49</f>
        <v>0</v>
      </c>
      <c r="K20" s="26">
        <f>现金流量表!K49</f>
        <v>417647140.01999998</v>
      </c>
      <c r="L20" s="26">
        <f>现金流量表!L49</f>
        <v>0</v>
      </c>
      <c r="M20" s="26">
        <f>现金流量表!M49</f>
        <v>761458678.28999996</v>
      </c>
      <c r="N20" s="26">
        <f>现金流量表!N49</f>
        <v>0</v>
      </c>
      <c r="O20" s="26">
        <f>现金流量表!O49</f>
        <v>373349019.23000002</v>
      </c>
      <c r="P20" s="26">
        <f>现金流量表!P49</f>
        <v>0</v>
      </c>
      <c r="Q20" s="26">
        <f>现金流量表!Q49</f>
        <v>675349786.98000002</v>
      </c>
      <c r="R20" s="26">
        <f>现金流量表!R49</f>
        <v>0</v>
      </c>
      <c r="S20" s="26">
        <f>现金流量表!S49</f>
        <v>321291816.05000001</v>
      </c>
      <c r="T20" s="26">
        <f>现金流量表!T49</f>
        <v>0</v>
      </c>
      <c r="U20" s="26">
        <f>现金流量表!U49</f>
        <v>520481867.72000003</v>
      </c>
      <c r="V20" s="26">
        <f>现金流量表!V49</f>
        <v>0</v>
      </c>
      <c r="W20" s="26">
        <f>现金流量表!W49</f>
        <v>254184419.62</v>
      </c>
      <c r="X20" s="26">
        <f>现金流量表!X49</f>
        <v>0</v>
      </c>
      <c r="Y20" s="26">
        <f>现金流量表!Y49</f>
        <v>414952194.94</v>
      </c>
      <c r="Z20" s="26">
        <f>现金流量表!Z49</f>
        <v>0</v>
      </c>
      <c r="AA20" s="26">
        <f>现金流量表!AA49</f>
        <v>200507000.40000001</v>
      </c>
      <c r="AB20" s="26">
        <f>现金流量表!AB49</f>
        <v>0</v>
      </c>
      <c r="AC20" s="26">
        <f>现金流量表!AC49</f>
        <v>331356736.88</v>
      </c>
      <c r="AD20" s="26">
        <f>现金流量表!AD49</f>
        <v>0</v>
      </c>
      <c r="AE20" s="26">
        <f>现金流量表!AE49</f>
        <v>158950782.41999999</v>
      </c>
      <c r="AF20" s="26">
        <f>现金流量表!AF49</f>
        <v>0</v>
      </c>
      <c r="AG20" s="26">
        <f>现金流量表!AG49</f>
        <v>267815117.52000001</v>
      </c>
      <c r="AH20" s="26">
        <f>现金流量表!AH49</f>
        <v>0</v>
      </c>
      <c r="AI20" s="26">
        <f>现金流量表!AI49</f>
        <v>122119373.3</v>
      </c>
      <c r="AJ20" s="26">
        <f>现金流量表!AJ49</f>
        <v>0</v>
      </c>
      <c r="AK20" s="26">
        <f>现金流量表!AK49</f>
        <v>187387081.41</v>
      </c>
      <c r="AL20" s="26">
        <f>现金流量表!AL49</f>
        <v>0</v>
      </c>
      <c r="AM20" s="26">
        <f>现金流量表!AM49</f>
        <v>89093818.810000002</v>
      </c>
      <c r="AN20" s="26">
        <f>现金流量表!AN49</f>
        <v>0</v>
      </c>
      <c r="AO20" s="26">
        <f>现金流量表!AO49</f>
        <v>147042974.22999999</v>
      </c>
      <c r="AP20" s="26">
        <f>现金流量表!AP49</f>
        <v>0</v>
      </c>
      <c r="AQ20" s="26">
        <f>现金流量表!AQ49</f>
        <v>70037352.950000003</v>
      </c>
      <c r="AR20" s="26">
        <f>现金流量表!AR49</f>
        <v>0</v>
      </c>
      <c r="AS20" s="26">
        <f>现金流量表!AS49</f>
        <v>103823977.31999999</v>
      </c>
      <c r="AT20" s="26">
        <f>现金流量表!AT49</f>
        <v>0</v>
      </c>
      <c r="AU20" s="26">
        <f>现金流量表!AU49</f>
        <v>49772665.390000001</v>
      </c>
      <c r="AV20" s="26">
        <f>现金流量表!AV49</f>
        <v>0</v>
      </c>
      <c r="AW20" s="26">
        <f>现金流量表!AW49</f>
        <v>84717392.170000002</v>
      </c>
      <c r="AX20" s="26">
        <f>现金流量表!AX49</f>
        <v>62546557.289999999</v>
      </c>
      <c r="AY20" s="26">
        <f>现金流量表!AY49</f>
        <v>40854031.590000004</v>
      </c>
      <c r="AZ20" s="26">
        <f>现金流量表!AZ49</f>
        <v>20555222.16</v>
      </c>
      <c r="BA20" s="26">
        <f>现金流量表!BA49</f>
        <v>64659106.390000001</v>
      </c>
      <c r="BB20" s="26">
        <f>现金流量表!BB49</f>
        <v>14382986.699999999</v>
      </c>
      <c r="BC20" s="26">
        <f>现金流量表!BC49</f>
        <v>31667890.949999999</v>
      </c>
      <c r="BD20" s="26">
        <f>现金流量表!BD49</f>
        <v>15524717.93</v>
      </c>
      <c r="BE20" s="26">
        <f>现金流量表!BE49</f>
        <v>55088524.049999997</v>
      </c>
      <c r="BF20" s="26">
        <f>现金流量表!BF49</f>
        <v>40655791.490000002</v>
      </c>
      <c r="BG20" s="26">
        <f>现金流量表!BG49</f>
        <v>26579528.530000001</v>
      </c>
      <c r="BH20" s="26">
        <f>现金流量表!BH49</f>
        <v>12725361.800000001</v>
      </c>
      <c r="BI20" s="26">
        <f>现金流量表!BI49</f>
        <v>58391200.810000002</v>
      </c>
      <c r="BJ20" s="26">
        <f>现金流量表!BJ49</f>
        <v>47752591.530000001</v>
      </c>
      <c r="BK20" s="26">
        <f>现金流量表!BK49</f>
        <v>35569491.770000003</v>
      </c>
      <c r="BL20" s="26">
        <f>现金流量表!BL49</f>
        <v>23864812.800000001</v>
      </c>
      <c r="BM20" s="26">
        <f>现金流量表!BM49</f>
        <v>20409817.800000001</v>
      </c>
      <c r="BN20" s="26">
        <f>现金流量表!BN49</f>
        <v>9446489.4299999997</v>
      </c>
      <c r="BO20" s="26">
        <f>现金流量表!BO49</f>
        <v>11587498.189999999</v>
      </c>
      <c r="BP20" s="26">
        <f>现金流量表!BP49</f>
        <v>0</v>
      </c>
      <c r="BQ20" s="26">
        <f>现金流量表!BQ49</f>
        <v>10108725</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80522705.769999996</v>
      </c>
      <c r="F21" s="26">
        <f>现金流量表!F50</f>
        <v>0</v>
      </c>
      <c r="G21" s="26">
        <f>现金流量表!G50</f>
        <v>40237130.289999999</v>
      </c>
      <c r="H21" s="26">
        <f>现金流量表!H50</f>
        <v>0</v>
      </c>
      <c r="I21" s="26">
        <f>现金流量表!I50</f>
        <v>80457895.989999995</v>
      </c>
      <c r="J21" s="26">
        <f>现金流量表!J50</f>
        <v>0</v>
      </c>
      <c r="K21" s="26">
        <f>现金流量表!K50</f>
        <v>40081010.549999997</v>
      </c>
      <c r="L21" s="26">
        <f>现金流量表!L50</f>
        <v>0</v>
      </c>
      <c r="M21" s="26">
        <f>现金流量表!M50</f>
        <v>79883270.420000002</v>
      </c>
      <c r="N21" s="26">
        <f>现金流量表!N50</f>
        <v>0</v>
      </c>
      <c r="O21" s="26">
        <f>现金流量表!O50</f>
        <v>39738464.259999998</v>
      </c>
      <c r="P21" s="26">
        <f>现金流量表!P50</f>
        <v>0</v>
      </c>
      <c r="Q21" s="26">
        <f>现金流量表!Q50</f>
        <v>77607523.200000003</v>
      </c>
      <c r="R21" s="26">
        <f>现金流量表!R50</f>
        <v>0</v>
      </c>
      <c r="S21" s="26">
        <f>现金流量表!S50</f>
        <v>38383088.600000001</v>
      </c>
      <c r="T21" s="26">
        <f>现金流量表!T50</f>
        <v>0</v>
      </c>
      <c r="U21" s="26">
        <f>现金流量表!U50</f>
        <v>31617810.780000001</v>
      </c>
      <c r="V21" s="26">
        <f>现金流量表!V50</f>
        <v>0</v>
      </c>
      <c r="W21" s="26">
        <f>现金流量表!W50</f>
        <v>11204325.32</v>
      </c>
      <c r="X21" s="26">
        <f>现金流量表!X50</f>
        <v>0</v>
      </c>
      <c r="Y21" s="26">
        <f>现金流量表!Y50</f>
        <v>15994854.35</v>
      </c>
      <c r="Z21" s="26">
        <f>现金流量表!Z50</f>
        <v>0</v>
      </c>
      <c r="AA21" s="26">
        <f>现金流量表!AA50</f>
        <v>6655978.8700000001</v>
      </c>
      <c r="AB21" s="26">
        <f>现金流量表!AB50</f>
        <v>0</v>
      </c>
      <c r="AC21" s="26">
        <f>现金流量表!AC50</f>
        <v>11855582.220000001</v>
      </c>
      <c r="AD21" s="26">
        <f>现金流量表!AD50</f>
        <v>0</v>
      </c>
      <c r="AE21" s="26">
        <f>现金流量表!AE50</f>
        <v>5646985.7000000002</v>
      </c>
      <c r="AF21" s="26">
        <f>现金流量表!AF50</f>
        <v>0</v>
      </c>
      <c r="AG21" s="26">
        <f>现金流量表!AG50</f>
        <v>14719853.449999999</v>
      </c>
      <c r="AH21" s="26">
        <f>现金流量表!AH50</f>
        <v>0</v>
      </c>
      <c r="AI21" s="26">
        <f>现金流量表!AI50</f>
        <v>5961975.2400000002</v>
      </c>
      <c r="AJ21" s="26">
        <f>现金流量表!AJ50</f>
        <v>0</v>
      </c>
      <c r="AK21" s="26">
        <f>现金流量表!AK50</f>
        <v>11552408.130000001</v>
      </c>
      <c r="AL21" s="26">
        <f>现金流量表!AL50</f>
        <v>0</v>
      </c>
      <c r="AM21" s="26">
        <f>现金流量表!AM50</f>
        <v>5728173.5</v>
      </c>
      <c r="AN21" s="26">
        <f>现金流量表!AN50</f>
        <v>0</v>
      </c>
      <c r="AO21" s="26">
        <f>现金流量表!AO50</f>
        <v>6995493.6799999997</v>
      </c>
      <c r="AP21" s="26">
        <f>现金流量表!AP50</f>
        <v>0</v>
      </c>
      <c r="AQ21" s="26">
        <f>现金流量表!AQ50</f>
        <v>3361247.64</v>
      </c>
      <c r="AR21" s="26">
        <f>现金流量表!AR50</f>
        <v>0</v>
      </c>
      <c r="AS21" s="26">
        <f>现金流量表!AS50</f>
        <v>8419605.2599999998</v>
      </c>
      <c r="AT21" s="26">
        <f>现金流量表!AT50</f>
        <v>0</v>
      </c>
      <c r="AU21" s="26">
        <f>现金流量表!AU50</f>
        <v>3214603.12</v>
      </c>
      <c r="AV21" s="26">
        <f>现金流量表!AV50</f>
        <v>0</v>
      </c>
      <c r="AW21" s="26">
        <f>现金流量表!AW50</f>
        <v>3228097.47</v>
      </c>
      <c r="AX21" s="26">
        <f>现金流量表!AX50</f>
        <v>507627.19</v>
      </c>
      <c r="AY21" s="26">
        <f>现金流量表!AY50</f>
        <v>303570.90999999997</v>
      </c>
      <c r="AZ21" s="26">
        <f>现金流量表!AZ50</f>
        <v>141331.29</v>
      </c>
      <c r="BA21" s="26">
        <f>现金流量表!BA50</f>
        <v>1721214.26</v>
      </c>
      <c r="BB21" s="26">
        <f>现金流量表!BB50</f>
        <v>84999.84</v>
      </c>
      <c r="BC21" s="26">
        <f>现金流量表!BC50</f>
        <v>84999.84</v>
      </c>
      <c r="BD21" s="26">
        <f>现金流量表!BD50</f>
        <v>42500.01</v>
      </c>
      <c r="BE21" s="26">
        <f>现金流量表!BE50</f>
        <v>171205.04</v>
      </c>
      <c r="BF21" s="26">
        <f>现金流量表!BF50</f>
        <v>127500.03</v>
      </c>
      <c r="BG21" s="26">
        <f>现金流量表!BG50</f>
        <v>85000.02</v>
      </c>
      <c r="BH21" s="26">
        <f>现金流量表!BH50</f>
        <v>42500.01</v>
      </c>
      <c r="BI21" s="26">
        <f>现金流量表!BI50</f>
        <v>170000.04</v>
      </c>
      <c r="BJ21" s="26">
        <f>现金流量表!BJ50</f>
        <v>127500.03</v>
      </c>
      <c r="BK21" s="26">
        <f>现金流量表!BK50</f>
        <v>85000.02</v>
      </c>
      <c r="BL21" s="26">
        <f>现金流量表!BL50</f>
        <v>42500.01</v>
      </c>
      <c r="BM21" s="26">
        <f>现金流量表!BM50</f>
        <v>170000.04</v>
      </c>
      <c r="BN21" s="26">
        <f>现金流量表!BN50</f>
        <v>85000.02</v>
      </c>
      <c r="BO21" s="26">
        <f>现金流量表!BO50</f>
        <v>676000.04</v>
      </c>
      <c r="BP21" s="26">
        <f>现金流量表!BP50</f>
        <v>0</v>
      </c>
      <c r="BQ21" s="26">
        <f>现金流量表!BQ50</f>
        <v>3477429</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10259101.970000001</v>
      </c>
      <c r="F22" s="26">
        <f>现金流量表!F51</f>
        <v>0</v>
      </c>
      <c r="G22" s="26">
        <f>现金流量表!G51</f>
        <v>5140436.7300000004</v>
      </c>
      <c r="H22" s="26">
        <f>现金流量表!H51</f>
        <v>0</v>
      </c>
      <c r="I22" s="26">
        <f>现金流量表!I51</f>
        <v>11008704.17</v>
      </c>
      <c r="J22" s="26">
        <f>现金流量表!J51</f>
        <v>0</v>
      </c>
      <c r="K22" s="26">
        <f>现金流量表!K51</f>
        <v>5681522.1299999999</v>
      </c>
      <c r="L22" s="26">
        <f>现金流量表!L51</f>
        <v>0</v>
      </c>
      <c r="M22" s="26">
        <f>现金流量表!M51</f>
        <v>6804749.0199999996</v>
      </c>
      <c r="N22" s="26">
        <f>现金流量表!N51</f>
        <v>0</v>
      </c>
      <c r="O22" s="26">
        <f>现金流量表!O51</f>
        <v>2445058.8199999998</v>
      </c>
      <c r="P22" s="26">
        <f>现金流量表!P51</f>
        <v>0</v>
      </c>
      <c r="Q22" s="26">
        <f>现金流量表!Q51</f>
        <v>3842650.48</v>
      </c>
      <c r="R22" s="26">
        <f>现金流量表!R51</f>
        <v>0</v>
      </c>
      <c r="S22" s="26">
        <f>现金流量表!S51</f>
        <v>1851383.57</v>
      </c>
      <c r="T22" s="26">
        <f>现金流量表!T51</f>
        <v>0</v>
      </c>
      <c r="U22" s="26">
        <f>现金流量表!U51</f>
        <v>4197830.59</v>
      </c>
      <c r="V22" s="26">
        <f>现金流量表!V51</f>
        <v>0</v>
      </c>
      <c r="W22" s="26">
        <f>现金流量表!W51</f>
        <v>1942477.92</v>
      </c>
      <c r="X22" s="26">
        <f>现金流量表!X51</f>
        <v>0</v>
      </c>
      <c r="Y22" s="26">
        <f>现金流量表!Y51</f>
        <v>3854764.8</v>
      </c>
      <c r="Z22" s="26">
        <f>现金流量表!Z51</f>
        <v>0</v>
      </c>
      <c r="AA22" s="26">
        <f>现金流量表!AA51</f>
        <v>1919834.64</v>
      </c>
      <c r="AB22" s="26">
        <f>现金流量表!AB51</f>
        <v>0</v>
      </c>
      <c r="AC22" s="26">
        <f>现金流量表!AC51</f>
        <v>4896216.72</v>
      </c>
      <c r="AD22" s="26">
        <f>现金流量表!AD51</f>
        <v>0</v>
      </c>
      <c r="AE22" s="26">
        <f>现金流量表!AE51</f>
        <v>863163.66</v>
      </c>
      <c r="AF22" s="26">
        <f>现金流量表!AF51</f>
        <v>0</v>
      </c>
      <c r="AG22" s="26">
        <f>现金流量表!AG51</f>
        <v>3034894.25</v>
      </c>
      <c r="AH22" s="26">
        <f>现金流量表!AH51</f>
        <v>0</v>
      </c>
      <c r="AI22" s="26">
        <f>现金流量表!AI51</f>
        <v>2588560.7999999998</v>
      </c>
      <c r="AJ22" s="26">
        <f>现金流量表!AJ51</f>
        <v>0</v>
      </c>
      <c r="AK22" s="26">
        <f>现金流量表!AK51</f>
        <v>8627818.8800000008</v>
      </c>
      <c r="AL22" s="26">
        <f>现金流量表!AL51</f>
        <v>0</v>
      </c>
      <c r="AM22" s="26">
        <f>现金流量表!AM51</f>
        <v>4684138.12</v>
      </c>
      <c r="AN22" s="26">
        <f>现金流量表!AN51</f>
        <v>0</v>
      </c>
      <c r="AO22" s="26">
        <f>现金流量表!AO51</f>
        <v>10613073.470000001</v>
      </c>
      <c r="AP22" s="26">
        <f>现金流量表!AP51</f>
        <v>0</v>
      </c>
      <c r="AQ22" s="26">
        <f>现金流量表!AQ51</f>
        <v>6441361.3099999996</v>
      </c>
      <c r="AR22" s="26">
        <f>现金流量表!AR51</f>
        <v>0</v>
      </c>
      <c r="AS22" s="26">
        <f>现金流量表!AS51</f>
        <v>65846168.600000001</v>
      </c>
      <c r="AT22" s="26">
        <f>现金流量表!AT51</f>
        <v>0</v>
      </c>
      <c r="AU22" s="26">
        <f>现金流量表!AU51</f>
        <v>4580442.62</v>
      </c>
      <c r="AV22" s="26">
        <f>现金流量表!AV51</f>
        <v>0</v>
      </c>
      <c r="AW22" s="26">
        <f>现金流量表!AW51</f>
        <v>8744492.6899999995</v>
      </c>
      <c r="AX22" s="26">
        <f>现金流量表!AX51</f>
        <v>6440605.7699999996</v>
      </c>
      <c r="AY22" s="26">
        <f>现金流量表!AY51</f>
        <v>4187782.96</v>
      </c>
      <c r="AZ22" s="26">
        <f>现金流量表!AZ51</f>
        <v>2098114.34</v>
      </c>
      <c r="BA22" s="26">
        <f>现金流量表!BA51</f>
        <v>12051388.76</v>
      </c>
      <c r="BB22" s="26">
        <f>现金流量表!BB51</f>
        <v>2203602.2400000002</v>
      </c>
      <c r="BC22" s="26">
        <f>现金流量表!BC51</f>
        <v>4623317.43</v>
      </c>
      <c r="BD22" s="26">
        <f>现金流量表!BD51</f>
        <v>967986.57</v>
      </c>
      <c r="BE22" s="26">
        <f>现金流量表!BE51</f>
        <v>11374067.689999999</v>
      </c>
      <c r="BF22" s="26">
        <f>现金流量表!BF51</f>
        <v>2772944.12</v>
      </c>
      <c r="BG22" s="26">
        <f>现金流量表!BG51</f>
        <v>2416531.69</v>
      </c>
      <c r="BH22" s="26">
        <f>现金流量表!BH51</f>
        <v>1638077.4399999999</v>
      </c>
      <c r="BI22" s="26">
        <f>现金流量表!BI51</f>
        <v>5297418.04</v>
      </c>
      <c r="BJ22" s="26">
        <f>现金流量表!BJ51</f>
        <v>2483546</v>
      </c>
      <c r="BK22" s="26">
        <f>现金流量表!BK51</f>
        <v>1638442.04</v>
      </c>
      <c r="BL22" s="26">
        <f>现金流量表!BL51</f>
        <v>642970.9</v>
      </c>
      <c r="BM22" s="26">
        <f>现金流量表!BM51</f>
        <v>-5629054.3700000001</v>
      </c>
      <c r="BN22" s="26">
        <f>现金流量表!BN51</f>
        <v>1086189.98</v>
      </c>
      <c r="BO22" s="26">
        <f>现金流量表!BO51</f>
        <v>2083990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0</v>
      </c>
      <c r="F23" s="26">
        <f>现金流量表!F54</f>
        <v>0</v>
      </c>
      <c r="G23" s="26">
        <f>现金流量表!G54</f>
        <v>0</v>
      </c>
      <c r="H23" s="26">
        <f>现金流量表!H54</f>
        <v>0</v>
      </c>
      <c r="I23" s="26">
        <f>现金流量表!I54</f>
        <v>0</v>
      </c>
      <c r="J23" s="26">
        <f>现金流量表!J54</f>
        <v>0</v>
      </c>
      <c r="K23" s="26">
        <f>现金流量表!K54</f>
        <v>0</v>
      </c>
      <c r="L23" s="26">
        <f>现金流量表!L54</f>
        <v>0</v>
      </c>
      <c r="M23" s="26">
        <f>现金流量表!M54</f>
        <v>0</v>
      </c>
      <c r="N23" s="26">
        <f>现金流量表!N54</f>
        <v>0</v>
      </c>
      <c r="O23" s="26">
        <f>现金流量表!O54</f>
        <v>0</v>
      </c>
      <c r="P23" s="26">
        <f>现金流量表!P54</f>
        <v>0</v>
      </c>
      <c r="Q23" s="26">
        <f>现金流量表!Q54</f>
        <v>0</v>
      </c>
      <c r="R23" s="26">
        <f>现金流量表!R54</f>
        <v>0</v>
      </c>
      <c r="S23" s="26">
        <f>现金流量表!S54</f>
        <v>0</v>
      </c>
      <c r="T23" s="26">
        <f>现金流量表!T54</f>
        <v>0</v>
      </c>
      <c r="U23" s="26">
        <f>现金流量表!U54</f>
        <v>0</v>
      </c>
      <c r="V23" s="26">
        <f>现金流量表!V54</f>
        <v>0</v>
      </c>
      <c r="W23" s="26">
        <f>现金流量表!W54</f>
        <v>0</v>
      </c>
      <c r="X23" s="26">
        <f>现金流量表!X54</f>
        <v>0</v>
      </c>
      <c r="Y23" s="26">
        <f>现金流量表!Y54</f>
        <v>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900998.31</v>
      </c>
      <c r="AT23" s="26">
        <f>现金流量表!AT54</f>
        <v>0</v>
      </c>
      <c r="AU23" s="26">
        <f>现金流量表!AU54</f>
        <v>-98880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3291895.5</v>
      </c>
      <c r="F24" s="26">
        <f>现金流量表!F55</f>
        <v>0</v>
      </c>
      <c r="G24" s="26">
        <f>现金流量表!G55</f>
        <v>115399.49</v>
      </c>
      <c r="H24" s="26">
        <f>现金流量表!H55</f>
        <v>0</v>
      </c>
      <c r="I24" s="26">
        <f>现金流量表!I55</f>
        <v>1869869.13</v>
      </c>
      <c r="J24" s="26">
        <f>现金流量表!J55</f>
        <v>0</v>
      </c>
      <c r="K24" s="26">
        <f>现金流量表!K55</f>
        <v>-43123.46</v>
      </c>
      <c r="L24" s="26">
        <f>现金流量表!L55</f>
        <v>0</v>
      </c>
      <c r="M24" s="26">
        <f>现金流量表!M55</f>
        <v>-17419.86</v>
      </c>
      <c r="N24" s="26">
        <f>现金流量表!N55</f>
        <v>0</v>
      </c>
      <c r="O24" s="26">
        <f>现金流量表!O55</f>
        <v>38556.61</v>
      </c>
      <c r="P24" s="26">
        <f>现金流量表!P55</f>
        <v>0</v>
      </c>
      <c r="Q24" s="26">
        <f>现金流量表!Q55</f>
        <v>85119583.319999993</v>
      </c>
      <c r="R24" s="26">
        <f>现金流量表!R55</f>
        <v>0</v>
      </c>
      <c r="S24" s="26">
        <f>现金流量表!S55</f>
        <v>5620616.7999999998</v>
      </c>
      <c r="T24" s="26">
        <f>现金流量表!T55</f>
        <v>0</v>
      </c>
      <c r="U24" s="26">
        <f>现金流量表!U55</f>
        <v>8997287.1699999999</v>
      </c>
      <c r="V24" s="26">
        <f>现金流量表!V55</f>
        <v>0</v>
      </c>
      <c r="W24" s="26">
        <f>现金流量表!W55</f>
        <v>175182.81</v>
      </c>
      <c r="X24" s="26">
        <f>现金流量表!X55</f>
        <v>0</v>
      </c>
      <c r="Y24" s="26">
        <f>现金流量表!Y55</f>
        <v>155718.82</v>
      </c>
      <c r="Z24" s="26">
        <f>现金流量表!Z55</f>
        <v>0</v>
      </c>
      <c r="AA24" s="26">
        <f>现金流量表!AA55</f>
        <v>84152.4</v>
      </c>
      <c r="AB24" s="26">
        <f>现金流量表!AB55</f>
        <v>0</v>
      </c>
      <c r="AC24" s="26">
        <f>现金流量表!AC55</f>
        <v>-888534.94</v>
      </c>
      <c r="AD24" s="26">
        <f>现金流量表!AD55</f>
        <v>0</v>
      </c>
      <c r="AE24" s="26">
        <f>现金流量表!AE55</f>
        <v>-886934.94</v>
      </c>
      <c r="AF24" s="26">
        <f>现金流量表!AF55</f>
        <v>0</v>
      </c>
      <c r="AG24" s="26">
        <f>现金流量表!AG55</f>
        <v>617857.77</v>
      </c>
      <c r="AH24" s="26">
        <f>现金流量表!AH55</f>
        <v>0</v>
      </c>
      <c r="AI24" s="26">
        <f>现金流量表!AI55</f>
        <v>561791.21</v>
      </c>
      <c r="AJ24" s="26">
        <f>现金流量表!AJ55</f>
        <v>0</v>
      </c>
      <c r="AK24" s="26">
        <f>现金流量表!AK55</f>
        <v>227122.97</v>
      </c>
      <c r="AL24" s="26">
        <f>现金流量表!AL55</f>
        <v>0</v>
      </c>
      <c r="AM24" s="26">
        <f>现金流量表!AM55</f>
        <v>8880.69</v>
      </c>
      <c r="AN24" s="26">
        <f>现金流量表!AN55</f>
        <v>0</v>
      </c>
      <c r="AO24" s="26">
        <f>现金流量表!AO55</f>
        <v>3241808.24</v>
      </c>
      <c r="AP24" s="26">
        <f>现金流量表!AP55</f>
        <v>0</v>
      </c>
      <c r="AQ24" s="26">
        <f>现金流量表!AQ55</f>
        <v>3118790.2</v>
      </c>
      <c r="AR24" s="26">
        <f>现金流量表!AR55</f>
        <v>0</v>
      </c>
      <c r="AS24" s="26">
        <f>现金流量表!AS55</f>
        <v>3146711.19</v>
      </c>
      <c r="AT24" s="26">
        <f>现金流量表!AT55</f>
        <v>0</v>
      </c>
      <c r="AU24" s="26">
        <f>现金流量表!AU55</f>
        <v>149474.44</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210396.99</v>
      </c>
      <c r="BF24" s="26">
        <f>现金流量表!BF55</f>
        <v>627297.24</v>
      </c>
      <c r="BG24" s="26">
        <f>现金流量表!BG55</f>
        <v>0</v>
      </c>
      <c r="BH24" s="26">
        <f>现金流量表!BH55</f>
        <v>0</v>
      </c>
      <c r="BI24" s="26">
        <f>现金流量表!BI55</f>
        <v>0</v>
      </c>
      <c r="BJ24" s="26">
        <f>现金流量表!BJ55</f>
        <v>8291.7099999999991</v>
      </c>
      <c r="BK24" s="26">
        <f>现金流量表!BK55</f>
        <v>8291.7099999999991</v>
      </c>
      <c r="BL24" s="26">
        <f>现金流量表!BL55</f>
        <v>7741.71</v>
      </c>
      <c r="BM24" s="26">
        <f>现金流量表!BM55</f>
        <v>0</v>
      </c>
      <c r="BN24" s="26">
        <f>现金流量表!BN55</f>
        <v>0</v>
      </c>
      <c r="BO24" s="26">
        <f>现金流量表!BO55</f>
        <v>602996.92000000004</v>
      </c>
      <c r="BP24" s="26">
        <f>现金流量表!BP55</f>
        <v>0</v>
      </c>
      <c r="BQ24" s="26">
        <f>现金流量表!BQ55</f>
        <v>216575</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1121072732.74</v>
      </c>
      <c r="F25" s="28">
        <f t="shared" ref="F25:BQ25" si="12">SUM(F19:F24)</f>
        <v>0</v>
      </c>
      <c r="G25" s="28">
        <f t="shared" si="12"/>
        <v>558450121.18000007</v>
      </c>
      <c r="H25" s="28">
        <f t="shared" si="12"/>
        <v>0</v>
      </c>
      <c r="I25" s="28">
        <f t="shared" si="12"/>
        <v>948392037.54999995</v>
      </c>
      <c r="J25" s="28">
        <f t="shared" si="12"/>
        <v>0</v>
      </c>
      <c r="K25" s="28">
        <f t="shared" si="12"/>
        <v>468902884.17000002</v>
      </c>
      <c r="L25" s="28">
        <f t="shared" si="12"/>
        <v>0</v>
      </c>
      <c r="M25" s="28">
        <f t="shared" si="12"/>
        <v>847588964.4799999</v>
      </c>
      <c r="N25" s="28">
        <f t="shared" si="12"/>
        <v>0</v>
      </c>
      <c r="O25" s="28">
        <f t="shared" si="12"/>
        <v>415975472.19999999</v>
      </c>
      <c r="P25" s="28">
        <f t="shared" si="12"/>
        <v>0</v>
      </c>
      <c r="Q25" s="28">
        <f t="shared" si="12"/>
        <v>842352289.86000013</v>
      </c>
      <c r="R25" s="28">
        <f t="shared" si="12"/>
        <v>0</v>
      </c>
      <c r="S25" s="28">
        <f t="shared" si="12"/>
        <v>367390200.25000006</v>
      </c>
      <c r="T25" s="28">
        <f t="shared" si="12"/>
        <v>0</v>
      </c>
      <c r="U25" s="28">
        <f t="shared" si="12"/>
        <v>563290763.96000004</v>
      </c>
      <c r="V25" s="28">
        <f t="shared" si="12"/>
        <v>0</v>
      </c>
      <c r="W25" s="28">
        <f t="shared" si="12"/>
        <v>265438063.56999999</v>
      </c>
      <c r="X25" s="28">
        <f t="shared" si="12"/>
        <v>0</v>
      </c>
      <c r="Y25" s="28">
        <f t="shared" si="12"/>
        <v>437936791.41000003</v>
      </c>
      <c r="Z25" s="28">
        <f t="shared" si="12"/>
        <v>0</v>
      </c>
      <c r="AA25" s="28">
        <f t="shared" si="12"/>
        <v>210122825.72999999</v>
      </c>
      <c r="AB25" s="28">
        <f t="shared" si="12"/>
        <v>0</v>
      </c>
      <c r="AC25" s="28">
        <f t="shared" si="12"/>
        <v>344719350.31000006</v>
      </c>
      <c r="AD25" s="28">
        <f t="shared" si="12"/>
        <v>0</v>
      </c>
      <c r="AE25" s="28">
        <f t="shared" si="12"/>
        <v>163005827.41999999</v>
      </c>
      <c r="AF25" s="28">
        <f t="shared" si="12"/>
        <v>0</v>
      </c>
      <c r="AG25" s="28">
        <f t="shared" si="12"/>
        <v>283120747.94</v>
      </c>
      <c r="AH25" s="28">
        <f t="shared" si="12"/>
        <v>0</v>
      </c>
      <c r="AI25" s="28">
        <f t="shared" si="12"/>
        <v>134008274.75999998</v>
      </c>
      <c r="AJ25" s="28">
        <f t="shared" si="12"/>
        <v>0</v>
      </c>
      <c r="AK25" s="28">
        <f t="shared" si="12"/>
        <v>207494346.38</v>
      </c>
      <c r="AL25" s="28">
        <f t="shared" si="12"/>
        <v>0</v>
      </c>
      <c r="AM25" s="28">
        <f t="shared" si="12"/>
        <v>99957615.120000005</v>
      </c>
      <c r="AN25" s="28">
        <f t="shared" si="12"/>
        <v>0</v>
      </c>
      <c r="AO25" s="28">
        <f t="shared" si="12"/>
        <v>168343427.84</v>
      </c>
      <c r="AP25" s="28">
        <f t="shared" si="12"/>
        <v>0</v>
      </c>
      <c r="AQ25" s="28">
        <f t="shared" si="12"/>
        <v>81547677.360000014</v>
      </c>
      <c r="AR25" s="28">
        <f t="shared" si="12"/>
        <v>0</v>
      </c>
      <c r="AS25" s="28">
        <f t="shared" si="12"/>
        <v>181522722.03</v>
      </c>
      <c r="AT25" s="28">
        <f t="shared" si="12"/>
        <v>0</v>
      </c>
      <c r="AU25" s="28">
        <f t="shared" si="12"/>
        <v>58935819.659999996</v>
      </c>
      <c r="AV25" s="28">
        <f t="shared" si="12"/>
        <v>0</v>
      </c>
      <c r="AW25" s="28">
        <f t="shared" si="12"/>
        <v>96689982.329999998</v>
      </c>
      <c r="AX25" s="28">
        <f t="shared" si="12"/>
        <v>69494790.25</v>
      </c>
      <c r="AY25" s="28">
        <f t="shared" si="12"/>
        <v>45345385.460000001</v>
      </c>
      <c r="AZ25" s="28">
        <f t="shared" si="12"/>
        <v>22794667.789999999</v>
      </c>
      <c r="BA25" s="28">
        <f t="shared" si="12"/>
        <v>77107691.060000002</v>
      </c>
      <c r="BB25" s="28">
        <f t="shared" si="12"/>
        <v>16671588.779999999</v>
      </c>
      <c r="BC25" s="28">
        <f t="shared" si="12"/>
        <v>36376208.219999999</v>
      </c>
      <c r="BD25" s="28">
        <f t="shared" si="12"/>
        <v>16535204.51</v>
      </c>
      <c r="BE25" s="28">
        <f t="shared" si="12"/>
        <v>67606140.799999997</v>
      </c>
      <c r="BF25" s="28">
        <f t="shared" si="12"/>
        <v>44183532.880000003</v>
      </c>
      <c r="BG25" s="28">
        <f t="shared" si="12"/>
        <v>29081060.240000002</v>
      </c>
      <c r="BH25" s="28">
        <f t="shared" si="12"/>
        <v>14405939.25</v>
      </c>
      <c r="BI25" s="28">
        <f t="shared" si="12"/>
        <v>65911159.280000001</v>
      </c>
      <c r="BJ25" s="28">
        <f t="shared" si="12"/>
        <v>50371929.270000003</v>
      </c>
      <c r="BK25" s="28">
        <f t="shared" si="12"/>
        <v>37301225.540000007</v>
      </c>
      <c r="BL25" s="28">
        <f t="shared" si="12"/>
        <v>24558025.420000002</v>
      </c>
      <c r="BM25" s="28">
        <f t="shared" si="12"/>
        <v>20927871.189999998</v>
      </c>
      <c r="BN25" s="28">
        <f t="shared" si="12"/>
        <v>10617679.43</v>
      </c>
      <c r="BO25" s="28">
        <f t="shared" si="12"/>
        <v>21642913.670000002</v>
      </c>
      <c r="BP25" s="28">
        <f t="shared" si="12"/>
        <v>0</v>
      </c>
      <c r="BQ25" s="28">
        <f t="shared" si="12"/>
        <v>13245484</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21031963351.389999</v>
      </c>
      <c r="F26" s="28">
        <f t="shared" ref="F26:BQ26" si="14">F14-F25</f>
        <v>22786767198.189999</v>
      </c>
      <c r="G26" s="28">
        <f t="shared" si="14"/>
        <v>6376910289.1799994</v>
      </c>
      <c r="H26" s="28">
        <f t="shared" si="14"/>
        <v>6108975096.5600004</v>
      </c>
      <c r="I26" s="28">
        <f t="shared" si="14"/>
        <v>36502857609.5</v>
      </c>
      <c r="J26" s="28">
        <f t="shared" si="14"/>
        <v>32535332631.689999</v>
      </c>
      <c r="K26" s="28">
        <f t="shared" si="14"/>
        <v>13135059399.82</v>
      </c>
      <c r="L26" s="28">
        <f t="shared" si="14"/>
        <v>7436044334.9799995</v>
      </c>
      <c r="M26" s="28">
        <f t="shared" si="14"/>
        <v>16588751177.240002</v>
      </c>
      <c r="N26" s="28">
        <f t="shared" si="14"/>
        <v>11423393327.059999</v>
      </c>
      <c r="O26" s="28">
        <f t="shared" si="14"/>
        <v>4485712871.0799999</v>
      </c>
      <c r="P26" s="28">
        <f t="shared" si="14"/>
        <v>2111633649.4000001</v>
      </c>
      <c r="Q26" s="28">
        <f t="shared" si="14"/>
        <v>11790170146.74</v>
      </c>
      <c r="R26" s="28">
        <f t="shared" si="14"/>
        <v>7679397243.8699999</v>
      </c>
      <c r="S26" s="28">
        <f t="shared" si="14"/>
        <v>3921353148.25</v>
      </c>
      <c r="T26" s="28">
        <f t="shared" si="14"/>
        <v>173915705.72</v>
      </c>
      <c r="U26" s="28">
        <f t="shared" si="14"/>
        <v>12091734097.959999</v>
      </c>
      <c r="V26" s="28">
        <f t="shared" si="14"/>
        <v>9245117959.3099995</v>
      </c>
      <c r="W26" s="28">
        <f t="shared" si="14"/>
        <v>4949586443.3400002</v>
      </c>
      <c r="X26" s="28">
        <f t="shared" si="14"/>
        <v>790228914.26999998</v>
      </c>
      <c r="Y26" s="28">
        <f t="shared" si="14"/>
        <v>11483373817.84</v>
      </c>
      <c r="Z26" s="28">
        <f t="shared" si="14"/>
        <v>7561565324.8999996</v>
      </c>
      <c r="AA26" s="28">
        <f t="shared" si="14"/>
        <v>4249586669.5999999</v>
      </c>
      <c r="AB26" s="28">
        <f t="shared" si="14"/>
        <v>1339500999.5999999</v>
      </c>
      <c r="AC26" s="28">
        <f t="shared" si="14"/>
        <v>9803845339.2200012</v>
      </c>
      <c r="AD26" s="28">
        <f t="shared" si="14"/>
        <v>9026937978.2999992</v>
      </c>
      <c r="AE26" s="28">
        <f t="shared" si="14"/>
        <v>5164892007.6599998</v>
      </c>
      <c r="AF26" s="28">
        <f t="shared" si="14"/>
        <v>3411131919.8499999</v>
      </c>
      <c r="AG26" s="28">
        <f t="shared" si="14"/>
        <v>5918355771.6300001</v>
      </c>
      <c r="AH26" s="28">
        <f t="shared" si="14"/>
        <v>3964406933.9299998</v>
      </c>
      <c r="AI26" s="28">
        <f t="shared" si="14"/>
        <v>1632374835.79</v>
      </c>
      <c r="AJ26" s="28">
        <f t="shared" si="14"/>
        <v>824771903.73000002</v>
      </c>
      <c r="AK26" s="28">
        <f t="shared" si="14"/>
        <v>4016442797.8099999</v>
      </c>
      <c r="AL26" s="28">
        <f t="shared" si="14"/>
        <v>2077542093.22</v>
      </c>
      <c r="AM26" s="28">
        <f t="shared" si="14"/>
        <v>448230225.30999994</v>
      </c>
      <c r="AN26" s="28">
        <f t="shared" si="14"/>
        <v>-130764695.25</v>
      </c>
      <c r="AO26" s="28">
        <f t="shared" si="14"/>
        <v>5079145107.8999996</v>
      </c>
      <c r="AP26" s="28">
        <f t="shared" si="14"/>
        <v>3068605688.1700001</v>
      </c>
      <c r="AQ26" s="28">
        <f t="shared" si="14"/>
        <v>1414133729.6199999</v>
      </c>
      <c r="AR26" s="28">
        <f t="shared" si="14"/>
        <v>992687155.95000005</v>
      </c>
      <c r="AS26" s="28">
        <f t="shared" si="14"/>
        <v>1561780489.3500001</v>
      </c>
      <c r="AT26" s="28">
        <f t="shared" si="14"/>
        <v>1548259234.8800001</v>
      </c>
      <c r="AU26" s="28">
        <f t="shared" si="14"/>
        <v>626877237.88999999</v>
      </c>
      <c r="AV26" s="28">
        <f t="shared" si="14"/>
        <v>380543066.07999998</v>
      </c>
      <c r="AW26" s="28">
        <f t="shared" si="14"/>
        <v>2008481051.3600001</v>
      </c>
      <c r="AX26" s="28">
        <f t="shared" si="14"/>
        <v>1420634483.55</v>
      </c>
      <c r="AY26" s="28">
        <f t="shared" si="14"/>
        <v>549526227.43999994</v>
      </c>
      <c r="AZ26" s="28">
        <f t="shared" si="14"/>
        <v>199409580.04000002</v>
      </c>
      <c r="BA26" s="28">
        <f t="shared" si="14"/>
        <v>1616599797.26</v>
      </c>
      <c r="BB26" s="28">
        <f t="shared" si="14"/>
        <v>867048503.50999999</v>
      </c>
      <c r="BC26" s="28">
        <f t="shared" si="14"/>
        <v>400228303.07000005</v>
      </c>
      <c r="BD26" s="28">
        <f t="shared" si="14"/>
        <v>225745848.59</v>
      </c>
      <c r="BE26" s="28">
        <f t="shared" si="14"/>
        <v>908178339.4000001</v>
      </c>
      <c r="BF26" s="28">
        <f t="shared" si="14"/>
        <v>328491634.62</v>
      </c>
      <c r="BG26" s="28">
        <f t="shared" si="14"/>
        <v>-67065594.370000005</v>
      </c>
      <c r="BH26" s="28">
        <f t="shared" si="14"/>
        <v>-195789311.12</v>
      </c>
      <c r="BI26" s="28">
        <f t="shared" si="14"/>
        <v>875795082.80000007</v>
      </c>
      <c r="BJ26" s="28">
        <f t="shared" si="14"/>
        <v>389006729.27000004</v>
      </c>
      <c r="BK26" s="28">
        <f t="shared" si="14"/>
        <v>-71267162.820000008</v>
      </c>
      <c r="BL26" s="28">
        <f t="shared" si="14"/>
        <v>-15445838.750000002</v>
      </c>
      <c r="BM26" s="28">
        <f t="shared" si="14"/>
        <v>413654507.47000003</v>
      </c>
      <c r="BN26" s="28">
        <f t="shared" si="14"/>
        <v>-190738524.48000002</v>
      </c>
      <c r="BO26" s="28">
        <f t="shared" si="14"/>
        <v>20640123.68</v>
      </c>
      <c r="BP26" s="28">
        <f t="shared" si="14"/>
        <v>-86280877.689999998</v>
      </c>
      <c r="BQ26" s="28">
        <f t="shared" si="14"/>
        <v>429879161.68000001</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6" t="s">
        <v>751</v>
      </c>
      <c r="E27" s="26">
        <f>E26</f>
        <v>21031963351.389999</v>
      </c>
      <c r="F27" s="191">
        <f t="shared" ref="F27:BQ27" si="16">F26</f>
        <v>22786767198.189999</v>
      </c>
      <c r="G27" s="191">
        <f t="shared" si="16"/>
        <v>6376910289.1799994</v>
      </c>
      <c r="H27" s="191">
        <f t="shared" si="16"/>
        <v>6108975096.5600004</v>
      </c>
      <c r="I27" s="191">
        <f t="shared" si="16"/>
        <v>36502857609.5</v>
      </c>
      <c r="J27" s="191">
        <f t="shared" si="16"/>
        <v>32535332631.689999</v>
      </c>
      <c r="K27" s="191">
        <f t="shared" si="16"/>
        <v>13135059399.82</v>
      </c>
      <c r="L27" s="191">
        <f t="shared" si="16"/>
        <v>7436044334.9799995</v>
      </c>
      <c r="M27" s="191">
        <f t="shared" si="16"/>
        <v>16588751177.240002</v>
      </c>
      <c r="N27" s="191">
        <f t="shared" si="16"/>
        <v>11423393327.059999</v>
      </c>
      <c r="O27" s="191">
        <f t="shared" si="16"/>
        <v>4485712871.0799999</v>
      </c>
      <c r="P27" s="191">
        <f t="shared" si="16"/>
        <v>2111633649.4000001</v>
      </c>
      <c r="Q27" s="191">
        <f t="shared" si="16"/>
        <v>11790170146.74</v>
      </c>
      <c r="R27" s="191">
        <f t="shared" si="16"/>
        <v>7679397243.8699999</v>
      </c>
      <c r="S27" s="191">
        <f t="shared" si="16"/>
        <v>3921353148.25</v>
      </c>
      <c r="T27" s="191">
        <f t="shared" si="16"/>
        <v>173915705.72</v>
      </c>
      <c r="U27" s="191">
        <f t="shared" si="16"/>
        <v>12091734097.959999</v>
      </c>
      <c r="V27" s="191">
        <f t="shared" si="16"/>
        <v>9245117959.3099995</v>
      </c>
      <c r="W27" s="191">
        <f t="shared" si="16"/>
        <v>4949586443.3400002</v>
      </c>
      <c r="X27" s="191">
        <f t="shared" si="16"/>
        <v>790228914.26999998</v>
      </c>
      <c r="Y27" s="191">
        <f t="shared" si="16"/>
        <v>11483373817.84</v>
      </c>
      <c r="Z27" s="191">
        <f t="shared" si="16"/>
        <v>7561565324.8999996</v>
      </c>
      <c r="AA27" s="191">
        <f t="shared" si="16"/>
        <v>4249586669.5999999</v>
      </c>
      <c r="AB27" s="191">
        <f t="shared" si="16"/>
        <v>1339500999.5999999</v>
      </c>
      <c r="AC27" s="191">
        <f t="shared" si="16"/>
        <v>9803845339.2200012</v>
      </c>
      <c r="AD27" s="191">
        <f t="shared" si="16"/>
        <v>9026937978.2999992</v>
      </c>
      <c r="AE27" s="191">
        <f t="shared" si="16"/>
        <v>5164892007.6599998</v>
      </c>
      <c r="AF27" s="191">
        <f t="shared" si="16"/>
        <v>3411131919.8499999</v>
      </c>
      <c r="AG27" s="191">
        <f t="shared" si="16"/>
        <v>5918355771.6300001</v>
      </c>
      <c r="AH27" s="191">
        <f t="shared" si="16"/>
        <v>3964406933.9299998</v>
      </c>
      <c r="AI27" s="191">
        <f t="shared" si="16"/>
        <v>1632374835.79</v>
      </c>
      <c r="AJ27" s="191">
        <f t="shared" si="16"/>
        <v>824771903.73000002</v>
      </c>
      <c r="AK27" s="191">
        <f t="shared" si="16"/>
        <v>4016442797.8099999</v>
      </c>
      <c r="AL27" s="191">
        <f t="shared" si="16"/>
        <v>2077542093.22</v>
      </c>
      <c r="AM27" s="191">
        <f t="shared" si="16"/>
        <v>448230225.30999994</v>
      </c>
      <c r="AN27" s="191">
        <f t="shared" si="16"/>
        <v>-130764695.25</v>
      </c>
      <c r="AO27" s="191">
        <f t="shared" si="16"/>
        <v>5079145107.8999996</v>
      </c>
      <c r="AP27" s="191">
        <f t="shared" si="16"/>
        <v>3068605688.1700001</v>
      </c>
      <c r="AQ27" s="191">
        <f t="shared" si="16"/>
        <v>1414133729.6199999</v>
      </c>
      <c r="AR27" s="191">
        <f t="shared" si="16"/>
        <v>992687155.95000005</v>
      </c>
      <c r="AS27" s="191">
        <f t="shared" si="16"/>
        <v>1561780489.3500001</v>
      </c>
      <c r="AT27" s="191">
        <f t="shared" si="16"/>
        <v>1548259234.8800001</v>
      </c>
      <c r="AU27" s="191">
        <f t="shared" si="16"/>
        <v>626877237.88999999</v>
      </c>
      <c r="AV27" s="191">
        <f t="shared" si="16"/>
        <v>380543066.07999998</v>
      </c>
      <c r="AW27" s="191">
        <f t="shared" si="16"/>
        <v>2008481051.3600001</v>
      </c>
      <c r="AX27" s="191">
        <f t="shared" si="16"/>
        <v>1420634483.55</v>
      </c>
      <c r="AY27" s="191">
        <f t="shared" si="16"/>
        <v>549526227.43999994</v>
      </c>
      <c r="AZ27" s="191">
        <f t="shared" si="16"/>
        <v>199409580.04000002</v>
      </c>
      <c r="BA27" s="191">
        <f t="shared" si="16"/>
        <v>1616599797.26</v>
      </c>
      <c r="BB27" s="191">
        <f t="shared" si="16"/>
        <v>867048503.50999999</v>
      </c>
      <c r="BC27" s="191">
        <f t="shared" si="16"/>
        <v>400228303.07000005</v>
      </c>
      <c r="BD27" s="191">
        <f t="shared" si="16"/>
        <v>225745848.59</v>
      </c>
      <c r="BE27" s="191">
        <f t="shared" si="16"/>
        <v>908178339.4000001</v>
      </c>
      <c r="BF27" s="191">
        <f t="shared" si="16"/>
        <v>328491634.62</v>
      </c>
      <c r="BG27" s="191">
        <f t="shared" si="16"/>
        <v>-67065594.370000005</v>
      </c>
      <c r="BH27" s="191">
        <f t="shared" si="16"/>
        <v>-195789311.12</v>
      </c>
      <c r="BI27" s="191">
        <f t="shared" si="16"/>
        <v>875795082.80000007</v>
      </c>
      <c r="BJ27" s="191">
        <f t="shared" si="16"/>
        <v>389006729.27000004</v>
      </c>
      <c r="BK27" s="191">
        <f t="shared" si="16"/>
        <v>-71267162.820000008</v>
      </c>
      <c r="BL27" s="191">
        <f t="shared" si="16"/>
        <v>-15445838.750000002</v>
      </c>
      <c r="BM27" s="191">
        <f t="shared" si="16"/>
        <v>413654507.47000003</v>
      </c>
      <c r="BN27" s="191">
        <f t="shared" si="16"/>
        <v>-190738524.48000002</v>
      </c>
      <c r="BO27" s="191">
        <f t="shared" si="16"/>
        <v>20640123.68</v>
      </c>
      <c r="BP27" s="191">
        <f t="shared" si="16"/>
        <v>-86280877.689999998</v>
      </c>
      <c r="BQ27" s="191">
        <f t="shared" si="16"/>
        <v>429879161.68000001</v>
      </c>
      <c r="BR27" s="191">
        <f t="shared" ref="BR27:CL27" si="17">BR26</f>
        <v>0</v>
      </c>
      <c r="BS27" s="191">
        <f t="shared" si="17"/>
        <v>0</v>
      </c>
      <c r="BT27" s="191">
        <f t="shared" si="17"/>
        <v>0</v>
      </c>
      <c r="BU27" s="191">
        <f t="shared" si="17"/>
        <v>0</v>
      </c>
      <c r="BV27" s="191">
        <f t="shared" si="17"/>
        <v>0</v>
      </c>
      <c r="BW27" s="191">
        <f t="shared" si="17"/>
        <v>0</v>
      </c>
      <c r="BX27" s="191">
        <f t="shared" si="17"/>
        <v>0</v>
      </c>
      <c r="BY27" s="191">
        <f t="shared" si="17"/>
        <v>0</v>
      </c>
      <c r="BZ27" s="191">
        <f t="shared" si="17"/>
        <v>0</v>
      </c>
      <c r="CA27" s="191">
        <f t="shared" si="17"/>
        <v>0</v>
      </c>
      <c r="CB27" s="191">
        <f t="shared" si="17"/>
        <v>0</v>
      </c>
      <c r="CC27" s="191">
        <f t="shared" si="17"/>
        <v>0</v>
      </c>
      <c r="CD27" s="191">
        <f t="shared" si="17"/>
        <v>0</v>
      </c>
      <c r="CE27" s="191">
        <f t="shared" si="17"/>
        <v>0</v>
      </c>
      <c r="CF27" s="191">
        <f t="shared" si="17"/>
        <v>0</v>
      </c>
      <c r="CG27" s="191">
        <f t="shared" si="17"/>
        <v>0</v>
      </c>
      <c r="CH27" s="191">
        <f t="shared" si="17"/>
        <v>0</v>
      </c>
      <c r="CI27" s="191">
        <f t="shared" si="17"/>
        <v>0</v>
      </c>
      <c r="CJ27" s="191">
        <f t="shared" si="17"/>
        <v>0</v>
      </c>
      <c r="CK27" s="191">
        <f t="shared" si="17"/>
        <v>0</v>
      </c>
      <c r="CL27" s="191">
        <f t="shared" si="17"/>
        <v>0</v>
      </c>
    </row>
    <row r="28" spans="1:90" s="63" customFormat="1" x14ac:dyDescent="0.25">
      <c r="A28" s="17" t="s">
        <v>509</v>
      </c>
      <c r="E28" s="63">
        <f>(E27-I27)/I27</f>
        <v>-0.42382693496532298</v>
      </c>
      <c r="F28" s="63">
        <f t="shared" ref="F28:BQ28" si="18">(F27-J27)/J27</f>
        <v>-0.29963011424707925</v>
      </c>
      <c r="G28" s="63">
        <f t="shared" si="18"/>
        <v>-0.51451226103572956</v>
      </c>
      <c r="H28" s="63">
        <f t="shared" si="18"/>
        <v>-0.17846440642873984</v>
      </c>
      <c r="I28" s="63">
        <f t="shared" si="18"/>
        <v>1.2004584443693647</v>
      </c>
      <c r="J28" s="63">
        <f t="shared" si="18"/>
        <v>1.8481320479983425</v>
      </c>
      <c r="K28" s="63">
        <f t="shared" si="18"/>
        <v>1.9281988788233664</v>
      </c>
      <c r="L28" s="63">
        <f t="shared" si="18"/>
        <v>2.5214651637573966</v>
      </c>
      <c r="M28" s="63">
        <f t="shared" si="18"/>
        <v>0.40699845471075047</v>
      </c>
      <c r="N28" s="63">
        <f t="shared" si="18"/>
        <v>0.48753775384892428</v>
      </c>
      <c r="O28" s="63">
        <f t="shared" si="18"/>
        <v>0.14391963730220506</v>
      </c>
      <c r="P28" s="63">
        <f t="shared" si="18"/>
        <v>11.14170762012534</v>
      </c>
      <c r="Q28" s="63">
        <f t="shared" si="18"/>
        <v>-2.4939677698575614E-2</v>
      </c>
      <c r="R28" s="63">
        <f t="shared" si="18"/>
        <v>-0.16935648872530509</v>
      </c>
      <c r="S28" s="63">
        <f t="shared" si="18"/>
        <v>-0.20774125411498912</v>
      </c>
      <c r="T28" s="63">
        <f t="shared" si="18"/>
        <v>-0.77991730930187442</v>
      </c>
      <c r="U28" s="63">
        <f t="shared" si="18"/>
        <v>5.2977486387744389E-2</v>
      </c>
      <c r="V28" s="63">
        <f t="shared" si="18"/>
        <v>0.22264604775232363</v>
      </c>
      <c r="W28" s="63">
        <f t="shared" si="18"/>
        <v>0.16472184900887996</v>
      </c>
      <c r="X28" s="63">
        <f t="shared" si="18"/>
        <v>-0.41005724183410303</v>
      </c>
      <c r="Y28" s="63">
        <f t="shared" si="18"/>
        <v>0.17131323684810629</v>
      </c>
      <c r="Z28" s="63">
        <f t="shared" si="18"/>
        <v>-0.16233330249112515</v>
      </c>
      <c r="AA28" s="63">
        <f t="shared" si="18"/>
        <v>-0.17721674271262974</v>
      </c>
      <c r="AB28" s="63">
        <f t="shared" si="18"/>
        <v>-0.60731480603104238</v>
      </c>
      <c r="AC28" s="63">
        <f t="shared" si="18"/>
        <v>0.65651503855434523</v>
      </c>
      <c r="AD28" s="63">
        <f t="shared" si="18"/>
        <v>1.2769958101529717</v>
      </c>
      <c r="AE28" s="63">
        <f t="shared" si="18"/>
        <v>2.1640355477303177</v>
      </c>
      <c r="AF28" s="63">
        <f t="shared" si="18"/>
        <v>3.1358488382342848</v>
      </c>
      <c r="AG28" s="63">
        <f t="shared" si="18"/>
        <v>0.47353169696753422</v>
      </c>
      <c r="AH28" s="63">
        <f t="shared" si="18"/>
        <v>0.9082197885990998</v>
      </c>
      <c r="AI28" s="63">
        <f t="shared" si="18"/>
        <v>2.6418223127658007</v>
      </c>
      <c r="AJ28" s="63">
        <f t="shared" si="18"/>
        <v>-7.3072980222465667</v>
      </c>
      <c r="AK28" s="63">
        <f t="shared" si="18"/>
        <v>-0.20922857833636097</v>
      </c>
      <c r="AL28" s="63">
        <f t="shared" si="18"/>
        <v>-0.32296870163889735</v>
      </c>
      <c r="AM28" s="63">
        <f t="shared" si="18"/>
        <v>-0.68303547541402154</v>
      </c>
      <c r="AN28" s="63">
        <f t="shared" si="18"/>
        <v>-1.1317280015825917</v>
      </c>
      <c r="AO28" s="63">
        <f t="shared" si="18"/>
        <v>2.2521504414579394</v>
      </c>
      <c r="AP28" s="63">
        <f t="shared" si="18"/>
        <v>0.98197150647568165</v>
      </c>
      <c r="AQ28" s="63">
        <f t="shared" si="18"/>
        <v>1.2558383749581001</v>
      </c>
      <c r="AR28" s="63">
        <f t="shared" si="18"/>
        <v>1.6086066057535564</v>
      </c>
      <c r="AS28" s="63">
        <f t="shared" si="18"/>
        <v>-0.22240715774118269</v>
      </c>
      <c r="AT28" s="63">
        <f t="shared" si="18"/>
        <v>8.9836444777182084E-2</v>
      </c>
      <c r="AU28" s="63">
        <f t="shared" si="18"/>
        <v>0.14075945166501744</v>
      </c>
      <c r="AV28" s="63">
        <f t="shared" si="18"/>
        <v>0.90834896700382195</v>
      </c>
      <c r="AW28" s="63">
        <f t="shared" si="18"/>
        <v>0.24241080245352359</v>
      </c>
      <c r="AX28" s="63">
        <f t="shared" si="18"/>
        <v>0.63847175538503798</v>
      </c>
      <c r="AY28" s="63">
        <f t="shared" si="18"/>
        <v>0.37303190010499493</v>
      </c>
      <c r="AZ28" s="63">
        <f t="shared" si="18"/>
        <v>-0.1166633571093126</v>
      </c>
      <c r="BA28" s="63">
        <f t="shared" si="18"/>
        <v>0.78004663525451157</v>
      </c>
      <c r="BB28" s="63">
        <f t="shared" si="18"/>
        <v>1.6394842733605803</v>
      </c>
      <c r="BC28" s="63">
        <f t="shared" si="18"/>
        <v>-6.967714247963654</v>
      </c>
      <c r="BD28" s="63">
        <f t="shared" si="18"/>
        <v>-2.1530039474506326</v>
      </c>
      <c r="BE28" s="63">
        <f t="shared" si="18"/>
        <v>3.6975837425882403E-2</v>
      </c>
      <c r="BF28" s="63">
        <f t="shared" si="18"/>
        <v>-0.15556310494566788</v>
      </c>
      <c r="BG28" s="63">
        <f t="shared" si="18"/>
        <v>-5.8955180531206706E-2</v>
      </c>
      <c r="BH28" s="63">
        <f t="shared" si="18"/>
        <v>11.67586139470736</v>
      </c>
      <c r="BI28" s="63">
        <f t="shared" si="18"/>
        <v>1.1172139236595082</v>
      </c>
      <c r="BJ28" s="63">
        <f t="shared" si="18"/>
        <v>-3.0394764525442759</v>
      </c>
      <c r="BK28" s="63">
        <f t="shared" si="18"/>
        <v>-4.4528457253895679</v>
      </c>
      <c r="BL28" s="63">
        <f t="shared" si="18"/>
        <v>-0.82098190046819397</v>
      </c>
      <c r="BM28" s="63">
        <f t="shared" si="18"/>
        <v>-3.7742360310262103E-2</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736</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0.1170644879944871</v>
      </c>
      <c r="F31" s="112"/>
      <c r="G31" s="112"/>
      <c r="H31" s="112"/>
      <c r="I31" s="112">
        <f>POWER(E27/Y27,1/6)-1</f>
        <v>0.10611866026098071</v>
      </c>
      <c r="M31" s="112">
        <f>POWER(E27/AC27,1/7)-1</f>
        <v>0.1152051502400806</v>
      </c>
      <c r="Q31" s="115" t="s">
        <v>602</v>
      </c>
      <c r="R31" s="115"/>
      <c r="S31" s="115"/>
      <c r="T31" s="115"/>
      <c r="U31" s="115">
        <f>POWER(E14/U14,1/5)-1</f>
        <v>0.11849500882365205</v>
      </c>
      <c r="V31" s="115"/>
      <c r="W31" s="115"/>
      <c r="X31" s="115"/>
      <c r="Y31" s="115">
        <f>POWER(E14/Y14,1/6)-1</f>
        <v>0.10879572255434677</v>
      </c>
      <c r="Z31" s="115"/>
      <c r="AA31" s="115"/>
      <c r="AB31" s="115"/>
      <c r="AC31" s="115">
        <f>POWER(E14/AC14,1/7)-1</f>
        <v>0.11797646597056022</v>
      </c>
    </row>
    <row r="32" spans="1:90" s="66" customFormat="1" x14ac:dyDescent="0.25">
      <c r="A32" s="46" t="s">
        <v>511</v>
      </c>
      <c r="E32" s="66">
        <v>0.17</v>
      </c>
    </row>
    <row r="39" spans="1:13" ht="43.2" x14ac:dyDescent="0.25">
      <c r="A39" s="67" t="s">
        <v>512</v>
      </c>
    </row>
    <row r="41" spans="1:13" ht="111" customHeight="1" x14ac:dyDescent="0.25">
      <c r="A41" s="278" t="s">
        <v>735</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4" sqref="B4"/>
    </sheetView>
  </sheetViews>
  <sheetFormatPr defaultRowHeight="14.4" x14ac:dyDescent="0.25"/>
  <cols>
    <col min="1" max="1" width="43.5546875" style="17" bestFit="1" customWidth="1"/>
    <col min="2" max="2" width="26.33203125" style="26" bestFit="1" customWidth="1"/>
    <col min="3" max="3" width="38" bestFit="1" customWidth="1"/>
    <col min="4" max="4" width="23.88671875" bestFit="1" customWidth="1"/>
    <col min="5" max="8" width="20.44140625" bestFit="1" customWidth="1"/>
    <col min="9" max="9" width="21.5546875" bestFit="1" customWidth="1"/>
    <col min="10" max="11" width="20.44140625" bestFit="1" customWidth="1"/>
    <col min="12" max="12" width="40.21875" bestFit="1" customWidth="1"/>
    <col min="13" max="16" width="20.44140625" bestFit="1" customWidth="1"/>
    <col min="17" max="19" width="21.5546875" bestFit="1" customWidth="1"/>
    <col min="20" max="74" width="9.44140625" bestFit="1" customWidth="1"/>
  </cols>
  <sheetData>
    <row r="1" spans="1:10" ht="16.2" customHeight="1" x14ac:dyDescent="0.25">
      <c r="A1" s="68" t="s">
        <v>513</v>
      </c>
      <c r="B1" s="69">
        <f>自由现金流分析表!E1</f>
        <v>43100</v>
      </c>
      <c r="C1" s="189" t="s">
        <v>749</v>
      </c>
      <c r="D1" s="272">
        <v>0.08</v>
      </c>
      <c r="E1" s="260" t="s">
        <v>750</v>
      </c>
      <c r="F1" s="63">
        <f>平均资本成本表!E13</f>
        <v>7.2128472510813904E-2</v>
      </c>
    </row>
    <row r="2" spans="1:10" x14ac:dyDescent="0.25">
      <c r="A2" s="70" t="s">
        <v>514</v>
      </c>
      <c r="B2" s="71">
        <f>(自由现金流分析表!E27+自由现金流分析表!I27+自由现金流分析表!M27)/3</f>
        <v>24707857379.376667</v>
      </c>
      <c r="C2" t="s">
        <v>547</v>
      </c>
      <c r="D2" s="63"/>
      <c r="E2" s="63"/>
      <c r="F2" s="56"/>
    </row>
    <row r="3" spans="1:10" s="63" customFormat="1" x14ac:dyDescent="0.25">
      <c r="A3" s="72" t="s">
        <v>515</v>
      </c>
      <c r="B3" s="98">
        <v>0.04</v>
      </c>
      <c r="D3" s="188"/>
      <c r="E3" s="188"/>
      <c r="F3" s="258"/>
    </row>
    <row r="4" spans="1:10" s="63" customFormat="1" x14ac:dyDescent="0.25">
      <c r="A4" s="72" t="s">
        <v>516</v>
      </c>
      <c r="B4" s="98">
        <f>F1</f>
        <v>7.2128472510813904E-2</v>
      </c>
      <c r="D4" s="188"/>
      <c r="E4" s="188"/>
      <c r="F4" s="259"/>
    </row>
    <row r="5" spans="1:10" x14ac:dyDescent="0.25">
      <c r="A5" s="70" t="s">
        <v>517</v>
      </c>
      <c r="B5" s="71">
        <f>B2*(1+B3)/(B4-B3)</f>
        <v>799794377585.26599</v>
      </c>
      <c r="D5" s="63"/>
      <c r="E5" s="63"/>
    </row>
    <row r="6" spans="1:10" x14ac:dyDescent="0.25">
      <c r="A6" s="70" t="s">
        <v>518</v>
      </c>
      <c r="B6" s="71">
        <f>资产资本表!E17</f>
        <v>88172478529.229996</v>
      </c>
      <c r="D6" s="188"/>
      <c r="E6" s="188"/>
      <c r="F6" s="188"/>
      <c r="G6" s="188"/>
    </row>
    <row r="7" spans="1:10" x14ac:dyDescent="0.25">
      <c r="A7" s="70" t="s">
        <v>519</v>
      </c>
      <c r="B7" s="71">
        <f>资产资本表!E19</f>
        <v>0</v>
      </c>
      <c r="D7" s="188"/>
      <c r="E7" s="188"/>
      <c r="F7" s="188"/>
      <c r="G7" s="188"/>
    </row>
    <row r="8" spans="1:10" x14ac:dyDescent="0.25">
      <c r="A8" s="70" t="s">
        <v>520</v>
      </c>
      <c r="B8" s="195">
        <f>资产资本表!E89</f>
        <v>23414593.670000002</v>
      </c>
      <c r="C8" s="270" t="s">
        <v>747</v>
      </c>
      <c r="D8" s="271">
        <f>B2/B4</f>
        <v>342553453848.23346</v>
      </c>
      <c r="E8" s="63"/>
      <c r="F8" s="188"/>
      <c r="G8" s="188"/>
    </row>
    <row r="9" spans="1:10" x14ac:dyDescent="0.25">
      <c r="A9" s="70" t="s">
        <v>521</v>
      </c>
      <c r="B9" s="195">
        <f>B5+B6+B7-B8</f>
        <v>887943441520.82593</v>
      </c>
      <c r="C9" s="270" t="s">
        <v>748</v>
      </c>
      <c r="D9" s="271">
        <f>(D8+资产资本结构分析表!$E$2+资产资本结构分析表!$E$3)/B55</f>
        <v>342.88066129192669</v>
      </c>
      <c r="E9" s="188"/>
      <c r="F9" s="188"/>
      <c r="G9" s="188"/>
    </row>
    <row r="10" spans="1:10" x14ac:dyDescent="0.25">
      <c r="A10" s="70" t="s">
        <v>522</v>
      </c>
      <c r="B10" s="73">
        <f>资产资本表!E103/资产资本表!E107</f>
        <v>4.7574696614039264E-2</v>
      </c>
      <c r="D10" s="188"/>
      <c r="E10" s="188"/>
      <c r="F10" s="188"/>
      <c r="G10" s="188"/>
    </row>
    <row r="11" spans="1:10" x14ac:dyDescent="0.25">
      <c r="A11" s="70" t="s">
        <v>548</v>
      </c>
      <c r="B11" s="195">
        <f>B9*(1-B10)</f>
        <v>845699801680.04675</v>
      </c>
      <c r="C11" s="267" t="s">
        <v>744</v>
      </c>
      <c r="D11" s="268">
        <f>资产资本结构分析表!E2</f>
        <v>88172478529.229996</v>
      </c>
      <c r="E11" s="63"/>
      <c r="F11" s="188"/>
      <c r="G11" s="188"/>
    </row>
    <row r="12" spans="1:10" x14ac:dyDescent="0.25">
      <c r="A12" s="70" t="s">
        <v>523</v>
      </c>
      <c r="B12" s="266">
        <f>B55</f>
        <v>1256197800</v>
      </c>
      <c r="C12" s="267" t="s">
        <v>745</v>
      </c>
      <c r="D12" s="269">
        <f>D11/B55</f>
        <v>70.189964135608264</v>
      </c>
      <c r="E12" s="188"/>
      <c r="F12" s="188"/>
      <c r="G12" s="188"/>
    </row>
    <row r="13" spans="1:10" ht="15" thickBot="1" x14ac:dyDescent="0.3">
      <c r="A13" s="74" t="s">
        <v>524</v>
      </c>
      <c r="B13" s="75">
        <f>B11/B12</f>
        <v>673.22184585902539</v>
      </c>
      <c r="D13" s="188"/>
      <c r="E13" s="188"/>
    </row>
    <row r="14" spans="1:10" s="16" customFormat="1" ht="53.25" customHeight="1" x14ac:dyDescent="0.25">
      <c r="A14" s="278" t="s">
        <v>737</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540</v>
      </c>
      <c r="D17" s="90">
        <v>0.1</v>
      </c>
      <c r="E17" s="90"/>
      <c r="F17" s="90"/>
      <c r="G17" s="90"/>
      <c r="H17" s="90" t="s">
        <v>541</v>
      </c>
      <c r="I17" s="90">
        <v>0.04</v>
      </c>
      <c r="J17" s="78"/>
    </row>
    <row r="18" spans="1:10" s="2" customFormat="1" x14ac:dyDescent="0.25">
      <c r="A18" s="299" t="s">
        <v>525</v>
      </c>
      <c r="B18" s="299"/>
      <c r="C18" s="65" t="s">
        <v>539</v>
      </c>
      <c r="D18" s="97">
        <v>1</v>
      </c>
      <c r="E18" s="97">
        <v>2</v>
      </c>
      <c r="F18" s="97">
        <v>3</v>
      </c>
      <c r="G18" s="97">
        <v>4</v>
      </c>
      <c r="H18" s="97">
        <v>5</v>
      </c>
      <c r="I18" s="96">
        <v>6</v>
      </c>
      <c r="J18" s="80"/>
    </row>
    <row r="19" spans="1:10" s="26" customFormat="1" x14ac:dyDescent="0.25">
      <c r="A19" s="99" t="s">
        <v>526</v>
      </c>
      <c r="B19" s="94"/>
      <c r="C19" s="89">
        <f>B2</f>
        <v>24707857379.376667</v>
      </c>
      <c r="D19" s="89">
        <f>C19*(1+$D$17)</f>
        <v>27178643117.314335</v>
      </c>
      <c r="E19" s="89">
        <f>D19*(1+$D$17)</f>
        <v>29896507429.045773</v>
      </c>
      <c r="F19" s="89">
        <f>E19*(1+$D$17)</f>
        <v>32886158171.950352</v>
      </c>
      <c r="G19" s="89">
        <f>F19*(1+$D$17)</f>
        <v>36174773989.145393</v>
      </c>
      <c r="H19" s="89">
        <f>G19*(1+$D$17)</f>
        <v>39792251388.059937</v>
      </c>
      <c r="I19" s="89">
        <f>H19*(1+I17)</f>
        <v>41383941443.582336</v>
      </c>
      <c r="J19" s="76"/>
    </row>
    <row r="20" spans="1:10" s="26" customFormat="1" x14ac:dyDescent="0.25">
      <c r="A20" s="99" t="s">
        <v>527</v>
      </c>
      <c r="B20" s="95">
        <f>B4</f>
        <v>7.2128472510813904E-2</v>
      </c>
      <c r="C20" s="89"/>
      <c r="D20" s="89">
        <f t="shared" ref="D20:I20" si="0">(1+$B$20)^D18</f>
        <v>1.072128472510814</v>
      </c>
      <c r="E20" s="89">
        <f t="shared" si="0"/>
        <v>1.1494594615683713</v>
      </c>
      <c r="F20" s="89">
        <f t="shared" si="0"/>
        <v>1.2323682167444006</v>
      </c>
      <c r="G20" s="89">
        <f t="shared" si="0"/>
        <v>1.32125705378905</v>
      </c>
      <c r="H20" s="89">
        <f t="shared" si="0"/>
        <v>1.4165573068729926</v>
      </c>
      <c r="I20" s="89">
        <f t="shared" si="0"/>
        <v>1.518731421641774</v>
      </c>
      <c r="J20" s="76"/>
    </row>
    <row r="21" spans="1:10" s="26" customFormat="1" x14ac:dyDescent="0.25">
      <c r="A21" s="300" t="s">
        <v>528</v>
      </c>
      <c r="B21" s="300"/>
      <c r="C21" s="89"/>
      <c r="D21" s="89">
        <f>D19/D20</f>
        <v>25350173803.018929</v>
      </c>
      <c r="E21" s="89">
        <f>E19/E20</f>
        <v>26009188169.414612</v>
      </c>
      <c r="F21" s="89">
        <f>F19/F20</f>
        <v>26685334565.692638</v>
      </c>
      <c r="G21" s="89">
        <f>G19/G20</f>
        <v>27379058363.703545</v>
      </c>
      <c r="H21" s="89">
        <f>H19/H20</f>
        <v>28090816513.382099</v>
      </c>
      <c r="I21" s="89">
        <f>I19/((B20-I17)*I20)</f>
        <v>848126814715.1488</v>
      </c>
      <c r="J21" s="76"/>
    </row>
    <row r="22" spans="1:10" s="26" customFormat="1" x14ac:dyDescent="0.25">
      <c r="A22" s="300" t="s">
        <v>546</v>
      </c>
      <c r="B22" s="300"/>
      <c r="C22" s="89"/>
      <c r="D22" s="296">
        <f>SUM(D21:H21)</f>
        <v>133514571415.21181</v>
      </c>
      <c r="E22" s="297"/>
      <c r="F22" s="297"/>
      <c r="G22" s="297"/>
      <c r="H22" s="298"/>
      <c r="I22" s="89">
        <f>I21</f>
        <v>848126814715.1488</v>
      </c>
      <c r="J22" s="76"/>
    </row>
    <row r="23" spans="1:10" x14ac:dyDescent="0.25">
      <c r="A23" s="92" t="s">
        <v>529</v>
      </c>
      <c r="B23" s="76">
        <f>D22+I22</f>
        <v>981641386130.3606</v>
      </c>
      <c r="C23" s="77"/>
      <c r="D23" s="77"/>
      <c r="E23" s="77"/>
      <c r="F23" s="77"/>
      <c r="G23" s="77"/>
      <c r="H23" s="77"/>
      <c r="I23" s="79"/>
      <c r="J23" s="77"/>
    </row>
    <row r="24" spans="1:10" x14ac:dyDescent="0.25">
      <c r="A24" s="92" t="s">
        <v>530</v>
      </c>
      <c r="B24" s="76">
        <f>B23</f>
        <v>981641386130.3606</v>
      </c>
      <c r="C24" s="77"/>
      <c r="D24" s="77"/>
      <c r="E24" s="77"/>
      <c r="F24" s="77"/>
      <c r="G24" s="77"/>
      <c r="H24" s="77"/>
      <c r="I24" s="79"/>
      <c r="J24" s="77"/>
    </row>
    <row r="25" spans="1:10" x14ac:dyDescent="0.25">
      <c r="A25" s="70" t="s">
        <v>531</v>
      </c>
      <c r="B25" s="71">
        <f>资产资本表!E17</f>
        <v>88172478529.229996</v>
      </c>
      <c r="C25" s="77"/>
      <c r="D25" s="77"/>
      <c r="E25" s="77"/>
      <c r="F25" s="77"/>
      <c r="G25" s="77"/>
      <c r="H25" s="77"/>
      <c r="I25" s="79"/>
      <c r="J25" s="77"/>
    </row>
    <row r="26" spans="1:10" x14ac:dyDescent="0.25">
      <c r="A26" s="70" t="s">
        <v>532</v>
      </c>
      <c r="B26" s="71">
        <f>资产资本表!E19</f>
        <v>0</v>
      </c>
      <c r="C26" s="77"/>
      <c r="D26" s="77"/>
      <c r="E26" s="77"/>
      <c r="F26" s="77"/>
      <c r="G26" s="77"/>
      <c r="H26" s="77"/>
      <c r="I26" s="79"/>
      <c r="J26" s="77"/>
    </row>
    <row r="27" spans="1:10" x14ac:dyDescent="0.25">
      <c r="A27" s="70" t="s">
        <v>533</v>
      </c>
      <c r="B27" s="71">
        <f>资产资本表!E89</f>
        <v>23414593.670000002</v>
      </c>
      <c r="C27" s="77"/>
      <c r="D27" s="77"/>
      <c r="E27" s="77"/>
      <c r="F27" s="77"/>
      <c r="G27" s="77"/>
      <c r="H27" s="77"/>
      <c r="I27" s="79"/>
      <c r="J27" s="77"/>
    </row>
    <row r="28" spans="1:10" s="2" customFormat="1" x14ac:dyDescent="0.25">
      <c r="A28" s="82" t="s">
        <v>534</v>
      </c>
      <c r="B28" s="83">
        <f>B24+B25+B26-B27</f>
        <v>1069790450065.9205</v>
      </c>
      <c r="C28" s="80"/>
      <c r="D28" s="80"/>
      <c r="E28" s="80"/>
      <c r="F28" s="80"/>
      <c r="G28" s="80"/>
      <c r="H28" s="80"/>
      <c r="I28" s="81"/>
      <c r="J28" s="80"/>
    </row>
    <row r="29" spans="1:10" x14ac:dyDescent="0.25">
      <c r="A29" s="70" t="s">
        <v>535</v>
      </c>
      <c r="B29" s="78">
        <f>资产资本表!E103/资产资本表!E107</f>
        <v>4.7574696614039264E-2</v>
      </c>
      <c r="C29" s="301" t="s">
        <v>542</v>
      </c>
      <c r="D29" s="301"/>
      <c r="E29" s="301"/>
      <c r="F29" s="77"/>
      <c r="G29" s="77"/>
      <c r="H29" s="77"/>
      <c r="I29" s="79"/>
      <c r="J29" s="77"/>
    </row>
    <row r="30" spans="1:10" s="2" customFormat="1" x14ac:dyDescent="0.25">
      <c r="A30" s="82" t="s">
        <v>536</v>
      </c>
      <c r="B30" s="83">
        <f>B28*(1-B29)</f>
        <v>1018895493963.4379</v>
      </c>
      <c r="C30" s="91">
        <v>0.4</v>
      </c>
      <c r="D30" s="91">
        <v>0.3</v>
      </c>
      <c r="E30" s="91">
        <v>0.2</v>
      </c>
      <c r="F30" s="80"/>
      <c r="G30" s="80"/>
      <c r="H30" s="80"/>
      <c r="I30" s="81"/>
      <c r="J30" s="80"/>
    </row>
    <row r="31" spans="1:10" x14ac:dyDescent="0.25">
      <c r="A31" s="70" t="s">
        <v>746</v>
      </c>
      <c r="B31" s="101">
        <f>B55</f>
        <v>1256197800</v>
      </c>
      <c r="C31" s="213">
        <f>$B$32*(1-C30)</f>
        <v>486.65687551599171</v>
      </c>
      <c r="D31" s="213">
        <f>$B$32*(1-D30)</f>
        <v>567.76635476865704</v>
      </c>
      <c r="E31" s="213">
        <f>$B$32*(1-E30)</f>
        <v>648.87583402132236</v>
      </c>
      <c r="F31" s="77"/>
      <c r="G31" s="77"/>
      <c r="H31" s="77"/>
      <c r="I31" s="79"/>
      <c r="J31" s="77"/>
    </row>
    <row r="32" spans="1:10" s="2" customFormat="1" ht="15" thickBot="1" x14ac:dyDescent="0.3">
      <c r="A32" s="84" t="s">
        <v>537</v>
      </c>
      <c r="B32" s="85">
        <f>B30/B31</f>
        <v>811.0947925266529</v>
      </c>
      <c r="C32" s="86"/>
      <c r="D32" s="86"/>
      <c r="E32" s="86"/>
      <c r="F32" s="86"/>
      <c r="G32" s="86"/>
      <c r="H32" s="86"/>
      <c r="I32" s="87"/>
      <c r="J32" s="80"/>
    </row>
    <row r="33" spans="1:19" ht="63" customHeight="1" x14ac:dyDescent="0.25">
      <c r="A33" s="302" t="s">
        <v>738</v>
      </c>
      <c r="B33" s="303"/>
      <c r="C33" s="303"/>
      <c r="D33" s="303"/>
      <c r="E33" s="303"/>
      <c r="F33" s="303"/>
      <c r="G33" s="303"/>
      <c r="H33" s="303"/>
      <c r="I33" s="303"/>
    </row>
    <row r="37" spans="1:19" s="63" customFormat="1" x14ac:dyDescent="0.25">
      <c r="A37" s="202"/>
      <c r="B37" s="202"/>
      <c r="C37" s="212" t="s">
        <v>540</v>
      </c>
      <c r="D37" s="212">
        <v>0.15</v>
      </c>
      <c r="E37" s="212"/>
      <c r="F37" s="212"/>
      <c r="G37" s="212"/>
      <c r="H37" s="212" t="s">
        <v>635</v>
      </c>
      <c r="I37" s="212">
        <v>0.09</v>
      </c>
      <c r="J37" s="212"/>
      <c r="K37" s="212"/>
      <c r="L37" s="212"/>
      <c r="M37" s="212"/>
      <c r="N37" s="212"/>
      <c r="O37" s="212"/>
      <c r="P37" s="212"/>
      <c r="Q37" s="212"/>
      <c r="R37" s="212" t="s">
        <v>545</v>
      </c>
      <c r="S37" s="212">
        <v>0.02</v>
      </c>
    </row>
    <row r="38" spans="1:19" s="24" customFormat="1" x14ac:dyDescent="0.25">
      <c r="A38" s="310" t="s">
        <v>543</v>
      </c>
      <c r="B38" s="311"/>
      <c r="C38" s="214" t="s">
        <v>539</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9" t="s">
        <v>526</v>
      </c>
      <c r="B39" s="94"/>
      <c r="C39" s="89">
        <f>B2</f>
        <v>24707857379.376667</v>
      </c>
      <c r="D39" s="89">
        <f>$C$39*(1+$D$37)^D38</f>
        <v>28414035986.283165</v>
      </c>
      <c r="E39" s="89">
        <f>$C$39*(1+$D$37)^E38</f>
        <v>32676141384.225636</v>
      </c>
      <c r="F39" s="89">
        <f>$C$39*(1+$D$37)^F38</f>
        <v>37577562591.859474</v>
      </c>
      <c r="G39" s="89">
        <f>$C$39*(1+$D$37)^G38</f>
        <v>43214196980.638397</v>
      </c>
      <c r="H39" s="89">
        <f>$C$39*(1+$D$37)^H38</f>
        <v>49696326527.734161</v>
      </c>
      <c r="I39" s="89">
        <f>H39*(1+$I$37)</f>
        <v>54168995915.23024</v>
      </c>
      <c r="J39" s="89">
        <f t="shared" ref="J39:N39" si="1">I39*(1+$I$37)</f>
        <v>59044205547.600967</v>
      </c>
      <c r="K39" s="89">
        <f t="shared" si="1"/>
        <v>64358184046.885056</v>
      </c>
      <c r="L39" s="89">
        <f t="shared" si="1"/>
        <v>70150420611.104721</v>
      </c>
      <c r="M39" s="89">
        <f t="shared" si="1"/>
        <v>76463958466.104156</v>
      </c>
      <c r="N39" s="89">
        <f t="shared" si="1"/>
        <v>83345714728.053543</v>
      </c>
      <c r="O39" s="89">
        <f t="shared" ref="O39" si="2">N39*(1+$I$37)</f>
        <v>90846829053.578369</v>
      </c>
      <c r="P39" s="89">
        <f t="shared" ref="P39" si="3">O39*(1+$I$37)</f>
        <v>99023043668.400436</v>
      </c>
      <c r="Q39" s="89">
        <f t="shared" ref="Q39" si="4">P39*(1+$I$37)</f>
        <v>107935117598.55649</v>
      </c>
      <c r="R39" s="89">
        <f t="shared" ref="R39" si="5">Q39*(1+$I$37)</f>
        <v>117649278182.42657</v>
      </c>
      <c r="S39" s="89">
        <f>R39*(1+S37)</f>
        <v>120002263746.0751</v>
      </c>
    </row>
    <row r="40" spans="1:19" s="23" customFormat="1" x14ac:dyDescent="0.25">
      <c r="A40" s="208" t="s">
        <v>527</v>
      </c>
      <c r="B40" s="207">
        <f>B4</f>
        <v>7.2128472510813904E-2</v>
      </c>
      <c r="C40" s="213"/>
      <c r="D40" s="213">
        <f>(1+$B$40)^D38</f>
        <v>1.072128472510814</v>
      </c>
      <c r="E40" s="213">
        <f t="shared" ref="E40:R40" si="6">(1+$B$40)^E38</f>
        <v>1.1494594615683713</v>
      </c>
      <c r="F40" s="213">
        <f t="shared" si="6"/>
        <v>1.2323682167444006</v>
      </c>
      <c r="G40" s="213">
        <f t="shared" si="6"/>
        <v>1.32125705378905</v>
      </c>
      <c r="H40" s="213">
        <f t="shared" si="6"/>
        <v>1.4165573068729926</v>
      </c>
      <c r="I40" s="213">
        <f t="shared" si="6"/>
        <v>1.518731421641774</v>
      </c>
      <c r="J40" s="213">
        <f t="shared" si="6"/>
        <v>1.6282751992389721</v>
      </c>
      <c r="K40" s="213">
        <f t="shared" si="6"/>
        <v>1.7457202021873206</v>
      </c>
      <c r="L40" s="213">
        <f t="shared" si="6"/>
        <v>1.8716363338023614</v>
      </c>
      <c r="M40" s="213">
        <f t="shared" si="6"/>
        <v>2.0066346036552658</v>
      </c>
      <c r="N40" s="213">
        <f t="shared" si="6"/>
        <v>2.1513700925042625</v>
      </c>
      <c r="O40" s="213">
        <f t="shared" si="6"/>
        <v>2.3065451310820437</v>
      </c>
      <c r="P40" s="213">
        <f t="shared" si="6"/>
        <v>2.4729127081642472</v>
      </c>
      <c r="Q40" s="213">
        <f t="shared" si="6"/>
        <v>2.6512801244567146</v>
      </c>
      <c r="R40" s="213">
        <f t="shared" si="6"/>
        <v>2.8425129100320583</v>
      </c>
      <c r="S40" s="181">
        <f>(1+$B$40)^S38</f>
        <v>3.0475390243249394</v>
      </c>
    </row>
    <row r="41" spans="1:19" s="191" customFormat="1" x14ac:dyDescent="0.25">
      <c r="A41" s="312" t="s">
        <v>528</v>
      </c>
      <c r="B41" s="313"/>
      <c r="C41" s="89"/>
      <c r="D41" s="89">
        <f t="shared" ref="D41:R41" si="7">D39/D40</f>
        <v>26502454430.428875</v>
      </c>
      <c r="E41" s="89">
        <f t="shared" si="7"/>
        <v>28427397813.265133</v>
      </c>
      <c r="F41" s="89">
        <f t="shared" si="7"/>
        <v>30492154926.820263</v>
      </c>
      <c r="G41" s="89">
        <f t="shared" si="7"/>
        <v>32706880812.26162</v>
      </c>
      <c r="H41" s="89">
        <f t="shared" si="7"/>
        <v>35082468098.263741</v>
      </c>
      <c r="I41" s="89">
        <f t="shared" si="7"/>
        <v>35667264891.821793</v>
      </c>
      <c r="J41" s="89">
        <f t="shared" si="7"/>
        <v>36261809782.03022</v>
      </c>
      <c r="K41" s="89">
        <f t="shared" si="7"/>
        <v>36866265261.894035</v>
      </c>
      <c r="L41" s="89">
        <f t="shared" si="7"/>
        <v>37480796533.047203</v>
      </c>
      <c r="M41" s="89">
        <f t="shared" si="7"/>
        <v>38105571550.903267</v>
      </c>
      <c r="N41" s="89">
        <f t="shared" si="7"/>
        <v>38740761070.558769</v>
      </c>
      <c r="O41" s="89">
        <f t="shared" si="7"/>
        <v>39386538693.461601</v>
      </c>
      <c r="P41" s="89">
        <f t="shared" si="7"/>
        <v>40043080914.857536</v>
      </c>
      <c r="Q41" s="89">
        <f t="shared" si="7"/>
        <v>40710567172.027489</v>
      </c>
      <c r="R41" s="89">
        <f t="shared" si="7"/>
        <v>41389179893.328857</v>
      </c>
      <c r="S41" s="89">
        <f>S39/((B40-S37)*S40)</f>
        <v>755379446901.55994</v>
      </c>
    </row>
    <row r="42" spans="1:19" s="23" customFormat="1" x14ac:dyDescent="0.25">
      <c r="A42" s="314" t="s">
        <v>546</v>
      </c>
      <c r="B42" s="315"/>
      <c r="C42" s="213"/>
      <c r="D42" s="307">
        <f>SUM(D41:H41)</f>
        <v>153211356081.03961</v>
      </c>
      <c r="E42" s="308"/>
      <c r="F42" s="308"/>
      <c r="G42" s="308"/>
      <c r="H42" s="309"/>
      <c r="I42" s="307">
        <f>SUM(I41:R41)</f>
        <v>384651835763.93079</v>
      </c>
      <c r="J42" s="308"/>
      <c r="K42" s="308"/>
      <c r="L42" s="308"/>
      <c r="M42" s="308"/>
      <c r="N42" s="308"/>
      <c r="O42" s="308"/>
      <c r="P42" s="308"/>
      <c r="Q42" s="308"/>
      <c r="R42" s="309"/>
      <c r="S42" s="213">
        <f>S41</f>
        <v>755379446901.55994</v>
      </c>
    </row>
    <row r="43" spans="1:19" x14ac:dyDescent="0.25">
      <c r="A43" s="204" t="s">
        <v>544</v>
      </c>
      <c r="B43" s="195">
        <f>D42+I42+S42</f>
        <v>1293242638746.5303</v>
      </c>
      <c r="C43" s="196"/>
      <c r="D43" s="196"/>
      <c r="E43" s="196"/>
      <c r="F43" s="196"/>
      <c r="G43" s="196"/>
      <c r="H43" s="196"/>
      <c r="I43" s="196"/>
      <c r="J43" s="196"/>
      <c r="K43" s="196"/>
      <c r="L43" s="196"/>
      <c r="M43" s="196"/>
      <c r="N43" s="196"/>
      <c r="O43" s="196"/>
      <c r="P43" s="196"/>
      <c r="Q43" s="196"/>
      <c r="R43" s="196"/>
      <c r="S43" s="198"/>
    </row>
    <row r="44" spans="1:19" x14ac:dyDescent="0.25">
      <c r="A44" s="204" t="s">
        <v>530</v>
      </c>
      <c r="B44" s="195">
        <f>B43</f>
        <v>1293242638746.5303</v>
      </c>
      <c r="C44" s="196"/>
      <c r="D44" s="196"/>
      <c r="E44" s="196"/>
      <c r="F44" s="196"/>
      <c r="G44" s="196"/>
      <c r="H44" s="196"/>
      <c r="I44" s="196"/>
      <c r="J44" s="196"/>
      <c r="K44" s="196"/>
      <c r="L44" s="196"/>
      <c r="M44" s="196"/>
      <c r="N44" s="196"/>
      <c r="O44" s="196"/>
      <c r="P44" s="196"/>
      <c r="Q44" s="196"/>
      <c r="R44" s="196"/>
      <c r="S44" s="198"/>
    </row>
    <row r="45" spans="1:19" x14ac:dyDescent="0.25">
      <c r="A45" s="194" t="s">
        <v>531</v>
      </c>
      <c r="B45" s="195">
        <f>资产资本表!E17</f>
        <v>88172478529.229996</v>
      </c>
      <c r="C45" s="196"/>
      <c r="D45" s="196"/>
      <c r="E45" s="196"/>
      <c r="F45" s="196"/>
      <c r="G45" s="196"/>
      <c r="H45" s="196"/>
      <c r="I45" s="196"/>
      <c r="J45" s="196"/>
      <c r="K45" s="196"/>
      <c r="L45" s="196"/>
      <c r="M45" s="196"/>
      <c r="N45" s="196"/>
      <c r="O45" s="196"/>
      <c r="P45" s="196"/>
      <c r="Q45" s="196"/>
      <c r="R45" s="196"/>
      <c r="S45" s="198"/>
    </row>
    <row r="46" spans="1:19" x14ac:dyDescent="0.25">
      <c r="A46" s="194" t="s">
        <v>532</v>
      </c>
      <c r="B46" s="195">
        <f>资产资本表!E19</f>
        <v>0</v>
      </c>
      <c r="C46" s="196"/>
      <c r="D46" s="196"/>
      <c r="E46" s="196"/>
      <c r="F46" s="196"/>
      <c r="G46" s="196"/>
      <c r="H46" s="196"/>
      <c r="I46" s="196"/>
      <c r="J46" s="196"/>
      <c r="K46" s="196"/>
      <c r="L46" s="196"/>
      <c r="M46" s="196"/>
      <c r="N46" s="196"/>
      <c r="O46" s="196"/>
      <c r="P46" s="196"/>
      <c r="Q46" s="196"/>
      <c r="R46" s="196"/>
      <c r="S46" s="198"/>
    </row>
    <row r="47" spans="1:19" x14ac:dyDescent="0.25">
      <c r="A47" s="194" t="s">
        <v>533</v>
      </c>
      <c r="B47" s="195">
        <f>资产资本表!E89</f>
        <v>23414593.670000002</v>
      </c>
      <c r="C47" s="196"/>
      <c r="D47" s="196"/>
      <c r="E47" s="196"/>
      <c r="F47" s="196"/>
      <c r="G47" s="196"/>
      <c r="H47" s="196"/>
      <c r="I47" s="196"/>
      <c r="J47" s="196"/>
      <c r="K47" s="196"/>
      <c r="L47" s="196"/>
      <c r="M47" s="196"/>
      <c r="N47" s="196"/>
      <c r="O47" s="196"/>
      <c r="P47" s="196"/>
      <c r="Q47" s="196"/>
      <c r="R47" s="196"/>
      <c r="S47" s="198"/>
    </row>
    <row r="48" spans="1:19" x14ac:dyDescent="0.25">
      <c r="A48" s="199" t="s">
        <v>534</v>
      </c>
      <c r="B48" s="195">
        <f>B44+B45+B46-B47</f>
        <v>1381391702682.0903</v>
      </c>
      <c r="C48" s="196"/>
      <c r="D48" s="196"/>
      <c r="E48" s="196"/>
      <c r="F48" s="196"/>
      <c r="G48" s="196"/>
      <c r="H48" s="196"/>
      <c r="I48" s="196"/>
      <c r="J48" s="196"/>
      <c r="K48" s="196"/>
      <c r="L48" s="196"/>
      <c r="M48" s="196"/>
      <c r="N48" s="196"/>
      <c r="O48" s="196"/>
      <c r="P48" s="196"/>
      <c r="Q48" s="196"/>
      <c r="R48" s="196"/>
      <c r="S48" s="198"/>
    </row>
    <row r="49" spans="1:74" x14ac:dyDescent="0.25">
      <c r="A49" s="194" t="s">
        <v>535</v>
      </c>
      <c r="B49" s="197">
        <f>资产资本表!E103/资产资本表!E107</f>
        <v>4.7574696614039264E-2</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536</v>
      </c>
      <c r="B50" s="195">
        <f>B48*(1-B49)</f>
        <v>1315672411521.8389</v>
      </c>
      <c r="C50" s="304" t="s">
        <v>542</v>
      </c>
      <c r="D50" s="305"/>
      <c r="E50" s="306"/>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538</v>
      </c>
      <c r="B51" s="209">
        <f>B55</f>
        <v>1256197800</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537</v>
      </c>
      <c r="B52" s="205">
        <f>B50/B51</f>
        <v>1047.3449416340634</v>
      </c>
      <c r="C52" s="206">
        <f>$B$52*(1-C51)</f>
        <v>628.40696498043803</v>
      </c>
      <c r="D52" s="206">
        <f>$B$52*(1-D51)</f>
        <v>733.14145914384437</v>
      </c>
      <c r="E52" s="206">
        <f>$B$52*(1-E51)</f>
        <v>837.87595330725071</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3" customFormat="1" x14ac:dyDescent="0.25">
      <c r="A54" s="193">
        <v>600519</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2" customFormat="1" x14ac:dyDescent="0.25">
      <c r="A55" s="210" t="s">
        <v>549</v>
      </c>
      <c r="B55" s="100">
        <v>1256197800</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4"/>
      <c r="B56" s="93"/>
    </row>
    <row r="57" spans="1:74" ht="52.8" customHeight="1" x14ac:dyDescent="0.25">
      <c r="A57" s="294" t="s">
        <v>739</v>
      </c>
      <c r="B57" s="295"/>
      <c r="C57" s="295"/>
      <c r="D57" s="295"/>
      <c r="E57" s="295"/>
      <c r="F57" s="295"/>
      <c r="G57" s="295"/>
      <c r="H57" s="295"/>
      <c r="I57" s="295"/>
    </row>
    <row r="60" spans="1:74" s="154" customFormat="1" ht="51" customHeight="1" x14ac:dyDescent="0.25">
      <c r="A60" s="292" t="s">
        <v>607</v>
      </c>
      <c r="B60" s="293"/>
      <c r="C60" s="293"/>
      <c r="D60" s="293"/>
      <c r="E60" s="293"/>
      <c r="F60" s="293"/>
      <c r="G60" s="293"/>
      <c r="H60" s="293"/>
      <c r="I60" s="293"/>
    </row>
    <row r="63" spans="1:74" s="4" customFormat="1" x14ac:dyDescent="0.25">
      <c r="A63" s="176" t="s">
        <v>609</v>
      </c>
      <c r="B63" s="175"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7">
        <f>股权价值增加表!M1</f>
        <v>42369</v>
      </c>
      <c r="B64" s="165">
        <v>42366</v>
      </c>
      <c r="C64" s="164">
        <v>17.39</v>
      </c>
      <c r="D64" s="164">
        <v>3.4</v>
      </c>
      <c r="E64" s="166">
        <f>股权价值增加表!M42/100000000</f>
        <v>157.27894795429995</v>
      </c>
      <c r="F64" s="166">
        <v>0</v>
      </c>
      <c r="G64" s="164">
        <v>16.47</v>
      </c>
      <c r="H64" s="166">
        <f>G64*D64</f>
        <v>55.997999999999998</v>
      </c>
      <c r="I64" s="166">
        <f>C64*D64</f>
        <v>59.125999999999998</v>
      </c>
      <c r="J64" s="166">
        <f>H64/E64</f>
        <v>0.35604256468113687</v>
      </c>
      <c r="K64" s="166">
        <f>I64/E64</f>
        <v>0.37593079537370794</v>
      </c>
      <c r="L64" s="261">
        <v>0</v>
      </c>
    </row>
    <row r="65" spans="1:12" s="26" customFormat="1" x14ac:dyDescent="0.25">
      <c r="A65" s="177">
        <f>股权价值增加表!I1</f>
        <v>42735</v>
      </c>
      <c r="B65" s="165">
        <v>42543</v>
      </c>
      <c r="C65" s="164">
        <v>23.13</v>
      </c>
      <c r="D65" s="164">
        <v>3.64</v>
      </c>
      <c r="E65" s="166">
        <f>股权价值增加表!I42/100000000</f>
        <v>167.6178953209</v>
      </c>
      <c r="F65" s="166">
        <f>(E65-E64)/E64*100</f>
        <v>6.573637159376351</v>
      </c>
      <c r="G65" s="164">
        <v>23.11</v>
      </c>
      <c r="H65" s="166">
        <f t="shared" ref="H65:H66" si="8">G65*D65</f>
        <v>84.120400000000004</v>
      </c>
      <c r="I65" s="166">
        <f t="shared" ref="I65:I66" si="9">C65*D65</f>
        <v>84.193200000000004</v>
      </c>
      <c r="J65" s="166">
        <f t="shared" ref="J65:J66" si="10">H65/E65</f>
        <v>0.50185810911748852</v>
      </c>
      <c r="K65" s="166">
        <f t="shared" ref="K65:K66" si="11">I65/E65</f>
        <v>0.50229243028505022</v>
      </c>
      <c r="L65" s="261">
        <f>K65/F65</f>
        <v>7.6410123970502702E-2</v>
      </c>
    </row>
    <row r="66" spans="1:12" s="26" customFormat="1" x14ac:dyDescent="0.25">
      <c r="A66" s="177">
        <f>股权价值增加表!E1</f>
        <v>43100</v>
      </c>
      <c r="B66" s="165">
        <v>42872</v>
      </c>
      <c r="C66" s="164">
        <v>16.399999999999999</v>
      </c>
      <c r="D66" s="164">
        <v>9.09</v>
      </c>
      <c r="E66" s="166">
        <f>股权价值增加表!E42/100000000</f>
        <v>262.96546048480002</v>
      </c>
      <c r="F66" s="166">
        <f t="shared" ref="F66" si="12">(E66-E65)/E65*100</f>
        <v>56.883881629321046</v>
      </c>
      <c r="G66" s="164">
        <v>15.76</v>
      </c>
      <c r="H66" s="166">
        <f t="shared" si="8"/>
        <v>143.25839999999999</v>
      </c>
      <c r="I66" s="166">
        <f t="shared" si="9"/>
        <v>149.07599999999999</v>
      </c>
      <c r="J66" s="166">
        <f t="shared" si="10"/>
        <v>0.54478029067349942</v>
      </c>
      <c r="K66" s="166">
        <f t="shared" si="11"/>
        <v>0.56690334816277865</v>
      </c>
      <c r="L66" s="261">
        <f t="shared" ref="L66" si="13">K66/F66</f>
        <v>9.9659751044585149E-3</v>
      </c>
    </row>
    <row r="67" spans="1:12" s="26" customFormat="1" x14ac:dyDescent="0.25">
      <c r="A67" s="160"/>
      <c r="B67" s="161"/>
      <c r="C67" s="83"/>
      <c r="D67" s="83"/>
      <c r="E67" s="83"/>
      <c r="F67" s="163"/>
      <c r="G67" s="83"/>
      <c r="H67" s="163"/>
      <c r="I67" s="163"/>
      <c r="J67" s="163"/>
      <c r="K67" s="163"/>
      <c r="L67" s="262"/>
    </row>
    <row r="68" spans="1:12" s="155" customFormat="1" ht="15" thickBot="1" x14ac:dyDescent="0.3">
      <c r="A68" s="162" t="s">
        <v>621</v>
      </c>
      <c r="B68" s="44" t="s">
        <v>610</v>
      </c>
      <c r="C68" s="44" t="s">
        <v>611</v>
      </c>
      <c r="D68" s="44" t="s">
        <v>612</v>
      </c>
      <c r="E68" s="44" t="s">
        <v>620</v>
      </c>
      <c r="F68" s="44" t="s">
        <v>613</v>
      </c>
      <c r="G68" s="44" t="s">
        <v>614</v>
      </c>
      <c r="H68" s="44" t="s">
        <v>615</v>
      </c>
      <c r="I68" s="44" t="s">
        <v>616</v>
      </c>
      <c r="J68" s="44" t="s">
        <v>617</v>
      </c>
      <c r="K68" s="44" t="s">
        <v>618</v>
      </c>
      <c r="L68" s="263" t="s">
        <v>619</v>
      </c>
    </row>
    <row r="69" spans="1:12" s="26" customFormat="1" ht="15" thickBot="1" x14ac:dyDescent="0.3">
      <c r="A69" s="167" t="s">
        <v>626</v>
      </c>
      <c r="B69" s="168">
        <v>43305</v>
      </c>
      <c r="C69" s="169">
        <v>11.65</v>
      </c>
      <c r="D69" s="169">
        <v>9.09</v>
      </c>
      <c r="E69" s="169">
        <v>4.33</v>
      </c>
      <c r="F69" s="170">
        <f>(E69-E66)/E66*100</f>
        <v>-98.353395920507111</v>
      </c>
      <c r="G69" s="169">
        <v>10.119999999999999</v>
      </c>
      <c r="H69" s="170">
        <f>G69*D69</f>
        <v>91.990799999999993</v>
      </c>
      <c r="I69" s="170">
        <f>C69*D69</f>
        <v>105.8985</v>
      </c>
      <c r="J69" s="170">
        <f>H69/E69</f>
        <v>21.244988452655885</v>
      </c>
      <c r="K69" s="170">
        <f>I69/E69</f>
        <v>24.456928406466513</v>
      </c>
      <c r="L69" s="264">
        <f>K69/F69</f>
        <v>-0.24866379221144044</v>
      </c>
    </row>
    <row r="70" spans="1:12" s="26" customFormat="1" ht="15" thickBot="1" x14ac:dyDescent="0.3">
      <c r="A70" s="171" t="s">
        <v>625</v>
      </c>
      <c r="B70" s="172">
        <v>43305</v>
      </c>
      <c r="C70" s="173">
        <v>11.65</v>
      </c>
      <c r="D70" s="173">
        <v>9.09</v>
      </c>
      <c r="E70" s="173">
        <v>3.86</v>
      </c>
      <c r="F70" s="174">
        <f>(E70-E66)/E66*100</f>
        <v>-98.532126617357363</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-0.27843552657831894</v>
      </c>
    </row>
    <row r="71" spans="1:12" s="88" customFormat="1" ht="138" customHeight="1" x14ac:dyDescent="0.25">
      <c r="A71" s="290" t="s">
        <v>628</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2019-02-14T01:34:01Z</dcterms:modified>
</cp:coreProperties>
</file>