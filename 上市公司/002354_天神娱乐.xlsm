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F657C0E6-B853-4383-B6FD-5625095979AC}" xr6:coauthVersionLast="40" xr6:coauthVersionMax="40" xr10:uidLastSave="{00000000-0000-0000-0000-000000000000}"/>
  <bookViews>
    <workbookView xWindow="480" yWindow="48" windowWidth="24792" windowHeight="11676" tabRatio="898" firstSheet="4"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U100" i="11" l="1"/>
  <c r="BU101" i="11" s="1"/>
  <c r="BM100" i="11"/>
  <c r="BM101" i="11" s="1"/>
  <c r="AW100" i="11"/>
  <c r="AW101" i="11" s="1"/>
  <c r="AO100" i="11"/>
  <c r="AO101" i="11" s="1"/>
  <c r="AG100" i="11"/>
  <c r="AG101" i="11" s="1"/>
  <c r="Y100" i="11"/>
  <c r="Y101" i="11" s="1"/>
  <c r="Q100" i="11"/>
  <c r="Q101" i="11" s="1"/>
  <c r="I100" i="11"/>
  <c r="I101" i="11" s="1"/>
  <c r="BE100" i="11"/>
  <c r="BE101" i="11" s="1"/>
  <c r="CC87" i="11"/>
  <c r="BU87" i="11"/>
  <c r="BM87" i="11"/>
  <c r="BE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Z24" i="6" s="1"/>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C69" i="5" l="1"/>
  <c r="C70" i="5" s="1"/>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R13" i="12" s="1"/>
  <c r="Z12" i="12"/>
  <c r="Z13" i="12" s="1"/>
  <c r="AH12" i="12"/>
  <c r="AH13" i="12" s="1"/>
  <c r="AP12" i="12"/>
  <c r="AX12" i="12"/>
  <c r="AX13" i="12" s="1"/>
  <c r="BF12" i="12"/>
  <c r="BF13" i="12" s="1"/>
  <c r="BN12" i="12"/>
  <c r="BV12" i="12"/>
  <c r="BV13" i="12" s="1"/>
  <c r="CD12" i="12"/>
  <c r="CD13" i="12" s="1"/>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O13" i="12" s="1"/>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8" i="10" s="1"/>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X13" i="12" s="1"/>
  <c r="AF12" i="12"/>
  <c r="AF13" i="12" s="1"/>
  <c r="AN12" i="12"/>
  <c r="AN13" i="12" s="1"/>
  <c r="AV12" i="12"/>
  <c r="AV13" i="12" s="1"/>
  <c r="BD12" i="12"/>
  <c r="BD13" i="12" s="1"/>
  <c r="BL12" i="12"/>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C26" i="12" s="1"/>
  <c r="CC27" i="12" s="1"/>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AC26" i="12"/>
  <c r="AC27" i="12" s="1"/>
  <c r="AC13" i="12"/>
  <c r="CK18" i="12"/>
  <c r="BL13" i="12"/>
  <c r="Y26" i="12"/>
  <c r="Y27" i="12" s="1"/>
  <c r="AP13" i="12"/>
  <c r="BN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AJ74" i="11" l="1"/>
  <c r="AJ75" i="11" s="1"/>
  <c r="I23" i="7"/>
  <c r="O23" i="7"/>
  <c r="CC9" i="10"/>
  <c r="BO9" i="10"/>
  <c r="BR74" i="11"/>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AD31" i="10" l="1"/>
  <c r="BJ31" i="10"/>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V33" i="6" l="1"/>
  <c r="V34" i="6" s="1"/>
  <c r="AL12" i="11"/>
  <c r="AL14" i="11" s="1"/>
  <c r="AL13" i="11"/>
  <c r="BY49" i="10"/>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B4" i="13" s="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<sst xmlns="http://schemas.openxmlformats.org/spreadsheetml/2006/main" count="923" uniqueCount="752">
  <si>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</si>
  <si>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</si>
  <si>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</si>
  <si>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</si>
  <si>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</si>
  <si>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</si>
  <si>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</si>
  <si>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</si>
  <si>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</si>
  <si>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</si>
  <si>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</si>
  <si>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</si>
  <si>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</si>
  <si>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</si>
  <si>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</si>
  <si>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</si>
  <si>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</si>
  <si>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</si>
  <si>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</si>
  <si>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</si>
  <si>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</si>
  <si>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</si>
  <si>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</si>
  <si>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</si>
  <si>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</si>
  <si>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</si>
  <si>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</si>
  <si>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</si>
  <si>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</si>
  <si>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</si>
  <si>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</si>
  <si>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</si>
  <si>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</si>
  <si>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</si>
  <si>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</si>
  <si>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</si>
  <si>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</si>
  <si>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</si>
  <si>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</si>
  <si>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</si>
  <si>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</si>
  <si>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</si>
  <si>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</si>
  <si>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</si>
  <si>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</si>
  <si>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</si>
  <si>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</si>
  <si>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</si>
  <si>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</si>
  <si>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</si>
  <si>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</si>
  <si>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</si>
  <si>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</si>
  <si>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</si>
  <si>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</si>
  <si>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</si>
  <si>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</si>
  <si>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</si>
  <si>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</si>
  <si>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</si>
  <si>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</si>
  <si>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</si>
  <si>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</si>
  <si>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</si>
  <si>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</si>
  <si>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</si>
  <si>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</si>
  <si>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</si>
  <si>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</si>
  <si>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</si>
  <si>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</si>
  <si>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</si>
  <si>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</si>
  <si>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</si>
  <si>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</si>
  <si>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</si>
  <si>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</si>
  <si>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</si>
  <si>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</si>
  <si>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</si>
  <si>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</si>
  <si>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</si>
  <si>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</si>
  <si>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</si>
  <si>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</si>
  <si>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</si>
  <si>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</si>
  <si>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</si>
  <si>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</si>
  <si>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</si>
  <si>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</si>
  <si>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</si>
  <si>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</si>
  <si>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</si>
  <si>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</si>
  <si>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</si>
  <si>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</si>
  <si>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</si>
  <si>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</si>
  <si>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</si>
  <si>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</si>
  <si>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</si>
  <si>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</si>
  <si>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</si>
  <si>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</si>
  <si>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</si>
  <si>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</si>
  <si>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</si>
  <si>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</si>
  <si>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</si>
  <si>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</si>
  <si>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</si>
  <si>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</si>
  <si>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</si>
  <si>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</si>
  <si>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</si>
  <si>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</si>
  <si>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</si>
  <si>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</si>
  <si>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</si>
  <si>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</si>
  <si>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</si>
  <si>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</si>
  <si>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</si>
  <si>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</si>
  <si>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</si>
  <si>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</si>
  <si>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</si>
  <si>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</si>
  <si>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</si>
  <si>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</si>
  <si>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</si>
  <si>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</si>
  <si>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</si>
  <si>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</si>
  <si>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</si>
  <si>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</si>
  <si>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</si>
  <si>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</si>
  <si>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</si>
  <si>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</si>
  <si>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</si>
  <si>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</si>
  <si>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</si>
  <si>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</si>
  <si>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</si>
  <si>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</si>
  <si>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</si>
  <si>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</si>
  <si>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</si>
  <si>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</si>
  <si>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</si>
  <si>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</si>
  <si>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</si>
  <si>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</si>
  <si>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</si>
  <si>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</si>
  <si>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</si>
  <si>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</si>
  <si>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</si>
  <si>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</si>
  <si>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</si>
  <si>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</si>
  <si>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</si>
  <si>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</si>
  <si>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</si>
  <si>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</si>
  <si>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</si>
  <si>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</si>
  <si>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</si>
  <si>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</si>
  <si>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</si>
  <si>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</si>
  <si>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</si>
  <si>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</si>
  <si>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</si>
  <si>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</si>
  <si>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</si>
  <si>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</si>
  <si>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</si>
  <si>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</si>
  <si>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</si>
  <si>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</si>
  <si>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</si>
  <si>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</si>
  <si>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</si>
  <si>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</si>
  <si>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</si>
  <si>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</si>
  <si>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</si>
  <si>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</si>
  <si>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</si>
  <si>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</si>
  <si>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</si>
  <si>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</si>
  <si>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</si>
  <si>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</si>
  <si>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</si>
  <si>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</si>
  <si>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</si>
  <si>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</si>
  <si>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</si>
  <si>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</si>
  <si>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</si>
  <si>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</si>
  <si>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</si>
  <si>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</si>
  <si>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</si>
  <si>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</si>
  <si>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</si>
  <si>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</si>
  <si>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</si>
  <si>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</si>
  <si>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</si>
  <si>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</si>
  <si>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</si>
  <si>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</si>
  <si>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</si>
  <si>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</si>
  <si>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</si>
  <si>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</si>
  <si>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</si>
  <si>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</si>
  <si>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</si>
  <si>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</si>
  <si>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</si>
  <si>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</si>
  <si>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</si>
  <si>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</si>
  <si>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</si>
  <si>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</si>
  <si>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</si>
  <si>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</si>
  <si>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</si>
  <si>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</si>
  <si>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</si>
  <si>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</si>
  <si>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</si>
  <si>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</si>
  <si>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</si>
  <si>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</si>
  <si>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</si>
  <si>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</si>
  <si>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</si>
  <si>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</si>
  <si>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</si>
  <si>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</si>
  <si>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</si>
  <si>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</si>
  <si>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</si>
  <si>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</si>
  <si>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</si>
  <si>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</si>
  <si>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</si>
  <si>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</si>
  <si>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</si>
  <si>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</si>
  <si>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</si>
  <si>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</si>
  <si>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</si>
  <si>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</si>
  <si>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</si>
  <si>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</si>
  <si>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</si>
  <si>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</si>
  <si>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</si>
  <si>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</si>
  <si>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</si>
  <si>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</si>
  <si>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</si>
  <si>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</si>
  <si>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</si>
  <si>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</si>
  <si>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</si>
  <si>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</si>
  <si>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</si>
  <si>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</si>
  <si>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</si>
  <si>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</si>
  <si>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</si>
  <si>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</si>
  <si>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</si>
  <si>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</si>
  <si>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</si>
  <si>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</si>
  <si>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</si>
  <si>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</si>
  <si>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</si>
  <si>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</si>
  <si>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</si>
  <si>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</si>
  <si>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</si>
  <si>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</si>
  <si>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</si>
  <si>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</si>
  <si>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</si>
  <si>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</si>
  <si>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</si>
  <si>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</si>
  <si>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</si>
  <si>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</si>
  <si>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</si>
  <si>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</si>
  <si>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</si>
  <si>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</si>
  <si>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</si>
  <si>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</si>
  <si>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</si>
  <si>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</si>
  <si>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</si>
  <si>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</si>
  <si>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</si>
  <si>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</si>
  <si>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</si>
  <si>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</si>
  <si>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</si>
  <si>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</si>
  <si>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</si>
  <si>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</si>
  <si>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</si>
  <si>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</si>
  <si>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</si>
  <si>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</si>
  <si>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</si>
  <si>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</si>
  <si>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</si>
  <si>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</si>
  <si>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</si>
  <si>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</si>
  <si>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</si>
  <si>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</si>
  <si>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</si>
  <si>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</si>
  <si>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</si>
  <si>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</si>
  <si>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</si>
  <si>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</si>
  <si>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</si>
  <si>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</si>
  <si>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</si>
  <si>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</si>
  <si>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</si>
  <si>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</si>
  <si>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</si>
  <si>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</si>
  <si>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</si>
  <si>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</si>
  <si>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</si>
  <si>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</si>
  <si>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</si>
  <si>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</si>
  <si>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</si>
  <si>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</si>
  <si>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</si>
  <si>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</si>
  <si>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</si>
  <si>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</si>
  <si>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</si>
  <si>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</si>
  <si>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</si>
  <si>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</si>
  <si>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</si>
  <si>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</si>
  <si>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</si>
  <si>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</si>
  <si>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</si>
  <si>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</si>
  <si>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</si>
  <si>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</si>
  <si>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</si>
  <si>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</si>
  <si>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</si>
  <si>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</si>
  <si>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</si>
  <si>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</si>
  <si>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</si>
  <si>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</si>
  <si>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</si>
  <si>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</si>
  <si>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</si>
  <si>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</si>
  <si>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</si>
  <si>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</si>
  <si>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</si>
  <si>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</si>
  <si>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</si>
  <si>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</si>
  <si>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</si>
  <si>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</si>
  <si>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</si>
  <si>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</si>
  <si>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</si>
  <si>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</si>
  <si>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</si>
  <si>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</si>
  <si>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</si>
  <si>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</si>
  <si>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</si>
  <si>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</si>
  <si>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</si>
  <si>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</si>
  <si>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</si>
  <si>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</si>
  <si>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</si>
  <si>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</si>
  <si>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</si>
  <si>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</si>
  <si>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</si>
  <si>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</si>
  <si>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</si>
  <si>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</si>
  <si>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</si>
  <si>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</si>
  <si>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</si>
  <si>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</si>
  <si>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</si>
  <si>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</si>
  <si>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</si>
  <si>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</si>
  <si>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</si>
  <si>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</si>
  <si>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</si>
  <si>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</si>
  <si>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</si>
  <si>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</si>
  <si>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</si>
  <si>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</si>
  <si>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</si>
  <si>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</si>
  <si>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</si>
  <si>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</si>
  <si>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</si>
  <si>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</si>
  <si>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</si>
  <si>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</si>
  <si>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</si>
  <si>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</si>
  <si>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</si>
  <si>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</si>
  <si>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</si>
  <si>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</si>
  <si>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</si>
  <si>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</si>
  <si>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</si>
  <si>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</si>
  <si>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</si>
  <si>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</si>
  <si>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</si>
  <si>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</si>
  <si>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</si>
  <si>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</si>
  <si>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</si>
  <si>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</si>
  <si>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</si>
  <si>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</si>
  <si>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</si>
  <si>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</si>
  <si>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</si>
  <si>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</si>
  <si>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</si>
  <si>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</si>
  <si>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</si>
  <si>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</si>
  <si>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</si>
  <si>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</si>
  <si>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</si>
  <si>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</si>
  <si>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</si>
  <si>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</si>
  <si>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</si>
  <si>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</si>
  <si>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</si>
  <si>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</si>
  <si>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</si>
  <si>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</si>
  <si>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</si>
  <si>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</si>
  <si>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</si>
  <si>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</si>
  <si>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</si>
  <si>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</si>
  <si>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</si>
  <si>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</si>
  <si>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</si>
  <si>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</si>
  <si>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</si>
  <si>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</si>
  <si>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</si>
  <si>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</si>
  <si>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</si>
  <si>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</si>
  <si>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</si>
  <si>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</si>
  <si>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</si>
  <si>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</si>
  <si>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</si>
  <si>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</si>
  <si>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</si>
  <si>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</si>
  <si>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</si>
  <si>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</si>
  <si>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</si>
  <si>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</si>
  <si>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</si>
  <si>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</si>
  <si>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</si>
  <si>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</si>
  <si>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</si>
  <si>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</si>
  <si>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</si>
  <si>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</si>
  <si>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</si>
  <si>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</si>
  <si>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</si>
  <si>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</si>
  <si>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</si>
  <si>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</si>
  <si>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</si>
  <si>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</si>
  <si>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</si>
  <si>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</si>
  <si>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</si>
  <si>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</si>
  <si>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</si>
  <si>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</si>
  <si>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</si>
  <si>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</si>
  <si>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</si>
  <si>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</si>
  <si>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</si>
  <si>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</si>
  <si>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</si>
  <si>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</si>
  <si>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</si>
  <si>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</si>
  <si>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</si>
  <si>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</si>
  <si>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</si>
  <si>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</si>
  <si>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</si>
  <si>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</si>
  <si>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</si>
  <si>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</si>
  <si>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</si>
  <si>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</si>
  <si>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</si>
  <si>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</si>
  <si>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</si>
  <si>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</si>
  <si>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</si>
  <si>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</si>
  <si>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</si>
  <si>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</si>
  <si>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</si>
  <si>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</si>
  <si>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</si>
  <si>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</si>
  <si>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</si>
  <si>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</si>
  <si>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</si>
  <si>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</si>
  <si>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</si>
  <si>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</si>
  <si>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</si>
  <si>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</si>
  <si>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</si>
  <si>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</si>
  <si>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</si>
  <si>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</si>
  <si>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</si>
  <si>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</si>
  <si>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</si>
  <si>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</si>
  <si>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</si>
  <si>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</si>
  <si>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</si>
  <si>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</si>
  <si>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</si>
  <si>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</si>
  <si>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</si>
  <si>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</si>
  <si>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</si>
  <si>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</si>
  <si>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</si>
  <si>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</si>
  <si>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</si>
  <si>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</si>
  <si>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</si>
  <si>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</si>
  <si>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</si>
  <si>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</si>
  <si>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</si>
  <si>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</si>
  <si>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</si>
  <si>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</si>
  <si>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</si>
  <si>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</si>
  <si>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</si>
  <si>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</si>
  <si>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</si>
  <si>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</si>
  <si>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</si>
  <si>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</si>
  <si>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</si>
  <si>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</si>
  <si>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</si>
  <si>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</si>
  <si>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</si>
  <si>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</si>
  <si>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</si>
  <si>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</si>
  <si>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</si>
  <si>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</si>
  <si>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</si>
  <si>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</si>
  <si>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</si>
  <si>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</si>
  <si>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</si>
  <si>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</si>
  <si>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</si>
  <si>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</si>
  <si>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</si>
  <si>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</si>
  <si>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</si>
  <si>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</si>
  <si>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</si>
  <si>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</si>
  <si>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</si>
  <si>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</si>
  <si>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</si>
  <si>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</si>
  <si>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</si>
  <si>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</si>
  <si>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</si>
  <si>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</si>
  <si>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</si>
  <si>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</si>
  <si>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</si>
  <si>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</si>
  <si>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</si>
  <si>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</si>
  <si>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</si>
  <si>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</si>
  <si>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</si>
  <si>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</si>
  <si>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</si>
  <si>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</si>
  <si>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</si>
  <si>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</si>
  <si>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</si>
  <si>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</si>
  <si>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</si>
  <si>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</si>
  <si>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</si>
  <si>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</si>
  <si>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</si>
  <si>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</si>
  <si>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</si>
  <si>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</si>
  <si>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</si>
  <si>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</si>
  <si>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</si>
  <si>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</si>
  <si>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</si>
  <si>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</si>
  <si>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</si>
  <si>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</si>
  <si>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</si>
  <si>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</si>
  <si>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</si>
  <si>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</si>
  <si>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</si>
  <si>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</si>
  <si>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</si>
  <si>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</si>
  <si>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</si>
  <si>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</si>
  <si>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</si>
  <si>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</si>
  <si>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</si>
  <si>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</si>
  <si>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</si>
  <si>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</si>
  <si>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</si>
  <si>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</si>
  <si>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</si>
  <si>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</si>
  <si>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</si>
  <si>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</si>
  <si>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</si>
  <si>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</si>
  <si>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</si>
  <si>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</si>
  <si>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</si>
  <si>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</si>
  <si>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</si>
  <si>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</si>
  <si>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</si>
  <si>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</si>
  <si>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</si>
  <si>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</si>
  <si>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</si>
  <si>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</si>
  <si>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</si>
  <si>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</si>
  <si>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</si>
  <si>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</si>
  <si>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</si>
  <si>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</si>
  <si>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</si>
  <si>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</si>
  <si>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</si>
  <si>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</si>
  <si>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</si>
  <si>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</si>
  <si>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</si>
  <si>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</si>
  <si>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</si>
  <si>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</si>
  <si>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</si>
  <si>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</si>
  <si>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</si>
  <si>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</si>
  <si>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</si>
  <si>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</si>
  <si>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</si>
  <si>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</si>
  <si>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</si>
  <si>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</si>
  <si>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</si>
  <si>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</si>
  <si>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</si>
  <si>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</si>
  <si>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</si>
  <si>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</si>
  <si>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</si>
  <si>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</si>
  <si>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</si>
  <si>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</si>
  <si>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</si>
  <si>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</si>
  <si>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</si>
  <si>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</si>
  <si>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</si>
  <si>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</si>
  <si>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</si>
  <si>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</si>
  <si>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</si>
  <si>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</si>
  <si>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</si>
  <si>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WACC</t>
    <phoneticPr fontId="1" type="noConversion"/>
  </si>
  <si>
    <t>股权资本成本</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</si>
</sst>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8">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3" fontId="26" fillId="0" borderId="0" xfId="0" applyNumberFormat="1" applyFont="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6" fillId="0" borderId="0" xfId="0" applyNumberFormat="1" applyFont="1">
      <alignmen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0.65384722641173587</c:v>
                </c:pt>
                <c:pt idx="1">
                  <c:v>0.59282945598182069</c:v>
                </c:pt>
                <c:pt idx="2">
                  <c:v>0.68694758859316107</c:v>
                </c:pt>
                <c:pt idx="3">
                  <c:v>0.82320085654162356</c:v>
                </c:pt>
                <c:pt idx="4">
                  <c:v>0.18083571571931784</c:v>
                </c:pt>
                <c:pt idx="5">
                  <c:v>0.2090245027074954</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0.28825036401876264</c:v>
                </c:pt>
                <c:pt idx="1">
                  <c:v>0.31314011615825504</c:v>
                </c:pt>
                <c:pt idx="2">
                  <c:v>0.38694209195165935</c:v>
                </c:pt>
                <c:pt idx="3">
                  <c:v>0.41660655245435002</c:v>
                </c:pt>
                <c:pt idx="4">
                  <c:v>8.5140342677036726E-2</c:v>
                </c:pt>
                <c:pt idx="5">
                  <c:v>0.10684036525023141</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0.30171177812328293</c:v>
                </c:pt>
                <c:pt idx="1">
                  <c:v>0.48544106247438873</c:v>
                </c:pt>
                <c:pt idx="2">
                  <c:v>0.78831978411245263</c:v>
                </c:pt>
                <c:pt idx="3">
                  <c:v>0.8657064612713713</c:v>
                </c:pt>
                <c:pt idx="4">
                  <c:v>0.11677914258466131</c:v>
                </c:pt>
                <c:pt idx="5">
                  <c:v>0.13831951475663129</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0.25052171539668672</c:v>
                </c:pt>
                <c:pt idx="1">
                  <c:v>0.47488227976737629</c:v>
                </c:pt>
                <c:pt idx="2">
                  <c:v>0.78568096671797905</c:v>
                </c:pt>
                <c:pt idx="3">
                  <c:v>0.83777476546266194</c:v>
                </c:pt>
                <c:pt idx="4">
                  <c:v>8.5138390474730249E-2</c:v>
                </c:pt>
                <c:pt idx="5">
                  <c:v>0.10683931770960589</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0.26186460665950406</c:v>
                </c:pt>
                <c:pt idx="1">
                  <c:v>0.473336735238021</c:v>
                </c:pt>
                <c:pt idx="2">
                  <c:v>0.73066139702314925</c:v>
                </c:pt>
                <c:pt idx="3">
                  <c:v>0.86902399881199588</c:v>
                </c:pt>
                <c:pt idx="4">
                  <c:v>3.7520181689457421E-2</c:v>
                </c:pt>
                <c:pt idx="5">
                  <c:v>7.8496109349870696E-2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0.23218023787778397</c:v>
                </c:pt>
                <c:pt idx="1">
                  <c:v>0.45944735797341929</c:v>
                </c:pt>
                <c:pt idx="2">
                  <c:v>0.72586501713380069</c:v>
                </c:pt>
                <c:pt idx="3">
                  <c:v>0.82384233391448725</c:v>
                </c:pt>
                <c:pt idx="4">
                  <c:v>2.7354437224385159E-2</c:v>
                </c:pt>
                <c:pt idx="5">
                  <c:v>6.0631281816504103E-2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1332385374.74</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568840835.17999995</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360935642.63999999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255530651.34</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15191237.539999999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28963765.550000001</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-43649199.004400253</c:v>
                </c:pt>
                <c:pt idx="1">
                  <c:v>312794101.92720014</c:v>
                </c:pt>
                <c:pt idx="2">
                  <c:v>285404953.56240004</c:v>
                </c:pt>
                <c:pt idx="3">
                  <c:v>338729665.04159999</c:v>
                </c:pt>
                <c:pt idx="4">
                  <c:v>-26366925.920399975</c:v>
                </c:pt>
                <c:pt idx="5">
                  <c:v>-14408442.463600028</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9546589789.4300003</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5708952320.9099998</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4969042405.9700003</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663016824.98000002</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468020782.88</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459751046.17000002</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230,297,326.35 </c:v>
                </c:pt>
                <c:pt idx="5">
                  <c:v>433,706,080.54 </c:v>
                </c:pt>
                <c:pt idx="6">
                  <c:v>406,916,376.92 </c:v>
                </c:pt>
                <c:pt idx="7">
                  <c:v>1,531,918,470.73 </c:v>
                </c:pt>
                <c:pt idx="8">
                  <c:v>1,500,913,882.28 </c:v>
                </c:pt>
                <c:pt idx="9">
                  <c:v>78,709,226.92 </c:v>
                </c:pt>
                <c:pt idx="10">
                  <c:v>56,621,704.80 </c:v>
                </c:pt>
                <c:pt idx="11">
                  <c:v>61,874,112.01 </c:v>
                </c:pt>
                <c:pt idx="12">
                  <c:v>61,316,329.61 </c:v>
                </c:pt>
                <c:pt idx="13">
                  <c:v>23,568,173.07 </c:v>
                </c:pt>
                <c:pt idx="14">
                  <c:v>490,384,748.77 </c:v>
                </c:pt>
                <c:pt idx="15">
                  <c:v>496,267,318.21 </c:v>
                </c:pt>
                <c:pt idx="16">
                  <c:v>500,174,601.83 </c:v>
                </c:pt>
                <c:pt idx="17">
                  <c:v>502,078,278.50 </c:v>
                </c:pt>
                <c:pt idx="18">
                  <c:v>490,667,811.14 </c:v>
                </c:pt>
                <c:pt idx="19">
                  <c:v>458,095,903.52 </c:v>
                </c:pt>
                <c:pt idx="20">
                  <c:v>457,208,670.34 </c:v>
                </c:pt>
              </c:strCache>
            </c:strRef>
          </c:tx>
          <c:invertIfNegative val="0"/>
          <c:cat>
            <c:numRef>
              <c:f>投资和筹资活动现金流表!$E$12</c:f>
              <c:numCache>
                <c:formatCode>#,##0.00_ </c:formatCode>
                <c:ptCount val="1"/>
                <c:pt idx="0">
                  <c:v>230297326.35000038</c:v>
                </c:pt>
              </c:numCache>
            </c:numRef>
          </c:cat>
          <c:val>
            <c:numRef>
              <c:f>投资和筹资活动现金流表!$E$12:$U$12</c:f>
              <c:numCache>
                <c:formatCode>#,##0.00_ </c:formatCode>
                <c:ptCount val="5"/>
                <c:pt idx="0">
                  <c:v>230297326.35000038</c:v>
                </c:pt>
                <c:pt idx="1">
                  <c:v>1500913882.2799997</c:v>
                </c:pt>
                <c:pt idx="2">
                  <c:v>61316329.610000014</c:v>
                </c:pt>
                <c:pt idx="3">
                  <c:v>500174601.82999998</c:v>
                </c:pt>
                <c:pt idx="4">
                  <c:v>457208670.33999997</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-0.17452564906861295</c:v>
                </c:pt>
                <c:pt idx="1">
                  <c:v>-5.0648189677959497E-3</c:v>
                </c:pt>
                <c:pt idx="2">
                  <c:v>0.19738681191422994</c:v>
                </c:pt>
                <c:pt idx="3">
                  <c:v>3.1509782468636151E-3</c:v>
                </c:pt>
                <c:pt idx="4">
                  <c:v>0.10359037120791972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1.6538578703769158</c:v>
                </c:pt>
                <c:pt idx="1">
                  <c:v>1.2813634834496723</c:v>
                </c:pt>
                <c:pt idx="2">
                  <c:v>0.32489234338988765</c:v>
                </c:pt>
                <c:pt idx="3">
                  <c:v>20.020621113709247</c:v>
                </c:pt>
                <c:pt idx="4">
                  <c:v>0.4652135369753892</c:v>
                </c:pt>
                <c:pt idx="5">
                  <c:v>0.71479792499345485</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19744383.920000002</c:v>
                </c:pt>
                <c:pt idx="1">
                  <c:v>10426372.810000001</c:v>
                </c:pt>
                <c:pt idx="2">
                  <c:v>18879374.030000001</c:v>
                </c:pt>
                <c:pt idx="3">
                  <c:v>6505669.96</c:v>
                </c:pt>
                <c:pt idx="4">
                  <c:v>72786210.780000001</c:v>
                </c:pt>
                <c:pt idx="5">
                  <c:v>98593799.849999994</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520966669.63999999</c:v>
                </c:pt>
                <c:pt idx="1">
                  <c:v>381469996.25</c:v>
                </c:pt>
                <c:pt idx="2">
                  <c:v>965494280.67999995</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894259231.52999997</c:v>
                </c:pt>
                <c:pt idx="1">
                  <c:v>502161696.61000001</c:v>
                </c:pt>
                <c:pt idx="2">
                  <c:v>319815463.44999999</c:v>
                </c:pt>
                <c:pt idx="3">
                  <c:v>130247553.36</c:v>
                </c:pt>
                <c:pt idx="4">
                  <c:v>33861130.560000002</c:v>
                </c:pt>
                <c:pt idx="5">
                  <c:v>70474643.549999997</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2177816128.77</c:v>
                </c:pt>
                <c:pt idx="1">
                  <c:v>-1613319196.03</c:v>
                </c:pt>
                <c:pt idx="2">
                  <c:v>2638301460.3400002</c:v>
                </c:pt>
                <c:pt idx="3">
                  <c:v>-27441428.710000001</c:v>
                </c:pt>
                <c:pt idx="4">
                  <c:v>60868143.649999999</c:v>
                </c:pt>
                <c:pt idx="5">
                  <c:v>-2567977.89</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983343043.30999994</c:v>
                </c:pt>
                <c:pt idx="1">
                  <c:v>-132605992.02</c:v>
                </c:pt>
                <c:pt idx="2">
                  <c:v>1084992121.6099999</c:v>
                </c:pt>
                <c:pt idx="3">
                  <c:v>0</c:v>
                </c:pt>
                <c:pt idx="4">
                  <c:v>0</c:v>
                </c:pt>
                <c:pt idx="5">
                  <c:v>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1350284171.25</c:v>
                </c:pt>
                <c:pt idx="1">
                  <c:v>-178223417.76000005</c:v>
                </c:pt>
                <c:pt idx="2">
                  <c:v>262365374.25999999</c:v>
                </c:pt>
                <c:pt idx="3">
                  <c:v>0</c:v>
                </c:pt>
                <c:pt idx="4">
                  <c:v>63931193.24000001</c:v>
                </c:pt>
                <c:pt idx="5">
                  <c:v>54292685.930000007</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958250000</c:v>
                </c:pt>
                <c:pt idx="1">
                  <c:v>316895058.44</c:v>
                </c:pt>
                <c:pt idx="2">
                  <c:v>359800000</c:v>
                </c:pt>
                <c:pt idx="3">
                  <c:v>0</c:v>
                </c:pt>
                <c:pt idx="4">
                  <c:v>442683440</c:v>
                </c:pt>
                <c:pt idx="5">
                  <c:v>465828400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988334000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978804409.83999991</c:v>
                </c:pt>
                <c:pt idx="1">
                  <c:v>-1304584028.5599999</c:v>
                </c:pt>
                <c:pt idx="2">
                  <c:v>1488063431.5999999</c:v>
                </c:pt>
                <c:pt idx="3">
                  <c:v>23133332.899999976</c:v>
                </c:pt>
                <c:pt idx="4">
                  <c:v>4525560</c:v>
                </c:pt>
                <c:pt idx="5">
                  <c:v>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115985614.09999999</c:v>
                </c:pt>
                <c:pt idx="1">
                  <c:v>21006458.350000001</c:v>
                </c:pt>
                <c:pt idx="2">
                  <c:v>54660764.880000003</c:v>
                </c:pt>
                <c:pt idx="3">
                  <c:v>0</c:v>
                </c:pt>
                <c:pt idx="4">
                  <c:v>0</c:v>
                </c:pt>
                <c:pt idx="5">
                  <c:v>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2287351170.8299999</c:v>
                </c:pt>
                <c:pt idx="1">
                  <c:v>651949417.85000002</c:v>
                </c:pt>
                <c:pt idx="2">
                  <c:v>1571464836.1900001</c:v>
                </c:pt>
                <c:pt idx="3">
                  <c:v>0</c:v>
                </c:pt>
                <c:pt idx="4">
                  <c:v>416599846.75999999</c:v>
                </c:pt>
                <c:pt idx="5">
                  <c:v>351564114.06999999</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9546589789.4300003</c:v>
                </c:pt>
                <c:pt idx="1">
                  <c:v>5708952320.9099998</c:v>
                </c:pt>
                <c:pt idx="2">
                  <c:v>4969042405.9700003</c:v>
                </c:pt>
                <c:pt idx="3">
                  <c:v>663016824.98000002</c:v>
                </c:pt>
                <c:pt idx="4">
                  <c:v>468020782.88</c:v>
                </c:pt>
                <c:pt idx="5">
                  <c:v>459751046.17000002</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11859221905.069998</c:v>
                </c:pt>
                <c:pt idx="1">
                  <c:v>6360901738.7600002</c:v>
                </c:pt>
                <c:pt idx="2">
                  <c:v>6540507242.1600008</c:v>
                </c:pt>
                <c:pt idx="3">
                  <c:v>663016824.98000002</c:v>
                </c:pt>
                <c:pt idx="4">
                  <c:v>887841879.63999999</c:v>
                </c:pt>
                <c:pt idx="5">
                  <c:v>812665160.24000001</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2"/>
                <c:pt idx="0">
                  <c:v>7.7895749800821451E-2</c:v>
                </c:pt>
                <c:pt idx="1">
                  <c:v>7.3680390991914382E-2</c:v>
                </c:pt>
                <c:pt idx="2">
                  <c:v>7.7383491727202533E-2</c:v>
                </c:pt>
                <c:pt idx="3">
                  <c:v>0.08</c:v>
                </c:pt>
                <c:pt idx="4">
                  <c:v>4.2171543705036479E-2</c:v>
                </c:pt>
                <c:pt idx="5">
                  <c:v>4.5258595413070174E-2</c:v>
                </c:pt>
                <c:pt idx="6">
                  <c:v>4.9624388585859769E-2</c:v>
                </c:pt>
                <c:pt idx="7">
                  <c:v>5.6724924734734505E-2</c:v>
                </c:pt>
                <c:pt idx="8">
                  <c:v>4.9205572332170454E-2</c:v>
                </c:pt>
                <c:pt idx="9">
                  <c:v>4.8377692978848502E-2</c:v>
                </c:pt>
                <c:pt idx="10">
                  <c:v>5.1994763851502548E-2</c:v>
                </c:pt>
                <c:pt idx="11">
                  <c:v>0</c:v>
                </c:pt>
                <c:pt idx="12">
                  <c:v>0</c:v>
                </c:pt>
                <c:pt idx="13">
                  <c:v>0</c:v>
                </c:pt>
                <c:pt idx="14">
                  <c:v>0</c:v>
                </c:pt>
                <c:pt idx="15">
                  <c:v>0</c:v>
                </c:pt>
                <c:pt idx="16">
                  <c:v>0</c:v>
                </c:pt>
                <c:pt idx="17">
                  <c:v>0</c:v>
                </c:pt>
                <c:pt idx="18">
                  <c:v>0</c:v>
                </c:pt>
                <c:pt idx="19">
                  <c:v>0</c:v>
                </c:pt>
                <c:pt idx="20">
                  <c:v>0</c:v>
                </c:pt>
                <c:pt idx="21">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0.68223485043768561</c:v>
                </c:pt>
                <c:pt idx="1">
                  <c:v>0.38135028887050282</c:v>
                </c:pt>
                <c:pt idx="2">
                  <c:v>1.5345190575532641</c:v>
                </c:pt>
                <c:pt idx="3">
                  <c:v>12.6055847566638</c:v>
                </c:pt>
                <c:pt idx="4">
                  <c:v>-0.21625403116082709</c:v>
                </c:pt>
                <c:pt idx="5">
                  <c:v>-0.4208437070408162</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33.287839170347716</c:v>
                </c:pt>
                <c:pt idx="1">
                  <c:v>-0.95151068683887374</c:v>
                </c:pt>
                <c:pt idx="2">
                  <c:v>83.561979609446595</c:v>
                </c:pt>
                <c:pt idx="3">
                  <c:v>0</c:v>
                </c:pt>
                <c:pt idx="4">
                  <c:v>0</c:v>
                </c:pt>
                <c:pt idx="5">
                  <c:v>0</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2.3019048913390416</c:v>
                </c:pt>
                <c:pt idx="1">
                  <c:v>-19.28821020736806</c:v>
                </c:pt>
                <c:pt idx="2">
                  <c:v>-0.69210417626882603</c:v>
                </c:pt>
                <c:pt idx="3">
                  <c:v>-0.85079846759152999</c:v>
                </c:pt>
                <c:pt idx="4">
                  <c:v>0.14573534633675472</c:v>
                </c:pt>
                <c:pt idx="5">
                  <c:v>-0.28678828334262302</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1.5100315166552314</c:v>
                </c:pt>
                <c:pt idx="1">
                  <c:v>-0.13440704652435242</c:v>
                </c:pt>
                <c:pt idx="2">
                  <c:v>5.4106304577961808</c:v>
                </c:pt>
                <c:pt idx="3">
                  <c:v>-0.75236234339146746</c:v>
                </c:pt>
                <c:pt idx="4">
                  <c:v>7.0394564651854619E-2</c:v>
                </c:pt>
                <c:pt idx="5">
                  <c:v>-0.23990706216487448</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1.7720245981163536</c:v>
                </c:pt>
                <c:pt idx="1">
                  <c:v>0.32457298325171757</c:v>
                </c:pt>
                <c:pt idx="2">
                  <c:v>11.209855998831101</c:v>
                </c:pt>
                <c:pt idx="3">
                  <c:v>-0.33619690945143227</c:v>
                </c:pt>
                <c:pt idx="4">
                  <c:v>-0.16245081755387827</c:v>
                </c:pt>
                <c:pt idx="5">
                  <c:v>-4.6127325159174198E-2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0.55568665418805219</c:v>
                </c:pt>
                <c:pt idx="1">
                  <c:v>0.24438244970752143</c:v>
                </c:pt>
                <c:pt idx="2">
                  <c:v>204.07728355160859</c:v>
                </c:pt>
                <c:pt idx="3">
                  <c:v>-0.96425348827272739</c:v>
                </c:pt>
                <c:pt idx="4">
                  <c:v>9.3974445974632892E-2</c:v>
                </c:pt>
                <c:pt idx="5">
                  <c:v>0.72704014507245251</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12.107427268437226</c:v>
                </c:pt>
                <c:pt idx="1">
                  <c:v>-0.80754222055605474</c:v>
                </c:pt>
                <c:pt idx="2">
                  <c:v>0</c:v>
                </c:pt>
                <c:pt idx="3">
                  <c:v>-1</c:v>
                </c:pt>
                <c:pt idx="4">
                  <c:v>0.18498967922832624</c:v>
                </c:pt>
                <c:pt idx="5">
                  <c:v>0.18601861907957556</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1.5120460644381812</c:v>
                </c:pt>
                <c:pt idx="1">
                  <c:v>-0.52858037001628844</c:v>
                </c:pt>
                <c:pt idx="2">
                  <c:v>0</c:v>
                </c:pt>
                <c:pt idx="3">
                  <c:v>0</c:v>
                </c:pt>
                <c:pt idx="4">
                  <c:v>0</c:v>
                </c:pt>
                <c:pt idx="5">
                  <c:v>0</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0.28661608876016198</c:v>
                </c:pt>
                <c:pt idx="1">
                  <c:v>0.31765189315813708</c:v>
                </c:pt>
                <c:pt idx="2">
                  <c:v>0.22364277944854496</c:v>
                </c:pt>
                <c:pt idx="3">
                  <c:v>0.87045475384038584</c:v>
                </c:pt>
                <c:pt idx="4">
                  <c:v>4.777689390727962E-2</c:v>
                </c:pt>
                <c:pt idx="5">
                  <c:v>6.659882654993636E-2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0.19560326079641799</c:v>
                </c:pt>
                <c:pt idx="1">
                  <c:v>1.0635881316599064E-2</c:v>
                </c:pt>
                <c:pt idx="2">
                  <c:v>0.21332153786121721</c:v>
                </c:pt>
                <c:pt idx="3">
                  <c:v>2.488550430148995E-2</c:v>
                </c:pt>
                <c:pt idx="4">
                  <c:v>0</c:v>
                </c:pt>
                <c:pt idx="5">
                  <c:v>0</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0.59853929441487264</c:v>
                </c:pt>
                <c:pt idx="1">
                  <c:v>0.71731192360149021</c:v>
                </c:pt>
                <c:pt idx="2">
                  <c:v>0.56061075932530902</c:v>
                </c:pt>
                <c:pt idx="3">
                  <c:v>2.6966883186620993E-2</c:v>
                </c:pt>
                <c:pt idx="4">
                  <c:v>0.5633600005811954</c:v>
                </c:pt>
                <c:pt idx="5">
                  <c:v>0.56260400065012628</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0.35134212223232258</c:v>
                </c:pt>
                <c:pt idx="1">
                  <c:v>9.4044133135657806E-2</c:v>
                </c:pt>
                <c:pt idx="2">
                  <c:v>0.20272414216558546</c:v>
                </c:pt>
                <c:pt idx="3">
                  <c:v>0</c:v>
                </c:pt>
                <c:pt idx="4">
                  <c:v>1</c:v>
                </c:pt>
                <c:pt idx="5">
                  <c:v>1</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0.64865787776767736</c:v>
                </c:pt>
                <c:pt idx="1">
                  <c:v>0.90595586686434215</c:v>
                </c:pt>
                <c:pt idx="2">
                  <c:v>0.79727585783441446</c:v>
                </c:pt>
                <c:pt idx="3">
                  <c:v>0</c:v>
                </c:pt>
                <c:pt idx="4">
                  <c:v>0</c:v>
                </c:pt>
                <c:pt idx="5">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-1.7099373540246825</c:v>
                </c:pt>
                <c:pt idx="1">
                  <c:v>-5.7547158951149768</c:v>
                </c:pt>
                <c:pt idx="2">
                  <c:v>73.140406676591283</c:v>
                </c:pt>
                <c:pt idx="3">
                  <c:v>12.203793614041091</c:v>
                </c:pt>
                <c:pt idx="4">
                  <c:v>-8.3802047497676627E-2</c:v>
                </c:pt>
                <c:pt idx="5">
                  <c:v>1.2917150256187584E-2</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3399043798.1699996</c:v>
                </c:pt>
                <c:pt idx="1">
                  <c:v>2020552479.51</c:v>
                </c:pt>
                <c:pt idx="2">
                  <c:v>1462737218.6400001</c:v>
                </c:pt>
                <c:pt idx="3">
                  <c:v>577126147.18000007</c:v>
                </c:pt>
                <c:pt idx="4">
                  <c:v>42418327.289999999</c:v>
                </c:pt>
                <c:pt idx="5">
                  <c:v>54122546.049999997</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2319702475.1399999</c:v>
                </c:pt>
                <c:pt idx="1">
                  <c:v>67653795.959999993</c:v>
                </c:pt>
                <c:pt idx="2">
                  <c:v>1395231063.29</c:v>
                </c:pt>
                <c:pt idx="3">
                  <c:v>16499508.050000001</c:v>
                </c:pt>
                <c:pt idx="4">
                  <c:v>0</c:v>
                </c:pt>
                <c:pt idx="5">
                  <c:v>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7098210311.369998</c:v>
                </c:pt>
                <c:pt idx="1">
                  <c:v>4562750662.0699997</c:v>
                </c:pt>
                <c:pt idx="2">
                  <c:v>3666678731.4000006</c:v>
                </c:pt>
                <c:pt idx="3">
                  <c:v>17879497.269999996</c:v>
                </c:pt>
                <c:pt idx="4">
                  <c:v>500174601.83000004</c:v>
                </c:pt>
                <c:pt idx="5">
                  <c:v>457208670.33999997</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11859221905.069998</c:v>
                </c:pt>
                <c:pt idx="1">
                  <c:v>6360901738.7600002</c:v>
                </c:pt>
                <c:pt idx="2">
                  <c:v>6540507242.1600008</c:v>
                </c:pt>
                <c:pt idx="3">
                  <c:v>663016824.98000002</c:v>
                </c:pt>
                <c:pt idx="4">
                  <c:v>887841879.63999999</c:v>
                </c:pt>
                <c:pt idx="5">
                  <c:v>812665160.24000001</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803642814.64999998</c:v>
                </c:pt>
                <c:pt idx="1">
                  <c:v>61312017.850000001</c:v>
                </c:pt>
                <c:pt idx="2">
                  <c:v>318573860.86000001</c:v>
                </c:pt>
                <c:pt idx="3">
                  <c:v>0</c:v>
                </c:pt>
                <c:pt idx="4">
                  <c:v>416599846.75999999</c:v>
                </c:pt>
                <c:pt idx="5">
                  <c:v>351564114.06999999</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1483708356.1799998</c:v>
                </c:pt>
                <c:pt idx="1">
                  <c:v>590637400</c:v>
                </c:pt>
                <c:pt idx="2">
                  <c:v>1252890975.3299999</c:v>
                </c:pt>
                <c:pt idx="3">
                  <c:v>0</c:v>
                </c:pt>
                <c:pt idx="4">
                  <c:v>0</c:v>
                </c:pt>
                <c:pt idx="5">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2595400983.5200014</c:v>
                </c:pt>
                <c:pt idx="1">
                  <c:v>1959240461.6599998</c:v>
                </c:pt>
                <c:pt idx="2">
                  <c:v>1144163357.7800007</c:v>
                </c:pt>
                <c:pt idx="3">
                  <c:v>577126147.18000007</c:v>
                </c:pt>
                <c:pt idx="4">
                  <c:v>-374181519.47000003</c:v>
                </c:pt>
                <c:pt idx="5">
                  <c:v>-297441568.01999998</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-2595400983.5199995</c:v>
                </c:pt>
                <c:pt idx="1">
                  <c:v>-1959240461.6600001</c:v>
                </c:pt>
                <c:pt idx="2">
                  <c:v>-1144163357.7800002</c:v>
                </c:pt>
                <c:pt idx="3">
                  <c:v>-577126147.18000007</c:v>
                </c:pt>
                <c:pt idx="4">
                  <c:v>374181519.46999997</c:v>
                </c:pt>
                <c:pt idx="5">
                  <c:v>297441568.01999998</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0.34615277358826413</c:v>
                </c:pt>
                <c:pt idx="1">
                  <c:v>0.40717054401817937</c:v>
                </c:pt>
                <c:pt idx="2">
                  <c:v>0.31305241140683893</c:v>
                </c:pt>
                <c:pt idx="3">
                  <c:v>0.1767991434583765</c:v>
                </c:pt>
                <c:pt idx="4">
                  <c:v>0.81916428428068222</c:v>
                </c:pt>
                <c:pt idx="5">
                  <c:v>0.7909754972925046</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0.65384722641173587</c:v>
                </c:pt>
                <c:pt idx="1">
                  <c:v>0.59282945598182069</c:v>
                </c:pt>
                <c:pt idx="2">
                  <c:v>0.68694758859316107</c:v>
                </c:pt>
                <c:pt idx="3">
                  <c:v>0.82320085654162356</c:v>
                </c:pt>
                <c:pt idx="4">
                  <c:v>0.18083571571931784</c:v>
                </c:pt>
                <c:pt idx="5">
                  <c:v>0.2090245027074954</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4.7601137793769985E-3</c:v>
                </c:pt>
                <c:pt idx="1">
                  <c:v>3.184983855361694E-3</c:v>
                </c:pt>
                <c:pt idx="2">
                  <c:v>4.2234519778976245E-3</c:v>
                </c:pt>
                <c:pt idx="3">
                  <c:v>4.4910181864783747E-3</c:v>
                </c:pt>
                <c:pt idx="4">
                  <c:v>1.9429834567383419E-3</c:v>
                </c:pt>
                <c:pt idx="5">
                  <c:v>5.3940688922831034E-3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7.5785544059801091E-2</c:v>
                </c:pt>
                <c:pt idx="1">
                  <c:v>4.5462604413063011E-2</c:v>
                </c:pt>
                <c:pt idx="2">
                  <c:v>1.5746042523276601E-2</c:v>
                </c:pt>
                <c:pt idx="3">
                  <c:v>8.2363031184368996E-2</c:v>
                </c:pt>
                <c:pt idx="4">
                  <c:v>3.2360067705135456E-2</c:v>
                </c:pt>
                <c:pt idx="5">
                  <c:v>3.1798839226493403E-2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0.20806966786479208</c:v>
                </c:pt>
                <c:pt idx="1">
                  <c:v>0.20524210816255603</c:v>
                </c:pt>
                <c:pt idx="2">
                  <c:v>0.24048075762873672</c:v>
                </c:pt>
                <c:pt idx="3">
                  <c:v>0.29423918801447446</c:v>
                </c:pt>
                <c:pt idx="4">
                  <c:v>6.7301887331066221E-2</c:v>
                </c:pt>
                <c:pt idx="5">
                  <c:v>6.9017599933502732E-2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3.0487647106269503E-2</c:v>
                </c:pt>
                <c:pt idx="1">
                  <c:v>1.7728019923469337E-2</c:v>
                </c:pt>
                <c:pt idx="2">
                  <c:v>2.7000514773093325E-2</c:v>
                </c:pt>
                <c:pt idx="3">
                  <c:v>2.6569740210768246E-3</c:v>
                </c:pt>
                <c:pt idx="4">
                  <c:v>1.9977419694449262E-3</c:v>
                </c:pt>
                <c:pt idx="5">
                  <c:v>2.0980142129971128E-4</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1.4047390130649843E-3</c:v>
                </c:pt>
                <c:pt idx="1">
                  <c:v>2.767277718535556E-3</c:v>
                </c:pt>
                <c:pt idx="2">
                  <c:v>3.6280691009346697E-3</c:v>
                </c:pt>
                <c:pt idx="3">
                  <c:v>0</c:v>
                </c:pt>
                <c:pt idx="4">
                  <c:v>0</c:v>
                </c:pt>
                <c:pt idx="5">
                  <c:v>0</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-8.2361858849565629E-3</c:v>
                </c:pt>
                <c:pt idx="1">
                  <c:v>4.1620732733266708E-3</c:v>
                </c:pt>
                <c:pt idx="2">
                  <c:v>-6.3698198691402421E-3</c:v>
                </c:pt>
                <c:pt idx="3">
                  <c:v>3.6985435228238407E-6</c:v>
                </c:pt>
                <c:pt idx="4">
                  <c:v>3.9548059530034908E-2</c:v>
                </c:pt>
                <c:pt idx="5">
                  <c:v>3.5716369063340352E-2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0.31227152593834812</c:v>
                </c:pt>
                <c:pt idx="1">
                  <c:v>0.27854706734631235</c:v>
                </c:pt>
                <c:pt idx="2">
                  <c:v>0.28470901613479871</c:v>
                </c:pt>
                <c:pt idx="3">
                  <c:v>0.38375390994992153</c:v>
                </c:pt>
                <c:pt idx="4">
                  <c:v>0.14315073999241987</c:v>
                </c:pt>
                <c:pt idx="5">
                  <c:v>0.1421366785369193</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0.28825036401876264</c:v>
                </c:pt>
                <c:pt idx="1">
                  <c:v>0.31314011615825504</c:v>
                </c:pt>
                <c:pt idx="2">
                  <c:v>0.38694209195165935</c:v>
                </c:pt>
                <c:pt idx="3">
                  <c:v>0.41660655245435002</c:v>
                </c:pt>
                <c:pt idx="4">
                  <c:v>8.5140342677036726E-2</c:v>
                </c:pt>
                <c:pt idx="5">
                  <c:v>0.10684036525023141</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1.0775294578345354</c:v>
                </c:pt>
                <c:pt idx="1">
                  <c:v>0.66456375473836637</c:v>
                </c:pt>
                <c:pt idx="2">
                  <c:v>0.49408747638955669</c:v>
                </c:pt>
                <c:pt idx="3">
                  <c:v>0.50762511698638324</c:v>
                </c:pt>
                <c:pt idx="4">
                  <c:v>1.000016717046069</c:v>
                </c:pt>
                <c:pt idx="5">
                  <c:v>1.0000075733393612</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4.5315251848421133E-2</c:v>
                </c:pt>
                <c:pt idx="1">
                  <c:v>-1.5771853157662191E-2</c:v>
                </c:pt>
                <c:pt idx="2">
                  <c:v>5.0409259138521484E-2</c:v>
                </c:pt>
                <c:pt idx="3">
                  <c:v>-3.7064636203237794E-3</c:v>
                </c:pt>
                <c:pt idx="4">
                  <c:v>0</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-0.12284470968295641</c:v>
                </c:pt>
                <c:pt idx="1">
                  <c:v>0.35120809841929579</c:v>
                </c:pt>
                <c:pt idx="2">
                  <c:v>0.45550326447192185</c:v>
                </c:pt>
                <c:pt idx="3">
                  <c:v>0.4960813466339406</c:v>
                </c:pt>
                <c:pt idx="4">
                  <c:v>-1.6717046069037836E-5</c:v>
                </c:pt>
                <c:pt idx="5">
                  <c:v>-7.5733393610520772E-6</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0.23218023787778397</c:v>
                </c:pt>
                <c:pt idx="1">
                  <c:v>0.45944735797341929</c:v>
                </c:pt>
                <c:pt idx="2">
                  <c:v>0.72586501713380069</c:v>
                </c:pt>
                <c:pt idx="3">
                  <c:v>0.82384233391448725</c:v>
                </c:pt>
                <c:pt idx="4">
                  <c:v>2.7354437224385159E-2</c:v>
                </c:pt>
                <c:pt idx="5">
                  <c:v>6.0631281816504103E-2</c:v>
                </c:pt>
                <c:pt idx="6">
                  <c:v>7.207915988741441E-2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1.0775294578345354</c:v>
                </c:pt>
                <c:pt idx="1">
                  <c:v>0.66456375473836637</c:v>
                </c:pt>
                <c:pt idx="2">
                  <c:v>0.49408747638955669</c:v>
                </c:pt>
                <c:pt idx="3">
                  <c:v>0.50762511698638324</c:v>
                </c:pt>
                <c:pt idx="4">
                  <c:v>1.000016717046069</c:v>
                </c:pt>
                <c:pt idx="5">
                  <c:v>1.0000075733393612</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4.5315251848421133E-2</c:v>
                </c:pt>
                <c:pt idx="1">
                  <c:v>-1.5771853157662191E-2</c:v>
                </c:pt>
                <c:pt idx="2">
                  <c:v>5.0409259138521484E-2</c:v>
                </c:pt>
                <c:pt idx="3">
                  <c:v>-3.7064636203237794E-3</c:v>
                </c:pt>
                <c:pt idx="4">
                  <c:v>0</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-0.12284470968295641</c:v>
                </c:pt>
                <c:pt idx="1">
                  <c:v>0.35120809841929579</c:v>
                </c:pt>
                <c:pt idx="2">
                  <c:v>0.45550326447192185</c:v>
                </c:pt>
                <c:pt idx="3">
                  <c:v>0.4960813466339406</c:v>
                </c:pt>
                <c:pt idx="4">
                  <c:v>-1.6717046069037836E-5</c:v>
                </c:pt>
                <c:pt idx="5">
                  <c:v>-7.5733393610520772E-6</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0.13207032125705365</c:v>
                </c:pt>
                <c:pt idx="1">
                  <c:v>2.493469995032882E-2</c:v>
                </c:pt>
                <c:pt idx="2">
                  <c:v>7.3140860157682508E-2</c:v>
                </c:pt>
                <c:pt idx="3">
                  <c:v>-3.8321737090334373E-3</c:v>
                </c:pt>
                <c:pt idx="4">
                  <c:v>0.67870819344082411</c:v>
                </c:pt>
                <c:pt idx="5">
                  <c:v>0.43250155635680143</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3101374995.27</c:v>
                </c:pt>
                <c:pt idx="1">
                  <c:v>1674860621.6700001</c:v>
                </c:pt>
                <c:pt idx="2">
                  <c:v>940847581.74000001</c:v>
                </c:pt>
                <c:pt idx="3">
                  <c:v>475541247.29000002</c:v>
                </c:pt>
                <c:pt idx="4">
                  <c:v>404860703.92000002</c:v>
                </c:pt>
                <c:pt idx="5">
                  <c:v>368978529.88999999</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1073549556.55</c:v>
                </c:pt>
                <c:pt idx="1">
                  <c:v>681953910.48000002</c:v>
                </c:pt>
                <c:pt idx="2">
                  <c:v>294534604.23000002</c:v>
                </c:pt>
                <c:pt idx="3">
                  <c:v>84075285.200000003</c:v>
                </c:pt>
                <c:pt idx="4">
                  <c:v>331647428.75999999</c:v>
                </c:pt>
                <c:pt idx="5">
                  <c:v>291852976.17000002</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2027825438.72</c:v>
                </c:pt>
                <c:pt idx="1">
                  <c:v>992906711.19000006</c:v>
                </c:pt>
                <c:pt idx="2">
                  <c:v>646312977.50999999</c:v>
                </c:pt>
                <c:pt idx="3">
                  <c:v>391465962.09000003</c:v>
                </c:pt>
                <c:pt idx="4">
                  <c:v>73213275.160000026</c:v>
                </c:pt>
                <c:pt idx="5">
                  <c:v>77125553.719999969</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1.8279261993476514E-2</c:v>
                </c:pt>
                <c:pt idx="1">
                  <c:v>-0.18954212144403082</c:v>
                </c:pt>
                <c:pt idx="2">
                  <c:v>2.679698152780367E-2</c:v>
                </c:pt>
                <c:pt idx="3">
                  <c:v>-9.2479952455309711E-2</c:v>
                </c:pt>
                <c:pt idx="4">
                  <c:v>0</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-4.696374831122048E-2</c:v>
                </c:pt>
                <c:pt idx="1">
                  <c:v>0.14041645915152262</c:v>
                </c:pt>
                <c:pt idx="2">
                  <c:v>0.23091264837963288</c:v>
                </c:pt>
                <c:pt idx="3">
                  <c:v>0.34967871762346409</c:v>
                </c:pt>
                <c:pt idx="4">
                  <c:v>-1.8632747929839458E-5</c:v>
                </c:pt>
                <c:pt idx="5">
                  <c:v>-7.141570901762852E-6</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-3.2382402572421354</c:v>
                </c:pt>
                <c:pt idx="1">
                  <c:v>-5.7742823735434659</c:v>
                </c:pt>
                <c:pt idx="2">
                  <c:v>59.321185830582841</c:v>
                </c:pt>
                <c:pt idx="3">
                  <c:v>9.2317182571510266</c:v>
                </c:pt>
                <c:pt idx="4">
                  <c:v>1.1726630980636299</c:v>
                </c:pt>
                <c:pt idx="5">
                  <c:v>1.2244837908923814</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0.43692351441069316</c:v>
                </c:pt>
                <c:pt idx="1">
                  <c:v>0.36707257216421291</c:v>
                </c:pt>
                <c:pt idx="2">
                  <c:v>0.25659395072792984</c:v>
                </c:pt>
                <c:pt idx="3">
                  <c:v>26.597014452297302</c:v>
                </c:pt>
                <c:pt idx="4">
                  <c:v>0.80943874886635003</c:v>
                </c:pt>
                <c:pt idx="5">
                  <c:v>0.80702434976924586</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0.91242572306356851</c:v>
                </c:pt>
                <c:pt idx="1">
                  <c:v>0.8289122102268619</c:v>
                </c:pt>
                <c:pt idx="2">
                  <c:v>0.64321025660013342</c:v>
                </c:pt>
                <c:pt idx="3">
                  <c:v>0.82398146334839917</c:v>
                </c:pt>
                <c:pt idx="4">
                  <c:v>9.5444759325869217</c:v>
                </c:pt>
                <c:pt idx="5">
                  <c:v>6.817464380724565</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1.336971024735758</c:v>
                </c:pt>
                <c:pt idx="1">
                  <c:v>24.756343644933892</c:v>
                </c:pt>
                <c:pt idx="2">
                  <c:v>0.6743310169151846</c:v>
                </c:pt>
                <c:pt idx="3">
                  <c:v>28.821540972550391</c:v>
                </c:pt>
                <c:pt idx="4">
                  <c:v>0</c:v>
                </c:pt>
                <c:pt idx="5">
                  <c:v>0</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1.038121494873198</c:v>
                </c:pt>
                <c:pt idx="1">
                  <c:v>7.2726012421203139</c:v>
                </c:pt>
                <c:pt idx="2">
                  <c:v>0.62684980987102512</c:v>
                </c:pt>
                <c:pt idx="3">
                  <c:v>7.7555400056503787</c:v>
                </c:pt>
                <c:pt idx="4">
                  <c:v>0.80943874886635014</c:v>
                </c:pt>
                <c:pt idx="5">
                  <c:v>6.8397977315916E-2</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109.29979589298551</c:v>
                </c:pt>
                <c:pt idx="1">
                  <c:v>141.97428445338133</c:v>
                </c:pt>
                <c:pt idx="2">
                  <c:v>81.874012375816349</c:v>
                </c:pt>
                <c:pt idx="3">
                  <c:v>53.735549494475279</c:v>
                </c:pt>
                <c:pt idx="4">
                  <c:v>1.1453575369517552</c:v>
                </c:pt>
                <c:pt idx="5">
                  <c:v>1.0473140501279816</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0</c:v>
                </c:pt>
                <c:pt idx="1">
                  <c:v>0</c:v>
                </c:pt>
                <c:pt idx="2">
                  <c:v>0</c:v>
                </c:pt>
                <c:pt idx="3">
                  <c:v>0</c:v>
                </c:pt>
                <c:pt idx="4">
                  <c:v>8.3815874783962965</c:v>
                </c:pt>
                <c:pt idx="5">
                  <c:v>68.97105075999454</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21.888781873654978</c:v>
                </c:pt>
                <c:pt idx="1">
                  <c:v>40.598909778865888</c:v>
                </c:pt>
                <c:pt idx="2">
                  <c:v>61.786640048496487</c:v>
                </c:pt>
                <c:pt idx="3">
                  <c:v>111.62584970771073</c:v>
                </c:pt>
                <c:pt idx="4">
                  <c:v>4.1451219831862645</c:v>
                </c:pt>
                <c:pt idx="5">
                  <c:v>3.7173250734550205</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6.4845029772733538</c:v>
                </c:pt>
                <c:pt idx="1">
                  <c:v>4.2611694600870988</c:v>
                </c:pt>
                <c:pt idx="2">
                  <c:v>3.9363662073439518</c:v>
                </c:pt>
                <c:pt idx="3">
                  <c:v>5.0710691074939911</c:v>
                </c:pt>
                <c:pt idx="4">
                  <c:v>4.2814774171036358</c:v>
                </c:pt>
                <c:pt idx="5">
                  <c:v>3.0363439664083054</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44.150101870331014</c:v>
                </c:pt>
                <c:pt idx="1">
                  <c:v>0</c:v>
                </c:pt>
                <c:pt idx="2">
                  <c:v>0</c:v>
                </c:pt>
                <c:pt idx="3">
                  <c:v>0.68845994686325218</c:v>
                </c:pt>
                <c:pt idx="4">
                  <c:v>1.4734465141816351</c:v>
                </c:pt>
                <c:pt idx="5">
                  <c:v>1.5459426811613808</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9.0436325471142549</c:v>
                </c:pt>
                <c:pt idx="1">
                  <c:v>18.010812374181324</c:v>
                </c:pt>
                <c:pt idx="2">
                  <c:v>40.527391953870534</c:v>
                </c:pt>
                <c:pt idx="3">
                  <c:v>5.2052574193266468</c:v>
                </c:pt>
                <c:pt idx="4">
                  <c:v>18.413632136689134</c:v>
                </c:pt>
                <c:pt idx="5">
                  <c:v>-9.0720229497279163</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0.16420020125232673</c:v>
                </c:pt>
                <c:pt idx="1">
                  <c:v>0.12645904364406765</c:v>
                </c:pt>
                <c:pt idx="2">
                  <c:v>9.9512627808589993E-2</c:v>
                </c:pt>
                <c:pt idx="3">
                  <c:v>3.0116031690040805</c:v>
                </c:pt>
                <c:pt idx="4">
                  <c:v>5.592472093848927E-2</c:v>
                </c:pt>
                <c:pt idx="5">
                  <c:v>6.7283388929308227E-2</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0.32510332870347464</c:v>
                </c:pt>
                <c:pt idx="1">
                  <c:v>0.32260653518216165</c:v>
                </c:pt>
                <c:pt idx="2">
                  <c:v>0.3894989327200819</c:v>
                </c:pt>
                <c:pt idx="3">
                  <c:v>0.43945434367874775</c:v>
                </c:pt>
                <c:pt idx="4">
                  <c:v>0.11678109478696778</c:v>
                </c:pt>
                <c:pt idx="5">
                  <c:v>0.13832056229725681</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720077984.14999974</c:v>
                </c:pt>
                <c:pt idx="1">
                  <c:v>769510287.60000014</c:v>
                </c:pt>
                <c:pt idx="2">
                  <c:v>682928346.04000008</c:v>
                </c:pt>
                <c:pt idx="3">
                  <c:v>391771011.03999996</c:v>
                </c:pt>
                <c:pt idx="4">
                  <c:v>11074736.710000027</c:v>
                </c:pt>
                <c:pt idx="5">
                  <c:v>22371641.229999971</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9546589789.4300003</c:v>
                </c:pt>
                <c:pt idx="1">
                  <c:v>5708952320.9099998</c:v>
                </c:pt>
                <c:pt idx="2">
                  <c:v>4969042405.9700003</c:v>
                </c:pt>
                <c:pt idx="3">
                  <c:v>663016824.98000002</c:v>
                </c:pt>
                <c:pt idx="4">
                  <c:v>468020782.88</c:v>
                </c:pt>
                <c:pt idx="5">
                  <c:v>459751046.17000002</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3101374995.27</c:v>
                </c:pt>
                <c:pt idx="1">
                  <c:v>1674860621.6700001</c:v>
                </c:pt>
                <c:pt idx="2">
                  <c:v>940847581.74000001</c:v>
                </c:pt>
                <c:pt idx="3">
                  <c:v>475541247.29000002</c:v>
                </c:pt>
                <c:pt idx="4">
                  <c:v>404860703.92000002</c:v>
                </c:pt>
                <c:pt idx="5">
                  <c:v>368978529.88999999</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1008267334.5199999</c:v>
                </c:pt>
                <c:pt idx="1">
                  <c:v>540320982.07000005</c:v>
                </c:pt>
                <c:pt idx="2">
                  <c:v>366459128.94</c:v>
                </c:pt>
                <c:pt idx="3">
                  <c:v>208978666.72000003</c:v>
                </c:pt>
                <c:pt idx="4">
                  <c:v>47280076.240000024</c:v>
                </c:pt>
                <c:pt idx="5">
                  <c:v>51037317.729999974</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42402449.289999999</c:v>
                </c:pt>
                <c:pt idx="1">
                  <c:v>-12823244.01</c:v>
                </c:pt>
                <c:pt idx="2">
                  <c:v>37387981.030000001</c:v>
                </c:pt>
                <c:pt idx="3">
                  <c:v>-1525873.72</c:v>
                </c:pt>
                <c:pt idx="4">
                  <c:v>0</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2319702475.1399999</c:v>
                </c:pt>
                <c:pt idx="1">
                  <c:v>67653795.959999993</c:v>
                </c:pt>
                <c:pt idx="2">
                  <c:v>1395231063.29</c:v>
                </c:pt>
                <c:pt idx="3">
                  <c:v>16499508.050000001</c:v>
                </c:pt>
                <c:pt idx="4">
                  <c:v>0</c:v>
                </c:pt>
                <c:pt idx="5">
                  <c:v>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0.80633659258037893</c:v>
                </c:pt>
                <c:pt idx="1">
                  <c:v>0.90753625523590919</c:v>
                </c:pt>
                <c:pt idx="2">
                  <c:v>0.84376900434169499</c:v>
                </c:pt>
                <c:pt idx="3">
                  <c:v>0.85852512510137846</c:v>
                </c:pt>
                <c:pt idx="4">
                  <c:v>0.87837238900868608</c:v>
                </c:pt>
                <c:pt idx="5">
                  <c:v>1.0566680426460002</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0.63948666539951537</c:v>
                </c:pt>
                <c:pt idx="1">
                  <c:v>0.73599431997669995</c:v>
                </c:pt>
                <c:pt idx="2">
                  <c:v>0.70109448842661803</c:v>
                </c:pt>
                <c:pt idx="3">
                  <c:v>0.74000412068886623</c:v>
                </c:pt>
                <c:pt idx="4">
                  <c:v>0.85473279204434116</c:v>
                </c:pt>
                <c:pt idx="5">
                  <c:v>0.97493568680680542</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1.0003207707104254</c:v>
                </c:pt>
                <c:pt idx="1">
                  <c:v>0.95747226531660179</c:v>
                </c:pt>
                <c:pt idx="2">
                  <c:v>0.87848471664167826</c:v>
                </c:pt>
                <c:pt idx="3">
                  <c:v>0.65743873027362099</c:v>
                </c:pt>
                <c:pt idx="4">
                  <c:v>0.98233684717329783</c:v>
                </c:pt>
                <c:pt idx="5">
                  <c:v>1.7877073582587726</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1.2418921994756007</c:v>
                </c:pt>
                <c:pt idx="1">
                  <c:v>0.65257307758181549</c:v>
                </c:pt>
                <c:pt idx="2">
                  <c:v>0.46830017424883391</c:v>
                </c:pt>
                <c:pt idx="3">
                  <c:v>0.332458374125853</c:v>
                </c:pt>
                <c:pt idx="4">
                  <c:v>3.0575111126050345</c:v>
                </c:pt>
                <c:pt idx="5">
                  <c:v>3.1501776210989276</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0.62786282494917411</c:v>
                </c:pt>
                <c:pt idx="1">
                  <c:v>0.5799200759940879</c:v>
                </c:pt>
                <c:pt idx="2">
                  <c:v>1.3186255732659917</c:v>
                </c:pt>
                <c:pt idx="3">
                  <c:v>15.292905666892445</c:v>
                </c:pt>
                <c:pt idx="4">
                  <c:v>-0.86444274643237617</c:v>
                </c:pt>
                <c:pt idx="5">
                  <c:v>3.2474489413303833</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894259231.52999997</c:v>
                </c:pt>
                <c:pt idx="1">
                  <c:v>502161696.61000001</c:v>
                </c:pt>
                <c:pt idx="2">
                  <c:v>319815463.44999999</c:v>
                </c:pt>
                <c:pt idx="3">
                  <c:v>130247553.36</c:v>
                </c:pt>
                <c:pt idx="4">
                  <c:v>33861130.560000002</c:v>
                </c:pt>
                <c:pt idx="5">
                  <c:v>70474643.549999997</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893972471.34526575</c:v>
                </c:pt>
                <c:pt idx="1">
                  <c:v>524466049.61863112</c:v>
                </c:pt>
                <c:pt idx="2">
                  <c:v>364053531.48613542</c:v>
                </c:pt>
                <c:pt idx="3">
                  <c:v>198113599.58332843</c:v>
                </c:pt>
                <c:pt idx="4">
                  <c:v>34469979.068215109</c:v>
                </c:pt>
                <c:pt idx="5">
                  <c:v>39421800.902941026</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720077984.14999974</c:v>
                </c:pt>
                <c:pt idx="1">
                  <c:v>769510287.60000014</c:v>
                </c:pt>
                <c:pt idx="2">
                  <c:v>682928346.04000008</c:v>
                </c:pt>
                <c:pt idx="3">
                  <c:v>391771011.03999996</c:v>
                </c:pt>
                <c:pt idx="4">
                  <c:v>11074736.710000027</c:v>
                </c:pt>
                <c:pt idx="5">
                  <c:v>22371641.229999971</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960119</xdr:colOff>
      <xdr:row>57</xdr:row>
      <xdr:rowOff>315277</xdr:rowOff>
    </xdr:from>
    <xdr:to>
      <xdr:col>83</xdr:col>
      <xdr:colOff>876300</xdr:colOff>
      <xdr:row>72</xdr:row>
      <xdr:rowOff>5715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Q85"/>
  <sheetViews>
    <sheetView workbookViewId="0">
      <selection activeCell="Y25" sqref="Y25"/>
    </sheetView>
  </sheetViews>
  <sheetFormatPr defaultRowHeight="14.4" x14ac:dyDescent="0.25"/>
  <cols>
    <col min="1" max="1" width="35.88671875" style="189" bestFit="1" customWidth="1"/>
    <col min="2" max="4" width="12.77734375" style="189" hidden="1" customWidth="1"/>
    <col min="5" max="5" width="12.77734375" style="189" bestFit="1" customWidth="1"/>
    <col min="6" max="8" width="12.77734375" style="189" hidden="1" customWidth="1"/>
    <col min="9" max="9" width="12.77734375" style="189" bestFit="1" customWidth="1"/>
    <col min="10" max="12" width="12.77734375" style="189" hidden="1" customWidth="1"/>
    <col min="13" max="13" width="12.77734375" style="189" bestFit="1" customWidth="1"/>
    <col min="14" max="16" width="13.88671875" style="189" hidden="1" customWidth="1"/>
    <col min="17" max="17" width="13.88671875" style="189" bestFit="1" customWidth="1"/>
    <col min="18" max="20" width="13.88671875" style="189" hidden="1" customWidth="1"/>
    <col min="21" max="21" width="13.88671875" style="189" bestFit="1" customWidth="1"/>
    <col min="22" max="24" width="13.88671875" style="189" hidden="1" customWidth="1"/>
    <col min="25" max="25" width="13.88671875" style="189" bestFit="1" customWidth="1"/>
    <col min="26" max="27" width="12.77734375" style="189" hidden="1" customWidth="1"/>
    <col min="28" max="28" width="13.88671875" style="189" hidden="1" customWidth="1"/>
    <col min="29" max="29" width="12.77734375" style="189" bestFit="1" customWidth="1"/>
    <col min="30" max="32" width="12.77734375" style="189" hidden="1" customWidth="1"/>
    <col min="33" max="33" width="12.77734375" style="189" bestFit="1" customWidth="1"/>
    <col min="34" max="36" width="12.77734375" style="189" hidden="1" customWidth="1"/>
    <col min="37" max="37" width="12.77734375" style="189" bestFit="1" customWidth="1"/>
    <col min="38" max="39" width="12.77734375" style="189" hidden="1" customWidth="1"/>
    <col min="40" max="42" width="12.77734375" style="189" bestFit="1" customWidth="1"/>
    <col min="43" max="43" width="9.5546875" style="189" hidden="1" customWidth="1"/>
    <col min="44" max="16384" width="8.88671875" style="189"/>
  </cols>
  <sheetData>
    <row r="1" spans="1:43" x14ac:dyDescent="0.25">
      <c r="A1" s="189">
        <v>2354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20081231</v>
      </c>
      <c r="AO1" s="189">
        <v>20071231</v>
      </c>
      <c r="AP1" s="189">
        <v>20061231</v>
      </c>
      <c r="AQ1" s="189">
        <v>19700101</v>
      </c>
    </row>
    <row r="2" spans="1:43"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row>
    <row r="3" spans="1:43" x14ac:dyDescent="0.25">
      <c r="A3" s="189" t="s">
        <v>107</v>
      </c>
    </row>
    <row r="4" spans="1:43" x14ac:dyDescent="0.25">
      <c r="A4" s="189" t="s">
        <v>108</v>
      </c>
      <c r="B4" s="189">
        <v>689711559.17999995</v>
      </c>
      <c r="C4" s="189">
        <v>735462342.48000002</v>
      </c>
      <c r="D4" s="189">
        <v>871060432.91999996</v>
      </c>
      <c r="E4" s="189">
        <v>1821935167.8199999</v>
      </c>
      <c r="F4" s="189">
        <v>1016691198.55</v>
      </c>
      <c r="G4" s="189">
        <v>1418456569.29</v>
      </c>
      <c r="H4" s="189">
        <v>1343853656.22</v>
      </c>
      <c r="I4" s="189">
        <v>557389179.04999995</v>
      </c>
      <c r="J4" s="189">
        <v>570936467.61000001</v>
      </c>
      <c r="K4" s="189">
        <v>529553629.87</v>
      </c>
      <c r="L4" s="189">
        <v>479391067.43000001</v>
      </c>
      <c r="M4" s="189">
        <v>723548741.70000005</v>
      </c>
      <c r="N4" s="189">
        <v>117825869.54000001</v>
      </c>
      <c r="O4" s="189">
        <v>228271748.52000001</v>
      </c>
      <c r="P4" s="189">
        <v>205762227.22999999</v>
      </c>
      <c r="Q4" s="189">
        <v>228364950.08000001</v>
      </c>
      <c r="R4" s="189">
        <v>153746705.91</v>
      </c>
      <c r="S4" s="189">
        <v>14602570.91</v>
      </c>
      <c r="T4" s="189">
        <v>10715084.869999999</v>
      </c>
      <c r="U4" s="189">
        <v>42418327.289999999</v>
      </c>
      <c r="V4" s="189">
        <v>12761108.08</v>
      </c>
      <c r="W4" s="189">
        <v>39144749.439999998</v>
      </c>
      <c r="X4" s="189">
        <v>21321356.449999999</v>
      </c>
      <c r="Y4" s="189">
        <v>54122546.049999997</v>
      </c>
      <c r="Z4" s="189">
        <v>38321114.700000003</v>
      </c>
      <c r="AA4" s="189">
        <v>70190763.319999993</v>
      </c>
      <c r="AB4" s="189">
        <v>39778689.759999998</v>
      </c>
      <c r="AC4" s="189">
        <v>93450674.209999993</v>
      </c>
      <c r="AD4" s="189">
        <v>179512468.30000001</v>
      </c>
      <c r="AE4" s="189">
        <v>191300366.84</v>
      </c>
      <c r="AF4" s="189">
        <v>178815596.55000001</v>
      </c>
      <c r="AG4" s="189">
        <v>205608853.86000001</v>
      </c>
      <c r="AH4" s="189">
        <v>213469557.75999999</v>
      </c>
      <c r="AI4" s="189">
        <v>238346614.25</v>
      </c>
      <c r="AJ4" s="189">
        <v>260254380.81999999</v>
      </c>
      <c r="AK4" s="189">
        <v>26384685.460000001</v>
      </c>
      <c r="AL4" s="189">
        <v>3202539.9</v>
      </c>
      <c r="AM4" s="189">
        <v>19362901.329999998</v>
      </c>
      <c r="AN4" s="189">
        <v>8902627.6600000001</v>
      </c>
      <c r="AO4" s="189">
        <v>19424731.329999998</v>
      </c>
      <c r="AP4" s="189">
        <v>2308435.96</v>
      </c>
      <c r="AQ4" s="189">
        <v>0</v>
      </c>
    </row>
    <row r="5" spans="1:43" x14ac:dyDescent="0.25">
      <c r="A5" s="189" t="s">
        <v>109</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0</v>
      </c>
      <c r="AD5" s="189">
        <v>0</v>
      </c>
      <c r="AE5" s="189">
        <v>0</v>
      </c>
      <c r="AF5" s="189">
        <v>0</v>
      </c>
      <c r="AG5" s="189">
        <v>0</v>
      </c>
      <c r="AH5" s="189">
        <v>0</v>
      </c>
      <c r="AI5" s="189">
        <v>0</v>
      </c>
      <c r="AJ5" s="189">
        <v>0</v>
      </c>
      <c r="AK5" s="189">
        <v>0</v>
      </c>
      <c r="AL5" s="189">
        <v>0</v>
      </c>
      <c r="AM5" s="189">
        <v>0</v>
      </c>
      <c r="AN5" s="189">
        <v>0</v>
      </c>
      <c r="AO5" s="189">
        <v>0</v>
      </c>
      <c r="AP5" s="189">
        <v>0</v>
      </c>
      <c r="AQ5" s="189">
        <v>0</v>
      </c>
    </row>
    <row r="6" spans="1:43" x14ac:dyDescent="0.25">
      <c r="A6" s="189" t="s">
        <v>110</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row>
    <row r="7" spans="1:43" x14ac:dyDescent="0.25">
      <c r="A7" s="189" t="s">
        <v>111</v>
      </c>
      <c r="B7" s="189">
        <v>2000000</v>
      </c>
      <c r="C7" s="189">
        <v>2700000</v>
      </c>
      <c r="D7" s="189">
        <v>3000000</v>
      </c>
      <c r="E7" s="189">
        <v>1000000</v>
      </c>
      <c r="F7" s="189">
        <v>7300000</v>
      </c>
      <c r="G7" s="189">
        <v>5500000</v>
      </c>
      <c r="H7" s="189">
        <v>5929000</v>
      </c>
      <c r="I7" s="189">
        <v>0</v>
      </c>
      <c r="J7" s="189">
        <v>0</v>
      </c>
      <c r="K7" s="189">
        <v>0</v>
      </c>
      <c r="L7" s="189">
        <v>0</v>
      </c>
      <c r="M7" s="189">
        <v>0</v>
      </c>
      <c r="N7" s="189">
        <v>0</v>
      </c>
      <c r="O7" s="189">
        <v>0</v>
      </c>
      <c r="P7" s="189">
        <v>0</v>
      </c>
      <c r="Q7" s="189">
        <v>0</v>
      </c>
      <c r="R7" s="189">
        <v>0</v>
      </c>
      <c r="S7" s="189">
        <v>0</v>
      </c>
      <c r="T7" s="189">
        <v>300000</v>
      </c>
      <c r="U7" s="189">
        <v>0</v>
      </c>
      <c r="V7" s="189">
        <v>0</v>
      </c>
      <c r="W7" s="189">
        <v>200000</v>
      </c>
      <c r="X7" s="189">
        <v>200000</v>
      </c>
      <c r="Y7" s="189">
        <v>0</v>
      </c>
      <c r="Z7" s="189">
        <v>0</v>
      </c>
      <c r="AA7" s="189">
        <v>250000</v>
      </c>
      <c r="AB7" s="189">
        <v>8000000</v>
      </c>
      <c r="AC7" s="189">
        <v>10000000</v>
      </c>
      <c r="AD7" s="189">
        <v>0</v>
      </c>
      <c r="AE7" s="189">
        <v>0</v>
      </c>
      <c r="AF7" s="189">
        <v>0</v>
      </c>
      <c r="AG7" s="189">
        <v>0</v>
      </c>
      <c r="AH7" s="189">
        <v>0</v>
      </c>
      <c r="AI7" s="189">
        <v>0</v>
      </c>
      <c r="AJ7" s="189">
        <v>0</v>
      </c>
      <c r="AK7" s="189">
        <v>0</v>
      </c>
      <c r="AL7" s="189">
        <v>0</v>
      </c>
      <c r="AM7" s="189">
        <v>0</v>
      </c>
      <c r="AN7" s="189">
        <v>0</v>
      </c>
      <c r="AO7" s="189">
        <v>0</v>
      </c>
      <c r="AP7" s="189">
        <v>0</v>
      </c>
      <c r="AQ7" s="189">
        <v>0</v>
      </c>
    </row>
    <row r="8" spans="1:43" x14ac:dyDescent="0.25">
      <c r="A8" s="189" t="s">
        <v>112</v>
      </c>
      <c r="B8" s="189">
        <v>742737184.88</v>
      </c>
      <c r="C8" s="189">
        <v>750686483.12</v>
      </c>
      <c r="D8" s="189">
        <v>845935033.28999996</v>
      </c>
      <c r="E8" s="189">
        <v>643480407.37</v>
      </c>
      <c r="F8" s="189">
        <v>656473503.36000001</v>
      </c>
      <c r="G8" s="189">
        <v>883216865.25999999</v>
      </c>
      <c r="H8" s="189">
        <v>749874235.73000002</v>
      </c>
      <c r="I8" s="189">
        <v>408152490.01999998</v>
      </c>
      <c r="J8" s="189">
        <v>443116321.20999998</v>
      </c>
      <c r="K8" s="189">
        <v>394892780.70999998</v>
      </c>
      <c r="L8" s="189">
        <v>451209578.62</v>
      </c>
      <c r="M8" s="189">
        <v>416323629.54000002</v>
      </c>
      <c r="N8" s="189">
        <v>122091815.43000001</v>
      </c>
      <c r="O8" s="189">
        <v>121862372.61</v>
      </c>
      <c r="P8" s="189">
        <v>124864343.25</v>
      </c>
      <c r="Q8" s="189">
        <v>86406366.230000004</v>
      </c>
      <c r="R8" s="189">
        <v>80341579.390000001</v>
      </c>
      <c r="S8" s="189">
        <v>55058375.520000003</v>
      </c>
      <c r="T8" s="189">
        <v>75693755.200000003</v>
      </c>
      <c r="U8" s="189">
        <v>115626759.81999999</v>
      </c>
      <c r="V8" s="189">
        <v>118558659.37</v>
      </c>
      <c r="W8" s="189">
        <v>135925320.75</v>
      </c>
      <c r="X8" s="189">
        <v>112971046.93000001</v>
      </c>
      <c r="Y8" s="189">
        <v>96906207.650000006</v>
      </c>
      <c r="Z8" s="189">
        <v>153388526.74000001</v>
      </c>
      <c r="AA8" s="189">
        <v>141858411.65000001</v>
      </c>
      <c r="AB8" s="189">
        <v>147229265.99000001</v>
      </c>
      <c r="AC8" s="189">
        <v>147382117.30000001</v>
      </c>
      <c r="AD8" s="189">
        <v>136201347.12</v>
      </c>
      <c r="AE8" s="189">
        <v>117402210.65000001</v>
      </c>
      <c r="AF8" s="189">
        <v>91255533.150000006</v>
      </c>
      <c r="AG8" s="189">
        <v>78065003.079999998</v>
      </c>
      <c r="AH8" s="189">
        <v>73622413.280000001</v>
      </c>
      <c r="AI8" s="189">
        <v>74547782.370000005</v>
      </c>
      <c r="AJ8" s="189">
        <v>67563499.579999998</v>
      </c>
      <c r="AK8" s="189">
        <v>59683203.369999997</v>
      </c>
      <c r="AL8" s="189">
        <v>59050053.530000001</v>
      </c>
      <c r="AM8" s="189">
        <v>53489444.130000003</v>
      </c>
      <c r="AN8" s="189">
        <v>56899084.759999998</v>
      </c>
      <c r="AO8" s="189">
        <v>34639732.359999999</v>
      </c>
      <c r="AP8" s="189">
        <v>23562597.77</v>
      </c>
      <c r="AQ8" s="189">
        <v>0</v>
      </c>
    </row>
    <row r="9" spans="1:43" x14ac:dyDescent="0.25">
      <c r="A9" s="189" t="s">
        <v>113</v>
      </c>
      <c r="B9" s="189">
        <v>350485838.88</v>
      </c>
      <c r="C9" s="189">
        <v>329447339.72000003</v>
      </c>
      <c r="D9" s="189">
        <v>264598578.13999999</v>
      </c>
      <c r="E9" s="189">
        <v>145316958.97</v>
      </c>
      <c r="F9" s="189">
        <v>263528065.19999999</v>
      </c>
      <c r="G9" s="189">
        <v>177760838.40000001</v>
      </c>
      <c r="H9" s="189">
        <v>231933894.87</v>
      </c>
      <c r="I9" s="189">
        <v>23391424.100000001</v>
      </c>
      <c r="J9" s="189">
        <v>54131909.079999998</v>
      </c>
      <c r="K9" s="189">
        <v>54246335.369999997</v>
      </c>
      <c r="L9" s="189">
        <v>75690497.200000003</v>
      </c>
      <c r="M9" s="189">
        <v>80968765.150000006</v>
      </c>
      <c r="N9" s="189">
        <v>35581222.579999998</v>
      </c>
      <c r="O9" s="189">
        <v>11655768.9</v>
      </c>
      <c r="P9" s="189">
        <v>17143562.390000001</v>
      </c>
      <c r="Q9" s="189">
        <v>3700484.57</v>
      </c>
      <c r="R9" s="189">
        <v>11485418.77</v>
      </c>
      <c r="S9" s="189">
        <v>31442552.27</v>
      </c>
      <c r="T9" s="189">
        <v>70961375.989999995</v>
      </c>
      <c r="U9" s="189">
        <v>59418838.549999997</v>
      </c>
      <c r="V9" s="189">
        <v>109447833.95999999</v>
      </c>
      <c r="W9" s="189">
        <v>99780002.469999999</v>
      </c>
      <c r="X9" s="189">
        <v>89734535.799999997</v>
      </c>
      <c r="Y9" s="189">
        <v>91319397.469999999</v>
      </c>
      <c r="Z9" s="189">
        <v>99364848.569999993</v>
      </c>
      <c r="AA9" s="189">
        <v>103731805.2</v>
      </c>
      <c r="AB9" s="189">
        <v>191460438.09</v>
      </c>
      <c r="AC9" s="189">
        <v>170124795.06999999</v>
      </c>
      <c r="AD9" s="189">
        <v>178041769.49000001</v>
      </c>
      <c r="AE9" s="189">
        <v>109114602.94</v>
      </c>
      <c r="AF9" s="189">
        <v>131214899.16</v>
      </c>
      <c r="AG9" s="189">
        <v>90769773.620000005</v>
      </c>
      <c r="AH9" s="189">
        <v>97631588.829999998</v>
      </c>
      <c r="AI9" s="189">
        <v>66545124.350000001</v>
      </c>
      <c r="AJ9" s="189">
        <v>36781348.32</v>
      </c>
      <c r="AK9" s="189">
        <v>8657170.9800000004</v>
      </c>
      <c r="AL9" s="189">
        <v>582558.87</v>
      </c>
      <c r="AM9" s="189">
        <v>6700457.8600000003</v>
      </c>
      <c r="AN9" s="189">
        <v>8818007.8000000007</v>
      </c>
      <c r="AO9" s="189">
        <v>20538798.170000002</v>
      </c>
      <c r="AP9" s="189">
        <v>15250224.02</v>
      </c>
      <c r="AQ9" s="189">
        <v>0</v>
      </c>
    </row>
    <row r="10" spans="1:43" x14ac:dyDescent="0.25">
      <c r="A10" s="189" t="s">
        <v>114</v>
      </c>
      <c r="B10" s="189">
        <v>0</v>
      </c>
      <c r="C10" s="189">
        <v>386293.81</v>
      </c>
      <c r="D10" s="189">
        <v>882284.6</v>
      </c>
      <c r="E10" s="189">
        <v>780063.25</v>
      </c>
      <c r="F10" s="189">
        <v>812784.01</v>
      </c>
      <c r="G10" s="189">
        <v>230968.65</v>
      </c>
      <c r="H10" s="189">
        <v>0</v>
      </c>
      <c r="I10" s="189">
        <v>0</v>
      </c>
      <c r="J10" s="189">
        <v>1466500.68</v>
      </c>
      <c r="K10" s="189">
        <v>920550</v>
      </c>
      <c r="L10" s="189">
        <v>0</v>
      </c>
      <c r="M10" s="189">
        <v>59933.32</v>
      </c>
      <c r="N10" s="189">
        <v>91683.76</v>
      </c>
      <c r="O10" s="189">
        <v>133125.46</v>
      </c>
      <c r="P10" s="189">
        <v>212628.57</v>
      </c>
      <c r="Q10" s="189">
        <v>29269.86</v>
      </c>
      <c r="R10" s="189">
        <v>407671.24</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row>
    <row r="11" spans="1:43" x14ac:dyDescent="0.25">
      <c r="A11" s="189" t="s">
        <v>115</v>
      </c>
      <c r="B11" s="189">
        <v>0</v>
      </c>
      <c r="C11" s="189">
        <v>0</v>
      </c>
      <c r="D11" s="189">
        <v>1017275.6</v>
      </c>
      <c r="E11" s="189">
        <v>1017275.6</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v>0</v>
      </c>
      <c r="AO11" s="189">
        <v>0</v>
      </c>
      <c r="AP11" s="189">
        <v>0</v>
      </c>
      <c r="AQ11" s="189">
        <v>0</v>
      </c>
    </row>
    <row r="12" spans="1:43" x14ac:dyDescent="0.25">
      <c r="A12" s="189" t="s">
        <v>116</v>
      </c>
      <c r="B12" s="189">
        <v>403062788.41000003</v>
      </c>
      <c r="C12" s="189">
        <v>501500018.19</v>
      </c>
      <c r="D12" s="189">
        <v>394909704.41000003</v>
      </c>
      <c r="E12" s="189">
        <v>353089398.63999999</v>
      </c>
      <c r="F12" s="189">
        <v>219904625.34999999</v>
      </c>
      <c r="G12" s="189">
        <v>132971434.42</v>
      </c>
      <c r="H12" s="189">
        <v>130734642.42</v>
      </c>
      <c r="I12" s="189">
        <v>96162538.140000001</v>
      </c>
      <c r="J12" s="189">
        <v>62142504.380000003</v>
      </c>
      <c r="K12" s="189">
        <v>65423999.549999997</v>
      </c>
      <c r="L12" s="189">
        <v>50885945.729999997</v>
      </c>
      <c r="M12" s="189">
        <v>21908518.75</v>
      </c>
      <c r="N12" s="189">
        <v>57773807.950000003</v>
      </c>
      <c r="O12" s="189">
        <v>54535257.689999998</v>
      </c>
      <c r="P12" s="189">
        <v>28874761.620000001</v>
      </c>
      <c r="Q12" s="189">
        <v>15393028.33</v>
      </c>
      <c r="R12" s="189">
        <v>101731248.59</v>
      </c>
      <c r="S12" s="189">
        <v>4375208.2699999996</v>
      </c>
      <c r="T12" s="189">
        <v>5292573.95</v>
      </c>
      <c r="U12" s="189">
        <v>2361236.2799999998</v>
      </c>
      <c r="V12" s="189">
        <v>8895951.4299999997</v>
      </c>
      <c r="W12" s="189">
        <v>7891416.5800000001</v>
      </c>
      <c r="X12" s="189">
        <v>12376720.279999999</v>
      </c>
      <c r="Y12" s="189">
        <v>1919475.55</v>
      </c>
      <c r="Z12" s="189">
        <v>8562155.3599999994</v>
      </c>
      <c r="AA12" s="189">
        <v>5603639.7800000003</v>
      </c>
      <c r="AB12" s="189">
        <v>11777229.390000001</v>
      </c>
      <c r="AC12" s="189">
        <v>22963275.699999999</v>
      </c>
      <c r="AD12" s="189">
        <v>7757527.0800000001</v>
      </c>
      <c r="AE12" s="189">
        <v>6206360.2699999996</v>
      </c>
      <c r="AF12" s="189">
        <v>4988533.59</v>
      </c>
      <c r="AG12" s="189">
        <v>1635410.72</v>
      </c>
      <c r="AH12" s="189">
        <v>4854080.8600000003</v>
      </c>
      <c r="AI12" s="189">
        <v>4163731.51</v>
      </c>
      <c r="AJ12" s="189">
        <v>3793761.98</v>
      </c>
      <c r="AK12" s="189">
        <v>7666709.4500000002</v>
      </c>
      <c r="AL12" s="189">
        <v>13093831.810000001</v>
      </c>
      <c r="AM12" s="189">
        <v>6593639.4699999997</v>
      </c>
      <c r="AN12" s="189">
        <v>10882181.51</v>
      </c>
      <c r="AO12" s="189">
        <v>2765040.82</v>
      </c>
      <c r="AP12" s="189">
        <v>7051943.79</v>
      </c>
      <c r="AQ12" s="189">
        <v>0</v>
      </c>
    </row>
    <row r="13" spans="1:43" x14ac:dyDescent="0.25">
      <c r="A13" s="189" t="s">
        <v>117</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row>
    <row r="14" spans="1:43" x14ac:dyDescent="0.25">
      <c r="A14" s="189" t="s">
        <v>118</v>
      </c>
      <c r="B14" s="189">
        <v>42862800.229999997</v>
      </c>
      <c r="C14" s="189">
        <v>46445789.039999999</v>
      </c>
      <c r="D14" s="189">
        <v>55843503.469999999</v>
      </c>
      <c r="E14" s="189">
        <v>48631804.280000001</v>
      </c>
      <c r="F14" s="189">
        <v>60359811.289999999</v>
      </c>
      <c r="G14" s="189">
        <v>28474288.190000001</v>
      </c>
      <c r="H14" s="189">
        <v>46400580.659999996</v>
      </c>
      <c r="I14" s="189">
        <v>0</v>
      </c>
      <c r="J14" s="189">
        <v>0</v>
      </c>
      <c r="K14" s="189">
        <v>0</v>
      </c>
      <c r="L14" s="189">
        <v>0</v>
      </c>
      <c r="M14" s="189">
        <v>0</v>
      </c>
      <c r="N14" s="189">
        <v>0</v>
      </c>
      <c r="O14" s="189">
        <v>0</v>
      </c>
      <c r="P14" s="189">
        <v>0</v>
      </c>
      <c r="Q14" s="189">
        <v>0</v>
      </c>
      <c r="R14" s="189">
        <v>0</v>
      </c>
      <c r="S14" s="189">
        <v>261959175.13</v>
      </c>
      <c r="T14" s="189">
        <v>243002467.81999999</v>
      </c>
      <c r="U14" s="189">
        <v>244241616.62</v>
      </c>
      <c r="V14" s="189">
        <v>231657013.03</v>
      </c>
      <c r="W14" s="189">
        <v>226678671.16</v>
      </c>
      <c r="X14" s="189">
        <v>221384254.38999999</v>
      </c>
      <c r="Y14" s="189">
        <v>205923931.38999999</v>
      </c>
      <c r="Z14" s="189">
        <v>202053770.15000001</v>
      </c>
      <c r="AA14" s="189">
        <v>186275276.88999999</v>
      </c>
      <c r="AB14" s="189">
        <v>190051251.41999999</v>
      </c>
      <c r="AC14" s="189">
        <v>171648898.09</v>
      </c>
      <c r="AD14" s="189">
        <v>185907408.28</v>
      </c>
      <c r="AE14" s="189">
        <v>176435410.56</v>
      </c>
      <c r="AF14" s="189">
        <v>157275477.65000001</v>
      </c>
      <c r="AG14" s="189">
        <v>156983240.11000001</v>
      </c>
      <c r="AH14" s="189">
        <v>141244157.72999999</v>
      </c>
      <c r="AI14" s="189">
        <v>124363796.44</v>
      </c>
      <c r="AJ14" s="189">
        <v>100684649.66</v>
      </c>
      <c r="AK14" s="189">
        <v>85575879.829999998</v>
      </c>
      <c r="AL14" s="189">
        <v>76244122.519999996</v>
      </c>
      <c r="AM14" s="189">
        <v>66186789.520000003</v>
      </c>
      <c r="AN14" s="189">
        <v>79815453.790000007</v>
      </c>
      <c r="AO14" s="189">
        <v>76524736.989999995</v>
      </c>
      <c r="AP14" s="189">
        <v>60159439.409999996</v>
      </c>
      <c r="AQ14" s="189">
        <v>0</v>
      </c>
    </row>
    <row r="15" spans="1:43" x14ac:dyDescent="0.25">
      <c r="A15" s="189" t="s">
        <v>119</v>
      </c>
      <c r="B15" s="189">
        <v>0</v>
      </c>
      <c r="C15" s="189">
        <v>0</v>
      </c>
      <c r="D15" s="189">
        <v>0</v>
      </c>
      <c r="E15" s="189">
        <v>0</v>
      </c>
      <c r="F15" s="189">
        <v>0</v>
      </c>
      <c r="G15" s="189">
        <v>0</v>
      </c>
      <c r="H15" s="189">
        <v>0</v>
      </c>
      <c r="I15" s="189">
        <v>0</v>
      </c>
      <c r="J15" s="189">
        <v>120047566.58</v>
      </c>
      <c r="K15" s="189">
        <v>120047566.58</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row>
    <row r="16" spans="1:43" x14ac:dyDescent="0.25">
      <c r="A16" s="189" t="s">
        <v>120</v>
      </c>
      <c r="B16" s="189">
        <v>0</v>
      </c>
      <c r="C16" s="189">
        <v>0</v>
      </c>
      <c r="D16" s="189">
        <v>0</v>
      </c>
      <c r="E16" s="189">
        <v>0</v>
      </c>
      <c r="F16" s="189">
        <v>143611.82999999999</v>
      </c>
      <c r="G16" s="189">
        <v>518214.24</v>
      </c>
      <c r="H16" s="189">
        <v>4726943.3499999996</v>
      </c>
      <c r="I16" s="189">
        <v>1700761.84</v>
      </c>
      <c r="J16" s="189">
        <v>3767784.89</v>
      </c>
      <c r="K16" s="189">
        <v>3931132.91</v>
      </c>
      <c r="L16" s="189">
        <v>3905232.56</v>
      </c>
      <c r="M16" s="189">
        <v>4048524.77</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row>
    <row r="17" spans="1:43" x14ac:dyDescent="0.25">
      <c r="A17" s="189" t="s">
        <v>121</v>
      </c>
      <c r="B17" s="189">
        <v>0</v>
      </c>
      <c r="C17" s="189">
        <v>0</v>
      </c>
      <c r="D17" s="189">
        <v>0</v>
      </c>
      <c r="E17" s="189">
        <v>0</v>
      </c>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row>
    <row r="18" spans="1:43" x14ac:dyDescent="0.25">
      <c r="A18" s="189" t="s">
        <v>122</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row>
    <row r="19" spans="1:43" x14ac:dyDescent="0.25">
      <c r="A19" s="189" t="s">
        <v>123</v>
      </c>
      <c r="B19" s="189">
        <v>49689890.350000001</v>
      </c>
      <c r="C19" s="189">
        <v>74578119.719999999</v>
      </c>
      <c r="D19" s="189">
        <v>138666822.58000001</v>
      </c>
      <c r="E19" s="189">
        <v>280955900.57999998</v>
      </c>
      <c r="F19" s="189">
        <v>164440576.09999999</v>
      </c>
      <c r="G19" s="189">
        <v>178874448.08000001</v>
      </c>
      <c r="H19" s="189">
        <v>9706049.3100000005</v>
      </c>
      <c r="I19" s="189">
        <v>57228634.920000002</v>
      </c>
      <c r="J19" s="189">
        <v>31376847.039999999</v>
      </c>
      <c r="K19" s="189">
        <v>31644343.300000001</v>
      </c>
      <c r="L19" s="189">
        <v>32163995.859999999</v>
      </c>
      <c r="M19" s="189">
        <v>154477715.94999999</v>
      </c>
      <c r="N19" s="189">
        <v>70058.429999999993</v>
      </c>
      <c r="O19" s="189">
        <v>50187279.18</v>
      </c>
      <c r="P19" s="189">
        <v>81782473.849999994</v>
      </c>
      <c r="Q19" s="189">
        <v>219388.05</v>
      </c>
      <c r="R19" s="189">
        <v>50000000</v>
      </c>
      <c r="S19" s="189">
        <v>4262660.0199999996</v>
      </c>
      <c r="T19" s="189">
        <v>5262660.0199999996</v>
      </c>
      <c r="U19" s="189">
        <v>5262660.0199999996</v>
      </c>
      <c r="V19" s="189">
        <v>2766263.63</v>
      </c>
      <c r="W19" s="189">
        <v>1766263.63</v>
      </c>
      <c r="X19" s="189">
        <v>2766263.63</v>
      </c>
      <c r="Y19" s="189">
        <v>2766263.63</v>
      </c>
      <c r="Z19" s="189">
        <v>27518660.949999999</v>
      </c>
      <c r="AA19" s="189">
        <v>26983136.98</v>
      </c>
      <c r="AB19" s="189">
        <v>2531769.92</v>
      </c>
      <c r="AC19" s="189">
        <v>2600005.2000000002</v>
      </c>
      <c r="AD19" s="189">
        <v>1938392.44</v>
      </c>
      <c r="AE19" s="189">
        <v>1314158.3999999999</v>
      </c>
      <c r="AF19" s="189">
        <v>200000</v>
      </c>
      <c r="AG19" s="189">
        <v>2125983.0099999998</v>
      </c>
      <c r="AH19" s="189">
        <v>0</v>
      </c>
      <c r="AI19" s="189">
        <v>0</v>
      </c>
      <c r="AJ19" s="189">
        <v>0</v>
      </c>
      <c r="AK19" s="189">
        <v>0</v>
      </c>
      <c r="AL19" s="189">
        <v>0</v>
      </c>
      <c r="AM19" s="189">
        <v>0</v>
      </c>
      <c r="AN19" s="189">
        <v>0</v>
      </c>
      <c r="AO19" s="189">
        <v>318690.52</v>
      </c>
      <c r="AP19" s="189">
        <v>637705.06999999995</v>
      </c>
      <c r="AQ19" s="189">
        <v>0</v>
      </c>
    </row>
    <row r="20" spans="1:43" x14ac:dyDescent="0.25">
      <c r="A20" s="189" t="s">
        <v>124</v>
      </c>
      <c r="B20" s="189">
        <v>2280550061.9299998</v>
      </c>
      <c r="C20" s="189">
        <v>2441206386.0799999</v>
      </c>
      <c r="D20" s="189">
        <v>2575913635.0100002</v>
      </c>
      <c r="E20" s="189">
        <v>3296206976.5100002</v>
      </c>
      <c r="F20" s="189">
        <v>2389654175.6900001</v>
      </c>
      <c r="G20" s="189">
        <v>2826003626.5300002</v>
      </c>
      <c r="H20" s="189">
        <v>2523159002.5599999</v>
      </c>
      <c r="I20" s="189">
        <v>1144025028.0699999</v>
      </c>
      <c r="J20" s="189">
        <v>1286985901.47</v>
      </c>
      <c r="K20" s="189">
        <v>1200660338.29</v>
      </c>
      <c r="L20" s="189">
        <v>1093246317.4000001</v>
      </c>
      <c r="M20" s="189">
        <v>1401335829.1800001</v>
      </c>
      <c r="N20" s="189">
        <v>333434457.69</v>
      </c>
      <c r="O20" s="189">
        <v>466645552.36000001</v>
      </c>
      <c r="P20" s="189">
        <v>458639996.91000003</v>
      </c>
      <c r="Q20" s="189">
        <v>334113487.12</v>
      </c>
      <c r="R20" s="189">
        <v>397712623.89999998</v>
      </c>
      <c r="S20" s="189">
        <v>371700542.12</v>
      </c>
      <c r="T20" s="189">
        <v>411227917.85000002</v>
      </c>
      <c r="U20" s="189">
        <v>469329438.57999998</v>
      </c>
      <c r="V20" s="189">
        <v>484086829.5</v>
      </c>
      <c r="W20" s="189">
        <v>511386424.02999997</v>
      </c>
      <c r="X20" s="189">
        <v>460754177.48000002</v>
      </c>
      <c r="Y20" s="189">
        <v>452957821.74000001</v>
      </c>
      <c r="Z20" s="189">
        <v>529209076.47000003</v>
      </c>
      <c r="AA20" s="189">
        <v>534893033.81999999</v>
      </c>
      <c r="AB20" s="189">
        <v>590828644.57000005</v>
      </c>
      <c r="AC20" s="189">
        <v>618169765.57000005</v>
      </c>
      <c r="AD20" s="189">
        <v>689358912.71000004</v>
      </c>
      <c r="AE20" s="189">
        <v>601773109.65999997</v>
      </c>
      <c r="AF20" s="189">
        <v>563750040.10000002</v>
      </c>
      <c r="AG20" s="189">
        <v>535188264.39999998</v>
      </c>
      <c r="AH20" s="189">
        <v>530821798.45999998</v>
      </c>
      <c r="AI20" s="189">
        <v>507967048.92000002</v>
      </c>
      <c r="AJ20" s="189">
        <v>469077640.36000001</v>
      </c>
      <c r="AK20" s="189">
        <v>187967649.09</v>
      </c>
      <c r="AL20" s="189">
        <v>152173106.63</v>
      </c>
      <c r="AM20" s="189">
        <v>152333232.31</v>
      </c>
      <c r="AN20" s="189">
        <v>165317355.52000001</v>
      </c>
      <c r="AO20" s="189">
        <v>154211730.19</v>
      </c>
      <c r="AP20" s="189">
        <v>108970346.02</v>
      </c>
      <c r="AQ20" s="189">
        <v>0</v>
      </c>
    </row>
    <row r="21" spans="1:43" x14ac:dyDescent="0.25">
      <c r="A21" s="189" t="s">
        <v>125</v>
      </c>
    </row>
    <row r="22" spans="1:43" x14ac:dyDescent="0.25">
      <c r="A22" s="189" t="s">
        <v>126</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row>
    <row r="23" spans="1:43" x14ac:dyDescent="0.25">
      <c r="A23" s="189" t="s">
        <v>127</v>
      </c>
      <c r="B23" s="189">
        <v>1570547664.02</v>
      </c>
      <c r="C23" s="189">
        <v>1565678269.3099999</v>
      </c>
      <c r="D23" s="189">
        <v>1547408566.27</v>
      </c>
      <c r="E23" s="189">
        <v>1575311291.5</v>
      </c>
      <c r="F23" s="189">
        <v>1350403074.7</v>
      </c>
      <c r="G23" s="189">
        <v>1416511904.1800001</v>
      </c>
      <c r="H23" s="189">
        <v>1135338311.9000001</v>
      </c>
      <c r="I23" s="189">
        <v>1463163300.46</v>
      </c>
      <c r="J23" s="189">
        <v>706735981.98000002</v>
      </c>
      <c r="K23" s="189">
        <v>553039940.29999995</v>
      </c>
      <c r="L23" s="189">
        <v>707146125.26999998</v>
      </c>
      <c r="M23" s="189">
        <v>739128543.62</v>
      </c>
      <c r="N23" s="189">
        <v>607003051.44000006</v>
      </c>
      <c r="O23" s="189">
        <v>355490189.44</v>
      </c>
      <c r="P23" s="189">
        <v>353731927.24000001</v>
      </c>
      <c r="Q23" s="189">
        <v>348731927.24000001</v>
      </c>
      <c r="R23" s="189">
        <v>231122112</v>
      </c>
      <c r="S23" s="189">
        <v>0</v>
      </c>
      <c r="T23" s="189">
        <v>0</v>
      </c>
      <c r="U23" s="189">
        <v>0</v>
      </c>
      <c r="V23" s="189">
        <v>0</v>
      </c>
      <c r="W23" s="189">
        <v>0</v>
      </c>
      <c r="X23" s="189">
        <v>0</v>
      </c>
      <c r="Y23" s="189">
        <v>0</v>
      </c>
      <c r="Z23" s="189">
        <v>0</v>
      </c>
      <c r="AA23" s="189">
        <v>0</v>
      </c>
      <c r="AB23" s="189">
        <v>0</v>
      </c>
      <c r="AC23" s="189">
        <v>0</v>
      </c>
      <c r="AD23" s="189">
        <v>0</v>
      </c>
      <c r="AE23" s="189">
        <v>0</v>
      </c>
      <c r="AF23" s="189">
        <v>0</v>
      </c>
      <c r="AG23" s="189">
        <v>0</v>
      </c>
      <c r="AH23" s="189">
        <v>0</v>
      </c>
      <c r="AI23" s="189">
        <v>0</v>
      </c>
      <c r="AJ23" s="189">
        <v>0</v>
      </c>
      <c r="AK23" s="189">
        <v>0</v>
      </c>
      <c r="AL23" s="189">
        <v>0</v>
      </c>
      <c r="AM23" s="189">
        <v>0</v>
      </c>
      <c r="AN23" s="189">
        <v>0</v>
      </c>
      <c r="AO23" s="189">
        <v>0</v>
      </c>
      <c r="AP23" s="189">
        <v>0</v>
      </c>
      <c r="AQ23" s="189">
        <v>0</v>
      </c>
    </row>
    <row r="24" spans="1:43" x14ac:dyDescent="0.25">
      <c r="A24" s="189" t="s">
        <v>128</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0</v>
      </c>
      <c r="AQ24" s="189">
        <v>0</v>
      </c>
    </row>
    <row r="25" spans="1:43" x14ac:dyDescent="0.25">
      <c r="A25" s="189" t="s">
        <v>129</v>
      </c>
      <c r="B25" s="189">
        <v>0</v>
      </c>
      <c r="C25" s="189">
        <v>0</v>
      </c>
      <c r="D25" s="189">
        <v>0</v>
      </c>
      <c r="E25" s="189">
        <v>0</v>
      </c>
      <c r="F25" s="189">
        <v>0</v>
      </c>
      <c r="G25" s="189">
        <v>0</v>
      </c>
      <c r="H25" s="189">
        <v>0</v>
      </c>
      <c r="I25" s="189">
        <v>0</v>
      </c>
      <c r="J25" s="189">
        <v>0</v>
      </c>
      <c r="K25" s="189">
        <v>0</v>
      </c>
      <c r="L25" s="189">
        <v>0</v>
      </c>
      <c r="M25" s="189">
        <v>0</v>
      </c>
      <c r="N25" s="189">
        <v>0</v>
      </c>
      <c r="O25" s="189">
        <v>0</v>
      </c>
      <c r="P25" s="189">
        <v>0</v>
      </c>
      <c r="Q25" s="189">
        <v>0</v>
      </c>
      <c r="R25" s="189">
        <v>0</v>
      </c>
      <c r="S25" s="189">
        <v>0</v>
      </c>
      <c r="T25" s="189">
        <v>0</v>
      </c>
      <c r="U25" s="189">
        <v>0</v>
      </c>
      <c r="V25" s="189">
        <v>0</v>
      </c>
      <c r="W25" s="189">
        <v>0</v>
      </c>
      <c r="X25" s="189">
        <v>0</v>
      </c>
      <c r="Y25" s="189">
        <v>0</v>
      </c>
      <c r="Z25" s="189">
        <v>0</v>
      </c>
      <c r="AA25" s="189">
        <v>0</v>
      </c>
      <c r="AB25" s="189">
        <v>0</v>
      </c>
      <c r="AC25" s="189">
        <v>0</v>
      </c>
      <c r="AD25" s="189">
        <v>0</v>
      </c>
      <c r="AE25" s="189">
        <v>0</v>
      </c>
      <c r="AF25" s="189">
        <v>0</v>
      </c>
      <c r="AG25" s="189">
        <v>0</v>
      </c>
      <c r="AH25" s="189">
        <v>0</v>
      </c>
      <c r="AI25" s="189">
        <v>0</v>
      </c>
      <c r="AJ25" s="189">
        <v>0</v>
      </c>
      <c r="AK25" s="189">
        <v>0</v>
      </c>
      <c r="AL25" s="189">
        <v>0</v>
      </c>
      <c r="AM25" s="189">
        <v>0</v>
      </c>
      <c r="AN25" s="189">
        <v>0</v>
      </c>
      <c r="AO25" s="189">
        <v>0</v>
      </c>
      <c r="AP25" s="189">
        <v>0</v>
      </c>
      <c r="AQ25" s="189">
        <v>0</v>
      </c>
    </row>
    <row r="26" spans="1:43" x14ac:dyDescent="0.25">
      <c r="A26" s="189" t="s">
        <v>130</v>
      </c>
      <c r="B26" s="189">
        <v>2404379858.04</v>
      </c>
      <c r="C26" s="189">
        <v>2388968569.9499998</v>
      </c>
      <c r="D26" s="189">
        <v>2380603328.9299998</v>
      </c>
      <c r="E26" s="189">
        <v>2319702475.1399999</v>
      </c>
      <c r="F26" s="189">
        <v>2350299627.3499999</v>
      </c>
      <c r="G26" s="189">
        <v>89122383.870000005</v>
      </c>
      <c r="H26" s="189">
        <v>81129474.230000004</v>
      </c>
      <c r="I26" s="189">
        <v>67653795.959999993</v>
      </c>
      <c r="J26" s="189">
        <v>71633965.890000001</v>
      </c>
      <c r="K26" s="189">
        <v>75431118.090000004</v>
      </c>
      <c r="L26" s="189">
        <v>1417668970.79</v>
      </c>
      <c r="M26" s="189">
        <v>1395231063.29</v>
      </c>
      <c r="N26" s="189">
        <v>37181498.380000003</v>
      </c>
      <c r="O26" s="189">
        <v>16583730.699999999</v>
      </c>
      <c r="P26" s="189">
        <v>17919243.780000001</v>
      </c>
      <c r="Q26" s="189">
        <v>16499508.050000001</v>
      </c>
      <c r="R26" s="189">
        <v>8619745.6300000008</v>
      </c>
      <c r="S26" s="189">
        <v>0</v>
      </c>
      <c r="T26" s="189">
        <v>0</v>
      </c>
      <c r="U26" s="189">
        <v>0</v>
      </c>
      <c r="V26" s="189">
        <v>0</v>
      </c>
      <c r="W26" s="189">
        <v>0</v>
      </c>
      <c r="X26" s="189">
        <v>0</v>
      </c>
      <c r="Y26" s="189">
        <v>0</v>
      </c>
      <c r="Z26" s="189">
        <v>0</v>
      </c>
      <c r="AA26" s="189">
        <v>0</v>
      </c>
      <c r="AB26" s="189">
        <v>0</v>
      </c>
      <c r="AC26" s="189">
        <v>0</v>
      </c>
      <c r="AD26" s="189">
        <v>0</v>
      </c>
      <c r="AE26" s="189">
        <v>0</v>
      </c>
      <c r="AF26" s="189">
        <v>0</v>
      </c>
      <c r="AG26" s="189">
        <v>0</v>
      </c>
      <c r="AH26" s="189">
        <v>0</v>
      </c>
      <c r="AI26" s="189">
        <v>0</v>
      </c>
      <c r="AJ26" s="189">
        <v>0</v>
      </c>
      <c r="AK26" s="189">
        <v>0</v>
      </c>
      <c r="AL26" s="189">
        <v>0</v>
      </c>
      <c r="AM26" s="189">
        <v>0</v>
      </c>
      <c r="AN26" s="189">
        <v>0</v>
      </c>
      <c r="AO26" s="189">
        <v>0</v>
      </c>
      <c r="AP26" s="189">
        <v>0</v>
      </c>
      <c r="AQ26" s="189">
        <v>0</v>
      </c>
    </row>
    <row r="27" spans="1:43" x14ac:dyDescent="0.25">
      <c r="A27" s="189" t="s">
        <v>131</v>
      </c>
      <c r="B27" s="189">
        <v>0</v>
      </c>
      <c r="C27" s="189">
        <v>0</v>
      </c>
      <c r="D27" s="189">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89">
        <v>0</v>
      </c>
      <c r="W27" s="189">
        <v>0</v>
      </c>
      <c r="X27" s="189">
        <v>0</v>
      </c>
      <c r="Y27" s="189">
        <v>0</v>
      </c>
      <c r="Z27" s="189">
        <v>0</v>
      </c>
      <c r="AA27" s="189">
        <v>0</v>
      </c>
      <c r="AB27" s="189">
        <v>0</v>
      </c>
      <c r="AC27" s="189">
        <v>0</v>
      </c>
      <c r="AD27" s="189">
        <v>0</v>
      </c>
      <c r="AE27" s="189">
        <v>0</v>
      </c>
      <c r="AF27" s="189">
        <v>0</v>
      </c>
      <c r="AG27" s="189">
        <v>0</v>
      </c>
      <c r="AH27" s="189">
        <v>0</v>
      </c>
      <c r="AI27" s="189">
        <v>0</v>
      </c>
      <c r="AJ27" s="189">
        <v>0</v>
      </c>
      <c r="AK27" s="189">
        <v>0</v>
      </c>
      <c r="AL27" s="189">
        <v>0</v>
      </c>
      <c r="AM27" s="189">
        <v>0</v>
      </c>
      <c r="AN27" s="189">
        <v>0</v>
      </c>
      <c r="AO27" s="189">
        <v>0</v>
      </c>
      <c r="AP27" s="189">
        <v>0</v>
      </c>
      <c r="AQ27" s="189">
        <v>0</v>
      </c>
    </row>
    <row r="28" spans="1:43" x14ac:dyDescent="0.25">
      <c r="A28" s="189" t="s">
        <v>132</v>
      </c>
      <c r="B28" s="189">
        <v>28859731.129999999</v>
      </c>
      <c r="C28" s="189">
        <v>30743046.640000001</v>
      </c>
      <c r="D28" s="189">
        <v>29713097.18</v>
      </c>
      <c r="E28" s="189">
        <v>28374938.579999998</v>
      </c>
      <c r="F28" s="189">
        <v>29072820.510000002</v>
      </c>
      <c r="G28" s="189">
        <v>29886236.800000001</v>
      </c>
      <c r="H28" s="189">
        <v>29465636.41</v>
      </c>
      <c r="I28" s="189">
        <v>11796929.48</v>
      </c>
      <c r="J28" s="189">
        <v>10329988.65</v>
      </c>
      <c r="K28" s="189">
        <v>10922030.710000001</v>
      </c>
      <c r="L28" s="189">
        <v>12228211.23</v>
      </c>
      <c r="M28" s="189">
        <v>11491406.789999999</v>
      </c>
      <c r="N28" s="189">
        <v>7776239.1500000004</v>
      </c>
      <c r="O28" s="189">
        <v>8614631.9499999993</v>
      </c>
      <c r="P28" s="189">
        <v>9298682.1099999994</v>
      </c>
      <c r="Q28" s="189">
        <v>8849658.2200000007</v>
      </c>
      <c r="R28" s="189">
        <v>7124789.9900000002</v>
      </c>
      <c r="S28" s="189">
        <v>385469338.10000002</v>
      </c>
      <c r="T28" s="189">
        <v>390994990.72000003</v>
      </c>
      <c r="U28" s="189">
        <v>353479757.06999999</v>
      </c>
      <c r="V28" s="189">
        <v>357793699.98000002</v>
      </c>
      <c r="W28" s="189">
        <v>349813854.31</v>
      </c>
      <c r="X28" s="189">
        <v>351916121.23000002</v>
      </c>
      <c r="Y28" s="189">
        <v>352309347.75</v>
      </c>
      <c r="Z28" s="189">
        <v>125440988.31</v>
      </c>
      <c r="AA28" s="189">
        <v>126872128.78</v>
      </c>
      <c r="AB28" s="189">
        <v>128541615.31</v>
      </c>
      <c r="AC28" s="189">
        <v>130756583.89</v>
      </c>
      <c r="AD28" s="189">
        <v>118194609.59999999</v>
      </c>
      <c r="AE28" s="189">
        <v>119698489.31999999</v>
      </c>
      <c r="AF28" s="189">
        <v>120281295.23999999</v>
      </c>
      <c r="AG28" s="189">
        <v>121860199.48999999</v>
      </c>
      <c r="AH28" s="189">
        <v>103146330.98999999</v>
      </c>
      <c r="AI28" s="189">
        <v>99358962.870000005</v>
      </c>
      <c r="AJ28" s="189">
        <v>92460380.129999995</v>
      </c>
      <c r="AK28" s="189">
        <v>93876208.920000002</v>
      </c>
      <c r="AL28" s="189">
        <v>94515313.980000004</v>
      </c>
      <c r="AM28" s="189">
        <v>96127069.739999995</v>
      </c>
      <c r="AN28" s="189">
        <v>61555800</v>
      </c>
      <c r="AO28" s="189">
        <v>60059436.32</v>
      </c>
      <c r="AP28" s="189">
        <v>37217334.049999997</v>
      </c>
      <c r="AQ28" s="189">
        <v>0</v>
      </c>
    </row>
    <row r="29" spans="1:43" x14ac:dyDescent="0.25">
      <c r="A29" s="189" t="s">
        <v>133</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7661367.7000000002</v>
      </c>
      <c r="T29" s="189">
        <v>7295580.9800000004</v>
      </c>
      <c r="U29" s="189">
        <v>48303582.700000003</v>
      </c>
      <c r="V29" s="189">
        <v>45710716.439999998</v>
      </c>
      <c r="W29" s="189">
        <v>42316349.049999997</v>
      </c>
      <c r="X29" s="189">
        <v>7171971.3200000003</v>
      </c>
      <c r="Y29" s="189">
        <v>5349759.4400000004</v>
      </c>
      <c r="Z29" s="189">
        <v>204524871.66999999</v>
      </c>
      <c r="AA29" s="189">
        <v>198819040.16999999</v>
      </c>
      <c r="AB29" s="189">
        <v>91474273.670000002</v>
      </c>
      <c r="AC29" s="189">
        <v>73450688.650000006</v>
      </c>
      <c r="AD29" s="189">
        <v>39636863.840000004</v>
      </c>
      <c r="AE29" s="189">
        <v>39530665.630000003</v>
      </c>
      <c r="AF29" s="189">
        <v>39483389.149999999</v>
      </c>
      <c r="AG29" s="189">
        <v>37288573.07</v>
      </c>
      <c r="AH29" s="189">
        <v>34898049.780000001</v>
      </c>
      <c r="AI29" s="189">
        <v>22716134.760000002</v>
      </c>
      <c r="AJ29" s="189">
        <v>6262601.2199999997</v>
      </c>
      <c r="AK29" s="189">
        <v>6066220.21</v>
      </c>
      <c r="AL29" s="189">
        <v>3660829.5</v>
      </c>
      <c r="AM29" s="189">
        <v>2725550.99</v>
      </c>
      <c r="AN29" s="189">
        <v>25160198.309999999</v>
      </c>
      <c r="AO29" s="189">
        <v>13568942.949999999</v>
      </c>
      <c r="AP29" s="189">
        <v>3056399.22</v>
      </c>
      <c r="AQ29" s="189">
        <v>0</v>
      </c>
    </row>
    <row r="30" spans="1:43" x14ac:dyDescent="0.25">
      <c r="A30" s="189" t="s">
        <v>134</v>
      </c>
      <c r="B30" s="189">
        <v>0</v>
      </c>
      <c r="C30" s="189">
        <v>0</v>
      </c>
      <c r="D30" s="189">
        <v>0</v>
      </c>
      <c r="E30" s="189">
        <v>0</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0</v>
      </c>
      <c r="AA30" s="189">
        <v>0</v>
      </c>
      <c r="AB30" s="189">
        <v>0</v>
      </c>
      <c r="AC30" s="189">
        <v>0</v>
      </c>
      <c r="AD30" s="189">
        <v>0</v>
      </c>
      <c r="AE30" s="189">
        <v>0</v>
      </c>
      <c r="AF30" s="189">
        <v>0</v>
      </c>
      <c r="AG30" s="189">
        <v>0</v>
      </c>
      <c r="AH30" s="189">
        <v>0</v>
      </c>
      <c r="AI30" s="189">
        <v>0</v>
      </c>
      <c r="AJ30" s="189">
        <v>0</v>
      </c>
      <c r="AK30" s="189">
        <v>0</v>
      </c>
      <c r="AL30" s="189">
        <v>0</v>
      </c>
      <c r="AM30" s="189">
        <v>0</v>
      </c>
      <c r="AN30" s="189">
        <v>0</v>
      </c>
      <c r="AO30" s="189">
        <v>0</v>
      </c>
      <c r="AP30" s="189">
        <v>0</v>
      </c>
      <c r="AQ30" s="189">
        <v>0</v>
      </c>
    </row>
    <row r="31" spans="1:43" x14ac:dyDescent="0.25">
      <c r="A31" s="189" t="s">
        <v>135</v>
      </c>
      <c r="B31" s="189">
        <v>0</v>
      </c>
      <c r="C31" s="189">
        <v>0</v>
      </c>
      <c r="D31" s="189">
        <v>0</v>
      </c>
      <c r="E31" s="189">
        <v>0</v>
      </c>
      <c r="F31" s="189">
        <v>0</v>
      </c>
      <c r="G31" s="189">
        <v>0</v>
      </c>
      <c r="H31" s="189">
        <v>0</v>
      </c>
      <c r="I31" s="189">
        <v>0</v>
      </c>
      <c r="J31" s="189">
        <v>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c r="AQ31" s="189">
        <v>0</v>
      </c>
    </row>
    <row r="32" spans="1:43" x14ac:dyDescent="0.25">
      <c r="A32" s="189" t="s">
        <v>136</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row>
    <row r="33" spans="1:43" x14ac:dyDescent="0.25">
      <c r="A33" s="189" t="s">
        <v>137</v>
      </c>
      <c r="B33" s="189">
        <v>0</v>
      </c>
      <c r="C33" s="189">
        <v>0</v>
      </c>
      <c r="D33" s="189">
        <v>0</v>
      </c>
      <c r="E33" s="189">
        <v>0</v>
      </c>
      <c r="F33" s="189">
        <v>0</v>
      </c>
      <c r="G33" s="189">
        <v>0</v>
      </c>
      <c r="H33" s="189">
        <v>0</v>
      </c>
      <c r="I33" s="189">
        <v>0</v>
      </c>
      <c r="J33" s="189">
        <v>0</v>
      </c>
      <c r="K33" s="189">
        <v>0</v>
      </c>
      <c r="L33" s="189">
        <v>0</v>
      </c>
      <c r="M33" s="189">
        <v>0</v>
      </c>
      <c r="N33" s="189">
        <v>0</v>
      </c>
      <c r="O33" s="189">
        <v>0</v>
      </c>
      <c r="P33" s="189">
        <v>0</v>
      </c>
      <c r="Q33" s="189">
        <v>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row>
    <row r="34" spans="1:43" x14ac:dyDescent="0.25">
      <c r="A34" s="189" t="s">
        <v>138</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0</v>
      </c>
      <c r="AM34" s="189">
        <v>0</v>
      </c>
      <c r="AN34" s="189">
        <v>0</v>
      </c>
      <c r="AO34" s="189">
        <v>0</v>
      </c>
      <c r="AP34" s="189">
        <v>0</v>
      </c>
      <c r="AQ34" s="189">
        <v>0</v>
      </c>
    </row>
    <row r="35" spans="1:43" x14ac:dyDescent="0.25">
      <c r="A35" s="189" t="s">
        <v>139</v>
      </c>
      <c r="B35" s="189">
        <v>123915111.73</v>
      </c>
      <c r="C35" s="189">
        <v>129821798.68000001</v>
      </c>
      <c r="D35" s="189">
        <v>135617391.80000001</v>
      </c>
      <c r="E35" s="189">
        <v>141687875.24000001</v>
      </c>
      <c r="F35" s="189">
        <v>60121685.960000001</v>
      </c>
      <c r="G35" s="189">
        <v>65332264.780000001</v>
      </c>
      <c r="H35" s="189">
        <v>40404138.159999996</v>
      </c>
      <c r="I35" s="189">
        <v>41253832.450000003</v>
      </c>
      <c r="J35" s="189">
        <v>9818727.7300000004</v>
      </c>
      <c r="K35" s="189">
        <v>11536841.65</v>
      </c>
      <c r="L35" s="189">
        <v>13377627.23</v>
      </c>
      <c r="M35" s="189">
        <v>15227362.76</v>
      </c>
      <c r="N35" s="189">
        <v>4015959.21</v>
      </c>
      <c r="O35" s="189">
        <v>4148317.59</v>
      </c>
      <c r="P35" s="189">
        <v>4171805.23</v>
      </c>
      <c r="Q35" s="189">
        <v>4260135.5199999996</v>
      </c>
      <c r="R35" s="189">
        <v>4328892.49</v>
      </c>
      <c r="S35" s="189">
        <v>96727473.310000002</v>
      </c>
      <c r="T35" s="189">
        <v>97257086.290000007</v>
      </c>
      <c r="U35" s="189">
        <v>97671601.840000004</v>
      </c>
      <c r="V35" s="189">
        <v>98217303.280000001</v>
      </c>
      <c r="W35" s="189">
        <v>98181048.980000004</v>
      </c>
      <c r="X35" s="189">
        <v>98717398.579999998</v>
      </c>
      <c r="Y35" s="189">
        <v>99259150.760000005</v>
      </c>
      <c r="Z35" s="189">
        <v>79000902.939999998</v>
      </c>
      <c r="AA35" s="189">
        <v>78759211.079999998</v>
      </c>
      <c r="AB35" s="189">
        <v>59960382.909999996</v>
      </c>
      <c r="AC35" s="189">
        <v>60298748.740000002</v>
      </c>
      <c r="AD35" s="189">
        <v>36170819.43</v>
      </c>
      <c r="AE35" s="189">
        <v>35545391.280000001</v>
      </c>
      <c r="AF35" s="189">
        <v>13942173.25</v>
      </c>
      <c r="AG35" s="189">
        <v>14038955.92</v>
      </c>
      <c r="AH35" s="189">
        <v>14136033.710000001</v>
      </c>
      <c r="AI35" s="189">
        <v>14232816.380000001</v>
      </c>
      <c r="AJ35" s="189">
        <v>33606999.740000002</v>
      </c>
      <c r="AK35" s="189">
        <v>33802373.600000001</v>
      </c>
      <c r="AL35" s="189">
        <v>34042321.899999999</v>
      </c>
      <c r="AM35" s="189">
        <v>34197018.490000002</v>
      </c>
      <c r="AN35" s="189">
        <v>34178065.960000001</v>
      </c>
      <c r="AO35" s="189">
        <v>7849084.1299999999</v>
      </c>
      <c r="AP35" s="189">
        <v>5804629.3200000003</v>
      </c>
      <c r="AQ35" s="189">
        <v>0</v>
      </c>
    </row>
    <row r="36" spans="1:43" x14ac:dyDescent="0.25">
      <c r="A36" s="189" t="s">
        <v>140</v>
      </c>
      <c r="B36" s="189">
        <v>0</v>
      </c>
      <c r="C36" s="189">
        <v>0</v>
      </c>
      <c r="D36" s="189">
        <v>0</v>
      </c>
      <c r="E36" s="189">
        <v>0</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c r="AQ36" s="189">
        <v>0</v>
      </c>
    </row>
    <row r="37" spans="1:43" x14ac:dyDescent="0.25">
      <c r="A37" s="189" t="s">
        <v>141</v>
      </c>
      <c r="B37" s="189">
        <v>6535133405.4700003</v>
      </c>
      <c r="C37" s="189">
        <v>6541432761.1499996</v>
      </c>
      <c r="D37" s="189">
        <v>6541432761.1499996</v>
      </c>
      <c r="E37" s="189">
        <v>6541432761.1499996</v>
      </c>
      <c r="F37" s="189">
        <v>6595862826.2399998</v>
      </c>
      <c r="G37" s="189">
        <v>8483595465.3000002</v>
      </c>
      <c r="H37" s="189">
        <v>8507148669.3000002</v>
      </c>
      <c r="I37" s="189">
        <v>4552774567.4399996</v>
      </c>
      <c r="J37" s="189">
        <v>3664466682</v>
      </c>
      <c r="K37" s="189">
        <v>3664466682</v>
      </c>
      <c r="L37" s="189">
        <v>3664466682</v>
      </c>
      <c r="M37" s="189">
        <v>3664466682</v>
      </c>
      <c r="N37" s="189">
        <v>482408071.51999998</v>
      </c>
      <c r="O37" s="189">
        <v>482408071.51999998</v>
      </c>
      <c r="P37" s="189">
        <v>482417714.81</v>
      </c>
      <c r="Q37" s="189">
        <v>0</v>
      </c>
      <c r="R37" s="189">
        <v>0</v>
      </c>
      <c r="S37" s="189">
        <v>0</v>
      </c>
      <c r="T37" s="189">
        <v>0</v>
      </c>
      <c r="U37" s="189">
        <v>0</v>
      </c>
      <c r="V37" s="189">
        <v>0</v>
      </c>
      <c r="W37" s="189">
        <v>0</v>
      </c>
      <c r="X37" s="189">
        <v>0</v>
      </c>
      <c r="Y37" s="189">
        <v>0</v>
      </c>
      <c r="Z37" s="189">
        <v>0</v>
      </c>
      <c r="AA37" s="189">
        <v>0</v>
      </c>
      <c r="AB37" s="189">
        <v>0</v>
      </c>
      <c r="AC37" s="189">
        <v>0</v>
      </c>
      <c r="AD37" s="189">
        <v>0</v>
      </c>
      <c r="AE37" s="189">
        <v>0</v>
      </c>
      <c r="AF37" s="189">
        <v>0</v>
      </c>
      <c r="AG37" s="189">
        <v>0</v>
      </c>
      <c r="AH37" s="189">
        <v>0</v>
      </c>
      <c r="AI37" s="189">
        <v>0</v>
      </c>
      <c r="AJ37" s="189">
        <v>0</v>
      </c>
      <c r="AK37" s="189">
        <v>0</v>
      </c>
      <c r="AL37" s="189">
        <v>0</v>
      </c>
      <c r="AM37" s="189">
        <v>0</v>
      </c>
      <c r="AN37" s="189">
        <v>0</v>
      </c>
      <c r="AO37" s="189">
        <v>0</v>
      </c>
      <c r="AP37" s="189">
        <v>0</v>
      </c>
      <c r="AQ37" s="189">
        <v>0</v>
      </c>
    </row>
    <row r="38" spans="1:43" x14ac:dyDescent="0.25">
      <c r="A38" s="189" t="s">
        <v>142</v>
      </c>
      <c r="B38" s="189">
        <v>68927280.799999997</v>
      </c>
      <c r="C38" s="189">
        <v>70009748.560000002</v>
      </c>
      <c r="D38" s="189">
        <v>63262594.990000002</v>
      </c>
      <c r="E38" s="189">
        <v>59931135.990000002</v>
      </c>
      <c r="F38" s="189">
        <v>58128446.740000002</v>
      </c>
      <c r="G38" s="189">
        <v>58748214.729999997</v>
      </c>
      <c r="H38" s="189">
        <v>57331762.280000001</v>
      </c>
      <c r="I38" s="189">
        <v>8984312.2300000004</v>
      </c>
      <c r="J38" s="189">
        <v>4960149.7699999996</v>
      </c>
      <c r="K38" s="189">
        <v>2228893.5699999998</v>
      </c>
      <c r="L38" s="189">
        <v>5951059.5700000003</v>
      </c>
      <c r="M38" s="189">
        <v>4119243.64</v>
      </c>
      <c r="N38" s="189">
        <v>3413855.27</v>
      </c>
      <c r="O38" s="189">
        <v>875500</v>
      </c>
      <c r="P38" s="189">
        <v>1167333.3400000001</v>
      </c>
      <c r="Q38" s="189">
        <v>1459166.67</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c r="AN38" s="189">
        <v>0</v>
      </c>
      <c r="AO38" s="189">
        <v>0</v>
      </c>
      <c r="AP38" s="189">
        <v>681705.35</v>
      </c>
      <c r="AQ38" s="189">
        <v>0</v>
      </c>
    </row>
    <row r="39" spans="1:43" x14ac:dyDescent="0.25">
      <c r="A39" s="189" t="s">
        <v>143</v>
      </c>
      <c r="B39" s="189">
        <v>25944880.5</v>
      </c>
      <c r="C39" s="189">
        <v>25774516.899999999</v>
      </c>
      <c r="D39" s="189">
        <v>31926935.940000001</v>
      </c>
      <c r="E39" s="189">
        <v>25557925.960000001</v>
      </c>
      <c r="F39" s="189">
        <v>100673248.61</v>
      </c>
      <c r="G39" s="189">
        <v>52803082.630000003</v>
      </c>
      <c r="H39" s="189">
        <v>36086536.450000003</v>
      </c>
      <c r="I39" s="189">
        <v>33470720.829999998</v>
      </c>
      <c r="J39" s="189">
        <v>22595324.5</v>
      </c>
      <c r="K39" s="189">
        <v>22929568.899999999</v>
      </c>
      <c r="L39" s="189">
        <v>17854866.510000002</v>
      </c>
      <c r="M39" s="189">
        <v>17554240</v>
      </c>
      <c r="N39" s="189">
        <v>8521674.9100000001</v>
      </c>
      <c r="O39" s="189">
        <v>8599524.5600000005</v>
      </c>
      <c r="P39" s="189">
        <v>8517047.5500000007</v>
      </c>
      <c r="Q39" s="189">
        <v>8447861.1500000004</v>
      </c>
      <c r="R39" s="189">
        <v>3494744.96</v>
      </c>
      <c r="S39" s="189">
        <v>526569.66</v>
      </c>
      <c r="T39" s="189">
        <v>719660.22</v>
      </c>
      <c r="U39" s="189">
        <v>719660.22</v>
      </c>
      <c r="V39" s="189">
        <v>356558.8</v>
      </c>
      <c r="W39" s="189">
        <v>356558.8</v>
      </c>
      <c r="X39" s="189">
        <v>290412.39</v>
      </c>
      <c r="Y39" s="189">
        <v>290412.39</v>
      </c>
      <c r="Z39" s="189">
        <v>190902.87</v>
      </c>
      <c r="AA39" s="189">
        <v>190902.87</v>
      </c>
      <c r="AB39" s="189">
        <v>131359.46</v>
      </c>
      <c r="AC39" s="189">
        <v>229382.61</v>
      </c>
      <c r="AD39" s="189">
        <v>0</v>
      </c>
      <c r="AE39" s="189">
        <v>0</v>
      </c>
      <c r="AF39" s="189">
        <v>0</v>
      </c>
      <c r="AG39" s="189">
        <v>0</v>
      </c>
      <c r="AH39" s="189">
        <v>1150</v>
      </c>
      <c r="AI39" s="189">
        <v>1150</v>
      </c>
      <c r="AJ39" s="189">
        <v>1150</v>
      </c>
      <c r="AK39" s="189">
        <v>1150</v>
      </c>
      <c r="AL39" s="189">
        <v>0</v>
      </c>
      <c r="AM39" s="189">
        <v>211719.17</v>
      </c>
      <c r="AN39" s="189">
        <v>0</v>
      </c>
      <c r="AO39" s="189">
        <v>0</v>
      </c>
      <c r="AP39" s="189">
        <v>0</v>
      </c>
      <c r="AQ39" s="189">
        <v>0</v>
      </c>
    </row>
    <row r="40" spans="1:43" x14ac:dyDescent="0.25">
      <c r="A40" s="189" t="s">
        <v>144</v>
      </c>
      <c r="B40" s="189">
        <v>291140759.88999999</v>
      </c>
      <c r="C40" s="189">
        <v>283749719.88999999</v>
      </c>
      <c r="D40" s="189">
        <v>353919675.88999999</v>
      </c>
      <c r="E40" s="189">
        <v>412233154.73000002</v>
      </c>
      <c r="F40" s="189">
        <v>314365106.55000001</v>
      </c>
      <c r="G40" s="189">
        <v>169137735.40000001</v>
      </c>
      <c r="H40" s="189">
        <v>339537735.39999998</v>
      </c>
      <c r="I40" s="189">
        <v>67137735.400000006</v>
      </c>
      <c r="J40" s="189">
        <v>314367924</v>
      </c>
      <c r="K40" s="189">
        <v>283867924</v>
      </c>
      <c r="L40" s="189">
        <v>64837735.399999999</v>
      </c>
      <c r="M40" s="189">
        <v>57290565.799999997</v>
      </c>
      <c r="N40" s="189">
        <v>17800000</v>
      </c>
      <c r="O40" s="189">
        <v>17800000</v>
      </c>
      <c r="P40" s="189">
        <v>20800000</v>
      </c>
      <c r="Q40" s="189">
        <v>21800000</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2645152.2400000002</v>
      </c>
      <c r="AP40" s="189">
        <v>0</v>
      </c>
      <c r="AQ40" s="189">
        <v>0</v>
      </c>
    </row>
    <row r="41" spans="1:43" x14ac:dyDescent="0.25">
      <c r="A41" s="189" t="s">
        <v>145</v>
      </c>
      <c r="B41" s="189">
        <v>11048848691.58</v>
      </c>
      <c r="C41" s="189">
        <v>11036178431.08</v>
      </c>
      <c r="D41" s="189">
        <v>11083884352.15</v>
      </c>
      <c r="E41" s="189">
        <v>11104231558.290001</v>
      </c>
      <c r="F41" s="189">
        <v>10858926836.66</v>
      </c>
      <c r="G41" s="189">
        <v>10365137287.690001</v>
      </c>
      <c r="H41" s="189">
        <v>10226442264.129999</v>
      </c>
      <c r="I41" s="189">
        <v>6246235194.25</v>
      </c>
      <c r="J41" s="189">
        <v>4804908744.5200005</v>
      </c>
      <c r="K41" s="189">
        <v>4624422999.2200003</v>
      </c>
      <c r="L41" s="189">
        <v>5903531278</v>
      </c>
      <c r="M41" s="189">
        <v>5904509107.8999996</v>
      </c>
      <c r="N41" s="189">
        <v>1168120349.8800001</v>
      </c>
      <c r="O41" s="189">
        <v>894519965.75999999</v>
      </c>
      <c r="P41" s="189">
        <v>898023754.05999994</v>
      </c>
      <c r="Q41" s="189">
        <v>410048256.85000002</v>
      </c>
      <c r="R41" s="189">
        <v>254690285.06999999</v>
      </c>
      <c r="S41" s="189">
        <v>490384748.76999998</v>
      </c>
      <c r="T41" s="189">
        <v>496267318.20999998</v>
      </c>
      <c r="U41" s="189">
        <v>500174601.82999998</v>
      </c>
      <c r="V41" s="189">
        <v>502078278.5</v>
      </c>
      <c r="W41" s="189">
        <v>490667811.13999999</v>
      </c>
      <c r="X41" s="189">
        <v>458095903.51999998</v>
      </c>
      <c r="Y41" s="189">
        <v>457208670.33999997</v>
      </c>
      <c r="Z41" s="189">
        <v>409157665.79000002</v>
      </c>
      <c r="AA41" s="189">
        <v>404641282.89999998</v>
      </c>
      <c r="AB41" s="189">
        <v>280107631.35000002</v>
      </c>
      <c r="AC41" s="189">
        <v>264735403.88999999</v>
      </c>
      <c r="AD41" s="189">
        <v>194002292.87</v>
      </c>
      <c r="AE41" s="189">
        <v>194774546.22999999</v>
      </c>
      <c r="AF41" s="189">
        <v>173706857.63999999</v>
      </c>
      <c r="AG41" s="189">
        <v>173187728.47999999</v>
      </c>
      <c r="AH41" s="189">
        <v>152181564.47999999</v>
      </c>
      <c r="AI41" s="189">
        <v>136309064.00999999</v>
      </c>
      <c r="AJ41" s="189">
        <v>132331131.09</v>
      </c>
      <c r="AK41" s="189">
        <v>133745952.73</v>
      </c>
      <c r="AL41" s="189">
        <v>132218465.38</v>
      </c>
      <c r="AM41" s="189">
        <v>133261358.39</v>
      </c>
      <c r="AN41" s="189">
        <v>120894064.27</v>
      </c>
      <c r="AO41" s="189">
        <v>84122615.640000001</v>
      </c>
      <c r="AP41" s="189">
        <v>46760067.939999998</v>
      </c>
      <c r="AQ41" s="189">
        <v>0</v>
      </c>
    </row>
    <row r="42" spans="1:43" x14ac:dyDescent="0.25">
      <c r="A42" s="189" t="s">
        <v>146</v>
      </c>
      <c r="B42" s="189">
        <v>13329398753.51</v>
      </c>
      <c r="C42" s="189">
        <v>13477384817.16</v>
      </c>
      <c r="D42" s="189">
        <v>13659797987.16</v>
      </c>
      <c r="E42" s="189">
        <v>14400438534.799999</v>
      </c>
      <c r="F42" s="189">
        <v>13248581012.35</v>
      </c>
      <c r="G42" s="189">
        <v>13191140914.219999</v>
      </c>
      <c r="H42" s="189">
        <v>12749601266.690001</v>
      </c>
      <c r="I42" s="189">
        <v>7390260222.3199997</v>
      </c>
      <c r="J42" s="189">
        <v>6091894645.9899998</v>
      </c>
      <c r="K42" s="189">
        <v>5825083337.5100002</v>
      </c>
      <c r="L42" s="189">
        <v>6996777595.3999996</v>
      </c>
      <c r="M42" s="189">
        <v>7305844937.0799999</v>
      </c>
      <c r="N42" s="189">
        <v>1501554807.5699999</v>
      </c>
      <c r="O42" s="189">
        <v>1361165518.1199999</v>
      </c>
      <c r="P42" s="189">
        <v>1356663750.97</v>
      </c>
      <c r="Q42" s="189">
        <v>744161743.97000003</v>
      </c>
      <c r="R42" s="189">
        <v>652402908.97000003</v>
      </c>
      <c r="S42" s="189">
        <v>862085290.88999999</v>
      </c>
      <c r="T42" s="189">
        <v>907495236.05999994</v>
      </c>
      <c r="U42" s="189">
        <v>969504040.40999997</v>
      </c>
      <c r="V42" s="189">
        <v>986165108</v>
      </c>
      <c r="W42" s="189">
        <v>1002054235.17</v>
      </c>
      <c r="X42" s="189">
        <v>918850081</v>
      </c>
      <c r="Y42" s="189">
        <v>910166492.08000004</v>
      </c>
      <c r="Z42" s="189">
        <v>938366742.25999999</v>
      </c>
      <c r="AA42" s="189">
        <v>939534316.72000003</v>
      </c>
      <c r="AB42" s="189">
        <v>870936275.91999996</v>
      </c>
      <c r="AC42" s="189">
        <v>882905169.46000004</v>
      </c>
      <c r="AD42" s="189">
        <v>883361205.58000004</v>
      </c>
      <c r="AE42" s="189">
        <v>796547655.88999999</v>
      </c>
      <c r="AF42" s="189">
        <v>737456897.74000001</v>
      </c>
      <c r="AG42" s="189">
        <v>708375992.88</v>
      </c>
      <c r="AH42" s="189">
        <v>683003362.94000006</v>
      </c>
      <c r="AI42" s="189">
        <v>644276112.92999995</v>
      </c>
      <c r="AJ42" s="189">
        <v>601408771.45000005</v>
      </c>
      <c r="AK42" s="189">
        <v>321713601.81999999</v>
      </c>
      <c r="AL42" s="189">
        <v>284391572.00999999</v>
      </c>
      <c r="AM42" s="189">
        <v>285594590.69999999</v>
      </c>
      <c r="AN42" s="189">
        <v>286211419.79000002</v>
      </c>
      <c r="AO42" s="189">
        <v>238334345.83000001</v>
      </c>
      <c r="AP42" s="189">
        <v>155730413.96000001</v>
      </c>
      <c r="AQ42" s="189">
        <v>0</v>
      </c>
    </row>
    <row r="43" spans="1:43" x14ac:dyDescent="0.25">
      <c r="A43" s="189" t="s">
        <v>147</v>
      </c>
    </row>
    <row r="44" spans="1:43" x14ac:dyDescent="0.25">
      <c r="A44" s="189" t="s">
        <v>148</v>
      </c>
      <c r="B44" s="189">
        <v>657500000</v>
      </c>
      <c r="C44" s="189">
        <v>677500000</v>
      </c>
      <c r="D44" s="189">
        <v>668250000</v>
      </c>
      <c r="E44" s="189">
        <v>726250000</v>
      </c>
      <c r="F44" s="189">
        <v>562750000</v>
      </c>
      <c r="G44" s="189">
        <v>412000000</v>
      </c>
      <c r="H44" s="189">
        <v>112000000</v>
      </c>
      <c r="I44" s="189">
        <v>61000000</v>
      </c>
      <c r="J44" s="189">
        <v>205000000</v>
      </c>
      <c r="K44" s="189">
        <v>210800000</v>
      </c>
      <c r="L44" s="189">
        <v>42800000</v>
      </c>
      <c r="M44" s="189">
        <v>317800000</v>
      </c>
      <c r="N44" s="189">
        <v>305800000</v>
      </c>
      <c r="O44" s="189">
        <v>341800000</v>
      </c>
      <c r="P44" s="189">
        <v>323800000</v>
      </c>
      <c r="Q44" s="189">
        <v>0</v>
      </c>
      <c r="R44" s="189">
        <v>0</v>
      </c>
      <c r="S44" s="189">
        <v>299180919</v>
      </c>
      <c r="T44" s="189">
        <v>366177520</v>
      </c>
      <c r="U44" s="189">
        <v>415677520</v>
      </c>
      <c r="V44" s="189">
        <v>420864000</v>
      </c>
      <c r="W44" s="189">
        <v>412864000</v>
      </c>
      <c r="X44" s="189">
        <v>370828400</v>
      </c>
      <c r="Y44" s="189">
        <v>350828400</v>
      </c>
      <c r="Z44" s="189">
        <v>325800000</v>
      </c>
      <c r="AA44" s="189">
        <v>330000000</v>
      </c>
      <c r="AB44" s="189">
        <v>310800000</v>
      </c>
      <c r="AC44" s="189">
        <v>295800000</v>
      </c>
      <c r="AD44" s="189">
        <v>285774600</v>
      </c>
      <c r="AE44" s="189">
        <v>219474600</v>
      </c>
      <c r="AF44" s="189">
        <v>185800000</v>
      </c>
      <c r="AG44" s="189">
        <v>185800000</v>
      </c>
      <c r="AH44" s="189">
        <v>158800000</v>
      </c>
      <c r="AI44" s="189">
        <v>139800000</v>
      </c>
      <c r="AJ44" s="189">
        <v>109800000</v>
      </c>
      <c r="AK44" s="189">
        <v>109800000</v>
      </c>
      <c r="AL44" s="189">
        <v>99000000</v>
      </c>
      <c r="AM44" s="189">
        <v>87000000</v>
      </c>
      <c r="AN44" s="189">
        <v>79000000</v>
      </c>
      <c r="AO44" s="189">
        <v>74000000</v>
      </c>
      <c r="AP44" s="189">
        <v>41700000</v>
      </c>
      <c r="AQ44" s="189">
        <v>0</v>
      </c>
    </row>
    <row r="45" spans="1:43" x14ac:dyDescent="0.25">
      <c r="A45" s="189" t="s">
        <v>149</v>
      </c>
      <c r="B45" s="189">
        <v>0</v>
      </c>
      <c r="C45" s="189">
        <v>0</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0</v>
      </c>
      <c r="AQ45" s="189">
        <v>0</v>
      </c>
    </row>
    <row r="46" spans="1:43" x14ac:dyDescent="0.25">
      <c r="A46" s="189" t="s">
        <v>150</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12072500</v>
      </c>
      <c r="W46" s="189">
        <v>20372500</v>
      </c>
      <c r="X46" s="189">
        <v>16730109.460000001</v>
      </c>
      <c r="Y46" s="189">
        <v>17338756.66</v>
      </c>
      <c r="Z46" s="189">
        <v>26650874.940000001</v>
      </c>
      <c r="AA46" s="189">
        <v>8685548.1600000001</v>
      </c>
      <c r="AB46" s="189">
        <v>16035772.92</v>
      </c>
      <c r="AC46" s="189">
        <v>8799905.4000000004</v>
      </c>
      <c r="AD46" s="189">
        <v>6734558.9500000002</v>
      </c>
      <c r="AE46" s="189">
        <v>0</v>
      </c>
      <c r="AF46" s="189">
        <v>0</v>
      </c>
      <c r="AG46" s="189">
        <v>0</v>
      </c>
      <c r="AH46" s="189">
        <v>0</v>
      </c>
      <c r="AI46" s="189">
        <v>0</v>
      </c>
      <c r="AJ46" s="189">
        <v>0</v>
      </c>
      <c r="AK46" s="189">
        <v>0</v>
      </c>
      <c r="AL46" s="189">
        <v>0</v>
      </c>
      <c r="AM46" s="189">
        <v>0</v>
      </c>
      <c r="AN46" s="189">
        <v>0</v>
      </c>
      <c r="AO46" s="189">
        <v>0</v>
      </c>
      <c r="AP46" s="189">
        <v>0</v>
      </c>
      <c r="AQ46" s="189">
        <v>0</v>
      </c>
    </row>
    <row r="47" spans="1:43" x14ac:dyDescent="0.25">
      <c r="A47" s="189" t="s">
        <v>151</v>
      </c>
      <c r="B47" s="189">
        <v>0</v>
      </c>
      <c r="C47" s="189">
        <v>334806007.35000002</v>
      </c>
      <c r="D47" s="189">
        <v>373239935.16000003</v>
      </c>
      <c r="E47" s="189">
        <v>316467674.37</v>
      </c>
      <c r="F47" s="189">
        <v>232056221.37</v>
      </c>
      <c r="G47" s="189">
        <v>286996195.56</v>
      </c>
      <c r="H47" s="189">
        <v>297837888.13999999</v>
      </c>
      <c r="I47" s="189">
        <v>89656271.739999995</v>
      </c>
      <c r="J47" s="189">
        <v>115182108.23999999</v>
      </c>
      <c r="K47" s="189">
        <v>110817739.83</v>
      </c>
      <c r="L47" s="189">
        <v>139344254.19999999</v>
      </c>
      <c r="M47" s="189">
        <v>90431085.870000005</v>
      </c>
      <c r="N47" s="189">
        <v>42640441.380000003</v>
      </c>
      <c r="O47" s="189">
        <v>35699164.850000001</v>
      </c>
      <c r="P47" s="189">
        <v>29056715.739999998</v>
      </c>
      <c r="Q47" s="189">
        <v>8773251.8499999996</v>
      </c>
      <c r="R47" s="189">
        <v>39786235.5</v>
      </c>
      <c r="S47" s="189">
        <v>97930535.010000005</v>
      </c>
      <c r="T47" s="189">
        <v>81090445.480000004</v>
      </c>
      <c r="U47" s="189">
        <v>86650058.730000004</v>
      </c>
      <c r="V47" s="189">
        <v>91394336.019999996</v>
      </c>
      <c r="W47" s="189">
        <v>98611038.799999997</v>
      </c>
      <c r="X47" s="189">
        <v>72580935.260000005</v>
      </c>
      <c r="Y47" s="189">
        <v>82771366.359999999</v>
      </c>
      <c r="Z47" s="189">
        <v>92223295.700000003</v>
      </c>
      <c r="AA47" s="189">
        <v>90429971.159999996</v>
      </c>
      <c r="AB47" s="189">
        <v>71789208.409999996</v>
      </c>
      <c r="AC47" s="189">
        <v>88192841.840000004</v>
      </c>
      <c r="AD47" s="189">
        <v>86646913.689999998</v>
      </c>
      <c r="AE47" s="189">
        <v>95110087.670000002</v>
      </c>
      <c r="AF47" s="189">
        <v>72813850.829999998</v>
      </c>
      <c r="AG47" s="189">
        <v>67419824.189999998</v>
      </c>
      <c r="AH47" s="189">
        <v>68068350.400000006</v>
      </c>
      <c r="AI47" s="189">
        <v>53057347.240000002</v>
      </c>
      <c r="AJ47" s="189">
        <v>47755129.799999997</v>
      </c>
      <c r="AK47" s="189">
        <v>25463346.760000002</v>
      </c>
      <c r="AL47" s="189">
        <v>11381089.32</v>
      </c>
      <c r="AM47" s="189">
        <v>31220118.600000001</v>
      </c>
      <c r="AN47" s="189">
        <v>47541378.270000003</v>
      </c>
      <c r="AO47" s="189">
        <v>46618919.829999998</v>
      </c>
      <c r="AP47" s="189">
        <v>26448935.829999998</v>
      </c>
      <c r="AQ47" s="189">
        <v>0</v>
      </c>
    </row>
    <row r="48" spans="1:43" x14ac:dyDescent="0.25">
      <c r="A48" s="189" t="s">
        <v>152</v>
      </c>
      <c r="B48" s="189">
        <v>64691642.759999998</v>
      </c>
      <c r="C48" s="189">
        <v>74375406.769999996</v>
      </c>
      <c r="D48" s="189">
        <v>61191964.079999998</v>
      </c>
      <c r="E48" s="189">
        <v>81219030.459999993</v>
      </c>
      <c r="F48" s="189">
        <v>109338153.52</v>
      </c>
      <c r="G48" s="189">
        <v>111697749.14</v>
      </c>
      <c r="H48" s="189">
        <v>101550682.51000001</v>
      </c>
      <c r="I48" s="189">
        <v>14864072.4</v>
      </c>
      <c r="J48" s="189">
        <v>13958729.58</v>
      </c>
      <c r="K48" s="189">
        <v>16064096.039999999</v>
      </c>
      <c r="L48" s="189">
        <v>21691842.510000002</v>
      </c>
      <c r="M48" s="189">
        <v>23508308.57</v>
      </c>
      <c r="N48" s="189">
        <v>289228.39</v>
      </c>
      <c r="O48" s="189">
        <v>688134.89</v>
      </c>
      <c r="P48" s="189">
        <v>1197729</v>
      </c>
      <c r="Q48" s="189">
        <v>1193205</v>
      </c>
      <c r="R48" s="189">
        <v>0</v>
      </c>
      <c r="S48" s="189">
        <v>22120440.5</v>
      </c>
      <c r="T48" s="189">
        <v>9439436.8000000007</v>
      </c>
      <c r="U48" s="189">
        <v>13289234.119999999</v>
      </c>
      <c r="V48" s="189">
        <v>9776404.8100000005</v>
      </c>
      <c r="W48" s="189">
        <v>10036800</v>
      </c>
      <c r="X48" s="189">
        <v>11178801.390000001</v>
      </c>
      <c r="Y48" s="189">
        <v>10121771.710000001</v>
      </c>
      <c r="Z48" s="189">
        <v>8161390.25</v>
      </c>
      <c r="AA48" s="189">
        <v>4069573.37</v>
      </c>
      <c r="AB48" s="189">
        <v>2335538.63</v>
      </c>
      <c r="AC48" s="189">
        <v>1125228.56</v>
      </c>
      <c r="AD48" s="189">
        <v>9549325.2100000009</v>
      </c>
      <c r="AE48" s="189">
        <v>4158062.24</v>
      </c>
      <c r="AF48" s="189">
        <v>2501421.11</v>
      </c>
      <c r="AG48" s="189">
        <v>735873.49</v>
      </c>
      <c r="AH48" s="189">
        <v>3968200.82</v>
      </c>
      <c r="AI48" s="189">
        <v>4517099.3099999996</v>
      </c>
      <c r="AJ48" s="189">
        <v>1834964.56</v>
      </c>
      <c r="AK48" s="189">
        <v>1656918.77</v>
      </c>
      <c r="AL48" s="189">
        <v>126669.72</v>
      </c>
      <c r="AM48" s="189">
        <v>1760416.39</v>
      </c>
      <c r="AN48" s="189">
        <v>958236.75</v>
      </c>
      <c r="AO48" s="189">
        <v>0</v>
      </c>
      <c r="AP48" s="189">
        <v>0</v>
      </c>
      <c r="AQ48" s="189">
        <v>0</v>
      </c>
    </row>
    <row r="49" spans="1:43" x14ac:dyDescent="0.25">
      <c r="A49" s="189" t="s">
        <v>153</v>
      </c>
      <c r="B49" s="189">
        <v>0</v>
      </c>
      <c r="C49" s="189">
        <v>0</v>
      </c>
      <c r="D49" s="189">
        <v>0</v>
      </c>
      <c r="E49" s="189">
        <v>0</v>
      </c>
      <c r="F49" s="189">
        <v>0</v>
      </c>
      <c r="G49" s="189">
        <v>0</v>
      </c>
      <c r="H49" s="189">
        <v>0</v>
      </c>
      <c r="I49" s="189">
        <v>0</v>
      </c>
      <c r="J49" s="189">
        <v>0</v>
      </c>
      <c r="K49" s="189">
        <v>0</v>
      </c>
      <c r="L49" s="189">
        <v>0</v>
      </c>
      <c r="M49" s="189">
        <v>0</v>
      </c>
      <c r="N49" s="189">
        <v>0</v>
      </c>
      <c r="O49" s="189">
        <v>0</v>
      </c>
      <c r="P49" s="189">
        <v>0</v>
      </c>
      <c r="Q49" s="189">
        <v>0</v>
      </c>
      <c r="R49" s="189">
        <v>0</v>
      </c>
      <c r="S49" s="189">
        <v>0</v>
      </c>
      <c r="T49" s="189">
        <v>0</v>
      </c>
      <c r="U49" s="189">
        <v>0</v>
      </c>
      <c r="V49" s="189">
        <v>0</v>
      </c>
      <c r="W49" s="189">
        <v>0</v>
      </c>
      <c r="X49" s="189">
        <v>0</v>
      </c>
      <c r="Y49" s="189">
        <v>0</v>
      </c>
      <c r="Z49" s="189">
        <v>0</v>
      </c>
      <c r="AA49" s="189">
        <v>0</v>
      </c>
      <c r="AB49" s="189">
        <v>0</v>
      </c>
      <c r="AC49" s="189">
        <v>0</v>
      </c>
      <c r="AD49" s="189">
        <v>0</v>
      </c>
      <c r="AE49" s="189">
        <v>0</v>
      </c>
      <c r="AF49" s="189">
        <v>0</v>
      </c>
      <c r="AG49" s="189">
        <v>0</v>
      </c>
      <c r="AH49" s="189">
        <v>0</v>
      </c>
      <c r="AI49" s="189">
        <v>0</v>
      </c>
      <c r="AJ49" s="189">
        <v>0</v>
      </c>
      <c r="AK49" s="189">
        <v>0</v>
      </c>
      <c r="AL49" s="189">
        <v>0</v>
      </c>
      <c r="AM49" s="189">
        <v>0</v>
      </c>
      <c r="AN49" s="189">
        <v>0</v>
      </c>
      <c r="AO49" s="189">
        <v>0</v>
      </c>
      <c r="AP49" s="189">
        <v>0</v>
      </c>
      <c r="AQ49" s="189">
        <v>0</v>
      </c>
    </row>
    <row r="50" spans="1:43" x14ac:dyDescent="0.25">
      <c r="A50" s="189" t="s">
        <v>154</v>
      </c>
      <c r="B50" s="189">
        <v>30229005.989999998</v>
      </c>
      <c r="C50" s="189">
        <v>43574369.329999998</v>
      </c>
      <c r="D50" s="189">
        <v>37944521.5</v>
      </c>
      <c r="E50" s="189">
        <v>64782280.950000003</v>
      </c>
      <c r="F50" s="189">
        <v>33696737.640000001</v>
      </c>
      <c r="G50" s="189">
        <v>27118998.350000001</v>
      </c>
      <c r="H50" s="189">
        <v>34236835.600000001</v>
      </c>
      <c r="I50" s="189">
        <v>26239487.02</v>
      </c>
      <c r="J50" s="189">
        <v>4665756.42</v>
      </c>
      <c r="K50" s="189">
        <v>15436359.880000001</v>
      </c>
      <c r="L50" s="189">
        <v>22267529.239999998</v>
      </c>
      <c r="M50" s="189">
        <v>34814376.710000001</v>
      </c>
      <c r="N50" s="189">
        <v>11924207.98</v>
      </c>
      <c r="O50" s="189">
        <v>10948579.560000001</v>
      </c>
      <c r="P50" s="189">
        <v>11656939.439999999</v>
      </c>
      <c r="Q50" s="189">
        <v>16109597.390000001</v>
      </c>
      <c r="R50" s="189">
        <v>9141663.75</v>
      </c>
      <c r="S50" s="189">
        <v>2540263.39</v>
      </c>
      <c r="T50" s="189">
        <v>2439964.62</v>
      </c>
      <c r="U50" s="189">
        <v>2433202.52</v>
      </c>
      <c r="V50" s="189">
        <v>2651108.23</v>
      </c>
      <c r="W50" s="189">
        <v>2775733.89</v>
      </c>
      <c r="X50" s="189">
        <v>2282876.8199999998</v>
      </c>
      <c r="Y50" s="189">
        <v>2446109.94</v>
      </c>
      <c r="Z50" s="189">
        <v>2283930.42</v>
      </c>
      <c r="AA50" s="189">
        <v>3431583.83</v>
      </c>
      <c r="AB50" s="189">
        <v>2183905.27</v>
      </c>
      <c r="AC50" s="189">
        <v>3346413.37</v>
      </c>
      <c r="AD50" s="189">
        <v>2861411.7</v>
      </c>
      <c r="AE50" s="189">
        <v>2718791.04</v>
      </c>
      <c r="AF50" s="189">
        <v>2117158.38</v>
      </c>
      <c r="AG50" s="189">
        <v>2515982.12</v>
      </c>
      <c r="AH50" s="189">
        <v>2346221.04</v>
      </c>
      <c r="AI50" s="189">
        <v>2589199.2999999998</v>
      </c>
      <c r="AJ50" s="189">
        <v>2141250.0299999998</v>
      </c>
      <c r="AK50" s="189">
        <v>2582936.52</v>
      </c>
      <c r="AL50" s="189">
        <v>1445994.3</v>
      </c>
      <c r="AM50" s="189">
        <v>1508966.71</v>
      </c>
      <c r="AN50" s="189">
        <v>1740743.07</v>
      </c>
      <c r="AO50" s="189">
        <v>1725143.5</v>
      </c>
      <c r="AP50" s="189">
        <v>1290260.06</v>
      </c>
      <c r="AQ50" s="189">
        <v>0</v>
      </c>
    </row>
    <row r="51" spans="1:43" x14ac:dyDescent="0.25">
      <c r="A51" s="189" t="s">
        <v>155</v>
      </c>
      <c r="B51" s="189">
        <v>50791904.359999999</v>
      </c>
      <c r="C51" s="189">
        <v>35320003.030000001</v>
      </c>
      <c r="D51" s="189">
        <v>58216220.369999997</v>
      </c>
      <c r="E51" s="189">
        <v>63640265.689999998</v>
      </c>
      <c r="F51" s="189">
        <v>91840992.310000002</v>
      </c>
      <c r="G51" s="189">
        <v>27190560.870000001</v>
      </c>
      <c r="H51" s="189">
        <v>2313324.23</v>
      </c>
      <c r="I51" s="189">
        <v>18752442.059999999</v>
      </c>
      <c r="J51" s="189">
        <v>14195886.35</v>
      </c>
      <c r="K51" s="189">
        <v>26003726.260000002</v>
      </c>
      <c r="L51" s="189">
        <v>18440959.59</v>
      </c>
      <c r="M51" s="189">
        <v>23581457.039999999</v>
      </c>
      <c r="N51" s="189">
        <v>16622762.199999999</v>
      </c>
      <c r="O51" s="189">
        <v>14524145.390000001</v>
      </c>
      <c r="P51" s="189">
        <v>15958909.26</v>
      </c>
      <c r="Q51" s="189">
        <v>16949952.030000001</v>
      </c>
      <c r="R51" s="189">
        <v>17592248.219999999</v>
      </c>
      <c r="S51" s="189">
        <v>-24733428.789999999</v>
      </c>
      <c r="T51" s="189">
        <v>-23223496.140000001</v>
      </c>
      <c r="U51" s="189">
        <v>-23615083.870000001</v>
      </c>
      <c r="V51" s="189">
        <v>-25638885.219999999</v>
      </c>
      <c r="W51" s="189">
        <v>-22826475.050000001</v>
      </c>
      <c r="X51" s="189">
        <v>-22895083.219999999</v>
      </c>
      <c r="Y51" s="189">
        <v>-21548943.43</v>
      </c>
      <c r="Z51" s="189">
        <v>935453.41</v>
      </c>
      <c r="AA51" s="189">
        <v>1954385.9</v>
      </c>
      <c r="AB51" s="189">
        <v>-20832083.93</v>
      </c>
      <c r="AC51" s="189">
        <v>-734645.05</v>
      </c>
      <c r="AD51" s="189">
        <v>-49921.24</v>
      </c>
      <c r="AE51" s="189">
        <v>-858918.26</v>
      </c>
      <c r="AF51" s="189">
        <v>-4991236.54</v>
      </c>
      <c r="AG51" s="189">
        <v>-4318182.67</v>
      </c>
      <c r="AH51" s="189">
        <v>-1472476.04</v>
      </c>
      <c r="AI51" s="189">
        <v>-894006.61</v>
      </c>
      <c r="AJ51" s="189">
        <v>-930475.77</v>
      </c>
      <c r="AK51" s="189">
        <v>2907390.08</v>
      </c>
      <c r="AL51" s="189">
        <v>117425.55</v>
      </c>
      <c r="AM51" s="189">
        <v>1669880.45</v>
      </c>
      <c r="AN51" s="189">
        <v>1305137.06</v>
      </c>
      <c r="AO51" s="189">
        <v>1030815.01</v>
      </c>
      <c r="AP51" s="189">
        <v>-2753699.76</v>
      </c>
      <c r="AQ51" s="189">
        <v>0</v>
      </c>
    </row>
    <row r="52" spans="1:43" x14ac:dyDescent="0.25">
      <c r="A52" s="189" t="s">
        <v>156</v>
      </c>
      <c r="B52" s="189">
        <v>0</v>
      </c>
      <c r="C52" s="189">
        <v>43251054.039999999</v>
      </c>
      <c r="D52" s="189">
        <v>24913678.149999999</v>
      </c>
      <c r="E52" s="189">
        <v>77392814.650000006</v>
      </c>
      <c r="F52" s="189">
        <v>55274872.109999999</v>
      </c>
      <c r="G52" s="189">
        <v>35481928.990000002</v>
      </c>
      <c r="H52" s="189">
        <v>27877727.09</v>
      </c>
      <c r="I52" s="189">
        <v>312017.84999999998</v>
      </c>
      <c r="J52" s="189">
        <v>5040273.97</v>
      </c>
      <c r="K52" s="189">
        <v>2899255.71</v>
      </c>
      <c r="L52" s="189">
        <v>303633.12</v>
      </c>
      <c r="M52" s="189">
        <v>773860.86</v>
      </c>
      <c r="N52" s="189">
        <v>0</v>
      </c>
      <c r="O52" s="189">
        <v>0</v>
      </c>
      <c r="P52" s="189">
        <v>0</v>
      </c>
      <c r="Q52" s="189">
        <v>0</v>
      </c>
      <c r="R52" s="189">
        <v>0</v>
      </c>
      <c r="S52" s="189">
        <v>74720.31</v>
      </c>
      <c r="T52" s="189">
        <v>71588.42</v>
      </c>
      <c r="U52" s="189">
        <v>922326.76</v>
      </c>
      <c r="V52" s="189">
        <v>613333.4</v>
      </c>
      <c r="W52" s="189">
        <v>1582558.34</v>
      </c>
      <c r="X52" s="189">
        <v>466291.4</v>
      </c>
      <c r="Y52" s="189">
        <v>735714.07</v>
      </c>
      <c r="Z52" s="189">
        <v>0</v>
      </c>
      <c r="AA52" s="189">
        <v>941716.93</v>
      </c>
      <c r="AB52" s="189">
        <v>0</v>
      </c>
      <c r="AC52" s="189">
        <v>623773.13</v>
      </c>
      <c r="AD52" s="189">
        <v>0</v>
      </c>
      <c r="AE52" s="189">
        <v>0</v>
      </c>
      <c r="AF52" s="189">
        <v>127868.89</v>
      </c>
      <c r="AG52" s="189">
        <v>247257.78</v>
      </c>
      <c r="AH52" s="189">
        <v>0</v>
      </c>
      <c r="AI52" s="189">
        <v>79685</v>
      </c>
      <c r="AJ52" s="189">
        <v>79685</v>
      </c>
      <c r="AK52" s="189">
        <v>192080</v>
      </c>
      <c r="AL52" s="189">
        <v>732802.22</v>
      </c>
      <c r="AM52" s="189">
        <v>732802.22</v>
      </c>
      <c r="AN52" s="189">
        <v>180480</v>
      </c>
      <c r="AO52" s="189">
        <v>0</v>
      </c>
      <c r="AP52" s="189">
        <v>0</v>
      </c>
      <c r="AQ52" s="189">
        <v>0</v>
      </c>
    </row>
    <row r="53" spans="1:43" x14ac:dyDescent="0.25">
      <c r="A53" s="189" t="s">
        <v>157</v>
      </c>
      <c r="B53" s="189">
        <v>0</v>
      </c>
      <c r="C53" s="189">
        <v>8003934.4900000002</v>
      </c>
      <c r="D53" s="189">
        <v>8003934.4900000002</v>
      </c>
      <c r="E53" s="189">
        <v>8003934.4900000002</v>
      </c>
      <c r="F53" s="189">
        <v>0</v>
      </c>
      <c r="G53" s="189">
        <v>0</v>
      </c>
      <c r="H53" s="189">
        <v>0</v>
      </c>
      <c r="I53" s="189">
        <v>0</v>
      </c>
      <c r="J53" s="189">
        <v>0</v>
      </c>
      <c r="K53" s="189">
        <v>0</v>
      </c>
      <c r="L53" s="189">
        <v>72437454.730000004</v>
      </c>
      <c r="M53" s="189">
        <v>0</v>
      </c>
      <c r="N53" s="189">
        <v>0</v>
      </c>
      <c r="O53" s="189">
        <v>0</v>
      </c>
      <c r="P53" s="189">
        <v>0</v>
      </c>
      <c r="Q53" s="189">
        <v>0</v>
      </c>
      <c r="R53" s="189">
        <v>0</v>
      </c>
      <c r="S53" s="189">
        <v>2140913.0699999998</v>
      </c>
      <c r="T53" s="189">
        <v>1521250</v>
      </c>
      <c r="U53" s="189">
        <v>3221250</v>
      </c>
      <c r="V53" s="189">
        <v>416250</v>
      </c>
      <c r="W53" s="189">
        <v>1350000</v>
      </c>
      <c r="X53" s="189">
        <v>1350000</v>
      </c>
      <c r="Y53" s="189">
        <v>1350000</v>
      </c>
      <c r="Z53" s="189">
        <v>4644038.2699999996</v>
      </c>
      <c r="AA53" s="189">
        <v>9350000</v>
      </c>
      <c r="AB53" s="189">
        <v>0</v>
      </c>
      <c r="AC53" s="189">
        <v>0</v>
      </c>
      <c r="AD53" s="189">
        <v>0</v>
      </c>
      <c r="AE53" s="189">
        <v>0</v>
      </c>
      <c r="AF53" s="189">
        <v>0</v>
      </c>
      <c r="AG53" s="189">
        <v>0</v>
      </c>
      <c r="AH53" s="189">
        <v>0</v>
      </c>
      <c r="AI53" s="189">
        <v>0</v>
      </c>
      <c r="AJ53" s="189">
        <v>0</v>
      </c>
      <c r="AK53" s="189">
        <v>0</v>
      </c>
      <c r="AL53" s="189">
        <v>0</v>
      </c>
      <c r="AM53" s="189">
        <v>0</v>
      </c>
      <c r="AN53" s="189">
        <v>0</v>
      </c>
      <c r="AO53" s="189">
        <v>0</v>
      </c>
      <c r="AP53" s="189">
        <v>3925466.82</v>
      </c>
      <c r="AQ53" s="189">
        <v>0</v>
      </c>
    </row>
    <row r="54" spans="1:43" x14ac:dyDescent="0.25">
      <c r="A54" s="189" t="s">
        <v>158</v>
      </c>
      <c r="B54" s="189">
        <v>657250523.60000002</v>
      </c>
      <c r="C54" s="189">
        <v>786096997.20000005</v>
      </c>
      <c r="D54" s="189">
        <v>995641613.96000004</v>
      </c>
      <c r="E54" s="189">
        <v>1832111720.71</v>
      </c>
      <c r="F54" s="189">
        <v>2205960176.6900001</v>
      </c>
      <c r="G54" s="189">
        <v>2397207653.9200001</v>
      </c>
      <c r="H54" s="189">
        <v>4588930880.9300003</v>
      </c>
      <c r="I54" s="189">
        <v>715352762.88</v>
      </c>
      <c r="J54" s="189">
        <v>355736546.37</v>
      </c>
      <c r="K54" s="189">
        <v>365352565.26999998</v>
      </c>
      <c r="L54" s="189">
        <v>373827055.81999999</v>
      </c>
      <c r="M54" s="189">
        <v>473441564.74000001</v>
      </c>
      <c r="N54" s="189">
        <v>215739596.65000001</v>
      </c>
      <c r="O54" s="189">
        <v>151469806.16</v>
      </c>
      <c r="P54" s="189">
        <v>214187282.91</v>
      </c>
      <c r="Q54" s="189">
        <v>11181588.43</v>
      </c>
      <c r="R54" s="189">
        <v>1129428.71</v>
      </c>
      <c r="S54" s="189">
        <v>2282154.04</v>
      </c>
      <c r="T54" s="189">
        <v>1981093.18</v>
      </c>
      <c r="U54" s="189">
        <v>2904749.27</v>
      </c>
      <c r="V54" s="189">
        <v>2736578.62</v>
      </c>
      <c r="W54" s="189">
        <v>5834975.9000000004</v>
      </c>
      <c r="X54" s="189">
        <v>6598296.2000000002</v>
      </c>
      <c r="Y54" s="189">
        <v>6372270.5999999996</v>
      </c>
      <c r="Z54" s="189">
        <v>21760155.350000001</v>
      </c>
      <c r="AA54" s="189">
        <v>1365826.62</v>
      </c>
      <c r="AB54" s="189">
        <v>1537079.08</v>
      </c>
      <c r="AC54" s="189">
        <v>1486552.05</v>
      </c>
      <c r="AD54" s="189">
        <v>22325845.010000002</v>
      </c>
      <c r="AE54" s="189">
        <v>13524388.92</v>
      </c>
      <c r="AF54" s="189">
        <v>23198507.510000002</v>
      </c>
      <c r="AG54" s="189">
        <v>2549563.75</v>
      </c>
      <c r="AH54" s="189">
        <v>2634251.98</v>
      </c>
      <c r="AI54" s="189">
        <v>3039270.52</v>
      </c>
      <c r="AJ54" s="189">
        <v>4638315.63</v>
      </c>
      <c r="AK54" s="189">
        <v>3357598.38</v>
      </c>
      <c r="AL54" s="189">
        <v>3411431.09</v>
      </c>
      <c r="AM54" s="189">
        <v>1248671.1200000001</v>
      </c>
      <c r="AN54" s="189">
        <v>3521515.43</v>
      </c>
      <c r="AO54" s="189">
        <v>1749850.05</v>
      </c>
      <c r="AP54" s="189">
        <v>410814.37</v>
      </c>
      <c r="AQ54" s="189">
        <v>0</v>
      </c>
    </row>
    <row r="55" spans="1:43" x14ac:dyDescent="0.25">
      <c r="A55" s="189" t="s">
        <v>159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row>
    <row r="56" spans="1:43" x14ac:dyDescent="0.25">
      <c r="A56" s="189" t="s">
        <v>160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row>
    <row r="57" spans="1:43" x14ac:dyDescent="0.25">
      <c r="A57" s="189" t="s">
        <v>161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row>
    <row r="58" spans="1:43" x14ac:dyDescent="0.25">
      <c r="A58" s="189" t="s">
        <v>162</v>
      </c>
      <c r="B58" s="189">
        <v>0</v>
      </c>
      <c r="C58" s="189">
        <v>0</v>
      </c>
      <c r="D58" s="189">
        <v>149970601</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row>
    <row r="59" spans="1:43" x14ac:dyDescent="0.25">
      <c r="A59" s="189" t="s">
        <v>163</v>
      </c>
      <c r="B59" s="189">
        <v>64585068.640000001</v>
      </c>
      <c r="C59" s="189">
        <v>64174069.140000001</v>
      </c>
      <c r="D59" s="189">
        <v>45417014</v>
      </c>
      <c r="E59" s="189">
        <v>64834574.079999998</v>
      </c>
      <c r="F59" s="189">
        <v>0</v>
      </c>
      <c r="G59" s="189">
        <v>0</v>
      </c>
      <c r="H59" s="189">
        <v>0</v>
      </c>
      <c r="I59" s="189">
        <v>3252460.28</v>
      </c>
      <c r="J59" s="189">
        <v>8609007.3300000001</v>
      </c>
      <c r="K59" s="189">
        <v>8753945.2200000007</v>
      </c>
      <c r="L59" s="189">
        <v>9819201.8599999994</v>
      </c>
      <c r="M59" s="189">
        <v>9896919.4900000002</v>
      </c>
      <c r="N59" s="189">
        <v>3590449.83</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row>
    <row r="60" spans="1:43" x14ac:dyDescent="0.25">
      <c r="A60" s="189" t="s">
        <v>164</v>
      </c>
      <c r="B60" s="189">
        <v>1863699932.8599999</v>
      </c>
      <c r="C60" s="189">
        <v>2067101841.3499999</v>
      </c>
      <c r="D60" s="189">
        <v>2422789482.71</v>
      </c>
      <c r="E60" s="189">
        <v>3234702295.4000001</v>
      </c>
      <c r="F60" s="189">
        <v>3290917153.6399999</v>
      </c>
      <c r="G60" s="189">
        <v>3297693086.8299999</v>
      </c>
      <c r="H60" s="189">
        <v>5164747338.5</v>
      </c>
      <c r="I60" s="189">
        <v>929429514.23000002</v>
      </c>
      <c r="J60" s="189">
        <v>722388308.25999999</v>
      </c>
      <c r="K60" s="189">
        <v>756127688.21000004</v>
      </c>
      <c r="L60" s="189">
        <v>700931931.07000005</v>
      </c>
      <c r="M60" s="189">
        <v>974247573.27999997</v>
      </c>
      <c r="N60" s="189">
        <v>596606686.42999995</v>
      </c>
      <c r="O60" s="189">
        <v>555129830.85000002</v>
      </c>
      <c r="P60" s="189">
        <v>595857576.35000002</v>
      </c>
      <c r="Q60" s="189">
        <v>54207594.700000003</v>
      </c>
      <c r="R60" s="189">
        <v>67649576.180000007</v>
      </c>
      <c r="S60" s="189">
        <v>401536516.52999997</v>
      </c>
      <c r="T60" s="189">
        <v>439497802.36000001</v>
      </c>
      <c r="U60" s="189">
        <v>501483257.52999997</v>
      </c>
      <c r="V60" s="189">
        <v>514885625.86000001</v>
      </c>
      <c r="W60" s="189">
        <v>530601131.88</v>
      </c>
      <c r="X60" s="189">
        <v>459120627.31</v>
      </c>
      <c r="Y60" s="189">
        <v>450415445.91000003</v>
      </c>
      <c r="Z60" s="189">
        <v>482459138.33999997</v>
      </c>
      <c r="AA60" s="189">
        <v>450228605.97000003</v>
      </c>
      <c r="AB60" s="189">
        <v>383849420.38</v>
      </c>
      <c r="AC60" s="189">
        <v>398640069.30000001</v>
      </c>
      <c r="AD60" s="189">
        <v>413842733.31999999</v>
      </c>
      <c r="AE60" s="189">
        <v>334127011.61000001</v>
      </c>
      <c r="AF60" s="189">
        <v>281567570.18000001</v>
      </c>
      <c r="AG60" s="189">
        <v>254950318.66</v>
      </c>
      <c r="AH60" s="189">
        <v>234344548.19999999</v>
      </c>
      <c r="AI60" s="189">
        <v>202188594.75999999</v>
      </c>
      <c r="AJ60" s="189">
        <v>165318869.25</v>
      </c>
      <c r="AK60" s="189">
        <v>145960270.50999999</v>
      </c>
      <c r="AL60" s="189">
        <v>116215412.2</v>
      </c>
      <c r="AM60" s="189">
        <v>125140855.48999999</v>
      </c>
      <c r="AN60" s="189">
        <v>134247490.58000001</v>
      </c>
      <c r="AO60" s="189">
        <v>125124728.39</v>
      </c>
      <c r="AP60" s="189">
        <v>71021777.319999993</v>
      </c>
      <c r="AQ60" s="189">
        <v>0</v>
      </c>
    </row>
    <row r="61" spans="1:43" x14ac:dyDescent="0.25">
      <c r="A61" s="189" t="s">
        <v>165</v>
      </c>
    </row>
    <row r="62" spans="1:43" x14ac:dyDescent="0.25">
      <c r="A62" s="189" t="s">
        <v>166</v>
      </c>
      <c r="B62" s="189">
        <v>166666666.66</v>
      </c>
      <c r="C62" s="189">
        <v>183333333.33000001</v>
      </c>
      <c r="D62" s="189">
        <v>200000000</v>
      </c>
      <c r="E62" s="189">
        <v>0</v>
      </c>
      <c r="F62" s="189">
        <v>0</v>
      </c>
      <c r="G62" s="189">
        <v>0</v>
      </c>
      <c r="H62" s="189">
        <v>0</v>
      </c>
      <c r="I62" s="189">
        <v>99921400</v>
      </c>
      <c r="J62" s="189">
        <v>99921400</v>
      </c>
      <c r="K62" s="189">
        <v>99921400</v>
      </c>
      <c r="L62" s="189">
        <v>99895058.439999998</v>
      </c>
      <c r="M62" s="189">
        <v>0</v>
      </c>
      <c r="N62" s="189">
        <v>0</v>
      </c>
      <c r="O62" s="189">
        <v>0</v>
      </c>
      <c r="P62" s="189">
        <v>0</v>
      </c>
      <c r="Q62" s="189">
        <v>0</v>
      </c>
      <c r="R62" s="189">
        <v>0</v>
      </c>
      <c r="S62" s="189">
        <v>0</v>
      </c>
      <c r="T62" s="189">
        <v>0</v>
      </c>
      <c r="U62" s="189">
        <v>0</v>
      </c>
      <c r="V62" s="189">
        <v>0</v>
      </c>
      <c r="W62" s="189">
        <v>0</v>
      </c>
      <c r="X62" s="189">
        <v>0</v>
      </c>
      <c r="Y62" s="189">
        <v>0</v>
      </c>
      <c r="Z62" s="189">
        <v>0</v>
      </c>
      <c r="AA62" s="189">
        <v>0</v>
      </c>
      <c r="AB62" s="189">
        <v>0</v>
      </c>
      <c r="AC62" s="189">
        <v>0</v>
      </c>
      <c r="AD62" s="189">
        <v>0</v>
      </c>
      <c r="AE62" s="189">
        <v>0</v>
      </c>
      <c r="AF62" s="189">
        <v>0</v>
      </c>
      <c r="AG62" s="189">
        <v>0</v>
      </c>
      <c r="AH62" s="189">
        <v>0</v>
      </c>
      <c r="AI62" s="189">
        <v>0</v>
      </c>
      <c r="AJ62" s="189">
        <v>0</v>
      </c>
      <c r="AK62" s="189">
        <v>0</v>
      </c>
      <c r="AL62" s="189">
        <v>6000000</v>
      </c>
      <c r="AM62" s="189">
        <v>6000000</v>
      </c>
      <c r="AN62" s="189">
        <v>6000000</v>
      </c>
      <c r="AO62" s="189">
        <v>0</v>
      </c>
      <c r="AP62" s="189">
        <v>0</v>
      </c>
      <c r="AQ62" s="189">
        <v>0</v>
      </c>
    </row>
    <row r="63" spans="1:43" x14ac:dyDescent="0.25">
      <c r="A63" s="189" t="s">
        <v>167</v>
      </c>
      <c r="B63" s="189">
        <v>996657287.70000005</v>
      </c>
      <c r="C63" s="189">
        <v>995422219.20000005</v>
      </c>
      <c r="D63" s="189">
        <v>994200575.37</v>
      </c>
      <c r="E63" s="189">
        <v>992992356.17999995</v>
      </c>
      <c r="F63" s="189">
        <v>991757287.67999995</v>
      </c>
      <c r="G63" s="189">
        <v>990522219.17999995</v>
      </c>
      <c r="H63" s="189">
        <v>989300575.34000003</v>
      </c>
      <c r="I63" s="189">
        <v>0</v>
      </c>
      <c r="J63" s="189">
        <v>0</v>
      </c>
      <c r="K63" s="189">
        <v>0</v>
      </c>
      <c r="L63" s="189">
        <v>0</v>
      </c>
      <c r="M63" s="189">
        <v>0</v>
      </c>
      <c r="N63" s="189">
        <v>0</v>
      </c>
      <c r="O63" s="189">
        <v>0</v>
      </c>
      <c r="P63" s="189">
        <v>0</v>
      </c>
      <c r="Q63" s="189">
        <v>0</v>
      </c>
      <c r="R63" s="189">
        <v>0</v>
      </c>
      <c r="S63" s="189">
        <v>0</v>
      </c>
      <c r="T63" s="189">
        <v>0</v>
      </c>
      <c r="U63" s="189">
        <v>0</v>
      </c>
      <c r="V63" s="189">
        <v>0</v>
      </c>
      <c r="W63" s="189">
        <v>0</v>
      </c>
      <c r="X63" s="189">
        <v>0</v>
      </c>
      <c r="Y63" s="189">
        <v>0</v>
      </c>
      <c r="Z63" s="189">
        <v>0</v>
      </c>
      <c r="AA63" s="189">
        <v>0</v>
      </c>
      <c r="AB63" s="189">
        <v>0</v>
      </c>
      <c r="AC63" s="189">
        <v>0</v>
      </c>
      <c r="AD63" s="189">
        <v>0</v>
      </c>
      <c r="AE63" s="189">
        <v>0</v>
      </c>
      <c r="AF63" s="189">
        <v>0</v>
      </c>
      <c r="AG63" s="189">
        <v>0</v>
      </c>
      <c r="AH63" s="189">
        <v>0</v>
      </c>
      <c r="AI63" s="189">
        <v>0</v>
      </c>
      <c r="AJ63" s="189">
        <v>0</v>
      </c>
      <c r="AK63" s="189">
        <v>0</v>
      </c>
      <c r="AL63" s="189">
        <v>0</v>
      </c>
      <c r="AM63" s="189">
        <v>0</v>
      </c>
      <c r="AN63" s="189">
        <v>0</v>
      </c>
      <c r="AO63" s="189">
        <v>0</v>
      </c>
      <c r="AP63" s="189">
        <v>0</v>
      </c>
      <c r="AQ63" s="189">
        <v>0</v>
      </c>
    </row>
    <row r="64" spans="1:43" x14ac:dyDescent="0.25">
      <c r="A64" s="189" t="s">
        <v>168</v>
      </c>
      <c r="B64" s="189">
        <v>480716000</v>
      </c>
      <c r="C64" s="189">
        <v>480716000</v>
      </c>
      <c r="D64" s="189">
        <v>340745399</v>
      </c>
      <c r="E64" s="189">
        <v>490716000</v>
      </c>
      <c r="F64" s="189">
        <v>490716000</v>
      </c>
      <c r="G64" s="189">
        <v>490716000</v>
      </c>
      <c r="H64" s="189">
        <v>490716000</v>
      </c>
      <c r="I64" s="189">
        <v>490716000</v>
      </c>
      <c r="J64" s="189">
        <v>4618000</v>
      </c>
      <c r="K64" s="189">
        <v>4618000</v>
      </c>
      <c r="L64" s="189">
        <v>1248272975.3299999</v>
      </c>
      <c r="M64" s="189">
        <v>1252890975.3299999</v>
      </c>
      <c r="N64" s="189">
        <v>0</v>
      </c>
      <c r="O64" s="189">
        <v>0</v>
      </c>
      <c r="P64" s="189">
        <v>0</v>
      </c>
      <c r="Q64" s="189">
        <v>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row>
    <row r="65" spans="1:43" x14ac:dyDescent="0.25">
      <c r="A65" s="189" t="s">
        <v>169</v>
      </c>
      <c r="B65" s="189">
        <v>0</v>
      </c>
      <c r="C65" s="189">
        <v>0</v>
      </c>
      <c r="D65" s="189">
        <v>0</v>
      </c>
      <c r="E65" s="189">
        <v>0</v>
      </c>
      <c r="F65" s="189">
        <v>0</v>
      </c>
      <c r="G65" s="189">
        <v>0</v>
      </c>
      <c r="H65" s="189">
        <v>0</v>
      </c>
      <c r="I65" s="189">
        <v>0</v>
      </c>
      <c r="J65" s="189">
        <v>0</v>
      </c>
      <c r="K65" s="189">
        <v>0</v>
      </c>
      <c r="L65" s="189">
        <v>0</v>
      </c>
      <c r="M65" s="189">
        <v>0</v>
      </c>
      <c r="N65" s="189">
        <v>0</v>
      </c>
      <c r="O65" s="189">
        <v>0</v>
      </c>
      <c r="P65" s="189">
        <v>0</v>
      </c>
      <c r="Q65" s="189">
        <v>0</v>
      </c>
      <c r="R65" s="189">
        <v>0</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c r="AN65" s="189">
        <v>0</v>
      </c>
      <c r="AO65" s="189">
        <v>0</v>
      </c>
      <c r="AP65" s="189">
        <v>0</v>
      </c>
      <c r="AQ65" s="189">
        <v>0</v>
      </c>
    </row>
    <row r="66" spans="1:43" x14ac:dyDescent="0.25">
      <c r="A66" s="189" t="s">
        <v>170</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row>
    <row r="67" spans="1:43" x14ac:dyDescent="0.25">
      <c r="A67" s="189" t="s">
        <v>171</v>
      </c>
      <c r="B67" s="189">
        <v>12620212</v>
      </c>
      <c r="C67" s="189">
        <v>17277010.32</v>
      </c>
      <c r="D67" s="189">
        <v>17277010.32</v>
      </c>
      <c r="E67" s="189">
        <v>17277010.32</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row>
    <row r="68" spans="1:43" x14ac:dyDescent="0.25">
      <c r="A68" s="189" t="s">
        <v>172</v>
      </c>
      <c r="B68" s="189">
        <v>103596856.86</v>
      </c>
      <c r="C68" s="189">
        <v>104085393.22</v>
      </c>
      <c r="D68" s="189">
        <v>109679691.55</v>
      </c>
      <c r="E68" s="189">
        <v>111007480.28</v>
      </c>
      <c r="F68" s="189">
        <v>87403526.920000002</v>
      </c>
      <c r="G68" s="189">
        <v>122044148.15000001</v>
      </c>
      <c r="H68" s="189">
        <v>107926896.42</v>
      </c>
      <c r="I68" s="189">
        <v>152667435.75999999</v>
      </c>
      <c r="J68" s="189">
        <v>79183089.010000005</v>
      </c>
      <c r="K68" s="189">
        <v>59710421.530000001</v>
      </c>
      <c r="L68" s="189">
        <v>80639301.480000004</v>
      </c>
      <c r="M68" s="189">
        <v>103470769.59</v>
      </c>
      <c r="N68" s="189">
        <v>26821244.559999999</v>
      </c>
      <c r="O68" s="189">
        <v>26821244.559999999</v>
      </c>
      <c r="P68" s="189">
        <v>26937324.289999999</v>
      </c>
      <c r="Q68" s="189">
        <v>26937324.289999999</v>
      </c>
      <c r="R68" s="189">
        <v>25708516.800000001</v>
      </c>
      <c r="S68" s="189">
        <v>0</v>
      </c>
      <c r="T68" s="189">
        <v>0</v>
      </c>
      <c r="U68" s="189">
        <v>0</v>
      </c>
      <c r="V68" s="189">
        <v>0</v>
      </c>
      <c r="W68" s="189">
        <v>0</v>
      </c>
      <c r="X68" s="189">
        <v>0</v>
      </c>
      <c r="Y68" s="189">
        <v>0</v>
      </c>
      <c r="Z68" s="189">
        <v>0</v>
      </c>
      <c r="AA68" s="189">
        <v>0</v>
      </c>
      <c r="AB68" s="189">
        <v>0</v>
      </c>
      <c r="AC68" s="189">
        <v>0</v>
      </c>
      <c r="AD68" s="189">
        <v>0</v>
      </c>
      <c r="AE68" s="189">
        <v>0</v>
      </c>
      <c r="AF68" s="189">
        <v>0</v>
      </c>
      <c r="AG68" s="189">
        <v>0</v>
      </c>
      <c r="AH68" s="189">
        <v>0</v>
      </c>
      <c r="AI68" s="189">
        <v>0</v>
      </c>
      <c r="AJ68" s="189">
        <v>0</v>
      </c>
      <c r="AK68" s="189">
        <v>0</v>
      </c>
      <c r="AL68" s="189">
        <v>0</v>
      </c>
      <c r="AM68" s="189">
        <v>0</v>
      </c>
      <c r="AN68" s="189">
        <v>0</v>
      </c>
      <c r="AO68" s="189">
        <v>0</v>
      </c>
      <c r="AP68" s="189">
        <v>0</v>
      </c>
      <c r="AQ68" s="189">
        <v>0</v>
      </c>
    </row>
    <row r="69" spans="1:43" x14ac:dyDescent="0.25">
      <c r="A69" s="189" t="s">
        <v>173</v>
      </c>
      <c r="B69" s="189">
        <v>10739711.810000001</v>
      </c>
      <c r="C69" s="189">
        <v>9620236.5</v>
      </c>
      <c r="D69" s="189">
        <v>10252225.83</v>
      </c>
      <c r="E69" s="189">
        <v>7153603.1900000004</v>
      </c>
      <c r="F69" s="189">
        <v>13988390.189999999</v>
      </c>
      <c r="G69" s="189">
        <v>13144780.32</v>
      </c>
      <c r="H69" s="189">
        <v>14403598.390000001</v>
      </c>
      <c r="I69" s="189">
        <v>8573551.4199999999</v>
      </c>
      <c r="J69" s="189">
        <v>10058920.029999999</v>
      </c>
      <c r="K69" s="189">
        <v>8391440.1699999999</v>
      </c>
      <c r="L69" s="189">
        <v>7477823.1799999997</v>
      </c>
      <c r="M69" s="189">
        <v>6193212.9100000001</v>
      </c>
      <c r="N69" s="189">
        <v>0</v>
      </c>
      <c r="O69" s="189">
        <v>284242.01</v>
      </c>
      <c r="P69" s="189">
        <v>0</v>
      </c>
      <c r="Q69" s="189">
        <v>0</v>
      </c>
      <c r="R69" s="189">
        <v>0</v>
      </c>
      <c r="S69" s="189">
        <v>0</v>
      </c>
      <c r="T69" s="189">
        <v>0</v>
      </c>
      <c r="U69" s="189">
        <v>0</v>
      </c>
      <c r="V69" s="189">
        <v>0</v>
      </c>
      <c r="W69" s="189">
        <v>0</v>
      </c>
      <c r="X69" s="189">
        <v>0</v>
      </c>
      <c r="Y69" s="189">
        <v>0</v>
      </c>
      <c r="Z69" s="189">
        <v>0</v>
      </c>
      <c r="AA69" s="189">
        <v>0</v>
      </c>
      <c r="AB69" s="189">
        <v>0</v>
      </c>
      <c r="AC69" s="189">
        <v>0</v>
      </c>
      <c r="AD69" s="189">
        <v>0</v>
      </c>
      <c r="AE69" s="189">
        <v>0</v>
      </c>
      <c r="AF69" s="189">
        <v>0</v>
      </c>
      <c r="AG69" s="189">
        <v>0</v>
      </c>
      <c r="AH69" s="189">
        <v>0</v>
      </c>
      <c r="AI69" s="189">
        <v>0</v>
      </c>
      <c r="AJ69" s="189">
        <v>0</v>
      </c>
      <c r="AK69" s="189">
        <v>0</v>
      </c>
      <c r="AL69" s="189">
        <v>0</v>
      </c>
      <c r="AM69" s="189">
        <v>0</v>
      </c>
      <c r="AN69" s="189">
        <v>0</v>
      </c>
      <c r="AO69" s="189">
        <v>0</v>
      </c>
      <c r="AP69" s="189">
        <v>0</v>
      </c>
      <c r="AQ69" s="189">
        <v>0</v>
      </c>
    </row>
    <row r="70" spans="1:43" x14ac:dyDescent="0.25">
      <c r="A70" s="189" t="s">
        <v>174</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0</v>
      </c>
      <c r="S70" s="189">
        <v>0</v>
      </c>
      <c r="T70" s="189">
        <v>0</v>
      </c>
      <c r="U70" s="189">
        <v>0</v>
      </c>
      <c r="V70" s="189">
        <v>0</v>
      </c>
      <c r="W70" s="189">
        <v>0</v>
      </c>
      <c r="X70" s="189">
        <v>0</v>
      </c>
      <c r="Y70" s="189">
        <v>0</v>
      </c>
      <c r="Z70" s="189">
        <v>0</v>
      </c>
      <c r="AA70" s="189">
        <v>0</v>
      </c>
      <c r="AB70" s="189">
        <v>0</v>
      </c>
      <c r="AC70" s="189">
        <v>0</v>
      </c>
      <c r="AD70" s="189">
        <v>0</v>
      </c>
      <c r="AE70" s="189">
        <v>0</v>
      </c>
      <c r="AF70" s="189">
        <v>0</v>
      </c>
      <c r="AG70" s="189">
        <v>0</v>
      </c>
      <c r="AH70" s="189">
        <v>0</v>
      </c>
      <c r="AI70" s="189">
        <v>0</v>
      </c>
      <c r="AJ70" s="189">
        <v>0</v>
      </c>
      <c r="AK70" s="189">
        <v>0</v>
      </c>
      <c r="AL70" s="189">
        <v>0</v>
      </c>
      <c r="AM70" s="189">
        <v>0</v>
      </c>
      <c r="AN70" s="189">
        <v>0</v>
      </c>
      <c r="AO70" s="189">
        <v>0</v>
      </c>
      <c r="AP70" s="189">
        <v>0</v>
      </c>
      <c r="AQ70" s="189">
        <v>0</v>
      </c>
    </row>
    <row r="71" spans="1:43" x14ac:dyDescent="0.25">
      <c r="A71" s="189" t="s">
        <v>175</v>
      </c>
      <c r="B71" s="189">
        <v>1770996735.03</v>
      </c>
      <c r="C71" s="189">
        <v>1790454192.5699999</v>
      </c>
      <c r="D71" s="189">
        <v>1672154902.0699999</v>
      </c>
      <c r="E71" s="189">
        <v>1619146449.97</v>
      </c>
      <c r="F71" s="189">
        <v>1583865204.79</v>
      </c>
      <c r="G71" s="189">
        <v>1616427147.6500001</v>
      </c>
      <c r="H71" s="189">
        <v>1602347070.1500001</v>
      </c>
      <c r="I71" s="189">
        <v>751878387.17999995</v>
      </c>
      <c r="J71" s="189">
        <v>193781409.03999999</v>
      </c>
      <c r="K71" s="189">
        <v>172641261.69999999</v>
      </c>
      <c r="L71" s="189">
        <v>1436285158.4300001</v>
      </c>
      <c r="M71" s="189">
        <v>1362554957.8299999</v>
      </c>
      <c r="N71" s="189">
        <v>26821244.559999999</v>
      </c>
      <c r="O71" s="189">
        <v>27105486.57</v>
      </c>
      <c r="P71" s="189">
        <v>26937324.289999999</v>
      </c>
      <c r="Q71" s="189">
        <v>26937324.289999999</v>
      </c>
      <c r="R71" s="189">
        <v>25708516.800000001</v>
      </c>
      <c r="S71" s="189">
        <v>0</v>
      </c>
      <c r="T71" s="189">
        <v>0</v>
      </c>
      <c r="U71" s="189">
        <v>0</v>
      </c>
      <c r="V71" s="189">
        <v>0</v>
      </c>
      <c r="W71" s="189">
        <v>0</v>
      </c>
      <c r="X71" s="189">
        <v>0</v>
      </c>
      <c r="Y71" s="189">
        <v>0</v>
      </c>
      <c r="Z71" s="189">
        <v>0</v>
      </c>
      <c r="AA71" s="189">
        <v>0</v>
      </c>
      <c r="AB71" s="189">
        <v>0</v>
      </c>
      <c r="AC71" s="189">
        <v>0</v>
      </c>
      <c r="AD71" s="189">
        <v>0</v>
      </c>
      <c r="AE71" s="189">
        <v>0</v>
      </c>
      <c r="AF71" s="189">
        <v>0</v>
      </c>
      <c r="AG71" s="189">
        <v>0</v>
      </c>
      <c r="AH71" s="189">
        <v>0</v>
      </c>
      <c r="AI71" s="189">
        <v>0</v>
      </c>
      <c r="AJ71" s="189">
        <v>0</v>
      </c>
      <c r="AK71" s="189">
        <v>0</v>
      </c>
      <c r="AL71" s="189">
        <v>6000000</v>
      </c>
      <c r="AM71" s="189">
        <v>6000000</v>
      </c>
      <c r="AN71" s="189">
        <v>6000000</v>
      </c>
      <c r="AO71" s="189">
        <v>0</v>
      </c>
      <c r="AP71" s="189">
        <v>0</v>
      </c>
      <c r="AQ71" s="189">
        <v>0</v>
      </c>
    </row>
    <row r="72" spans="1:43" x14ac:dyDescent="0.25">
      <c r="A72" s="189" t="s">
        <v>176</v>
      </c>
      <c r="B72" s="189">
        <v>3634696667.8899999</v>
      </c>
      <c r="C72" s="189">
        <v>3857556033.9200001</v>
      </c>
      <c r="D72" s="189">
        <v>4094944384.7800002</v>
      </c>
      <c r="E72" s="189">
        <v>4853848745.3699999</v>
      </c>
      <c r="F72" s="189">
        <v>4874782358.4300003</v>
      </c>
      <c r="G72" s="189">
        <v>4914120234.4799995</v>
      </c>
      <c r="H72" s="189">
        <v>6767094408.6499996</v>
      </c>
      <c r="I72" s="189">
        <v>1681307901.4100001</v>
      </c>
      <c r="J72" s="189">
        <v>916169717.29999995</v>
      </c>
      <c r="K72" s="189">
        <v>928768949.90999997</v>
      </c>
      <c r="L72" s="189">
        <v>2137217089.5</v>
      </c>
      <c r="M72" s="189">
        <v>2336802531.1100001</v>
      </c>
      <c r="N72" s="189">
        <v>623427930.99000001</v>
      </c>
      <c r="O72" s="189">
        <v>582235317.41999996</v>
      </c>
      <c r="P72" s="189">
        <v>622794900.63999999</v>
      </c>
      <c r="Q72" s="189">
        <v>81144918.989999995</v>
      </c>
      <c r="R72" s="189">
        <v>93358092.980000004</v>
      </c>
      <c r="S72" s="189">
        <v>401536516.52999997</v>
      </c>
      <c r="T72" s="189">
        <v>439497802.36000001</v>
      </c>
      <c r="U72" s="189">
        <v>501483257.52999997</v>
      </c>
      <c r="V72" s="189">
        <v>514885625.86000001</v>
      </c>
      <c r="W72" s="189">
        <v>530601131.88</v>
      </c>
      <c r="X72" s="189">
        <v>459120627.31</v>
      </c>
      <c r="Y72" s="189">
        <v>450415445.91000003</v>
      </c>
      <c r="Z72" s="189">
        <v>482459138.33999997</v>
      </c>
      <c r="AA72" s="189">
        <v>450228605.97000003</v>
      </c>
      <c r="AB72" s="189">
        <v>383849420.38</v>
      </c>
      <c r="AC72" s="189">
        <v>398640069.30000001</v>
      </c>
      <c r="AD72" s="189">
        <v>413842733.31999999</v>
      </c>
      <c r="AE72" s="189">
        <v>334127011.61000001</v>
      </c>
      <c r="AF72" s="189">
        <v>281567570.18000001</v>
      </c>
      <c r="AG72" s="189">
        <v>254950318.66</v>
      </c>
      <c r="AH72" s="189">
        <v>234344548.19999999</v>
      </c>
      <c r="AI72" s="189">
        <v>202188594.75999999</v>
      </c>
      <c r="AJ72" s="189">
        <v>165318869.25</v>
      </c>
      <c r="AK72" s="189">
        <v>145960270.50999999</v>
      </c>
      <c r="AL72" s="189">
        <v>122215412.2</v>
      </c>
      <c r="AM72" s="189">
        <v>131140855.48999999</v>
      </c>
      <c r="AN72" s="189">
        <v>140247490.58000001</v>
      </c>
      <c r="AO72" s="189">
        <v>125124728.39</v>
      </c>
      <c r="AP72" s="189">
        <v>71021777.319999993</v>
      </c>
      <c r="AQ72" s="189">
        <v>0</v>
      </c>
    </row>
    <row r="73" spans="1:43" x14ac:dyDescent="0.25">
      <c r="A73" s="189" t="s">
        <v>177</v>
      </c>
    </row>
    <row r="74" spans="1:43" x14ac:dyDescent="0.25">
      <c r="A74" s="189" t="s">
        <v>178</v>
      </c>
      <c r="B74" s="189">
        <v>932142900</v>
      </c>
      <c r="C74" s="189">
        <v>936846900</v>
      </c>
      <c r="D74" s="189">
        <v>936846900</v>
      </c>
      <c r="E74" s="189">
        <v>936846900</v>
      </c>
      <c r="F74" s="189">
        <v>891866289</v>
      </c>
      <c r="G74" s="189">
        <v>898677407</v>
      </c>
      <c r="H74" s="189">
        <v>292086511</v>
      </c>
      <c r="I74" s="189">
        <v>292086511</v>
      </c>
      <c r="J74" s="189">
        <v>292086511</v>
      </c>
      <c r="K74" s="189">
        <v>292086511</v>
      </c>
      <c r="L74" s="189">
        <v>292086511</v>
      </c>
      <c r="M74" s="189">
        <v>292086511</v>
      </c>
      <c r="N74" s="189">
        <v>222928707</v>
      </c>
      <c r="O74" s="189">
        <v>222928707</v>
      </c>
      <c r="P74" s="189">
        <v>222928707</v>
      </c>
      <c r="Q74" s="189">
        <v>222928707</v>
      </c>
      <c r="R74" s="189">
        <v>222928707</v>
      </c>
      <c r="S74" s="189">
        <v>93500000</v>
      </c>
      <c r="T74" s="189">
        <v>93500000</v>
      </c>
      <c r="U74" s="189">
        <v>93500000</v>
      </c>
      <c r="V74" s="189">
        <v>93500000</v>
      </c>
      <c r="W74" s="189">
        <v>93500000</v>
      </c>
      <c r="X74" s="189">
        <v>93500000</v>
      </c>
      <c r="Y74" s="189">
        <v>93500000</v>
      </c>
      <c r="Z74" s="189">
        <v>93500000</v>
      </c>
      <c r="AA74" s="189">
        <v>93500000</v>
      </c>
      <c r="AB74" s="189">
        <v>93500000</v>
      </c>
      <c r="AC74" s="189">
        <v>93500000</v>
      </c>
      <c r="AD74" s="189">
        <v>93500000</v>
      </c>
      <c r="AE74" s="189">
        <v>93500000</v>
      </c>
      <c r="AF74" s="189">
        <v>93500000</v>
      </c>
      <c r="AG74" s="189">
        <v>93500000</v>
      </c>
      <c r="AH74" s="189">
        <v>93500000</v>
      </c>
      <c r="AI74" s="189">
        <v>93500000</v>
      </c>
      <c r="AJ74" s="189">
        <v>93500000</v>
      </c>
      <c r="AK74" s="189">
        <v>70000000</v>
      </c>
      <c r="AL74" s="189">
        <v>70000000</v>
      </c>
      <c r="AM74" s="189">
        <v>70000000</v>
      </c>
      <c r="AN74" s="189">
        <v>70000000</v>
      </c>
      <c r="AO74" s="189">
        <v>70000000</v>
      </c>
      <c r="AP74" s="189">
        <v>70000000</v>
      </c>
      <c r="AQ74" s="189">
        <v>0</v>
      </c>
    </row>
    <row r="75" spans="1:43" x14ac:dyDescent="0.25">
      <c r="A75" s="189" t="s">
        <v>179</v>
      </c>
      <c r="B75" s="189">
        <v>5881557990.7700005</v>
      </c>
      <c r="C75" s="189">
        <v>5959798062.6199999</v>
      </c>
      <c r="D75" s="189">
        <v>5959488659.3699999</v>
      </c>
      <c r="E75" s="189">
        <v>5959179262.3999996</v>
      </c>
      <c r="F75" s="189">
        <v>4983995171.3299999</v>
      </c>
      <c r="G75" s="189">
        <v>5039040238.3400002</v>
      </c>
      <c r="H75" s="189">
        <v>3557813962.5100002</v>
      </c>
      <c r="I75" s="189">
        <v>3557240569.0500002</v>
      </c>
      <c r="J75" s="189">
        <v>3685443149.5900002</v>
      </c>
      <c r="K75" s="189">
        <v>3666047628.75</v>
      </c>
      <c r="L75" s="189">
        <v>3631979453.0500002</v>
      </c>
      <c r="M75" s="189">
        <v>3631979453.0500002</v>
      </c>
      <c r="N75" s="189">
        <v>-213966104.78999999</v>
      </c>
      <c r="O75" s="189">
        <v>-213966104.78999999</v>
      </c>
      <c r="P75" s="189">
        <v>-214764979.80000001</v>
      </c>
      <c r="Q75" s="189">
        <v>-213966104.78999999</v>
      </c>
      <c r="R75" s="189">
        <v>-67937682.989999995</v>
      </c>
      <c r="S75" s="189">
        <v>228874489.06999999</v>
      </c>
      <c r="T75" s="189">
        <v>228874489.06999999</v>
      </c>
      <c r="U75" s="189">
        <v>228874489.06999999</v>
      </c>
      <c r="V75" s="189">
        <v>228874489.06999999</v>
      </c>
      <c r="W75" s="189">
        <v>228874489.06999999</v>
      </c>
      <c r="X75" s="189">
        <v>228874489.06999999</v>
      </c>
      <c r="Y75" s="189">
        <v>228874489.06999999</v>
      </c>
      <c r="Z75" s="189">
        <v>229454201.27000001</v>
      </c>
      <c r="AA75" s="189">
        <v>240574600</v>
      </c>
      <c r="AB75" s="189">
        <v>240574600</v>
      </c>
      <c r="AC75" s="189">
        <v>240574600</v>
      </c>
      <c r="AD75" s="189">
        <v>240574600</v>
      </c>
      <c r="AE75" s="189">
        <v>240574600</v>
      </c>
      <c r="AF75" s="189">
        <v>240574600</v>
      </c>
      <c r="AG75" s="189">
        <v>240574600</v>
      </c>
      <c r="AH75" s="189">
        <v>233076150</v>
      </c>
      <c r="AI75" s="189">
        <v>233076150</v>
      </c>
      <c r="AJ75" s="189">
        <v>233076150</v>
      </c>
      <c r="AK75" s="189">
        <v>0</v>
      </c>
      <c r="AL75" s="189">
        <v>0</v>
      </c>
      <c r="AM75" s="189">
        <v>0</v>
      </c>
      <c r="AN75" s="189">
        <v>0</v>
      </c>
      <c r="AO75" s="189">
        <v>0</v>
      </c>
      <c r="AP75" s="189">
        <v>0</v>
      </c>
      <c r="AQ75" s="189">
        <v>0</v>
      </c>
    </row>
    <row r="76" spans="1:43" x14ac:dyDescent="0.25">
      <c r="A76" s="189" t="s">
        <v>180</v>
      </c>
      <c r="B76" s="189">
        <v>0</v>
      </c>
      <c r="C76" s="189">
        <v>82068000</v>
      </c>
      <c r="D76" s="189">
        <v>82068000</v>
      </c>
      <c r="E76" s="189">
        <v>82068000</v>
      </c>
      <c r="F76" s="189">
        <v>82068000</v>
      </c>
      <c r="G76" s="189">
        <v>83741000</v>
      </c>
      <c r="H76" s="189">
        <v>84448000</v>
      </c>
      <c r="I76" s="189">
        <v>154792000</v>
      </c>
      <c r="J76" s="189">
        <v>268675000</v>
      </c>
      <c r="K76" s="189">
        <v>268675000</v>
      </c>
      <c r="L76" s="189">
        <v>268675000</v>
      </c>
      <c r="M76" s="189">
        <v>268675000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row>
    <row r="77" spans="1:43" x14ac:dyDescent="0.25">
      <c r="A77" s="189" t="s">
        <v>181</v>
      </c>
      <c r="B77" s="189">
        <v>202962966.41999999</v>
      </c>
      <c r="C77" s="189">
        <v>183190023.13999999</v>
      </c>
      <c r="D77" s="189">
        <v>169645589.06999999</v>
      </c>
      <c r="E77" s="189">
        <v>201657970.53</v>
      </c>
      <c r="F77" s="189">
        <v>420186147.79000002</v>
      </c>
      <c r="G77" s="189">
        <v>520359945.81999999</v>
      </c>
      <c r="H77" s="189">
        <v>535956823.55000001</v>
      </c>
      <c r="I77" s="189">
        <v>707017286.04999995</v>
      </c>
      <c r="J77" s="189">
        <v>367863517.97000003</v>
      </c>
      <c r="K77" s="189">
        <v>244365433.13999999</v>
      </c>
      <c r="L77" s="189">
        <v>339646260.63</v>
      </c>
      <c r="M77" s="189">
        <v>483818459.89999998</v>
      </c>
      <c r="N77" s="189">
        <v>157113443.71000001</v>
      </c>
      <c r="O77" s="189">
        <v>156914873.24000001</v>
      </c>
      <c r="P77" s="189">
        <v>157755965.05000001</v>
      </c>
      <c r="Q77" s="189">
        <v>157726104.90000001</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row>
    <row r="78" spans="1:43" x14ac:dyDescent="0.25">
      <c r="A78" s="189" t="s">
        <v>182</v>
      </c>
      <c r="B78" s="189">
        <v>0</v>
      </c>
      <c r="C78" s="189">
        <v>0</v>
      </c>
      <c r="D78" s="189">
        <v>0</v>
      </c>
      <c r="E78" s="189">
        <v>0</v>
      </c>
      <c r="F78" s="189">
        <v>0</v>
      </c>
      <c r="G78" s="189">
        <v>0</v>
      </c>
      <c r="H78" s="189">
        <v>0</v>
      </c>
      <c r="I78" s="189">
        <v>0</v>
      </c>
      <c r="J78" s="189">
        <v>0</v>
      </c>
      <c r="K78" s="189">
        <v>0</v>
      </c>
      <c r="L78" s="189">
        <v>0</v>
      </c>
      <c r="M78" s="189">
        <v>0</v>
      </c>
      <c r="N78" s="189">
        <v>0</v>
      </c>
      <c r="O78" s="189">
        <v>0</v>
      </c>
      <c r="P78" s="189">
        <v>0</v>
      </c>
      <c r="Q78" s="189">
        <v>0</v>
      </c>
      <c r="R78" s="189">
        <v>0</v>
      </c>
      <c r="S78" s="189">
        <v>0</v>
      </c>
      <c r="T78" s="189">
        <v>0</v>
      </c>
      <c r="U78" s="189">
        <v>0</v>
      </c>
      <c r="V78" s="189">
        <v>0</v>
      </c>
      <c r="W78" s="189">
        <v>0</v>
      </c>
      <c r="X78" s="189">
        <v>0</v>
      </c>
      <c r="Y78" s="189">
        <v>0</v>
      </c>
      <c r="Z78" s="189">
        <v>0</v>
      </c>
      <c r="AA78" s="189">
        <v>0</v>
      </c>
      <c r="AB78" s="189">
        <v>0</v>
      </c>
      <c r="AC78" s="189">
        <v>0</v>
      </c>
      <c r="AD78" s="189">
        <v>0</v>
      </c>
      <c r="AE78" s="189">
        <v>0</v>
      </c>
      <c r="AF78" s="189">
        <v>0</v>
      </c>
      <c r="AG78" s="189">
        <v>0</v>
      </c>
      <c r="AH78" s="189">
        <v>0</v>
      </c>
      <c r="AI78" s="189">
        <v>0</v>
      </c>
      <c r="AJ78" s="189">
        <v>0</v>
      </c>
      <c r="AK78" s="189">
        <v>0</v>
      </c>
      <c r="AL78" s="189">
        <v>0</v>
      </c>
      <c r="AM78" s="189">
        <v>0</v>
      </c>
      <c r="AN78" s="189">
        <v>0</v>
      </c>
      <c r="AO78" s="189">
        <v>0</v>
      </c>
      <c r="AP78" s="189">
        <v>0</v>
      </c>
      <c r="AQ78" s="189">
        <v>0</v>
      </c>
    </row>
    <row r="79" spans="1:43" x14ac:dyDescent="0.25">
      <c r="A79" s="189" t="s">
        <v>183</v>
      </c>
      <c r="B79" s="189">
        <v>49088595.240000002</v>
      </c>
      <c r="C79" s="189">
        <v>49088595.240000002</v>
      </c>
      <c r="D79" s="189">
        <v>49088595.240000002</v>
      </c>
      <c r="E79" s="189">
        <v>49088595.240000002</v>
      </c>
      <c r="F79" s="189">
        <v>16408000</v>
      </c>
      <c r="G79" s="189">
        <v>16408000</v>
      </c>
      <c r="H79" s="189">
        <v>16408000</v>
      </c>
      <c r="I79" s="189">
        <v>16408000</v>
      </c>
      <c r="J79" s="189">
        <v>16408000</v>
      </c>
      <c r="K79" s="189">
        <v>16408000</v>
      </c>
      <c r="L79" s="189">
        <v>16408000</v>
      </c>
      <c r="M79" s="189">
        <v>16408000</v>
      </c>
      <c r="N79" s="189">
        <v>16408000</v>
      </c>
      <c r="O79" s="189">
        <v>16408000</v>
      </c>
      <c r="P79" s="189">
        <v>16408000</v>
      </c>
      <c r="Q79" s="189">
        <v>16408000</v>
      </c>
      <c r="R79" s="189">
        <v>16166918.09</v>
      </c>
      <c r="S79" s="189">
        <v>8226503.4100000001</v>
      </c>
      <c r="T79" s="189">
        <v>8226503.4100000001</v>
      </c>
      <c r="U79" s="189">
        <v>8226503.4100000001</v>
      </c>
      <c r="V79" s="189">
        <v>8004300.1600000001</v>
      </c>
      <c r="W79" s="189">
        <v>8004300.1600000001</v>
      </c>
      <c r="X79" s="189">
        <v>8004300.1600000001</v>
      </c>
      <c r="Y79" s="189">
        <v>8004300.1600000001</v>
      </c>
      <c r="Z79" s="189">
        <v>8004300.1600000001</v>
      </c>
      <c r="AA79" s="189">
        <v>8004300.1600000001</v>
      </c>
      <c r="AB79" s="189">
        <v>8004300.1600000001</v>
      </c>
      <c r="AC79" s="189">
        <v>8004300.1600000001</v>
      </c>
      <c r="AD79" s="189">
        <v>7992053.5599999996</v>
      </c>
      <c r="AE79" s="189">
        <v>7992053.5599999996</v>
      </c>
      <c r="AF79" s="189">
        <v>7992053.5599999996</v>
      </c>
      <c r="AG79" s="189">
        <v>7992053.5599999996</v>
      </c>
      <c r="AH79" s="189">
        <v>7457138.4699999997</v>
      </c>
      <c r="AI79" s="189">
        <v>7457138.4699999997</v>
      </c>
      <c r="AJ79" s="189">
        <v>7457138.4699999997</v>
      </c>
      <c r="AK79" s="189">
        <v>7457138.4699999997</v>
      </c>
      <c r="AL79" s="189">
        <v>5731967.2800000003</v>
      </c>
      <c r="AM79" s="189">
        <v>6345414.0099999998</v>
      </c>
      <c r="AN79" s="189">
        <v>5731967.2800000003</v>
      </c>
      <c r="AO79" s="189">
        <v>2942399.08</v>
      </c>
      <c r="AP79" s="189">
        <v>0</v>
      </c>
      <c r="AQ79" s="189">
        <v>0</v>
      </c>
    </row>
    <row r="80" spans="1:43" x14ac:dyDescent="0.25">
      <c r="A80" s="189" t="s">
        <v>184</v>
      </c>
      <c r="B80" s="189">
        <v>0</v>
      </c>
      <c r="C80" s="189">
        <v>0</v>
      </c>
      <c r="D80" s="189">
        <v>0</v>
      </c>
      <c r="E80" s="189">
        <v>0</v>
      </c>
      <c r="F80" s="189">
        <v>0</v>
      </c>
      <c r="G80" s="189">
        <v>0</v>
      </c>
      <c r="H80" s="189">
        <v>0</v>
      </c>
      <c r="I80" s="189">
        <v>0</v>
      </c>
      <c r="J80" s="189">
        <v>0</v>
      </c>
      <c r="K80" s="189">
        <v>0</v>
      </c>
      <c r="L80" s="189">
        <v>0</v>
      </c>
      <c r="M80" s="189">
        <v>0</v>
      </c>
      <c r="N80" s="189">
        <v>0</v>
      </c>
      <c r="O80" s="189">
        <v>0</v>
      </c>
      <c r="P80" s="189">
        <v>0</v>
      </c>
      <c r="Q80" s="189">
        <v>0</v>
      </c>
      <c r="R80" s="189">
        <v>0</v>
      </c>
      <c r="S80" s="189">
        <v>0</v>
      </c>
      <c r="T80" s="189">
        <v>0</v>
      </c>
      <c r="U80" s="189">
        <v>0</v>
      </c>
      <c r="V80" s="189">
        <v>0</v>
      </c>
      <c r="W80" s="189">
        <v>0</v>
      </c>
      <c r="X80" s="189">
        <v>0</v>
      </c>
      <c r="Y80" s="189">
        <v>0</v>
      </c>
      <c r="Z80" s="189">
        <v>0</v>
      </c>
      <c r="AA80" s="189">
        <v>0</v>
      </c>
      <c r="AB80" s="189">
        <v>0</v>
      </c>
      <c r="AC80" s="189">
        <v>0</v>
      </c>
      <c r="AD80" s="189">
        <v>0</v>
      </c>
      <c r="AE80" s="189">
        <v>0</v>
      </c>
      <c r="AF80" s="189">
        <v>0</v>
      </c>
      <c r="AG80" s="189">
        <v>0</v>
      </c>
      <c r="AH80" s="189">
        <v>0</v>
      </c>
      <c r="AI80" s="189">
        <v>0</v>
      </c>
      <c r="AJ80" s="189">
        <v>0</v>
      </c>
      <c r="AK80" s="189">
        <v>0</v>
      </c>
      <c r="AL80" s="189">
        <v>0</v>
      </c>
      <c r="AM80" s="189">
        <v>0</v>
      </c>
      <c r="AN80" s="189">
        <v>0</v>
      </c>
      <c r="AO80" s="189">
        <v>0</v>
      </c>
      <c r="AP80" s="189">
        <v>0</v>
      </c>
      <c r="AQ80" s="189">
        <v>0</v>
      </c>
    </row>
    <row r="81" spans="1:43" x14ac:dyDescent="0.25">
      <c r="A81" s="189" t="s">
        <v>185</v>
      </c>
      <c r="B81" s="189">
        <v>2354734415.6700001</v>
      </c>
      <c r="C81" s="189">
        <v>2311935715.2600002</v>
      </c>
      <c r="D81" s="189">
        <v>2299869556.0700002</v>
      </c>
      <c r="E81" s="189">
        <v>2122004639.3699999</v>
      </c>
      <c r="F81" s="189">
        <v>1970566762.5699999</v>
      </c>
      <c r="G81" s="189">
        <v>1665874457.95</v>
      </c>
      <c r="H81" s="189">
        <v>1495109875.77</v>
      </c>
      <c r="I81" s="189">
        <v>1292228470.51</v>
      </c>
      <c r="J81" s="189">
        <v>1084036361.03</v>
      </c>
      <c r="K81" s="189">
        <v>947463730.42999995</v>
      </c>
      <c r="L81" s="189">
        <v>853696006.15999997</v>
      </c>
      <c r="M81" s="189">
        <v>817928312.29999995</v>
      </c>
      <c r="N81" s="189">
        <v>698641236.65999997</v>
      </c>
      <c r="O81" s="189">
        <v>598555622.72000003</v>
      </c>
      <c r="P81" s="189">
        <v>552401705.82000005</v>
      </c>
      <c r="Q81" s="189">
        <v>479009826.82999998</v>
      </c>
      <c r="R81" s="189">
        <v>388780444.45999998</v>
      </c>
      <c r="S81" s="189">
        <v>129948958.77</v>
      </c>
      <c r="T81" s="189">
        <v>137397618.11000001</v>
      </c>
      <c r="U81" s="189">
        <v>137420967.28999999</v>
      </c>
      <c r="V81" s="189">
        <v>140881592.93000001</v>
      </c>
      <c r="W81" s="189">
        <v>141075960.58000001</v>
      </c>
      <c r="X81" s="189">
        <v>129351050.98</v>
      </c>
      <c r="Y81" s="189">
        <v>129372643.45999999</v>
      </c>
      <c r="Z81" s="189">
        <v>124949102.48999999</v>
      </c>
      <c r="AA81" s="189">
        <v>120759139.37</v>
      </c>
      <c r="AB81" s="189">
        <v>119565405.19</v>
      </c>
      <c r="AC81" s="189">
        <v>117267541.31</v>
      </c>
      <c r="AD81" s="189">
        <v>104459272.18000001</v>
      </c>
      <c r="AE81" s="189">
        <v>98796349.590000004</v>
      </c>
      <c r="AF81" s="189">
        <v>93098869.5</v>
      </c>
      <c r="AG81" s="189">
        <v>90774479.510000005</v>
      </c>
      <c r="AH81" s="189">
        <v>94740412.769999996</v>
      </c>
      <c r="AI81" s="189">
        <v>88856850.75</v>
      </c>
      <c r="AJ81" s="189">
        <v>83316596.230000004</v>
      </c>
      <c r="AK81" s="189">
        <v>79925179.079999998</v>
      </c>
      <c r="AL81" s="189">
        <v>69493020.420000002</v>
      </c>
      <c r="AM81" s="189">
        <v>61702800.289999999</v>
      </c>
      <c r="AN81" s="189">
        <v>54485343.810000002</v>
      </c>
      <c r="AO81" s="189">
        <v>25747790.460000001</v>
      </c>
      <c r="AP81" s="189">
        <v>0</v>
      </c>
      <c r="AQ81" s="189">
        <v>0</v>
      </c>
    </row>
    <row r="82" spans="1:43" x14ac:dyDescent="0.25">
      <c r="A82" s="189" t="s">
        <v>186</v>
      </c>
      <c r="B82" s="189">
        <v>9420486868.1000004</v>
      </c>
      <c r="C82" s="189">
        <v>9358791296.2600002</v>
      </c>
      <c r="D82" s="189">
        <v>9332871299.75</v>
      </c>
      <c r="E82" s="189">
        <v>9186709367.5400009</v>
      </c>
      <c r="F82" s="189">
        <v>8200954370.6899996</v>
      </c>
      <c r="G82" s="189">
        <v>8056619049.1099997</v>
      </c>
      <c r="H82" s="189">
        <v>5812927172.8299999</v>
      </c>
      <c r="I82" s="189">
        <v>5710188836.6099997</v>
      </c>
      <c r="J82" s="189">
        <v>5177162539.5900002</v>
      </c>
      <c r="K82" s="189">
        <v>4897696303.3199997</v>
      </c>
      <c r="L82" s="189">
        <v>4865141230.8400002</v>
      </c>
      <c r="M82" s="189">
        <v>4973545736.25</v>
      </c>
      <c r="N82" s="189">
        <v>881125282.58000004</v>
      </c>
      <c r="O82" s="189">
        <v>780841098.16999996</v>
      </c>
      <c r="P82" s="189">
        <v>734729398.07000005</v>
      </c>
      <c r="Q82" s="189">
        <v>662106533.94000006</v>
      </c>
      <c r="R82" s="189">
        <v>559969146.71000004</v>
      </c>
      <c r="S82" s="189">
        <v>460548774.36000001</v>
      </c>
      <c r="T82" s="189">
        <v>467997433.69999999</v>
      </c>
      <c r="U82" s="189">
        <v>468020782.88</v>
      </c>
      <c r="V82" s="189">
        <v>471279482.13999999</v>
      </c>
      <c r="W82" s="189">
        <v>471453103.29000002</v>
      </c>
      <c r="X82" s="189">
        <v>459729453.69</v>
      </c>
      <c r="Y82" s="189">
        <v>459751046.17000002</v>
      </c>
      <c r="Z82" s="189">
        <v>455907603.92000002</v>
      </c>
      <c r="AA82" s="189">
        <v>462838039.52999997</v>
      </c>
      <c r="AB82" s="189">
        <v>461644305.35000002</v>
      </c>
      <c r="AC82" s="189">
        <v>459346441.47000003</v>
      </c>
      <c r="AD82" s="189">
        <v>446525925.74000001</v>
      </c>
      <c r="AE82" s="189">
        <v>440863003.14999998</v>
      </c>
      <c r="AF82" s="189">
        <v>435165523.06</v>
      </c>
      <c r="AG82" s="189">
        <v>432841133.06999999</v>
      </c>
      <c r="AH82" s="189">
        <v>428773701.24000001</v>
      </c>
      <c r="AI82" s="189">
        <v>422890139.22000003</v>
      </c>
      <c r="AJ82" s="189">
        <v>417349884.69999999</v>
      </c>
      <c r="AK82" s="189">
        <v>157382317.55000001</v>
      </c>
      <c r="AL82" s="189">
        <v>145224987.69999999</v>
      </c>
      <c r="AM82" s="189">
        <v>138048214.30000001</v>
      </c>
      <c r="AN82" s="189">
        <v>130217311.09</v>
      </c>
      <c r="AO82" s="189">
        <v>98690189.540000007</v>
      </c>
      <c r="AP82" s="189">
        <v>70000000</v>
      </c>
      <c r="AQ82" s="189">
        <v>0</v>
      </c>
    </row>
    <row r="83" spans="1:43" x14ac:dyDescent="0.25">
      <c r="A83" s="189" t="s">
        <v>187</v>
      </c>
      <c r="B83" s="189">
        <v>274215217.51999998</v>
      </c>
      <c r="C83" s="189">
        <v>261037486.97999999</v>
      </c>
      <c r="D83" s="189">
        <v>231982302.63</v>
      </c>
      <c r="E83" s="189">
        <v>359880421.88999999</v>
      </c>
      <c r="F83" s="189">
        <v>172844283.22999999</v>
      </c>
      <c r="G83" s="189">
        <v>220401630.63</v>
      </c>
      <c r="H83" s="189">
        <v>169579685.21000001</v>
      </c>
      <c r="I83" s="189">
        <v>-1236515.7</v>
      </c>
      <c r="J83" s="189">
        <v>-1437610.9</v>
      </c>
      <c r="K83" s="189">
        <v>-1381915.72</v>
      </c>
      <c r="L83" s="189">
        <v>-5580724.9400000004</v>
      </c>
      <c r="M83" s="189">
        <v>-4503330.28</v>
      </c>
      <c r="N83" s="189">
        <v>-2998406</v>
      </c>
      <c r="O83" s="189">
        <v>-1910897.47</v>
      </c>
      <c r="P83" s="189">
        <v>-860547.74</v>
      </c>
      <c r="Q83" s="189">
        <v>910291.04</v>
      </c>
      <c r="R83" s="189">
        <v>-924330.72</v>
      </c>
      <c r="S83" s="189">
        <v>0</v>
      </c>
      <c r="T83" s="189">
        <v>0</v>
      </c>
      <c r="U83" s="189">
        <v>0</v>
      </c>
      <c r="V83" s="189">
        <v>0</v>
      </c>
      <c r="W83" s="189">
        <v>0</v>
      </c>
      <c r="X83" s="189">
        <v>0</v>
      </c>
      <c r="Y83" s="189">
        <v>0</v>
      </c>
      <c r="Z83" s="189">
        <v>0</v>
      </c>
      <c r="AA83" s="189">
        <v>26467671.219999999</v>
      </c>
      <c r="AB83" s="189">
        <v>25442550.190000001</v>
      </c>
      <c r="AC83" s="189">
        <v>24918658.690000001</v>
      </c>
      <c r="AD83" s="189">
        <v>22992546.52</v>
      </c>
      <c r="AE83" s="189">
        <v>21557641.129999999</v>
      </c>
      <c r="AF83" s="189">
        <v>20723804.5</v>
      </c>
      <c r="AG83" s="189">
        <v>20584541.149999999</v>
      </c>
      <c r="AH83" s="189">
        <v>19885113.5</v>
      </c>
      <c r="AI83" s="189">
        <v>19197378.949999999</v>
      </c>
      <c r="AJ83" s="189">
        <v>18740017.5</v>
      </c>
      <c r="AK83" s="189">
        <v>18371013.760000002</v>
      </c>
      <c r="AL83" s="189">
        <v>16951172.109999999</v>
      </c>
      <c r="AM83" s="189">
        <v>16405520.91</v>
      </c>
      <c r="AN83" s="189">
        <v>15746618.119999999</v>
      </c>
      <c r="AO83" s="189">
        <v>14519427.9</v>
      </c>
      <c r="AP83" s="189">
        <v>14708636.640000001</v>
      </c>
      <c r="AQ83" s="189">
        <v>0</v>
      </c>
    </row>
    <row r="84" spans="1:43" x14ac:dyDescent="0.25">
      <c r="A84" s="189" t="s">
        <v>188</v>
      </c>
      <c r="B84" s="189">
        <v>9694702085.6200008</v>
      </c>
      <c r="C84" s="189">
        <v>9619828783.2399998</v>
      </c>
      <c r="D84" s="189">
        <v>9564853602.3799992</v>
      </c>
      <c r="E84" s="189">
        <v>9546589789.4300003</v>
      </c>
      <c r="F84" s="189">
        <v>8373798653.9200001</v>
      </c>
      <c r="G84" s="189">
        <v>8277020679.7399998</v>
      </c>
      <c r="H84" s="189">
        <v>5982506858.04</v>
      </c>
      <c r="I84" s="189">
        <v>5708952320.9099998</v>
      </c>
      <c r="J84" s="189">
        <v>5175724928.6899996</v>
      </c>
      <c r="K84" s="189">
        <v>4896314387.6000004</v>
      </c>
      <c r="L84" s="189">
        <v>4859560505.8999996</v>
      </c>
      <c r="M84" s="189">
        <v>4969042405.9700003</v>
      </c>
      <c r="N84" s="189">
        <v>878126876.58000004</v>
      </c>
      <c r="O84" s="189">
        <v>778930200.70000005</v>
      </c>
      <c r="P84" s="189">
        <v>733868850.33000004</v>
      </c>
      <c r="Q84" s="189">
        <v>663016824.98000002</v>
      </c>
      <c r="R84" s="189">
        <v>559044815.99000001</v>
      </c>
      <c r="S84" s="189">
        <v>460548774.36000001</v>
      </c>
      <c r="T84" s="189">
        <v>467997433.69999999</v>
      </c>
      <c r="U84" s="189">
        <v>468020782.88</v>
      </c>
      <c r="V84" s="189">
        <v>471279482.13999999</v>
      </c>
      <c r="W84" s="189">
        <v>471453103.29000002</v>
      </c>
      <c r="X84" s="189">
        <v>459729453.69</v>
      </c>
      <c r="Y84" s="189">
        <v>459751046.17000002</v>
      </c>
      <c r="Z84" s="189">
        <v>455907603.92000002</v>
      </c>
      <c r="AA84" s="189">
        <v>489305710.75</v>
      </c>
      <c r="AB84" s="189">
        <v>487086855.54000002</v>
      </c>
      <c r="AC84" s="189">
        <v>484265100.16000003</v>
      </c>
      <c r="AD84" s="189">
        <v>469518472.25999999</v>
      </c>
      <c r="AE84" s="189">
        <v>462420644.27999997</v>
      </c>
      <c r="AF84" s="189">
        <v>455889327.56</v>
      </c>
      <c r="AG84" s="189">
        <v>453425674.22000003</v>
      </c>
      <c r="AH84" s="189">
        <v>448658814.74000001</v>
      </c>
      <c r="AI84" s="189">
        <v>442087518.17000002</v>
      </c>
      <c r="AJ84" s="189">
        <v>436089902.19999999</v>
      </c>
      <c r="AK84" s="189">
        <v>175753331.31</v>
      </c>
      <c r="AL84" s="189">
        <v>162176159.81</v>
      </c>
      <c r="AM84" s="189">
        <v>154453735.21000001</v>
      </c>
      <c r="AN84" s="189">
        <v>145963929.21000001</v>
      </c>
      <c r="AO84" s="189">
        <v>113209617.44</v>
      </c>
      <c r="AP84" s="189">
        <v>84708636.640000001</v>
      </c>
      <c r="AQ84" s="189">
        <v>0</v>
      </c>
    </row>
    <row r="85" spans="1:43" x14ac:dyDescent="0.25">
      <c r="A85" s="189" t="s">
        <v>189</v>
      </c>
      <c r="B85" s="189">
        <v>13329398753.51</v>
      </c>
      <c r="C85" s="189">
        <v>13477384817.16</v>
      </c>
      <c r="D85" s="189">
        <v>13659797987.16</v>
      </c>
      <c r="E85" s="189">
        <v>14400438534.799999</v>
      </c>
      <c r="F85" s="189">
        <v>13248581012.35</v>
      </c>
      <c r="G85" s="189">
        <v>13191140914.219999</v>
      </c>
      <c r="H85" s="189">
        <v>12749601266.690001</v>
      </c>
      <c r="I85" s="189">
        <v>7390260222.3199997</v>
      </c>
      <c r="J85" s="189">
        <v>6091894645.9899998</v>
      </c>
      <c r="K85" s="189">
        <v>5825083337.5100002</v>
      </c>
      <c r="L85" s="189">
        <v>6996777595.3999996</v>
      </c>
      <c r="M85" s="189">
        <v>7305844937.0799999</v>
      </c>
      <c r="N85" s="189">
        <v>1501554807.5699999</v>
      </c>
      <c r="O85" s="189">
        <v>1361165518.1199999</v>
      </c>
      <c r="P85" s="189">
        <v>1356663750.97</v>
      </c>
      <c r="Q85" s="189">
        <v>744161743.97000003</v>
      </c>
      <c r="R85" s="189">
        <v>652402908.97000003</v>
      </c>
      <c r="S85" s="189">
        <v>862085290.88999999</v>
      </c>
      <c r="T85" s="189">
        <v>907495236.05999994</v>
      </c>
      <c r="U85" s="189">
        <v>969504040.40999997</v>
      </c>
      <c r="V85" s="189">
        <v>986165108</v>
      </c>
      <c r="W85" s="189">
        <v>1002054235.17</v>
      </c>
      <c r="X85" s="189">
        <v>918850081</v>
      </c>
      <c r="Y85" s="189">
        <v>910166492.08000004</v>
      </c>
      <c r="Z85" s="189">
        <v>938366742.25999999</v>
      </c>
      <c r="AA85" s="189">
        <v>939534316.72000003</v>
      </c>
      <c r="AB85" s="189">
        <v>870936275.91999996</v>
      </c>
      <c r="AC85" s="189">
        <v>882905169.46000004</v>
      </c>
      <c r="AD85" s="189">
        <v>883361205.58000004</v>
      </c>
      <c r="AE85" s="189">
        <v>796547655.88999999</v>
      </c>
      <c r="AF85" s="189">
        <v>737456897.74000001</v>
      </c>
      <c r="AG85" s="189">
        <v>708375992.88</v>
      </c>
      <c r="AH85" s="189">
        <v>683003362.94000006</v>
      </c>
      <c r="AI85" s="189">
        <v>644276112.92999995</v>
      </c>
      <c r="AJ85" s="189">
        <v>601408771.45000005</v>
      </c>
      <c r="AK85" s="189">
        <v>321713601.81999999</v>
      </c>
      <c r="AL85" s="189">
        <v>284391572.00999999</v>
      </c>
      <c r="AM85" s="189">
        <v>285594590.69999999</v>
      </c>
      <c r="AN85" s="189">
        <v>286211419.79000002</v>
      </c>
      <c r="AO85" s="189">
        <v>238334345.83000001</v>
      </c>
      <c r="AP85" s="189">
        <v>155730413.96000001</v>
      </c>
      <c r="AQ85" s="189">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R31"/>
  <sheetViews>
    <sheetView workbookViewId="0">
      <selection activeCell="A2" sqref="A2"/>
    </sheetView>
  </sheetViews>
  <sheetFormatPr defaultRowHeight="14.4" x14ac:dyDescent="0.25"/>
  <cols>
    <col min="1" max="1" width="39.109375" style="189" bestFit="1" customWidth="1"/>
    <col min="2" max="2" width="12.77734375" style="189" hidden="1" customWidth="1"/>
    <col min="3" max="4" width="13.88671875" style="189" hidden="1" customWidth="1"/>
    <col min="5" max="5" width="13.88671875" style="189" bestFit="1" customWidth="1"/>
    <col min="6" max="8" width="13.88671875" style="189" hidden="1" customWidth="1"/>
    <col min="9" max="9" width="13.88671875" style="189" bestFit="1" customWidth="1"/>
    <col min="10" max="12" width="13.88671875" style="189" hidden="1" customWidth="1"/>
    <col min="13" max="13" width="12.77734375" style="189" bestFit="1" customWidth="1"/>
    <col min="14" max="16" width="12.77734375" style="189" hidden="1" customWidth="1"/>
    <col min="17" max="17" width="12.77734375" style="189" bestFit="1" customWidth="1"/>
    <col min="18" max="20" width="12.77734375" style="189" hidden="1" customWidth="1"/>
    <col min="21" max="21" width="12.77734375" style="189" bestFit="1" customWidth="1"/>
    <col min="22" max="24" width="12.77734375" style="189" hidden="1" customWidth="1"/>
    <col min="25" max="25" width="12.77734375" style="189" bestFit="1" customWidth="1"/>
    <col min="26" max="28" width="12.77734375" style="189" hidden="1" customWidth="1"/>
    <col min="29" max="29" width="12.77734375" style="189" bestFit="1" customWidth="1"/>
    <col min="30" max="32" width="12.77734375" style="189" hidden="1" customWidth="1"/>
    <col min="33" max="33" width="12.77734375" style="189" bestFit="1" customWidth="1"/>
    <col min="34" max="36" width="12.77734375" style="189" hidden="1" customWidth="1"/>
    <col min="37" max="37" width="12.77734375" style="189" bestFit="1" customWidth="1"/>
    <col min="38" max="40" width="12.77734375" style="189" hidden="1" customWidth="1"/>
    <col min="41" max="43" width="12.77734375" style="189" bestFit="1" customWidth="1"/>
    <col min="44" max="44" width="9.5546875" style="189" hidden="1" customWidth="1"/>
    <col min="45" max="16384" width="8.88671875" style="189"/>
  </cols>
  <sheetData>
    <row r="1" spans="1:44" x14ac:dyDescent="0.25">
      <c r="A1" s="189">
        <v>2354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20071231</v>
      </c>
      <c r="AQ1" s="189">
        <v>20061231</v>
      </c>
      <c r="AR1" s="189">
        <v>19700101</v>
      </c>
    </row>
    <row r="2" spans="1:44"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row>
    <row r="3" spans="1:44" x14ac:dyDescent="0.25">
      <c r="A3" s="189" t="s">
        <v>190</v>
      </c>
      <c r="B3" s="189">
        <v>1868391113.5899999</v>
      </c>
      <c r="C3" s="189">
        <v>1234157097.75</v>
      </c>
      <c r="D3" s="189">
        <v>741870814.82000005</v>
      </c>
      <c r="E3" s="189">
        <v>3101374995.27</v>
      </c>
      <c r="F3" s="189">
        <v>2237152268.6500001</v>
      </c>
      <c r="G3" s="189">
        <v>1589165365.48</v>
      </c>
      <c r="H3" s="189">
        <v>639633152.34000003</v>
      </c>
      <c r="I3" s="189">
        <v>1674860621.6700001</v>
      </c>
      <c r="J3" s="189">
        <v>1309911726.6900001</v>
      </c>
      <c r="K3" s="189">
        <v>858826118.13999999</v>
      </c>
      <c r="L3" s="189">
        <v>447990967.76999998</v>
      </c>
      <c r="M3" s="189">
        <v>940847581.74000001</v>
      </c>
      <c r="N3" s="189">
        <v>528693076.44999999</v>
      </c>
      <c r="O3" s="189">
        <v>319281419.52999997</v>
      </c>
      <c r="P3" s="189">
        <v>153468545.18000001</v>
      </c>
      <c r="Q3" s="189">
        <v>475541247.29000002</v>
      </c>
      <c r="R3" s="189">
        <v>342647438.50999999</v>
      </c>
      <c r="S3" s="189">
        <v>160980245.72999999</v>
      </c>
      <c r="T3" s="189">
        <v>76490124.170000002</v>
      </c>
      <c r="U3" s="189">
        <v>404860703.92000002</v>
      </c>
      <c r="V3" s="189">
        <v>299333915.07999998</v>
      </c>
      <c r="W3" s="189">
        <v>201629671.28</v>
      </c>
      <c r="X3" s="189">
        <v>88216270.299999997</v>
      </c>
      <c r="Y3" s="189">
        <v>368978529.88999999</v>
      </c>
      <c r="Z3" s="189">
        <v>263719499.74000001</v>
      </c>
      <c r="AA3" s="189">
        <v>167647473.08000001</v>
      </c>
      <c r="AB3" s="189">
        <v>70386396.640000001</v>
      </c>
      <c r="AC3" s="189">
        <v>427854958.19</v>
      </c>
      <c r="AD3" s="189">
        <v>289069924.76999998</v>
      </c>
      <c r="AE3" s="189">
        <v>176035812.30000001</v>
      </c>
      <c r="AF3" s="189">
        <v>72551082.439999998</v>
      </c>
      <c r="AG3" s="189">
        <v>306601155.70999998</v>
      </c>
      <c r="AH3" s="189">
        <v>228052601.91</v>
      </c>
      <c r="AI3" s="189">
        <v>138338266.08000001</v>
      </c>
      <c r="AJ3" s="189">
        <v>60389382.710000001</v>
      </c>
      <c r="AK3" s="189">
        <v>236369504.05000001</v>
      </c>
      <c r="AL3" s="189">
        <v>158647035.88999999</v>
      </c>
      <c r="AM3" s="189">
        <v>96728958.370000005</v>
      </c>
      <c r="AN3" s="189">
        <v>45667900.600000001</v>
      </c>
      <c r="AO3" s="189">
        <v>285772761.35000002</v>
      </c>
      <c r="AP3" s="189">
        <v>271690739.83999997</v>
      </c>
      <c r="AQ3" s="189">
        <v>218629260.31999999</v>
      </c>
      <c r="AR3" s="189">
        <v>0</v>
      </c>
    </row>
    <row r="4" spans="1:44" x14ac:dyDescent="0.25">
      <c r="A4" s="189" t="s">
        <v>191</v>
      </c>
      <c r="B4" s="189">
        <v>1868391113.5899999</v>
      </c>
      <c r="C4" s="189">
        <v>1234157097.75</v>
      </c>
      <c r="D4" s="189">
        <v>741870814.82000005</v>
      </c>
      <c r="E4" s="189">
        <v>3101374995.27</v>
      </c>
      <c r="F4" s="189">
        <v>2237152268.6500001</v>
      </c>
      <c r="G4" s="189">
        <v>1589165365.48</v>
      </c>
      <c r="H4" s="189">
        <v>639633152.34000003</v>
      </c>
      <c r="I4" s="189">
        <v>1674860621.6700001</v>
      </c>
      <c r="J4" s="189">
        <v>1309911726.6900001</v>
      </c>
      <c r="K4" s="189">
        <v>858826118.13999999</v>
      </c>
      <c r="L4" s="189">
        <v>447990967.76999998</v>
      </c>
      <c r="M4" s="189">
        <v>940847581.74000001</v>
      </c>
      <c r="N4" s="189">
        <v>528693076.44999999</v>
      </c>
      <c r="O4" s="189">
        <v>319281419.52999997</v>
      </c>
      <c r="P4" s="189">
        <v>153468545.18000001</v>
      </c>
      <c r="Q4" s="189">
        <v>475541247.29000002</v>
      </c>
      <c r="R4" s="189">
        <v>342647438.50999999</v>
      </c>
      <c r="S4" s="189">
        <v>160980245.72999999</v>
      </c>
      <c r="T4" s="189">
        <v>76490124.170000002</v>
      </c>
      <c r="U4" s="189">
        <v>404860703.92000002</v>
      </c>
      <c r="V4" s="189">
        <v>299333915.07999998</v>
      </c>
      <c r="W4" s="189">
        <v>201629671.28</v>
      </c>
      <c r="X4" s="189">
        <v>88216270.299999997</v>
      </c>
      <c r="Y4" s="189">
        <v>368978529.88999999</v>
      </c>
      <c r="Z4" s="189">
        <v>263719499.74000001</v>
      </c>
      <c r="AA4" s="189">
        <v>167647473.08000001</v>
      </c>
      <c r="AB4" s="189">
        <v>70386396.640000001</v>
      </c>
      <c r="AC4" s="189">
        <v>427854958.19</v>
      </c>
      <c r="AD4" s="189">
        <v>289069924.76999998</v>
      </c>
      <c r="AE4" s="189">
        <v>176035812.30000001</v>
      </c>
      <c r="AF4" s="189">
        <v>72551082.439999998</v>
      </c>
      <c r="AG4" s="189">
        <v>306601155.70999998</v>
      </c>
      <c r="AH4" s="189">
        <v>228052601.91</v>
      </c>
      <c r="AI4" s="189">
        <v>138338266.08000001</v>
      </c>
      <c r="AJ4" s="189">
        <v>60389382.710000001</v>
      </c>
      <c r="AK4" s="189">
        <v>236369504.05000001</v>
      </c>
      <c r="AL4" s="189">
        <v>158647035.88999999</v>
      </c>
      <c r="AM4" s="189">
        <v>96728958.370000005</v>
      </c>
      <c r="AN4" s="189">
        <v>45667900.600000001</v>
      </c>
      <c r="AO4" s="189">
        <v>285772761.35000002</v>
      </c>
      <c r="AP4" s="189">
        <v>271690739.83999997</v>
      </c>
      <c r="AQ4" s="189">
        <v>218629260.31999999</v>
      </c>
      <c r="AR4" s="189">
        <v>0</v>
      </c>
    </row>
    <row r="5" spans="1:44" x14ac:dyDescent="0.25">
      <c r="A5" s="189" t="s">
        <v>192</v>
      </c>
      <c r="B5" s="189">
        <v>1542909284.3099999</v>
      </c>
      <c r="C5" s="189">
        <v>991761202.17999995</v>
      </c>
      <c r="D5" s="189">
        <v>529647417.32999998</v>
      </c>
      <c r="E5" s="189">
        <v>2180411078.3400002</v>
      </c>
      <c r="F5" s="189">
        <v>1449585335.3599999</v>
      </c>
      <c r="G5" s="189">
        <v>1023187719.1799999</v>
      </c>
      <c r="H5" s="189">
        <v>407934577.52999997</v>
      </c>
      <c r="I5" s="189">
        <v>1151369658.24</v>
      </c>
      <c r="J5" s="189">
        <v>962869793.27999997</v>
      </c>
      <c r="K5" s="189">
        <v>644202288.03999996</v>
      </c>
      <c r="L5" s="189">
        <v>332718275.38</v>
      </c>
      <c r="M5" s="189">
        <v>616202854.23000002</v>
      </c>
      <c r="N5" s="189">
        <v>283775282.72000003</v>
      </c>
      <c r="O5" s="189">
        <v>177304307.03</v>
      </c>
      <c r="P5" s="189">
        <v>79861501.900000006</v>
      </c>
      <c r="Q5" s="189">
        <v>264986713.44</v>
      </c>
      <c r="R5" s="189">
        <v>194402147.33000001</v>
      </c>
      <c r="S5" s="189">
        <v>166564812.46000001</v>
      </c>
      <c r="T5" s="189">
        <v>75778917.400000006</v>
      </c>
      <c r="U5" s="189">
        <v>405680921.60000002</v>
      </c>
      <c r="V5" s="189">
        <v>299809525.07999998</v>
      </c>
      <c r="W5" s="189">
        <v>197284499.84999999</v>
      </c>
      <c r="X5" s="189">
        <v>87204926.450000003</v>
      </c>
      <c r="Y5" s="189">
        <v>353193337.69</v>
      </c>
      <c r="Z5" s="189">
        <v>251923857.06999999</v>
      </c>
      <c r="AA5" s="189">
        <v>160674675.44999999</v>
      </c>
      <c r="AB5" s="189">
        <v>66973035.770000003</v>
      </c>
      <c r="AC5" s="189">
        <v>402859667.38</v>
      </c>
      <c r="AD5" s="189">
        <v>269671887.01999998</v>
      </c>
      <c r="AE5" s="189">
        <v>165319624.24000001</v>
      </c>
      <c r="AF5" s="189">
        <v>70006730.390000001</v>
      </c>
      <c r="AG5" s="189">
        <v>293232393.72000003</v>
      </c>
      <c r="AH5" s="189">
        <v>217044893.22</v>
      </c>
      <c r="AI5" s="189">
        <v>135377149.90000001</v>
      </c>
      <c r="AJ5" s="189">
        <v>63130807.729999997</v>
      </c>
      <c r="AK5" s="189">
        <v>204796245.37</v>
      </c>
      <c r="AL5" s="189">
        <v>139171462.16999999</v>
      </c>
      <c r="AM5" s="189">
        <v>86247283.010000005</v>
      </c>
      <c r="AN5" s="189">
        <v>41572277.619999997</v>
      </c>
      <c r="AO5" s="189">
        <v>260267394.63999999</v>
      </c>
      <c r="AP5" s="189">
        <v>239098618.18000001</v>
      </c>
      <c r="AQ5" s="189">
        <v>188557238.59999999</v>
      </c>
      <c r="AR5" s="189">
        <v>0</v>
      </c>
    </row>
    <row r="6" spans="1:44" x14ac:dyDescent="0.25">
      <c r="A6" s="189" t="s">
        <v>193</v>
      </c>
      <c r="B6" s="189">
        <v>624556761.50999999</v>
      </c>
      <c r="C6" s="189">
        <v>394198759.94</v>
      </c>
      <c r="D6" s="189">
        <v>230949591.12</v>
      </c>
      <c r="E6" s="189">
        <v>1073549556.55</v>
      </c>
      <c r="F6" s="189">
        <v>812762965.25</v>
      </c>
      <c r="G6" s="189">
        <v>624870843.95000005</v>
      </c>
      <c r="H6" s="189">
        <v>243581348.91</v>
      </c>
      <c r="I6" s="189">
        <v>681953910.48000002</v>
      </c>
      <c r="J6" s="189">
        <v>586998862.96000004</v>
      </c>
      <c r="K6" s="189">
        <v>399669312.94</v>
      </c>
      <c r="L6" s="189">
        <v>217997762.84</v>
      </c>
      <c r="M6" s="189">
        <v>294534604.23000002</v>
      </c>
      <c r="N6" s="189">
        <v>143239997.56</v>
      </c>
      <c r="O6" s="189">
        <v>82821174.730000004</v>
      </c>
      <c r="P6" s="189">
        <v>36003926.729999997</v>
      </c>
      <c r="Q6" s="189">
        <v>84075285.200000003</v>
      </c>
      <c r="R6" s="189">
        <v>70051293.879999995</v>
      </c>
      <c r="S6" s="189">
        <v>134933687.97</v>
      </c>
      <c r="T6" s="189">
        <v>61285591.07</v>
      </c>
      <c r="U6" s="189">
        <v>331647428.75999999</v>
      </c>
      <c r="V6" s="189">
        <v>244767894.46000001</v>
      </c>
      <c r="W6" s="189">
        <v>159124525.56</v>
      </c>
      <c r="X6" s="189">
        <v>71075407.579999998</v>
      </c>
      <c r="Y6" s="189">
        <v>291852976.17000002</v>
      </c>
      <c r="Z6" s="189">
        <v>210304718.69</v>
      </c>
      <c r="AA6" s="189">
        <v>134841206.36000001</v>
      </c>
      <c r="AB6" s="189">
        <v>55432019.719999999</v>
      </c>
      <c r="AC6" s="189">
        <v>347819373.01999998</v>
      </c>
      <c r="AD6" s="189">
        <v>236634286.88</v>
      </c>
      <c r="AE6" s="189">
        <v>144027414.56999999</v>
      </c>
      <c r="AF6" s="189">
        <v>61399932.880000003</v>
      </c>
      <c r="AG6" s="189">
        <v>255058285.75</v>
      </c>
      <c r="AH6" s="189">
        <v>188392182.86000001</v>
      </c>
      <c r="AI6" s="189">
        <v>114405034.56</v>
      </c>
      <c r="AJ6" s="189">
        <v>50105763.420000002</v>
      </c>
      <c r="AK6" s="189">
        <v>180376688.06</v>
      </c>
      <c r="AL6" s="189">
        <v>122895640.44</v>
      </c>
      <c r="AM6" s="189">
        <v>75225794.790000007</v>
      </c>
      <c r="AN6" s="189">
        <v>37067286.439999998</v>
      </c>
      <c r="AO6" s="189">
        <v>234097399.05000001</v>
      </c>
      <c r="AP6" s="189">
        <v>218187982.00999999</v>
      </c>
      <c r="AQ6" s="189">
        <v>177908118.96000001</v>
      </c>
      <c r="AR6" s="189">
        <v>0</v>
      </c>
    </row>
    <row r="7" spans="1:44" x14ac:dyDescent="0.25">
      <c r="A7" s="189" t="s">
        <v>194</v>
      </c>
      <c r="B7" s="189">
        <v>5990482.0499999998</v>
      </c>
      <c r="C7" s="189">
        <v>4062008.74</v>
      </c>
      <c r="D7" s="189">
        <v>2248442.37</v>
      </c>
      <c r="E7" s="189">
        <v>14762897.85</v>
      </c>
      <c r="F7" s="189">
        <v>9954565.4600000009</v>
      </c>
      <c r="G7" s="189">
        <v>7979233.3300000001</v>
      </c>
      <c r="H7" s="189">
        <v>2037316.29</v>
      </c>
      <c r="I7" s="189">
        <v>5334404.04</v>
      </c>
      <c r="J7" s="189">
        <v>3250132.44</v>
      </c>
      <c r="K7" s="189">
        <v>2148225.4300000002</v>
      </c>
      <c r="L7" s="189">
        <v>1117994.8700000001</v>
      </c>
      <c r="M7" s="189">
        <v>3973624.58</v>
      </c>
      <c r="N7" s="189">
        <v>2698035.2000000002</v>
      </c>
      <c r="O7" s="189">
        <v>1528713.33</v>
      </c>
      <c r="P7" s="189">
        <v>673026.7</v>
      </c>
      <c r="Q7" s="189">
        <v>2135664.39</v>
      </c>
      <c r="R7" s="189">
        <v>1555881.22</v>
      </c>
      <c r="S7" s="189">
        <v>1231802.94</v>
      </c>
      <c r="T7" s="189">
        <v>230951.84</v>
      </c>
      <c r="U7" s="189">
        <v>786637.65</v>
      </c>
      <c r="V7" s="189">
        <v>521075.42</v>
      </c>
      <c r="W7" s="189">
        <v>440141.02</v>
      </c>
      <c r="X7" s="189">
        <v>139746.96</v>
      </c>
      <c r="Y7" s="189">
        <v>1990295.61</v>
      </c>
      <c r="Z7" s="189">
        <v>1574985.16</v>
      </c>
      <c r="AA7" s="189">
        <v>1179884.3400000001</v>
      </c>
      <c r="AB7" s="189">
        <v>469489.97</v>
      </c>
      <c r="AC7" s="189">
        <v>2485080.54</v>
      </c>
      <c r="AD7" s="189">
        <v>967682.29</v>
      </c>
      <c r="AE7" s="189">
        <v>395512.9</v>
      </c>
      <c r="AF7" s="189">
        <v>123133.85</v>
      </c>
      <c r="AG7" s="189">
        <v>677738.84</v>
      </c>
      <c r="AH7" s="189">
        <v>619502.54</v>
      </c>
      <c r="AI7" s="189">
        <v>213160.36</v>
      </c>
      <c r="AJ7" s="189">
        <v>9770.66</v>
      </c>
      <c r="AK7" s="189">
        <v>70592.39</v>
      </c>
      <c r="AL7" s="189">
        <v>54576.77</v>
      </c>
      <c r="AM7" s="189">
        <v>38531.42</v>
      </c>
      <c r="AN7" s="189">
        <v>885.29</v>
      </c>
      <c r="AO7" s="189">
        <v>56266.720000000001</v>
      </c>
      <c r="AP7" s="189">
        <v>261365.22</v>
      </c>
      <c r="AQ7" s="189">
        <v>185792.82</v>
      </c>
      <c r="AR7" s="189">
        <v>0</v>
      </c>
    </row>
    <row r="8" spans="1:44" x14ac:dyDescent="0.25">
      <c r="A8" s="189" t="s">
        <v>195</v>
      </c>
      <c r="B8" s="189">
        <v>266674634.78999999</v>
      </c>
      <c r="C8" s="189">
        <v>157978571.91</v>
      </c>
      <c r="D8" s="189">
        <v>73464968.620000005</v>
      </c>
      <c r="E8" s="189">
        <v>235039391.34999999</v>
      </c>
      <c r="F8" s="189">
        <v>160911887.5</v>
      </c>
      <c r="G8" s="189">
        <v>102697946.06999999</v>
      </c>
      <c r="H8" s="189">
        <v>33508005.43</v>
      </c>
      <c r="I8" s="189">
        <v>76143525.890000001</v>
      </c>
      <c r="J8" s="189">
        <v>58604093.039999999</v>
      </c>
      <c r="K8" s="189">
        <v>33786565.460000001</v>
      </c>
      <c r="L8" s="189">
        <v>19579201.640000001</v>
      </c>
      <c r="M8" s="189">
        <v>14814626.029999999</v>
      </c>
      <c r="N8" s="189">
        <v>8446284.1899999995</v>
      </c>
      <c r="O8" s="189">
        <v>6716926.7599999998</v>
      </c>
      <c r="P8" s="189">
        <v>3492623.59</v>
      </c>
      <c r="Q8" s="189">
        <v>39167018.579999998</v>
      </c>
      <c r="R8" s="189">
        <v>28778010.32</v>
      </c>
      <c r="S8" s="189">
        <v>6491548.3899999997</v>
      </c>
      <c r="T8" s="189">
        <v>2544162.16</v>
      </c>
      <c r="U8" s="189">
        <v>13101319.789999999</v>
      </c>
      <c r="V8" s="189">
        <v>8930356.6999999993</v>
      </c>
      <c r="W8" s="189">
        <v>6592855.2999999998</v>
      </c>
      <c r="X8" s="189">
        <v>3895547.01</v>
      </c>
      <c r="Y8" s="189">
        <v>11733088.949999999</v>
      </c>
      <c r="Z8" s="189">
        <v>8997436.8499999996</v>
      </c>
      <c r="AA8" s="189">
        <v>5526848.1900000004</v>
      </c>
      <c r="AB8" s="189">
        <v>3593793.33</v>
      </c>
      <c r="AC8" s="189">
        <v>11182598.359999999</v>
      </c>
      <c r="AD8" s="189">
        <v>7051016.8899999997</v>
      </c>
      <c r="AE8" s="189">
        <v>4808581.66</v>
      </c>
      <c r="AF8" s="189">
        <v>2603706.5699999998</v>
      </c>
      <c r="AG8" s="189">
        <v>7446312.4199999999</v>
      </c>
      <c r="AH8" s="189">
        <v>5205512.6100000003</v>
      </c>
      <c r="AI8" s="189">
        <v>3295356.99</v>
      </c>
      <c r="AJ8" s="189">
        <v>1314460.1200000001</v>
      </c>
      <c r="AK8" s="189">
        <v>4606815.68</v>
      </c>
      <c r="AL8" s="189">
        <v>2859957.14</v>
      </c>
      <c r="AM8" s="189">
        <v>2360819.9</v>
      </c>
      <c r="AN8" s="189">
        <v>956052.64</v>
      </c>
      <c r="AO8" s="189">
        <v>5688106.25</v>
      </c>
      <c r="AP8" s="189">
        <v>5667204.29</v>
      </c>
      <c r="AQ8" s="189">
        <v>3983624.71</v>
      </c>
      <c r="AR8" s="189">
        <v>0</v>
      </c>
    </row>
    <row r="9" spans="1:44" x14ac:dyDescent="0.25">
      <c r="A9" s="189" t="s">
        <v>196</v>
      </c>
      <c r="B9" s="189">
        <v>243926228.55000001</v>
      </c>
      <c r="C9" s="189">
        <v>349271032.81</v>
      </c>
      <c r="D9" s="189">
        <v>175371224.78999999</v>
      </c>
      <c r="E9" s="189">
        <v>645302065.19000006</v>
      </c>
      <c r="F9" s="189">
        <v>376647774.79000002</v>
      </c>
      <c r="G9" s="189">
        <v>230984681.88</v>
      </c>
      <c r="H9" s="189">
        <v>101541708.88</v>
      </c>
      <c r="I9" s="189">
        <v>343751924.87</v>
      </c>
      <c r="J9" s="189">
        <v>295195959.89999998</v>
      </c>
      <c r="K9" s="189">
        <v>196749875.84</v>
      </c>
      <c r="L9" s="189">
        <v>88053884.180000007</v>
      </c>
      <c r="M9" s="189">
        <v>226255739.27000001</v>
      </c>
      <c r="N9" s="189">
        <v>111578771.18000001</v>
      </c>
      <c r="O9" s="189">
        <v>74093674.420000002</v>
      </c>
      <c r="P9" s="189">
        <v>37907618.509999998</v>
      </c>
      <c r="Q9" s="189">
        <v>139922870.47</v>
      </c>
      <c r="R9" s="189">
        <v>95218737.260000005</v>
      </c>
      <c r="S9" s="189">
        <v>13749416.039999999</v>
      </c>
      <c r="T9" s="189">
        <v>7229190.6799999997</v>
      </c>
      <c r="U9" s="189">
        <v>27247889.48</v>
      </c>
      <c r="V9" s="189">
        <v>20159171.960000001</v>
      </c>
      <c r="W9" s="189">
        <v>13156661.380000001</v>
      </c>
      <c r="X9" s="189">
        <v>5790115.3200000003</v>
      </c>
      <c r="Y9" s="189">
        <v>25466012.559999999</v>
      </c>
      <c r="Z9" s="189">
        <v>16706878.949999999</v>
      </c>
      <c r="AA9" s="189">
        <v>10583610.17</v>
      </c>
      <c r="AB9" s="189">
        <v>4579572.97</v>
      </c>
      <c r="AC9" s="189">
        <v>20500322.920000002</v>
      </c>
      <c r="AD9" s="189">
        <v>15196836.859999999</v>
      </c>
      <c r="AE9" s="189">
        <v>10240511.060000001</v>
      </c>
      <c r="AF9" s="189">
        <v>4655559.8099999996</v>
      </c>
      <c r="AG9" s="189">
        <v>21064727.32</v>
      </c>
      <c r="AH9" s="189">
        <v>17088875.149999999</v>
      </c>
      <c r="AI9" s="189">
        <v>13423976.67</v>
      </c>
      <c r="AJ9" s="189">
        <v>10065443.91</v>
      </c>
      <c r="AK9" s="189">
        <v>12385737.359999999</v>
      </c>
      <c r="AL9" s="189">
        <v>8100878.7400000002</v>
      </c>
      <c r="AM9" s="189">
        <v>5105867.0199999996</v>
      </c>
      <c r="AN9" s="189">
        <v>2168814.48</v>
      </c>
      <c r="AO9" s="189">
        <v>10425117.710000001</v>
      </c>
      <c r="AP9" s="189">
        <v>7970574.8799999999</v>
      </c>
      <c r="AQ9" s="189">
        <v>3966026.1</v>
      </c>
      <c r="AR9" s="189">
        <v>0</v>
      </c>
    </row>
    <row r="10" spans="1:44" x14ac:dyDescent="0.25">
      <c r="A10" s="189" t="s">
        <v>197</v>
      </c>
      <c r="B10" s="189">
        <v>103744200.41</v>
      </c>
      <c r="C10" s="189">
        <v>75156477.879999995</v>
      </c>
      <c r="D10" s="189">
        <v>39119692.109999999</v>
      </c>
      <c r="E10" s="189">
        <v>117203541</v>
      </c>
      <c r="F10" s="189">
        <v>75568859.920000002</v>
      </c>
      <c r="G10" s="189">
        <v>46556080.549999997</v>
      </c>
      <c r="H10" s="189">
        <v>30976633.940000001</v>
      </c>
      <c r="I10" s="189">
        <v>14493930.49</v>
      </c>
      <c r="J10" s="189">
        <v>16095729.310000001</v>
      </c>
      <c r="K10" s="189">
        <v>7889528.2000000002</v>
      </c>
      <c r="L10" s="189">
        <v>3896818.77</v>
      </c>
      <c r="M10" s="189">
        <v>51220891.090000004</v>
      </c>
      <c r="N10" s="189">
        <v>17293205.289999999</v>
      </c>
      <c r="O10" s="189">
        <v>9698692.9000000004</v>
      </c>
      <c r="P10" s="189">
        <v>1227815.21</v>
      </c>
      <c r="Q10" s="189">
        <v>-1577625.94</v>
      </c>
      <c r="R10" s="189">
        <v>-935920.35</v>
      </c>
      <c r="S10" s="189">
        <v>11710004.92</v>
      </c>
      <c r="T10" s="189">
        <v>5415605.6399999997</v>
      </c>
      <c r="U10" s="189">
        <v>32088838.699999999</v>
      </c>
      <c r="V10" s="189">
        <v>24712521.059999999</v>
      </c>
      <c r="W10" s="189">
        <v>17251811.109999999</v>
      </c>
      <c r="X10" s="189">
        <v>6304109.5800000001</v>
      </c>
      <c r="Y10" s="189">
        <v>22073552.18</v>
      </c>
      <c r="Z10" s="189">
        <v>14775066.99</v>
      </c>
      <c r="AA10" s="189">
        <v>8978355.9600000009</v>
      </c>
      <c r="AB10" s="189">
        <v>2898159.78</v>
      </c>
      <c r="AC10" s="189">
        <v>19652233.329999998</v>
      </c>
      <c r="AD10" s="189">
        <v>9822064.0999999996</v>
      </c>
      <c r="AE10" s="189">
        <v>5847604.0499999998</v>
      </c>
      <c r="AF10" s="189">
        <v>1224397.28</v>
      </c>
      <c r="AG10" s="189">
        <v>8989929.3900000006</v>
      </c>
      <c r="AH10" s="189">
        <v>5743420.0599999996</v>
      </c>
      <c r="AI10" s="189">
        <v>4039621.32</v>
      </c>
      <c r="AJ10" s="189">
        <v>1635369.62</v>
      </c>
      <c r="AK10" s="189">
        <v>7351811.8799999999</v>
      </c>
      <c r="AL10" s="189">
        <v>5260409.08</v>
      </c>
      <c r="AM10" s="189">
        <v>3471167.1</v>
      </c>
      <c r="AN10" s="189">
        <v>1379238.77</v>
      </c>
      <c r="AO10" s="189">
        <v>10000504.91</v>
      </c>
      <c r="AP10" s="189">
        <v>7011491.7800000003</v>
      </c>
      <c r="AQ10" s="189">
        <v>2513676.0099999998</v>
      </c>
      <c r="AR10" s="189">
        <v>0</v>
      </c>
    </row>
    <row r="11" spans="1:44" x14ac:dyDescent="0.25">
      <c r="A11" s="189" t="s">
        <v>198</v>
      </c>
      <c r="B11" s="189">
        <v>7440266.5199999996</v>
      </c>
      <c r="C11" s="189">
        <v>11094350.9</v>
      </c>
      <c r="D11" s="189">
        <v>8493498.3200000003</v>
      </c>
      <c r="E11" s="189">
        <v>94553626.400000006</v>
      </c>
      <c r="F11" s="189">
        <v>13739282.439999999</v>
      </c>
      <c r="G11" s="189">
        <v>10098933.4</v>
      </c>
      <c r="H11" s="189">
        <v>-3710435.92</v>
      </c>
      <c r="I11" s="189">
        <v>29691962.469999999</v>
      </c>
      <c r="J11" s="189">
        <v>2725015.63</v>
      </c>
      <c r="K11" s="189">
        <v>3958780.17</v>
      </c>
      <c r="L11" s="189">
        <v>2072613.08</v>
      </c>
      <c r="M11" s="189">
        <v>25403369.030000001</v>
      </c>
      <c r="N11" s="189">
        <v>518989.3</v>
      </c>
      <c r="O11" s="189">
        <v>2445124.89</v>
      </c>
      <c r="P11" s="189">
        <v>556491.16</v>
      </c>
      <c r="Q11" s="189">
        <v>1263500.74</v>
      </c>
      <c r="R11" s="189">
        <v>-265855</v>
      </c>
      <c r="S11" s="189">
        <v>-1551647.8</v>
      </c>
      <c r="T11" s="189">
        <v>-926583.99</v>
      </c>
      <c r="U11" s="189">
        <v>808807.22</v>
      </c>
      <c r="V11" s="189">
        <v>718505.48</v>
      </c>
      <c r="W11" s="189">
        <v>718505.48</v>
      </c>
      <c r="X11" s="189">
        <v>0</v>
      </c>
      <c r="Y11" s="189">
        <v>77412.22</v>
      </c>
      <c r="Z11" s="189">
        <v>-435229.57</v>
      </c>
      <c r="AA11" s="189">
        <v>-435229.57</v>
      </c>
      <c r="AB11" s="189">
        <v>0</v>
      </c>
      <c r="AC11" s="189">
        <v>1220059.21</v>
      </c>
      <c r="AD11" s="189">
        <v>0</v>
      </c>
      <c r="AE11" s="189">
        <v>0</v>
      </c>
      <c r="AF11" s="189">
        <v>0</v>
      </c>
      <c r="AG11" s="189">
        <v>-4600</v>
      </c>
      <c r="AH11" s="189">
        <v>-4600</v>
      </c>
      <c r="AI11" s="189">
        <v>0</v>
      </c>
      <c r="AJ11" s="189">
        <v>0</v>
      </c>
      <c r="AK11" s="189">
        <v>4600</v>
      </c>
      <c r="AL11" s="189">
        <v>0</v>
      </c>
      <c r="AM11" s="189">
        <v>45102.78</v>
      </c>
      <c r="AN11" s="189">
        <v>0</v>
      </c>
      <c r="AO11" s="189">
        <v>0</v>
      </c>
      <c r="AP11" s="189">
        <v>0</v>
      </c>
      <c r="AQ11" s="189">
        <v>0</v>
      </c>
      <c r="AR11" s="189">
        <v>0</v>
      </c>
    </row>
    <row r="12" spans="1:44" x14ac:dyDescent="0.25">
      <c r="A12" s="189" t="s">
        <v>199</v>
      </c>
      <c r="B12" s="189">
        <v>0</v>
      </c>
      <c r="C12" s="189">
        <v>0</v>
      </c>
      <c r="D12" s="189">
        <v>0</v>
      </c>
      <c r="E12" s="189">
        <v>-4656798.32</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row>
    <row r="13" spans="1:44" x14ac:dyDescent="0.25">
      <c r="A13" s="189" t="s">
        <v>200</v>
      </c>
      <c r="B13" s="189">
        <v>116048869.84999999</v>
      </c>
      <c r="C13" s="189">
        <v>83762742.060000002</v>
      </c>
      <c r="D13" s="189">
        <v>41331409.869999997</v>
      </c>
      <c r="E13" s="189">
        <v>436171969.31</v>
      </c>
      <c r="F13" s="189">
        <v>-8618599.7300000004</v>
      </c>
      <c r="G13" s="189">
        <v>45578909.719999999</v>
      </c>
      <c r="H13" s="189">
        <v>50921365.340000004</v>
      </c>
      <c r="I13" s="189">
        <v>38378979.119999997</v>
      </c>
      <c r="J13" s="189">
        <v>3311734.16</v>
      </c>
      <c r="K13" s="189">
        <v>-2197303.89</v>
      </c>
      <c r="L13" s="189">
        <v>-5178734.26</v>
      </c>
      <c r="M13" s="189">
        <v>42283944.75</v>
      </c>
      <c r="N13" s="189">
        <v>980144.56</v>
      </c>
      <c r="O13" s="189">
        <v>1887857.32</v>
      </c>
      <c r="P13" s="189">
        <v>200387.26</v>
      </c>
      <c r="Q13" s="189">
        <v>44974358.68</v>
      </c>
      <c r="R13" s="189">
        <v>10644373.67</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row>
    <row r="14" spans="1:44" x14ac:dyDescent="0.25">
      <c r="A14" s="189" t="s">
        <v>201</v>
      </c>
      <c r="B14" s="189">
        <v>13541538.210000001</v>
      </c>
      <c r="C14" s="189">
        <v>8266666.7800000003</v>
      </c>
      <c r="D14" s="189">
        <v>-976095.24</v>
      </c>
      <c r="E14" s="189">
        <v>42402449.289999999</v>
      </c>
      <c r="F14" s="189">
        <v>19651361.809999999</v>
      </c>
      <c r="G14" s="189">
        <v>-8626850.9100000001</v>
      </c>
      <c r="H14" s="189">
        <v>0</v>
      </c>
      <c r="I14" s="189">
        <v>-12823244.01</v>
      </c>
      <c r="J14" s="189">
        <v>-10076555.49</v>
      </c>
      <c r="K14" s="189">
        <v>4595156.3</v>
      </c>
      <c r="L14" s="189">
        <v>-5178734.26</v>
      </c>
      <c r="M14" s="189">
        <v>37387981.030000001</v>
      </c>
      <c r="N14" s="189">
        <v>0</v>
      </c>
      <c r="O14" s="189">
        <v>-1915777.35</v>
      </c>
      <c r="P14" s="189">
        <v>-580264.26</v>
      </c>
      <c r="Q14" s="189">
        <v>-1525873.72</v>
      </c>
      <c r="R14" s="189">
        <v>0</v>
      </c>
      <c r="S14" s="189">
        <v>0</v>
      </c>
      <c r="T14" s="189">
        <v>0</v>
      </c>
      <c r="U14" s="189">
        <v>0</v>
      </c>
      <c r="V14" s="189">
        <v>0</v>
      </c>
      <c r="W14" s="189">
        <v>0</v>
      </c>
      <c r="X14" s="189">
        <v>0</v>
      </c>
      <c r="Y14" s="189">
        <v>0</v>
      </c>
      <c r="Z14" s="189">
        <v>0</v>
      </c>
      <c r="AA14" s="189">
        <v>0</v>
      </c>
      <c r="AB14" s="189">
        <v>0</v>
      </c>
      <c r="AC14" s="189">
        <v>0</v>
      </c>
      <c r="AD14" s="189">
        <v>0</v>
      </c>
      <c r="AE14" s="189">
        <v>0</v>
      </c>
      <c r="AF14" s="189">
        <v>0</v>
      </c>
      <c r="AG14" s="189">
        <v>0</v>
      </c>
      <c r="AH14" s="189">
        <v>0</v>
      </c>
      <c r="AI14" s="189">
        <v>0</v>
      </c>
      <c r="AJ14" s="189">
        <v>0</v>
      </c>
      <c r="AK14" s="189">
        <v>0</v>
      </c>
      <c r="AL14" s="189">
        <v>0</v>
      </c>
      <c r="AM14" s="189">
        <v>0</v>
      </c>
      <c r="AN14" s="189">
        <v>0</v>
      </c>
      <c r="AO14" s="189">
        <v>0</v>
      </c>
      <c r="AP14" s="189">
        <v>0</v>
      </c>
      <c r="AQ14" s="189">
        <v>0</v>
      </c>
      <c r="AR14" s="189">
        <v>0</v>
      </c>
    </row>
    <row r="15" spans="1:44" x14ac:dyDescent="0.25">
      <c r="A15" s="189" t="s">
        <v>202</v>
      </c>
      <c r="B15" s="189">
        <v>0</v>
      </c>
      <c r="C15" s="189">
        <v>0</v>
      </c>
      <c r="D15" s="189">
        <v>0</v>
      </c>
      <c r="E15" s="189">
        <v>0</v>
      </c>
      <c r="F15" s="189">
        <v>0</v>
      </c>
      <c r="G15" s="189">
        <v>0</v>
      </c>
      <c r="H15" s="189">
        <v>-331279.49</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row>
    <row r="16" spans="1:44" x14ac:dyDescent="0.25">
      <c r="A16" s="189" t="s">
        <v>203</v>
      </c>
      <c r="B16" s="189">
        <v>441988012</v>
      </c>
      <c r="C16" s="189">
        <v>326615950.5</v>
      </c>
      <c r="D16" s="189">
        <v>253999765.22999999</v>
      </c>
      <c r="E16" s="189">
        <v>1357928875.7</v>
      </c>
      <c r="F16" s="189">
        <v>778948333.55999994</v>
      </c>
      <c r="G16" s="189">
        <v>611556556.01999998</v>
      </c>
      <c r="H16" s="189">
        <v>282288660.66000003</v>
      </c>
      <c r="I16" s="189">
        <v>561869942.54999995</v>
      </c>
      <c r="J16" s="189">
        <v>350353667.56999999</v>
      </c>
      <c r="K16" s="189">
        <v>212426526.21000001</v>
      </c>
      <c r="L16" s="189">
        <v>110093958.13</v>
      </c>
      <c r="M16" s="189">
        <v>366928672.25999999</v>
      </c>
      <c r="N16" s="189">
        <v>245897938.28999999</v>
      </c>
      <c r="O16" s="189">
        <v>143864969.81999999</v>
      </c>
      <c r="P16" s="189">
        <v>73807430.540000007</v>
      </c>
      <c r="Q16" s="189">
        <v>255528892.53</v>
      </c>
      <c r="R16" s="189">
        <v>158889664.84999999</v>
      </c>
      <c r="S16" s="189">
        <v>-5584566.7300000004</v>
      </c>
      <c r="T16" s="189">
        <v>711206.77</v>
      </c>
      <c r="U16" s="189">
        <v>-820217.68</v>
      </c>
      <c r="V16" s="189">
        <v>-475610</v>
      </c>
      <c r="W16" s="189">
        <v>4345171.43</v>
      </c>
      <c r="X16" s="189">
        <v>1011343.85</v>
      </c>
      <c r="Y16" s="189">
        <v>15785192.199999999</v>
      </c>
      <c r="Z16" s="189">
        <v>11795642.67</v>
      </c>
      <c r="AA16" s="189">
        <v>6972797.6299999999</v>
      </c>
      <c r="AB16" s="189">
        <v>3413360.87</v>
      </c>
      <c r="AC16" s="189">
        <v>24995290.809999999</v>
      </c>
      <c r="AD16" s="189">
        <v>19398037.75</v>
      </c>
      <c r="AE16" s="189">
        <v>10716188.060000001</v>
      </c>
      <c r="AF16" s="189">
        <v>2544352.0499999998</v>
      </c>
      <c r="AG16" s="189">
        <v>13368761.99</v>
      </c>
      <c r="AH16" s="189">
        <v>11007708.689999999</v>
      </c>
      <c r="AI16" s="189">
        <v>2961116.18</v>
      </c>
      <c r="AJ16" s="189">
        <v>-2741425.02</v>
      </c>
      <c r="AK16" s="189">
        <v>31573258.68</v>
      </c>
      <c r="AL16" s="189">
        <v>19475573.719999999</v>
      </c>
      <c r="AM16" s="189">
        <v>10481675.359999999</v>
      </c>
      <c r="AN16" s="189">
        <v>4095622.98</v>
      </c>
      <c r="AO16" s="189">
        <v>25505366.710000001</v>
      </c>
      <c r="AP16" s="189">
        <v>32592121.66</v>
      </c>
      <c r="AQ16" s="189">
        <v>30072021.719999999</v>
      </c>
      <c r="AR16" s="189">
        <v>0</v>
      </c>
    </row>
    <row r="17" spans="1:44" x14ac:dyDescent="0.25">
      <c r="A17" s="189" t="s">
        <v>204</v>
      </c>
      <c r="B17" s="189">
        <v>3283212.66</v>
      </c>
      <c r="C17" s="189">
        <v>2305171.9</v>
      </c>
      <c r="D17" s="189">
        <v>1311846.8899999999</v>
      </c>
      <c r="E17" s="189">
        <v>3155021.99</v>
      </c>
      <c r="F17" s="189">
        <v>127183036.91</v>
      </c>
      <c r="G17" s="189">
        <v>3106866.07</v>
      </c>
      <c r="H17" s="189">
        <v>2046422.63</v>
      </c>
      <c r="I17" s="189">
        <v>8203964.71</v>
      </c>
      <c r="J17" s="189">
        <v>2808920.95</v>
      </c>
      <c r="K17" s="189">
        <v>2013052.82</v>
      </c>
      <c r="L17" s="189">
        <v>170464</v>
      </c>
      <c r="M17" s="189">
        <v>511240.38</v>
      </c>
      <c r="N17" s="189">
        <v>1.78</v>
      </c>
      <c r="O17" s="189">
        <v>1.76</v>
      </c>
      <c r="P17" s="189">
        <v>0</v>
      </c>
      <c r="Q17" s="189">
        <v>2030.01</v>
      </c>
      <c r="R17" s="189">
        <v>2030.01</v>
      </c>
      <c r="S17" s="189">
        <v>128499.01</v>
      </c>
      <c r="T17" s="189">
        <v>128499.01</v>
      </c>
      <c r="U17" s="189">
        <v>16150638.18</v>
      </c>
      <c r="V17" s="189">
        <v>16150624</v>
      </c>
      <c r="W17" s="189">
        <v>13921624</v>
      </c>
      <c r="X17" s="189">
        <v>15000</v>
      </c>
      <c r="Y17" s="189">
        <v>13314500.279999999</v>
      </c>
      <c r="Z17" s="189">
        <v>11621600.65</v>
      </c>
      <c r="AA17" s="189">
        <v>11487062.789999999</v>
      </c>
      <c r="AB17" s="189">
        <v>220092.79</v>
      </c>
      <c r="AC17" s="189">
        <v>13847144.960000001</v>
      </c>
      <c r="AD17" s="189">
        <v>667117.15</v>
      </c>
      <c r="AE17" s="189">
        <v>636091.5</v>
      </c>
      <c r="AF17" s="189">
        <v>636091.5</v>
      </c>
      <c r="AG17" s="189">
        <v>3371805.3</v>
      </c>
      <c r="AH17" s="189">
        <v>2480614</v>
      </c>
      <c r="AI17" s="189">
        <v>2203166</v>
      </c>
      <c r="AJ17" s="189">
        <v>68900</v>
      </c>
      <c r="AK17" s="189">
        <v>5378932.9100000001</v>
      </c>
      <c r="AL17" s="189">
        <v>258054.91</v>
      </c>
      <c r="AM17" s="189">
        <v>232322</v>
      </c>
      <c r="AN17" s="189">
        <v>132322</v>
      </c>
      <c r="AO17" s="189">
        <v>10822685.65</v>
      </c>
      <c r="AP17" s="189">
        <v>0</v>
      </c>
      <c r="AQ17" s="189">
        <v>0</v>
      </c>
      <c r="AR17" s="189">
        <v>0</v>
      </c>
    </row>
    <row r="18" spans="1:44" x14ac:dyDescent="0.25">
      <c r="A18" s="189" t="s">
        <v>205</v>
      </c>
      <c r="B18" s="189">
        <v>57807.54</v>
      </c>
      <c r="C18" s="189">
        <v>29031.19</v>
      </c>
      <c r="D18" s="189">
        <v>20200.060000000001</v>
      </c>
      <c r="E18" s="189">
        <v>28698522.949999999</v>
      </c>
      <c r="F18" s="189">
        <v>4260696.93</v>
      </c>
      <c r="G18" s="189">
        <v>4062629.34</v>
      </c>
      <c r="H18" s="189">
        <v>4022553.88</v>
      </c>
      <c r="I18" s="189">
        <v>1233072.08</v>
      </c>
      <c r="J18" s="189">
        <v>437.1</v>
      </c>
      <c r="K18" s="189">
        <v>399.8</v>
      </c>
      <c r="L18" s="189">
        <v>0</v>
      </c>
      <c r="M18" s="189">
        <v>6504270</v>
      </c>
      <c r="N18" s="189">
        <v>3170</v>
      </c>
      <c r="O18" s="189">
        <v>2250</v>
      </c>
      <c r="P18" s="189">
        <v>100</v>
      </c>
      <c r="Q18" s="189">
        <v>271.2</v>
      </c>
      <c r="R18" s="189">
        <v>271.2</v>
      </c>
      <c r="S18" s="189">
        <v>73953.83</v>
      </c>
      <c r="T18" s="189">
        <v>70000</v>
      </c>
      <c r="U18" s="189">
        <v>139182.96</v>
      </c>
      <c r="V18" s="189">
        <v>131690.14000000001</v>
      </c>
      <c r="W18" s="189">
        <v>35742.32</v>
      </c>
      <c r="X18" s="189">
        <v>30566</v>
      </c>
      <c r="Y18" s="189">
        <v>135926.93</v>
      </c>
      <c r="Z18" s="189">
        <v>129179.52</v>
      </c>
      <c r="AA18" s="189">
        <v>35000</v>
      </c>
      <c r="AB18" s="189">
        <v>30000</v>
      </c>
      <c r="AC18" s="189">
        <v>97510.33</v>
      </c>
      <c r="AD18" s="189">
        <v>15775.67</v>
      </c>
      <c r="AE18" s="189">
        <v>0</v>
      </c>
      <c r="AF18" s="189">
        <v>0</v>
      </c>
      <c r="AG18" s="189">
        <v>30000</v>
      </c>
      <c r="AH18" s="189">
        <v>0</v>
      </c>
      <c r="AI18" s="189">
        <v>0</v>
      </c>
      <c r="AJ18" s="189">
        <v>0</v>
      </c>
      <c r="AK18" s="189">
        <v>107786.49</v>
      </c>
      <c r="AL18" s="189">
        <v>97620</v>
      </c>
      <c r="AM18" s="189">
        <v>76420</v>
      </c>
      <c r="AN18" s="189">
        <v>66420</v>
      </c>
      <c r="AO18" s="189">
        <v>96000</v>
      </c>
      <c r="AP18" s="189">
        <v>75000</v>
      </c>
      <c r="AQ18" s="189">
        <v>0</v>
      </c>
      <c r="AR18" s="189">
        <v>0</v>
      </c>
    </row>
    <row r="19" spans="1:44" x14ac:dyDescent="0.25">
      <c r="A19" s="189" t="s">
        <v>206</v>
      </c>
      <c r="B19" s="189">
        <v>0</v>
      </c>
      <c r="C19" s="189">
        <v>0</v>
      </c>
      <c r="D19" s="189">
        <v>0</v>
      </c>
      <c r="E19" s="189">
        <v>0</v>
      </c>
      <c r="F19" s="189">
        <v>104049.84</v>
      </c>
      <c r="G19" s="189">
        <v>39870.82</v>
      </c>
      <c r="H19" s="189">
        <v>4000000</v>
      </c>
      <c r="I19" s="189">
        <v>378808.81</v>
      </c>
      <c r="J19" s="189">
        <v>0</v>
      </c>
      <c r="K19" s="189">
        <v>0</v>
      </c>
      <c r="L19" s="189">
        <v>0</v>
      </c>
      <c r="M19" s="189">
        <v>0</v>
      </c>
      <c r="N19" s="189">
        <v>0</v>
      </c>
      <c r="O19" s="189">
        <v>0</v>
      </c>
      <c r="P19" s="189">
        <v>0</v>
      </c>
      <c r="Q19" s="189">
        <v>0</v>
      </c>
      <c r="R19" s="189">
        <v>0</v>
      </c>
      <c r="S19" s="189">
        <v>0</v>
      </c>
      <c r="T19" s="189">
        <v>0</v>
      </c>
      <c r="U19" s="189">
        <v>19304.72</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row>
    <row r="20" spans="1:44" x14ac:dyDescent="0.25">
      <c r="A20" s="189" t="s">
        <v>207</v>
      </c>
      <c r="B20" s="189">
        <v>445213417.12</v>
      </c>
      <c r="C20" s="189">
        <v>328892091.20999998</v>
      </c>
      <c r="D20" s="189">
        <v>255291412.06</v>
      </c>
      <c r="E20" s="189">
        <v>1332385374.74</v>
      </c>
      <c r="F20" s="189">
        <v>901870673.53999996</v>
      </c>
      <c r="G20" s="189">
        <v>610600792.75</v>
      </c>
      <c r="H20" s="189">
        <v>280312529.41000003</v>
      </c>
      <c r="I20" s="189">
        <v>568840835.17999995</v>
      </c>
      <c r="J20" s="189">
        <v>353162151.42000002</v>
      </c>
      <c r="K20" s="189">
        <v>214439179.22999999</v>
      </c>
      <c r="L20" s="189">
        <v>110264422.13</v>
      </c>
      <c r="M20" s="189">
        <v>360935642.63999999</v>
      </c>
      <c r="N20" s="189">
        <v>245894770.06999999</v>
      </c>
      <c r="O20" s="189">
        <v>143862721.58000001</v>
      </c>
      <c r="P20" s="189">
        <v>73807330.540000007</v>
      </c>
      <c r="Q20" s="189">
        <v>255530651.34</v>
      </c>
      <c r="R20" s="189">
        <v>158891423.66</v>
      </c>
      <c r="S20" s="189">
        <v>-5530021.5499999998</v>
      </c>
      <c r="T20" s="189">
        <v>769705.78</v>
      </c>
      <c r="U20" s="189">
        <v>15191237.539999999</v>
      </c>
      <c r="V20" s="189">
        <v>15543323.859999999</v>
      </c>
      <c r="W20" s="189">
        <v>18231053.109999999</v>
      </c>
      <c r="X20" s="189">
        <v>995777.85</v>
      </c>
      <c r="Y20" s="189">
        <v>28963765.550000001</v>
      </c>
      <c r="Z20" s="189">
        <v>23288063.800000001</v>
      </c>
      <c r="AA20" s="189">
        <v>18424860.420000002</v>
      </c>
      <c r="AB20" s="189">
        <v>3603453.66</v>
      </c>
      <c r="AC20" s="189">
        <v>38744925.439999998</v>
      </c>
      <c r="AD20" s="189">
        <v>20049379.23</v>
      </c>
      <c r="AE20" s="189">
        <v>11352279.560000001</v>
      </c>
      <c r="AF20" s="189">
        <v>3180443.55</v>
      </c>
      <c r="AG20" s="189">
        <v>16710567.289999999</v>
      </c>
      <c r="AH20" s="189">
        <v>13488322.689999999</v>
      </c>
      <c r="AI20" s="189">
        <v>5164282.18</v>
      </c>
      <c r="AJ20" s="189">
        <v>-2672525.02</v>
      </c>
      <c r="AK20" s="189">
        <v>36844405.100000001</v>
      </c>
      <c r="AL20" s="189">
        <v>19636008.629999999</v>
      </c>
      <c r="AM20" s="189">
        <v>10637577.359999999</v>
      </c>
      <c r="AN20" s="189">
        <v>4161524.98</v>
      </c>
      <c r="AO20" s="189">
        <v>36232052.359999999</v>
      </c>
      <c r="AP20" s="189">
        <v>32517121.66</v>
      </c>
      <c r="AQ20" s="189">
        <v>30072021.719999999</v>
      </c>
      <c r="AR20" s="189">
        <v>0</v>
      </c>
    </row>
    <row r="21" spans="1:44" x14ac:dyDescent="0.25">
      <c r="A21" s="189" t="s">
        <v>208</v>
      </c>
      <c r="B21" s="189">
        <v>35975370.530000001</v>
      </c>
      <c r="C21" s="189">
        <v>23415335.690000001</v>
      </c>
      <c r="D21" s="189">
        <v>6895446.0099999998</v>
      </c>
      <c r="E21" s="189">
        <v>92062359.090000004</v>
      </c>
      <c r="F21" s="189">
        <v>10145109.630000001</v>
      </c>
      <c r="G21" s="189">
        <v>-1820056.77</v>
      </c>
      <c r="H21" s="189">
        <v>10972596.619999999</v>
      </c>
      <c r="I21" s="189">
        <v>23262771.039999999</v>
      </c>
      <c r="J21" s="189">
        <v>15977291.960000001</v>
      </c>
      <c r="K21" s="189">
        <v>13771255.189999999</v>
      </c>
      <c r="L21" s="189">
        <v>3136668.2</v>
      </c>
      <c r="M21" s="189">
        <v>4512662.42</v>
      </c>
      <c r="N21" s="189">
        <v>6987471.79</v>
      </c>
      <c r="O21" s="189">
        <v>3953528.71</v>
      </c>
      <c r="P21" s="189">
        <v>2186290.33</v>
      </c>
      <c r="Q21" s="189">
        <v>21485745.280000001</v>
      </c>
      <c r="R21" s="189">
        <v>17151603.640000001</v>
      </c>
      <c r="S21" s="189">
        <v>1006986.97</v>
      </c>
      <c r="T21" s="189">
        <v>793054.96</v>
      </c>
      <c r="U21" s="189">
        <v>4115710.46</v>
      </c>
      <c r="V21" s="189">
        <v>4034374.39</v>
      </c>
      <c r="W21" s="189">
        <v>6527735.9900000002</v>
      </c>
      <c r="X21" s="189">
        <v>1017370.33</v>
      </c>
      <c r="Y21" s="189">
        <v>6591737.7999999998</v>
      </c>
      <c r="Z21" s="189">
        <v>4795560.04</v>
      </c>
      <c r="AA21" s="189">
        <v>4034249.83</v>
      </c>
      <c r="AB21" s="189">
        <v>781698.28</v>
      </c>
      <c r="AC21" s="189">
        <v>7905499.5</v>
      </c>
      <c r="AD21" s="189">
        <v>3956581.19</v>
      </c>
      <c r="AE21" s="189">
        <v>2357309.5</v>
      </c>
      <c r="AF21" s="189">
        <v>716790.21</v>
      </c>
      <c r="AG21" s="189">
        <v>3112824.38</v>
      </c>
      <c r="AH21" s="189">
        <v>2782826.76</v>
      </c>
      <c r="AI21" s="189">
        <v>1030082.82</v>
      </c>
      <c r="AJ21" s="189">
        <v>215687.72</v>
      </c>
      <c r="AK21" s="189">
        <v>7055003</v>
      </c>
      <c r="AL21" s="189">
        <v>3925686.99</v>
      </c>
      <c r="AM21" s="189">
        <v>2147771.36</v>
      </c>
      <c r="AN21" s="189">
        <v>803216.86</v>
      </c>
      <c r="AO21" s="189">
        <v>3477740.59</v>
      </c>
      <c r="AP21" s="189">
        <v>4016140.86</v>
      </c>
      <c r="AQ21" s="189">
        <v>3603567.66</v>
      </c>
      <c r="AR21" s="189">
        <v>0</v>
      </c>
    </row>
    <row r="22" spans="1:44" x14ac:dyDescent="0.25">
      <c r="A22" s="189" t="s">
        <v>209</v>
      </c>
      <c r="B22" s="189">
        <v>409238046.58999997</v>
      </c>
      <c r="C22" s="189">
        <v>305476755.51999998</v>
      </c>
      <c r="D22" s="189">
        <v>248395966.05000001</v>
      </c>
      <c r="E22" s="189">
        <v>1240323015.6500001</v>
      </c>
      <c r="F22" s="189">
        <v>891725563.90999997</v>
      </c>
      <c r="G22" s="189">
        <v>612420849.51999998</v>
      </c>
      <c r="H22" s="189">
        <v>269339932.79000002</v>
      </c>
      <c r="I22" s="189">
        <v>545578064.13999999</v>
      </c>
      <c r="J22" s="189">
        <v>337184859.45999998</v>
      </c>
      <c r="K22" s="189">
        <v>200667924.03999999</v>
      </c>
      <c r="L22" s="189">
        <v>107127753.93000001</v>
      </c>
      <c r="M22" s="189">
        <v>356422980.22000003</v>
      </c>
      <c r="N22" s="189">
        <v>238907298.28</v>
      </c>
      <c r="O22" s="189">
        <v>139909192.87</v>
      </c>
      <c r="P22" s="189">
        <v>71621040.209999993</v>
      </c>
      <c r="Q22" s="189">
        <v>234044906.06</v>
      </c>
      <c r="R22" s="189">
        <v>141739820.02000001</v>
      </c>
      <c r="S22" s="189">
        <v>-6537008.5199999996</v>
      </c>
      <c r="T22" s="189">
        <v>-23349.18</v>
      </c>
      <c r="U22" s="189">
        <v>11075527.08</v>
      </c>
      <c r="V22" s="189">
        <v>11508949.470000001</v>
      </c>
      <c r="W22" s="189">
        <v>11703317.119999999</v>
      </c>
      <c r="X22" s="189">
        <v>-21592.48</v>
      </c>
      <c r="Y22" s="189">
        <v>22372027.75</v>
      </c>
      <c r="Z22" s="189">
        <v>18492503.760000002</v>
      </c>
      <c r="AA22" s="189">
        <v>14390610.59</v>
      </c>
      <c r="AB22" s="189">
        <v>2821755.38</v>
      </c>
      <c r="AC22" s="189">
        <v>30839425.940000001</v>
      </c>
      <c r="AD22" s="189">
        <v>16092798.039999999</v>
      </c>
      <c r="AE22" s="189">
        <v>8994970.0600000005</v>
      </c>
      <c r="AF22" s="189">
        <v>2463653.34</v>
      </c>
      <c r="AG22" s="189">
        <v>13597742.91</v>
      </c>
      <c r="AH22" s="189">
        <v>10705495.93</v>
      </c>
      <c r="AI22" s="189">
        <v>4134199.36</v>
      </c>
      <c r="AJ22" s="189">
        <v>-2888212.74</v>
      </c>
      <c r="AK22" s="189">
        <v>29789402.100000001</v>
      </c>
      <c r="AL22" s="189">
        <v>15710321.640000001</v>
      </c>
      <c r="AM22" s="189">
        <v>8489806</v>
      </c>
      <c r="AN22" s="189">
        <v>3358308.12</v>
      </c>
      <c r="AO22" s="189">
        <v>32754311.77</v>
      </c>
      <c r="AP22" s="189">
        <v>28500980.800000001</v>
      </c>
      <c r="AQ22" s="189">
        <v>26468454.059999999</v>
      </c>
      <c r="AR22" s="189">
        <v>0</v>
      </c>
    </row>
    <row r="23" spans="1:44" x14ac:dyDescent="0.25">
      <c r="A23" s="189" t="s">
        <v>210</v>
      </c>
      <c r="B23" s="189">
        <v>251323223.65000001</v>
      </c>
      <c r="C23" s="189">
        <v>208524523.24000001</v>
      </c>
      <c r="D23" s="189">
        <v>177864916.69999999</v>
      </c>
      <c r="E23" s="189">
        <v>1019676231.1900001</v>
      </c>
      <c r="F23" s="189">
        <v>750400822.89999998</v>
      </c>
      <c r="G23" s="189">
        <v>505201115.06999999</v>
      </c>
      <c r="H23" s="189">
        <v>236019489.96000001</v>
      </c>
      <c r="I23" s="189">
        <v>546734115.52999997</v>
      </c>
      <c r="J23" s="189">
        <v>338542006.05000001</v>
      </c>
      <c r="K23" s="189">
        <v>201969375.44999999</v>
      </c>
      <c r="L23" s="189">
        <v>108205148.59</v>
      </c>
      <c r="M23" s="189">
        <v>362103070.95999998</v>
      </c>
      <c r="N23" s="189">
        <v>242815995.31999999</v>
      </c>
      <c r="O23" s="189">
        <v>142730381.38</v>
      </c>
      <c r="P23" s="189">
        <v>73391878.989999995</v>
      </c>
      <c r="Q23" s="189">
        <v>231742460.63</v>
      </c>
      <c r="R23" s="189">
        <v>141271996.34999999</v>
      </c>
      <c r="S23" s="189">
        <v>-6537008.5199999996</v>
      </c>
      <c r="T23" s="189">
        <v>-23349.18</v>
      </c>
      <c r="U23" s="189">
        <v>11075527.08</v>
      </c>
      <c r="V23" s="189">
        <v>11508949.470000001</v>
      </c>
      <c r="W23" s="189">
        <v>11703317.119999999</v>
      </c>
      <c r="X23" s="189">
        <v>-21592.48</v>
      </c>
      <c r="Y23" s="189">
        <v>21455102.149999999</v>
      </c>
      <c r="Z23" s="189">
        <v>17031561.18</v>
      </c>
      <c r="AA23" s="189">
        <v>12841598.060000001</v>
      </c>
      <c r="AB23" s="189">
        <v>2297863.88</v>
      </c>
      <c r="AC23" s="189">
        <v>26505308.399999999</v>
      </c>
      <c r="AD23" s="189">
        <v>13684792.67</v>
      </c>
      <c r="AE23" s="189">
        <v>8021870.0800000001</v>
      </c>
      <c r="AF23" s="189">
        <v>2324389.9900000002</v>
      </c>
      <c r="AG23" s="189">
        <v>11384215.52</v>
      </c>
      <c r="AH23" s="189">
        <v>9191396.1899999995</v>
      </c>
      <c r="AI23" s="189">
        <v>3307834.17</v>
      </c>
      <c r="AJ23" s="189">
        <v>-3257216.48</v>
      </c>
      <c r="AK23" s="189">
        <v>27165006.460000001</v>
      </c>
      <c r="AL23" s="189">
        <v>14567251.5</v>
      </c>
      <c r="AM23" s="189">
        <v>7830903.21</v>
      </c>
      <c r="AN23" s="189">
        <v>3112043.73</v>
      </c>
      <c r="AO23" s="189">
        <v>31527121.550000001</v>
      </c>
      <c r="AP23" s="189">
        <v>28690189.539999999</v>
      </c>
      <c r="AQ23" s="189">
        <v>26468454.059999999</v>
      </c>
      <c r="AR23" s="189">
        <v>0</v>
      </c>
    </row>
    <row r="24" spans="1:44" x14ac:dyDescent="0.25">
      <c r="A24" s="189" t="s">
        <v>211</v>
      </c>
      <c r="B24" s="189">
        <v>157914822.94</v>
      </c>
      <c r="C24" s="189">
        <v>96952232.280000001</v>
      </c>
      <c r="D24" s="189">
        <v>70531049.349999994</v>
      </c>
      <c r="E24" s="189">
        <v>220646784.46000001</v>
      </c>
      <c r="F24" s="189">
        <v>141324741.00999999</v>
      </c>
      <c r="G24" s="189">
        <v>107219734.45</v>
      </c>
      <c r="H24" s="189">
        <v>33320442.829999998</v>
      </c>
      <c r="I24" s="189">
        <v>-1156051.3899999999</v>
      </c>
      <c r="J24" s="189">
        <v>-1357146.59</v>
      </c>
      <c r="K24" s="189">
        <v>-1301451.4099999999</v>
      </c>
      <c r="L24" s="189">
        <v>-1077394.6599999999</v>
      </c>
      <c r="M24" s="189">
        <v>-5680090.7400000002</v>
      </c>
      <c r="N24" s="189">
        <v>-3908697.04</v>
      </c>
      <c r="O24" s="189">
        <v>-2821188.51</v>
      </c>
      <c r="P24" s="189">
        <v>-1770838.78</v>
      </c>
      <c r="Q24" s="189">
        <v>2302445.4300000002</v>
      </c>
      <c r="R24" s="189">
        <v>467823.67</v>
      </c>
      <c r="S24" s="189">
        <v>0</v>
      </c>
      <c r="T24" s="189">
        <v>0</v>
      </c>
      <c r="U24" s="189">
        <v>0</v>
      </c>
      <c r="V24" s="189">
        <v>0</v>
      </c>
      <c r="W24" s="189">
        <v>0</v>
      </c>
      <c r="X24" s="189">
        <v>0</v>
      </c>
      <c r="Y24" s="189">
        <v>916925.6</v>
      </c>
      <c r="Z24" s="189">
        <v>1460942.58</v>
      </c>
      <c r="AA24" s="189">
        <v>1549012.53</v>
      </c>
      <c r="AB24" s="189">
        <v>523891.5</v>
      </c>
      <c r="AC24" s="189">
        <v>4334117.54</v>
      </c>
      <c r="AD24" s="189">
        <v>2408005.37</v>
      </c>
      <c r="AE24" s="189">
        <v>973099.98</v>
      </c>
      <c r="AF24" s="189">
        <v>139263.35</v>
      </c>
      <c r="AG24" s="189">
        <v>2213527.39</v>
      </c>
      <c r="AH24" s="189">
        <v>1514099.74</v>
      </c>
      <c r="AI24" s="189">
        <v>826365.19</v>
      </c>
      <c r="AJ24" s="189">
        <v>369003.74</v>
      </c>
      <c r="AK24" s="189">
        <v>2624395.64</v>
      </c>
      <c r="AL24" s="189">
        <v>1143070.1399999999</v>
      </c>
      <c r="AM24" s="189">
        <v>658902.79</v>
      </c>
      <c r="AN24" s="189">
        <v>246264.39</v>
      </c>
      <c r="AO24" s="189">
        <v>1227190.22</v>
      </c>
      <c r="AP24" s="189">
        <v>-189208.74</v>
      </c>
      <c r="AQ24" s="189">
        <v>0</v>
      </c>
      <c r="AR24" s="189">
        <v>0</v>
      </c>
    </row>
    <row r="25" spans="1:44" x14ac:dyDescent="0.25">
      <c r="A25" s="189" t="s">
        <v>212</v>
      </c>
    </row>
    <row r="26" spans="1:44" x14ac:dyDescent="0.25">
      <c r="A26" s="189" t="s">
        <v>213</v>
      </c>
      <c r="B26" s="189">
        <v>0.26829999999999998</v>
      </c>
      <c r="C26" s="189">
        <v>0.22259999999999999</v>
      </c>
      <c r="D26" s="189">
        <v>0.19</v>
      </c>
      <c r="E26" s="189">
        <v>1.1741999999999999</v>
      </c>
      <c r="F26" s="189">
        <v>0.85</v>
      </c>
      <c r="G26" s="189">
        <v>0.57999999999999996</v>
      </c>
      <c r="H26" s="189">
        <v>0.81</v>
      </c>
      <c r="I26" s="189">
        <v>1.87</v>
      </c>
      <c r="J26" s="189">
        <v>1.1599999999999999</v>
      </c>
      <c r="K26" s="189">
        <v>0.69</v>
      </c>
      <c r="L26" s="189">
        <v>0.37</v>
      </c>
      <c r="M26" s="189">
        <v>1.59</v>
      </c>
      <c r="N26" s="189">
        <v>1.07</v>
      </c>
      <c r="O26" s="189">
        <v>0.64</v>
      </c>
      <c r="P26" s="189">
        <v>0.33</v>
      </c>
      <c r="Q26" s="189">
        <v>1.52</v>
      </c>
      <c r="R26" s="189">
        <v>1.25</v>
      </c>
      <c r="S26" s="189">
        <v>-7.0000000000000007E-2</v>
      </c>
      <c r="T26" s="189">
        <v>0</v>
      </c>
      <c r="U26" s="189">
        <v>0.12</v>
      </c>
      <c r="V26" s="189">
        <v>0.12</v>
      </c>
      <c r="W26" s="189">
        <v>0.13</v>
      </c>
      <c r="X26" s="189">
        <v>0</v>
      </c>
      <c r="Y26" s="189">
        <v>0.23</v>
      </c>
      <c r="Z26" s="189">
        <v>0.18</v>
      </c>
      <c r="AA26" s="189">
        <v>0.14000000000000001</v>
      </c>
      <c r="AB26" s="189">
        <v>0.02</v>
      </c>
      <c r="AC26" s="189">
        <v>0.28000000000000003</v>
      </c>
      <c r="AD26" s="189">
        <v>0.15</v>
      </c>
      <c r="AE26" s="189">
        <v>0.09</v>
      </c>
      <c r="AF26" s="189">
        <v>0.02</v>
      </c>
      <c r="AG26" s="189">
        <v>0.13</v>
      </c>
      <c r="AH26" s="189">
        <v>0.1</v>
      </c>
      <c r="AI26" s="189">
        <v>0.04</v>
      </c>
      <c r="AJ26" s="189">
        <v>-0.04</v>
      </c>
      <c r="AK26" s="189">
        <v>0.39</v>
      </c>
      <c r="AL26" s="189">
        <v>0.21</v>
      </c>
      <c r="AM26" s="189">
        <v>0.11</v>
      </c>
      <c r="AN26" s="189">
        <v>0.04</v>
      </c>
      <c r="AO26" s="189">
        <v>0.45</v>
      </c>
      <c r="AP26" s="189">
        <v>0.41</v>
      </c>
      <c r="AQ26" s="189">
        <v>0.38</v>
      </c>
      <c r="AR26" s="189">
        <v>0</v>
      </c>
    </row>
    <row r="27" spans="1:44" x14ac:dyDescent="0.25">
      <c r="A27" s="189" t="s">
        <v>214</v>
      </c>
      <c r="B27" s="189">
        <v>0.26829999999999998</v>
      </c>
      <c r="C27" s="189">
        <v>0.22259999999999999</v>
      </c>
      <c r="D27" s="189">
        <v>0.19</v>
      </c>
      <c r="E27" s="189">
        <v>1.1741999999999999</v>
      </c>
      <c r="F27" s="189">
        <v>0.85</v>
      </c>
      <c r="G27" s="189">
        <v>0.57999999999999996</v>
      </c>
      <c r="H27" s="189">
        <v>0.81</v>
      </c>
      <c r="I27" s="189">
        <v>1.87</v>
      </c>
      <c r="J27" s="189">
        <v>1.1599999999999999</v>
      </c>
      <c r="K27" s="189">
        <v>0.69</v>
      </c>
      <c r="L27" s="189">
        <v>0.37</v>
      </c>
      <c r="M27" s="189">
        <v>1.59</v>
      </c>
      <c r="N27" s="189">
        <v>1.07</v>
      </c>
      <c r="O27" s="189">
        <v>0.64</v>
      </c>
      <c r="P27" s="189">
        <v>0.33</v>
      </c>
      <c r="Q27" s="189">
        <v>1.52</v>
      </c>
      <c r="R27" s="189">
        <v>1.25</v>
      </c>
      <c r="S27" s="189">
        <v>-7.0000000000000007E-2</v>
      </c>
      <c r="T27" s="189">
        <v>0</v>
      </c>
      <c r="U27" s="189">
        <v>0.12</v>
      </c>
      <c r="V27" s="189">
        <v>0.12</v>
      </c>
      <c r="W27" s="189">
        <v>0.13</v>
      </c>
      <c r="X27" s="189">
        <v>0</v>
      </c>
      <c r="Y27" s="189">
        <v>0.23</v>
      </c>
      <c r="Z27" s="189">
        <v>0.18</v>
      </c>
      <c r="AA27" s="189">
        <v>0.14000000000000001</v>
      </c>
      <c r="AB27" s="189">
        <v>0.02</v>
      </c>
      <c r="AC27" s="189">
        <v>0.28000000000000003</v>
      </c>
      <c r="AD27" s="189">
        <v>0.15</v>
      </c>
      <c r="AE27" s="189">
        <v>0.09</v>
      </c>
      <c r="AF27" s="189">
        <v>0.02</v>
      </c>
      <c r="AG27" s="189">
        <v>0.13</v>
      </c>
      <c r="AH27" s="189">
        <v>0.1</v>
      </c>
      <c r="AI27" s="189">
        <v>0.04</v>
      </c>
      <c r="AJ27" s="189">
        <v>-0.04</v>
      </c>
      <c r="AK27" s="189">
        <v>0.39</v>
      </c>
      <c r="AL27" s="189">
        <v>0.21</v>
      </c>
      <c r="AM27" s="189">
        <v>0.11</v>
      </c>
      <c r="AN27" s="189">
        <v>0.04</v>
      </c>
      <c r="AO27" s="189">
        <v>0.45</v>
      </c>
      <c r="AP27" s="189">
        <v>0.41</v>
      </c>
      <c r="AQ27" s="189">
        <v>0.38</v>
      </c>
      <c r="AR27" s="189">
        <v>0</v>
      </c>
    </row>
    <row r="28" spans="1:44" x14ac:dyDescent="0.25">
      <c r="A28" s="189" t="s">
        <v>215</v>
      </c>
      <c r="B28" s="189">
        <v>-263510.40000000002</v>
      </c>
      <c r="C28" s="189">
        <v>-17676574.379999999</v>
      </c>
      <c r="D28" s="189">
        <v>-33808958.520000003</v>
      </c>
      <c r="E28" s="189">
        <v>-507199836.61000001</v>
      </c>
      <c r="F28" s="189">
        <v>-277220099.63999999</v>
      </c>
      <c r="G28" s="189">
        <v>-187150745.53999999</v>
      </c>
      <c r="H28" s="189">
        <v>-190932400.28</v>
      </c>
      <c r="I28" s="189">
        <v>223198826.15000001</v>
      </c>
      <c r="J28" s="189">
        <v>-115809968.03</v>
      </c>
      <c r="K28" s="189">
        <v>-239453026.75999999</v>
      </c>
      <c r="L28" s="189">
        <v>-144172199.27000001</v>
      </c>
      <c r="M28" s="189">
        <v>326092355</v>
      </c>
      <c r="N28" s="189">
        <v>-612661.18999999994</v>
      </c>
      <c r="O28" s="189">
        <v>-811231.66</v>
      </c>
      <c r="P28" s="189">
        <v>29860.15</v>
      </c>
      <c r="Q28" s="189">
        <v>157726104.97999999</v>
      </c>
      <c r="R28" s="189">
        <v>146059182.03</v>
      </c>
      <c r="S28" s="189">
        <v>0</v>
      </c>
      <c r="T28" s="189">
        <v>0</v>
      </c>
      <c r="U28" s="189">
        <v>-790.37</v>
      </c>
      <c r="V28" s="189">
        <v>0</v>
      </c>
      <c r="W28" s="189">
        <v>0</v>
      </c>
      <c r="X28" s="189">
        <v>0</v>
      </c>
      <c r="Y28" s="189">
        <v>-386.52</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row>
    <row r="29" spans="1:44" x14ac:dyDescent="0.25">
      <c r="A29" s="189" t="s">
        <v>216</v>
      </c>
      <c r="B29" s="189">
        <v>408974536.19</v>
      </c>
      <c r="C29" s="189">
        <v>287800181.13999999</v>
      </c>
      <c r="D29" s="189">
        <v>214587007.53</v>
      </c>
      <c r="E29" s="189">
        <v>733123179.03999996</v>
      </c>
      <c r="F29" s="189">
        <v>614505464.26999998</v>
      </c>
      <c r="G29" s="189">
        <v>425270103.98000002</v>
      </c>
      <c r="H29" s="189">
        <v>78407532.510000005</v>
      </c>
      <c r="I29" s="189">
        <v>768776890.28999996</v>
      </c>
      <c r="J29" s="189">
        <v>221374891.43000001</v>
      </c>
      <c r="K29" s="189">
        <v>-38785102.719999999</v>
      </c>
      <c r="L29" s="189">
        <v>-37044445.340000004</v>
      </c>
      <c r="M29" s="189">
        <v>682515335.22000003</v>
      </c>
      <c r="N29" s="189">
        <v>238294637.09</v>
      </c>
      <c r="O29" s="189">
        <v>139097961.21000001</v>
      </c>
      <c r="P29" s="189">
        <v>71650900.359999999</v>
      </c>
      <c r="Q29" s="189">
        <v>391771011.04000002</v>
      </c>
      <c r="R29" s="189">
        <v>287799002.05000001</v>
      </c>
      <c r="S29" s="189">
        <v>-6537008.5199999996</v>
      </c>
      <c r="T29" s="189">
        <v>-23349.18</v>
      </c>
      <c r="U29" s="189">
        <v>11074736.710000001</v>
      </c>
      <c r="V29" s="189">
        <v>11508949.470000001</v>
      </c>
      <c r="W29" s="189">
        <v>11703317.119999999</v>
      </c>
      <c r="X29" s="189">
        <v>-21592.48</v>
      </c>
      <c r="Y29" s="189">
        <v>22371641.23</v>
      </c>
      <c r="Z29" s="189">
        <v>18492503.760000002</v>
      </c>
      <c r="AA29" s="189">
        <v>14390610.59</v>
      </c>
      <c r="AB29" s="189">
        <v>2821755.38</v>
      </c>
      <c r="AC29" s="189">
        <v>30839425.940000001</v>
      </c>
      <c r="AD29" s="189">
        <v>16092798.039999999</v>
      </c>
      <c r="AE29" s="189">
        <v>8994970.0600000005</v>
      </c>
      <c r="AF29" s="189">
        <v>2463653.34</v>
      </c>
      <c r="AG29" s="189">
        <v>13597742.91</v>
      </c>
      <c r="AH29" s="189">
        <v>10705495.93</v>
      </c>
      <c r="AI29" s="189">
        <v>4134199.36</v>
      </c>
      <c r="AJ29" s="189">
        <v>-2888212.74</v>
      </c>
      <c r="AK29" s="189">
        <v>29789402.100000001</v>
      </c>
      <c r="AL29" s="189">
        <v>15710321.640000001</v>
      </c>
      <c r="AM29" s="189">
        <v>8489806</v>
      </c>
      <c r="AN29" s="189">
        <v>3358308.12</v>
      </c>
      <c r="AO29" s="189">
        <v>32754311.77</v>
      </c>
      <c r="AP29" s="189">
        <v>28500980.800000001</v>
      </c>
      <c r="AQ29" s="189">
        <v>26468454.059999999</v>
      </c>
      <c r="AR29" s="189">
        <v>0</v>
      </c>
    </row>
    <row r="30" spans="1:44" x14ac:dyDescent="0.25">
      <c r="A30" s="189" t="s">
        <v>217</v>
      </c>
      <c r="B30" s="189">
        <v>249024863.06999999</v>
      </c>
      <c r="C30" s="189">
        <v>190056575.84999999</v>
      </c>
      <c r="D30" s="189">
        <v>145852535.24000001</v>
      </c>
      <c r="E30" s="189">
        <v>514316915.67000002</v>
      </c>
      <c r="F30" s="189">
        <v>474295421.62</v>
      </c>
      <c r="G30" s="189">
        <v>318543774.83999997</v>
      </c>
      <c r="H30" s="189">
        <v>45076892.43</v>
      </c>
      <c r="I30" s="189">
        <v>769932941.67999995</v>
      </c>
      <c r="J30" s="189">
        <v>222732038.02000001</v>
      </c>
      <c r="K30" s="189">
        <v>-37483651.310000002</v>
      </c>
      <c r="L30" s="189">
        <v>-35967050.68</v>
      </c>
      <c r="M30" s="189">
        <v>688195425.96000004</v>
      </c>
      <c r="N30" s="189">
        <v>242203334.13</v>
      </c>
      <c r="O30" s="189">
        <v>141919149.72</v>
      </c>
      <c r="P30" s="189">
        <v>73421739.140000001</v>
      </c>
      <c r="Q30" s="189">
        <v>389468565.61000001</v>
      </c>
      <c r="R30" s="189">
        <v>287331178.38</v>
      </c>
      <c r="S30" s="189">
        <v>-6537008.5199999996</v>
      </c>
      <c r="T30" s="189">
        <v>-23349.18</v>
      </c>
      <c r="U30" s="189">
        <v>11074736.710000001</v>
      </c>
      <c r="V30" s="189">
        <v>11508949.470000001</v>
      </c>
      <c r="W30" s="189">
        <v>11703317.119999999</v>
      </c>
      <c r="X30" s="189">
        <v>-21592.48</v>
      </c>
      <c r="Y30" s="189">
        <v>21454715.629999999</v>
      </c>
      <c r="Z30" s="189">
        <v>17031561.18</v>
      </c>
      <c r="AA30" s="189">
        <v>12841598.060000001</v>
      </c>
      <c r="AB30" s="189">
        <v>2297863.88</v>
      </c>
      <c r="AC30" s="189">
        <v>26505308.399999999</v>
      </c>
      <c r="AD30" s="189">
        <v>13684792.67</v>
      </c>
      <c r="AE30" s="189">
        <v>8021870.0800000001</v>
      </c>
      <c r="AF30" s="189">
        <v>2324389.9900000002</v>
      </c>
      <c r="AG30" s="189">
        <v>11384215.52</v>
      </c>
      <c r="AH30" s="189">
        <v>9191396.1899999995</v>
      </c>
      <c r="AI30" s="189">
        <v>3307834.17</v>
      </c>
      <c r="AJ30" s="189">
        <v>-3257216.48</v>
      </c>
      <c r="AK30" s="189">
        <v>27165006.460000001</v>
      </c>
      <c r="AL30" s="189">
        <v>14567251.5</v>
      </c>
      <c r="AM30" s="189">
        <v>7830903.21</v>
      </c>
      <c r="AN30" s="189">
        <v>3112043.73</v>
      </c>
      <c r="AO30" s="189">
        <v>31527121.550000001</v>
      </c>
      <c r="AP30" s="189">
        <v>28690189.539999999</v>
      </c>
      <c r="AQ30" s="189">
        <v>26468454.059999999</v>
      </c>
      <c r="AR30" s="189">
        <v>0</v>
      </c>
    </row>
    <row r="31" spans="1:44" x14ac:dyDescent="0.25">
      <c r="A31" s="189" t="s">
        <v>218</v>
      </c>
      <c r="B31" s="189">
        <v>159949673.12</v>
      </c>
      <c r="C31" s="189">
        <v>97743605.290000007</v>
      </c>
      <c r="D31" s="189">
        <v>68734472.290000007</v>
      </c>
      <c r="E31" s="189">
        <v>218806263.37</v>
      </c>
      <c r="F31" s="189">
        <v>140210042.65000001</v>
      </c>
      <c r="G31" s="189">
        <v>106726329.14</v>
      </c>
      <c r="H31" s="189">
        <v>33330640.079999998</v>
      </c>
      <c r="I31" s="189">
        <v>-1156051.3899999999</v>
      </c>
      <c r="J31" s="189">
        <v>-1357146.59</v>
      </c>
      <c r="K31" s="189">
        <v>-1301451.4099999999</v>
      </c>
      <c r="L31" s="189">
        <v>-1077394.6599999999</v>
      </c>
      <c r="M31" s="189">
        <v>-5680090.7400000002</v>
      </c>
      <c r="N31" s="189">
        <v>-3908697.04</v>
      </c>
      <c r="O31" s="189">
        <v>-2821188.51</v>
      </c>
      <c r="P31" s="189">
        <v>-1770838.78</v>
      </c>
      <c r="Q31" s="189">
        <v>2302445.4300000002</v>
      </c>
      <c r="R31" s="189">
        <v>467823.67</v>
      </c>
      <c r="S31" s="189">
        <v>0</v>
      </c>
      <c r="T31" s="189">
        <v>0</v>
      </c>
      <c r="U31" s="189">
        <v>0</v>
      </c>
      <c r="V31" s="189">
        <v>0</v>
      </c>
      <c r="W31" s="189">
        <v>0</v>
      </c>
      <c r="X31" s="189">
        <v>0</v>
      </c>
      <c r="Y31" s="189">
        <v>916925.6</v>
      </c>
      <c r="Z31" s="189">
        <v>1460942.58</v>
      </c>
      <c r="AA31" s="189">
        <v>1549012.53</v>
      </c>
      <c r="AB31" s="189">
        <v>523891.5</v>
      </c>
      <c r="AC31" s="189">
        <v>4334117.54</v>
      </c>
      <c r="AD31" s="189">
        <v>2408005.37</v>
      </c>
      <c r="AE31" s="189">
        <v>973099.98</v>
      </c>
      <c r="AF31" s="189">
        <v>139263.35</v>
      </c>
      <c r="AG31" s="189">
        <v>2213527.39</v>
      </c>
      <c r="AH31" s="189">
        <v>1514099.74</v>
      </c>
      <c r="AI31" s="189">
        <v>826365.19</v>
      </c>
      <c r="AJ31" s="189">
        <v>369003.74</v>
      </c>
      <c r="AK31" s="189">
        <v>2624395.64</v>
      </c>
      <c r="AL31" s="189">
        <v>1143070.1399999999</v>
      </c>
      <c r="AM31" s="189">
        <v>658902.79</v>
      </c>
      <c r="AN31" s="189">
        <v>246264.39</v>
      </c>
      <c r="AO31" s="189">
        <v>1227190.22</v>
      </c>
      <c r="AP31" s="189">
        <v>-189208.74</v>
      </c>
      <c r="AQ31" s="189">
        <v>0</v>
      </c>
      <c r="AR31" s="189">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R77"/>
  <sheetViews>
    <sheetView workbookViewId="0">
      <selection activeCell="A31" sqref="A31"/>
    </sheetView>
  </sheetViews>
  <sheetFormatPr defaultRowHeight="14.4" x14ac:dyDescent="0.25"/>
  <cols>
    <col min="1" max="1" width="57.77734375" style="189" bestFit="1" customWidth="1"/>
    <col min="2" max="4" width="13.88671875" style="189" hidden="1" customWidth="1"/>
    <col min="5" max="5" width="13.88671875" style="189" bestFit="1" customWidth="1"/>
    <col min="6" max="6" width="12.77734375" style="189" hidden="1" customWidth="1"/>
    <col min="7" max="8" width="13.88671875" style="189" hidden="1" customWidth="1"/>
    <col min="9" max="9" width="13.88671875" style="189" bestFit="1" customWidth="1"/>
    <col min="10" max="12" width="13.88671875" style="189" hidden="1" customWidth="1"/>
    <col min="13" max="13" width="13.88671875" style="189" bestFit="1" customWidth="1"/>
    <col min="14" max="16" width="13.88671875" style="189" hidden="1" customWidth="1"/>
    <col min="17" max="17" width="13.88671875" style="189" bestFit="1" customWidth="1"/>
    <col min="18" max="20" width="13.88671875" style="189" hidden="1" customWidth="1"/>
    <col min="21" max="21" width="13.88671875" style="189" bestFit="1" customWidth="1"/>
    <col min="22" max="24" width="13.88671875" style="189" hidden="1" customWidth="1"/>
    <col min="25" max="25" width="13.88671875" style="189" bestFit="1" customWidth="1"/>
    <col min="26" max="28" width="13.88671875" style="189" hidden="1" customWidth="1"/>
    <col min="29" max="29" width="13.88671875" style="189" bestFit="1" customWidth="1"/>
    <col min="30" max="32" width="13.88671875" style="189" hidden="1" customWidth="1"/>
    <col min="33" max="33" width="13.88671875" style="189" bestFit="1" customWidth="1"/>
    <col min="34" max="36" width="13.88671875" style="189" hidden="1" customWidth="1"/>
    <col min="37" max="37" width="13.88671875" style="189" bestFit="1" customWidth="1"/>
    <col min="38" max="39" width="13.88671875" style="189" hidden="1" customWidth="1"/>
    <col min="40" max="40" width="12.77734375" style="189" hidden="1" customWidth="1"/>
    <col min="41" max="43" width="13.88671875" style="189" bestFit="1" customWidth="1"/>
    <col min="44" max="44" width="9.5546875" style="189" hidden="1" customWidth="1"/>
    <col min="45" max="16384" width="8.88671875" style="189"/>
  </cols>
  <sheetData>
    <row r="1" spans="1:44" x14ac:dyDescent="0.25">
      <c r="A1" s="189">
        <v>2354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20071231</v>
      </c>
      <c r="AQ1" s="189">
        <v>20061231</v>
      </c>
      <c r="AR1" s="189">
        <v>19700101</v>
      </c>
    </row>
    <row r="2" spans="1:44"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row>
    <row r="3" spans="1:44" x14ac:dyDescent="0.25">
      <c r="A3" s="189" t="s">
        <v>219</v>
      </c>
    </row>
    <row r="4" spans="1:44" x14ac:dyDescent="0.25">
      <c r="A4" s="189" t="s">
        <v>220</v>
      </c>
      <c r="B4" s="189">
        <v>1842229376.8699999</v>
      </c>
      <c r="C4" s="189">
        <v>1177992071.5</v>
      </c>
      <c r="D4" s="189">
        <v>517679642.47000003</v>
      </c>
      <c r="E4" s="189">
        <v>2925880010.8200002</v>
      </c>
      <c r="F4" s="189">
        <v>2124934951.99</v>
      </c>
      <c r="G4" s="189">
        <v>1478927826.2</v>
      </c>
      <c r="H4" s="189">
        <v>695390755.95000005</v>
      </c>
      <c r="I4" s="189">
        <v>1778396181.8599999</v>
      </c>
      <c r="J4" s="189">
        <v>1350237351.3599999</v>
      </c>
      <c r="K4" s="189">
        <v>933011636.15999997</v>
      </c>
      <c r="L4" s="189">
        <v>444248506.51999998</v>
      </c>
      <c r="M4" s="189">
        <v>928813891.91999996</v>
      </c>
      <c r="N4" s="189">
        <v>578521287.22000003</v>
      </c>
      <c r="O4" s="189">
        <v>355408798.24000001</v>
      </c>
      <c r="P4" s="189">
        <v>149327780.53</v>
      </c>
      <c r="Q4" s="189">
        <v>477669007.31999999</v>
      </c>
      <c r="R4" s="189">
        <v>316821215.14999998</v>
      </c>
      <c r="S4" s="189">
        <v>240496050.12</v>
      </c>
      <c r="T4" s="189">
        <v>117216900.39</v>
      </c>
      <c r="U4" s="189">
        <v>416073602.55000001</v>
      </c>
      <c r="V4" s="189">
        <v>300031262.20999998</v>
      </c>
      <c r="W4" s="189">
        <v>178196234.09</v>
      </c>
      <c r="X4" s="189">
        <v>61711367.289999999</v>
      </c>
      <c r="Y4" s="189">
        <v>456168750.51999998</v>
      </c>
      <c r="Z4" s="189">
        <v>283475920.38999999</v>
      </c>
      <c r="AA4" s="189">
        <v>193116670.78</v>
      </c>
      <c r="AB4" s="189">
        <v>76767230.799999997</v>
      </c>
      <c r="AC4" s="189">
        <v>385130690.13</v>
      </c>
      <c r="AD4" s="189">
        <v>385130690.13</v>
      </c>
      <c r="AE4" s="189">
        <v>151453172.05000001</v>
      </c>
      <c r="AF4" s="189">
        <v>86893882.209999993</v>
      </c>
      <c r="AG4" s="189">
        <v>299891537.72000003</v>
      </c>
      <c r="AH4" s="189">
        <v>226374290.97</v>
      </c>
      <c r="AI4" s="189">
        <v>132322518.39</v>
      </c>
      <c r="AJ4" s="189">
        <v>54756266.200000003</v>
      </c>
      <c r="AK4" s="189">
        <v>245000502.56</v>
      </c>
      <c r="AL4" s="189">
        <v>163688507.21000001</v>
      </c>
      <c r="AM4" s="189">
        <v>104214938.02</v>
      </c>
      <c r="AN4" s="189">
        <v>47212731.299999997</v>
      </c>
      <c r="AO4" s="189">
        <v>273501041.04000002</v>
      </c>
      <c r="AP4" s="189">
        <v>258824362.58000001</v>
      </c>
      <c r="AQ4" s="189">
        <v>224104606.81</v>
      </c>
      <c r="AR4" s="189">
        <v>0</v>
      </c>
    </row>
    <row r="5" spans="1:44" x14ac:dyDescent="0.25">
      <c r="A5" s="189" t="s">
        <v>221</v>
      </c>
      <c r="B5" s="189">
        <v>462480.21</v>
      </c>
      <c r="C5" s="189">
        <v>68492.25</v>
      </c>
      <c r="D5" s="189">
        <v>228957.87</v>
      </c>
      <c r="E5" s="189">
        <v>4525329.9800000004</v>
      </c>
      <c r="F5" s="189">
        <v>1772428.71</v>
      </c>
      <c r="G5" s="189">
        <v>1152411.27</v>
      </c>
      <c r="H5" s="189">
        <v>0</v>
      </c>
      <c r="I5" s="189">
        <v>4785607.1500000004</v>
      </c>
      <c r="J5" s="189">
        <v>628098.93000000005</v>
      </c>
      <c r="K5" s="189">
        <v>218616</v>
      </c>
      <c r="L5" s="189">
        <v>0</v>
      </c>
      <c r="M5" s="189">
        <v>68490</v>
      </c>
      <c r="N5" s="189">
        <v>0</v>
      </c>
      <c r="O5" s="189">
        <v>0</v>
      </c>
      <c r="P5" s="189">
        <v>0</v>
      </c>
      <c r="Q5" s="189">
        <v>0</v>
      </c>
      <c r="R5" s="189">
        <v>0</v>
      </c>
      <c r="S5" s="189">
        <v>6116678.4900000002</v>
      </c>
      <c r="T5" s="189">
        <v>3628362.9</v>
      </c>
      <c r="U5" s="189">
        <v>9652809.6500000004</v>
      </c>
      <c r="V5" s="189">
        <v>4577564.42</v>
      </c>
      <c r="W5" s="189">
        <v>1837971.28</v>
      </c>
      <c r="X5" s="189">
        <v>1743529.64</v>
      </c>
      <c r="Y5" s="189">
        <v>7627160.9100000001</v>
      </c>
      <c r="Z5" s="189">
        <v>7036855.4800000004</v>
      </c>
      <c r="AA5" s="189">
        <v>4242422.08</v>
      </c>
      <c r="AB5" s="189">
        <v>2154704.36</v>
      </c>
      <c r="AC5" s="189">
        <v>10313550.550000001</v>
      </c>
      <c r="AD5" s="189">
        <v>10313550.550000001</v>
      </c>
      <c r="AE5" s="189">
        <v>5291428.33</v>
      </c>
      <c r="AF5" s="189">
        <v>3427282.82</v>
      </c>
      <c r="AG5" s="189">
        <v>7501404.5499999998</v>
      </c>
      <c r="AH5" s="189">
        <v>6862912.9900000002</v>
      </c>
      <c r="AI5" s="189">
        <v>3609079.76</v>
      </c>
      <c r="AJ5" s="189">
        <v>943377.7</v>
      </c>
      <c r="AK5" s="189">
        <v>7275655.3399999999</v>
      </c>
      <c r="AL5" s="189">
        <v>6347563.3799999999</v>
      </c>
      <c r="AM5" s="189">
        <v>6347563.3799999999</v>
      </c>
      <c r="AN5" s="189">
        <v>6191949.6699999999</v>
      </c>
      <c r="AO5" s="189">
        <v>3196678.75</v>
      </c>
      <c r="AP5" s="189">
        <v>13656852.310000001</v>
      </c>
      <c r="AQ5" s="189">
        <v>12060122.1</v>
      </c>
      <c r="AR5" s="189">
        <v>0</v>
      </c>
    </row>
    <row r="6" spans="1:44" x14ac:dyDescent="0.25">
      <c r="A6" s="189" t="s">
        <v>222</v>
      </c>
      <c r="B6" s="189">
        <v>40321483.950000003</v>
      </c>
      <c r="C6" s="189">
        <v>24455888.16</v>
      </c>
      <c r="D6" s="189">
        <v>82758919.650000006</v>
      </c>
      <c r="E6" s="189">
        <v>325626016.60000002</v>
      </c>
      <c r="F6" s="189">
        <v>339072232.99000001</v>
      </c>
      <c r="G6" s="189">
        <v>42567626.140000001</v>
      </c>
      <c r="H6" s="189">
        <v>75857828.030000001</v>
      </c>
      <c r="I6" s="189">
        <v>49982887.960000001</v>
      </c>
      <c r="J6" s="189">
        <v>158970921.31</v>
      </c>
      <c r="K6" s="189">
        <v>101222192.98</v>
      </c>
      <c r="L6" s="189">
        <v>21157018.239999998</v>
      </c>
      <c r="M6" s="189">
        <v>10389207.84</v>
      </c>
      <c r="N6" s="189">
        <v>288581685.81999999</v>
      </c>
      <c r="O6" s="189">
        <v>88253263.359999999</v>
      </c>
      <c r="P6" s="189">
        <v>7823732.4100000001</v>
      </c>
      <c r="Q6" s="189">
        <v>1766249.93</v>
      </c>
      <c r="R6" s="189">
        <v>74325511.560000002</v>
      </c>
      <c r="S6" s="189">
        <v>151533.13</v>
      </c>
      <c r="T6" s="189">
        <v>141785.34</v>
      </c>
      <c r="U6" s="189">
        <v>17551873.760000002</v>
      </c>
      <c r="V6" s="189">
        <v>16470156.68</v>
      </c>
      <c r="W6" s="189">
        <v>14104140.93</v>
      </c>
      <c r="X6" s="189">
        <v>83267.929999999993</v>
      </c>
      <c r="Y6" s="189">
        <v>24540118.370000001</v>
      </c>
      <c r="Z6" s="189">
        <v>25622866.190000001</v>
      </c>
      <c r="AA6" s="189">
        <v>31050872.25</v>
      </c>
      <c r="AB6" s="189">
        <v>2089074.84</v>
      </c>
      <c r="AC6" s="189">
        <v>5507769.4400000004</v>
      </c>
      <c r="AD6" s="189">
        <v>5507769.4400000004</v>
      </c>
      <c r="AE6" s="189">
        <v>12529832.710000001</v>
      </c>
      <c r="AF6" s="189">
        <v>1970031.75</v>
      </c>
      <c r="AG6" s="189">
        <v>6378355.0099999998</v>
      </c>
      <c r="AH6" s="189">
        <v>3126686.61</v>
      </c>
      <c r="AI6" s="189">
        <v>2559544.61</v>
      </c>
      <c r="AJ6" s="189">
        <v>3563741.95</v>
      </c>
      <c r="AK6" s="189">
        <v>5700658.6299999999</v>
      </c>
      <c r="AL6" s="189">
        <v>3534956.73</v>
      </c>
      <c r="AM6" s="189">
        <v>658890.13</v>
      </c>
      <c r="AN6" s="189">
        <v>1449063.56</v>
      </c>
      <c r="AO6" s="189">
        <v>6460292.5099999998</v>
      </c>
      <c r="AP6" s="189">
        <v>3543461.41</v>
      </c>
      <c r="AQ6" s="189">
        <v>1678066.62</v>
      </c>
      <c r="AR6" s="189">
        <v>0</v>
      </c>
    </row>
    <row r="7" spans="1:44" x14ac:dyDescent="0.25">
      <c r="A7" s="189" t="s">
        <v>223</v>
      </c>
      <c r="B7" s="189">
        <v>1883013341.03</v>
      </c>
      <c r="C7" s="189">
        <v>1202516451.9100001</v>
      </c>
      <c r="D7" s="189">
        <v>600667519.99000001</v>
      </c>
      <c r="E7" s="189">
        <v>3256031357.4000001</v>
      </c>
      <c r="F7" s="189">
        <v>2465779613.6900001</v>
      </c>
      <c r="G7" s="189">
        <v>1522647863.6099999</v>
      </c>
      <c r="H7" s="189">
        <v>771248583.98000002</v>
      </c>
      <c r="I7" s="189">
        <v>1833164676.97</v>
      </c>
      <c r="J7" s="189">
        <v>1509836371.5999999</v>
      </c>
      <c r="K7" s="189">
        <v>1034452445.14</v>
      </c>
      <c r="L7" s="189">
        <v>465405524.75999999</v>
      </c>
      <c r="M7" s="189">
        <v>939271589.75999999</v>
      </c>
      <c r="N7" s="189">
        <v>867102973.03999996</v>
      </c>
      <c r="O7" s="189">
        <v>443662061.60000002</v>
      </c>
      <c r="P7" s="189">
        <v>157151512.94</v>
      </c>
      <c r="Q7" s="189">
        <v>479435257.25</v>
      </c>
      <c r="R7" s="189">
        <v>391146726.70999998</v>
      </c>
      <c r="S7" s="189">
        <v>246764261.74000001</v>
      </c>
      <c r="T7" s="189">
        <v>120987048.63</v>
      </c>
      <c r="U7" s="189">
        <v>443278285.95999998</v>
      </c>
      <c r="V7" s="189">
        <v>321078983.31</v>
      </c>
      <c r="W7" s="189">
        <v>194138346.30000001</v>
      </c>
      <c r="X7" s="189">
        <v>63538164.859999999</v>
      </c>
      <c r="Y7" s="189">
        <v>488336029.80000001</v>
      </c>
      <c r="Z7" s="189">
        <v>316135642.06</v>
      </c>
      <c r="AA7" s="189">
        <v>228409965.11000001</v>
      </c>
      <c r="AB7" s="189">
        <v>81011010</v>
      </c>
      <c r="AC7" s="189">
        <v>400952010.12</v>
      </c>
      <c r="AD7" s="189">
        <v>400952010.12</v>
      </c>
      <c r="AE7" s="189">
        <v>169274433.09</v>
      </c>
      <c r="AF7" s="189">
        <v>92291196.780000001</v>
      </c>
      <c r="AG7" s="189">
        <v>313771297.27999997</v>
      </c>
      <c r="AH7" s="189">
        <v>236363890.56999999</v>
      </c>
      <c r="AI7" s="189">
        <v>138491142.75999999</v>
      </c>
      <c r="AJ7" s="189">
        <v>59263385.850000001</v>
      </c>
      <c r="AK7" s="189">
        <v>257976816.53</v>
      </c>
      <c r="AL7" s="189">
        <v>173571027.31999999</v>
      </c>
      <c r="AM7" s="189">
        <v>111221391.53</v>
      </c>
      <c r="AN7" s="189">
        <v>54853744.530000001</v>
      </c>
      <c r="AO7" s="189">
        <v>283158012.30000001</v>
      </c>
      <c r="AP7" s="189">
        <v>276024676.30000001</v>
      </c>
      <c r="AQ7" s="189">
        <v>237842795.53</v>
      </c>
      <c r="AR7" s="189">
        <v>0</v>
      </c>
    </row>
    <row r="8" spans="1:44" x14ac:dyDescent="0.25">
      <c r="A8" s="189" t="s">
        <v>224</v>
      </c>
      <c r="B8" s="189">
        <v>939523447.14999998</v>
      </c>
      <c r="C8" s="189">
        <v>523226698.30000001</v>
      </c>
      <c r="D8" s="189">
        <v>128695904.18000001</v>
      </c>
      <c r="E8" s="189">
        <v>1007837054.6900001</v>
      </c>
      <c r="F8" s="189">
        <v>849041815.19000006</v>
      </c>
      <c r="G8" s="189">
        <v>602671254.92999995</v>
      </c>
      <c r="H8" s="189">
        <v>247219566.81</v>
      </c>
      <c r="I8" s="189">
        <v>731140163.59000003</v>
      </c>
      <c r="J8" s="189">
        <v>667329018.66999996</v>
      </c>
      <c r="K8" s="189">
        <v>404735762.77999997</v>
      </c>
      <c r="L8" s="189">
        <v>232065935.28999999</v>
      </c>
      <c r="M8" s="189">
        <v>285248018.56999999</v>
      </c>
      <c r="N8" s="189">
        <v>172938007.81</v>
      </c>
      <c r="O8" s="189">
        <v>95112143.530000001</v>
      </c>
      <c r="P8" s="189">
        <v>34927148.329999998</v>
      </c>
      <c r="Q8" s="189">
        <v>97329895.609999999</v>
      </c>
      <c r="R8" s="189">
        <v>92285719.310000002</v>
      </c>
      <c r="S8" s="189">
        <v>78478299.019999996</v>
      </c>
      <c r="T8" s="189">
        <v>50244745.439999998</v>
      </c>
      <c r="U8" s="189">
        <v>326253461.87</v>
      </c>
      <c r="V8" s="189">
        <v>273861130.42000002</v>
      </c>
      <c r="W8" s="189">
        <v>151742186.5</v>
      </c>
      <c r="X8" s="189">
        <v>54645504.789999999</v>
      </c>
      <c r="Y8" s="189">
        <v>336549161.55000001</v>
      </c>
      <c r="Z8" s="189">
        <v>214002417.33000001</v>
      </c>
      <c r="AA8" s="189">
        <v>167101972.63</v>
      </c>
      <c r="AB8" s="189">
        <v>92875334.200000003</v>
      </c>
      <c r="AC8" s="189">
        <v>305139069.27999997</v>
      </c>
      <c r="AD8" s="189">
        <v>305139069.27999997</v>
      </c>
      <c r="AE8" s="189">
        <v>109024990.06999999</v>
      </c>
      <c r="AF8" s="189">
        <v>81675579.469999999</v>
      </c>
      <c r="AG8" s="189">
        <v>355555330.18000001</v>
      </c>
      <c r="AH8" s="189">
        <v>276143783.63</v>
      </c>
      <c r="AI8" s="189">
        <v>174078465.86000001</v>
      </c>
      <c r="AJ8" s="189">
        <v>69686145.489999995</v>
      </c>
      <c r="AK8" s="189">
        <v>202446426.69</v>
      </c>
      <c r="AL8" s="189">
        <v>147130861.19</v>
      </c>
      <c r="AM8" s="189">
        <v>75428819.569999993</v>
      </c>
      <c r="AN8" s="189">
        <v>36137683.899999999</v>
      </c>
      <c r="AO8" s="189">
        <v>214660131.06</v>
      </c>
      <c r="AP8" s="189">
        <v>219146974.56</v>
      </c>
      <c r="AQ8" s="189">
        <v>195725138.28</v>
      </c>
      <c r="AR8" s="189">
        <v>0</v>
      </c>
    </row>
    <row r="9" spans="1:44" x14ac:dyDescent="0.25">
      <c r="A9" s="189" t="s">
        <v>225</v>
      </c>
      <c r="B9" s="189">
        <v>387087967.06999999</v>
      </c>
      <c r="C9" s="189">
        <v>277594366.38</v>
      </c>
      <c r="D9" s="189">
        <v>148769328.05000001</v>
      </c>
      <c r="E9" s="189">
        <v>397528732.79000002</v>
      </c>
      <c r="F9" s="189">
        <v>291827416.97000003</v>
      </c>
      <c r="G9" s="189">
        <v>191923739.69</v>
      </c>
      <c r="H9" s="189">
        <v>67005571.590000004</v>
      </c>
      <c r="I9" s="189">
        <v>189974839.69</v>
      </c>
      <c r="J9" s="189">
        <v>157077360.74000001</v>
      </c>
      <c r="K9" s="189">
        <v>108772662.13</v>
      </c>
      <c r="L9" s="189">
        <v>51402125.880000003</v>
      </c>
      <c r="M9" s="189">
        <v>134493853.13</v>
      </c>
      <c r="N9" s="189">
        <v>91215259.920000002</v>
      </c>
      <c r="O9" s="189">
        <v>55944833.560000002</v>
      </c>
      <c r="P9" s="189">
        <v>36509953.299999997</v>
      </c>
      <c r="Q9" s="189">
        <v>113135768.84999999</v>
      </c>
      <c r="R9" s="189">
        <v>78063007</v>
      </c>
      <c r="S9" s="189">
        <v>23808608.870000001</v>
      </c>
      <c r="T9" s="189">
        <v>11270120.5</v>
      </c>
      <c r="U9" s="189">
        <v>39780977.340000004</v>
      </c>
      <c r="V9" s="189">
        <v>26618499.34</v>
      </c>
      <c r="W9" s="189">
        <v>19366326.719999999</v>
      </c>
      <c r="X9" s="189">
        <v>9647837.9100000001</v>
      </c>
      <c r="Y9" s="189">
        <v>35096167.539999999</v>
      </c>
      <c r="Z9" s="189">
        <v>24910174.280000001</v>
      </c>
      <c r="AA9" s="189">
        <v>16593444.82</v>
      </c>
      <c r="AB9" s="189">
        <v>7813992.0899999999</v>
      </c>
      <c r="AC9" s="189">
        <v>37118193.289999999</v>
      </c>
      <c r="AD9" s="189">
        <v>37118193.289999999</v>
      </c>
      <c r="AE9" s="189">
        <v>17697568.390000001</v>
      </c>
      <c r="AF9" s="189">
        <v>8883851.9100000001</v>
      </c>
      <c r="AG9" s="189">
        <v>30364608.07</v>
      </c>
      <c r="AH9" s="189">
        <v>22078612.489999998</v>
      </c>
      <c r="AI9" s="189">
        <v>13984496.619999999</v>
      </c>
      <c r="AJ9" s="189">
        <v>6482824.0099999998</v>
      </c>
      <c r="AK9" s="189">
        <v>18495010.789999999</v>
      </c>
      <c r="AL9" s="189">
        <v>12034064</v>
      </c>
      <c r="AM9" s="189">
        <v>8498095.8900000006</v>
      </c>
      <c r="AN9" s="189">
        <v>5219329.18</v>
      </c>
      <c r="AO9" s="189">
        <v>20219658.66</v>
      </c>
      <c r="AP9" s="189">
        <v>17597975.18</v>
      </c>
      <c r="AQ9" s="189">
        <v>12990059.4</v>
      </c>
      <c r="AR9" s="189">
        <v>0</v>
      </c>
    </row>
    <row r="10" spans="1:44" x14ac:dyDescent="0.25">
      <c r="A10" s="189" t="s">
        <v>226</v>
      </c>
      <c r="B10" s="189">
        <v>107833689.12</v>
      </c>
      <c r="C10" s="189">
        <v>81676646.310000002</v>
      </c>
      <c r="D10" s="189">
        <v>38191019.490000002</v>
      </c>
      <c r="E10" s="189">
        <v>119370594.68000001</v>
      </c>
      <c r="F10" s="189">
        <v>82588822.989999995</v>
      </c>
      <c r="G10" s="189">
        <v>37449617.979999997</v>
      </c>
      <c r="H10" s="189">
        <v>28653384.960000001</v>
      </c>
      <c r="I10" s="189">
        <v>87345460.450000003</v>
      </c>
      <c r="J10" s="189">
        <v>60819044.920000002</v>
      </c>
      <c r="K10" s="189">
        <v>38829707.630000003</v>
      </c>
      <c r="L10" s="189">
        <v>19198535.809999999</v>
      </c>
      <c r="M10" s="189">
        <v>55394717.600000001</v>
      </c>
      <c r="N10" s="189">
        <v>44501872.530000001</v>
      </c>
      <c r="O10" s="189">
        <v>31841449.23</v>
      </c>
      <c r="P10" s="189">
        <v>13254285.810000001</v>
      </c>
      <c r="Q10" s="189">
        <v>55910164</v>
      </c>
      <c r="R10" s="189">
        <v>54807751.899999999</v>
      </c>
      <c r="S10" s="189">
        <v>4631038.4800000004</v>
      </c>
      <c r="T10" s="189">
        <v>2549581.2599999998</v>
      </c>
      <c r="U10" s="189">
        <v>18329784.010000002</v>
      </c>
      <c r="V10" s="189">
        <v>14740439.9</v>
      </c>
      <c r="W10" s="189">
        <v>10512535.630000001</v>
      </c>
      <c r="X10" s="189">
        <v>3730371.02</v>
      </c>
      <c r="Y10" s="189">
        <v>20611784.52</v>
      </c>
      <c r="Z10" s="189">
        <v>16389763.35</v>
      </c>
      <c r="AA10" s="189">
        <v>11650809.050000001</v>
      </c>
      <c r="AB10" s="189">
        <v>4872250</v>
      </c>
      <c r="AC10" s="189">
        <v>9834936.4399999995</v>
      </c>
      <c r="AD10" s="189">
        <v>9834936.4399999995</v>
      </c>
      <c r="AE10" s="189">
        <v>2751387.15</v>
      </c>
      <c r="AF10" s="189">
        <v>953727.98</v>
      </c>
      <c r="AG10" s="189">
        <v>9374802.5500000007</v>
      </c>
      <c r="AH10" s="189">
        <v>10561593.310000001</v>
      </c>
      <c r="AI10" s="189">
        <v>5225628.7699999996</v>
      </c>
      <c r="AJ10" s="189">
        <v>3728574.84</v>
      </c>
      <c r="AK10" s="189">
        <v>8425642.0999999996</v>
      </c>
      <c r="AL10" s="189">
        <v>14554897.6</v>
      </c>
      <c r="AM10" s="189">
        <v>3966615.52</v>
      </c>
      <c r="AN10" s="189">
        <v>8350360.7400000002</v>
      </c>
      <c r="AO10" s="189">
        <v>10913431.68</v>
      </c>
      <c r="AP10" s="189">
        <v>4228831.1900000004</v>
      </c>
      <c r="AQ10" s="189">
        <v>3355156.18</v>
      </c>
      <c r="AR10" s="189">
        <v>0</v>
      </c>
    </row>
    <row r="11" spans="1:44" x14ac:dyDescent="0.25">
      <c r="A11" s="189" t="s">
        <v>227</v>
      </c>
      <c r="B11" s="189">
        <v>556765458.91999996</v>
      </c>
      <c r="C11" s="189">
        <v>552813238.19000006</v>
      </c>
      <c r="D11" s="189">
        <v>378951102.69999999</v>
      </c>
      <c r="E11" s="189">
        <v>837035743.71000004</v>
      </c>
      <c r="F11" s="189">
        <v>634551825.27999997</v>
      </c>
      <c r="G11" s="189">
        <v>155386892.46000001</v>
      </c>
      <c r="H11" s="189">
        <v>309012354.77999997</v>
      </c>
      <c r="I11" s="189">
        <v>322542516.63</v>
      </c>
      <c r="J11" s="189">
        <v>351640476.87</v>
      </c>
      <c r="K11" s="189">
        <v>225754981.62</v>
      </c>
      <c r="L11" s="189">
        <v>102788566.95</v>
      </c>
      <c r="M11" s="189">
        <v>144319537.00999999</v>
      </c>
      <c r="N11" s="189">
        <v>346288996.87</v>
      </c>
      <c r="O11" s="189">
        <v>111206005.62</v>
      </c>
      <c r="P11" s="189">
        <v>18774281.59</v>
      </c>
      <c r="Q11" s="189">
        <v>82811875.430000007</v>
      </c>
      <c r="R11" s="189">
        <v>75105759.409999996</v>
      </c>
      <c r="S11" s="189">
        <v>16570007.699999999</v>
      </c>
      <c r="T11" s="189">
        <v>11818435.630000001</v>
      </c>
      <c r="U11" s="189">
        <v>25052932.18</v>
      </c>
      <c r="V11" s="189">
        <v>20194339.579999998</v>
      </c>
      <c r="W11" s="189">
        <v>14574672.310000001</v>
      </c>
      <c r="X11" s="189">
        <v>16863124.329999998</v>
      </c>
      <c r="Y11" s="189">
        <v>25604272.640000001</v>
      </c>
      <c r="Z11" s="189">
        <v>16237898.119999999</v>
      </c>
      <c r="AA11" s="189">
        <v>13433710.4</v>
      </c>
      <c r="AB11" s="189">
        <v>2949352.12</v>
      </c>
      <c r="AC11" s="189">
        <v>22644114.710000001</v>
      </c>
      <c r="AD11" s="189">
        <v>22644114.710000001</v>
      </c>
      <c r="AE11" s="189">
        <v>14437487.949999999</v>
      </c>
      <c r="AF11" s="189">
        <v>8119988</v>
      </c>
      <c r="AG11" s="189">
        <v>21612319.140000001</v>
      </c>
      <c r="AH11" s="189">
        <v>19709014.899999999</v>
      </c>
      <c r="AI11" s="189">
        <v>15118098.539999999</v>
      </c>
      <c r="AJ11" s="189">
        <v>11905044.82</v>
      </c>
      <c r="AK11" s="189">
        <v>12721246.970000001</v>
      </c>
      <c r="AL11" s="189">
        <v>8521773.6400000006</v>
      </c>
      <c r="AM11" s="189">
        <v>5719414.2400000002</v>
      </c>
      <c r="AN11" s="189">
        <v>4449403.8499999996</v>
      </c>
      <c r="AO11" s="189">
        <v>12845518.35</v>
      </c>
      <c r="AP11" s="189">
        <v>9890282.9700000007</v>
      </c>
      <c r="AQ11" s="189">
        <v>8950298.2899999991</v>
      </c>
      <c r="AR11" s="189">
        <v>0</v>
      </c>
    </row>
    <row r="12" spans="1:44" x14ac:dyDescent="0.25">
      <c r="A12" s="189" t="s">
        <v>228</v>
      </c>
      <c r="B12" s="189">
        <v>1991210562.26</v>
      </c>
      <c r="C12" s="189">
        <v>1435310949.1800001</v>
      </c>
      <c r="D12" s="189">
        <v>694607354.41999996</v>
      </c>
      <c r="E12" s="189">
        <v>2361772125.8699999</v>
      </c>
      <c r="F12" s="189">
        <v>1858009880.4300001</v>
      </c>
      <c r="G12" s="189">
        <v>987431505.05999994</v>
      </c>
      <c r="H12" s="189">
        <v>651890878.13999999</v>
      </c>
      <c r="I12" s="189">
        <v>1331002980.3599999</v>
      </c>
      <c r="J12" s="189">
        <v>1236865901.2</v>
      </c>
      <c r="K12" s="189">
        <v>778093114.15999997</v>
      </c>
      <c r="L12" s="189">
        <v>405455163.93000001</v>
      </c>
      <c r="M12" s="189">
        <v>619456126.30999994</v>
      </c>
      <c r="N12" s="189">
        <v>654944137.13</v>
      </c>
      <c r="O12" s="189">
        <v>294104431.94</v>
      </c>
      <c r="P12" s="189">
        <v>103465669.03</v>
      </c>
      <c r="Q12" s="189">
        <v>349187703.88999999</v>
      </c>
      <c r="R12" s="189">
        <v>300262237.62</v>
      </c>
      <c r="S12" s="189">
        <v>123487954.06999999</v>
      </c>
      <c r="T12" s="189">
        <v>75882882.829999998</v>
      </c>
      <c r="U12" s="189">
        <v>409417155.39999998</v>
      </c>
      <c r="V12" s="189">
        <v>335414409.24000001</v>
      </c>
      <c r="W12" s="189">
        <v>196195721.16</v>
      </c>
      <c r="X12" s="189">
        <v>84886838.049999997</v>
      </c>
      <c r="Y12" s="189">
        <v>417861386.25</v>
      </c>
      <c r="Z12" s="189">
        <v>271540253.07999998</v>
      </c>
      <c r="AA12" s="189">
        <v>208779936.90000001</v>
      </c>
      <c r="AB12" s="189">
        <v>108510928.41</v>
      </c>
      <c r="AC12" s="189">
        <v>374736313.72000003</v>
      </c>
      <c r="AD12" s="189">
        <v>374736313.72000003</v>
      </c>
      <c r="AE12" s="189">
        <v>143911433.56</v>
      </c>
      <c r="AF12" s="189">
        <v>99633147.359999999</v>
      </c>
      <c r="AG12" s="189">
        <v>416907059.94</v>
      </c>
      <c r="AH12" s="189">
        <v>328493004.32999998</v>
      </c>
      <c r="AI12" s="189">
        <v>208406689.78999999</v>
      </c>
      <c r="AJ12" s="189">
        <v>91802589.159999996</v>
      </c>
      <c r="AK12" s="189">
        <v>242088326.55000001</v>
      </c>
      <c r="AL12" s="189">
        <v>182241596.43000001</v>
      </c>
      <c r="AM12" s="189">
        <v>93612945.219999999</v>
      </c>
      <c r="AN12" s="189">
        <v>54156777.670000002</v>
      </c>
      <c r="AO12" s="189">
        <v>258638739.75</v>
      </c>
      <c r="AP12" s="189">
        <v>250864063.90000001</v>
      </c>
      <c r="AQ12" s="189">
        <v>221020652.15000001</v>
      </c>
      <c r="AR12" s="189">
        <v>0</v>
      </c>
    </row>
    <row r="13" spans="1:44" x14ac:dyDescent="0.25">
      <c r="A13" s="189" t="s">
        <v>229</v>
      </c>
      <c r="B13" s="189">
        <v>-108197221.23</v>
      </c>
      <c r="C13" s="189">
        <v>-232794497.27000001</v>
      </c>
      <c r="D13" s="189">
        <v>-93939834.430000007</v>
      </c>
      <c r="E13" s="189">
        <v>894259231.52999997</v>
      </c>
      <c r="F13" s="189">
        <v>607769733.25999999</v>
      </c>
      <c r="G13" s="189">
        <v>535216358.55000001</v>
      </c>
      <c r="H13" s="189">
        <v>119357705.84</v>
      </c>
      <c r="I13" s="189">
        <v>502161696.61000001</v>
      </c>
      <c r="J13" s="189">
        <v>272970470.39999998</v>
      </c>
      <c r="K13" s="189">
        <v>256359330.97999999</v>
      </c>
      <c r="L13" s="189">
        <v>59950360.829999998</v>
      </c>
      <c r="M13" s="189">
        <v>319815463.44999999</v>
      </c>
      <c r="N13" s="189">
        <v>212158835.91</v>
      </c>
      <c r="O13" s="189">
        <v>149557629.66</v>
      </c>
      <c r="P13" s="189">
        <v>53685843.909999996</v>
      </c>
      <c r="Q13" s="189">
        <v>130247553.36</v>
      </c>
      <c r="R13" s="189">
        <v>90884489.090000004</v>
      </c>
      <c r="S13" s="189">
        <v>123276307.67</v>
      </c>
      <c r="T13" s="189">
        <v>45104165.799999997</v>
      </c>
      <c r="U13" s="189">
        <v>33861130.560000002</v>
      </c>
      <c r="V13" s="189">
        <v>-14335425.93</v>
      </c>
      <c r="W13" s="189">
        <v>-2057374.86</v>
      </c>
      <c r="X13" s="189">
        <v>-21348673.190000001</v>
      </c>
      <c r="Y13" s="189">
        <v>70474643.549999997</v>
      </c>
      <c r="Z13" s="189">
        <v>44595388.979999997</v>
      </c>
      <c r="AA13" s="189">
        <v>19630028.210000001</v>
      </c>
      <c r="AB13" s="189">
        <v>-27499918.41</v>
      </c>
      <c r="AC13" s="189">
        <v>26215696.399999999</v>
      </c>
      <c r="AD13" s="189">
        <v>26215696.399999999</v>
      </c>
      <c r="AE13" s="189">
        <v>25362999.530000001</v>
      </c>
      <c r="AF13" s="189">
        <v>-7341950.5800000001</v>
      </c>
      <c r="AG13" s="189">
        <v>-103135762.66</v>
      </c>
      <c r="AH13" s="189">
        <v>-92129113.760000005</v>
      </c>
      <c r="AI13" s="189">
        <v>-69915547.030000001</v>
      </c>
      <c r="AJ13" s="189">
        <v>-32539203.309999999</v>
      </c>
      <c r="AK13" s="189">
        <v>15888489.98</v>
      </c>
      <c r="AL13" s="189">
        <v>-8670569.1099999994</v>
      </c>
      <c r="AM13" s="189">
        <v>17608446.309999999</v>
      </c>
      <c r="AN13" s="189">
        <v>696966.86</v>
      </c>
      <c r="AO13" s="189">
        <v>24519272.550000001</v>
      </c>
      <c r="AP13" s="189">
        <v>25160612.399999999</v>
      </c>
      <c r="AQ13" s="189">
        <v>16822143.379999999</v>
      </c>
      <c r="AR13" s="189">
        <v>0</v>
      </c>
    </row>
    <row r="14" spans="1:44" x14ac:dyDescent="0.25">
      <c r="A14" s="189" t="s">
        <v>230</v>
      </c>
    </row>
    <row r="15" spans="1:44" x14ac:dyDescent="0.25">
      <c r="A15" s="189" t="s">
        <v>231</v>
      </c>
      <c r="B15" s="189">
        <v>823121792.61000001</v>
      </c>
      <c r="C15" s="189">
        <v>669274321.05999994</v>
      </c>
      <c r="D15" s="189">
        <v>401693275.61000001</v>
      </c>
      <c r="E15" s="189">
        <v>583099828.19000006</v>
      </c>
      <c r="F15" s="189">
        <v>265595825.11000001</v>
      </c>
      <c r="G15" s="189">
        <v>235580825.11000001</v>
      </c>
      <c r="H15" s="189">
        <v>178000000</v>
      </c>
      <c r="I15" s="189">
        <v>1743740878.5599999</v>
      </c>
      <c r="J15" s="189">
        <v>178073834.97</v>
      </c>
      <c r="K15" s="189">
        <v>172101273.41999999</v>
      </c>
      <c r="L15" s="189">
        <v>189940000</v>
      </c>
      <c r="M15" s="189">
        <v>16000000</v>
      </c>
      <c r="N15" s="189">
        <v>8237600</v>
      </c>
      <c r="O15" s="189">
        <v>838516876.86000001</v>
      </c>
      <c r="P15" s="189">
        <v>306266040</v>
      </c>
      <c r="Q15" s="189">
        <v>318000147.10000002</v>
      </c>
      <c r="R15" s="189">
        <v>261677317</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row>
    <row r="16" spans="1:44" x14ac:dyDescent="0.25">
      <c r="A16" s="189" t="s">
        <v>232</v>
      </c>
      <c r="B16" s="189">
        <v>8404224.8100000005</v>
      </c>
      <c r="C16" s="189">
        <v>2145234.42</v>
      </c>
      <c r="D16" s="189">
        <v>41430555.579999998</v>
      </c>
      <c r="E16" s="189">
        <v>13214713.66</v>
      </c>
      <c r="F16" s="189">
        <v>52145325.670000002</v>
      </c>
      <c r="G16" s="189">
        <v>5295827.99</v>
      </c>
      <c r="H16" s="189">
        <v>50096760.990000002</v>
      </c>
      <c r="I16" s="189">
        <v>15260767.18</v>
      </c>
      <c r="J16" s="189">
        <v>2354139.71</v>
      </c>
      <c r="K16" s="189">
        <v>496864.11</v>
      </c>
      <c r="L16" s="189">
        <v>175141.56</v>
      </c>
      <c r="M16" s="189">
        <v>5226087.2300000004</v>
      </c>
      <c r="N16" s="189">
        <v>8201691.5800000001</v>
      </c>
      <c r="O16" s="189">
        <v>7578792.3200000003</v>
      </c>
      <c r="P16" s="189">
        <v>5766252.8099999996</v>
      </c>
      <c r="Q16" s="189">
        <v>12044661.57</v>
      </c>
      <c r="R16" s="189">
        <v>18725873.850000001</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row>
    <row r="17" spans="1:44" x14ac:dyDescent="0.25">
      <c r="A17" s="189" t="s">
        <v>233</v>
      </c>
      <c r="B17" s="189">
        <v>0</v>
      </c>
      <c r="C17" s="189">
        <v>0</v>
      </c>
      <c r="D17" s="189">
        <v>0</v>
      </c>
      <c r="E17" s="189">
        <v>965667.54</v>
      </c>
      <c r="F17" s="189">
        <v>834717.54</v>
      </c>
      <c r="G17" s="189">
        <v>834717.54</v>
      </c>
      <c r="H17" s="189">
        <v>7873862.5700000003</v>
      </c>
      <c r="I17" s="189">
        <v>347380.34</v>
      </c>
      <c r="J17" s="189">
        <v>400000</v>
      </c>
      <c r="K17" s="189">
        <v>400000</v>
      </c>
      <c r="L17" s="189">
        <v>0</v>
      </c>
      <c r="M17" s="189">
        <v>0</v>
      </c>
      <c r="N17" s="189">
        <v>0</v>
      </c>
      <c r="O17" s="189">
        <v>0</v>
      </c>
      <c r="P17" s="189">
        <v>0</v>
      </c>
      <c r="Q17" s="189">
        <v>0</v>
      </c>
      <c r="R17" s="189">
        <v>0</v>
      </c>
      <c r="S17" s="189">
        <v>0</v>
      </c>
      <c r="T17" s="189">
        <v>0</v>
      </c>
      <c r="U17" s="189">
        <v>5000</v>
      </c>
      <c r="V17" s="189">
        <v>42902</v>
      </c>
      <c r="W17" s="189">
        <v>4900</v>
      </c>
      <c r="X17" s="189">
        <v>0</v>
      </c>
      <c r="Y17" s="189">
        <v>0</v>
      </c>
      <c r="Z17" s="189">
        <v>250000</v>
      </c>
      <c r="AA17" s="189">
        <v>250000</v>
      </c>
      <c r="AB17" s="189">
        <v>150000</v>
      </c>
      <c r="AC17" s="189">
        <v>23527.81</v>
      </c>
      <c r="AD17" s="189">
        <v>23527.81</v>
      </c>
      <c r="AE17" s="189">
        <v>21000</v>
      </c>
      <c r="AF17" s="189">
        <v>21000</v>
      </c>
      <c r="AG17" s="189">
        <v>40400</v>
      </c>
      <c r="AH17" s="189">
        <v>0</v>
      </c>
      <c r="AI17" s="189">
        <v>0</v>
      </c>
      <c r="AJ17" s="189">
        <v>0</v>
      </c>
      <c r="AK17" s="189">
        <v>0</v>
      </c>
      <c r="AL17" s="189">
        <v>0</v>
      </c>
      <c r="AM17" s="189">
        <v>0</v>
      </c>
      <c r="AN17" s="189">
        <v>0</v>
      </c>
      <c r="AO17" s="189">
        <v>0</v>
      </c>
      <c r="AP17" s="189">
        <v>0</v>
      </c>
      <c r="AQ17" s="189">
        <v>0</v>
      </c>
      <c r="AR17" s="189">
        <v>0</v>
      </c>
    </row>
    <row r="18" spans="1:44" x14ac:dyDescent="0.25">
      <c r="A18" s="189" t="s">
        <v>234</v>
      </c>
      <c r="B18" s="189">
        <v>64455765.460000001</v>
      </c>
      <c r="C18" s="189">
        <v>64455765.460000001</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row>
    <row r="19" spans="1:44" x14ac:dyDescent="0.25">
      <c r="A19" s="189" t="s">
        <v>235</v>
      </c>
      <c r="B19" s="189">
        <v>0</v>
      </c>
      <c r="C19" s="189">
        <v>0</v>
      </c>
      <c r="D19" s="189">
        <v>20000000</v>
      </c>
      <c r="E19" s="189">
        <v>0</v>
      </c>
      <c r="F19" s="189">
        <v>2166000</v>
      </c>
      <c r="G19" s="189">
        <v>0</v>
      </c>
      <c r="H19" s="189">
        <v>0</v>
      </c>
      <c r="I19" s="189">
        <v>0</v>
      </c>
      <c r="J19" s="189">
        <v>0</v>
      </c>
      <c r="K19" s="189">
        <v>0</v>
      </c>
      <c r="L19" s="189">
        <v>0</v>
      </c>
      <c r="M19" s="189">
        <v>0</v>
      </c>
      <c r="N19" s="189">
        <v>0</v>
      </c>
      <c r="O19" s="189">
        <v>0</v>
      </c>
      <c r="P19" s="189">
        <v>0</v>
      </c>
      <c r="Q19" s="189">
        <v>0</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row>
    <row r="20" spans="1:44" x14ac:dyDescent="0.25">
      <c r="A20" s="189" t="s">
        <v>236</v>
      </c>
      <c r="B20" s="189">
        <v>895981782.88</v>
      </c>
      <c r="C20" s="189">
        <v>735875320.94000006</v>
      </c>
      <c r="D20" s="189">
        <v>463123831.19</v>
      </c>
      <c r="E20" s="189">
        <v>597280209.38999999</v>
      </c>
      <c r="F20" s="189">
        <v>320741868.31999999</v>
      </c>
      <c r="G20" s="189">
        <v>241711370.63999999</v>
      </c>
      <c r="H20" s="189">
        <v>235970623.56</v>
      </c>
      <c r="I20" s="189">
        <v>1759349026.0799999</v>
      </c>
      <c r="J20" s="189">
        <v>180827974.68000001</v>
      </c>
      <c r="K20" s="189">
        <v>172998137.53</v>
      </c>
      <c r="L20" s="189">
        <v>190115141.56</v>
      </c>
      <c r="M20" s="189">
        <v>21226087.23</v>
      </c>
      <c r="N20" s="189">
        <v>16439291.58</v>
      </c>
      <c r="O20" s="189">
        <v>846095669.17999995</v>
      </c>
      <c r="P20" s="189">
        <v>312032292.81</v>
      </c>
      <c r="Q20" s="189">
        <v>330044808.67000002</v>
      </c>
      <c r="R20" s="189">
        <v>280403190.85000002</v>
      </c>
      <c r="S20" s="189">
        <v>0</v>
      </c>
      <c r="T20" s="189">
        <v>0</v>
      </c>
      <c r="U20" s="189">
        <v>5000</v>
      </c>
      <c r="V20" s="189">
        <v>42902</v>
      </c>
      <c r="W20" s="189">
        <v>4900</v>
      </c>
      <c r="X20" s="189">
        <v>0</v>
      </c>
      <c r="Y20" s="189">
        <v>0</v>
      </c>
      <c r="Z20" s="189">
        <v>250000</v>
      </c>
      <c r="AA20" s="189">
        <v>250000</v>
      </c>
      <c r="AB20" s="189">
        <v>150000</v>
      </c>
      <c r="AC20" s="189">
        <v>23527.81</v>
      </c>
      <c r="AD20" s="189">
        <v>23527.81</v>
      </c>
      <c r="AE20" s="189">
        <v>21000</v>
      </c>
      <c r="AF20" s="189">
        <v>21000</v>
      </c>
      <c r="AG20" s="189">
        <v>40400</v>
      </c>
      <c r="AH20" s="189">
        <v>0</v>
      </c>
      <c r="AI20" s="189">
        <v>0</v>
      </c>
      <c r="AJ20" s="189">
        <v>0</v>
      </c>
      <c r="AK20" s="189">
        <v>0</v>
      </c>
      <c r="AL20" s="189">
        <v>0</v>
      </c>
      <c r="AM20" s="189">
        <v>0</v>
      </c>
      <c r="AN20" s="189">
        <v>0</v>
      </c>
      <c r="AO20" s="189">
        <v>0</v>
      </c>
      <c r="AP20" s="189">
        <v>0</v>
      </c>
      <c r="AQ20" s="189">
        <v>0</v>
      </c>
      <c r="AR20" s="189">
        <v>0</v>
      </c>
    </row>
    <row r="21" spans="1:44" x14ac:dyDescent="0.25">
      <c r="A21" s="189" t="s">
        <v>237</v>
      </c>
      <c r="B21" s="189">
        <v>25352668.140000001</v>
      </c>
      <c r="C21" s="189">
        <v>22176159.719999999</v>
      </c>
      <c r="D21" s="189">
        <v>3487020.16</v>
      </c>
      <c r="E21" s="189">
        <v>20710051.460000001</v>
      </c>
      <c r="F21" s="189">
        <v>10047360.800000001</v>
      </c>
      <c r="G21" s="189">
        <v>6519333.9900000002</v>
      </c>
      <c r="H21" s="189">
        <v>6198280.6699999999</v>
      </c>
      <c r="I21" s="189">
        <v>10773753.15</v>
      </c>
      <c r="J21" s="189">
        <v>3356686.71</v>
      </c>
      <c r="K21" s="189">
        <v>3087172.35</v>
      </c>
      <c r="L21" s="189">
        <v>2723942</v>
      </c>
      <c r="M21" s="189">
        <v>18879374.030000001</v>
      </c>
      <c r="N21" s="189">
        <v>778447.76</v>
      </c>
      <c r="O21" s="189">
        <v>698860.86</v>
      </c>
      <c r="P21" s="189">
        <v>269967.86</v>
      </c>
      <c r="Q21" s="189">
        <v>6505669.96</v>
      </c>
      <c r="R21" s="189">
        <v>2878859</v>
      </c>
      <c r="S21" s="189">
        <v>21570635.23</v>
      </c>
      <c r="T21" s="189">
        <v>20820785.280000001</v>
      </c>
      <c r="U21" s="189">
        <v>72791210.780000001</v>
      </c>
      <c r="V21" s="189">
        <v>63565752.140000001</v>
      </c>
      <c r="W21" s="189">
        <v>50009586.359999999</v>
      </c>
      <c r="X21" s="189">
        <v>25201084.59</v>
      </c>
      <c r="Y21" s="189">
        <v>98593799.849999994</v>
      </c>
      <c r="Z21" s="189">
        <v>90686983.120000005</v>
      </c>
      <c r="AA21" s="189">
        <v>67631423.430000007</v>
      </c>
      <c r="AB21" s="189">
        <v>37937744.950000003</v>
      </c>
      <c r="AC21" s="189">
        <v>232527234.75999999</v>
      </c>
      <c r="AD21" s="189">
        <v>232527234.75999999</v>
      </c>
      <c r="AE21" s="189">
        <v>151654176.80000001</v>
      </c>
      <c r="AF21" s="189">
        <v>3355518.97</v>
      </c>
      <c r="AG21" s="189">
        <v>54055872.549999997</v>
      </c>
      <c r="AH21" s="189">
        <v>32858999.809999999</v>
      </c>
      <c r="AI21" s="189">
        <v>12990713.869999999</v>
      </c>
      <c r="AJ21" s="189">
        <v>806108.92</v>
      </c>
      <c r="AK21" s="189">
        <v>13975414.369999999</v>
      </c>
      <c r="AL21" s="189">
        <v>11581104.27</v>
      </c>
      <c r="AM21" s="189">
        <v>10106423.24</v>
      </c>
      <c r="AN21" s="189">
        <v>3353514.14</v>
      </c>
      <c r="AO21" s="189">
        <v>39736096.030000001</v>
      </c>
      <c r="AP21" s="189">
        <v>31666008.98</v>
      </c>
      <c r="AQ21" s="189">
        <v>10988563.300000001</v>
      </c>
      <c r="AR21" s="189">
        <v>0</v>
      </c>
    </row>
    <row r="22" spans="1:44" x14ac:dyDescent="0.25">
      <c r="A22" s="189" t="s">
        <v>238</v>
      </c>
      <c r="B22" s="189">
        <v>511396452.75</v>
      </c>
      <c r="C22" s="189">
        <v>307090119.49000001</v>
      </c>
      <c r="D22" s="189">
        <v>322454862.93000001</v>
      </c>
      <c r="E22" s="189">
        <v>1561904238.03</v>
      </c>
      <c r="F22" s="189">
        <v>698074098.14999998</v>
      </c>
      <c r="G22" s="189">
        <v>455126687.32999998</v>
      </c>
      <c r="H22" s="189">
        <v>745566453.16999996</v>
      </c>
      <c r="I22" s="189">
        <v>439156850</v>
      </c>
      <c r="J22" s="189">
        <v>431056850</v>
      </c>
      <c r="K22" s="189">
        <v>415791850</v>
      </c>
      <c r="L22" s="189">
        <v>201431850</v>
      </c>
      <c r="M22" s="189">
        <v>1504063431.5999999</v>
      </c>
      <c r="N22" s="189">
        <v>626000000</v>
      </c>
      <c r="O22" s="189">
        <v>1303642107</v>
      </c>
      <c r="P22" s="189">
        <v>308950400</v>
      </c>
      <c r="Q22" s="189">
        <v>341133480</v>
      </c>
      <c r="R22" s="189">
        <v>349791219</v>
      </c>
      <c r="S22" s="189">
        <v>0</v>
      </c>
      <c r="T22" s="189">
        <v>0</v>
      </c>
      <c r="U22" s="189">
        <v>4525560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10000000</v>
      </c>
      <c r="AR22" s="189">
        <v>0</v>
      </c>
    </row>
    <row r="23" spans="1:44" x14ac:dyDescent="0.25">
      <c r="A23" s="189" t="s">
        <v>239</v>
      </c>
      <c r="B23" s="189">
        <v>1127044566.25</v>
      </c>
      <c r="C23" s="189">
        <v>1070044806.25</v>
      </c>
      <c r="D23" s="189">
        <v>870355251.75</v>
      </c>
      <c r="E23" s="189">
        <v>520966669.63999999</v>
      </c>
      <c r="F23" s="189">
        <v>802428500.89999998</v>
      </c>
      <c r="G23" s="189">
        <v>489538528.19999999</v>
      </c>
      <c r="H23" s="189">
        <v>70868080</v>
      </c>
      <c r="I23" s="189">
        <v>381469996.25</v>
      </c>
      <c r="J23" s="189">
        <v>150000000</v>
      </c>
      <c r="K23" s="189">
        <v>150000000</v>
      </c>
      <c r="L23" s="189">
        <v>97000048.109999999</v>
      </c>
      <c r="M23" s="189">
        <v>965494280.67999995</v>
      </c>
      <c r="N23" s="189">
        <v>2000000</v>
      </c>
      <c r="O23" s="189">
        <v>2000000</v>
      </c>
      <c r="P23" s="189">
        <v>401500000</v>
      </c>
      <c r="Q23" s="189">
        <v>0</v>
      </c>
      <c r="R23" s="189">
        <v>0</v>
      </c>
      <c r="S23" s="189">
        <v>0</v>
      </c>
      <c r="T23" s="189">
        <v>0</v>
      </c>
      <c r="U23" s="189">
        <v>0</v>
      </c>
      <c r="V23" s="189">
        <v>0</v>
      </c>
      <c r="W23" s="189">
        <v>0</v>
      </c>
      <c r="X23" s="189">
        <v>0</v>
      </c>
      <c r="Y23" s="189">
        <v>0</v>
      </c>
      <c r="Z23" s="189">
        <v>17831103.469999999</v>
      </c>
      <c r="AA23" s="189">
        <v>0</v>
      </c>
      <c r="AB23" s="189">
        <v>0</v>
      </c>
      <c r="AC23" s="189">
        <v>0</v>
      </c>
      <c r="AD23" s="189">
        <v>0</v>
      </c>
      <c r="AE23" s="189">
        <v>0</v>
      </c>
      <c r="AF23" s="189">
        <v>0</v>
      </c>
      <c r="AG23" s="189">
        <v>0</v>
      </c>
      <c r="AH23" s="189">
        <v>0</v>
      </c>
      <c r="AI23" s="189">
        <v>0</v>
      </c>
      <c r="AJ23" s="189">
        <v>0</v>
      </c>
      <c r="AK23" s="189">
        <v>0</v>
      </c>
      <c r="AL23" s="189">
        <v>0</v>
      </c>
      <c r="AM23" s="189">
        <v>0</v>
      </c>
      <c r="AN23" s="189">
        <v>0</v>
      </c>
      <c r="AO23" s="189">
        <v>0</v>
      </c>
      <c r="AP23" s="189">
        <v>0</v>
      </c>
      <c r="AQ23" s="189">
        <v>0</v>
      </c>
      <c r="AR23" s="189">
        <v>0</v>
      </c>
    </row>
    <row r="24" spans="1:44" x14ac:dyDescent="0.25">
      <c r="A24" s="189" t="s">
        <v>240</v>
      </c>
      <c r="B24" s="189">
        <v>4656878.32</v>
      </c>
      <c r="C24" s="189">
        <v>0</v>
      </c>
      <c r="D24" s="189">
        <v>0</v>
      </c>
      <c r="E24" s="189">
        <v>269366821.47000003</v>
      </c>
      <c r="F24" s="189">
        <v>0</v>
      </c>
      <c r="G24" s="189">
        <v>0</v>
      </c>
      <c r="H24" s="189">
        <v>0</v>
      </c>
      <c r="I24" s="189">
        <v>0</v>
      </c>
      <c r="J24" s="189">
        <v>28440000</v>
      </c>
      <c r="K24" s="189">
        <v>28000000</v>
      </c>
      <c r="L24" s="189">
        <v>0</v>
      </c>
      <c r="M24" s="189">
        <v>0</v>
      </c>
      <c r="N24" s="189">
        <v>75200</v>
      </c>
      <c r="O24" s="189">
        <v>0</v>
      </c>
      <c r="P24" s="189">
        <v>500</v>
      </c>
      <c r="Q24" s="189">
        <v>0</v>
      </c>
      <c r="R24" s="189">
        <v>20761</v>
      </c>
      <c r="S24" s="189">
        <v>0</v>
      </c>
      <c r="T24" s="189">
        <v>0</v>
      </c>
      <c r="U24" s="189">
        <v>0</v>
      </c>
      <c r="V24" s="189">
        <v>9525560</v>
      </c>
      <c r="W24" s="189">
        <v>9504813.5</v>
      </c>
      <c r="X24" s="189">
        <v>0</v>
      </c>
      <c r="Y24" s="189">
        <v>0</v>
      </c>
      <c r="Z24" s="189">
        <v>0</v>
      </c>
      <c r="AA24" s="189">
        <v>0</v>
      </c>
      <c r="AB24" s="189">
        <v>0</v>
      </c>
      <c r="AC24" s="189">
        <v>0</v>
      </c>
      <c r="AD24" s="189">
        <v>0</v>
      </c>
      <c r="AE24" s="189">
        <v>0</v>
      </c>
      <c r="AF24" s="189">
        <v>14128000</v>
      </c>
      <c r="AG24" s="189">
        <v>0</v>
      </c>
      <c r="AH24" s="189">
        <v>0</v>
      </c>
      <c r="AI24" s="189">
        <v>0</v>
      </c>
      <c r="AJ24" s="189">
        <v>0</v>
      </c>
      <c r="AK24" s="189">
        <v>0</v>
      </c>
      <c r="AL24" s="189">
        <v>0</v>
      </c>
      <c r="AM24" s="189">
        <v>0</v>
      </c>
      <c r="AN24" s="189">
        <v>0</v>
      </c>
      <c r="AO24" s="189">
        <v>0</v>
      </c>
      <c r="AP24" s="189">
        <v>0</v>
      </c>
      <c r="AQ24" s="189">
        <v>0</v>
      </c>
      <c r="AR24" s="189">
        <v>0</v>
      </c>
    </row>
    <row r="25" spans="1:44" x14ac:dyDescent="0.25">
      <c r="A25" s="189" t="s">
        <v>241</v>
      </c>
      <c r="B25" s="189">
        <v>1668450565.46</v>
      </c>
      <c r="C25" s="189">
        <v>1399311085.46</v>
      </c>
      <c r="D25" s="189">
        <v>1196297134.8399999</v>
      </c>
      <c r="E25" s="189">
        <v>2372947780.5999999</v>
      </c>
      <c r="F25" s="189">
        <v>1510549959.8499999</v>
      </c>
      <c r="G25" s="189">
        <v>951184549.51999998</v>
      </c>
      <c r="H25" s="189">
        <v>822632813.84000003</v>
      </c>
      <c r="I25" s="189">
        <v>831400599.39999998</v>
      </c>
      <c r="J25" s="189">
        <v>612853536.71000004</v>
      </c>
      <c r="K25" s="189">
        <v>596879022.35000002</v>
      </c>
      <c r="L25" s="189">
        <v>301155840.11000001</v>
      </c>
      <c r="M25" s="189">
        <v>2488437086.3099999</v>
      </c>
      <c r="N25" s="189">
        <v>628853647.75999999</v>
      </c>
      <c r="O25" s="189">
        <v>1306340967.8599999</v>
      </c>
      <c r="P25" s="189">
        <v>710720867.86000001</v>
      </c>
      <c r="Q25" s="189">
        <v>347639149.95999998</v>
      </c>
      <c r="R25" s="189">
        <v>352690839</v>
      </c>
      <c r="S25" s="189">
        <v>21570635.23</v>
      </c>
      <c r="T25" s="189">
        <v>20820785.280000001</v>
      </c>
      <c r="U25" s="189">
        <v>77316770.780000001</v>
      </c>
      <c r="V25" s="189">
        <v>73091312.140000001</v>
      </c>
      <c r="W25" s="189">
        <v>59514399.859999999</v>
      </c>
      <c r="X25" s="189">
        <v>25201084.59</v>
      </c>
      <c r="Y25" s="189">
        <v>98593799.849999994</v>
      </c>
      <c r="Z25" s="189">
        <v>108518086.59</v>
      </c>
      <c r="AA25" s="189">
        <v>67631423.430000007</v>
      </c>
      <c r="AB25" s="189">
        <v>37937744.950000003</v>
      </c>
      <c r="AC25" s="189">
        <v>232527234.75999999</v>
      </c>
      <c r="AD25" s="189">
        <v>232527234.75999999</v>
      </c>
      <c r="AE25" s="189">
        <v>151654176.80000001</v>
      </c>
      <c r="AF25" s="189">
        <v>17483518.969999999</v>
      </c>
      <c r="AG25" s="189">
        <v>54055872.549999997</v>
      </c>
      <c r="AH25" s="189">
        <v>32858999.809999999</v>
      </c>
      <c r="AI25" s="189">
        <v>12990713.869999999</v>
      </c>
      <c r="AJ25" s="189">
        <v>806108.92</v>
      </c>
      <c r="AK25" s="189">
        <v>13975414.369999999</v>
      </c>
      <c r="AL25" s="189">
        <v>11581104.27</v>
      </c>
      <c r="AM25" s="189">
        <v>10106423.24</v>
      </c>
      <c r="AN25" s="189">
        <v>3353514.14</v>
      </c>
      <c r="AO25" s="189">
        <v>39736096.030000001</v>
      </c>
      <c r="AP25" s="189">
        <v>31666008.98</v>
      </c>
      <c r="AQ25" s="189">
        <v>20988563.300000001</v>
      </c>
      <c r="AR25" s="189">
        <v>0</v>
      </c>
    </row>
    <row r="26" spans="1:44" x14ac:dyDescent="0.25">
      <c r="A26" s="189" t="s">
        <v>242</v>
      </c>
      <c r="B26" s="189">
        <v>-772468782.58000004</v>
      </c>
      <c r="C26" s="189">
        <v>-663435764.51999998</v>
      </c>
      <c r="D26" s="189">
        <v>-733173303.64999998</v>
      </c>
      <c r="E26" s="189">
        <v>-1775667571.21</v>
      </c>
      <c r="F26" s="189">
        <v>-1189808091.53</v>
      </c>
      <c r="G26" s="189">
        <v>-709473178.88</v>
      </c>
      <c r="H26" s="189">
        <v>-586662190.27999997</v>
      </c>
      <c r="I26" s="189">
        <v>927948426.67999995</v>
      </c>
      <c r="J26" s="189">
        <v>-432025562.02999997</v>
      </c>
      <c r="K26" s="189">
        <v>-423880884.81999999</v>
      </c>
      <c r="L26" s="189">
        <v>-111040698.55</v>
      </c>
      <c r="M26" s="189">
        <v>-2467210999.0799999</v>
      </c>
      <c r="N26" s="189">
        <v>-612414356.17999995</v>
      </c>
      <c r="O26" s="189">
        <v>-460245298.68000001</v>
      </c>
      <c r="P26" s="189">
        <v>-398688575.05000001</v>
      </c>
      <c r="Q26" s="189">
        <v>-17594341.289999999</v>
      </c>
      <c r="R26" s="189">
        <v>-72287648.150000006</v>
      </c>
      <c r="S26" s="189">
        <v>-21570635.23</v>
      </c>
      <c r="T26" s="189">
        <v>-20820785.280000001</v>
      </c>
      <c r="U26" s="189">
        <v>-77311770.780000001</v>
      </c>
      <c r="V26" s="189">
        <v>-73048410.140000001</v>
      </c>
      <c r="W26" s="189">
        <v>-59509499.859999999</v>
      </c>
      <c r="X26" s="189">
        <v>-25201084.59</v>
      </c>
      <c r="Y26" s="189">
        <v>-98593799.849999994</v>
      </c>
      <c r="Z26" s="189">
        <v>-108268086.59</v>
      </c>
      <c r="AA26" s="189">
        <v>-67381423.430000007</v>
      </c>
      <c r="AB26" s="189">
        <v>-37787744.950000003</v>
      </c>
      <c r="AC26" s="189">
        <v>-232503706.94999999</v>
      </c>
      <c r="AD26" s="189">
        <v>-232503706.94999999</v>
      </c>
      <c r="AE26" s="189">
        <v>-151633176.80000001</v>
      </c>
      <c r="AF26" s="189">
        <v>-17462518.969999999</v>
      </c>
      <c r="AG26" s="189">
        <v>-54015472.549999997</v>
      </c>
      <c r="AH26" s="189">
        <v>-32858999.809999999</v>
      </c>
      <c r="AI26" s="189">
        <v>-12990713.869999999</v>
      </c>
      <c r="AJ26" s="189">
        <v>-806108.92</v>
      </c>
      <c r="AK26" s="189">
        <v>-13975414.369999999</v>
      </c>
      <c r="AL26" s="189">
        <v>-11581104.27</v>
      </c>
      <c r="AM26" s="189">
        <v>-10106423.24</v>
      </c>
      <c r="AN26" s="189">
        <v>-3353514.14</v>
      </c>
      <c r="AO26" s="189">
        <v>-39736096.030000001</v>
      </c>
      <c r="AP26" s="189">
        <v>-31666008.98</v>
      </c>
      <c r="AQ26" s="189">
        <v>-20988563.300000001</v>
      </c>
      <c r="AR26" s="189">
        <v>0</v>
      </c>
    </row>
    <row r="27" spans="1:44" x14ac:dyDescent="0.25">
      <c r="A27" s="189" t="s">
        <v>243</v>
      </c>
    </row>
    <row r="28" spans="1:44" x14ac:dyDescent="0.25">
      <c r="A28" s="189" t="s">
        <v>244</v>
      </c>
      <c r="B28" s="189">
        <v>2000000</v>
      </c>
      <c r="C28" s="189">
        <v>0</v>
      </c>
      <c r="D28" s="189">
        <v>0</v>
      </c>
      <c r="E28" s="189">
        <v>1002079981.3099999</v>
      </c>
      <c r="F28" s="189">
        <v>-90109051.200000003</v>
      </c>
      <c r="G28" s="189">
        <v>-34202000</v>
      </c>
      <c r="H28" s="189">
        <v>0</v>
      </c>
      <c r="I28" s="189">
        <v>0</v>
      </c>
      <c r="J28" s="189">
        <v>0</v>
      </c>
      <c r="K28" s="189">
        <v>0</v>
      </c>
      <c r="L28" s="189">
        <v>0</v>
      </c>
      <c r="M28" s="189">
        <v>1157429576.3399999</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268924600</v>
      </c>
      <c r="AH28" s="189">
        <v>268924600</v>
      </c>
      <c r="AI28" s="189">
        <v>268924600</v>
      </c>
      <c r="AJ28" s="189">
        <v>268924600</v>
      </c>
      <c r="AK28" s="189">
        <v>0</v>
      </c>
      <c r="AL28" s="189">
        <v>0</v>
      </c>
      <c r="AM28" s="189">
        <v>0</v>
      </c>
      <c r="AN28" s="189">
        <v>0</v>
      </c>
      <c r="AO28" s="189">
        <v>0</v>
      </c>
      <c r="AP28" s="189">
        <v>0</v>
      </c>
      <c r="AQ28" s="189">
        <v>0</v>
      </c>
      <c r="AR28" s="189">
        <v>0</v>
      </c>
    </row>
    <row r="29" spans="1:44" x14ac:dyDescent="0.25">
      <c r="A29" s="189" t="s">
        <v>245</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row>
    <row r="30" spans="1:44" x14ac:dyDescent="0.25">
      <c r="A30" s="189" t="s">
        <v>246</v>
      </c>
      <c r="B30" s="189">
        <v>642500000</v>
      </c>
      <c r="C30" s="189">
        <v>610000000</v>
      </c>
      <c r="D30" s="189">
        <v>256000000</v>
      </c>
      <c r="E30" s="189">
        <v>958250000</v>
      </c>
      <c r="F30" s="189">
        <v>656750000</v>
      </c>
      <c r="G30" s="189">
        <v>505953642.72000003</v>
      </c>
      <c r="H30" s="189">
        <v>106000000</v>
      </c>
      <c r="I30" s="189">
        <v>316895058.44</v>
      </c>
      <c r="J30" s="189">
        <v>310895058.44</v>
      </c>
      <c r="K30" s="189">
        <v>292895058.44</v>
      </c>
      <c r="L30" s="189">
        <v>110895058.44</v>
      </c>
      <c r="M30" s="189">
        <v>359800000</v>
      </c>
      <c r="N30" s="189">
        <v>347800000</v>
      </c>
      <c r="O30" s="189">
        <v>341800000</v>
      </c>
      <c r="P30" s="189">
        <v>323800000</v>
      </c>
      <c r="Q30" s="189">
        <v>0</v>
      </c>
      <c r="R30" s="189">
        <v>0</v>
      </c>
      <c r="S30" s="189">
        <v>134432199</v>
      </c>
      <c r="T30" s="189">
        <v>90500000</v>
      </c>
      <c r="U30" s="189">
        <v>442683440</v>
      </c>
      <c r="V30" s="189">
        <v>392776640</v>
      </c>
      <c r="W30" s="189">
        <v>165976640</v>
      </c>
      <c r="X30" s="189">
        <v>50000000</v>
      </c>
      <c r="Y30" s="189">
        <v>465828400</v>
      </c>
      <c r="Z30" s="189">
        <v>370800000</v>
      </c>
      <c r="AA30" s="189">
        <v>168000000</v>
      </c>
      <c r="AB30" s="189">
        <v>25000000</v>
      </c>
      <c r="AC30" s="189">
        <v>324474600</v>
      </c>
      <c r="AD30" s="189">
        <v>324474600</v>
      </c>
      <c r="AE30" s="189">
        <v>119474600</v>
      </c>
      <c r="AF30" s="189">
        <v>10000000</v>
      </c>
      <c r="AG30" s="189">
        <v>193800000</v>
      </c>
      <c r="AH30" s="189">
        <v>163800000</v>
      </c>
      <c r="AI30" s="189">
        <v>52000000</v>
      </c>
      <c r="AJ30" s="189">
        <v>22000000</v>
      </c>
      <c r="AK30" s="189">
        <v>148800000</v>
      </c>
      <c r="AL30" s="189">
        <v>102800000</v>
      </c>
      <c r="AM30" s="189">
        <v>55000000</v>
      </c>
      <c r="AN30" s="189">
        <v>15000000</v>
      </c>
      <c r="AO30" s="189">
        <v>92000000</v>
      </c>
      <c r="AP30" s="189">
        <v>74000000</v>
      </c>
      <c r="AQ30" s="189">
        <v>43700000</v>
      </c>
      <c r="AR30" s="189">
        <v>0</v>
      </c>
    </row>
    <row r="31" spans="1:44" x14ac:dyDescent="0.25">
      <c r="A31" s="189" t="s">
        <v>247</v>
      </c>
      <c r="B31" s="189">
        <v>0</v>
      </c>
      <c r="C31" s="189">
        <v>0</v>
      </c>
      <c r="D31" s="189">
        <v>0</v>
      </c>
      <c r="E31" s="189">
        <v>988334000</v>
      </c>
      <c r="F31" s="189">
        <v>988334000</v>
      </c>
      <c r="G31" s="189">
        <v>988334000</v>
      </c>
      <c r="H31" s="189">
        <v>988334000</v>
      </c>
      <c r="I31" s="189">
        <v>0</v>
      </c>
      <c r="J31" s="189">
        <v>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c r="AQ31" s="189">
        <v>0</v>
      </c>
      <c r="AR31" s="189">
        <v>0</v>
      </c>
    </row>
    <row r="32" spans="1:44" x14ac:dyDescent="0.25">
      <c r="A32" s="189" t="s">
        <v>248</v>
      </c>
      <c r="B32" s="189">
        <v>0</v>
      </c>
      <c r="C32" s="189">
        <v>0</v>
      </c>
      <c r="D32" s="189">
        <v>87000000</v>
      </c>
      <c r="E32" s="189">
        <v>0</v>
      </c>
      <c r="F32" s="189">
        <v>590937.18000000005</v>
      </c>
      <c r="G32" s="189">
        <v>0</v>
      </c>
      <c r="H32" s="189">
        <v>0</v>
      </c>
      <c r="I32" s="189">
        <v>55000000</v>
      </c>
      <c r="J32" s="189">
        <v>120000000</v>
      </c>
      <c r="K32" s="189">
        <v>80000000</v>
      </c>
      <c r="L32" s="189">
        <v>0</v>
      </c>
      <c r="M32" s="189">
        <v>1320000000</v>
      </c>
      <c r="N32" s="189">
        <v>0</v>
      </c>
      <c r="O32" s="189">
        <v>0</v>
      </c>
      <c r="P32" s="189">
        <v>0</v>
      </c>
      <c r="Q32" s="189">
        <v>0</v>
      </c>
      <c r="R32" s="189">
        <v>0</v>
      </c>
      <c r="S32" s="189">
        <v>0</v>
      </c>
      <c r="T32" s="189">
        <v>0</v>
      </c>
      <c r="U32" s="189">
        <v>27307602.300000001</v>
      </c>
      <c r="V32" s="189">
        <v>20964454.399999999</v>
      </c>
      <c r="W32" s="189">
        <v>12564343.279999999</v>
      </c>
      <c r="X32" s="189">
        <v>13956560.82</v>
      </c>
      <c r="Y32" s="189">
        <v>7951505.2699999996</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7900000</v>
      </c>
      <c r="AR32" s="189">
        <v>0</v>
      </c>
    </row>
    <row r="33" spans="1:44" x14ac:dyDescent="0.25">
      <c r="A33" s="189" t="s">
        <v>249</v>
      </c>
      <c r="B33" s="189">
        <v>644500000</v>
      </c>
      <c r="C33" s="189">
        <v>610000000</v>
      </c>
      <c r="D33" s="189">
        <v>343000000</v>
      </c>
      <c r="E33" s="189">
        <v>2948663981.3099999</v>
      </c>
      <c r="F33" s="189">
        <v>1555565885.98</v>
      </c>
      <c r="G33" s="189">
        <v>1460085642.72</v>
      </c>
      <c r="H33" s="189">
        <v>1094334000</v>
      </c>
      <c r="I33" s="189">
        <v>371895058.44</v>
      </c>
      <c r="J33" s="189">
        <v>430895058.44</v>
      </c>
      <c r="K33" s="189">
        <v>372895058.44</v>
      </c>
      <c r="L33" s="189">
        <v>110895058.44</v>
      </c>
      <c r="M33" s="189">
        <v>2837229576.3400002</v>
      </c>
      <c r="N33" s="189">
        <v>347800000</v>
      </c>
      <c r="O33" s="189">
        <v>341800000</v>
      </c>
      <c r="P33" s="189">
        <v>323800000</v>
      </c>
      <c r="Q33" s="189">
        <v>0</v>
      </c>
      <c r="R33" s="189">
        <v>0</v>
      </c>
      <c r="S33" s="189">
        <v>134432199</v>
      </c>
      <c r="T33" s="189">
        <v>90500000</v>
      </c>
      <c r="U33" s="189">
        <v>469991042.30000001</v>
      </c>
      <c r="V33" s="189">
        <v>413741094.39999998</v>
      </c>
      <c r="W33" s="189">
        <v>178540983.28</v>
      </c>
      <c r="X33" s="189">
        <v>63956560.82</v>
      </c>
      <c r="Y33" s="189">
        <v>473779905.26999998</v>
      </c>
      <c r="Z33" s="189">
        <v>370800000</v>
      </c>
      <c r="AA33" s="189">
        <v>168000000</v>
      </c>
      <c r="AB33" s="189">
        <v>25000000</v>
      </c>
      <c r="AC33" s="189">
        <v>324474600</v>
      </c>
      <c r="AD33" s="189">
        <v>324474600</v>
      </c>
      <c r="AE33" s="189">
        <v>119474600</v>
      </c>
      <c r="AF33" s="189">
        <v>10000000</v>
      </c>
      <c r="AG33" s="189">
        <v>462724600</v>
      </c>
      <c r="AH33" s="189">
        <v>432724600</v>
      </c>
      <c r="AI33" s="189">
        <v>320924600</v>
      </c>
      <c r="AJ33" s="189">
        <v>290924600</v>
      </c>
      <c r="AK33" s="189">
        <v>148800000</v>
      </c>
      <c r="AL33" s="189">
        <v>102800000</v>
      </c>
      <c r="AM33" s="189">
        <v>55000000</v>
      </c>
      <c r="AN33" s="189">
        <v>15000000</v>
      </c>
      <c r="AO33" s="189">
        <v>92000000</v>
      </c>
      <c r="AP33" s="189">
        <v>74000000</v>
      </c>
      <c r="AQ33" s="189">
        <v>51600000</v>
      </c>
      <c r="AR33" s="189">
        <v>0</v>
      </c>
    </row>
    <row r="34" spans="1:44" x14ac:dyDescent="0.25">
      <c r="A34" s="189" t="s">
        <v>250</v>
      </c>
      <c r="B34" s="189">
        <v>479129375.00999999</v>
      </c>
      <c r="C34" s="189">
        <v>452462708.33999997</v>
      </c>
      <c r="D34" s="189">
        <v>114000000</v>
      </c>
      <c r="E34" s="189">
        <v>402921400</v>
      </c>
      <c r="F34" s="189">
        <v>254921400</v>
      </c>
      <c r="G34" s="189">
        <v>254921400</v>
      </c>
      <c r="H34" s="189">
        <v>154921400</v>
      </c>
      <c r="I34" s="189">
        <v>473800000</v>
      </c>
      <c r="J34" s="189">
        <v>323800000</v>
      </c>
      <c r="K34" s="189">
        <v>300000000</v>
      </c>
      <c r="L34" s="189">
        <v>300000000</v>
      </c>
      <c r="M34" s="189">
        <v>42000000</v>
      </c>
      <c r="N34" s="189">
        <v>42000000</v>
      </c>
      <c r="O34" s="189">
        <v>0</v>
      </c>
      <c r="P34" s="189">
        <v>0</v>
      </c>
      <c r="Q34" s="189">
        <v>0</v>
      </c>
      <c r="R34" s="189">
        <v>0</v>
      </c>
      <c r="S34" s="189">
        <v>250928800</v>
      </c>
      <c r="T34" s="189">
        <v>140000000</v>
      </c>
      <c r="U34" s="189">
        <v>377829920</v>
      </c>
      <c r="V34" s="189">
        <v>322741040</v>
      </c>
      <c r="W34" s="189">
        <v>103941040</v>
      </c>
      <c r="X34" s="189">
        <v>30000000</v>
      </c>
      <c r="Y34" s="189">
        <v>410800000</v>
      </c>
      <c r="Z34" s="189">
        <v>340800000</v>
      </c>
      <c r="AA34" s="189">
        <v>133800000</v>
      </c>
      <c r="AB34" s="189">
        <v>10000000</v>
      </c>
      <c r="AC34" s="189">
        <v>214474600</v>
      </c>
      <c r="AD34" s="189">
        <v>214474600</v>
      </c>
      <c r="AE34" s="189">
        <v>85800000</v>
      </c>
      <c r="AF34" s="189">
        <v>10000000</v>
      </c>
      <c r="AG34" s="189">
        <v>117800000</v>
      </c>
      <c r="AH34" s="189">
        <v>114800000</v>
      </c>
      <c r="AI34" s="189">
        <v>22000000</v>
      </c>
      <c r="AJ34" s="189">
        <v>22000000</v>
      </c>
      <c r="AK34" s="189">
        <v>124000000</v>
      </c>
      <c r="AL34" s="189">
        <v>81000000</v>
      </c>
      <c r="AM34" s="189">
        <v>47000000</v>
      </c>
      <c r="AN34" s="189">
        <v>10000000</v>
      </c>
      <c r="AO34" s="189">
        <v>81000000</v>
      </c>
      <c r="AP34" s="189">
        <v>41700000</v>
      </c>
      <c r="AQ34" s="189">
        <v>25000000</v>
      </c>
      <c r="AR34" s="189">
        <v>0</v>
      </c>
    </row>
    <row r="35" spans="1:44" x14ac:dyDescent="0.25">
      <c r="A35" s="189" t="s">
        <v>551</v>
      </c>
      <c r="B35" s="189">
        <v>410861124.33999997</v>
      </c>
      <c r="C35" s="189">
        <v>350224346.06999999</v>
      </c>
      <c r="D35" s="189">
        <v>283284968.26999998</v>
      </c>
      <c r="E35" s="189">
        <v>312426452.54000002</v>
      </c>
      <c r="F35" s="189">
        <v>247201665.69999999</v>
      </c>
      <c r="G35" s="189">
        <v>161550864.94999999</v>
      </c>
      <c r="H35" s="189">
        <v>1184164.26</v>
      </c>
      <c r="I35" s="189">
        <v>125140067.09999999</v>
      </c>
      <c r="J35" s="189">
        <v>81408774.819999993</v>
      </c>
      <c r="K35" s="189">
        <v>78975196.590000004</v>
      </c>
      <c r="L35" s="189">
        <v>3947998.08</v>
      </c>
      <c r="M35" s="189">
        <v>49783958.200000003</v>
      </c>
      <c r="N35" s="189">
        <v>39995112.399999999</v>
      </c>
      <c r="O35" s="189">
        <v>32633817.059999999</v>
      </c>
      <c r="P35" s="189">
        <v>2700000</v>
      </c>
      <c r="Q35" s="189">
        <v>10896000</v>
      </c>
      <c r="R35" s="189">
        <v>7146000</v>
      </c>
      <c r="S35" s="189">
        <v>13612714.310000001</v>
      </c>
      <c r="T35" s="189">
        <v>6622648.8399999999</v>
      </c>
      <c r="U35" s="189">
        <v>31292978.649999999</v>
      </c>
      <c r="V35" s="189">
        <v>22438993.440000001</v>
      </c>
      <c r="W35" s="189">
        <v>14343600.210000001</v>
      </c>
      <c r="X35" s="189">
        <v>5753497.8300000001</v>
      </c>
      <c r="Y35" s="189">
        <v>32537747.940000001</v>
      </c>
      <c r="Z35" s="189">
        <v>21456861.899999999</v>
      </c>
      <c r="AA35" s="189">
        <v>9708515.6699999999</v>
      </c>
      <c r="AB35" s="189">
        <v>3278324.85</v>
      </c>
      <c r="AC35" s="189">
        <v>15594729.91</v>
      </c>
      <c r="AD35" s="189">
        <v>15594729.91</v>
      </c>
      <c r="AE35" s="189">
        <v>4525805.29</v>
      </c>
      <c r="AF35" s="189">
        <v>1760770</v>
      </c>
      <c r="AG35" s="189">
        <v>7836774.7699999996</v>
      </c>
      <c r="AH35" s="189">
        <v>5571404.9400000004</v>
      </c>
      <c r="AI35" s="189">
        <v>3657146.6</v>
      </c>
      <c r="AJ35" s="189">
        <v>1673402.59</v>
      </c>
      <c r="AK35" s="189">
        <v>6614192.6200000001</v>
      </c>
      <c r="AL35" s="189">
        <v>4715317.28</v>
      </c>
      <c r="AM35" s="189">
        <v>2611626.37</v>
      </c>
      <c r="AN35" s="189">
        <v>1480931.12</v>
      </c>
      <c r="AO35" s="189">
        <v>6201821.4100000001</v>
      </c>
      <c r="AP35" s="189">
        <v>8399981.3399999999</v>
      </c>
      <c r="AQ35" s="189">
        <v>23656239.68</v>
      </c>
      <c r="AR35" s="189">
        <v>0</v>
      </c>
    </row>
    <row r="36" spans="1:44" x14ac:dyDescent="0.25">
      <c r="A36" s="189" t="s">
        <v>251</v>
      </c>
      <c r="B36" s="189">
        <v>224232852.75</v>
      </c>
      <c r="C36" s="189">
        <v>196624600</v>
      </c>
      <c r="D36" s="189">
        <v>0</v>
      </c>
      <c r="E36" s="189">
        <v>131818598.90000001</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c r="AQ36" s="189">
        <v>0</v>
      </c>
      <c r="AR36" s="189">
        <v>0</v>
      </c>
    </row>
    <row r="37" spans="1:44" x14ac:dyDescent="0.25">
      <c r="A37" s="189" t="s">
        <v>252</v>
      </c>
      <c r="B37" s="189">
        <v>129844900</v>
      </c>
      <c r="C37" s="189">
        <v>124888325</v>
      </c>
      <c r="D37" s="189">
        <v>52046041.670000002</v>
      </c>
      <c r="E37" s="189">
        <v>55500000</v>
      </c>
      <c r="F37" s="189">
        <v>29569.71</v>
      </c>
      <c r="G37" s="189">
        <v>29569.71</v>
      </c>
      <c r="H37" s="189">
        <v>0</v>
      </c>
      <c r="I37" s="189">
        <v>1386274187.3699999</v>
      </c>
      <c r="J37" s="189">
        <v>25000000</v>
      </c>
      <c r="K37" s="189">
        <v>25000000</v>
      </c>
      <c r="L37" s="189">
        <v>0</v>
      </c>
      <c r="M37" s="189">
        <v>107144157.8</v>
      </c>
      <c r="N37" s="189">
        <v>0</v>
      </c>
      <c r="O37" s="189">
        <v>0</v>
      </c>
      <c r="P37" s="189">
        <v>0</v>
      </c>
      <c r="Q37" s="189">
        <v>16545428.710000001</v>
      </c>
      <c r="R37" s="189">
        <v>1184000</v>
      </c>
      <c r="S37" s="189">
        <v>0</v>
      </c>
      <c r="T37" s="189">
        <v>0</v>
      </c>
      <c r="U37" s="189">
        <v>0</v>
      </c>
      <c r="V37" s="189">
        <v>0</v>
      </c>
      <c r="W37" s="189">
        <v>0</v>
      </c>
      <c r="X37" s="189">
        <v>0</v>
      </c>
      <c r="Y37" s="189">
        <v>33010135.219999999</v>
      </c>
      <c r="Z37" s="189">
        <v>0</v>
      </c>
      <c r="AA37" s="189">
        <v>0</v>
      </c>
      <c r="AB37" s="189">
        <v>0</v>
      </c>
      <c r="AC37" s="189">
        <v>35283176.82</v>
      </c>
      <c r="AD37" s="189">
        <v>0</v>
      </c>
      <c r="AE37" s="189">
        <v>0</v>
      </c>
      <c r="AF37" s="189">
        <v>0</v>
      </c>
      <c r="AG37" s="189">
        <v>0</v>
      </c>
      <c r="AH37" s="189">
        <v>0</v>
      </c>
      <c r="AI37" s="189">
        <v>0</v>
      </c>
      <c r="AJ37" s="189">
        <v>0</v>
      </c>
      <c r="AK37" s="189">
        <v>2420000</v>
      </c>
      <c r="AL37" s="189">
        <v>2420000</v>
      </c>
      <c r="AM37" s="189">
        <v>2420000</v>
      </c>
      <c r="AN37" s="189">
        <v>830000</v>
      </c>
      <c r="AO37" s="189">
        <v>0</v>
      </c>
      <c r="AP37" s="189">
        <v>0</v>
      </c>
      <c r="AQ37" s="189">
        <v>0</v>
      </c>
      <c r="AR37" s="189">
        <v>0</v>
      </c>
    </row>
    <row r="38" spans="1:44" x14ac:dyDescent="0.25">
      <c r="A38" s="189" t="s">
        <v>253</v>
      </c>
      <c r="B38" s="189">
        <v>1019835399.35</v>
      </c>
      <c r="C38" s="189">
        <v>927575379.40999997</v>
      </c>
      <c r="D38" s="189">
        <v>449331009.94</v>
      </c>
      <c r="E38" s="189">
        <v>770847852.53999996</v>
      </c>
      <c r="F38" s="189">
        <v>502152635.41000003</v>
      </c>
      <c r="G38" s="189">
        <v>416501834.66000003</v>
      </c>
      <c r="H38" s="189">
        <v>156105564.25999999</v>
      </c>
      <c r="I38" s="189">
        <v>1985214254.47</v>
      </c>
      <c r="J38" s="189">
        <v>430208774.81999999</v>
      </c>
      <c r="K38" s="189">
        <v>403975196.58999997</v>
      </c>
      <c r="L38" s="189">
        <v>303947998.07999998</v>
      </c>
      <c r="M38" s="189">
        <v>198928116</v>
      </c>
      <c r="N38" s="189">
        <v>81995112.400000006</v>
      </c>
      <c r="O38" s="189">
        <v>32633817.059999999</v>
      </c>
      <c r="P38" s="189">
        <v>2700000</v>
      </c>
      <c r="Q38" s="189">
        <v>27441428.710000001</v>
      </c>
      <c r="R38" s="189">
        <v>8330000</v>
      </c>
      <c r="S38" s="189">
        <v>264541514.31</v>
      </c>
      <c r="T38" s="189">
        <v>146622648.84</v>
      </c>
      <c r="U38" s="189">
        <v>409122898.64999998</v>
      </c>
      <c r="V38" s="189">
        <v>345180033.44</v>
      </c>
      <c r="W38" s="189">
        <v>118284640.20999999</v>
      </c>
      <c r="X38" s="189">
        <v>35753497.829999998</v>
      </c>
      <c r="Y38" s="189">
        <v>476347883.16000003</v>
      </c>
      <c r="Z38" s="189">
        <v>362256861.89999998</v>
      </c>
      <c r="AA38" s="189">
        <v>143508515.66999999</v>
      </c>
      <c r="AB38" s="189">
        <v>13278324.85</v>
      </c>
      <c r="AC38" s="189">
        <v>265352506.72999999</v>
      </c>
      <c r="AD38" s="189">
        <v>230069329.91</v>
      </c>
      <c r="AE38" s="189">
        <v>90325805.290000007</v>
      </c>
      <c r="AF38" s="189">
        <v>11760770</v>
      </c>
      <c r="AG38" s="189">
        <v>125636774.77</v>
      </c>
      <c r="AH38" s="189">
        <v>120371404.94</v>
      </c>
      <c r="AI38" s="189">
        <v>25657146.600000001</v>
      </c>
      <c r="AJ38" s="189">
        <v>23673402.59</v>
      </c>
      <c r="AK38" s="189">
        <v>133034192.62</v>
      </c>
      <c r="AL38" s="189">
        <v>88135317.280000001</v>
      </c>
      <c r="AM38" s="189">
        <v>52031626.369999997</v>
      </c>
      <c r="AN38" s="189">
        <v>12310931.119999999</v>
      </c>
      <c r="AO38" s="189">
        <v>87201821.409999996</v>
      </c>
      <c r="AP38" s="189">
        <v>50099981.340000004</v>
      </c>
      <c r="AQ38" s="189">
        <v>48656239.68</v>
      </c>
      <c r="AR38" s="189">
        <v>0</v>
      </c>
    </row>
    <row r="39" spans="1:44" x14ac:dyDescent="0.25">
      <c r="A39" s="189" t="s">
        <v>254</v>
      </c>
      <c r="B39" s="189">
        <v>-375335399.35000002</v>
      </c>
      <c r="C39" s="189">
        <v>-317575379.41000003</v>
      </c>
      <c r="D39" s="189">
        <v>-106331009.94</v>
      </c>
      <c r="E39" s="189">
        <v>2177816128.77</v>
      </c>
      <c r="F39" s="189">
        <v>1053413250.5700001</v>
      </c>
      <c r="G39" s="189">
        <v>1043583808.0599999</v>
      </c>
      <c r="H39" s="189">
        <v>938228435.74000001</v>
      </c>
      <c r="I39" s="189">
        <v>-1613319196.03</v>
      </c>
      <c r="J39" s="189">
        <v>686283.62</v>
      </c>
      <c r="K39" s="189">
        <v>-31080138.149999999</v>
      </c>
      <c r="L39" s="189">
        <v>-193052939.63999999</v>
      </c>
      <c r="M39" s="189">
        <v>2638301460.3400002</v>
      </c>
      <c r="N39" s="189">
        <v>265804887.59999999</v>
      </c>
      <c r="O39" s="189">
        <v>309166182.94</v>
      </c>
      <c r="P39" s="189">
        <v>321100000</v>
      </c>
      <c r="Q39" s="189">
        <v>-27441428.710000001</v>
      </c>
      <c r="R39" s="189">
        <v>-8330000</v>
      </c>
      <c r="S39" s="189">
        <v>-130109315.31</v>
      </c>
      <c r="T39" s="189">
        <v>-56122648.840000004</v>
      </c>
      <c r="U39" s="189">
        <v>60868143.649999999</v>
      </c>
      <c r="V39" s="189">
        <v>68561060.959999993</v>
      </c>
      <c r="W39" s="189">
        <v>60256343.07</v>
      </c>
      <c r="X39" s="189">
        <v>28203062.989999998</v>
      </c>
      <c r="Y39" s="189">
        <v>-2567977.89</v>
      </c>
      <c r="Z39" s="189">
        <v>8543138.0999999996</v>
      </c>
      <c r="AA39" s="189">
        <v>24491484.329999998</v>
      </c>
      <c r="AB39" s="189">
        <v>11721675.15</v>
      </c>
      <c r="AC39" s="189">
        <v>59122093.270000003</v>
      </c>
      <c r="AD39" s="189">
        <v>94405270.090000004</v>
      </c>
      <c r="AE39" s="189">
        <v>29148794.710000001</v>
      </c>
      <c r="AF39" s="189">
        <v>-1760770</v>
      </c>
      <c r="AG39" s="189">
        <v>337087825.23000002</v>
      </c>
      <c r="AH39" s="189">
        <v>312353195.06</v>
      </c>
      <c r="AI39" s="189">
        <v>295267453.39999998</v>
      </c>
      <c r="AJ39" s="189">
        <v>267251197.41</v>
      </c>
      <c r="AK39" s="189">
        <v>15765807.380000001</v>
      </c>
      <c r="AL39" s="189">
        <v>14664682.720000001</v>
      </c>
      <c r="AM39" s="189">
        <v>2968373.63</v>
      </c>
      <c r="AN39" s="189">
        <v>2689068.88</v>
      </c>
      <c r="AO39" s="189">
        <v>4798178.59</v>
      </c>
      <c r="AP39" s="189">
        <v>23900018.66</v>
      </c>
      <c r="AQ39" s="189">
        <v>2943760.32</v>
      </c>
      <c r="AR39" s="189">
        <v>0</v>
      </c>
    </row>
    <row r="40" spans="1:44" x14ac:dyDescent="0.25">
      <c r="A40" s="189" t="s">
        <v>255</v>
      </c>
      <c r="B40" s="189">
        <v>14432495.42</v>
      </c>
      <c r="C40" s="189">
        <v>2444490.86</v>
      </c>
      <c r="D40" s="189">
        <v>-17430586.879999999</v>
      </c>
      <c r="E40" s="189">
        <v>-31913945.949999999</v>
      </c>
      <c r="F40" s="189">
        <v>-12072872.800000001</v>
      </c>
      <c r="G40" s="189">
        <v>-9648269.4900000002</v>
      </c>
      <c r="H40" s="189">
        <v>-513478.95</v>
      </c>
      <c r="I40" s="189">
        <v>17049510.09</v>
      </c>
      <c r="J40" s="189">
        <v>5756533.9199999999</v>
      </c>
      <c r="K40" s="189">
        <v>4606580.16</v>
      </c>
      <c r="L40" s="189">
        <v>-14396.91</v>
      </c>
      <c r="M40" s="189">
        <v>4277866.91</v>
      </c>
      <c r="N40" s="189">
        <v>2974609.18</v>
      </c>
      <c r="O40" s="189">
        <v>1428284.52</v>
      </c>
      <c r="P40" s="189">
        <v>1300008.29</v>
      </c>
      <c r="Q40" s="189">
        <v>68803.13</v>
      </c>
      <c r="R40" s="189">
        <v>395501.38</v>
      </c>
      <c r="S40" s="189">
        <v>587886.49</v>
      </c>
      <c r="T40" s="189">
        <v>136025.9</v>
      </c>
      <c r="U40" s="189">
        <v>-1814119.89</v>
      </c>
      <c r="V40" s="189">
        <v>-1574208.46</v>
      </c>
      <c r="W40" s="189">
        <v>-1102921.68</v>
      </c>
      <c r="X40" s="189">
        <v>-497933.99</v>
      </c>
      <c r="Y40" s="189">
        <v>-689488.7</v>
      </c>
      <c r="Z40" s="189">
        <v>0</v>
      </c>
      <c r="AA40" s="189">
        <v>0</v>
      </c>
      <c r="AB40" s="189">
        <v>-105996.24</v>
      </c>
      <c r="AC40" s="189">
        <v>-275439.19</v>
      </c>
      <c r="AD40" s="189">
        <v>-275439.19</v>
      </c>
      <c r="AE40" s="189">
        <v>-1687104.46</v>
      </c>
      <c r="AF40" s="189">
        <v>-228017.76</v>
      </c>
      <c r="AG40" s="189">
        <v>-712421.62</v>
      </c>
      <c r="AH40" s="189">
        <v>-280209.19</v>
      </c>
      <c r="AI40" s="189">
        <v>-399263.71</v>
      </c>
      <c r="AJ40" s="189">
        <v>-36189.82</v>
      </c>
      <c r="AK40" s="189">
        <v>-196825.19</v>
      </c>
      <c r="AL40" s="189">
        <v>-113460.74</v>
      </c>
      <c r="AM40" s="189">
        <v>-10123.030000000001</v>
      </c>
      <c r="AN40" s="189">
        <v>-24443.22</v>
      </c>
      <c r="AO40" s="189">
        <v>-103458.78</v>
      </c>
      <c r="AP40" s="189">
        <v>-278326.71000000002</v>
      </c>
      <c r="AQ40" s="189">
        <v>-248857.4</v>
      </c>
      <c r="AR40" s="189">
        <v>0</v>
      </c>
    </row>
    <row r="41" spans="1:44" x14ac:dyDescent="0.25">
      <c r="A41" s="189" t="s">
        <v>256</v>
      </c>
      <c r="B41" s="189">
        <v>-1241568907.74</v>
      </c>
      <c r="C41" s="189">
        <v>-1211361150.3399999</v>
      </c>
      <c r="D41" s="189">
        <v>-950874734.89999998</v>
      </c>
      <c r="E41" s="189">
        <v>1264493843.1400001</v>
      </c>
      <c r="F41" s="189">
        <v>459302019.5</v>
      </c>
      <c r="G41" s="189">
        <v>859678718.24000001</v>
      </c>
      <c r="H41" s="189">
        <v>470410472.35000002</v>
      </c>
      <c r="I41" s="189">
        <v>-166159562.65000001</v>
      </c>
      <c r="J41" s="189">
        <v>-152612274.09</v>
      </c>
      <c r="K41" s="189">
        <v>-193995111.83000001</v>
      </c>
      <c r="L41" s="189">
        <v>-244157674.27000001</v>
      </c>
      <c r="M41" s="189">
        <v>495183791.62</v>
      </c>
      <c r="N41" s="189">
        <v>-131476023.48999999</v>
      </c>
      <c r="O41" s="189">
        <v>-93201.56</v>
      </c>
      <c r="P41" s="189">
        <v>-22602722.850000001</v>
      </c>
      <c r="Q41" s="189">
        <v>85280586.489999995</v>
      </c>
      <c r="R41" s="189">
        <v>10662342.32</v>
      </c>
      <c r="S41" s="189">
        <v>-27815756.379999999</v>
      </c>
      <c r="T41" s="189">
        <v>-31703242.420000002</v>
      </c>
      <c r="U41" s="189">
        <v>15603383.539999999</v>
      </c>
      <c r="V41" s="189">
        <v>-20396983.57</v>
      </c>
      <c r="W41" s="189">
        <v>-2413453.33</v>
      </c>
      <c r="X41" s="189">
        <v>-18844628.780000001</v>
      </c>
      <c r="Y41" s="189">
        <v>-31376622.890000001</v>
      </c>
      <c r="Z41" s="189">
        <v>-55129559.509999998</v>
      </c>
      <c r="AA41" s="189">
        <v>-23259910.890000001</v>
      </c>
      <c r="AB41" s="189">
        <v>-53671984.450000003</v>
      </c>
      <c r="AC41" s="189">
        <v>-147441356.47</v>
      </c>
      <c r="AD41" s="189">
        <v>-112158179.65000001</v>
      </c>
      <c r="AE41" s="189">
        <v>-98808487.019999996</v>
      </c>
      <c r="AF41" s="189">
        <v>-26793257.309999999</v>
      </c>
      <c r="AG41" s="189">
        <v>179224168.40000001</v>
      </c>
      <c r="AH41" s="189">
        <v>187084872.30000001</v>
      </c>
      <c r="AI41" s="189">
        <v>211961928.78999999</v>
      </c>
      <c r="AJ41" s="189">
        <v>233869695.36000001</v>
      </c>
      <c r="AK41" s="189">
        <v>17482057.800000001</v>
      </c>
      <c r="AL41" s="189">
        <v>-5700451.4000000004</v>
      </c>
      <c r="AM41" s="189">
        <v>10460273.67</v>
      </c>
      <c r="AN41" s="189">
        <v>8078.38</v>
      </c>
      <c r="AO41" s="189">
        <v>-10522103.67</v>
      </c>
      <c r="AP41" s="189">
        <v>17116295.370000001</v>
      </c>
      <c r="AQ41" s="189">
        <v>-1471517</v>
      </c>
      <c r="AR41" s="189">
        <v>0</v>
      </c>
    </row>
    <row r="42" spans="1:44" x14ac:dyDescent="0.25">
      <c r="A42" s="189" t="s">
        <v>257</v>
      </c>
      <c r="B42" s="189">
        <v>1821883022.1900001</v>
      </c>
      <c r="C42" s="189">
        <v>1821883022.1900001</v>
      </c>
      <c r="D42" s="189">
        <v>1821883022.1900001</v>
      </c>
      <c r="E42" s="189">
        <v>557389179.04999995</v>
      </c>
      <c r="F42" s="189">
        <v>557389179.04999995</v>
      </c>
      <c r="G42" s="189">
        <v>557389179.04999995</v>
      </c>
      <c r="H42" s="189">
        <v>873443183.88</v>
      </c>
      <c r="I42" s="189">
        <v>723548741.70000005</v>
      </c>
      <c r="J42" s="189">
        <v>723548741.70000005</v>
      </c>
      <c r="K42" s="189">
        <v>723548741.70000005</v>
      </c>
      <c r="L42" s="189">
        <v>723548741.70000005</v>
      </c>
      <c r="M42" s="189">
        <v>228364950.08000001</v>
      </c>
      <c r="N42" s="189">
        <v>249301893.03</v>
      </c>
      <c r="O42" s="189">
        <v>228364950.08000001</v>
      </c>
      <c r="P42" s="189">
        <v>228364950.08000001</v>
      </c>
      <c r="Q42" s="189">
        <v>143084363.59</v>
      </c>
      <c r="R42" s="189">
        <v>143084363.59</v>
      </c>
      <c r="S42" s="189">
        <v>42418327.289999999</v>
      </c>
      <c r="T42" s="189">
        <v>42418327.289999999</v>
      </c>
      <c r="U42" s="189">
        <v>26790874.5</v>
      </c>
      <c r="V42" s="189">
        <v>26790874.5</v>
      </c>
      <c r="W42" s="189">
        <v>26790832.170000002</v>
      </c>
      <c r="X42" s="189">
        <v>26790874.5</v>
      </c>
      <c r="Y42" s="189">
        <v>58167497.390000001</v>
      </c>
      <c r="Z42" s="189">
        <v>93450674.209999993</v>
      </c>
      <c r="AA42" s="189">
        <v>93450674.209999993</v>
      </c>
      <c r="AB42" s="189">
        <v>93450674.209999993</v>
      </c>
      <c r="AC42" s="189">
        <v>205608853.86000001</v>
      </c>
      <c r="AD42" s="189">
        <v>205608853.86000001</v>
      </c>
      <c r="AE42" s="189">
        <v>205608853.86000001</v>
      </c>
      <c r="AF42" s="189">
        <v>205608853.86000001</v>
      </c>
      <c r="AG42" s="189">
        <v>26384685.460000001</v>
      </c>
      <c r="AH42" s="189">
        <v>26384685.460000001</v>
      </c>
      <c r="AI42" s="189">
        <v>26384685.460000001</v>
      </c>
      <c r="AJ42" s="189">
        <v>26384685.460000001</v>
      </c>
      <c r="AK42" s="189">
        <v>8902627.6600000001</v>
      </c>
      <c r="AL42" s="189">
        <v>8902627.6600000001</v>
      </c>
      <c r="AM42" s="189">
        <v>8902627.6600000001</v>
      </c>
      <c r="AN42" s="189">
        <v>8902627.6600000001</v>
      </c>
      <c r="AO42" s="189">
        <v>19424731.329999998</v>
      </c>
      <c r="AP42" s="189">
        <v>2308435.96</v>
      </c>
      <c r="AQ42" s="189">
        <v>2235577.0099999998</v>
      </c>
      <c r="AR42" s="189">
        <v>0</v>
      </c>
    </row>
    <row r="43" spans="1:44" x14ac:dyDescent="0.25">
      <c r="A43" s="189" t="s">
        <v>258</v>
      </c>
      <c r="B43" s="189">
        <v>580314114.45000005</v>
      </c>
      <c r="C43" s="189">
        <v>610521871.85000002</v>
      </c>
      <c r="D43" s="189">
        <v>871008287.28999996</v>
      </c>
      <c r="E43" s="189">
        <v>1821883022.1900001</v>
      </c>
      <c r="F43" s="189">
        <v>1016691198.55</v>
      </c>
      <c r="G43" s="189">
        <v>1417067897.29</v>
      </c>
      <c r="H43" s="189">
        <v>1343853656.23</v>
      </c>
      <c r="I43" s="189">
        <v>557389179.04999995</v>
      </c>
      <c r="J43" s="189">
        <v>570936467.61000001</v>
      </c>
      <c r="K43" s="189">
        <v>529553629.87</v>
      </c>
      <c r="L43" s="189">
        <v>479391067.43000001</v>
      </c>
      <c r="M43" s="189">
        <v>723548741.70000005</v>
      </c>
      <c r="N43" s="189">
        <v>117825869.54000001</v>
      </c>
      <c r="O43" s="189">
        <v>228271748.52000001</v>
      </c>
      <c r="P43" s="189">
        <v>205762227.22999999</v>
      </c>
      <c r="Q43" s="189">
        <v>228364950.08000001</v>
      </c>
      <c r="R43" s="189">
        <v>153746705.91</v>
      </c>
      <c r="S43" s="189">
        <v>14602570.91</v>
      </c>
      <c r="T43" s="189">
        <v>10715084.869999999</v>
      </c>
      <c r="U43" s="189">
        <v>42394258.039999999</v>
      </c>
      <c r="V43" s="189">
        <v>6393890.9299999997</v>
      </c>
      <c r="W43" s="189">
        <v>24377378.84</v>
      </c>
      <c r="X43" s="189">
        <v>7946245.7199999997</v>
      </c>
      <c r="Y43" s="189">
        <v>26790874.5</v>
      </c>
      <c r="Z43" s="189">
        <v>38321114.700000003</v>
      </c>
      <c r="AA43" s="189">
        <v>70190763.319999993</v>
      </c>
      <c r="AB43" s="189">
        <v>39778689.759999998</v>
      </c>
      <c r="AC43" s="189">
        <v>58167497.390000001</v>
      </c>
      <c r="AD43" s="189">
        <v>93450674.209999993</v>
      </c>
      <c r="AE43" s="189">
        <v>106800366.84</v>
      </c>
      <c r="AF43" s="189">
        <v>178815596.55000001</v>
      </c>
      <c r="AG43" s="189">
        <v>205608853.86000001</v>
      </c>
      <c r="AH43" s="189">
        <v>213469557.75999999</v>
      </c>
      <c r="AI43" s="189">
        <v>238346614.25</v>
      </c>
      <c r="AJ43" s="189">
        <v>260254380.81999999</v>
      </c>
      <c r="AK43" s="189">
        <v>26384685.460000001</v>
      </c>
      <c r="AL43" s="189">
        <v>3202176.26</v>
      </c>
      <c r="AM43" s="189">
        <v>19362901.329999998</v>
      </c>
      <c r="AN43" s="189">
        <v>8910706.0399999991</v>
      </c>
      <c r="AO43" s="189">
        <v>8902627.6600000001</v>
      </c>
      <c r="AP43" s="189">
        <v>19424731.329999998</v>
      </c>
      <c r="AQ43" s="189">
        <v>764060.01</v>
      </c>
      <c r="AR43" s="189">
        <v>0</v>
      </c>
    </row>
    <row r="44" spans="1:44" x14ac:dyDescent="0.25">
      <c r="A44" s="189" t="s">
        <v>259</v>
      </c>
    </row>
    <row r="45" spans="1:44" x14ac:dyDescent="0.25">
      <c r="A45" s="189" t="s">
        <v>260</v>
      </c>
      <c r="B45" s="189">
        <v>0</v>
      </c>
      <c r="C45" s="189">
        <v>305476755.51999998</v>
      </c>
      <c r="D45" s="189">
        <v>0</v>
      </c>
      <c r="E45" s="189">
        <v>1240323015.6500001</v>
      </c>
      <c r="F45" s="189">
        <v>0</v>
      </c>
      <c r="G45" s="189">
        <v>612420849.51999998</v>
      </c>
      <c r="H45" s="189">
        <v>0</v>
      </c>
      <c r="I45" s="189">
        <v>545578064.13999999</v>
      </c>
      <c r="J45" s="189">
        <v>0</v>
      </c>
      <c r="K45" s="189">
        <v>200667924.03999999</v>
      </c>
      <c r="L45" s="189">
        <v>0</v>
      </c>
      <c r="M45" s="189">
        <v>356422980.22000003</v>
      </c>
      <c r="N45" s="189">
        <v>0</v>
      </c>
      <c r="O45" s="189">
        <v>139909192.87</v>
      </c>
      <c r="P45" s="189">
        <v>0</v>
      </c>
      <c r="Q45" s="189">
        <v>234044906.06</v>
      </c>
      <c r="R45" s="189">
        <v>0</v>
      </c>
      <c r="S45" s="189">
        <v>-6537008.5199999996</v>
      </c>
      <c r="T45" s="189">
        <v>0</v>
      </c>
      <c r="U45" s="189">
        <v>11075527.08</v>
      </c>
      <c r="V45" s="189">
        <v>0</v>
      </c>
      <c r="W45" s="189">
        <v>11703317.119999999</v>
      </c>
      <c r="X45" s="189">
        <v>0</v>
      </c>
      <c r="Y45" s="189">
        <v>22372027.75</v>
      </c>
      <c r="Z45" s="189">
        <v>0</v>
      </c>
      <c r="AA45" s="189">
        <v>14390610.59</v>
      </c>
      <c r="AB45" s="189">
        <v>0</v>
      </c>
      <c r="AC45" s="189">
        <v>30839425.940000001</v>
      </c>
      <c r="AD45" s="189">
        <v>0</v>
      </c>
      <c r="AE45" s="189">
        <v>8994970.0600000005</v>
      </c>
      <c r="AF45" s="189">
        <v>0</v>
      </c>
      <c r="AG45" s="189">
        <v>13597742.91</v>
      </c>
      <c r="AH45" s="189">
        <v>0</v>
      </c>
      <c r="AI45" s="189">
        <v>4134199.36</v>
      </c>
      <c r="AJ45" s="189">
        <v>0</v>
      </c>
      <c r="AK45" s="189">
        <v>29789402.100000001</v>
      </c>
      <c r="AL45" s="189">
        <v>0</v>
      </c>
      <c r="AM45" s="189">
        <v>8489806</v>
      </c>
      <c r="AN45" s="189">
        <v>0</v>
      </c>
      <c r="AO45" s="189">
        <v>32754311.77</v>
      </c>
      <c r="AP45" s="189">
        <v>28500980.800000001</v>
      </c>
      <c r="AQ45" s="189">
        <v>26468454.059999999</v>
      </c>
      <c r="AR45" s="189">
        <v>0</v>
      </c>
    </row>
    <row r="46" spans="1:44" x14ac:dyDescent="0.25">
      <c r="A46" s="189" t="s">
        <v>187</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c r="AN46" s="189">
        <v>0</v>
      </c>
      <c r="AO46" s="189">
        <v>0</v>
      </c>
      <c r="AP46" s="189">
        <v>0</v>
      </c>
      <c r="AQ46" s="189">
        <v>0</v>
      </c>
      <c r="AR46" s="189">
        <v>0</v>
      </c>
    </row>
    <row r="47" spans="1:44" x14ac:dyDescent="0.25">
      <c r="A47" s="189" t="s">
        <v>261</v>
      </c>
      <c r="B47" s="189">
        <v>0</v>
      </c>
      <c r="C47" s="189">
        <v>0</v>
      </c>
      <c r="D47" s="189">
        <v>0</v>
      </c>
      <c r="E47" s="189">
        <v>0</v>
      </c>
      <c r="F47" s="189">
        <v>0</v>
      </c>
      <c r="G47" s="189">
        <v>0</v>
      </c>
      <c r="H47" s="189">
        <v>0</v>
      </c>
      <c r="I47" s="189">
        <v>0</v>
      </c>
      <c r="J47" s="189">
        <v>0</v>
      </c>
      <c r="K47" s="189">
        <v>0</v>
      </c>
      <c r="L47" s="189">
        <v>0</v>
      </c>
      <c r="M47" s="189">
        <v>0</v>
      </c>
      <c r="N47" s="189">
        <v>0</v>
      </c>
      <c r="O47" s="189">
        <v>0</v>
      </c>
      <c r="P47" s="189">
        <v>0</v>
      </c>
      <c r="Q47" s="189">
        <v>0</v>
      </c>
      <c r="R47" s="189">
        <v>0</v>
      </c>
      <c r="S47" s="189">
        <v>0</v>
      </c>
      <c r="T47" s="189">
        <v>0</v>
      </c>
      <c r="U47" s="189">
        <v>0</v>
      </c>
      <c r="V47" s="189">
        <v>0</v>
      </c>
      <c r="W47" s="189">
        <v>0</v>
      </c>
      <c r="X47" s="189">
        <v>0</v>
      </c>
      <c r="Y47" s="189">
        <v>0</v>
      </c>
      <c r="Z47" s="189">
        <v>0</v>
      </c>
      <c r="AA47" s="189">
        <v>0</v>
      </c>
      <c r="AB47" s="189">
        <v>0</v>
      </c>
      <c r="AC47" s="189">
        <v>0</v>
      </c>
      <c r="AD47" s="189">
        <v>0</v>
      </c>
      <c r="AE47" s="189">
        <v>0</v>
      </c>
      <c r="AF47" s="189">
        <v>0</v>
      </c>
      <c r="AG47" s="189">
        <v>0</v>
      </c>
      <c r="AH47" s="189">
        <v>0</v>
      </c>
      <c r="AI47" s="189">
        <v>0</v>
      </c>
      <c r="AJ47" s="189">
        <v>0</v>
      </c>
      <c r="AK47" s="189">
        <v>0</v>
      </c>
      <c r="AL47" s="189">
        <v>0</v>
      </c>
      <c r="AM47" s="189">
        <v>0</v>
      </c>
      <c r="AN47" s="189">
        <v>0</v>
      </c>
      <c r="AO47" s="189">
        <v>0</v>
      </c>
      <c r="AP47" s="189">
        <v>0</v>
      </c>
      <c r="AQ47" s="189">
        <v>0</v>
      </c>
      <c r="AR47" s="189">
        <v>0</v>
      </c>
    </row>
    <row r="48" spans="1:44" x14ac:dyDescent="0.25">
      <c r="A48" s="189" t="s">
        <v>262</v>
      </c>
      <c r="B48" s="189">
        <v>0</v>
      </c>
      <c r="C48" s="189">
        <v>11094350.9</v>
      </c>
      <c r="D48" s="189">
        <v>0</v>
      </c>
      <c r="E48" s="189">
        <v>94553626.400000006</v>
      </c>
      <c r="F48" s="189">
        <v>0</v>
      </c>
      <c r="G48" s="189">
        <v>10098933.4</v>
      </c>
      <c r="H48" s="189">
        <v>0</v>
      </c>
      <c r="I48" s="189">
        <v>29691962.469999999</v>
      </c>
      <c r="J48" s="189">
        <v>0</v>
      </c>
      <c r="K48" s="189">
        <v>3958780.17</v>
      </c>
      <c r="L48" s="189">
        <v>0</v>
      </c>
      <c r="M48" s="189">
        <v>25403369.030000001</v>
      </c>
      <c r="N48" s="189">
        <v>0</v>
      </c>
      <c r="O48" s="189">
        <v>2445124.89</v>
      </c>
      <c r="P48" s="189">
        <v>0</v>
      </c>
      <c r="Q48" s="189">
        <v>1263500.74</v>
      </c>
      <c r="R48" s="189">
        <v>0</v>
      </c>
      <c r="S48" s="189">
        <v>-1551647.8</v>
      </c>
      <c r="T48" s="189">
        <v>0</v>
      </c>
      <c r="U48" s="189">
        <v>808807.22</v>
      </c>
      <c r="V48" s="189">
        <v>0</v>
      </c>
      <c r="W48" s="189">
        <v>718505.48</v>
      </c>
      <c r="X48" s="189">
        <v>0</v>
      </c>
      <c r="Y48" s="189">
        <v>77412.22</v>
      </c>
      <c r="Z48" s="189">
        <v>0</v>
      </c>
      <c r="AA48" s="189">
        <v>-435229.57</v>
      </c>
      <c r="AB48" s="189">
        <v>0</v>
      </c>
      <c r="AC48" s="189">
        <v>1220059.21</v>
      </c>
      <c r="AD48" s="189">
        <v>0</v>
      </c>
      <c r="AE48" s="189">
        <v>0</v>
      </c>
      <c r="AF48" s="189">
        <v>0</v>
      </c>
      <c r="AG48" s="189">
        <v>-4600</v>
      </c>
      <c r="AH48" s="189">
        <v>0</v>
      </c>
      <c r="AI48" s="189">
        <v>0</v>
      </c>
      <c r="AJ48" s="189">
        <v>0</v>
      </c>
      <c r="AK48" s="189">
        <v>4600</v>
      </c>
      <c r="AL48" s="189">
        <v>0</v>
      </c>
      <c r="AM48" s="189">
        <v>45102.78</v>
      </c>
      <c r="AN48" s="189">
        <v>0</v>
      </c>
      <c r="AO48" s="189">
        <v>0</v>
      </c>
      <c r="AP48" s="189">
        <v>0</v>
      </c>
      <c r="AQ48" s="189">
        <v>0</v>
      </c>
      <c r="AR48" s="189">
        <v>0</v>
      </c>
    </row>
    <row r="49" spans="1:44" x14ac:dyDescent="0.25">
      <c r="A49" s="189" t="s">
        <v>263</v>
      </c>
      <c r="B49" s="189">
        <v>0</v>
      </c>
      <c r="C49" s="189">
        <v>5630434.1500000004</v>
      </c>
      <c r="D49" s="189">
        <v>0</v>
      </c>
      <c r="E49" s="189">
        <v>10106944.25</v>
      </c>
      <c r="F49" s="189">
        <v>0</v>
      </c>
      <c r="G49" s="189">
        <v>4529943.97</v>
      </c>
      <c r="H49" s="189">
        <v>0</v>
      </c>
      <c r="I49" s="189">
        <v>4393351.9800000004</v>
      </c>
      <c r="J49" s="189">
        <v>0</v>
      </c>
      <c r="K49" s="189">
        <v>2562811.63</v>
      </c>
      <c r="L49" s="189">
        <v>0</v>
      </c>
      <c r="M49" s="189">
        <v>4355917.71</v>
      </c>
      <c r="N49" s="189">
        <v>0</v>
      </c>
      <c r="O49" s="189">
        <v>881735.42</v>
      </c>
      <c r="P49" s="189">
        <v>0</v>
      </c>
      <c r="Q49" s="189">
        <v>4083043.19</v>
      </c>
      <c r="R49" s="189">
        <v>0</v>
      </c>
      <c r="S49" s="189">
        <v>11652838.689999999</v>
      </c>
      <c r="T49" s="189">
        <v>0</v>
      </c>
      <c r="U49" s="189">
        <v>23231511.260000002</v>
      </c>
      <c r="V49" s="189">
        <v>0</v>
      </c>
      <c r="W49" s="189">
        <v>11179193.16</v>
      </c>
      <c r="X49" s="189">
        <v>0</v>
      </c>
      <c r="Y49" s="189">
        <v>12717169.41</v>
      </c>
      <c r="Z49" s="189">
        <v>0</v>
      </c>
      <c r="AA49" s="189">
        <v>5894600.79</v>
      </c>
      <c r="AB49" s="189">
        <v>0</v>
      </c>
      <c r="AC49" s="189">
        <v>11047959.460000001</v>
      </c>
      <c r="AD49" s="189">
        <v>0</v>
      </c>
      <c r="AE49" s="189">
        <v>5468010.21</v>
      </c>
      <c r="AF49" s="189">
        <v>0</v>
      </c>
      <c r="AG49" s="189">
        <v>8580931.3399999999</v>
      </c>
      <c r="AH49" s="189">
        <v>0</v>
      </c>
      <c r="AI49" s="189">
        <v>4170010.03</v>
      </c>
      <c r="AJ49" s="189">
        <v>0</v>
      </c>
      <c r="AK49" s="189">
        <v>7211478.79</v>
      </c>
      <c r="AL49" s="189">
        <v>0</v>
      </c>
      <c r="AM49" s="189">
        <v>3203056.65</v>
      </c>
      <c r="AN49" s="189">
        <v>0</v>
      </c>
      <c r="AO49" s="189">
        <v>5524485.0800000001</v>
      </c>
      <c r="AP49" s="189">
        <v>4111925.34</v>
      </c>
      <c r="AQ49" s="189">
        <v>2798273.21</v>
      </c>
      <c r="AR49" s="189">
        <v>0</v>
      </c>
    </row>
    <row r="50" spans="1:44" x14ac:dyDescent="0.25">
      <c r="A50" s="189" t="s">
        <v>264</v>
      </c>
      <c r="B50" s="189">
        <v>0</v>
      </c>
      <c r="C50" s="189">
        <v>11886792.34</v>
      </c>
      <c r="D50" s="189">
        <v>0</v>
      </c>
      <c r="E50" s="189">
        <v>25960197.460000001</v>
      </c>
      <c r="F50" s="189">
        <v>0</v>
      </c>
      <c r="G50" s="189">
        <v>3813975.67</v>
      </c>
      <c r="H50" s="189">
        <v>0</v>
      </c>
      <c r="I50" s="189">
        <v>9214147.1500000004</v>
      </c>
      <c r="J50" s="189">
        <v>0</v>
      </c>
      <c r="K50" s="189">
        <v>3770341.35</v>
      </c>
      <c r="L50" s="189">
        <v>0</v>
      </c>
      <c r="M50" s="189">
        <v>534578.49</v>
      </c>
      <c r="N50" s="189">
        <v>0</v>
      </c>
      <c r="O50" s="189">
        <v>258028.9</v>
      </c>
      <c r="P50" s="189">
        <v>0</v>
      </c>
      <c r="Q50" s="189">
        <v>500747.55</v>
      </c>
      <c r="R50" s="189">
        <v>0</v>
      </c>
      <c r="S50" s="189">
        <v>1055513.1399999999</v>
      </c>
      <c r="T50" s="189">
        <v>0</v>
      </c>
      <c r="U50" s="189">
        <v>2172978.92</v>
      </c>
      <c r="V50" s="189">
        <v>0</v>
      </c>
      <c r="W50" s="189">
        <v>1083531.78</v>
      </c>
      <c r="X50" s="189">
        <v>0</v>
      </c>
      <c r="Y50" s="189">
        <v>1716867.98</v>
      </c>
      <c r="Z50" s="189">
        <v>0</v>
      </c>
      <c r="AA50" s="189">
        <v>740735.66</v>
      </c>
      <c r="AB50" s="189">
        <v>0</v>
      </c>
      <c r="AC50" s="189">
        <v>733298.94</v>
      </c>
      <c r="AD50" s="189">
        <v>0</v>
      </c>
      <c r="AE50" s="189">
        <v>193564.64</v>
      </c>
      <c r="AF50" s="189">
        <v>0</v>
      </c>
      <c r="AG50" s="189">
        <v>387720.95</v>
      </c>
      <c r="AH50" s="189">
        <v>0</v>
      </c>
      <c r="AI50" s="189">
        <v>193860.48000000001</v>
      </c>
      <c r="AJ50" s="189">
        <v>0</v>
      </c>
      <c r="AK50" s="189">
        <v>799792.36</v>
      </c>
      <c r="AL50" s="189">
        <v>0</v>
      </c>
      <c r="AM50" s="189">
        <v>394647.47</v>
      </c>
      <c r="AN50" s="189">
        <v>0</v>
      </c>
      <c r="AO50" s="189">
        <v>204063.48</v>
      </c>
      <c r="AP50" s="189">
        <v>124788.43</v>
      </c>
      <c r="AQ50" s="189">
        <v>0</v>
      </c>
      <c r="AR50" s="189">
        <v>0</v>
      </c>
    </row>
    <row r="51" spans="1:44" x14ac:dyDescent="0.25">
      <c r="A51" s="189" t="s">
        <v>265</v>
      </c>
      <c r="B51" s="189">
        <v>0</v>
      </c>
      <c r="C51" s="189">
        <v>16072012.83</v>
      </c>
      <c r="D51" s="189">
        <v>0</v>
      </c>
      <c r="E51" s="189">
        <v>23874535.640000001</v>
      </c>
      <c r="F51" s="189">
        <v>0</v>
      </c>
      <c r="G51" s="189">
        <v>10369192.199999999</v>
      </c>
      <c r="H51" s="189">
        <v>0</v>
      </c>
      <c r="I51" s="189">
        <v>4235312.3099999996</v>
      </c>
      <c r="J51" s="189">
        <v>0</v>
      </c>
      <c r="K51" s="189">
        <v>2132814.7000000002</v>
      </c>
      <c r="L51" s="189">
        <v>0</v>
      </c>
      <c r="M51" s="189">
        <v>1885843.01</v>
      </c>
      <c r="N51" s="189">
        <v>0</v>
      </c>
      <c r="O51" s="189">
        <v>583666.67000000004</v>
      </c>
      <c r="P51" s="189">
        <v>0</v>
      </c>
      <c r="Q51" s="189">
        <v>345839.93</v>
      </c>
      <c r="R51" s="189">
        <v>0</v>
      </c>
      <c r="S51" s="189">
        <v>0</v>
      </c>
      <c r="T51" s="189">
        <v>0</v>
      </c>
      <c r="U51" s="189">
        <v>0</v>
      </c>
      <c r="V51" s="189">
        <v>0</v>
      </c>
      <c r="W51" s="189">
        <v>0</v>
      </c>
      <c r="X51" s="189">
        <v>0</v>
      </c>
      <c r="Y51" s="189">
        <v>0</v>
      </c>
      <c r="Z51" s="189">
        <v>0</v>
      </c>
      <c r="AA51" s="189">
        <v>0</v>
      </c>
      <c r="AB51" s="189">
        <v>0</v>
      </c>
      <c r="AC51" s="189">
        <v>0</v>
      </c>
      <c r="AD51" s="189">
        <v>0</v>
      </c>
      <c r="AE51" s="189">
        <v>0</v>
      </c>
      <c r="AF51" s="189">
        <v>0</v>
      </c>
      <c r="AG51" s="189">
        <v>0</v>
      </c>
      <c r="AH51" s="189">
        <v>0</v>
      </c>
      <c r="AI51" s="189">
        <v>0</v>
      </c>
      <c r="AJ51" s="189">
        <v>0</v>
      </c>
      <c r="AK51" s="189">
        <v>0</v>
      </c>
      <c r="AL51" s="189">
        <v>0</v>
      </c>
      <c r="AM51" s="189">
        <v>0</v>
      </c>
      <c r="AN51" s="189">
        <v>0</v>
      </c>
      <c r="AO51" s="189">
        <v>388159.98</v>
      </c>
      <c r="AP51" s="189">
        <v>717675.11</v>
      </c>
      <c r="AQ51" s="189">
        <v>0</v>
      </c>
      <c r="AR51" s="189">
        <v>0</v>
      </c>
    </row>
    <row r="52" spans="1:44" x14ac:dyDescent="0.25">
      <c r="A52" s="189" t="s">
        <v>266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0</v>
      </c>
      <c r="AM52" s="189">
        <v>0</v>
      </c>
      <c r="AN52" s="189">
        <v>0</v>
      </c>
      <c r="AO52" s="189">
        <v>0</v>
      </c>
      <c r="AP52" s="189">
        <v>0</v>
      </c>
      <c r="AQ52" s="189">
        <v>0</v>
      </c>
      <c r="AR52" s="189">
        <v>0</v>
      </c>
    </row>
    <row r="53" spans="1:44" x14ac:dyDescent="0.25">
      <c r="A53" s="189" t="s">
        <v>267</v>
      </c>
      <c r="B53" s="189">
        <v>0</v>
      </c>
      <c r="C53" s="189">
        <v>0</v>
      </c>
      <c r="D53" s="189">
        <v>0</v>
      </c>
      <c r="E53" s="189">
        <v>0</v>
      </c>
      <c r="F53" s="189">
        <v>0</v>
      </c>
      <c r="G53" s="189">
        <v>0</v>
      </c>
      <c r="H53" s="189">
        <v>0</v>
      </c>
      <c r="I53" s="189">
        <v>0</v>
      </c>
      <c r="J53" s="189">
        <v>0</v>
      </c>
      <c r="K53" s="189">
        <v>0</v>
      </c>
      <c r="L53" s="189">
        <v>0</v>
      </c>
      <c r="M53" s="189">
        <v>0</v>
      </c>
      <c r="N53" s="189">
        <v>0</v>
      </c>
      <c r="O53" s="189">
        <v>0</v>
      </c>
      <c r="P53" s="189">
        <v>0</v>
      </c>
      <c r="Q53" s="189">
        <v>0</v>
      </c>
      <c r="R53" s="189">
        <v>0</v>
      </c>
      <c r="S53" s="189">
        <v>0</v>
      </c>
      <c r="T53" s="189">
        <v>0</v>
      </c>
      <c r="U53" s="189">
        <v>0</v>
      </c>
      <c r="V53" s="189">
        <v>0</v>
      </c>
      <c r="W53" s="189">
        <v>0</v>
      </c>
      <c r="X53" s="189">
        <v>0</v>
      </c>
      <c r="Y53" s="189">
        <v>0</v>
      </c>
      <c r="Z53" s="189">
        <v>0</v>
      </c>
      <c r="AA53" s="189">
        <v>0</v>
      </c>
      <c r="AB53" s="189">
        <v>0</v>
      </c>
      <c r="AC53" s="189">
        <v>0</v>
      </c>
      <c r="AD53" s="189">
        <v>0</v>
      </c>
      <c r="AE53" s="189">
        <v>0</v>
      </c>
      <c r="AF53" s="189">
        <v>0</v>
      </c>
      <c r="AG53" s="189">
        <v>0</v>
      </c>
      <c r="AH53" s="189">
        <v>0</v>
      </c>
      <c r="AI53" s="189">
        <v>0</v>
      </c>
      <c r="AJ53" s="189">
        <v>0</v>
      </c>
      <c r="AK53" s="189">
        <v>0</v>
      </c>
      <c r="AL53" s="189">
        <v>0</v>
      </c>
      <c r="AM53" s="189">
        <v>0</v>
      </c>
      <c r="AN53" s="189">
        <v>0</v>
      </c>
      <c r="AO53" s="189">
        <v>0</v>
      </c>
      <c r="AP53" s="189">
        <v>0</v>
      </c>
      <c r="AQ53" s="189">
        <v>0</v>
      </c>
      <c r="AR53" s="189">
        <v>0</v>
      </c>
    </row>
    <row r="54" spans="1:44" x14ac:dyDescent="0.25">
      <c r="A54" s="189" t="s">
        <v>268</v>
      </c>
      <c r="B54" s="189">
        <v>0</v>
      </c>
      <c r="C54" s="189">
        <v>0</v>
      </c>
      <c r="D54" s="189">
        <v>0</v>
      </c>
      <c r="E54" s="189">
        <v>-4503.07</v>
      </c>
      <c r="F54" s="189">
        <v>0</v>
      </c>
      <c r="G54" s="189">
        <v>23586.54</v>
      </c>
      <c r="H54" s="189">
        <v>0</v>
      </c>
      <c r="I54" s="189">
        <v>185418.47</v>
      </c>
      <c r="J54" s="189">
        <v>0</v>
      </c>
      <c r="K54" s="189">
        <v>-193390.34</v>
      </c>
      <c r="L54" s="189">
        <v>0</v>
      </c>
      <c r="M54" s="189">
        <v>0</v>
      </c>
      <c r="N54" s="189">
        <v>0</v>
      </c>
      <c r="O54" s="189">
        <v>0</v>
      </c>
      <c r="P54" s="189">
        <v>0</v>
      </c>
      <c r="Q54" s="189">
        <v>0</v>
      </c>
      <c r="R54" s="189">
        <v>0</v>
      </c>
      <c r="S54" s="189">
        <v>0</v>
      </c>
      <c r="T54" s="189">
        <v>0</v>
      </c>
      <c r="U54" s="189">
        <v>4790.8999999999996</v>
      </c>
      <c r="V54" s="189">
        <v>0</v>
      </c>
      <c r="W54" s="189">
        <v>4790.8999999999996</v>
      </c>
      <c r="X54" s="189">
        <v>0</v>
      </c>
      <c r="Y54" s="189">
        <v>-205062.79</v>
      </c>
      <c r="Z54" s="189">
        <v>0</v>
      </c>
      <c r="AA54" s="189">
        <v>-205062.79</v>
      </c>
      <c r="AB54" s="189">
        <v>0</v>
      </c>
      <c r="AC54" s="189">
        <v>-9619.31</v>
      </c>
      <c r="AD54" s="189">
        <v>0</v>
      </c>
      <c r="AE54" s="189">
        <v>-7091.5</v>
      </c>
      <c r="AF54" s="189">
        <v>0</v>
      </c>
      <c r="AG54" s="189">
        <v>-21506.3</v>
      </c>
      <c r="AH54" s="189">
        <v>0</v>
      </c>
      <c r="AI54" s="189">
        <v>0</v>
      </c>
      <c r="AJ54" s="189">
        <v>0</v>
      </c>
      <c r="AK54" s="189">
        <v>0</v>
      </c>
      <c r="AL54" s="189">
        <v>0</v>
      </c>
      <c r="AM54" s="189">
        <v>0</v>
      </c>
      <c r="AN54" s="189">
        <v>0</v>
      </c>
      <c r="AO54" s="189">
        <v>0</v>
      </c>
      <c r="AP54" s="189">
        <v>0</v>
      </c>
      <c r="AQ54" s="189">
        <v>0</v>
      </c>
      <c r="AR54" s="189">
        <v>0</v>
      </c>
    </row>
    <row r="55" spans="1:44" x14ac:dyDescent="0.25">
      <c r="A55" s="189" t="s">
        <v>269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14513.82</v>
      </c>
      <c r="V55" s="189">
        <v>0</v>
      </c>
      <c r="W55" s="189">
        <v>566</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row>
    <row r="56" spans="1:44" x14ac:dyDescent="0.25">
      <c r="A56" s="189" t="s">
        <v>270</v>
      </c>
      <c r="B56" s="189">
        <v>0</v>
      </c>
      <c r="C56" s="189">
        <v>0</v>
      </c>
      <c r="D56" s="189">
        <v>0</v>
      </c>
      <c r="E56" s="189">
        <v>4656798.32</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row>
    <row r="57" spans="1:44" x14ac:dyDescent="0.25">
      <c r="A57" s="189" t="s">
        <v>271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row>
    <row r="58" spans="1:44" x14ac:dyDescent="0.25">
      <c r="A58" s="189" t="s">
        <v>272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row>
    <row r="59" spans="1:44" x14ac:dyDescent="0.25">
      <c r="A59" s="189" t="s">
        <v>197</v>
      </c>
      <c r="B59" s="189">
        <v>0</v>
      </c>
      <c r="C59" s="189">
        <v>73141862.719999999</v>
      </c>
      <c r="D59" s="189">
        <v>0</v>
      </c>
      <c r="E59" s="189">
        <v>115985614.09999999</v>
      </c>
      <c r="F59" s="189">
        <v>0</v>
      </c>
      <c r="G59" s="189">
        <v>45983245.640000001</v>
      </c>
      <c r="H59" s="189">
        <v>0</v>
      </c>
      <c r="I59" s="189">
        <v>21006458.350000001</v>
      </c>
      <c r="J59" s="189">
        <v>0</v>
      </c>
      <c r="K59" s="189">
        <v>7505354.7199999997</v>
      </c>
      <c r="L59" s="189">
        <v>0</v>
      </c>
      <c r="M59" s="189">
        <v>50834923.82</v>
      </c>
      <c r="N59" s="189">
        <v>0</v>
      </c>
      <c r="O59" s="189">
        <v>9698692.9000000004</v>
      </c>
      <c r="P59" s="189">
        <v>0</v>
      </c>
      <c r="Q59" s="189">
        <v>68803.13</v>
      </c>
      <c r="R59" s="189">
        <v>0</v>
      </c>
      <c r="S59" s="189">
        <v>10161884.439999999</v>
      </c>
      <c r="T59" s="189">
        <v>0</v>
      </c>
      <c r="U59" s="189">
        <v>28699670.649999999</v>
      </c>
      <c r="V59" s="189">
        <v>0</v>
      </c>
      <c r="W59" s="189">
        <v>16292106.16</v>
      </c>
      <c r="X59" s="189">
        <v>0</v>
      </c>
      <c r="Y59" s="189">
        <v>21141306.690000001</v>
      </c>
      <c r="Z59" s="189">
        <v>0</v>
      </c>
      <c r="AA59" s="189">
        <v>8965404.25</v>
      </c>
      <c r="AB59" s="189">
        <v>0</v>
      </c>
      <c r="AC59" s="189">
        <v>16246684.449999999</v>
      </c>
      <c r="AD59" s="189">
        <v>0</v>
      </c>
      <c r="AE59" s="189">
        <v>6212909.75</v>
      </c>
      <c r="AF59" s="189">
        <v>0</v>
      </c>
      <c r="AG59" s="189">
        <v>8604374.1699999999</v>
      </c>
      <c r="AH59" s="189">
        <v>0</v>
      </c>
      <c r="AI59" s="189">
        <v>3944015.31</v>
      </c>
      <c r="AJ59" s="189">
        <v>0</v>
      </c>
      <c r="AK59" s="189">
        <v>6822617.8099999996</v>
      </c>
      <c r="AL59" s="189">
        <v>0</v>
      </c>
      <c r="AM59" s="189">
        <v>3174071.62</v>
      </c>
      <c r="AN59" s="189">
        <v>0</v>
      </c>
      <c r="AO59" s="189">
        <v>6305280.1900000004</v>
      </c>
      <c r="AP59" s="189">
        <v>4752841.2300000004</v>
      </c>
      <c r="AQ59" s="189">
        <v>2346431.63</v>
      </c>
      <c r="AR59" s="189">
        <v>0</v>
      </c>
    </row>
    <row r="60" spans="1:44" x14ac:dyDescent="0.25">
      <c r="A60" s="189" t="s">
        <v>273</v>
      </c>
      <c r="B60" s="189">
        <v>0</v>
      </c>
      <c r="C60" s="189">
        <v>-83762742.060000002</v>
      </c>
      <c r="D60" s="189">
        <v>0</v>
      </c>
      <c r="E60" s="189">
        <v>-436171969.31</v>
      </c>
      <c r="F60" s="189">
        <v>0</v>
      </c>
      <c r="G60" s="189">
        <v>-45578909.719999999</v>
      </c>
      <c r="H60" s="189">
        <v>0</v>
      </c>
      <c r="I60" s="189">
        <v>-38378979.119999997</v>
      </c>
      <c r="J60" s="189">
        <v>0</v>
      </c>
      <c r="K60" s="189">
        <v>2197303.89</v>
      </c>
      <c r="L60" s="189">
        <v>0</v>
      </c>
      <c r="M60" s="189">
        <v>-42283944.75</v>
      </c>
      <c r="N60" s="189">
        <v>0</v>
      </c>
      <c r="O60" s="189">
        <v>-1887857.32</v>
      </c>
      <c r="P60" s="189">
        <v>0</v>
      </c>
      <c r="Q60" s="189">
        <v>-44974358.68</v>
      </c>
      <c r="R60" s="189">
        <v>0</v>
      </c>
      <c r="S60" s="189">
        <v>0</v>
      </c>
      <c r="T60" s="189">
        <v>0</v>
      </c>
      <c r="U60" s="189">
        <v>0</v>
      </c>
      <c r="V60" s="189">
        <v>0</v>
      </c>
      <c r="W60" s="189">
        <v>0</v>
      </c>
      <c r="X60" s="189">
        <v>0</v>
      </c>
      <c r="Y60" s="189">
        <v>0</v>
      </c>
      <c r="Z60" s="189">
        <v>0</v>
      </c>
      <c r="AA60" s="189">
        <v>0</v>
      </c>
      <c r="AB60" s="189">
        <v>0</v>
      </c>
      <c r="AC60" s="189">
        <v>0</v>
      </c>
      <c r="AD60" s="189">
        <v>0</v>
      </c>
      <c r="AE60" s="189">
        <v>0</v>
      </c>
      <c r="AF60" s="189">
        <v>0</v>
      </c>
      <c r="AG60" s="189">
        <v>0</v>
      </c>
      <c r="AH60" s="189">
        <v>0</v>
      </c>
      <c r="AI60" s="189">
        <v>0</v>
      </c>
      <c r="AJ60" s="189">
        <v>0</v>
      </c>
      <c r="AK60" s="189">
        <v>0</v>
      </c>
      <c r="AL60" s="189">
        <v>0</v>
      </c>
      <c r="AM60" s="189">
        <v>0</v>
      </c>
      <c r="AN60" s="189">
        <v>0</v>
      </c>
      <c r="AO60" s="189">
        <v>0</v>
      </c>
      <c r="AP60" s="189">
        <v>0</v>
      </c>
      <c r="AQ60" s="189">
        <v>0</v>
      </c>
      <c r="AR60" s="189">
        <v>0</v>
      </c>
    </row>
    <row r="61" spans="1:44" x14ac:dyDescent="0.25">
      <c r="A61" s="189" t="s">
        <v>274</v>
      </c>
      <c r="B61" s="189">
        <v>0</v>
      </c>
      <c r="C61" s="189">
        <v>-216590.94</v>
      </c>
      <c r="D61" s="189">
        <v>0</v>
      </c>
      <c r="E61" s="189">
        <v>7912794.8700000001</v>
      </c>
      <c r="F61" s="189">
        <v>0</v>
      </c>
      <c r="G61" s="189">
        <v>-23397045.690000001</v>
      </c>
      <c r="H61" s="189">
        <v>0</v>
      </c>
      <c r="I61" s="189">
        <v>-15916480.83</v>
      </c>
      <c r="J61" s="189">
        <v>0</v>
      </c>
      <c r="K61" s="189">
        <v>-5375328.9000000004</v>
      </c>
      <c r="L61" s="189">
        <v>0</v>
      </c>
      <c r="M61" s="189">
        <v>-5881323.46</v>
      </c>
      <c r="N61" s="189">
        <v>0</v>
      </c>
      <c r="O61" s="189">
        <v>-151663.41</v>
      </c>
      <c r="P61" s="189">
        <v>0</v>
      </c>
      <c r="Q61" s="189">
        <v>-4920038.55</v>
      </c>
      <c r="R61" s="189">
        <v>0</v>
      </c>
      <c r="S61" s="189">
        <v>193090.56</v>
      </c>
      <c r="T61" s="189">
        <v>0</v>
      </c>
      <c r="U61" s="189">
        <v>-429247.83</v>
      </c>
      <c r="V61" s="189">
        <v>0</v>
      </c>
      <c r="W61" s="189">
        <v>-66146.41</v>
      </c>
      <c r="X61" s="189">
        <v>0</v>
      </c>
      <c r="Y61" s="189">
        <v>-61029.78</v>
      </c>
      <c r="Z61" s="189">
        <v>0</v>
      </c>
      <c r="AA61" s="189">
        <v>38479.74</v>
      </c>
      <c r="AB61" s="189">
        <v>0</v>
      </c>
      <c r="AC61" s="189">
        <v>-229382.61</v>
      </c>
      <c r="AD61" s="189">
        <v>0</v>
      </c>
      <c r="AE61" s="189">
        <v>0</v>
      </c>
      <c r="AF61" s="189">
        <v>0</v>
      </c>
      <c r="AG61" s="189">
        <v>1150</v>
      </c>
      <c r="AH61" s="189">
        <v>0</v>
      </c>
      <c r="AI61" s="189">
        <v>0</v>
      </c>
      <c r="AJ61" s="189">
        <v>0</v>
      </c>
      <c r="AK61" s="189">
        <v>-1150</v>
      </c>
      <c r="AL61" s="189">
        <v>0</v>
      </c>
      <c r="AM61" s="189">
        <v>-211719.17</v>
      </c>
      <c r="AN61" s="189">
        <v>0</v>
      </c>
      <c r="AO61" s="189">
        <v>0</v>
      </c>
      <c r="AP61" s="189">
        <v>0</v>
      </c>
      <c r="AQ61" s="189">
        <v>0</v>
      </c>
      <c r="AR61" s="189">
        <v>0</v>
      </c>
    </row>
    <row r="62" spans="1:44" x14ac:dyDescent="0.25">
      <c r="A62" s="189" t="s">
        <v>275</v>
      </c>
      <c r="B62" s="189">
        <v>0</v>
      </c>
      <c r="C62" s="189">
        <v>-6922087.0599999996</v>
      </c>
      <c r="D62" s="189">
        <v>0</v>
      </c>
      <c r="E62" s="189">
        <v>25088616.989999998</v>
      </c>
      <c r="F62" s="189">
        <v>0</v>
      </c>
      <c r="G62" s="189">
        <v>-9904027.8900000006</v>
      </c>
      <c r="H62" s="189">
        <v>0</v>
      </c>
      <c r="I62" s="189">
        <v>49196666.170000002</v>
      </c>
      <c r="J62" s="189">
        <v>0</v>
      </c>
      <c r="K62" s="189">
        <v>-522972.09</v>
      </c>
      <c r="L62" s="189">
        <v>0</v>
      </c>
      <c r="M62" s="189">
        <v>1181672.78</v>
      </c>
      <c r="N62" s="189">
        <v>0</v>
      </c>
      <c r="O62" s="189">
        <v>0</v>
      </c>
      <c r="P62" s="189">
        <v>0</v>
      </c>
      <c r="Q62" s="189">
        <v>4406249.67</v>
      </c>
      <c r="R62" s="189">
        <v>0</v>
      </c>
      <c r="S62" s="189">
        <v>0</v>
      </c>
      <c r="T62" s="189">
        <v>0</v>
      </c>
      <c r="U62" s="189">
        <v>0</v>
      </c>
      <c r="V62" s="189">
        <v>0</v>
      </c>
      <c r="W62" s="189">
        <v>0</v>
      </c>
      <c r="X62" s="189">
        <v>0</v>
      </c>
      <c r="Y62" s="189">
        <v>0</v>
      </c>
      <c r="Z62" s="189">
        <v>0</v>
      </c>
      <c r="AA62" s="189">
        <v>0</v>
      </c>
      <c r="AB62" s="189">
        <v>0</v>
      </c>
      <c r="AC62" s="189">
        <v>0</v>
      </c>
      <c r="AD62" s="189">
        <v>0</v>
      </c>
      <c r="AE62" s="189">
        <v>0</v>
      </c>
      <c r="AF62" s="189">
        <v>0</v>
      </c>
      <c r="AG62" s="189">
        <v>0</v>
      </c>
      <c r="AH62" s="189">
        <v>0</v>
      </c>
      <c r="AI62" s="189">
        <v>0</v>
      </c>
      <c r="AJ62" s="189">
        <v>0</v>
      </c>
      <c r="AK62" s="189">
        <v>0</v>
      </c>
      <c r="AL62" s="189">
        <v>0</v>
      </c>
      <c r="AM62" s="189">
        <v>0</v>
      </c>
      <c r="AN62" s="189">
        <v>0</v>
      </c>
      <c r="AO62" s="189">
        <v>0</v>
      </c>
      <c r="AP62" s="189">
        <v>0</v>
      </c>
      <c r="AQ62" s="189">
        <v>0</v>
      </c>
      <c r="AR62" s="189">
        <v>0</v>
      </c>
    </row>
    <row r="63" spans="1:44" x14ac:dyDescent="0.25">
      <c r="A63" s="189" t="s">
        <v>276</v>
      </c>
      <c r="B63" s="189">
        <v>0</v>
      </c>
      <c r="C63" s="189">
        <v>2186015.2400000002</v>
      </c>
      <c r="D63" s="189">
        <v>0</v>
      </c>
      <c r="E63" s="189">
        <v>-20909976.59</v>
      </c>
      <c r="F63" s="189">
        <v>0</v>
      </c>
      <c r="G63" s="189">
        <v>-1602701.4</v>
      </c>
      <c r="H63" s="189">
        <v>0</v>
      </c>
      <c r="I63" s="189">
        <v>0</v>
      </c>
      <c r="J63" s="189">
        <v>0</v>
      </c>
      <c r="K63" s="189">
        <v>0</v>
      </c>
      <c r="L63" s="189">
        <v>0</v>
      </c>
      <c r="M63" s="189">
        <v>0</v>
      </c>
      <c r="N63" s="189">
        <v>0</v>
      </c>
      <c r="O63" s="189">
        <v>0</v>
      </c>
      <c r="P63" s="189">
        <v>0</v>
      </c>
      <c r="Q63" s="189">
        <v>0</v>
      </c>
      <c r="R63" s="189">
        <v>0</v>
      </c>
      <c r="S63" s="189">
        <v>-17536742.460000001</v>
      </c>
      <c r="T63" s="189">
        <v>0</v>
      </c>
      <c r="U63" s="189">
        <v>-38370743.490000002</v>
      </c>
      <c r="V63" s="189">
        <v>0</v>
      </c>
      <c r="W63" s="189">
        <v>-20754739.77</v>
      </c>
      <c r="X63" s="189">
        <v>0</v>
      </c>
      <c r="Y63" s="189">
        <v>-34300323.93</v>
      </c>
      <c r="Z63" s="189">
        <v>0</v>
      </c>
      <c r="AA63" s="189">
        <v>-14626378.800000001</v>
      </c>
      <c r="AB63" s="189">
        <v>0</v>
      </c>
      <c r="AC63" s="189">
        <v>-14912522.810000001</v>
      </c>
      <c r="AD63" s="189">
        <v>0</v>
      </c>
      <c r="AE63" s="189">
        <v>-19452170.449999999</v>
      </c>
      <c r="AF63" s="189">
        <v>0</v>
      </c>
      <c r="AG63" s="189">
        <v>-71407360.280000001</v>
      </c>
      <c r="AH63" s="189">
        <v>0</v>
      </c>
      <c r="AI63" s="189">
        <v>-38787916.609999999</v>
      </c>
      <c r="AJ63" s="189">
        <v>0</v>
      </c>
      <c r="AK63" s="189">
        <v>-5760426.04</v>
      </c>
      <c r="AL63" s="189">
        <v>0</v>
      </c>
      <c r="AM63" s="189">
        <v>13628664.27</v>
      </c>
      <c r="AN63" s="189">
        <v>0</v>
      </c>
      <c r="AO63" s="189">
        <v>-3295365.5</v>
      </c>
      <c r="AP63" s="189">
        <v>-16365297.58</v>
      </c>
      <c r="AQ63" s="189">
        <v>-15186441.48</v>
      </c>
      <c r="AR63" s="189">
        <v>0</v>
      </c>
    </row>
    <row r="64" spans="1:44" x14ac:dyDescent="0.25">
      <c r="A64" s="189" t="s">
        <v>277</v>
      </c>
      <c r="B64" s="189">
        <v>0</v>
      </c>
      <c r="C64" s="189">
        <v>-589938015.20000005</v>
      </c>
      <c r="D64" s="189">
        <v>0</v>
      </c>
      <c r="E64" s="189">
        <v>-225767393.63999999</v>
      </c>
      <c r="F64" s="189">
        <v>0</v>
      </c>
      <c r="G64" s="189">
        <v>-735469693.73000002</v>
      </c>
      <c r="H64" s="189">
        <v>0</v>
      </c>
      <c r="I64" s="189">
        <v>-8445605.5</v>
      </c>
      <c r="J64" s="189">
        <v>0</v>
      </c>
      <c r="K64" s="189">
        <v>427812241.39999998</v>
      </c>
      <c r="L64" s="189">
        <v>0</v>
      </c>
      <c r="M64" s="189">
        <v>-438945955.00999999</v>
      </c>
      <c r="N64" s="189">
        <v>0</v>
      </c>
      <c r="O64" s="189">
        <v>-84632460.189999998</v>
      </c>
      <c r="P64" s="189">
        <v>0</v>
      </c>
      <c r="Q64" s="189">
        <v>-38325697.359999999</v>
      </c>
      <c r="R64" s="189">
        <v>0</v>
      </c>
      <c r="S64" s="189">
        <v>52651787.920000002</v>
      </c>
      <c r="T64" s="189">
        <v>0</v>
      </c>
      <c r="U64" s="189">
        <v>5452055.4299999997</v>
      </c>
      <c r="V64" s="189">
        <v>0</v>
      </c>
      <c r="W64" s="189">
        <v>-50182357.43</v>
      </c>
      <c r="X64" s="189">
        <v>0</v>
      </c>
      <c r="Y64" s="189">
        <v>65356015.100000001</v>
      </c>
      <c r="Z64" s="189">
        <v>0</v>
      </c>
      <c r="AA64" s="189">
        <v>-11173350.119999999</v>
      </c>
      <c r="AB64" s="189">
        <v>0</v>
      </c>
      <c r="AC64" s="189">
        <v>-50223440.729999997</v>
      </c>
      <c r="AD64" s="189">
        <v>0</v>
      </c>
      <c r="AE64" s="189">
        <v>-40485968.369999997</v>
      </c>
      <c r="AF64" s="189">
        <v>0</v>
      </c>
      <c r="AG64" s="189">
        <v>-40503258.619999997</v>
      </c>
      <c r="AH64" s="189">
        <v>0</v>
      </c>
      <c r="AI64" s="189">
        <v>-13351420.52</v>
      </c>
      <c r="AJ64" s="189">
        <v>0</v>
      </c>
      <c r="AK64" s="189">
        <v>-3350852.38</v>
      </c>
      <c r="AL64" s="189">
        <v>0</v>
      </c>
      <c r="AM64" s="189">
        <v>10354967.289999999</v>
      </c>
      <c r="AN64" s="189">
        <v>0</v>
      </c>
      <c r="AO64" s="189">
        <v>-16104185.960000001</v>
      </c>
      <c r="AP64" s="189">
        <v>-13370231.619999999</v>
      </c>
      <c r="AQ64" s="189">
        <v>4550257.67</v>
      </c>
      <c r="AR64" s="189">
        <v>0</v>
      </c>
    </row>
    <row r="65" spans="1:44" x14ac:dyDescent="0.25">
      <c r="A65" s="189" t="s">
        <v>278</v>
      </c>
      <c r="B65" s="189">
        <v>0</v>
      </c>
      <c r="C65" s="189">
        <v>22556714.289999999</v>
      </c>
      <c r="D65" s="189">
        <v>0</v>
      </c>
      <c r="E65" s="189">
        <v>28650930.460000001</v>
      </c>
      <c r="F65" s="189">
        <v>0</v>
      </c>
      <c r="G65" s="189">
        <v>663929010.03999996</v>
      </c>
      <c r="H65" s="189">
        <v>0</v>
      </c>
      <c r="I65" s="189">
        <v>-98598618.980000004</v>
      </c>
      <c r="J65" s="189">
        <v>0</v>
      </c>
      <c r="K65" s="189">
        <v>-388156549.58999997</v>
      </c>
      <c r="L65" s="189">
        <v>0</v>
      </c>
      <c r="M65" s="189">
        <v>366307401.61000001</v>
      </c>
      <c r="N65" s="189">
        <v>0</v>
      </c>
      <c r="O65" s="189">
        <v>82453168.930000007</v>
      </c>
      <c r="P65" s="189">
        <v>0</v>
      </c>
      <c r="Q65" s="189">
        <v>-26245442.32</v>
      </c>
      <c r="R65" s="189">
        <v>0</v>
      </c>
      <c r="S65" s="189">
        <v>73186591.700000003</v>
      </c>
      <c r="T65" s="189">
        <v>0</v>
      </c>
      <c r="U65" s="189">
        <v>1201266.6000000001</v>
      </c>
      <c r="V65" s="189">
        <v>0</v>
      </c>
      <c r="W65" s="189">
        <v>27963858.149999999</v>
      </c>
      <c r="X65" s="189">
        <v>0</v>
      </c>
      <c r="Y65" s="189">
        <v>-18339739.100000001</v>
      </c>
      <c r="Z65" s="189">
        <v>0</v>
      </c>
      <c r="AA65" s="189">
        <v>16040218.460000001</v>
      </c>
      <c r="AB65" s="189">
        <v>0</v>
      </c>
      <c r="AC65" s="189">
        <v>31503233.859999999</v>
      </c>
      <c r="AD65" s="189">
        <v>0</v>
      </c>
      <c r="AE65" s="189">
        <v>64438775.189999998</v>
      </c>
      <c r="AF65" s="189">
        <v>0</v>
      </c>
      <c r="AG65" s="189">
        <v>-22370956.829999998</v>
      </c>
      <c r="AH65" s="189">
        <v>0</v>
      </c>
      <c r="AI65" s="189">
        <v>-30218295.079999998</v>
      </c>
      <c r="AJ65" s="189">
        <v>0</v>
      </c>
      <c r="AK65" s="189">
        <v>-19626972.66</v>
      </c>
      <c r="AL65" s="189">
        <v>0</v>
      </c>
      <c r="AM65" s="189">
        <v>-21470150.600000001</v>
      </c>
      <c r="AN65" s="189">
        <v>0</v>
      </c>
      <c r="AO65" s="189">
        <v>-1257476.49</v>
      </c>
      <c r="AP65" s="189">
        <v>16687930.689999999</v>
      </c>
      <c r="AQ65" s="189">
        <v>-4154831.71</v>
      </c>
      <c r="AR65" s="189">
        <v>0</v>
      </c>
    </row>
    <row r="66" spans="1:44" x14ac:dyDescent="0.25">
      <c r="A66" s="189" t="s">
        <v>279</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row>
    <row r="67" spans="1:44" x14ac:dyDescent="0.25">
      <c r="A67" s="189" t="s">
        <v>280</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row>
    <row r="68" spans="1:44" x14ac:dyDescent="0.25">
      <c r="A68" s="189" t="s">
        <v>281</v>
      </c>
      <c r="B68" s="189">
        <v>0</v>
      </c>
      <c r="C68" s="189">
        <v>0</v>
      </c>
      <c r="D68" s="189">
        <v>0</v>
      </c>
      <c r="E68" s="189">
        <v>0</v>
      </c>
      <c r="F68" s="189">
        <v>0</v>
      </c>
      <c r="G68" s="189">
        <v>0</v>
      </c>
      <c r="H68" s="189">
        <v>0</v>
      </c>
      <c r="I68" s="189">
        <v>0</v>
      </c>
      <c r="J68" s="189">
        <v>0</v>
      </c>
      <c r="K68" s="189">
        <v>0</v>
      </c>
      <c r="L68" s="189">
        <v>0</v>
      </c>
      <c r="M68" s="189">
        <v>0</v>
      </c>
      <c r="N68" s="189">
        <v>0</v>
      </c>
      <c r="O68" s="189">
        <v>0</v>
      </c>
      <c r="P68" s="189">
        <v>0</v>
      </c>
      <c r="Q68" s="189">
        <v>0</v>
      </c>
      <c r="R68" s="189">
        <v>0</v>
      </c>
      <c r="S68" s="189">
        <v>0</v>
      </c>
      <c r="T68" s="189">
        <v>0</v>
      </c>
      <c r="U68" s="189">
        <v>0</v>
      </c>
      <c r="V68" s="189">
        <v>0</v>
      </c>
      <c r="W68" s="189">
        <v>0</v>
      </c>
      <c r="X68" s="189">
        <v>0</v>
      </c>
      <c r="Y68" s="189">
        <v>0</v>
      </c>
      <c r="Z68" s="189">
        <v>0</v>
      </c>
      <c r="AA68" s="189">
        <v>0</v>
      </c>
      <c r="AB68" s="189">
        <v>0</v>
      </c>
      <c r="AC68" s="189">
        <v>0</v>
      </c>
      <c r="AD68" s="189">
        <v>0</v>
      </c>
      <c r="AE68" s="189">
        <v>0</v>
      </c>
      <c r="AF68" s="189">
        <v>0</v>
      </c>
      <c r="AG68" s="189">
        <v>0</v>
      </c>
      <c r="AH68" s="189">
        <v>0</v>
      </c>
      <c r="AI68" s="189">
        <v>0</v>
      </c>
      <c r="AJ68" s="189">
        <v>0</v>
      </c>
      <c r="AK68" s="189">
        <v>0</v>
      </c>
      <c r="AL68" s="189">
        <v>0</v>
      </c>
      <c r="AM68" s="189">
        <v>0</v>
      </c>
      <c r="AN68" s="189">
        <v>0</v>
      </c>
      <c r="AO68" s="189">
        <v>0</v>
      </c>
      <c r="AP68" s="189">
        <v>0</v>
      </c>
      <c r="AQ68" s="189">
        <v>0</v>
      </c>
      <c r="AR68" s="189">
        <v>0</v>
      </c>
    </row>
    <row r="69" spans="1:44" x14ac:dyDescent="0.25">
      <c r="A69" s="189" t="s">
        <v>282</v>
      </c>
      <c r="B69" s="189">
        <v>0</v>
      </c>
      <c r="C69" s="189">
        <v>-232794497.27000001</v>
      </c>
      <c r="D69" s="189">
        <v>0</v>
      </c>
      <c r="E69" s="189">
        <v>894259231.52999997</v>
      </c>
      <c r="F69" s="189">
        <v>0</v>
      </c>
      <c r="G69" s="189">
        <v>535216358.55000001</v>
      </c>
      <c r="H69" s="189">
        <v>0</v>
      </c>
      <c r="I69" s="189">
        <v>502161696.61000001</v>
      </c>
      <c r="J69" s="189">
        <v>0</v>
      </c>
      <c r="K69" s="189">
        <v>256359330.97999999</v>
      </c>
      <c r="L69" s="189">
        <v>0</v>
      </c>
      <c r="M69" s="189">
        <v>319815463.44999999</v>
      </c>
      <c r="N69" s="189">
        <v>0</v>
      </c>
      <c r="O69" s="189">
        <v>149557629.66</v>
      </c>
      <c r="P69" s="189">
        <v>0</v>
      </c>
      <c r="Q69" s="189">
        <v>130247553.36</v>
      </c>
      <c r="R69" s="189">
        <v>0</v>
      </c>
      <c r="S69" s="189">
        <v>123276307.67</v>
      </c>
      <c r="T69" s="189">
        <v>0</v>
      </c>
      <c r="U69" s="189">
        <v>33861130.560000002</v>
      </c>
      <c r="V69" s="189">
        <v>0</v>
      </c>
      <c r="W69" s="189">
        <v>-2057374.86</v>
      </c>
      <c r="X69" s="189">
        <v>0</v>
      </c>
      <c r="Y69" s="189">
        <v>70474643.549999997</v>
      </c>
      <c r="Z69" s="189">
        <v>0</v>
      </c>
      <c r="AA69" s="189">
        <v>19630028.210000001</v>
      </c>
      <c r="AB69" s="189">
        <v>0</v>
      </c>
      <c r="AC69" s="189">
        <v>26215696.399999999</v>
      </c>
      <c r="AD69" s="189">
        <v>0</v>
      </c>
      <c r="AE69" s="189">
        <v>25362999.530000001</v>
      </c>
      <c r="AF69" s="189">
        <v>0</v>
      </c>
      <c r="AG69" s="189">
        <v>-103135762.66</v>
      </c>
      <c r="AH69" s="189">
        <v>0</v>
      </c>
      <c r="AI69" s="189">
        <v>-69915547.030000001</v>
      </c>
      <c r="AJ69" s="189">
        <v>0</v>
      </c>
      <c r="AK69" s="189">
        <v>15888489.98</v>
      </c>
      <c r="AL69" s="189">
        <v>0</v>
      </c>
      <c r="AM69" s="189">
        <v>17608446.309999999</v>
      </c>
      <c r="AN69" s="189">
        <v>0</v>
      </c>
      <c r="AO69" s="189">
        <v>24519272.550000001</v>
      </c>
      <c r="AP69" s="189">
        <v>25160612.399999999</v>
      </c>
      <c r="AQ69" s="189">
        <v>16822143.379999999</v>
      </c>
      <c r="AR69" s="189">
        <v>0</v>
      </c>
    </row>
    <row r="70" spans="1:44" x14ac:dyDescent="0.25">
      <c r="A70" s="189" t="s">
        <v>283</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0</v>
      </c>
      <c r="S70" s="189">
        <v>0</v>
      </c>
      <c r="T70" s="189">
        <v>0</v>
      </c>
      <c r="U70" s="189">
        <v>0</v>
      </c>
      <c r="V70" s="189">
        <v>0</v>
      </c>
      <c r="W70" s="189">
        <v>0</v>
      </c>
      <c r="X70" s="189">
        <v>0</v>
      </c>
      <c r="Y70" s="189">
        <v>0</v>
      </c>
      <c r="Z70" s="189">
        <v>0</v>
      </c>
      <c r="AA70" s="189">
        <v>0</v>
      </c>
      <c r="AB70" s="189">
        <v>0</v>
      </c>
      <c r="AC70" s="189">
        <v>0</v>
      </c>
      <c r="AD70" s="189">
        <v>0</v>
      </c>
      <c r="AE70" s="189">
        <v>0</v>
      </c>
      <c r="AF70" s="189">
        <v>0</v>
      </c>
      <c r="AG70" s="189">
        <v>0</v>
      </c>
      <c r="AH70" s="189">
        <v>0</v>
      </c>
      <c r="AI70" s="189">
        <v>0</v>
      </c>
      <c r="AJ70" s="189">
        <v>0</v>
      </c>
      <c r="AK70" s="189">
        <v>0</v>
      </c>
      <c r="AL70" s="189">
        <v>0</v>
      </c>
      <c r="AM70" s="189">
        <v>0</v>
      </c>
      <c r="AN70" s="189">
        <v>0</v>
      </c>
      <c r="AO70" s="189">
        <v>0</v>
      </c>
      <c r="AP70" s="189">
        <v>0</v>
      </c>
      <c r="AQ70" s="189">
        <v>0</v>
      </c>
      <c r="AR70" s="189">
        <v>0</v>
      </c>
    </row>
    <row r="71" spans="1:44" x14ac:dyDescent="0.25">
      <c r="A71" s="189" t="s">
        <v>284</v>
      </c>
      <c r="B71" s="189">
        <v>0</v>
      </c>
      <c r="C71" s="189">
        <v>0</v>
      </c>
      <c r="D71" s="189">
        <v>0</v>
      </c>
      <c r="E71" s="189">
        <v>0</v>
      </c>
      <c r="F71" s="189">
        <v>0</v>
      </c>
      <c r="G71" s="189">
        <v>0</v>
      </c>
      <c r="H71" s="189">
        <v>0</v>
      </c>
      <c r="I71" s="189">
        <v>0</v>
      </c>
      <c r="J71" s="189">
        <v>0</v>
      </c>
      <c r="K71" s="189">
        <v>0</v>
      </c>
      <c r="L71" s="189">
        <v>0</v>
      </c>
      <c r="M71" s="189">
        <v>0</v>
      </c>
      <c r="N71" s="189">
        <v>0</v>
      </c>
      <c r="O71" s="189">
        <v>0</v>
      </c>
      <c r="P71" s="189">
        <v>0</v>
      </c>
      <c r="Q71" s="189">
        <v>0</v>
      </c>
      <c r="R71" s="189">
        <v>0</v>
      </c>
      <c r="S71" s="189">
        <v>0</v>
      </c>
      <c r="T71" s="189">
        <v>0</v>
      </c>
      <c r="U71" s="189">
        <v>0</v>
      </c>
      <c r="V71" s="189">
        <v>0</v>
      </c>
      <c r="W71" s="189">
        <v>0</v>
      </c>
      <c r="X71" s="189">
        <v>0</v>
      </c>
      <c r="Y71" s="189">
        <v>0</v>
      </c>
      <c r="Z71" s="189">
        <v>0</v>
      </c>
      <c r="AA71" s="189">
        <v>0</v>
      </c>
      <c r="AB71" s="189">
        <v>0</v>
      </c>
      <c r="AC71" s="189">
        <v>0</v>
      </c>
      <c r="AD71" s="189">
        <v>0</v>
      </c>
      <c r="AE71" s="189">
        <v>0</v>
      </c>
      <c r="AF71" s="189">
        <v>0</v>
      </c>
      <c r="AG71" s="189">
        <v>0</v>
      </c>
      <c r="AH71" s="189">
        <v>0</v>
      </c>
      <c r="AI71" s="189">
        <v>0</v>
      </c>
      <c r="AJ71" s="189">
        <v>0</v>
      </c>
      <c r="AK71" s="189">
        <v>0</v>
      </c>
      <c r="AL71" s="189">
        <v>0</v>
      </c>
      <c r="AM71" s="189">
        <v>0</v>
      </c>
      <c r="AN71" s="189">
        <v>0</v>
      </c>
      <c r="AO71" s="189">
        <v>0</v>
      </c>
      <c r="AP71" s="189">
        <v>0</v>
      </c>
      <c r="AQ71" s="189">
        <v>0</v>
      </c>
      <c r="AR71" s="189">
        <v>0</v>
      </c>
    </row>
    <row r="72" spans="1:44" x14ac:dyDescent="0.25">
      <c r="A72" s="189" t="s">
        <v>285</v>
      </c>
      <c r="B72" s="189">
        <v>0</v>
      </c>
      <c r="C72" s="189">
        <v>0</v>
      </c>
      <c r="D72" s="189">
        <v>0</v>
      </c>
      <c r="E72" s="189">
        <v>0</v>
      </c>
      <c r="F72" s="189">
        <v>0</v>
      </c>
      <c r="G72" s="189">
        <v>0</v>
      </c>
      <c r="H72" s="189">
        <v>0</v>
      </c>
      <c r="I72" s="189">
        <v>0</v>
      </c>
      <c r="J72" s="189">
        <v>0</v>
      </c>
      <c r="K72" s="189">
        <v>0</v>
      </c>
      <c r="L72" s="189">
        <v>0</v>
      </c>
      <c r="M72" s="189">
        <v>0</v>
      </c>
      <c r="N72" s="189">
        <v>0</v>
      </c>
      <c r="O72" s="189">
        <v>0</v>
      </c>
      <c r="P72" s="189">
        <v>0</v>
      </c>
      <c r="Q72" s="189">
        <v>0</v>
      </c>
      <c r="R72" s="189">
        <v>0</v>
      </c>
      <c r="S72" s="189">
        <v>0</v>
      </c>
      <c r="T72" s="189">
        <v>0</v>
      </c>
      <c r="U72" s="189">
        <v>0</v>
      </c>
      <c r="V72" s="189">
        <v>0</v>
      </c>
      <c r="W72" s="189">
        <v>0</v>
      </c>
      <c r="X72" s="189">
        <v>0</v>
      </c>
      <c r="Y72" s="189">
        <v>0</v>
      </c>
      <c r="Z72" s="189">
        <v>0</v>
      </c>
      <c r="AA72" s="189">
        <v>0</v>
      </c>
      <c r="AB72" s="189">
        <v>0</v>
      </c>
      <c r="AC72" s="189">
        <v>0</v>
      </c>
      <c r="AD72" s="189">
        <v>0</v>
      </c>
      <c r="AE72" s="189">
        <v>0</v>
      </c>
      <c r="AF72" s="189">
        <v>0</v>
      </c>
      <c r="AG72" s="189">
        <v>0</v>
      </c>
      <c r="AH72" s="189">
        <v>0</v>
      </c>
      <c r="AI72" s="189">
        <v>0</v>
      </c>
      <c r="AJ72" s="189">
        <v>0</v>
      </c>
      <c r="AK72" s="189">
        <v>0</v>
      </c>
      <c r="AL72" s="189">
        <v>0</v>
      </c>
      <c r="AM72" s="189">
        <v>0</v>
      </c>
      <c r="AN72" s="189">
        <v>0</v>
      </c>
      <c r="AO72" s="189">
        <v>0</v>
      </c>
      <c r="AP72" s="189">
        <v>0</v>
      </c>
      <c r="AQ72" s="189">
        <v>0</v>
      </c>
      <c r="AR72" s="189">
        <v>0</v>
      </c>
    </row>
    <row r="73" spans="1:44" x14ac:dyDescent="0.25">
      <c r="A73" s="189" t="s">
        <v>286</v>
      </c>
      <c r="B73" s="189">
        <v>0</v>
      </c>
      <c r="C73" s="189">
        <v>610521871.85000002</v>
      </c>
      <c r="D73" s="189">
        <v>0</v>
      </c>
      <c r="E73" s="189">
        <v>1821883022.1900001</v>
      </c>
      <c r="F73" s="189">
        <v>0</v>
      </c>
      <c r="G73" s="189">
        <v>1417067897.29</v>
      </c>
      <c r="H73" s="189">
        <v>0</v>
      </c>
      <c r="I73" s="189">
        <v>557389179.04999995</v>
      </c>
      <c r="J73" s="189">
        <v>0</v>
      </c>
      <c r="K73" s="189">
        <v>529553629.87</v>
      </c>
      <c r="L73" s="189">
        <v>0</v>
      </c>
      <c r="M73" s="189">
        <v>723548741.70000005</v>
      </c>
      <c r="N73" s="189">
        <v>0</v>
      </c>
      <c r="O73" s="189">
        <v>228271748.52000001</v>
      </c>
      <c r="P73" s="189">
        <v>0</v>
      </c>
      <c r="Q73" s="189">
        <v>228364950.08000001</v>
      </c>
      <c r="R73" s="189">
        <v>0</v>
      </c>
      <c r="S73" s="189">
        <v>14602570.91</v>
      </c>
      <c r="T73" s="189">
        <v>0</v>
      </c>
      <c r="U73" s="189">
        <v>42394258.039999999</v>
      </c>
      <c r="V73" s="189">
        <v>0</v>
      </c>
      <c r="W73" s="189">
        <v>24377378.84</v>
      </c>
      <c r="X73" s="189">
        <v>0</v>
      </c>
      <c r="Y73" s="189">
        <v>26790874.5</v>
      </c>
      <c r="Z73" s="189">
        <v>0</v>
      </c>
      <c r="AA73" s="189">
        <v>70190763.319999993</v>
      </c>
      <c r="AB73" s="189">
        <v>0</v>
      </c>
      <c r="AC73" s="189">
        <v>58167497.390000001</v>
      </c>
      <c r="AD73" s="189">
        <v>0</v>
      </c>
      <c r="AE73" s="189">
        <v>106800366.84</v>
      </c>
      <c r="AF73" s="189">
        <v>0</v>
      </c>
      <c r="AG73" s="189">
        <v>205608853.86000001</v>
      </c>
      <c r="AH73" s="189">
        <v>0</v>
      </c>
      <c r="AI73" s="189">
        <v>238346614.25</v>
      </c>
      <c r="AJ73" s="189">
        <v>260254380.81999999</v>
      </c>
      <c r="AK73" s="189">
        <v>26384685.460000001</v>
      </c>
      <c r="AL73" s="189">
        <v>3202176.26</v>
      </c>
      <c r="AM73" s="189">
        <v>19362901.329999998</v>
      </c>
      <c r="AN73" s="189">
        <v>8910706.0399999991</v>
      </c>
      <c r="AO73" s="189">
        <v>8902627.6600000001</v>
      </c>
      <c r="AP73" s="189">
        <v>19424731.329999998</v>
      </c>
      <c r="AQ73" s="189">
        <v>764060.01</v>
      </c>
      <c r="AR73" s="189">
        <v>0</v>
      </c>
    </row>
    <row r="74" spans="1:44" x14ac:dyDescent="0.25">
      <c r="A74" s="189" t="s">
        <v>287</v>
      </c>
      <c r="B74" s="189">
        <v>0</v>
      </c>
      <c r="C74" s="189">
        <v>1821883022.1900001</v>
      </c>
      <c r="D74" s="189">
        <v>0</v>
      </c>
      <c r="E74" s="189">
        <v>557389179.04999995</v>
      </c>
      <c r="F74" s="189">
        <v>0</v>
      </c>
      <c r="G74" s="189">
        <v>557389179.04999995</v>
      </c>
      <c r="H74" s="189">
        <v>0</v>
      </c>
      <c r="I74" s="189">
        <v>723548741.70000005</v>
      </c>
      <c r="J74" s="189">
        <v>0</v>
      </c>
      <c r="K74" s="189">
        <v>723548741.70000005</v>
      </c>
      <c r="L74" s="189">
        <v>0</v>
      </c>
      <c r="M74" s="189">
        <v>228364950.08000001</v>
      </c>
      <c r="N74" s="189">
        <v>0</v>
      </c>
      <c r="O74" s="189">
        <v>228364950.08000001</v>
      </c>
      <c r="P74" s="189">
        <v>0</v>
      </c>
      <c r="Q74" s="189">
        <v>143084363.59</v>
      </c>
      <c r="R74" s="189">
        <v>0</v>
      </c>
      <c r="S74" s="189">
        <v>42418327.289999999</v>
      </c>
      <c r="T74" s="189">
        <v>0</v>
      </c>
      <c r="U74" s="189">
        <v>26790874.5</v>
      </c>
      <c r="V74" s="189">
        <v>0</v>
      </c>
      <c r="W74" s="189">
        <v>26790832.170000002</v>
      </c>
      <c r="X74" s="189">
        <v>0</v>
      </c>
      <c r="Y74" s="189">
        <v>58167497.390000001</v>
      </c>
      <c r="Z74" s="189">
        <v>0</v>
      </c>
      <c r="AA74" s="189">
        <v>93450674.209999993</v>
      </c>
      <c r="AB74" s="189">
        <v>0</v>
      </c>
      <c r="AC74" s="189">
        <v>205608853.86000001</v>
      </c>
      <c r="AD74" s="189">
        <v>0</v>
      </c>
      <c r="AE74" s="189">
        <v>205608853.86000001</v>
      </c>
      <c r="AF74" s="189">
        <v>0</v>
      </c>
      <c r="AG74" s="189">
        <v>26384685.460000001</v>
      </c>
      <c r="AH74" s="189">
        <v>0</v>
      </c>
      <c r="AI74" s="189">
        <v>26384685.460000001</v>
      </c>
      <c r="AJ74" s="189">
        <v>26384685.460000001</v>
      </c>
      <c r="AK74" s="189">
        <v>8902627.6600000001</v>
      </c>
      <c r="AL74" s="189">
        <v>8902627.6600000001</v>
      </c>
      <c r="AM74" s="189">
        <v>8902627.6600000001</v>
      </c>
      <c r="AN74" s="189">
        <v>8902627.6600000001</v>
      </c>
      <c r="AO74" s="189">
        <v>19424731.329999998</v>
      </c>
      <c r="AP74" s="189">
        <v>2308435.96</v>
      </c>
      <c r="AQ74" s="189">
        <v>2235577.0099999998</v>
      </c>
      <c r="AR74" s="189">
        <v>0</v>
      </c>
    </row>
    <row r="75" spans="1:44" x14ac:dyDescent="0.25">
      <c r="A75" s="189" t="s">
        <v>288</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row>
    <row r="76" spans="1:44" x14ac:dyDescent="0.25">
      <c r="A76" s="189" t="s">
        <v>289</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row>
    <row r="77" spans="1:44" x14ac:dyDescent="0.25">
      <c r="A77" s="189" t="s">
        <v>290</v>
      </c>
      <c r="B77" s="189">
        <v>0</v>
      </c>
      <c r="C77" s="189">
        <v>-1211361150.3399999</v>
      </c>
      <c r="D77" s="189">
        <v>0</v>
      </c>
      <c r="E77" s="189">
        <v>1264493843.1400001</v>
      </c>
      <c r="F77" s="189">
        <v>0</v>
      </c>
      <c r="G77" s="189">
        <v>859678718.24000001</v>
      </c>
      <c r="H77" s="189">
        <v>0</v>
      </c>
      <c r="I77" s="189">
        <v>-166159562.65000001</v>
      </c>
      <c r="J77" s="189">
        <v>0</v>
      </c>
      <c r="K77" s="189">
        <v>-193995111.83000001</v>
      </c>
      <c r="L77" s="189">
        <v>0</v>
      </c>
      <c r="M77" s="189">
        <v>495183791.62</v>
      </c>
      <c r="N77" s="189">
        <v>0</v>
      </c>
      <c r="O77" s="189">
        <v>-93201.56</v>
      </c>
      <c r="P77" s="189">
        <v>0</v>
      </c>
      <c r="Q77" s="189">
        <v>85280586.489999995</v>
      </c>
      <c r="R77" s="189">
        <v>0</v>
      </c>
      <c r="S77" s="189">
        <v>-27815756.379999999</v>
      </c>
      <c r="T77" s="189">
        <v>0</v>
      </c>
      <c r="U77" s="189">
        <v>15603383.539999999</v>
      </c>
      <c r="V77" s="189">
        <v>0</v>
      </c>
      <c r="W77" s="189">
        <v>-2413453.33</v>
      </c>
      <c r="X77" s="189">
        <v>0</v>
      </c>
      <c r="Y77" s="189">
        <v>-31376622.890000001</v>
      </c>
      <c r="Z77" s="189">
        <v>0</v>
      </c>
      <c r="AA77" s="189">
        <v>-23259910.890000001</v>
      </c>
      <c r="AB77" s="189">
        <v>0</v>
      </c>
      <c r="AC77" s="189">
        <v>-147441356.47</v>
      </c>
      <c r="AD77" s="189">
        <v>0</v>
      </c>
      <c r="AE77" s="189">
        <v>-98808487.019999996</v>
      </c>
      <c r="AF77" s="189">
        <v>0</v>
      </c>
      <c r="AG77" s="189">
        <v>179224168.40000001</v>
      </c>
      <c r="AH77" s="189">
        <v>0</v>
      </c>
      <c r="AI77" s="189">
        <v>211961928.78999999</v>
      </c>
      <c r="AJ77" s="189">
        <v>233869695.36000001</v>
      </c>
      <c r="AK77" s="189">
        <v>17482057.800000001</v>
      </c>
      <c r="AL77" s="189">
        <v>-5700451.4000000004</v>
      </c>
      <c r="AM77" s="189">
        <v>10460273.67</v>
      </c>
      <c r="AN77" s="189">
        <v>8078.38</v>
      </c>
      <c r="AO77" s="189">
        <v>-10522103.67</v>
      </c>
      <c r="AP77" s="189">
        <v>17116295.370000001</v>
      </c>
      <c r="AQ77" s="189">
        <v>-1471517</v>
      </c>
      <c r="AR77" s="189">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19.33203125" bestFit="1" customWidth="1"/>
    <col min="10" max="11" width="19.33203125" hidden="1" customWidth="1"/>
    <col min="12" max="12" width="21.44140625" hidden="1" customWidth="1"/>
    <col min="13" max="13" width="21.44140625" bestFit="1" customWidth="1"/>
    <col min="14" max="16" width="19.33203125" hidden="1" customWidth="1"/>
    <col min="17" max="17" width="17.21875" bestFit="1" customWidth="1"/>
    <col min="18" max="18" width="17.21875" hidden="1" customWidth="1"/>
    <col min="19" max="20" width="19" hidden="1" customWidth="1"/>
    <col min="21" max="21" width="19" bestFit="1" customWidth="1"/>
    <col min="22" max="24" width="19" hidden="1" customWidth="1"/>
    <col min="25" max="25" width="19" bestFit="1" customWidth="1"/>
    <col min="26" max="28" width="19" hidden="1" customWidth="1"/>
    <col min="29" max="29" width="19" bestFit="1" customWidth="1"/>
    <col min="30" max="32" width="19" hidden="1" customWidth="1"/>
    <col min="33" max="33" width="19" bestFit="1" customWidth="1"/>
    <col min="34" max="36" width="19" hidden="1" customWidth="1"/>
    <col min="37" max="37" width="19" bestFit="1" customWidth="1"/>
    <col min="38" max="39" width="17.77734375" hidden="1" customWidth="1"/>
    <col min="40" max="42" width="17.77734375" bestFit="1" customWidth="1"/>
    <col min="43" max="43" width="9.5546875" hidden="1" customWidth="1"/>
    <col min="44" max="44" width="20.44140625" bestFit="1" customWidth="1"/>
    <col min="4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2354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20081231</v>
      </c>
      <c r="AO1" s="189">
        <v>20071231</v>
      </c>
      <c r="AP1" s="189">
        <v>20061231</v>
      </c>
      <c r="AQ1" s="189">
        <v>19700101</v>
      </c>
      <c r="AR1" s="189"/>
      <c r="AS1" s="189"/>
      <c r="AT1" s="189"/>
      <c r="AU1" s="189"/>
      <c r="AV1" s="189"/>
      <c r="AW1" s="189"/>
      <c r="AX1" s="189"/>
      <c r="AY1" s="189"/>
      <c r="AZ1" s="189"/>
      <c r="BA1" s="189"/>
      <c r="BB1" s="189"/>
      <c r="BC1" s="189"/>
      <c r="BD1" s="189"/>
      <c r="BE1" s="189"/>
      <c r="BF1" s="189"/>
      <c r="BG1" s="189"/>
      <c r="BH1" s="189"/>
      <c r="BI1" s="189"/>
      <c r="BJ1" s="189"/>
      <c r="BK1" s="189"/>
      <c r="BL1" s="189"/>
      <c r="BM1" s="189"/>
      <c r="BN1" s="189"/>
      <c r="BO1" s="189"/>
      <c r="BP1" s="189"/>
      <c r="BQ1" s="189"/>
      <c r="BR1" s="189"/>
      <c r="BS1" s="189"/>
      <c r="BT1" s="189"/>
      <c r="BU1" s="189"/>
      <c r="BV1" s="189"/>
      <c r="BW1" s="189"/>
      <c r="BX1" s="189"/>
      <c r="BY1" s="189"/>
      <c r="BZ1" s="189"/>
      <c r="CA1" s="189"/>
      <c r="CB1" s="189"/>
      <c r="CC1" s="189"/>
      <c r="CD1" s="189"/>
      <c r="CE1" s="189"/>
      <c r="CF1" s="189"/>
      <c r="CG1" s="189"/>
      <c r="CH1" s="189"/>
      <c r="CI1" s="189"/>
      <c r="CJ1" s="189"/>
      <c r="CK1" s="189"/>
      <c r="CL1" s="189"/>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9">
        <v>689711559.17999995</v>
      </c>
      <c r="C4" s="189">
        <v>735462342.48000002</v>
      </c>
      <c r="D4" s="189">
        <v>871060432.91999996</v>
      </c>
      <c r="E4" s="189">
        <v>1821935167.8199999</v>
      </c>
      <c r="F4" s="189">
        <v>1016691198.55</v>
      </c>
      <c r="G4" s="189">
        <v>1418456569.29</v>
      </c>
      <c r="H4" s="189">
        <v>1343853656.22</v>
      </c>
      <c r="I4" s="189">
        <v>557389179.04999995</v>
      </c>
      <c r="J4" s="189">
        <v>570936467.61000001</v>
      </c>
      <c r="K4" s="189">
        <v>529553629.87</v>
      </c>
      <c r="L4" s="189">
        <v>479391067.43000001</v>
      </c>
      <c r="M4" s="189">
        <v>723548741.70000005</v>
      </c>
      <c r="N4" s="189">
        <v>117825869.54000001</v>
      </c>
      <c r="O4" s="189">
        <v>228271748.52000001</v>
      </c>
      <c r="P4" s="189">
        <v>205762227.22999999</v>
      </c>
      <c r="Q4" s="189">
        <v>228364950.08000001</v>
      </c>
      <c r="R4" s="189">
        <v>153746705.91</v>
      </c>
      <c r="S4" s="189">
        <v>14602570.91</v>
      </c>
      <c r="T4" s="189">
        <v>10715084.869999999</v>
      </c>
      <c r="U4" s="189">
        <v>42418327.289999999</v>
      </c>
      <c r="V4" s="189">
        <v>12761108.08</v>
      </c>
      <c r="W4" s="189">
        <v>39144749.439999998</v>
      </c>
      <c r="X4" s="189">
        <v>21321356.449999999</v>
      </c>
      <c r="Y4" s="189">
        <v>54122546.049999997</v>
      </c>
      <c r="Z4" s="189">
        <v>38321114.700000003</v>
      </c>
      <c r="AA4" s="189">
        <v>70190763.319999993</v>
      </c>
      <c r="AB4" s="189">
        <v>39778689.759999998</v>
      </c>
      <c r="AC4" s="189">
        <v>93450674.209999993</v>
      </c>
      <c r="AD4" s="189">
        <v>179512468.30000001</v>
      </c>
      <c r="AE4" s="189">
        <v>191300366.84</v>
      </c>
      <c r="AF4" s="189">
        <v>178815596.55000001</v>
      </c>
      <c r="AG4" s="189">
        <v>205608853.86000001</v>
      </c>
      <c r="AH4" s="189">
        <v>213469557.75999999</v>
      </c>
      <c r="AI4" s="189">
        <v>238346614.25</v>
      </c>
      <c r="AJ4" s="189">
        <v>260254380.81999999</v>
      </c>
      <c r="AK4" s="189">
        <v>26384685.460000001</v>
      </c>
      <c r="AL4" s="189">
        <v>3202539.9</v>
      </c>
      <c r="AM4" s="189">
        <v>19362901.329999998</v>
      </c>
      <c r="AN4" s="189">
        <v>8902627.6600000001</v>
      </c>
      <c r="AO4" s="189">
        <v>19424731.329999998</v>
      </c>
      <c r="AP4" s="189">
        <v>2308435.96</v>
      </c>
      <c r="AQ4" s="189">
        <v>0</v>
      </c>
      <c r="AR4" s="189"/>
      <c r="AS4" s="189"/>
      <c r="AT4" s="189"/>
      <c r="AU4" s="189"/>
      <c r="AV4" s="189"/>
      <c r="AW4" s="189"/>
      <c r="AX4" s="189"/>
      <c r="AY4" s="189"/>
      <c r="AZ4" s="189"/>
      <c r="BA4" s="189"/>
      <c r="BB4" s="189"/>
      <c r="BC4" s="189"/>
      <c r="BD4" s="189"/>
      <c r="BE4" s="189"/>
      <c r="BF4" s="189"/>
      <c r="BG4" s="189"/>
      <c r="BH4" s="189"/>
      <c r="BI4" s="189"/>
      <c r="BJ4" s="189"/>
      <c r="BK4" s="189"/>
      <c r="BL4" s="189"/>
      <c r="BM4" s="189"/>
      <c r="BN4" s="189"/>
      <c r="BO4" s="189"/>
      <c r="BP4" s="189"/>
      <c r="BQ4" s="189"/>
      <c r="BR4" s="189"/>
      <c r="BS4" s="189"/>
      <c r="BT4" s="189"/>
      <c r="BU4" s="189"/>
      <c r="BV4" s="189"/>
      <c r="BW4" s="189"/>
      <c r="BX4" s="189"/>
      <c r="BY4" s="189"/>
      <c r="BZ4" s="189"/>
      <c r="CA4" s="189"/>
      <c r="CB4" s="189"/>
      <c r="CC4" s="189"/>
      <c r="CD4" s="189"/>
      <c r="CE4" s="189"/>
      <c r="CF4" s="189"/>
      <c r="CG4" s="189"/>
      <c r="CH4" s="189"/>
      <c r="CI4" s="189"/>
      <c r="CJ4" s="189"/>
      <c r="CK4" s="189"/>
      <c r="CL4" s="189"/>
    </row>
    <row r="5" spans="1:90" x14ac:dyDescent="0.25">
      <c r="A5" s="17" t="s">
        <v>2</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0</v>
      </c>
      <c r="AD5" s="189">
        <v>0</v>
      </c>
      <c r="AE5" s="189">
        <v>0</v>
      </c>
      <c r="AF5" s="189">
        <v>0</v>
      </c>
      <c r="AG5" s="189">
        <v>0</v>
      </c>
      <c r="AH5" s="189">
        <v>0</v>
      </c>
      <c r="AI5" s="189">
        <v>0</v>
      </c>
      <c r="AJ5" s="189">
        <v>0</v>
      </c>
      <c r="AK5" s="189">
        <v>0</v>
      </c>
      <c r="AL5" s="189">
        <v>0</v>
      </c>
      <c r="AM5" s="189">
        <v>0</v>
      </c>
      <c r="AN5" s="189">
        <v>0</v>
      </c>
      <c r="AO5" s="189">
        <v>0</v>
      </c>
      <c r="AP5" s="189">
        <v>0</v>
      </c>
      <c r="AQ5" s="189">
        <v>0</v>
      </c>
      <c r="AR5" s="189"/>
      <c r="AS5" s="189"/>
      <c r="AT5" s="189"/>
      <c r="AU5" s="189"/>
      <c r="AV5" s="189"/>
      <c r="AW5" s="189"/>
      <c r="AX5" s="189"/>
      <c r="AY5" s="189"/>
      <c r="AZ5" s="189"/>
      <c r="BA5" s="189"/>
      <c r="BB5" s="189"/>
      <c r="BC5" s="189"/>
      <c r="BD5" s="189"/>
      <c r="BE5" s="189"/>
      <c r="BF5" s="189"/>
      <c r="BG5" s="189"/>
      <c r="BH5" s="189"/>
      <c r="BI5" s="189"/>
      <c r="BJ5" s="189"/>
      <c r="BK5" s="189"/>
      <c r="BL5" s="189"/>
      <c r="BM5" s="189"/>
      <c r="BN5" s="189"/>
      <c r="BO5" s="189"/>
      <c r="BP5" s="189"/>
      <c r="BQ5" s="189"/>
      <c r="BR5" s="189"/>
      <c r="BS5" s="189"/>
      <c r="BT5" s="189"/>
      <c r="BU5" s="189"/>
      <c r="BV5" s="189"/>
      <c r="BW5" s="189"/>
      <c r="BX5" s="189"/>
      <c r="BY5" s="189"/>
      <c r="BZ5" s="189"/>
      <c r="CA5" s="189"/>
      <c r="CB5" s="189"/>
      <c r="CC5" s="189"/>
      <c r="CD5" s="189"/>
      <c r="CE5" s="189"/>
      <c r="CF5" s="189"/>
      <c r="CG5" s="189"/>
      <c r="CH5" s="189"/>
      <c r="CI5" s="189"/>
      <c r="CJ5" s="189"/>
      <c r="CK5" s="189"/>
      <c r="CL5" s="189"/>
    </row>
    <row r="6" spans="1:90" x14ac:dyDescent="0.25">
      <c r="A6" s="17" t="s">
        <v>13</v>
      </c>
      <c r="B6" s="189">
        <v>0</v>
      </c>
      <c r="C6" s="189">
        <v>0</v>
      </c>
      <c r="D6" s="189">
        <v>0</v>
      </c>
      <c r="E6" s="189">
        <v>0</v>
      </c>
      <c r="F6" s="189">
        <v>0</v>
      </c>
      <c r="G6" s="189">
        <v>0</v>
      </c>
      <c r="H6" s="189">
        <v>0</v>
      </c>
      <c r="I6" s="189">
        <v>0</v>
      </c>
      <c r="J6" s="189">
        <v>120047566.58</v>
      </c>
      <c r="K6" s="189">
        <v>120047566.58</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c r="AS6" s="189"/>
      <c r="AT6" s="189"/>
      <c r="AU6" s="189"/>
      <c r="AV6" s="189"/>
      <c r="AW6" s="189"/>
      <c r="AX6" s="189"/>
      <c r="AY6" s="189"/>
      <c r="AZ6" s="189"/>
      <c r="BA6" s="189"/>
      <c r="BB6" s="189"/>
      <c r="BC6" s="189"/>
      <c r="BD6" s="189"/>
      <c r="BE6" s="189"/>
      <c r="BF6" s="189"/>
      <c r="BG6" s="189"/>
      <c r="BH6" s="189"/>
      <c r="BI6" s="189"/>
      <c r="BJ6" s="189"/>
      <c r="BK6" s="189"/>
      <c r="BL6" s="189"/>
      <c r="BM6" s="189"/>
      <c r="BN6" s="189"/>
      <c r="BO6" s="189"/>
      <c r="BP6" s="189"/>
      <c r="BQ6" s="189"/>
      <c r="BR6" s="189"/>
      <c r="BS6" s="189"/>
      <c r="BT6" s="189"/>
      <c r="BU6" s="189"/>
      <c r="BV6" s="189"/>
      <c r="BW6" s="189"/>
      <c r="BX6" s="189"/>
      <c r="BY6" s="189"/>
      <c r="BZ6" s="189"/>
      <c r="CA6" s="189"/>
      <c r="CB6" s="189"/>
      <c r="CC6" s="189"/>
      <c r="CD6" s="189"/>
      <c r="CE6" s="189"/>
      <c r="CF6" s="189"/>
      <c r="CG6" s="189"/>
      <c r="CH6" s="189"/>
      <c r="CI6" s="189"/>
      <c r="CJ6" s="189"/>
      <c r="CK6" s="189"/>
      <c r="CL6" s="189"/>
    </row>
    <row r="7" spans="1:90" x14ac:dyDescent="0.25">
      <c r="A7" s="17" t="s">
        <v>4</v>
      </c>
      <c r="B7" s="189">
        <v>0</v>
      </c>
      <c r="C7" s="189">
        <v>0</v>
      </c>
      <c r="D7" s="189">
        <v>0</v>
      </c>
      <c r="E7" s="189">
        <v>0</v>
      </c>
      <c r="F7" s="189">
        <v>0</v>
      </c>
      <c r="G7" s="189">
        <v>0</v>
      </c>
      <c r="H7" s="189">
        <v>0</v>
      </c>
      <c r="I7" s="189">
        <v>0</v>
      </c>
      <c r="J7" s="189">
        <v>0</v>
      </c>
      <c r="K7" s="189">
        <v>0</v>
      </c>
      <c r="L7" s="189">
        <v>0</v>
      </c>
      <c r="M7" s="189">
        <v>0</v>
      </c>
      <c r="N7" s="189">
        <v>0</v>
      </c>
      <c r="O7" s="189">
        <v>0</v>
      </c>
      <c r="P7" s="189">
        <v>0</v>
      </c>
      <c r="Q7" s="189">
        <v>0</v>
      </c>
      <c r="R7" s="189">
        <v>0</v>
      </c>
      <c r="S7" s="189">
        <v>0</v>
      </c>
      <c r="T7" s="189">
        <v>0</v>
      </c>
      <c r="U7" s="189">
        <v>0</v>
      </c>
      <c r="V7" s="189">
        <v>0</v>
      </c>
      <c r="W7" s="189">
        <v>0</v>
      </c>
      <c r="X7" s="189">
        <v>0</v>
      </c>
      <c r="Y7" s="189">
        <v>0</v>
      </c>
      <c r="Z7" s="189">
        <v>0</v>
      </c>
      <c r="AA7" s="189">
        <v>0</v>
      </c>
      <c r="AB7" s="189">
        <v>0</v>
      </c>
      <c r="AC7" s="189">
        <v>0</v>
      </c>
      <c r="AD7" s="189">
        <v>0</v>
      </c>
      <c r="AE7" s="189">
        <v>0</v>
      </c>
      <c r="AF7" s="189">
        <v>0</v>
      </c>
      <c r="AG7" s="189">
        <v>0</v>
      </c>
      <c r="AH7" s="189">
        <v>0</v>
      </c>
      <c r="AI7" s="189">
        <v>0</v>
      </c>
      <c r="AJ7" s="189">
        <v>0</v>
      </c>
      <c r="AK7" s="189">
        <v>0</v>
      </c>
      <c r="AL7" s="189">
        <v>0</v>
      </c>
      <c r="AM7" s="189">
        <v>0</v>
      </c>
      <c r="AN7" s="189">
        <v>0</v>
      </c>
      <c r="AO7" s="189">
        <v>0</v>
      </c>
      <c r="AP7" s="189">
        <v>0</v>
      </c>
      <c r="AQ7" s="189">
        <v>0</v>
      </c>
      <c r="AR7" s="189"/>
      <c r="AS7" s="189"/>
      <c r="AT7" s="189"/>
      <c r="AU7" s="189"/>
      <c r="AV7" s="189"/>
      <c r="AW7" s="189"/>
      <c r="AX7" s="189"/>
      <c r="AY7" s="189"/>
      <c r="AZ7" s="189"/>
      <c r="BA7" s="189"/>
      <c r="BB7" s="189"/>
      <c r="BC7" s="189"/>
      <c r="BD7" s="189"/>
      <c r="BE7" s="189"/>
      <c r="BF7" s="189"/>
      <c r="BG7" s="189"/>
      <c r="BH7" s="189"/>
      <c r="BI7" s="189"/>
      <c r="BJ7" s="189"/>
      <c r="BK7" s="189"/>
      <c r="BL7" s="189"/>
      <c r="BM7" s="189"/>
      <c r="BN7" s="189"/>
      <c r="BO7" s="189"/>
      <c r="BP7" s="189"/>
      <c r="BQ7" s="189"/>
      <c r="BR7" s="189"/>
      <c r="BS7" s="189"/>
      <c r="BT7" s="189"/>
      <c r="BU7" s="189"/>
      <c r="BV7" s="189"/>
      <c r="BW7" s="189"/>
      <c r="BX7" s="189"/>
      <c r="BY7" s="189"/>
      <c r="BZ7" s="189"/>
      <c r="CA7" s="189"/>
      <c r="CB7" s="189"/>
      <c r="CC7" s="189"/>
      <c r="CD7" s="189"/>
      <c r="CE7" s="189"/>
      <c r="CF7" s="189"/>
      <c r="CG7" s="189"/>
      <c r="CH7" s="189"/>
      <c r="CI7" s="189"/>
      <c r="CJ7" s="189"/>
      <c r="CK7" s="189"/>
      <c r="CL7" s="189"/>
    </row>
    <row r="8" spans="1:90" x14ac:dyDescent="0.25">
      <c r="A8" s="17" t="s">
        <v>5</v>
      </c>
      <c r="B8" s="189">
        <v>1570547664.02</v>
      </c>
      <c r="C8" s="189">
        <v>1565678269.3099999</v>
      </c>
      <c r="D8" s="189">
        <v>1547408566.27</v>
      </c>
      <c r="E8" s="189">
        <v>1575311291.5</v>
      </c>
      <c r="F8" s="189">
        <v>1350403074.7</v>
      </c>
      <c r="G8" s="189">
        <v>1416511904.1800001</v>
      </c>
      <c r="H8" s="189">
        <v>1135338311.9000001</v>
      </c>
      <c r="I8" s="189">
        <v>1463163300.46</v>
      </c>
      <c r="J8" s="189">
        <v>706735981.98000002</v>
      </c>
      <c r="K8" s="189">
        <v>553039940.29999995</v>
      </c>
      <c r="L8" s="189">
        <v>707146125.26999998</v>
      </c>
      <c r="M8" s="189">
        <v>739128543.62</v>
      </c>
      <c r="N8" s="189">
        <v>607003051.44000006</v>
      </c>
      <c r="O8" s="189">
        <v>355490189.44</v>
      </c>
      <c r="P8" s="189">
        <v>353731927.24000001</v>
      </c>
      <c r="Q8" s="189">
        <v>348731927.24000001</v>
      </c>
      <c r="R8" s="189">
        <v>231122112</v>
      </c>
      <c r="S8" s="189">
        <v>0</v>
      </c>
      <c r="T8" s="189">
        <v>0</v>
      </c>
      <c r="U8" s="189">
        <v>0</v>
      </c>
      <c r="V8" s="189">
        <v>0</v>
      </c>
      <c r="W8" s="189">
        <v>0</v>
      </c>
      <c r="X8" s="189">
        <v>0</v>
      </c>
      <c r="Y8" s="189">
        <v>0</v>
      </c>
      <c r="Z8" s="189">
        <v>0</v>
      </c>
      <c r="AA8" s="189">
        <v>0</v>
      </c>
      <c r="AB8" s="189">
        <v>0</v>
      </c>
      <c r="AC8" s="189">
        <v>0</v>
      </c>
      <c r="AD8" s="189">
        <v>0</v>
      </c>
      <c r="AE8" s="189">
        <v>0</v>
      </c>
      <c r="AF8" s="189">
        <v>0</v>
      </c>
      <c r="AG8" s="189">
        <v>0</v>
      </c>
      <c r="AH8" s="189">
        <v>0</v>
      </c>
      <c r="AI8" s="189">
        <v>0</v>
      </c>
      <c r="AJ8" s="189">
        <v>0</v>
      </c>
      <c r="AK8" s="189">
        <v>0</v>
      </c>
      <c r="AL8" s="189">
        <v>0</v>
      </c>
      <c r="AM8" s="189">
        <v>0</v>
      </c>
      <c r="AN8" s="189">
        <v>0</v>
      </c>
      <c r="AO8" s="189">
        <v>0</v>
      </c>
      <c r="AP8" s="189">
        <v>0</v>
      </c>
      <c r="AQ8" s="189">
        <v>0</v>
      </c>
      <c r="AR8" s="189"/>
      <c r="AS8" s="189"/>
      <c r="AT8" s="189"/>
      <c r="AU8" s="189"/>
      <c r="AV8" s="189"/>
      <c r="AW8" s="189"/>
      <c r="AX8" s="189"/>
      <c r="AY8" s="189"/>
      <c r="AZ8" s="189"/>
      <c r="BA8" s="189"/>
      <c r="BB8" s="189"/>
      <c r="BC8" s="189"/>
      <c r="BD8" s="189"/>
      <c r="BE8" s="189"/>
      <c r="BF8" s="189"/>
      <c r="BG8" s="189"/>
      <c r="BH8" s="189"/>
      <c r="BI8" s="189"/>
      <c r="BJ8" s="189"/>
      <c r="BK8" s="189"/>
      <c r="BL8" s="189"/>
      <c r="BM8" s="189"/>
      <c r="BN8" s="189"/>
      <c r="BO8" s="189"/>
      <c r="BP8" s="189"/>
      <c r="BQ8" s="189"/>
      <c r="BR8" s="189"/>
      <c r="BS8" s="189"/>
      <c r="BT8" s="189"/>
      <c r="BU8" s="189"/>
      <c r="BV8" s="189"/>
      <c r="BW8" s="189"/>
      <c r="BX8" s="189"/>
      <c r="BY8" s="189"/>
      <c r="BZ8" s="189"/>
      <c r="CA8" s="189"/>
      <c r="CB8" s="189"/>
      <c r="CC8" s="189"/>
      <c r="CD8" s="189"/>
      <c r="CE8" s="189"/>
      <c r="CF8" s="189"/>
      <c r="CG8" s="189"/>
      <c r="CH8" s="189"/>
      <c r="CI8" s="189"/>
      <c r="CJ8" s="189"/>
      <c r="CK8" s="189"/>
      <c r="CL8" s="189"/>
    </row>
    <row r="9" spans="1:90" x14ac:dyDescent="0.25">
      <c r="A9" s="17" t="s">
        <v>6</v>
      </c>
      <c r="B9" s="189">
        <v>0</v>
      </c>
      <c r="C9" s="189">
        <v>0</v>
      </c>
      <c r="D9" s="189">
        <v>0</v>
      </c>
      <c r="E9" s="189">
        <v>0</v>
      </c>
      <c r="F9" s="189">
        <v>0</v>
      </c>
      <c r="G9" s="189">
        <v>0</v>
      </c>
      <c r="H9" s="189">
        <v>0</v>
      </c>
      <c r="I9" s="189">
        <v>0</v>
      </c>
      <c r="J9" s="189">
        <v>0</v>
      </c>
      <c r="K9" s="189">
        <v>0</v>
      </c>
      <c r="L9" s="189">
        <v>0</v>
      </c>
      <c r="M9" s="189">
        <v>0</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0</v>
      </c>
      <c r="AH9" s="189">
        <v>0</v>
      </c>
      <c r="AI9" s="189">
        <v>0</v>
      </c>
      <c r="AJ9" s="189">
        <v>0</v>
      </c>
      <c r="AK9" s="189">
        <v>0</v>
      </c>
      <c r="AL9" s="189">
        <v>0</v>
      </c>
      <c r="AM9" s="189">
        <v>0</v>
      </c>
      <c r="AN9" s="189">
        <v>0</v>
      </c>
      <c r="AO9" s="189">
        <v>0</v>
      </c>
      <c r="AP9" s="189">
        <v>0</v>
      </c>
      <c r="AQ9" s="189">
        <v>0</v>
      </c>
      <c r="AR9" s="189"/>
      <c r="AS9" s="189"/>
      <c r="AT9" s="189"/>
      <c r="AU9" s="189"/>
      <c r="AV9" s="189"/>
      <c r="AW9" s="189"/>
      <c r="AX9" s="189"/>
      <c r="AY9" s="189"/>
      <c r="AZ9" s="189"/>
      <c r="BA9" s="189"/>
      <c r="BB9" s="189"/>
      <c r="BC9" s="189"/>
      <c r="BD9" s="189"/>
      <c r="BE9" s="189"/>
      <c r="BF9" s="189"/>
      <c r="BG9" s="189"/>
      <c r="BH9" s="189"/>
      <c r="BI9" s="189"/>
      <c r="BJ9" s="189"/>
      <c r="BK9" s="189"/>
      <c r="BL9" s="189"/>
      <c r="BM9" s="189"/>
      <c r="BN9" s="189"/>
      <c r="BO9" s="189"/>
      <c r="BP9" s="189"/>
      <c r="BQ9" s="189"/>
      <c r="BR9" s="189"/>
      <c r="BS9" s="189"/>
      <c r="BT9" s="189"/>
      <c r="BU9" s="189"/>
      <c r="BV9" s="189"/>
      <c r="BW9" s="189"/>
      <c r="BX9" s="189"/>
      <c r="BY9" s="189"/>
      <c r="BZ9" s="189"/>
      <c r="CA9" s="189"/>
      <c r="CB9" s="189"/>
      <c r="CC9" s="189"/>
      <c r="CD9" s="189"/>
      <c r="CE9" s="189"/>
      <c r="CF9" s="189"/>
      <c r="CG9" s="189"/>
      <c r="CH9" s="189"/>
      <c r="CI9" s="189"/>
      <c r="CJ9" s="189"/>
      <c r="CK9" s="189"/>
      <c r="CL9" s="189"/>
    </row>
    <row r="10" spans="1:90" x14ac:dyDescent="0.25">
      <c r="A10" s="19" t="s">
        <v>7</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c r="AS10" s="189"/>
      <c r="AT10" s="189"/>
      <c r="AU10" s="189"/>
      <c r="AV10" s="189"/>
      <c r="AW10" s="189"/>
      <c r="AX10" s="189"/>
      <c r="AY10" s="189"/>
      <c r="AZ10" s="189"/>
      <c r="BA10" s="189"/>
      <c r="BB10" s="189"/>
      <c r="BC10" s="189"/>
      <c r="BD10" s="189"/>
      <c r="BE10" s="189"/>
      <c r="BF10" s="189"/>
      <c r="BG10" s="189"/>
      <c r="BH10" s="189"/>
      <c r="BI10" s="189"/>
      <c r="BJ10" s="189"/>
      <c r="BK10" s="189"/>
      <c r="BL10" s="189"/>
      <c r="BM10" s="189"/>
      <c r="BN10" s="189"/>
      <c r="BO10" s="189"/>
      <c r="BP10" s="189"/>
      <c r="BQ10" s="189"/>
      <c r="BR10" s="189"/>
      <c r="BS10" s="189"/>
      <c r="BT10" s="189"/>
      <c r="BU10" s="189"/>
      <c r="BV10" s="189"/>
      <c r="BW10" s="189"/>
      <c r="BX10" s="189"/>
      <c r="BY10" s="189"/>
      <c r="BZ10" s="189"/>
      <c r="CA10" s="189"/>
      <c r="CB10" s="189"/>
      <c r="CC10" s="189"/>
      <c r="CD10" s="189"/>
      <c r="CE10" s="189"/>
      <c r="CF10" s="189"/>
      <c r="CG10" s="189"/>
      <c r="CH10" s="189"/>
      <c r="CI10" s="189"/>
      <c r="CJ10" s="189"/>
      <c r="CK10" s="189"/>
      <c r="CL10" s="189"/>
    </row>
    <row r="11" spans="1:90" x14ac:dyDescent="0.25">
      <c r="A11" s="17" t="s">
        <v>8</v>
      </c>
      <c r="B11" s="189">
        <v>0</v>
      </c>
      <c r="C11" s="189">
        <v>0</v>
      </c>
      <c r="D11" s="189">
        <v>1017275.6</v>
      </c>
      <c r="E11" s="189">
        <v>1017275.6</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v>0</v>
      </c>
      <c r="AO11" s="189">
        <v>0</v>
      </c>
      <c r="AP11" s="189">
        <v>0</v>
      </c>
      <c r="AQ11" s="189">
        <v>0</v>
      </c>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c r="BO11" s="189"/>
      <c r="BP11" s="189"/>
      <c r="BQ11" s="189"/>
      <c r="BR11" s="189"/>
      <c r="BS11" s="189"/>
      <c r="BT11" s="189"/>
      <c r="BU11" s="189"/>
      <c r="BV11" s="189"/>
      <c r="BW11" s="189"/>
      <c r="BX11" s="189"/>
      <c r="BY11" s="189"/>
      <c r="BZ11" s="189"/>
      <c r="CA11" s="189"/>
      <c r="CB11" s="189"/>
      <c r="CC11" s="189"/>
      <c r="CD11" s="189"/>
      <c r="CE11" s="189"/>
      <c r="CF11" s="189"/>
      <c r="CG11" s="189"/>
      <c r="CH11" s="189"/>
      <c r="CI11" s="189"/>
      <c r="CJ11" s="189"/>
      <c r="CK11" s="189"/>
      <c r="CL11" s="189"/>
    </row>
    <row r="12" spans="1:90" x14ac:dyDescent="0.25">
      <c r="A12" s="17" t="s">
        <v>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c r="AS12" s="189"/>
      <c r="AT12" s="189"/>
      <c r="AU12" s="189"/>
      <c r="AV12" s="189"/>
      <c r="AW12" s="189"/>
      <c r="AX12" s="189"/>
      <c r="AY12" s="189"/>
      <c r="AZ12" s="189"/>
      <c r="BA12" s="189"/>
      <c r="BB12" s="189"/>
      <c r="BC12" s="189"/>
      <c r="BD12" s="189"/>
      <c r="BE12" s="189"/>
      <c r="BF12" s="189"/>
      <c r="BG12" s="189"/>
      <c r="BH12" s="189"/>
      <c r="BI12" s="189"/>
      <c r="BJ12" s="189"/>
      <c r="BK12" s="189"/>
      <c r="BL12" s="189"/>
      <c r="BM12" s="189"/>
      <c r="BN12" s="189"/>
      <c r="BO12" s="189"/>
      <c r="BP12" s="189"/>
      <c r="BQ12" s="189"/>
      <c r="BR12" s="189"/>
      <c r="BS12" s="189"/>
      <c r="BT12" s="189"/>
      <c r="BU12" s="189"/>
      <c r="BV12" s="189"/>
      <c r="BW12" s="189"/>
      <c r="BX12" s="189"/>
      <c r="BY12" s="189"/>
      <c r="BZ12" s="189"/>
      <c r="CA12" s="189"/>
      <c r="CB12" s="189"/>
      <c r="CC12" s="189"/>
      <c r="CD12" s="189"/>
      <c r="CE12" s="189"/>
      <c r="CF12" s="189"/>
      <c r="CG12" s="189"/>
      <c r="CH12" s="189"/>
      <c r="CI12" s="189"/>
      <c r="CJ12" s="189"/>
      <c r="CK12" s="189"/>
      <c r="CL12" s="189"/>
    </row>
    <row r="13" spans="1:90" x14ac:dyDescent="0.25">
      <c r="A13" s="17" t="s">
        <v>10</v>
      </c>
      <c r="B13" s="189">
        <v>0</v>
      </c>
      <c r="C13" s="189">
        <v>386293.81</v>
      </c>
      <c r="D13" s="189">
        <v>882284.6</v>
      </c>
      <c r="E13" s="189">
        <v>780063.25</v>
      </c>
      <c r="F13" s="189">
        <v>812784.01</v>
      </c>
      <c r="G13" s="189">
        <v>230968.65</v>
      </c>
      <c r="H13" s="189">
        <v>0</v>
      </c>
      <c r="I13" s="189">
        <v>0</v>
      </c>
      <c r="J13" s="189">
        <v>1466500.68</v>
      </c>
      <c r="K13" s="189">
        <v>920550</v>
      </c>
      <c r="L13" s="189">
        <v>0</v>
      </c>
      <c r="M13" s="189">
        <v>59933.32</v>
      </c>
      <c r="N13" s="189">
        <v>91683.76</v>
      </c>
      <c r="O13" s="189">
        <v>133125.46</v>
      </c>
      <c r="P13" s="189">
        <v>212628.57</v>
      </c>
      <c r="Q13" s="189">
        <v>29269.86</v>
      </c>
      <c r="R13" s="189">
        <v>407671.24</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c r="AS13" s="189"/>
      <c r="AT13" s="189"/>
      <c r="AU13" s="189"/>
      <c r="AV13" s="189"/>
      <c r="AW13" s="189"/>
      <c r="AX13" s="189"/>
      <c r="AY13" s="189"/>
      <c r="AZ13" s="189"/>
      <c r="BA13" s="189"/>
      <c r="BB13" s="189"/>
      <c r="BC13" s="189"/>
      <c r="BD13" s="189"/>
      <c r="BE13" s="189"/>
      <c r="BF13" s="189"/>
      <c r="BG13" s="189"/>
      <c r="BH13" s="189"/>
      <c r="BI13" s="189"/>
      <c r="BJ13" s="189"/>
      <c r="BK13" s="189"/>
      <c r="BL13" s="189"/>
      <c r="BM13" s="189"/>
      <c r="BN13" s="189"/>
      <c r="BO13" s="189"/>
      <c r="BP13" s="189"/>
      <c r="BQ13" s="189"/>
      <c r="BR13" s="189"/>
      <c r="BS13" s="189"/>
      <c r="BT13" s="189"/>
      <c r="BU13" s="189"/>
      <c r="BV13" s="189"/>
      <c r="BW13" s="189"/>
      <c r="BX13" s="189"/>
      <c r="BY13" s="189"/>
      <c r="BZ13" s="189"/>
      <c r="CA13" s="189"/>
      <c r="CB13" s="189"/>
      <c r="CC13" s="189"/>
      <c r="CD13" s="189"/>
      <c r="CE13" s="189"/>
      <c r="CF13" s="189"/>
      <c r="CG13" s="189"/>
      <c r="CH13" s="189"/>
      <c r="CI13" s="189"/>
      <c r="CJ13" s="189"/>
      <c r="CK13" s="189"/>
      <c r="CL13" s="189"/>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2260259223.1999998</v>
      </c>
      <c r="C17" s="33">
        <f t="shared" ref="C17:BN17" si="0">SUM(C4:C13)</f>
        <v>2301526905.5999999</v>
      </c>
      <c r="D17" s="33">
        <f t="shared" si="0"/>
        <v>2420368559.3899999</v>
      </c>
      <c r="E17" s="33">
        <f t="shared" si="0"/>
        <v>3399043798.1699996</v>
      </c>
      <c r="F17" s="33">
        <f t="shared" si="0"/>
        <v>2367907057.2600002</v>
      </c>
      <c r="G17" s="33">
        <f t="shared" si="0"/>
        <v>2835199442.1200004</v>
      </c>
      <c r="H17" s="33">
        <f t="shared" si="0"/>
        <v>2479191968.1199999</v>
      </c>
      <c r="I17" s="33">
        <f t="shared" si="0"/>
        <v>2020552479.51</v>
      </c>
      <c r="J17" s="33">
        <f t="shared" si="0"/>
        <v>1399186516.8500001</v>
      </c>
      <c r="K17" s="33">
        <f t="shared" si="0"/>
        <v>1203561686.75</v>
      </c>
      <c r="L17" s="33">
        <f t="shared" si="0"/>
        <v>1186537192.7</v>
      </c>
      <c r="M17" s="33">
        <f t="shared" si="0"/>
        <v>1462737218.6400001</v>
      </c>
      <c r="N17" s="33">
        <f t="shared" si="0"/>
        <v>724920604.74000001</v>
      </c>
      <c r="O17" s="33">
        <f t="shared" si="0"/>
        <v>583895063.42000008</v>
      </c>
      <c r="P17" s="33">
        <f t="shared" si="0"/>
        <v>559706783.04000008</v>
      </c>
      <c r="Q17" s="33">
        <f t="shared" si="0"/>
        <v>577126147.18000007</v>
      </c>
      <c r="R17" s="33">
        <f t="shared" si="0"/>
        <v>385276489.14999998</v>
      </c>
      <c r="S17" s="33">
        <f t="shared" si="0"/>
        <v>14602570.91</v>
      </c>
      <c r="T17" s="33">
        <f t="shared" si="0"/>
        <v>10715084.869999999</v>
      </c>
      <c r="U17" s="33">
        <f t="shared" si="0"/>
        <v>42418327.289999999</v>
      </c>
      <c r="V17" s="33">
        <f t="shared" si="0"/>
        <v>12761108.08</v>
      </c>
      <c r="W17" s="33">
        <f t="shared" si="0"/>
        <v>39144749.439999998</v>
      </c>
      <c r="X17" s="33">
        <f t="shared" si="0"/>
        <v>21321356.449999999</v>
      </c>
      <c r="Y17" s="33">
        <f t="shared" si="0"/>
        <v>54122546.049999997</v>
      </c>
      <c r="Z17" s="33">
        <f t="shared" si="0"/>
        <v>38321114.700000003</v>
      </c>
      <c r="AA17" s="33">
        <f t="shared" si="0"/>
        <v>70190763.319999993</v>
      </c>
      <c r="AB17" s="33">
        <f t="shared" si="0"/>
        <v>39778689.759999998</v>
      </c>
      <c r="AC17" s="33">
        <f t="shared" si="0"/>
        <v>93450674.209999993</v>
      </c>
      <c r="AD17" s="33">
        <f t="shared" si="0"/>
        <v>179512468.30000001</v>
      </c>
      <c r="AE17" s="33">
        <f t="shared" si="0"/>
        <v>191300366.84</v>
      </c>
      <c r="AF17" s="33">
        <f t="shared" si="0"/>
        <v>178815596.55000001</v>
      </c>
      <c r="AG17" s="33">
        <f t="shared" si="0"/>
        <v>205608853.86000001</v>
      </c>
      <c r="AH17" s="33">
        <f t="shared" si="0"/>
        <v>213469557.75999999</v>
      </c>
      <c r="AI17" s="33">
        <f t="shared" si="0"/>
        <v>238346614.25</v>
      </c>
      <c r="AJ17" s="33">
        <f t="shared" si="0"/>
        <v>260254380.81999999</v>
      </c>
      <c r="AK17" s="33">
        <f t="shared" si="0"/>
        <v>26384685.460000001</v>
      </c>
      <c r="AL17" s="33">
        <f t="shared" si="0"/>
        <v>3202539.9</v>
      </c>
      <c r="AM17" s="33">
        <f t="shared" si="0"/>
        <v>19362901.329999998</v>
      </c>
      <c r="AN17" s="33">
        <f t="shared" si="0"/>
        <v>8902627.6600000001</v>
      </c>
      <c r="AO17" s="33">
        <f t="shared" si="0"/>
        <v>19424731.329999998</v>
      </c>
      <c r="AP17" s="33">
        <f t="shared" si="0"/>
        <v>2308435.96</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9">
        <v>2404379858.04</v>
      </c>
      <c r="C19" s="189">
        <v>2388968569.9499998</v>
      </c>
      <c r="D19" s="189">
        <v>2380603328.9299998</v>
      </c>
      <c r="E19" s="189">
        <v>2319702475.1399999</v>
      </c>
      <c r="F19" s="189">
        <v>2350299627.3499999</v>
      </c>
      <c r="G19" s="189">
        <v>89122383.870000005</v>
      </c>
      <c r="H19" s="189">
        <v>81129474.230000004</v>
      </c>
      <c r="I19" s="189">
        <v>67653795.959999993</v>
      </c>
      <c r="J19" s="189">
        <v>71633965.890000001</v>
      </c>
      <c r="K19" s="189">
        <v>75431118.090000004</v>
      </c>
      <c r="L19" s="189">
        <v>1417668970.79</v>
      </c>
      <c r="M19" s="189">
        <v>1395231063.29</v>
      </c>
      <c r="N19" s="189">
        <v>37181498.380000003</v>
      </c>
      <c r="O19" s="189">
        <v>16583730.699999999</v>
      </c>
      <c r="P19" s="189">
        <v>17919243.780000001</v>
      </c>
      <c r="Q19" s="189">
        <v>16499508.050000001</v>
      </c>
      <c r="R19" s="189">
        <v>8619745.6300000008</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c r="AS19" s="189"/>
      <c r="AT19" s="189"/>
      <c r="AU19" s="189"/>
      <c r="AV19" s="189"/>
      <c r="AW19" s="189"/>
      <c r="AX19" s="189"/>
      <c r="AY19" s="189"/>
      <c r="AZ19" s="189"/>
      <c r="BA19" s="189"/>
      <c r="BB19" s="189"/>
      <c r="BC19" s="189"/>
      <c r="BD19" s="189"/>
      <c r="BE19" s="189"/>
      <c r="BF19" s="189"/>
      <c r="BG19" s="189"/>
      <c r="BH19" s="189"/>
      <c r="BI19" s="189"/>
      <c r="BJ19" s="189"/>
      <c r="BK19" s="189"/>
      <c r="BL19" s="189"/>
      <c r="BM19" s="189"/>
      <c r="BN19" s="189"/>
      <c r="BO19" s="189"/>
      <c r="BP19" s="189"/>
      <c r="BQ19" s="189"/>
      <c r="BR19" s="189"/>
      <c r="BS19" s="189"/>
      <c r="BT19" s="189"/>
      <c r="BU19" s="189"/>
      <c r="BV19" s="189"/>
      <c r="BW19" s="189"/>
      <c r="BX19" s="189"/>
      <c r="BY19" s="189"/>
      <c r="BZ19" s="189"/>
      <c r="CA19" s="189"/>
      <c r="CB19" s="189"/>
      <c r="CC19" s="189"/>
      <c r="CD19" s="189"/>
      <c r="CE19" s="189"/>
      <c r="CF19" s="189"/>
      <c r="CG19" s="189"/>
      <c r="CH19" s="189"/>
      <c r="CI19" s="189"/>
      <c r="CJ19" s="189"/>
      <c r="CK19" s="189"/>
      <c r="CL19" s="189"/>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9">
        <v>2000000</v>
      </c>
      <c r="C22" s="189">
        <v>2700000</v>
      </c>
      <c r="D22" s="189">
        <v>3000000</v>
      </c>
      <c r="E22" s="189">
        <v>1000000</v>
      </c>
      <c r="F22" s="189">
        <v>7300000</v>
      </c>
      <c r="G22" s="189">
        <v>5500000</v>
      </c>
      <c r="H22" s="189">
        <v>5929000</v>
      </c>
      <c r="I22" s="189">
        <v>0</v>
      </c>
      <c r="J22" s="189">
        <v>0</v>
      </c>
      <c r="K22" s="189">
        <v>0</v>
      </c>
      <c r="L22" s="189">
        <v>0</v>
      </c>
      <c r="M22" s="189">
        <v>0</v>
      </c>
      <c r="N22" s="189">
        <v>0</v>
      </c>
      <c r="O22" s="189">
        <v>0</v>
      </c>
      <c r="P22" s="189">
        <v>0</v>
      </c>
      <c r="Q22" s="189">
        <v>0</v>
      </c>
      <c r="R22" s="189">
        <v>0</v>
      </c>
      <c r="S22" s="189">
        <v>0</v>
      </c>
      <c r="T22" s="189">
        <v>300000</v>
      </c>
      <c r="U22" s="189">
        <v>0</v>
      </c>
      <c r="V22" s="189">
        <v>0</v>
      </c>
      <c r="W22" s="189">
        <v>200000</v>
      </c>
      <c r="X22" s="189">
        <v>200000</v>
      </c>
      <c r="Y22" s="189">
        <v>0</v>
      </c>
      <c r="Z22" s="189">
        <v>0</v>
      </c>
      <c r="AA22" s="189">
        <v>250000</v>
      </c>
      <c r="AB22" s="189">
        <v>8000000</v>
      </c>
      <c r="AC22" s="189">
        <v>10000000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c r="AS22" s="189"/>
      <c r="AT22" s="189"/>
      <c r="AU22" s="189"/>
      <c r="AV22" s="189"/>
      <c r="AW22" s="189"/>
      <c r="AX22" s="189"/>
      <c r="AY22" s="189"/>
      <c r="AZ22" s="189"/>
      <c r="BA22" s="189"/>
      <c r="BB22" s="189"/>
      <c r="BC22" s="189"/>
      <c r="BD22" s="189"/>
      <c r="BE22" s="189"/>
      <c r="BF22" s="189"/>
      <c r="BG22" s="189"/>
      <c r="BH22" s="189"/>
      <c r="BI22" s="189"/>
      <c r="BJ22" s="189"/>
      <c r="BK22" s="189"/>
      <c r="BL22" s="189"/>
      <c r="BM22" s="189"/>
      <c r="BN22" s="189"/>
      <c r="BO22" s="189"/>
      <c r="BP22" s="189"/>
      <c r="BQ22" s="189"/>
      <c r="BR22" s="189"/>
      <c r="BS22" s="189"/>
      <c r="BT22" s="189"/>
      <c r="BU22" s="189"/>
      <c r="BV22" s="189"/>
      <c r="BW22" s="189"/>
      <c r="BX22" s="189"/>
      <c r="BY22" s="189"/>
      <c r="BZ22" s="189"/>
      <c r="CA22" s="189"/>
      <c r="CB22" s="189"/>
      <c r="CC22" s="189"/>
      <c r="CD22" s="189"/>
      <c r="CE22" s="189"/>
      <c r="CF22" s="189"/>
      <c r="CG22" s="189"/>
      <c r="CH22" s="189"/>
      <c r="CI22" s="189"/>
      <c r="CJ22" s="189"/>
      <c r="CK22" s="189"/>
      <c r="CL22" s="189"/>
    </row>
    <row r="23" spans="1:90" x14ac:dyDescent="0.25">
      <c r="A23" s="17" t="s">
        <v>15</v>
      </c>
      <c r="B23" s="189">
        <v>742737184.88</v>
      </c>
      <c r="C23" s="189">
        <v>750686483.12</v>
      </c>
      <c r="D23" s="189">
        <v>845935033.28999996</v>
      </c>
      <c r="E23" s="189">
        <v>643480407.37</v>
      </c>
      <c r="F23" s="189">
        <v>656473503.36000001</v>
      </c>
      <c r="G23" s="189">
        <v>883216865.25999999</v>
      </c>
      <c r="H23" s="189">
        <v>749874235.73000002</v>
      </c>
      <c r="I23" s="189">
        <v>408152490.01999998</v>
      </c>
      <c r="J23" s="189">
        <v>443116321.20999998</v>
      </c>
      <c r="K23" s="189">
        <v>394892780.70999998</v>
      </c>
      <c r="L23" s="189">
        <v>451209578.62</v>
      </c>
      <c r="M23" s="189">
        <v>416323629.54000002</v>
      </c>
      <c r="N23" s="189">
        <v>122091815.43000001</v>
      </c>
      <c r="O23" s="189">
        <v>121862372.61</v>
      </c>
      <c r="P23" s="189">
        <v>124864343.25</v>
      </c>
      <c r="Q23" s="189">
        <v>86406366.230000004</v>
      </c>
      <c r="R23" s="189">
        <v>80341579.390000001</v>
      </c>
      <c r="S23" s="189">
        <v>55058375.520000003</v>
      </c>
      <c r="T23" s="189">
        <v>75693755.200000003</v>
      </c>
      <c r="U23" s="189">
        <v>115626759.81999999</v>
      </c>
      <c r="V23" s="189">
        <v>118558659.37</v>
      </c>
      <c r="W23" s="189">
        <v>135925320.75</v>
      </c>
      <c r="X23" s="189">
        <v>112971046.93000001</v>
      </c>
      <c r="Y23" s="189">
        <v>96906207.650000006</v>
      </c>
      <c r="Z23" s="189">
        <v>153388526.74000001</v>
      </c>
      <c r="AA23" s="189">
        <v>141858411.65000001</v>
      </c>
      <c r="AB23" s="189">
        <v>147229265.99000001</v>
      </c>
      <c r="AC23" s="189">
        <v>147382117.30000001</v>
      </c>
      <c r="AD23" s="189">
        <v>136201347.12</v>
      </c>
      <c r="AE23" s="189">
        <v>117402210.65000001</v>
      </c>
      <c r="AF23" s="189">
        <v>91255533.150000006</v>
      </c>
      <c r="AG23" s="189">
        <v>78065003.079999998</v>
      </c>
      <c r="AH23" s="189">
        <v>73622413.280000001</v>
      </c>
      <c r="AI23" s="189">
        <v>74547782.370000005</v>
      </c>
      <c r="AJ23" s="189">
        <v>67563499.579999998</v>
      </c>
      <c r="AK23" s="189">
        <v>59683203.369999997</v>
      </c>
      <c r="AL23" s="189">
        <v>59050053.530000001</v>
      </c>
      <c r="AM23" s="189">
        <v>53489444.130000003</v>
      </c>
      <c r="AN23" s="189">
        <v>56899084.759999998</v>
      </c>
      <c r="AO23" s="189">
        <v>34639732.359999999</v>
      </c>
      <c r="AP23" s="189">
        <v>23562597.77</v>
      </c>
      <c r="AQ23" s="189">
        <v>0</v>
      </c>
      <c r="AR23" s="189"/>
      <c r="AS23" s="189"/>
      <c r="AT23" s="189"/>
      <c r="AU23" s="189"/>
      <c r="AV23" s="189"/>
      <c r="AW23" s="189"/>
      <c r="AX23" s="189"/>
      <c r="AY23" s="189"/>
      <c r="AZ23" s="189"/>
      <c r="BA23" s="189"/>
      <c r="BB23" s="189"/>
      <c r="BC23" s="189"/>
      <c r="BD23" s="189"/>
      <c r="BE23" s="189"/>
      <c r="BF23" s="189"/>
      <c r="BG23" s="189"/>
      <c r="BH23" s="189"/>
      <c r="BI23" s="189"/>
      <c r="BJ23" s="189"/>
      <c r="BK23" s="189"/>
      <c r="BL23" s="189"/>
      <c r="BM23" s="189"/>
      <c r="BN23" s="189"/>
      <c r="BO23" s="189"/>
      <c r="BP23" s="189"/>
      <c r="BQ23" s="189"/>
      <c r="BR23" s="189"/>
      <c r="BS23" s="189"/>
      <c r="BT23" s="189"/>
      <c r="BU23" s="189"/>
      <c r="BV23" s="189"/>
      <c r="BW23" s="189"/>
      <c r="BX23" s="189"/>
      <c r="BY23" s="189"/>
      <c r="BZ23" s="189"/>
      <c r="CA23" s="189"/>
      <c r="CB23" s="189"/>
      <c r="CC23" s="189"/>
      <c r="CD23" s="189"/>
      <c r="CE23" s="189"/>
      <c r="CF23" s="189"/>
      <c r="CG23" s="189"/>
      <c r="CH23" s="189"/>
      <c r="CI23" s="189"/>
      <c r="CJ23" s="189"/>
      <c r="CK23" s="189"/>
      <c r="CL23" s="189"/>
    </row>
    <row r="24" spans="1:90" x14ac:dyDescent="0.25">
      <c r="A24" s="17" t="s">
        <v>16</v>
      </c>
      <c r="B24" s="189">
        <v>350485838.88</v>
      </c>
      <c r="C24" s="189">
        <v>329447339.72000003</v>
      </c>
      <c r="D24" s="189">
        <v>264598578.13999999</v>
      </c>
      <c r="E24" s="189">
        <v>145316958.97</v>
      </c>
      <c r="F24" s="189">
        <v>263528065.19999999</v>
      </c>
      <c r="G24" s="189">
        <v>177760838.40000001</v>
      </c>
      <c r="H24" s="189">
        <v>231933894.87</v>
      </c>
      <c r="I24" s="189">
        <v>23391424.100000001</v>
      </c>
      <c r="J24" s="189">
        <v>54131909.079999998</v>
      </c>
      <c r="K24" s="189">
        <v>54246335.369999997</v>
      </c>
      <c r="L24" s="189">
        <v>75690497.200000003</v>
      </c>
      <c r="M24" s="189">
        <v>80968765.150000006</v>
      </c>
      <c r="N24" s="189">
        <v>35581222.579999998</v>
      </c>
      <c r="O24" s="189">
        <v>11655768.9</v>
      </c>
      <c r="P24" s="189">
        <v>17143562.390000001</v>
      </c>
      <c r="Q24" s="189">
        <v>3700484.57</v>
      </c>
      <c r="R24" s="189">
        <v>11485418.77</v>
      </c>
      <c r="S24" s="189">
        <v>31442552.27</v>
      </c>
      <c r="T24" s="189">
        <v>70961375.989999995</v>
      </c>
      <c r="U24" s="189">
        <v>59418838.549999997</v>
      </c>
      <c r="V24" s="189">
        <v>109447833.95999999</v>
      </c>
      <c r="W24" s="189">
        <v>99780002.469999999</v>
      </c>
      <c r="X24" s="189">
        <v>89734535.799999997</v>
      </c>
      <c r="Y24" s="189">
        <v>91319397.469999999</v>
      </c>
      <c r="Z24" s="189">
        <v>99364848.569999993</v>
      </c>
      <c r="AA24" s="189">
        <v>103731805.2</v>
      </c>
      <c r="AB24" s="189">
        <v>191460438.09</v>
      </c>
      <c r="AC24" s="189">
        <v>170124795.06999999</v>
      </c>
      <c r="AD24" s="189">
        <v>178041769.49000001</v>
      </c>
      <c r="AE24" s="189">
        <v>109114602.94</v>
      </c>
      <c r="AF24" s="189">
        <v>131214899.16</v>
      </c>
      <c r="AG24" s="189">
        <v>90769773.620000005</v>
      </c>
      <c r="AH24" s="189">
        <v>97631588.829999998</v>
      </c>
      <c r="AI24" s="189">
        <v>66545124.350000001</v>
      </c>
      <c r="AJ24" s="189">
        <v>36781348.32</v>
      </c>
      <c r="AK24" s="189">
        <v>8657170.9800000004</v>
      </c>
      <c r="AL24" s="189">
        <v>582558.87</v>
      </c>
      <c r="AM24" s="189">
        <v>6700457.8600000003</v>
      </c>
      <c r="AN24" s="189">
        <v>8818007.8000000007</v>
      </c>
      <c r="AO24" s="189">
        <v>20538798.170000002</v>
      </c>
      <c r="AP24" s="189">
        <v>15250224.02</v>
      </c>
      <c r="AQ24" s="189">
        <v>0</v>
      </c>
      <c r="AR24" s="189"/>
      <c r="AS24" s="189"/>
      <c r="AT24" s="189"/>
      <c r="AU24" s="189"/>
      <c r="AV24" s="189"/>
      <c r="AW24" s="189"/>
      <c r="AX24" s="189"/>
      <c r="AY24" s="189"/>
      <c r="AZ24" s="189"/>
      <c r="BA24" s="189"/>
      <c r="BB24" s="189"/>
      <c r="BC24" s="189"/>
      <c r="BD24" s="189"/>
      <c r="BE24" s="189"/>
      <c r="BF24" s="189"/>
      <c r="BG24" s="189"/>
      <c r="BH24" s="189"/>
      <c r="BI24" s="189"/>
      <c r="BJ24" s="189"/>
      <c r="BK24" s="189"/>
      <c r="BL24" s="189"/>
      <c r="BM24" s="189"/>
      <c r="BN24" s="189"/>
      <c r="BO24" s="189"/>
      <c r="BP24" s="189"/>
      <c r="BQ24" s="189"/>
      <c r="BR24" s="189"/>
      <c r="BS24" s="189"/>
      <c r="BT24" s="189"/>
      <c r="BU24" s="189"/>
      <c r="BV24" s="189"/>
      <c r="BW24" s="189"/>
      <c r="BX24" s="189"/>
      <c r="BY24" s="189"/>
      <c r="BZ24" s="189"/>
      <c r="CA24" s="189"/>
      <c r="CB24" s="189"/>
      <c r="CC24" s="189"/>
      <c r="CD24" s="189"/>
      <c r="CE24" s="189"/>
      <c r="CF24" s="189"/>
      <c r="CG24" s="189"/>
      <c r="CH24" s="189"/>
      <c r="CI24" s="189"/>
      <c r="CJ24" s="189"/>
      <c r="CK24" s="189"/>
      <c r="CL24" s="189"/>
    </row>
    <row r="25" spans="1:90" x14ac:dyDescent="0.25">
      <c r="A25" s="17" t="s">
        <v>17</v>
      </c>
      <c r="B25" s="189">
        <v>403062788.41000003</v>
      </c>
      <c r="C25" s="189">
        <v>501500018.19</v>
      </c>
      <c r="D25" s="189">
        <v>394909704.41000003</v>
      </c>
      <c r="E25" s="189">
        <v>353089398.63999999</v>
      </c>
      <c r="F25" s="189">
        <v>219904625.34999999</v>
      </c>
      <c r="G25" s="189">
        <v>132971434.42</v>
      </c>
      <c r="H25" s="189">
        <v>130734642.42</v>
      </c>
      <c r="I25" s="189">
        <v>96162538.140000001</v>
      </c>
      <c r="J25" s="189">
        <v>62142504.380000003</v>
      </c>
      <c r="K25" s="189">
        <v>65423999.549999997</v>
      </c>
      <c r="L25" s="189">
        <v>50885945.729999997</v>
      </c>
      <c r="M25" s="189">
        <v>21908518.75</v>
      </c>
      <c r="N25" s="189">
        <v>57773807.950000003</v>
      </c>
      <c r="O25" s="189">
        <v>54535257.689999998</v>
      </c>
      <c r="P25" s="189">
        <v>28874761.620000001</v>
      </c>
      <c r="Q25" s="189">
        <v>15393028.33</v>
      </c>
      <c r="R25" s="189">
        <v>101731248.59</v>
      </c>
      <c r="S25" s="189">
        <v>4375208.2699999996</v>
      </c>
      <c r="T25" s="189">
        <v>5292573.95</v>
      </c>
      <c r="U25" s="189">
        <v>2361236.2799999998</v>
      </c>
      <c r="V25" s="189">
        <v>8895951.4299999997</v>
      </c>
      <c r="W25" s="189">
        <v>7891416.5800000001</v>
      </c>
      <c r="X25" s="189">
        <v>12376720.279999999</v>
      </c>
      <c r="Y25" s="189">
        <v>1919475.55</v>
      </c>
      <c r="Z25" s="189">
        <v>8562155.3599999994</v>
      </c>
      <c r="AA25" s="189">
        <v>5603639.7800000003</v>
      </c>
      <c r="AB25" s="189">
        <v>11777229.390000001</v>
      </c>
      <c r="AC25" s="189">
        <v>22963275.699999999</v>
      </c>
      <c r="AD25" s="189">
        <v>7757527.0800000001</v>
      </c>
      <c r="AE25" s="189">
        <v>6206360.2699999996</v>
      </c>
      <c r="AF25" s="189">
        <v>4988533.59</v>
      </c>
      <c r="AG25" s="189">
        <v>1635410.72</v>
      </c>
      <c r="AH25" s="189">
        <v>4854080.8600000003</v>
      </c>
      <c r="AI25" s="189">
        <v>4163731.51</v>
      </c>
      <c r="AJ25" s="189">
        <v>3793761.98</v>
      </c>
      <c r="AK25" s="189">
        <v>7666709.4500000002</v>
      </c>
      <c r="AL25" s="189">
        <v>13093831.810000001</v>
      </c>
      <c r="AM25" s="189">
        <v>6593639.4699999997</v>
      </c>
      <c r="AN25" s="189">
        <v>10882181.51</v>
      </c>
      <c r="AO25" s="189">
        <v>2765040.82</v>
      </c>
      <c r="AP25" s="189">
        <v>7051943.79</v>
      </c>
      <c r="AQ25" s="189">
        <v>0</v>
      </c>
      <c r="AR25" s="189"/>
      <c r="AS25" s="189"/>
      <c r="AT25" s="189"/>
      <c r="AU25" s="189"/>
      <c r="AV25" s="189"/>
      <c r="AW25" s="189"/>
      <c r="AX25" s="189"/>
      <c r="AY25" s="189"/>
      <c r="AZ25" s="189"/>
      <c r="BA25" s="189"/>
      <c r="BB25" s="189"/>
      <c r="BC25" s="189"/>
      <c r="BD25" s="189"/>
      <c r="BE25" s="189"/>
      <c r="BF25" s="189"/>
      <c r="BG25" s="189"/>
      <c r="BH25" s="189"/>
      <c r="BI25" s="189"/>
      <c r="BJ25" s="189"/>
      <c r="BK25" s="189"/>
      <c r="BL25" s="189"/>
      <c r="BM25" s="189"/>
      <c r="BN25" s="189"/>
      <c r="BO25" s="189"/>
      <c r="BP25" s="189"/>
      <c r="BQ25" s="189"/>
      <c r="BR25" s="189"/>
      <c r="BS25" s="189"/>
      <c r="BT25" s="189"/>
      <c r="BU25" s="189"/>
      <c r="BV25" s="189"/>
      <c r="BW25" s="189"/>
      <c r="BX25" s="189"/>
      <c r="BY25" s="189"/>
      <c r="BZ25" s="189"/>
      <c r="CA25" s="189"/>
      <c r="CB25" s="189"/>
      <c r="CC25" s="189"/>
      <c r="CD25" s="189"/>
      <c r="CE25" s="189"/>
      <c r="CF25" s="189"/>
      <c r="CG25" s="189"/>
      <c r="CH25" s="189"/>
      <c r="CI25" s="189"/>
      <c r="CJ25" s="189"/>
      <c r="CK25" s="189"/>
      <c r="CL25" s="189"/>
    </row>
    <row r="26" spans="1:90" x14ac:dyDescent="0.25">
      <c r="A26" s="17" t="s">
        <v>18</v>
      </c>
      <c r="B26" s="189">
        <v>42862800.229999997</v>
      </c>
      <c r="C26" s="189">
        <v>46445789.039999999</v>
      </c>
      <c r="D26" s="189">
        <v>55843503.469999999</v>
      </c>
      <c r="E26" s="189">
        <v>48631804.280000001</v>
      </c>
      <c r="F26" s="189">
        <v>60359811.289999999</v>
      </c>
      <c r="G26" s="189">
        <v>28474288.190000001</v>
      </c>
      <c r="H26" s="189">
        <v>46400580.659999996</v>
      </c>
      <c r="I26" s="189">
        <v>0</v>
      </c>
      <c r="J26" s="189">
        <v>0</v>
      </c>
      <c r="K26" s="189">
        <v>0</v>
      </c>
      <c r="L26" s="189">
        <v>0</v>
      </c>
      <c r="M26" s="189">
        <v>0</v>
      </c>
      <c r="N26" s="189">
        <v>0</v>
      </c>
      <c r="O26" s="189">
        <v>0</v>
      </c>
      <c r="P26" s="189">
        <v>0</v>
      </c>
      <c r="Q26" s="189">
        <v>0</v>
      </c>
      <c r="R26" s="189">
        <v>0</v>
      </c>
      <c r="S26" s="189">
        <v>261959175.13</v>
      </c>
      <c r="T26" s="189">
        <v>243002467.81999999</v>
      </c>
      <c r="U26" s="189">
        <v>244241616.62</v>
      </c>
      <c r="V26" s="189">
        <v>231657013.03</v>
      </c>
      <c r="W26" s="189">
        <v>226678671.16</v>
      </c>
      <c r="X26" s="189">
        <v>221384254.38999999</v>
      </c>
      <c r="Y26" s="189">
        <v>205923931.38999999</v>
      </c>
      <c r="Z26" s="189">
        <v>202053770.15000001</v>
      </c>
      <c r="AA26" s="189">
        <v>186275276.88999999</v>
      </c>
      <c r="AB26" s="189">
        <v>190051251.41999999</v>
      </c>
      <c r="AC26" s="189">
        <v>171648898.09</v>
      </c>
      <c r="AD26" s="189">
        <v>185907408.28</v>
      </c>
      <c r="AE26" s="189">
        <v>176435410.56</v>
      </c>
      <c r="AF26" s="189">
        <v>157275477.65000001</v>
      </c>
      <c r="AG26" s="189">
        <v>156983240.11000001</v>
      </c>
      <c r="AH26" s="189">
        <v>141244157.72999999</v>
      </c>
      <c r="AI26" s="189">
        <v>124363796.44</v>
      </c>
      <c r="AJ26" s="189">
        <v>100684649.66</v>
      </c>
      <c r="AK26" s="189">
        <v>85575879.829999998</v>
      </c>
      <c r="AL26" s="189">
        <v>76244122.519999996</v>
      </c>
      <c r="AM26" s="189">
        <v>66186789.520000003</v>
      </c>
      <c r="AN26" s="189">
        <v>79815453.790000007</v>
      </c>
      <c r="AO26" s="189">
        <v>76524736.989999995</v>
      </c>
      <c r="AP26" s="189">
        <v>60159439.409999996</v>
      </c>
      <c r="AQ26" s="189">
        <v>0</v>
      </c>
      <c r="AR26" s="189"/>
      <c r="AS26" s="189"/>
      <c r="AT26" s="189"/>
      <c r="AU26" s="189"/>
      <c r="AV26" s="189"/>
      <c r="AW26" s="189"/>
      <c r="AX26" s="189"/>
      <c r="AY26" s="189"/>
      <c r="AZ26" s="189"/>
      <c r="BA26" s="189"/>
      <c r="BB26" s="189"/>
      <c r="BC26" s="189"/>
      <c r="BD26" s="189"/>
      <c r="BE26" s="189"/>
      <c r="BF26" s="189"/>
      <c r="BG26" s="189"/>
      <c r="BH26" s="189"/>
      <c r="BI26" s="189"/>
      <c r="BJ26" s="189"/>
      <c r="BK26" s="189"/>
      <c r="BL26" s="189"/>
      <c r="BM26" s="189"/>
      <c r="BN26" s="189"/>
      <c r="BO26" s="189"/>
      <c r="BP26" s="189"/>
      <c r="BQ26" s="189"/>
      <c r="BR26" s="189"/>
      <c r="BS26" s="189"/>
      <c r="BT26" s="189"/>
      <c r="BU26" s="189"/>
      <c r="BV26" s="189"/>
      <c r="BW26" s="189"/>
      <c r="BX26" s="189"/>
      <c r="BY26" s="189"/>
      <c r="BZ26" s="189"/>
      <c r="CA26" s="189"/>
      <c r="CB26" s="189"/>
      <c r="CC26" s="189"/>
      <c r="CD26" s="189"/>
      <c r="CE26" s="189"/>
      <c r="CF26" s="189"/>
      <c r="CG26" s="189"/>
      <c r="CH26" s="189"/>
      <c r="CI26" s="189"/>
      <c r="CJ26" s="189"/>
      <c r="CK26" s="189"/>
      <c r="CL26" s="189"/>
    </row>
    <row r="27" spans="1:90" x14ac:dyDescent="0.25">
      <c r="A27" s="17" t="s">
        <v>19</v>
      </c>
      <c r="B27" s="189">
        <v>49689890.350000001</v>
      </c>
      <c r="C27" s="189">
        <v>74578119.719999999</v>
      </c>
      <c r="D27" s="189">
        <v>138666822.58000001</v>
      </c>
      <c r="E27" s="189">
        <v>280955900.57999998</v>
      </c>
      <c r="F27" s="189">
        <v>164440576.09999999</v>
      </c>
      <c r="G27" s="189">
        <v>178874448.08000001</v>
      </c>
      <c r="H27" s="189">
        <v>9706049.3100000005</v>
      </c>
      <c r="I27" s="189">
        <v>57228634.920000002</v>
      </c>
      <c r="J27" s="189">
        <v>31376847.039999999</v>
      </c>
      <c r="K27" s="189">
        <v>31644343.300000001</v>
      </c>
      <c r="L27" s="189">
        <v>32163995.859999999</v>
      </c>
      <c r="M27" s="189">
        <v>154477715.94999999</v>
      </c>
      <c r="N27" s="189">
        <v>70058.429999999993</v>
      </c>
      <c r="O27" s="189">
        <v>50187279.18</v>
      </c>
      <c r="P27" s="189">
        <v>81782473.849999994</v>
      </c>
      <c r="Q27" s="189">
        <v>219388.05</v>
      </c>
      <c r="R27" s="189">
        <v>50000000</v>
      </c>
      <c r="S27" s="189">
        <v>4262660.0199999996</v>
      </c>
      <c r="T27" s="189">
        <v>5262660.0199999996</v>
      </c>
      <c r="U27" s="189">
        <v>5262660.0199999996</v>
      </c>
      <c r="V27" s="189">
        <v>2766263.63</v>
      </c>
      <c r="W27" s="189">
        <v>1766263.63</v>
      </c>
      <c r="X27" s="189">
        <v>2766263.63</v>
      </c>
      <c r="Y27" s="189">
        <v>2766263.63</v>
      </c>
      <c r="Z27" s="189">
        <v>27518660.949999999</v>
      </c>
      <c r="AA27" s="189">
        <v>26983136.98</v>
      </c>
      <c r="AB27" s="189">
        <v>2531769.92</v>
      </c>
      <c r="AC27" s="189">
        <v>2600005.2000000002</v>
      </c>
      <c r="AD27" s="189">
        <v>1938392.44</v>
      </c>
      <c r="AE27" s="189">
        <v>1314158.3999999999</v>
      </c>
      <c r="AF27" s="189">
        <v>200000</v>
      </c>
      <c r="AG27" s="189">
        <v>2125983.0099999998</v>
      </c>
      <c r="AH27" s="189">
        <v>0</v>
      </c>
      <c r="AI27" s="189">
        <v>0</v>
      </c>
      <c r="AJ27" s="189">
        <v>0</v>
      </c>
      <c r="AK27" s="189">
        <v>0</v>
      </c>
      <c r="AL27" s="189">
        <v>0</v>
      </c>
      <c r="AM27" s="189">
        <v>0</v>
      </c>
      <c r="AN27" s="189">
        <v>0</v>
      </c>
      <c r="AO27" s="189">
        <v>318690.52</v>
      </c>
      <c r="AP27" s="189">
        <v>637705.06999999995</v>
      </c>
      <c r="AQ27" s="189">
        <v>0</v>
      </c>
      <c r="AR27" s="189"/>
      <c r="AS27" s="189"/>
      <c r="AT27" s="189"/>
      <c r="AU27" s="189"/>
      <c r="AV27" s="189"/>
      <c r="AW27" s="189"/>
      <c r="AX27" s="189"/>
      <c r="AY27" s="189"/>
      <c r="AZ27" s="189"/>
      <c r="BA27" s="189"/>
      <c r="BB27" s="189"/>
      <c r="BC27" s="189"/>
      <c r="BD27" s="189"/>
      <c r="BE27" s="189"/>
      <c r="BF27" s="189"/>
      <c r="BG27" s="189"/>
      <c r="BH27" s="189"/>
      <c r="BI27" s="189"/>
      <c r="BJ27" s="189"/>
      <c r="BK27" s="189"/>
      <c r="BL27" s="189"/>
      <c r="BM27" s="189"/>
      <c r="BN27" s="189"/>
      <c r="BO27" s="189"/>
      <c r="BP27" s="189"/>
      <c r="BQ27" s="189"/>
      <c r="BR27" s="189"/>
      <c r="BS27" s="189"/>
      <c r="BT27" s="189"/>
      <c r="BU27" s="189"/>
      <c r="BV27" s="189"/>
      <c r="BW27" s="189"/>
      <c r="BX27" s="189"/>
      <c r="BY27" s="189"/>
      <c r="BZ27" s="189"/>
      <c r="CA27" s="189"/>
      <c r="CB27" s="189"/>
      <c r="CC27" s="189"/>
      <c r="CD27" s="189"/>
      <c r="CE27" s="189"/>
      <c r="CF27" s="189"/>
      <c r="CG27" s="189"/>
      <c r="CH27" s="189"/>
      <c r="CI27" s="189"/>
      <c r="CJ27" s="189"/>
      <c r="CK27" s="189"/>
      <c r="CL27" s="189"/>
    </row>
    <row r="28" spans="1:90" x14ac:dyDescent="0.25">
      <c r="A28" s="17" t="s">
        <v>76</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c r="AS28" s="189"/>
      <c r="AT28" s="189"/>
      <c r="AU28" s="189"/>
      <c r="AV28" s="189"/>
      <c r="AW28" s="189"/>
      <c r="AX28" s="189"/>
      <c r="AY28" s="189"/>
      <c r="AZ28" s="189"/>
      <c r="BA28" s="189"/>
      <c r="BB28" s="189"/>
      <c r="BC28" s="189"/>
      <c r="BD28" s="189"/>
      <c r="BE28" s="189"/>
      <c r="BF28" s="189"/>
      <c r="BG28" s="189"/>
      <c r="BH28" s="189"/>
      <c r="BI28" s="189"/>
      <c r="BJ28" s="189"/>
      <c r="BK28" s="189"/>
      <c r="BL28" s="189"/>
      <c r="BM28" s="189"/>
      <c r="BN28" s="189"/>
      <c r="BO28" s="189"/>
      <c r="BP28" s="189"/>
      <c r="BQ28" s="189"/>
      <c r="BR28" s="189"/>
      <c r="BS28" s="189"/>
      <c r="BT28" s="189"/>
      <c r="BU28" s="189"/>
      <c r="BV28" s="189"/>
      <c r="BW28" s="189"/>
      <c r="BX28" s="189"/>
      <c r="BY28" s="189"/>
      <c r="BZ28" s="189"/>
      <c r="CA28" s="189"/>
      <c r="CB28" s="189"/>
      <c r="CC28" s="189"/>
      <c r="CD28" s="189"/>
      <c r="CE28" s="189"/>
      <c r="CF28" s="189"/>
      <c r="CG28" s="189"/>
      <c r="CH28" s="189"/>
      <c r="CI28" s="189"/>
      <c r="CJ28" s="189"/>
      <c r="CK28" s="189"/>
      <c r="CL28" s="189"/>
    </row>
    <row r="29" spans="1:90" x14ac:dyDescent="0.25">
      <c r="A29" s="17" t="s">
        <v>3</v>
      </c>
      <c r="B29" s="189">
        <v>0</v>
      </c>
      <c r="C29" s="189">
        <v>0</v>
      </c>
      <c r="D29" s="189">
        <v>0</v>
      </c>
      <c r="E29" s="189">
        <v>0</v>
      </c>
      <c r="F29" s="189">
        <v>143611.82999999999</v>
      </c>
      <c r="G29" s="189">
        <v>518214.24</v>
      </c>
      <c r="H29" s="189">
        <v>4726943.3499999996</v>
      </c>
      <c r="I29" s="189">
        <v>1700761.84</v>
      </c>
      <c r="J29" s="189">
        <v>3767784.89</v>
      </c>
      <c r="K29" s="189">
        <v>3931132.91</v>
      </c>
      <c r="L29" s="189">
        <v>3905232.56</v>
      </c>
      <c r="M29" s="189">
        <v>4048524.77</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c r="AS29" s="189"/>
      <c r="AT29" s="189"/>
      <c r="AU29" s="189"/>
      <c r="AV29" s="189"/>
      <c r="AW29" s="189"/>
      <c r="AX29" s="189"/>
      <c r="AY29" s="189"/>
      <c r="AZ29" s="189"/>
      <c r="BA29" s="189"/>
      <c r="BB29" s="189"/>
      <c r="BC29" s="189"/>
      <c r="BD29" s="189"/>
      <c r="BE29" s="189"/>
      <c r="BF29" s="189"/>
      <c r="BG29" s="189"/>
      <c r="BH29" s="189"/>
      <c r="BI29" s="189"/>
      <c r="BJ29" s="189"/>
      <c r="BK29" s="189"/>
      <c r="BL29" s="189"/>
      <c r="BM29" s="189"/>
      <c r="BN29" s="189"/>
      <c r="BO29" s="189"/>
      <c r="BP29" s="189"/>
      <c r="BQ29" s="189"/>
      <c r="BR29" s="189"/>
      <c r="BS29" s="189"/>
      <c r="BT29" s="189"/>
      <c r="BU29" s="189"/>
      <c r="BV29" s="189"/>
      <c r="BW29" s="189"/>
      <c r="BX29" s="189"/>
      <c r="BY29" s="189"/>
      <c r="BZ29" s="189"/>
      <c r="CA29" s="189"/>
      <c r="CB29" s="189"/>
      <c r="CC29" s="189"/>
      <c r="CD29" s="189"/>
      <c r="CE29" s="189"/>
      <c r="CF29" s="189"/>
      <c r="CG29" s="189"/>
      <c r="CH29" s="189"/>
      <c r="CI29" s="189"/>
      <c r="CJ29" s="189"/>
      <c r="CK29" s="189"/>
      <c r="CL29" s="189"/>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1590838502.75</v>
      </c>
      <c r="C33" s="35">
        <f t="shared" ref="C33:BN33" si="2">SUM(C22:C29)</f>
        <v>1705357749.7900002</v>
      </c>
      <c r="D33" s="35">
        <f t="shared" si="2"/>
        <v>1702953641.8899999</v>
      </c>
      <c r="E33" s="35">
        <f t="shared" si="2"/>
        <v>1472474469.8399999</v>
      </c>
      <c r="F33" s="35">
        <f t="shared" si="2"/>
        <v>1372150193.1299996</v>
      </c>
      <c r="G33" s="35">
        <f t="shared" si="2"/>
        <v>1407316088.5899999</v>
      </c>
      <c r="H33" s="35">
        <f t="shared" si="2"/>
        <v>1179305346.3399999</v>
      </c>
      <c r="I33" s="35">
        <f t="shared" si="2"/>
        <v>586635849.01999998</v>
      </c>
      <c r="J33" s="35">
        <f t="shared" si="2"/>
        <v>594535366.5999999</v>
      </c>
      <c r="K33" s="35">
        <f t="shared" si="2"/>
        <v>550138591.83999991</v>
      </c>
      <c r="L33" s="35">
        <f t="shared" si="2"/>
        <v>613855249.96999991</v>
      </c>
      <c r="M33" s="35">
        <f t="shared" si="2"/>
        <v>677727154.16000009</v>
      </c>
      <c r="N33" s="35">
        <f t="shared" si="2"/>
        <v>215516904.38999999</v>
      </c>
      <c r="O33" s="35">
        <f t="shared" si="2"/>
        <v>238240678.38</v>
      </c>
      <c r="P33" s="35">
        <f t="shared" si="2"/>
        <v>252665141.10999998</v>
      </c>
      <c r="Q33" s="35">
        <f t="shared" si="2"/>
        <v>105719267.17999999</v>
      </c>
      <c r="R33" s="35">
        <f t="shared" si="2"/>
        <v>243558246.75</v>
      </c>
      <c r="S33" s="35">
        <f t="shared" si="2"/>
        <v>357097971.20999998</v>
      </c>
      <c r="T33" s="35">
        <f t="shared" si="2"/>
        <v>400512832.97999996</v>
      </c>
      <c r="U33" s="35">
        <f t="shared" si="2"/>
        <v>426911111.28999996</v>
      </c>
      <c r="V33" s="35">
        <f t="shared" si="2"/>
        <v>471325721.41999996</v>
      </c>
      <c r="W33" s="35">
        <f t="shared" si="2"/>
        <v>472241674.59000003</v>
      </c>
      <c r="X33" s="35">
        <f t="shared" si="2"/>
        <v>439432821.02999997</v>
      </c>
      <c r="Y33" s="35">
        <f t="shared" si="2"/>
        <v>398835275.69</v>
      </c>
      <c r="Z33" s="35">
        <f t="shared" si="2"/>
        <v>490887961.77000004</v>
      </c>
      <c r="AA33" s="35">
        <f t="shared" si="2"/>
        <v>464702270.5</v>
      </c>
      <c r="AB33" s="35">
        <f t="shared" si="2"/>
        <v>551049954.80999994</v>
      </c>
      <c r="AC33" s="35">
        <f t="shared" si="2"/>
        <v>524719091.35999995</v>
      </c>
      <c r="AD33" s="35">
        <f t="shared" si="2"/>
        <v>509846444.41000003</v>
      </c>
      <c r="AE33" s="35">
        <f t="shared" si="2"/>
        <v>410472742.81999999</v>
      </c>
      <c r="AF33" s="35">
        <f t="shared" si="2"/>
        <v>384934443.55000001</v>
      </c>
      <c r="AG33" s="35">
        <f t="shared" si="2"/>
        <v>329579410.53999996</v>
      </c>
      <c r="AH33" s="35">
        <f t="shared" si="2"/>
        <v>317352240.70000005</v>
      </c>
      <c r="AI33" s="35">
        <f t="shared" si="2"/>
        <v>269620434.66999996</v>
      </c>
      <c r="AJ33" s="35">
        <f t="shared" si="2"/>
        <v>208823259.54000002</v>
      </c>
      <c r="AK33" s="35">
        <f t="shared" si="2"/>
        <v>161582963.63</v>
      </c>
      <c r="AL33" s="35">
        <f t="shared" si="2"/>
        <v>148970566.72999999</v>
      </c>
      <c r="AM33" s="35">
        <f t="shared" si="2"/>
        <v>132970330.98</v>
      </c>
      <c r="AN33" s="35">
        <f t="shared" si="2"/>
        <v>156414727.86000001</v>
      </c>
      <c r="AO33" s="35">
        <f t="shared" si="2"/>
        <v>134786998.86000001</v>
      </c>
      <c r="AP33" s="35">
        <f t="shared" si="2"/>
        <v>106661910.05999999</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9">
        <v>0</v>
      </c>
      <c r="C35" s="189">
        <v>0</v>
      </c>
      <c r="D35" s="189">
        <v>0</v>
      </c>
      <c r="E35" s="189">
        <v>0</v>
      </c>
      <c r="F35" s="189">
        <v>0</v>
      </c>
      <c r="G35" s="189">
        <v>0</v>
      </c>
      <c r="H35" s="189">
        <v>0</v>
      </c>
      <c r="I35" s="189">
        <v>0</v>
      </c>
      <c r="J35" s="189">
        <v>0</v>
      </c>
      <c r="K35" s="189">
        <v>0</v>
      </c>
      <c r="L35" s="189">
        <v>0</v>
      </c>
      <c r="M35" s="189">
        <v>0</v>
      </c>
      <c r="N35" s="189">
        <v>0</v>
      </c>
      <c r="O35" s="189">
        <v>0</v>
      </c>
      <c r="P35" s="189">
        <v>0</v>
      </c>
      <c r="Q35" s="189">
        <v>0</v>
      </c>
      <c r="R35" s="189">
        <v>0</v>
      </c>
      <c r="S35" s="189">
        <v>0</v>
      </c>
      <c r="T35" s="189">
        <v>0</v>
      </c>
      <c r="U35" s="189">
        <v>0</v>
      </c>
      <c r="V35" s="189">
        <v>12072500</v>
      </c>
      <c r="W35" s="189">
        <v>20372500</v>
      </c>
      <c r="X35" s="189">
        <v>16730109.460000001</v>
      </c>
      <c r="Y35" s="189">
        <v>17338756.66</v>
      </c>
      <c r="Z35" s="189">
        <v>26650874.940000001</v>
      </c>
      <c r="AA35" s="189">
        <v>8685548.1600000001</v>
      </c>
      <c r="AB35" s="189">
        <v>16035772.92</v>
      </c>
      <c r="AC35" s="189">
        <v>8799905.4000000004</v>
      </c>
      <c r="AD35" s="189">
        <v>6734558.9500000002</v>
      </c>
      <c r="AE35" s="189">
        <v>0</v>
      </c>
      <c r="AF35" s="189">
        <v>0</v>
      </c>
      <c r="AG35" s="189">
        <v>0</v>
      </c>
      <c r="AH35" s="189">
        <v>0</v>
      </c>
      <c r="AI35" s="189">
        <v>0</v>
      </c>
      <c r="AJ35" s="189">
        <v>0</v>
      </c>
      <c r="AK35" s="189">
        <v>0</v>
      </c>
      <c r="AL35" s="189">
        <v>0</v>
      </c>
      <c r="AM35" s="189">
        <v>0</v>
      </c>
      <c r="AN35" s="189">
        <v>0</v>
      </c>
      <c r="AO35" s="189">
        <v>0</v>
      </c>
      <c r="AP35" s="189">
        <v>0</v>
      </c>
      <c r="AQ35" s="189">
        <v>0</v>
      </c>
      <c r="AR35" s="189"/>
      <c r="AS35" s="189"/>
      <c r="AT35" s="189"/>
      <c r="AU35" s="189"/>
      <c r="AV35" s="189"/>
      <c r="AW35" s="189"/>
      <c r="AX35" s="189"/>
      <c r="AY35" s="189"/>
      <c r="AZ35" s="189"/>
      <c r="BA35" s="189"/>
      <c r="BB35" s="189"/>
      <c r="BC35" s="189"/>
      <c r="BD35" s="189"/>
      <c r="BE35" s="189"/>
      <c r="BF35" s="189"/>
      <c r="BG35" s="189"/>
      <c r="BH35" s="189"/>
      <c r="BI35" s="189"/>
      <c r="BJ35" s="189"/>
      <c r="BK35" s="189"/>
      <c r="BL35" s="189"/>
      <c r="BM35" s="189"/>
      <c r="BN35" s="189"/>
      <c r="BO35" s="189"/>
      <c r="BP35" s="189"/>
      <c r="BQ35" s="189"/>
      <c r="BR35" s="189"/>
      <c r="BS35" s="189"/>
      <c r="BT35" s="189"/>
      <c r="BU35" s="189"/>
      <c r="BV35" s="189"/>
      <c r="BW35" s="189"/>
      <c r="BX35" s="189"/>
      <c r="BY35" s="189"/>
      <c r="BZ35" s="189"/>
      <c r="CA35" s="189"/>
      <c r="CB35" s="189"/>
      <c r="CC35" s="189"/>
      <c r="CD35" s="189"/>
      <c r="CE35" s="189"/>
      <c r="CF35" s="189"/>
      <c r="CG35" s="189"/>
      <c r="CH35" s="189"/>
      <c r="CI35" s="189"/>
      <c r="CJ35" s="189"/>
      <c r="CK35" s="189"/>
      <c r="CL35" s="189"/>
    </row>
    <row r="36" spans="1:90" x14ac:dyDescent="0.25">
      <c r="A36" s="17" t="s">
        <v>22</v>
      </c>
      <c r="B36" s="189">
        <v>0</v>
      </c>
      <c r="C36" s="189">
        <v>334806007.35000002</v>
      </c>
      <c r="D36" s="189">
        <v>373239935.16000003</v>
      </c>
      <c r="E36" s="189">
        <v>316467674.37</v>
      </c>
      <c r="F36" s="189">
        <v>232056221.37</v>
      </c>
      <c r="G36" s="189">
        <v>286996195.56</v>
      </c>
      <c r="H36" s="189">
        <v>297837888.13999999</v>
      </c>
      <c r="I36" s="189">
        <v>89656271.739999995</v>
      </c>
      <c r="J36" s="189">
        <v>115182108.23999999</v>
      </c>
      <c r="K36" s="189">
        <v>110817739.83</v>
      </c>
      <c r="L36" s="189">
        <v>139344254.19999999</v>
      </c>
      <c r="M36" s="189">
        <v>90431085.870000005</v>
      </c>
      <c r="N36" s="189">
        <v>42640441.380000003</v>
      </c>
      <c r="O36" s="189">
        <v>35699164.850000001</v>
      </c>
      <c r="P36" s="189">
        <v>29056715.739999998</v>
      </c>
      <c r="Q36" s="189">
        <v>8773251.8499999996</v>
      </c>
      <c r="R36" s="189">
        <v>39786235.5</v>
      </c>
      <c r="S36" s="189">
        <v>97930535.010000005</v>
      </c>
      <c r="T36" s="189">
        <v>81090445.480000004</v>
      </c>
      <c r="U36" s="189">
        <v>86650058.730000004</v>
      </c>
      <c r="V36" s="189">
        <v>91394336.019999996</v>
      </c>
      <c r="W36" s="189">
        <v>98611038.799999997</v>
      </c>
      <c r="X36" s="189">
        <v>72580935.260000005</v>
      </c>
      <c r="Y36" s="189">
        <v>82771366.359999999</v>
      </c>
      <c r="Z36" s="189">
        <v>92223295.700000003</v>
      </c>
      <c r="AA36" s="189">
        <v>90429971.159999996</v>
      </c>
      <c r="AB36" s="189">
        <v>71789208.409999996</v>
      </c>
      <c r="AC36" s="189">
        <v>88192841.840000004</v>
      </c>
      <c r="AD36" s="189">
        <v>86646913.689999998</v>
      </c>
      <c r="AE36" s="189">
        <v>95110087.670000002</v>
      </c>
      <c r="AF36" s="189">
        <v>72813850.829999998</v>
      </c>
      <c r="AG36" s="189">
        <v>67419824.189999998</v>
      </c>
      <c r="AH36" s="189">
        <v>68068350.400000006</v>
      </c>
      <c r="AI36" s="189">
        <v>53057347.240000002</v>
      </c>
      <c r="AJ36" s="189">
        <v>47755129.799999997</v>
      </c>
      <c r="AK36" s="189">
        <v>25463346.760000002</v>
      </c>
      <c r="AL36" s="189">
        <v>11381089.32</v>
      </c>
      <c r="AM36" s="189">
        <v>31220118.600000001</v>
      </c>
      <c r="AN36" s="189">
        <v>47541378.270000003</v>
      </c>
      <c r="AO36" s="189">
        <v>46618919.829999998</v>
      </c>
      <c r="AP36" s="189">
        <v>26448935.829999998</v>
      </c>
      <c r="AQ36" s="189">
        <v>0</v>
      </c>
      <c r="AR36" s="189"/>
      <c r="AS36" s="189"/>
      <c r="AT36" s="189"/>
      <c r="AU36" s="189"/>
      <c r="AV36" s="189"/>
      <c r="AW36" s="189"/>
      <c r="AX36" s="189"/>
      <c r="AY36" s="189"/>
      <c r="AZ36" s="189"/>
      <c r="BA36" s="189"/>
      <c r="BB36" s="189"/>
      <c r="BC36" s="189"/>
      <c r="BD36" s="189"/>
      <c r="BE36" s="189"/>
      <c r="BF36" s="189"/>
      <c r="BG36" s="189"/>
      <c r="BH36" s="189"/>
      <c r="BI36" s="189"/>
      <c r="BJ36" s="189"/>
      <c r="BK36" s="189"/>
      <c r="BL36" s="189"/>
      <c r="BM36" s="189"/>
      <c r="BN36" s="189"/>
      <c r="BO36" s="189"/>
      <c r="BP36" s="189"/>
      <c r="BQ36" s="189"/>
      <c r="BR36" s="189"/>
      <c r="BS36" s="189"/>
      <c r="BT36" s="189"/>
      <c r="BU36" s="189"/>
      <c r="BV36" s="189"/>
      <c r="BW36" s="189"/>
      <c r="BX36" s="189"/>
      <c r="BY36" s="189"/>
      <c r="BZ36" s="189"/>
      <c r="CA36" s="189"/>
      <c r="CB36" s="189"/>
      <c r="CC36" s="189"/>
      <c r="CD36" s="189"/>
      <c r="CE36" s="189"/>
      <c r="CF36" s="189"/>
      <c r="CG36" s="189"/>
      <c r="CH36" s="189"/>
      <c r="CI36" s="189"/>
      <c r="CJ36" s="189"/>
      <c r="CK36" s="189"/>
      <c r="CL36" s="189"/>
    </row>
    <row r="37" spans="1:90" x14ac:dyDescent="0.25">
      <c r="A37" s="17" t="s">
        <v>23</v>
      </c>
      <c r="B37" s="189">
        <v>64691642.759999998</v>
      </c>
      <c r="C37" s="189">
        <v>74375406.769999996</v>
      </c>
      <c r="D37" s="189">
        <v>61191964.079999998</v>
      </c>
      <c r="E37" s="189">
        <v>81219030.459999993</v>
      </c>
      <c r="F37" s="189">
        <v>109338153.52</v>
      </c>
      <c r="G37" s="189">
        <v>111697749.14</v>
      </c>
      <c r="H37" s="189">
        <v>101550682.51000001</v>
      </c>
      <c r="I37" s="189">
        <v>14864072.4</v>
      </c>
      <c r="J37" s="189">
        <v>13958729.58</v>
      </c>
      <c r="K37" s="189">
        <v>16064096.039999999</v>
      </c>
      <c r="L37" s="189">
        <v>21691842.510000002</v>
      </c>
      <c r="M37" s="189">
        <v>23508308.57</v>
      </c>
      <c r="N37" s="189">
        <v>289228.39</v>
      </c>
      <c r="O37" s="189">
        <v>688134.89</v>
      </c>
      <c r="P37" s="189">
        <v>1197729</v>
      </c>
      <c r="Q37" s="189">
        <v>1193205</v>
      </c>
      <c r="R37" s="189">
        <v>0</v>
      </c>
      <c r="S37" s="189">
        <v>22120440.5</v>
      </c>
      <c r="T37" s="189">
        <v>9439436.8000000007</v>
      </c>
      <c r="U37" s="189">
        <v>13289234.119999999</v>
      </c>
      <c r="V37" s="189">
        <v>9776404.8100000005</v>
      </c>
      <c r="W37" s="189">
        <v>10036800</v>
      </c>
      <c r="X37" s="189">
        <v>11178801.390000001</v>
      </c>
      <c r="Y37" s="189">
        <v>10121771.710000001</v>
      </c>
      <c r="Z37" s="189">
        <v>8161390.25</v>
      </c>
      <c r="AA37" s="189">
        <v>4069573.37</v>
      </c>
      <c r="AB37" s="189">
        <v>2335538.63</v>
      </c>
      <c r="AC37" s="189">
        <v>1125228.56</v>
      </c>
      <c r="AD37" s="189">
        <v>9549325.2100000009</v>
      </c>
      <c r="AE37" s="189">
        <v>4158062.24</v>
      </c>
      <c r="AF37" s="189">
        <v>2501421.11</v>
      </c>
      <c r="AG37" s="189">
        <v>735873.49</v>
      </c>
      <c r="AH37" s="189">
        <v>3968200.82</v>
      </c>
      <c r="AI37" s="189">
        <v>4517099.3099999996</v>
      </c>
      <c r="AJ37" s="189">
        <v>1834964.56</v>
      </c>
      <c r="AK37" s="189">
        <v>1656918.77</v>
      </c>
      <c r="AL37" s="189">
        <v>126669.72</v>
      </c>
      <c r="AM37" s="189">
        <v>1760416.39</v>
      </c>
      <c r="AN37" s="189">
        <v>958236.75</v>
      </c>
      <c r="AO37" s="189">
        <v>0</v>
      </c>
      <c r="AP37" s="189">
        <v>0</v>
      </c>
      <c r="AQ37" s="189">
        <v>0</v>
      </c>
      <c r="AR37" s="189"/>
      <c r="AS37" s="189"/>
      <c r="AT37" s="189"/>
      <c r="AU37" s="189"/>
      <c r="AV37" s="189"/>
      <c r="AW37" s="189"/>
      <c r="AX37" s="189"/>
      <c r="AY37" s="189"/>
      <c r="AZ37" s="189"/>
      <c r="BA37" s="189"/>
      <c r="BB37" s="189"/>
      <c r="BC37" s="189"/>
      <c r="BD37" s="189"/>
      <c r="BE37" s="189"/>
      <c r="BF37" s="189"/>
      <c r="BG37" s="189"/>
      <c r="BH37" s="189"/>
      <c r="BI37" s="189"/>
      <c r="BJ37" s="189"/>
      <c r="BK37" s="189"/>
      <c r="BL37" s="189"/>
      <c r="BM37" s="189"/>
      <c r="BN37" s="189"/>
      <c r="BO37" s="189"/>
      <c r="BP37" s="189"/>
      <c r="BQ37" s="189"/>
      <c r="BR37" s="189"/>
      <c r="BS37" s="189"/>
      <c r="BT37" s="189"/>
      <c r="BU37" s="189"/>
      <c r="BV37" s="189"/>
      <c r="BW37" s="189"/>
      <c r="BX37" s="189"/>
      <c r="BY37" s="189"/>
      <c r="BZ37" s="189"/>
      <c r="CA37" s="189"/>
      <c r="CB37" s="189"/>
      <c r="CC37" s="189"/>
      <c r="CD37" s="189"/>
      <c r="CE37" s="189"/>
      <c r="CF37" s="189"/>
      <c r="CG37" s="189"/>
      <c r="CH37" s="189"/>
      <c r="CI37" s="189"/>
      <c r="CJ37" s="189"/>
      <c r="CK37" s="189"/>
      <c r="CL37" s="189"/>
    </row>
    <row r="38" spans="1:90" x14ac:dyDescent="0.25">
      <c r="A38" s="17" t="s">
        <v>24</v>
      </c>
      <c r="B38" s="189">
        <v>0</v>
      </c>
      <c r="C38" s="189">
        <v>0</v>
      </c>
      <c r="D38" s="189">
        <v>0</v>
      </c>
      <c r="E38" s="189">
        <v>0</v>
      </c>
      <c r="F38" s="189">
        <v>0</v>
      </c>
      <c r="G38" s="189">
        <v>0</v>
      </c>
      <c r="H38" s="189">
        <v>0</v>
      </c>
      <c r="I38" s="189">
        <v>0</v>
      </c>
      <c r="J38" s="189">
        <v>0</v>
      </c>
      <c r="K38" s="189">
        <v>0</v>
      </c>
      <c r="L38" s="189">
        <v>0</v>
      </c>
      <c r="M38" s="189">
        <v>0</v>
      </c>
      <c r="N38" s="189">
        <v>0</v>
      </c>
      <c r="O38" s="189">
        <v>0</v>
      </c>
      <c r="P38" s="189">
        <v>0</v>
      </c>
      <c r="Q38" s="189">
        <v>0</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c r="AN38" s="189">
        <v>0</v>
      </c>
      <c r="AO38" s="189">
        <v>0</v>
      </c>
      <c r="AP38" s="189">
        <v>0</v>
      </c>
      <c r="AQ38" s="189">
        <v>0</v>
      </c>
      <c r="AR38" s="189"/>
      <c r="AS38" s="189"/>
      <c r="AT38" s="189"/>
      <c r="AU38" s="189"/>
      <c r="AV38" s="189"/>
      <c r="AW38" s="189"/>
      <c r="AX38" s="189"/>
      <c r="AY38" s="189"/>
      <c r="AZ38" s="189"/>
      <c r="BA38" s="189"/>
      <c r="BB38" s="189"/>
      <c r="BC38" s="189"/>
      <c r="BD38" s="189"/>
      <c r="BE38" s="189"/>
      <c r="BF38" s="189"/>
      <c r="BG38" s="189"/>
      <c r="BH38" s="189"/>
      <c r="BI38" s="189"/>
      <c r="BJ38" s="189"/>
      <c r="BK38" s="189"/>
      <c r="BL38" s="189"/>
      <c r="BM38" s="189"/>
      <c r="BN38" s="189"/>
      <c r="BO38" s="189"/>
      <c r="BP38" s="189"/>
      <c r="BQ38" s="189"/>
      <c r="BR38" s="189"/>
      <c r="BS38" s="189"/>
      <c r="BT38" s="189"/>
      <c r="BU38" s="189"/>
      <c r="BV38" s="189"/>
      <c r="BW38" s="189"/>
      <c r="BX38" s="189"/>
      <c r="BY38" s="189"/>
      <c r="BZ38" s="189"/>
      <c r="CA38" s="189"/>
      <c r="CB38" s="189"/>
      <c r="CC38" s="189"/>
      <c r="CD38" s="189"/>
      <c r="CE38" s="189"/>
      <c r="CF38" s="189"/>
      <c r="CG38" s="189"/>
      <c r="CH38" s="189"/>
      <c r="CI38" s="189"/>
      <c r="CJ38" s="189"/>
      <c r="CK38" s="189"/>
      <c r="CL38" s="189"/>
    </row>
    <row r="39" spans="1:90" x14ac:dyDescent="0.25">
      <c r="A39" s="17" t="s">
        <v>25</v>
      </c>
      <c r="B39" s="189">
        <v>30229005.989999998</v>
      </c>
      <c r="C39" s="189">
        <v>43574369.329999998</v>
      </c>
      <c r="D39" s="189">
        <v>37944521.5</v>
      </c>
      <c r="E39" s="189">
        <v>64782280.950000003</v>
      </c>
      <c r="F39" s="189">
        <v>33696737.640000001</v>
      </c>
      <c r="G39" s="189">
        <v>27118998.350000001</v>
      </c>
      <c r="H39" s="189">
        <v>34236835.600000001</v>
      </c>
      <c r="I39" s="189">
        <v>26239487.02</v>
      </c>
      <c r="J39" s="189">
        <v>4665756.42</v>
      </c>
      <c r="K39" s="189">
        <v>15436359.880000001</v>
      </c>
      <c r="L39" s="189">
        <v>22267529.239999998</v>
      </c>
      <c r="M39" s="189">
        <v>34814376.710000001</v>
      </c>
      <c r="N39" s="189">
        <v>11924207.98</v>
      </c>
      <c r="O39" s="189">
        <v>10948579.560000001</v>
      </c>
      <c r="P39" s="189">
        <v>11656939.439999999</v>
      </c>
      <c r="Q39" s="189">
        <v>16109597.390000001</v>
      </c>
      <c r="R39" s="189">
        <v>9141663.75</v>
      </c>
      <c r="S39" s="189">
        <v>2540263.39</v>
      </c>
      <c r="T39" s="189">
        <v>2439964.62</v>
      </c>
      <c r="U39" s="189">
        <v>2433202.52</v>
      </c>
      <c r="V39" s="189">
        <v>2651108.23</v>
      </c>
      <c r="W39" s="189">
        <v>2775733.89</v>
      </c>
      <c r="X39" s="189">
        <v>2282876.8199999998</v>
      </c>
      <c r="Y39" s="189">
        <v>2446109.94</v>
      </c>
      <c r="Z39" s="189">
        <v>2283930.42</v>
      </c>
      <c r="AA39" s="189">
        <v>3431583.83</v>
      </c>
      <c r="AB39" s="189">
        <v>2183905.27</v>
      </c>
      <c r="AC39" s="189">
        <v>3346413.37</v>
      </c>
      <c r="AD39" s="189">
        <v>2861411.7</v>
      </c>
      <c r="AE39" s="189">
        <v>2718791.04</v>
      </c>
      <c r="AF39" s="189">
        <v>2117158.38</v>
      </c>
      <c r="AG39" s="189">
        <v>2515982.12</v>
      </c>
      <c r="AH39" s="189">
        <v>2346221.04</v>
      </c>
      <c r="AI39" s="189">
        <v>2589199.2999999998</v>
      </c>
      <c r="AJ39" s="189">
        <v>2141250.0299999998</v>
      </c>
      <c r="AK39" s="189">
        <v>2582936.52</v>
      </c>
      <c r="AL39" s="189">
        <v>1445994.3</v>
      </c>
      <c r="AM39" s="189">
        <v>1508966.71</v>
      </c>
      <c r="AN39" s="189">
        <v>1740743.07</v>
      </c>
      <c r="AO39" s="189">
        <v>1725143.5</v>
      </c>
      <c r="AP39" s="189">
        <v>1290260.06</v>
      </c>
      <c r="AQ39" s="189">
        <v>0</v>
      </c>
      <c r="AR39" s="189"/>
      <c r="AS39" s="189"/>
      <c r="AT39" s="189"/>
      <c r="AU39" s="189"/>
      <c r="AV39" s="189"/>
      <c r="AW39" s="189"/>
      <c r="AX39" s="189"/>
      <c r="AY39" s="189"/>
      <c r="AZ39" s="189"/>
      <c r="BA39" s="189"/>
      <c r="BB39" s="189"/>
      <c r="BC39" s="189"/>
      <c r="BD39" s="189"/>
      <c r="BE39" s="189"/>
      <c r="BF39" s="189"/>
      <c r="BG39" s="189"/>
      <c r="BH39" s="189"/>
      <c r="BI39" s="189"/>
      <c r="BJ39" s="189"/>
      <c r="BK39" s="189"/>
      <c r="BL39" s="189"/>
      <c r="BM39" s="189"/>
      <c r="BN39" s="189"/>
      <c r="BO39" s="189"/>
      <c r="BP39" s="189"/>
      <c r="BQ39" s="189"/>
      <c r="BR39" s="189"/>
      <c r="BS39" s="189"/>
      <c r="BT39" s="189"/>
      <c r="BU39" s="189"/>
      <c r="BV39" s="189"/>
      <c r="BW39" s="189"/>
      <c r="BX39" s="189"/>
      <c r="BY39" s="189"/>
      <c r="BZ39" s="189"/>
      <c r="CA39" s="189"/>
      <c r="CB39" s="189"/>
      <c r="CC39" s="189"/>
      <c r="CD39" s="189"/>
      <c r="CE39" s="189"/>
      <c r="CF39" s="189"/>
      <c r="CG39" s="189"/>
      <c r="CH39" s="189"/>
      <c r="CI39" s="189"/>
      <c r="CJ39" s="189"/>
      <c r="CK39" s="189"/>
      <c r="CL39" s="189"/>
    </row>
    <row r="40" spans="1:90" x14ac:dyDescent="0.25">
      <c r="A40" s="17" t="s">
        <v>26</v>
      </c>
      <c r="B40" s="189">
        <v>50791904.359999999</v>
      </c>
      <c r="C40" s="189">
        <v>35320003.030000001</v>
      </c>
      <c r="D40" s="189">
        <v>58216220.369999997</v>
      </c>
      <c r="E40" s="189">
        <v>63640265.689999998</v>
      </c>
      <c r="F40" s="189">
        <v>91840992.310000002</v>
      </c>
      <c r="G40" s="189">
        <v>27190560.870000001</v>
      </c>
      <c r="H40" s="189">
        <v>2313324.23</v>
      </c>
      <c r="I40" s="189">
        <v>18752442.059999999</v>
      </c>
      <c r="J40" s="189">
        <v>14195886.35</v>
      </c>
      <c r="K40" s="189">
        <v>26003726.260000002</v>
      </c>
      <c r="L40" s="189">
        <v>18440959.59</v>
      </c>
      <c r="M40" s="189">
        <v>23581457.039999999</v>
      </c>
      <c r="N40" s="189">
        <v>16622762.199999999</v>
      </c>
      <c r="O40" s="189">
        <v>14524145.390000001</v>
      </c>
      <c r="P40" s="189">
        <v>15958909.26</v>
      </c>
      <c r="Q40" s="189">
        <v>16949952.030000001</v>
      </c>
      <c r="R40" s="189">
        <v>17592248.219999999</v>
      </c>
      <c r="S40" s="189">
        <v>-24733428.789999999</v>
      </c>
      <c r="T40" s="189">
        <v>-23223496.140000001</v>
      </c>
      <c r="U40" s="189">
        <v>-23615083.870000001</v>
      </c>
      <c r="V40" s="189">
        <v>-25638885.219999999</v>
      </c>
      <c r="W40" s="189">
        <v>-22826475.050000001</v>
      </c>
      <c r="X40" s="189">
        <v>-22895083.219999999</v>
      </c>
      <c r="Y40" s="189">
        <v>-21548943.43</v>
      </c>
      <c r="Z40" s="189">
        <v>935453.41</v>
      </c>
      <c r="AA40" s="189">
        <v>1954385.9</v>
      </c>
      <c r="AB40" s="189">
        <v>-20832083.93</v>
      </c>
      <c r="AC40" s="189">
        <v>-734645.05</v>
      </c>
      <c r="AD40" s="189">
        <v>-49921.24</v>
      </c>
      <c r="AE40" s="189">
        <v>-858918.26</v>
      </c>
      <c r="AF40" s="189">
        <v>-4991236.54</v>
      </c>
      <c r="AG40" s="189">
        <v>-4318182.67</v>
      </c>
      <c r="AH40" s="189">
        <v>-1472476.04</v>
      </c>
      <c r="AI40" s="189">
        <v>-894006.61</v>
      </c>
      <c r="AJ40" s="189">
        <v>-930475.77</v>
      </c>
      <c r="AK40" s="189">
        <v>2907390.08</v>
      </c>
      <c r="AL40" s="189">
        <v>117425.55</v>
      </c>
      <c r="AM40" s="189">
        <v>1669880.45</v>
      </c>
      <c r="AN40" s="189">
        <v>1305137.06</v>
      </c>
      <c r="AO40" s="189">
        <v>1030815.01</v>
      </c>
      <c r="AP40" s="189">
        <v>-2753699.76</v>
      </c>
      <c r="AQ40" s="189">
        <v>0</v>
      </c>
      <c r="AR40" s="189"/>
      <c r="AS40" s="189"/>
      <c r="AT40" s="189"/>
      <c r="AU40" s="189"/>
      <c r="AV40" s="189"/>
      <c r="AW40" s="189"/>
      <c r="AX40" s="189"/>
      <c r="AY40" s="189"/>
      <c r="AZ40" s="189"/>
      <c r="BA40" s="189"/>
      <c r="BB40" s="189"/>
      <c r="BC40" s="189"/>
      <c r="BD40" s="189"/>
      <c r="BE40" s="189"/>
      <c r="BF40" s="189"/>
      <c r="BG40" s="189"/>
      <c r="BH40" s="189"/>
      <c r="BI40" s="189"/>
      <c r="BJ40" s="189"/>
      <c r="BK40" s="189"/>
      <c r="BL40" s="189"/>
      <c r="BM40" s="189"/>
      <c r="BN40" s="189"/>
      <c r="BO40" s="189"/>
      <c r="BP40" s="189"/>
      <c r="BQ40" s="189"/>
      <c r="BR40" s="189"/>
      <c r="BS40" s="189"/>
      <c r="BT40" s="189"/>
      <c r="BU40" s="189"/>
      <c r="BV40" s="189"/>
      <c r="BW40" s="189"/>
      <c r="BX40" s="189"/>
      <c r="BY40" s="189"/>
      <c r="BZ40" s="189"/>
      <c r="CA40" s="189"/>
      <c r="CB40" s="189"/>
      <c r="CC40" s="189"/>
      <c r="CD40" s="189"/>
      <c r="CE40" s="189"/>
      <c r="CF40" s="189"/>
      <c r="CG40" s="189"/>
      <c r="CH40" s="189"/>
      <c r="CI40" s="189"/>
      <c r="CJ40" s="189"/>
      <c r="CK40" s="189"/>
      <c r="CL40" s="189"/>
    </row>
    <row r="41" spans="1:90" x14ac:dyDescent="0.25">
      <c r="A41" s="17" t="s">
        <v>27</v>
      </c>
      <c r="B41" s="189">
        <v>657250523.60000002</v>
      </c>
      <c r="C41" s="189">
        <v>786096997.20000005</v>
      </c>
      <c r="D41" s="189">
        <v>995641613.96000004</v>
      </c>
      <c r="E41" s="189">
        <v>1832111720.71</v>
      </c>
      <c r="F41" s="189">
        <v>2205960176.6900001</v>
      </c>
      <c r="G41" s="189">
        <v>2397207653.9200001</v>
      </c>
      <c r="H41" s="189">
        <v>4588930880.9300003</v>
      </c>
      <c r="I41" s="189">
        <v>715352762.88</v>
      </c>
      <c r="J41" s="189">
        <v>355736546.37</v>
      </c>
      <c r="K41" s="189">
        <v>365352565.26999998</v>
      </c>
      <c r="L41" s="189">
        <v>373827055.81999999</v>
      </c>
      <c r="M41" s="189">
        <v>473441564.74000001</v>
      </c>
      <c r="N41" s="189">
        <v>215739596.65000001</v>
      </c>
      <c r="O41" s="189">
        <v>151469806.16</v>
      </c>
      <c r="P41" s="189">
        <v>214187282.91</v>
      </c>
      <c r="Q41" s="189">
        <v>11181588.43</v>
      </c>
      <c r="R41" s="189">
        <v>1129428.71</v>
      </c>
      <c r="S41" s="189">
        <v>2282154.04</v>
      </c>
      <c r="T41" s="189">
        <v>1981093.18</v>
      </c>
      <c r="U41" s="189">
        <v>2904749.27</v>
      </c>
      <c r="V41" s="189">
        <v>2736578.62</v>
      </c>
      <c r="W41" s="189">
        <v>5834975.9000000004</v>
      </c>
      <c r="X41" s="189">
        <v>6598296.2000000002</v>
      </c>
      <c r="Y41" s="189">
        <v>6372270.5999999996</v>
      </c>
      <c r="Z41" s="189">
        <v>21760155.350000001</v>
      </c>
      <c r="AA41" s="189">
        <v>1365826.62</v>
      </c>
      <c r="AB41" s="189">
        <v>1537079.08</v>
      </c>
      <c r="AC41" s="189">
        <v>1486552.05</v>
      </c>
      <c r="AD41" s="189">
        <v>22325845.010000002</v>
      </c>
      <c r="AE41" s="189">
        <v>13524388.92</v>
      </c>
      <c r="AF41" s="189">
        <v>23198507.510000002</v>
      </c>
      <c r="AG41" s="189">
        <v>2549563.75</v>
      </c>
      <c r="AH41" s="189">
        <v>2634251.98</v>
      </c>
      <c r="AI41" s="189">
        <v>3039270.52</v>
      </c>
      <c r="AJ41" s="189">
        <v>4638315.63</v>
      </c>
      <c r="AK41" s="189">
        <v>3357598.38</v>
      </c>
      <c r="AL41" s="189">
        <v>3411431.09</v>
      </c>
      <c r="AM41" s="189">
        <v>1248671.1200000001</v>
      </c>
      <c r="AN41" s="189">
        <v>3521515.43</v>
      </c>
      <c r="AO41" s="189">
        <v>1749850.05</v>
      </c>
      <c r="AP41" s="189">
        <v>410814.37</v>
      </c>
      <c r="AQ41" s="189">
        <v>0</v>
      </c>
      <c r="AR41" s="189"/>
      <c r="AS41" s="189"/>
      <c r="AT41" s="189"/>
      <c r="AU41" s="189"/>
      <c r="AV41" s="189"/>
      <c r="AW41" s="189"/>
      <c r="AX41" s="189"/>
      <c r="AY41" s="189"/>
      <c r="AZ41" s="189"/>
      <c r="BA41" s="189"/>
      <c r="BB41" s="189"/>
      <c r="BC41" s="189"/>
      <c r="BD41" s="189"/>
      <c r="BE41" s="189"/>
      <c r="BF41" s="189"/>
      <c r="BG41" s="189"/>
      <c r="BH41" s="189"/>
      <c r="BI41" s="189"/>
      <c r="BJ41" s="189"/>
      <c r="BK41" s="189"/>
      <c r="BL41" s="189"/>
      <c r="BM41" s="189"/>
      <c r="BN41" s="189"/>
      <c r="BO41" s="189"/>
      <c r="BP41" s="189"/>
      <c r="BQ41" s="189"/>
      <c r="BR41" s="189"/>
      <c r="BS41" s="189"/>
      <c r="BT41" s="189"/>
      <c r="BU41" s="189"/>
      <c r="BV41" s="189"/>
      <c r="BW41" s="189"/>
      <c r="BX41" s="189"/>
      <c r="BY41" s="189"/>
      <c r="BZ41" s="189"/>
      <c r="CA41" s="189"/>
      <c r="CB41" s="189"/>
      <c r="CC41" s="189"/>
      <c r="CD41" s="189"/>
      <c r="CE41" s="189"/>
      <c r="CF41" s="189"/>
      <c r="CG41" s="189"/>
      <c r="CH41" s="189"/>
      <c r="CI41" s="189"/>
      <c r="CJ41" s="189"/>
      <c r="CK41" s="189"/>
      <c r="CL41" s="189"/>
    </row>
    <row r="42" spans="1:90" s="39" customFormat="1" x14ac:dyDescent="0.25">
      <c r="A42" s="124" t="s">
        <v>28</v>
      </c>
      <c r="B42" s="189">
        <v>0</v>
      </c>
      <c r="C42" s="189">
        <v>0</v>
      </c>
      <c r="D42" s="189">
        <v>0</v>
      </c>
      <c r="E42" s="189">
        <v>0</v>
      </c>
      <c r="F42" s="189">
        <v>0</v>
      </c>
      <c r="G42" s="189">
        <v>0</v>
      </c>
      <c r="H42" s="189">
        <v>0</v>
      </c>
      <c r="I42" s="189">
        <v>0</v>
      </c>
      <c r="J42" s="189">
        <v>0</v>
      </c>
      <c r="K42" s="189">
        <v>0</v>
      </c>
      <c r="L42" s="189">
        <v>0</v>
      </c>
      <c r="M42" s="189">
        <v>0</v>
      </c>
      <c r="N42" s="189">
        <v>0</v>
      </c>
      <c r="O42" s="189">
        <v>0</v>
      </c>
      <c r="P42" s="189">
        <v>0</v>
      </c>
      <c r="Q42" s="189">
        <v>0</v>
      </c>
      <c r="R42" s="189">
        <v>0</v>
      </c>
      <c r="S42" s="189">
        <v>0</v>
      </c>
      <c r="T42" s="189">
        <v>0</v>
      </c>
      <c r="U42" s="189">
        <v>0</v>
      </c>
      <c r="V42" s="189">
        <v>0</v>
      </c>
      <c r="W42" s="189">
        <v>0</v>
      </c>
      <c r="X42" s="189">
        <v>0</v>
      </c>
      <c r="Y42" s="189">
        <v>0</v>
      </c>
      <c r="Z42" s="189">
        <v>0</v>
      </c>
      <c r="AA42" s="189">
        <v>0</v>
      </c>
      <c r="AB42" s="189">
        <v>0</v>
      </c>
      <c r="AC42" s="189">
        <v>0</v>
      </c>
      <c r="AD42" s="189">
        <v>0</v>
      </c>
      <c r="AE42" s="189">
        <v>0</v>
      </c>
      <c r="AF42" s="189">
        <v>0</v>
      </c>
      <c r="AG42" s="189">
        <v>0</v>
      </c>
      <c r="AH42" s="189">
        <v>0</v>
      </c>
      <c r="AI42" s="189">
        <v>0</v>
      </c>
      <c r="AJ42" s="189">
        <v>0</v>
      </c>
      <c r="AK42" s="189">
        <v>0</v>
      </c>
      <c r="AL42" s="189">
        <v>0</v>
      </c>
      <c r="AM42" s="189">
        <v>0</v>
      </c>
      <c r="AN42" s="189">
        <v>0</v>
      </c>
      <c r="AO42" s="189">
        <v>0</v>
      </c>
      <c r="AP42" s="189">
        <v>0</v>
      </c>
      <c r="AQ42" s="189">
        <v>0</v>
      </c>
      <c r="AR42" s="189"/>
      <c r="AS42" s="189"/>
      <c r="AT42" s="189"/>
      <c r="AU42" s="189"/>
      <c r="AV42" s="189"/>
      <c r="AW42" s="189"/>
      <c r="AX42" s="189"/>
      <c r="AY42" s="189"/>
      <c r="AZ42" s="189"/>
      <c r="BA42" s="189"/>
      <c r="BB42" s="189"/>
      <c r="BC42" s="189"/>
      <c r="BD42" s="189"/>
      <c r="BE42" s="189"/>
      <c r="BF42" s="189"/>
      <c r="BG42" s="189"/>
      <c r="BH42" s="189"/>
      <c r="BI42" s="189"/>
      <c r="BJ42" s="189"/>
      <c r="BK42" s="189"/>
      <c r="BL42" s="189"/>
      <c r="BM42" s="189"/>
      <c r="BN42" s="189"/>
      <c r="BO42" s="189"/>
      <c r="BP42" s="189"/>
      <c r="BQ42" s="189"/>
      <c r="BR42" s="189"/>
      <c r="BS42" s="189"/>
      <c r="BT42" s="189"/>
      <c r="BU42" s="189"/>
      <c r="BV42" s="189"/>
      <c r="BW42" s="189"/>
      <c r="BX42" s="189"/>
      <c r="BY42" s="189"/>
      <c r="BZ42" s="189"/>
      <c r="CA42" s="189"/>
      <c r="CB42" s="189"/>
      <c r="CC42" s="189"/>
      <c r="CD42" s="189"/>
      <c r="CE42" s="189"/>
      <c r="CF42" s="189"/>
      <c r="CG42" s="189"/>
      <c r="CH42" s="189"/>
      <c r="CI42" s="189"/>
      <c r="CJ42" s="189"/>
      <c r="CK42" s="189"/>
      <c r="CL42" s="189"/>
    </row>
    <row r="43" spans="1:90" x14ac:dyDescent="0.25">
      <c r="A43" s="17" t="s">
        <v>29</v>
      </c>
      <c r="B43" s="189">
        <v>10739711.810000001</v>
      </c>
      <c r="C43" s="189">
        <v>9620236.5</v>
      </c>
      <c r="D43" s="189">
        <v>10252225.83</v>
      </c>
      <c r="E43" s="189">
        <v>7153603.1900000004</v>
      </c>
      <c r="F43" s="189">
        <v>13988390.189999999</v>
      </c>
      <c r="G43" s="189">
        <v>13144780.32</v>
      </c>
      <c r="H43" s="189">
        <v>14403598.390000001</v>
      </c>
      <c r="I43" s="189">
        <v>8573551.4199999999</v>
      </c>
      <c r="J43" s="189">
        <v>10058920.029999999</v>
      </c>
      <c r="K43" s="189">
        <v>8391440.1699999999</v>
      </c>
      <c r="L43" s="189">
        <v>7477823.1799999997</v>
      </c>
      <c r="M43" s="189">
        <v>6193212.9100000001</v>
      </c>
      <c r="N43" s="189">
        <v>0</v>
      </c>
      <c r="O43" s="189">
        <v>284242.01</v>
      </c>
      <c r="P43" s="189">
        <v>0</v>
      </c>
      <c r="Q43" s="189">
        <v>0</v>
      </c>
      <c r="R43" s="189">
        <v>0</v>
      </c>
      <c r="S43" s="189">
        <v>0</v>
      </c>
      <c r="T43" s="189">
        <v>0</v>
      </c>
      <c r="U43" s="189">
        <v>0</v>
      </c>
      <c r="V43" s="189">
        <v>0</v>
      </c>
      <c r="W43" s="189">
        <v>0</v>
      </c>
      <c r="X43" s="189">
        <v>0</v>
      </c>
      <c r="Y43" s="189">
        <v>0</v>
      </c>
      <c r="Z43" s="189">
        <v>0</v>
      </c>
      <c r="AA43" s="189">
        <v>0</v>
      </c>
      <c r="AB43" s="189">
        <v>0</v>
      </c>
      <c r="AC43" s="189">
        <v>0</v>
      </c>
      <c r="AD43" s="189">
        <v>0</v>
      </c>
      <c r="AE43" s="189">
        <v>0</v>
      </c>
      <c r="AF43" s="189">
        <v>0</v>
      </c>
      <c r="AG43" s="189">
        <v>0</v>
      </c>
      <c r="AH43" s="189">
        <v>0</v>
      </c>
      <c r="AI43" s="189">
        <v>0</v>
      </c>
      <c r="AJ43" s="189">
        <v>0</v>
      </c>
      <c r="AK43" s="189">
        <v>0</v>
      </c>
      <c r="AL43" s="189">
        <v>0</v>
      </c>
      <c r="AM43" s="189">
        <v>0</v>
      </c>
      <c r="AN43" s="189">
        <v>0</v>
      </c>
      <c r="AO43" s="189">
        <v>0</v>
      </c>
      <c r="AP43" s="189">
        <v>0</v>
      </c>
      <c r="AQ43" s="189">
        <v>0</v>
      </c>
      <c r="AR43" s="189"/>
      <c r="AS43" s="189"/>
      <c r="AT43" s="189"/>
      <c r="AU43" s="189"/>
      <c r="AV43" s="189"/>
      <c r="AW43" s="189"/>
      <c r="AX43" s="189"/>
      <c r="AY43" s="189"/>
      <c r="AZ43" s="189"/>
      <c r="BA43" s="189"/>
      <c r="BB43" s="189"/>
      <c r="BC43" s="189"/>
      <c r="BD43" s="189"/>
      <c r="BE43" s="189"/>
      <c r="BF43" s="189"/>
      <c r="BG43" s="189"/>
      <c r="BH43" s="189"/>
      <c r="BI43" s="189"/>
      <c r="BJ43" s="189"/>
      <c r="BK43" s="189"/>
      <c r="BL43" s="189"/>
      <c r="BM43" s="189"/>
      <c r="BN43" s="189"/>
      <c r="BO43" s="189"/>
      <c r="BP43" s="189"/>
      <c r="BQ43" s="189"/>
      <c r="BR43" s="189"/>
      <c r="BS43" s="189"/>
      <c r="BT43" s="189"/>
      <c r="BU43" s="189"/>
      <c r="BV43" s="189"/>
      <c r="BW43" s="189"/>
      <c r="BX43" s="189"/>
      <c r="BY43" s="189"/>
      <c r="BZ43" s="189"/>
      <c r="CA43" s="189"/>
      <c r="CB43" s="189"/>
      <c r="CC43" s="189"/>
      <c r="CD43" s="189"/>
      <c r="CE43" s="189"/>
      <c r="CF43" s="189"/>
      <c r="CG43" s="189"/>
      <c r="CH43" s="189"/>
      <c r="CI43" s="189"/>
      <c r="CJ43" s="189"/>
      <c r="CK43" s="189"/>
      <c r="CL43" s="189"/>
    </row>
    <row r="44" spans="1:90" x14ac:dyDescent="0.25">
      <c r="A44" s="17" t="s">
        <v>30</v>
      </c>
      <c r="B44" s="189">
        <v>0</v>
      </c>
      <c r="C44" s="189">
        <v>0</v>
      </c>
      <c r="D44" s="189">
        <v>0</v>
      </c>
      <c r="E44" s="189">
        <v>0</v>
      </c>
      <c r="F44" s="189">
        <v>0</v>
      </c>
      <c r="G44" s="189">
        <v>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0</v>
      </c>
      <c r="X44" s="189">
        <v>0</v>
      </c>
      <c r="Y44" s="189">
        <v>0</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v>0</v>
      </c>
      <c r="AO44" s="189">
        <v>0</v>
      </c>
      <c r="AP44" s="189">
        <v>0</v>
      </c>
      <c r="AQ44" s="189">
        <v>0</v>
      </c>
      <c r="AR44" s="189"/>
      <c r="AS44" s="189"/>
      <c r="AT44" s="189"/>
      <c r="AU44" s="189"/>
      <c r="AV44" s="189"/>
      <c r="AW44" s="189"/>
      <c r="AX44" s="189"/>
      <c r="AY44" s="189"/>
      <c r="AZ44" s="189"/>
      <c r="BA44" s="189"/>
      <c r="BB44" s="189"/>
      <c r="BC44" s="189"/>
      <c r="BD44" s="189"/>
      <c r="BE44" s="189"/>
      <c r="BF44" s="189"/>
      <c r="BG44" s="189"/>
      <c r="BH44" s="189"/>
      <c r="BI44" s="189"/>
      <c r="BJ44" s="189"/>
      <c r="BK44" s="189"/>
      <c r="BL44" s="189"/>
      <c r="BM44" s="189"/>
      <c r="BN44" s="189"/>
      <c r="BO44" s="189"/>
      <c r="BP44" s="189"/>
      <c r="BQ44" s="189"/>
      <c r="BR44" s="189"/>
      <c r="BS44" s="189"/>
      <c r="BT44" s="189"/>
      <c r="BU44" s="189"/>
      <c r="BV44" s="189"/>
      <c r="BW44" s="189"/>
      <c r="BX44" s="189"/>
      <c r="BY44" s="189"/>
      <c r="BZ44" s="189"/>
      <c r="CA44" s="189"/>
      <c r="CB44" s="189"/>
      <c r="CC44" s="189"/>
      <c r="CD44" s="189"/>
      <c r="CE44" s="189"/>
      <c r="CF44" s="189"/>
      <c r="CG44" s="189"/>
      <c r="CH44" s="189"/>
      <c r="CI44" s="189"/>
      <c r="CJ44" s="189"/>
      <c r="CK44" s="189"/>
      <c r="CL44" s="189"/>
    </row>
    <row r="45" spans="1:90" x14ac:dyDescent="0.25">
      <c r="A45" s="17" t="s">
        <v>31</v>
      </c>
      <c r="B45" s="189">
        <v>64585068.640000001</v>
      </c>
      <c r="C45" s="189">
        <v>64174069.140000001</v>
      </c>
      <c r="D45" s="189">
        <v>45417014</v>
      </c>
      <c r="E45" s="189">
        <v>64834574.079999998</v>
      </c>
      <c r="F45" s="189">
        <v>0</v>
      </c>
      <c r="G45" s="189">
        <v>0</v>
      </c>
      <c r="H45" s="189">
        <v>0</v>
      </c>
      <c r="I45" s="189">
        <v>3252460.28</v>
      </c>
      <c r="J45" s="189">
        <v>8609007.3300000001</v>
      </c>
      <c r="K45" s="189">
        <v>8753945.2200000007</v>
      </c>
      <c r="L45" s="189">
        <v>9819201.8599999994</v>
      </c>
      <c r="M45" s="189">
        <v>9896919.4900000002</v>
      </c>
      <c r="N45" s="189">
        <v>3590449.83</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0</v>
      </c>
      <c r="AQ45" s="189">
        <v>0</v>
      </c>
      <c r="AR45" s="189"/>
      <c r="AS45" s="189"/>
      <c r="AT45" s="189"/>
      <c r="AU45" s="189"/>
      <c r="AV45" s="189"/>
      <c r="AW45" s="189"/>
      <c r="AX45" s="189"/>
      <c r="AY45" s="189"/>
      <c r="AZ45" s="189"/>
      <c r="BA45" s="189"/>
      <c r="BB45" s="189"/>
      <c r="BC45" s="189"/>
      <c r="BD45" s="189"/>
      <c r="BE45" s="189"/>
      <c r="BF45" s="189"/>
      <c r="BG45" s="189"/>
      <c r="BH45" s="189"/>
      <c r="BI45" s="189"/>
      <c r="BJ45" s="189"/>
      <c r="BK45" s="189"/>
      <c r="BL45" s="189"/>
      <c r="BM45" s="189"/>
      <c r="BN45" s="189"/>
      <c r="BO45" s="189"/>
      <c r="BP45" s="189"/>
      <c r="BQ45" s="189"/>
      <c r="BR45" s="189"/>
      <c r="BS45" s="189"/>
      <c r="BT45" s="189"/>
      <c r="BU45" s="189"/>
      <c r="BV45" s="189"/>
      <c r="BW45" s="189"/>
      <c r="BX45" s="189"/>
      <c r="BY45" s="189"/>
      <c r="BZ45" s="189"/>
      <c r="CA45" s="189"/>
      <c r="CB45" s="189"/>
      <c r="CC45" s="189"/>
      <c r="CD45" s="189"/>
      <c r="CE45" s="189"/>
      <c r="CF45" s="189"/>
      <c r="CG45" s="189"/>
      <c r="CH45" s="189"/>
      <c r="CI45" s="189"/>
      <c r="CJ45" s="189"/>
      <c r="CK45" s="189"/>
      <c r="CL45" s="189"/>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878287857.16000009</v>
      </c>
      <c r="C49" s="35">
        <f>SUM(C35:C41)+SUM(C43:C45)</f>
        <v>1347967089.3200002</v>
      </c>
      <c r="D49" s="35">
        <f>SUM(D35:D41)+SUM(D43:D45)</f>
        <v>1581903494.9000001</v>
      </c>
      <c r="E49" s="35">
        <f>SUM(E35:E45)</f>
        <v>2430209149.4499998</v>
      </c>
      <c r="F49" s="35">
        <f t="shared" ref="F49:BQ49" si="4">SUM(F35:F45)</f>
        <v>2686880671.7200003</v>
      </c>
      <c r="G49" s="35">
        <f t="shared" si="4"/>
        <v>2863355938.1600003</v>
      </c>
      <c r="H49" s="35">
        <f t="shared" si="4"/>
        <v>5039273209.8000002</v>
      </c>
      <c r="I49" s="35">
        <f t="shared" si="4"/>
        <v>876691047.79999995</v>
      </c>
      <c r="J49" s="35">
        <f t="shared" si="4"/>
        <v>522406954.31999999</v>
      </c>
      <c r="K49" s="35">
        <f t="shared" si="4"/>
        <v>550819872.66999996</v>
      </c>
      <c r="L49" s="35">
        <f t="shared" si="4"/>
        <v>592868666.39999998</v>
      </c>
      <c r="M49" s="35">
        <f t="shared" si="4"/>
        <v>661866925.33000004</v>
      </c>
      <c r="N49" s="35">
        <f t="shared" si="4"/>
        <v>290806686.43000001</v>
      </c>
      <c r="O49" s="35">
        <f t="shared" si="4"/>
        <v>213614072.85999998</v>
      </c>
      <c r="P49" s="35">
        <f t="shared" si="4"/>
        <v>272057576.35000002</v>
      </c>
      <c r="Q49" s="35">
        <f t="shared" si="4"/>
        <v>54207594.700000003</v>
      </c>
      <c r="R49" s="35">
        <f t="shared" si="4"/>
        <v>67649576.179999992</v>
      </c>
      <c r="S49" s="35">
        <f t="shared" si="4"/>
        <v>100139964.15000002</v>
      </c>
      <c r="T49" s="35">
        <f t="shared" si="4"/>
        <v>71727443.940000013</v>
      </c>
      <c r="U49" s="35">
        <f t="shared" si="4"/>
        <v>81662160.769999996</v>
      </c>
      <c r="V49" s="35">
        <f t="shared" si="4"/>
        <v>92992042.460000008</v>
      </c>
      <c r="W49" s="35">
        <f t="shared" si="4"/>
        <v>114804573.54000001</v>
      </c>
      <c r="X49" s="35">
        <f t="shared" si="4"/>
        <v>86475935.909999996</v>
      </c>
      <c r="Y49" s="35">
        <f t="shared" si="4"/>
        <v>97501331.839999974</v>
      </c>
      <c r="Z49" s="35">
        <f t="shared" si="4"/>
        <v>152015100.06999999</v>
      </c>
      <c r="AA49" s="35">
        <f t="shared" si="4"/>
        <v>109936889.04000001</v>
      </c>
      <c r="AB49" s="35">
        <f t="shared" si="4"/>
        <v>73049420.37999998</v>
      </c>
      <c r="AC49" s="35">
        <f t="shared" si="4"/>
        <v>102216296.17000002</v>
      </c>
      <c r="AD49" s="35">
        <f t="shared" si="4"/>
        <v>128068133.32000001</v>
      </c>
      <c r="AE49" s="35">
        <f t="shared" si="4"/>
        <v>114652411.61</v>
      </c>
      <c r="AF49" s="35">
        <f t="shared" si="4"/>
        <v>95639701.289999992</v>
      </c>
      <c r="AG49" s="35">
        <f t="shared" si="4"/>
        <v>68903060.879999995</v>
      </c>
      <c r="AH49" s="35">
        <f t="shared" si="4"/>
        <v>75544548.200000003</v>
      </c>
      <c r="AI49" s="35">
        <f t="shared" si="4"/>
        <v>62308909.760000005</v>
      </c>
      <c r="AJ49" s="35">
        <f t="shared" si="4"/>
        <v>55439184.25</v>
      </c>
      <c r="AK49" s="35">
        <f t="shared" si="4"/>
        <v>35968190.510000005</v>
      </c>
      <c r="AL49" s="35">
        <f t="shared" si="4"/>
        <v>16482609.980000002</v>
      </c>
      <c r="AM49" s="35">
        <f t="shared" si="4"/>
        <v>37408053.270000003</v>
      </c>
      <c r="AN49" s="35">
        <f t="shared" si="4"/>
        <v>55067010.580000006</v>
      </c>
      <c r="AO49" s="35">
        <f t="shared" si="4"/>
        <v>51124728.389999993</v>
      </c>
      <c r="AP49" s="35">
        <f t="shared" si="4"/>
        <v>25396310.499999996</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712550645.58999991</v>
      </c>
      <c r="C50" s="36">
        <f t="shared" ref="C50:BN50" si="6">C33-C49</f>
        <v>357390660.47000003</v>
      </c>
      <c r="D50" s="36">
        <f t="shared" si="6"/>
        <v>121050146.98999977</v>
      </c>
      <c r="E50" s="36">
        <f t="shared" si="6"/>
        <v>-957734679.6099999</v>
      </c>
      <c r="F50" s="36">
        <f t="shared" si="6"/>
        <v>-1314730478.5900006</v>
      </c>
      <c r="G50" s="36">
        <f t="shared" si="6"/>
        <v>-1456039849.5700004</v>
      </c>
      <c r="H50" s="36">
        <f t="shared" si="6"/>
        <v>-3859967863.46</v>
      </c>
      <c r="I50" s="36">
        <f t="shared" si="6"/>
        <v>-290055198.77999997</v>
      </c>
      <c r="J50" s="36">
        <f t="shared" si="6"/>
        <v>72128412.279999912</v>
      </c>
      <c r="K50" s="36">
        <f t="shared" si="6"/>
        <v>-681280.83000004292</v>
      </c>
      <c r="L50" s="36">
        <f t="shared" si="6"/>
        <v>20986583.569999933</v>
      </c>
      <c r="M50" s="36">
        <f t="shared" si="6"/>
        <v>15860228.830000043</v>
      </c>
      <c r="N50" s="36">
        <f t="shared" si="6"/>
        <v>-75289782.040000021</v>
      </c>
      <c r="O50" s="36">
        <f t="shared" si="6"/>
        <v>24626605.520000011</v>
      </c>
      <c r="P50" s="36">
        <f t="shared" si="6"/>
        <v>-19392435.240000039</v>
      </c>
      <c r="Q50" s="36">
        <f t="shared" si="6"/>
        <v>51511672.479999989</v>
      </c>
      <c r="R50" s="36">
        <f t="shared" si="6"/>
        <v>175908670.56999999</v>
      </c>
      <c r="S50" s="36">
        <f t="shared" si="6"/>
        <v>256958007.05999994</v>
      </c>
      <c r="T50" s="36">
        <f t="shared" si="6"/>
        <v>328785389.03999996</v>
      </c>
      <c r="U50" s="36">
        <f t="shared" si="6"/>
        <v>345248950.51999998</v>
      </c>
      <c r="V50" s="36">
        <f t="shared" si="6"/>
        <v>378333678.95999992</v>
      </c>
      <c r="W50" s="36">
        <f t="shared" si="6"/>
        <v>357437101.05000001</v>
      </c>
      <c r="X50" s="36">
        <f t="shared" si="6"/>
        <v>352956885.12</v>
      </c>
      <c r="Y50" s="36">
        <f t="shared" si="6"/>
        <v>301333943.85000002</v>
      </c>
      <c r="Z50" s="36">
        <f t="shared" si="6"/>
        <v>338872861.70000005</v>
      </c>
      <c r="AA50" s="36">
        <f t="shared" si="6"/>
        <v>354765381.45999998</v>
      </c>
      <c r="AB50" s="36">
        <f t="shared" si="6"/>
        <v>478000534.42999995</v>
      </c>
      <c r="AC50" s="36">
        <f t="shared" si="6"/>
        <v>422502795.18999994</v>
      </c>
      <c r="AD50" s="36">
        <f t="shared" si="6"/>
        <v>381778311.09000003</v>
      </c>
      <c r="AE50" s="36">
        <f t="shared" si="6"/>
        <v>295820331.20999998</v>
      </c>
      <c r="AF50" s="36">
        <f t="shared" si="6"/>
        <v>289294742.25999999</v>
      </c>
      <c r="AG50" s="36">
        <f t="shared" si="6"/>
        <v>260676349.65999997</v>
      </c>
      <c r="AH50" s="36">
        <f t="shared" si="6"/>
        <v>241807692.50000006</v>
      </c>
      <c r="AI50" s="36">
        <f t="shared" si="6"/>
        <v>207311524.90999997</v>
      </c>
      <c r="AJ50" s="36">
        <f t="shared" si="6"/>
        <v>153384075.29000002</v>
      </c>
      <c r="AK50" s="36">
        <f t="shared" si="6"/>
        <v>125614773.11999999</v>
      </c>
      <c r="AL50" s="36">
        <f t="shared" si="6"/>
        <v>132487956.74999999</v>
      </c>
      <c r="AM50" s="36">
        <f t="shared" si="6"/>
        <v>95562277.710000008</v>
      </c>
      <c r="AN50" s="36">
        <f t="shared" si="6"/>
        <v>101347717.28</v>
      </c>
      <c r="AO50" s="36">
        <f t="shared" si="6"/>
        <v>83662270.470000029</v>
      </c>
      <c r="AP50" s="36">
        <f t="shared" si="6"/>
        <v>81265599.559999987</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2" customFormat="1" x14ac:dyDescent="0.25">
      <c r="A51" s="192" t="s">
        <v>33</v>
      </c>
    </row>
    <row r="52" spans="1:90" s="192" customFormat="1" x14ac:dyDescent="0.25">
      <c r="A52" s="192" t="s">
        <v>34</v>
      </c>
      <c r="B52" s="189">
        <v>28859731.129999999</v>
      </c>
      <c r="C52" s="189">
        <v>30743046.640000001</v>
      </c>
      <c r="D52" s="189">
        <v>29713097.18</v>
      </c>
      <c r="E52" s="189">
        <v>28374938.579999998</v>
      </c>
      <c r="F52" s="189">
        <v>29072820.510000002</v>
      </c>
      <c r="G52" s="189">
        <v>29886236.800000001</v>
      </c>
      <c r="H52" s="189">
        <v>29465636.41</v>
      </c>
      <c r="I52" s="189">
        <v>11796929.48</v>
      </c>
      <c r="J52" s="189">
        <v>10329988.65</v>
      </c>
      <c r="K52" s="189">
        <v>10922030.710000001</v>
      </c>
      <c r="L52" s="189">
        <v>12228211.23</v>
      </c>
      <c r="M52" s="189">
        <v>11491406.789999999</v>
      </c>
      <c r="N52" s="189">
        <v>7776239.1500000004</v>
      </c>
      <c r="O52" s="189">
        <v>8614631.9499999993</v>
      </c>
      <c r="P52" s="189">
        <v>9298682.1099999994</v>
      </c>
      <c r="Q52" s="189">
        <v>8849658.2200000007</v>
      </c>
      <c r="R52" s="189">
        <v>7124789.9900000002</v>
      </c>
      <c r="S52" s="189">
        <v>385469338.10000002</v>
      </c>
      <c r="T52" s="189">
        <v>390994990.72000003</v>
      </c>
      <c r="U52" s="189">
        <v>353479757.06999999</v>
      </c>
      <c r="V52" s="189">
        <v>357793699.98000002</v>
      </c>
      <c r="W52" s="189">
        <v>349813854.31</v>
      </c>
      <c r="X52" s="189">
        <v>351916121.23000002</v>
      </c>
      <c r="Y52" s="189">
        <v>352309347.75</v>
      </c>
      <c r="Z52" s="189">
        <v>125440988.31</v>
      </c>
      <c r="AA52" s="189">
        <v>126872128.78</v>
      </c>
      <c r="AB52" s="189">
        <v>128541615.31</v>
      </c>
      <c r="AC52" s="189">
        <v>130756583.89</v>
      </c>
      <c r="AD52" s="189">
        <v>118194609.59999999</v>
      </c>
      <c r="AE52" s="189">
        <v>119698489.31999999</v>
      </c>
      <c r="AF52" s="189">
        <v>120281295.23999999</v>
      </c>
      <c r="AG52" s="189">
        <v>121860199.48999999</v>
      </c>
      <c r="AH52" s="189">
        <v>103146330.98999999</v>
      </c>
      <c r="AI52" s="189">
        <v>99358962.870000005</v>
      </c>
      <c r="AJ52" s="189">
        <v>92460380.129999995</v>
      </c>
      <c r="AK52" s="189">
        <v>93876208.920000002</v>
      </c>
      <c r="AL52" s="189">
        <v>94515313.980000004</v>
      </c>
      <c r="AM52" s="189">
        <v>96127069.739999995</v>
      </c>
      <c r="AN52" s="189">
        <v>61555800</v>
      </c>
      <c r="AO52" s="189">
        <v>60059436.32</v>
      </c>
      <c r="AP52" s="189">
        <v>37217334.049999997</v>
      </c>
      <c r="AQ52" s="189">
        <v>0</v>
      </c>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c r="BW52" s="189"/>
      <c r="BX52" s="189"/>
      <c r="BY52" s="189"/>
      <c r="BZ52" s="189"/>
      <c r="CA52" s="189"/>
      <c r="CB52" s="189"/>
      <c r="CC52" s="189"/>
      <c r="CD52" s="189"/>
      <c r="CE52" s="189"/>
      <c r="CF52" s="189"/>
      <c r="CG52" s="189"/>
      <c r="CH52" s="189"/>
      <c r="CI52" s="189"/>
      <c r="CJ52" s="189"/>
      <c r="CK52" s="189"/>
      <c r="CL52" s="189"/>
    </row>
    <row r="53" spans="1:90" s="192" customFormat="1" x14ac:dyDescent="0.25">
      <c r="A53" s="192" t="s">
        <v>35</v>
      </c>
      <c r="B53" s="189">
        <v>0</v>
      </c>
      <c r="C53" s="189">
        <v>0</v>
      </c>
      <c r="D53" s="189">
        <v>0</v>
      </c>
      <c r="E53" s="189">
        <v>0</v>
      </c>
      <c r="F53" s="189">
        <v>0</v>
      </c>
      <c r="G53" s="189">
        <v>0</v>
      </c>
      <c r="H53" s="189">
        <v>0</v>
      </c>
      <c r="I53" s="189">
        <v>0</v>
      </c>
      <c r="J53" s="189">
        <v>0</v>
      </c>
      <c r="K53" s="189">
        <v>0</v>
      </c>
      <c r="L53" s="189">
        <v>0</v>
      </c>
      <c r="M53" s="189">
        <v>0</v>
      </c>
      <c r="N53" s="189">
        <v>0</v>
      </c>
      <c r="O53" s="189">
        <v>0</v>
      </c>
      <c r="P53" s="189">
        <v>0</v>
      </c>
      <c r="Q53" s="189">
        <v>0</v>
      </c>
      <c r="R53" s="189">
        <v>0</v>
      </c>
      <c r="S53" s="189">
        <v>7661367.7000000002</v>
      </c>
      <c r="T53" s="189">
        <v>7295580.9800000004</v>
      </c>
      <c r="U53" s="189">
        <v>48303582.700000003</v>
      </c>
      <c r="V53" s="189">
        <v>45710716.439999998</v>
      </c>
      <c r="W53" s="189">
        <v>42316349.049999997</v>
      </c>
      <c r="X53" s="189">
        <v>7171971.3200000003</v>
      </c>
      <c r="Y53" s="189">
        <v>5349759.4400000004</v>
      </c>
      <c r="Z53" s="189">
        <v>204524871.66999999</v>
      </c>
      <c r="AA53" s="189">
        <v>198819040.16999999</v>
      </c>
      <c r="AB53" s="189">
        <v>91474273.670000002</v>
      </c>
      <c r="AC53" s="189">
        <v>73450688.650000006</v>
      </c>
      <c r="AD53" s="189">
        <v>39636863.840000004</v>
      </c>
      <c r="AE53" s="189">
        <v>39530665.630000003</v>
      </c>
      <c r="AF53" s="189">
        <v>39483389.149999999</v>
      </c>
      <c r="AG53" s="189">
        <v>37288573.07</v>
      </c>
      <c r="AH53" s="189">
        <v>34898049.780000001</v>
      </c>
      <c r="AI53" s="189">
        <v>22716134.760000002</v>
      </c>
      <c r="AJ53" s="189">
        <v>6262601.2199999997</v>
      </c>
      <c r="AK53" s="189">
        <v>6066220.21</v>
      </c>
      <c r="AL53" s="189">
        <v>3660829.5</v>
      </c>
      <c r="AM53" s="189">
        <v>2725550.99</v>
      </c>
      <c r="AN53" s="189">
        <v>25160198.309999999</v>
      </c>
      <c r="AO53" s="189">
        <v>13568942.949999999</v>
      </c>
      <c r="AP53" s="189">
        <v>3056399.22</v>
      </c>
      <c r="AQ53" s="189">
        <v>0</v>
      </c>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c r="BW53" s="189"/>
      <c r="BX53" s="189"/>
      <c r="BY53" s="189"/>
      <c r="BZ53" s="189"/>
      <c r="CA53" s="189"/>
      <c r="CB53" s="189"/>
      <c r="CC53" s="189"/>
      <c r="CD53" s="189"/>
      <c r="CE53" s="189"/>
      <c r="CF53" s="189"/>
      <c r="CG53" s="189"/>
      <c r="CH53" s="189"/>
      <c r="CI53" s="189"/>
      <c r="CJ53" s="189"/>
      <c r="CK53" s="189"/>
      <c r="CL53" s="189"/>
    </row>
    <row r="54" spans="1:90" s="192" customFormat="1" x14ac:dyDescent="0.25">
      <c r="A54" s="192" t="s">
        <v>36</v>
      </c>
      <c r="B54" s="189">
        <v>0</v>
      </c>
      <c r="C54" s="189">
        <v>0</v>
      </c>
      <c r="D54" s="189">
        <v>0</v>
      </c>
      <c r="E54" s="189">
        <v>0</v>
      </c>
      <c r="F54" s="189">
        <v>0</v>
      </c>
      <c r="G54" s="189">
        <v>0</v>
      </c>
      <c r="H54" s="189">
        <v>0</v>
      </c>
      <c r="I54" s="189">
        <v>0</v>
      </c>
      <c r="J54" s="189">
        <v>0</v>
      </c>
      <c r="K54" s="189">
        <v>0</v>
      </c>
      <c r="L54" s="189">
        <v>0</v>
      </c>
      <c r="M54" s="189">
        <v>0</v>
      </c>
      <c r="N54" s="189">
        <v>0</v>
      </c>
      <c r="O54" s="189">
        <v>0</v>
      </c>
      <c r="P54" s="189">
        <v>0</v>
      </c>
      <c r="Q54" s="189">
        <v>0</v>
      </c>
      <c r="R54" s="189">
        <v>0</v>
      </c>
      <c r="S54" s="189">
        <v>0</v>
      </c>
      <c r="T54" s="189">
        <v>0</v>
      </c>
      <c r="U54" s="189">
        <v>0</v>
      </c>
      <c r="V54" s="189">
        <v>0</v>
      </c>
      <c r="W54" s="189">
        <v>0</v>
      </c>
      <c r="X54" s="189">
        <v>0</v>
      </c>
      <c r="Y54" s="189">
        <v>0</v>
      </c>
      <c r="Z54" s="189">
        <v>0</v>
      </c>
      <c r="AA54" s="189">
        <v>0</v>
      </c>
      <c r="AB54" s="189">
        <v>0</v>
      </c>
      <c r="AC54" s="189">
        <v>0</v>
      </c>
      <c r="AD54" s="189">
        <v>0</v>
      </c>
      <c r="AE54" s="189">
        <v>0</v>
      </c>
      <c r="AF54" s="189">
        <v>0</v>
      </c>
      <c r="AG54" s="189">
        <v>0</v>
      </c>
      <c r="AH54" s="189">
        <v>0</v>
      </c>
      <c r="AI54" s="189">
        <v>0</v>
      </c>
      <c r="AJ54" s="189">
        <v>0</v>
      </c>
      <c r="AK54" s="189">
        <v>0</v>
      </c>
      <c r="AL54" s="189">
        <v>0</v>
      </c>
      <c r="AM54" s="189">
        <v>0</v>
      </c>
      <c r="AN54" s="189">
        <v>0</v>
      </c>
      <c r="AO54" s="189">
        <v>0</v>
      </c>
      <c r="AP54" s="189">
        <v>0</v>
      </c>
      <c r="AQ54" s="189">
        <v>0</v>
      </c>
      <c r="AR54" s="189"/>
      <c r="AS54" s="189"/>
      <c r="AT54" s="189"/>
      <c r="AU54" s="189"/>
      <c r="AV54" s="189"/>
      <c r="AW54" s="189"/>
      <c r="AX54" s="189"/>
      <c r="AY54" s="189"/>
      <c r="AZ54" s="189"/>
      <c r="BA54" s="189"/>
      <c r="BB54" s="189"/>
      <c r="BC54" s="189"/>
      <c r="BD54" s="189"/>
      <c r="BE54" s="189"/>
      <c r="BF54" s="189"/>
      <c r="BG54" s="189"/>
      <c r="BH54" s="189"/>
      <c r="BI54" s="189"/>
      <c r="BJ54" s="189"/>
      <c r="BK54" s="189"/>
      <c r="BL54" s="189"/>
      <c r="BM54" s="189"/>
      <c r="BN54" s="189"/>
      <c r="BO54" s="189"/>
      <c r="BP54" s="189"/>
      <c r="BQ54" s="189"/>
      <c r="BR54" s="189"/>
      <c r="BS54" s="189"/>
      <c r="BT54" s="189"/>
      <c r="BU54" s="189"/>
      <c r="BV54" s="189"/>
      <c r="BW54" s="189"/>
      <c r="BX54" s="189"/>
      <c r="BY54" s="189"/>
      <c r="BZ54" s="189"/>
      <c r="CA54" s="189"/>
      <c r="CB54" s="189"/>
      <c r="CC54" s="189"/>
      <c r="CD54" s="189"/>
      <c r="CE54" s="189"/>
      <c r="CF54" s="189"/>
      <c r="CG54" s="189"/>
      <c r="CH54" s="189"/>
      <c r="CI54" s="189"/>
      <c r="CJ54" s="189"/>
      <c r="CK54" s="189"/>
      <c r="CL54" s="189"/>
    </row>
    <row r="55" spans="1:90" s="192" customFormat="1" x14ac:dyDescent="0.25">
      <c r="A55" s="192" t="s">
        <v>37</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c r="AS55" s="189"/>
      <c r="AT55" s="189"/>
      <c r="AU55" s="189"/>
      <c r="AV55" s="189"/>
      <c r="AW55" s="189"/>
      <c r="AX55" s="189"/>
      <c r="AY55" s="189"/>
      <c r="AZ55" s="189"/>
      <c r="BA55" s="189"/>
      <c r="BB55" s="189"/>
      <c r="BC55" s="189"/>
      <c r="BD55" s="189"/>
      <c r="BE55" s="189"/>
      <c r="BF55" s="189"/>
      <c r="BG55" s="189"/>
      <c r="BH55" s="189"/>
      <c r="BI55" s="189"/>
      <c r="BJ55" s="189"/>
      <c r="BK55" s="189"/>
      <c r="BL55" s="189"/>
      <c r="BM55" s="189"/>
      <c r="BN55" s="189"/>
      <c r="BO55" s="189"/>
      <c r="BP55" s="189"/>
      <c r="BQ55" s="189"/>
      <c r="BR55" s="189"/>
      <c r="BS55" s="189"/>
      <c r="BT55" s="189"/>
      <c r="BU55" s="189"/>
      <c r="BV55" s="189"/>
      <c r="BW55" s="189"/>
      <c r="BX55" s="189"/>
      <c r="BY55" s="189"/>
      <c r="BZ55" s="189"/>
      <c r="CA55" s="189"/>
      <c r="CB55" s="189"/>
      <c r="CC55" s="189"/>
      <c r="CD55" s="189"/>
      <c r="CE55" s="189"/>
      <c r="CF55" s="189"/>
      <c r="CG55" s="189"/>
      <c r="CH55" s="189"/>
      <c r="CI55" s="189"/>
      <c r="CJ55" s="189"/>
      <c r="CK55" s="189"/>
      <c r="CL55" s="189"/>
    </row>
    <row r="56" spans="1:90" s="192" customFormat="1" x14ac:dyDescent="0.25">
      <c r="A56" s="192" t="s">
        <v>38</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c r="AS56" s="189"/>
      <c r="AT56" s="189"/>
      <c r="AU56" s="189"/>
      <c r="AV56" s="189"/>
      <c r="AW56" s="189"/>
      <c r="AX56" s="189"/>
      <c r="AY56" s="189"/>
      <c r="AZ56" s="189"/>
      <c r="BA56" s="189"/>
      <c r="BB56" s="189"/>
      <c r="BC56" s="189"/>
      <c r="BD56" s="189"/>
      <c r="BE56" s="189"/>
      <c r="BF56" s="189"/>
      <c r="BG56" s="189"/>
      <c r="BH56" s="189"/>
      <c r="BI56" s="189"/>
      <c r="BJ56" s="189"/>
      <c r="BK56" s="189"/>
      <c r="BL56" s="189"/>
      <c r="BM56" s="189"/>
      <c r="BN56" s="189"/>
      <c r="BO56" s="189"/>
      <c r="BP56" s="189"/>
      <c r="BQ56" s="189"/>
      <c r="BR56" s="189"/>
      <c r="BS56" s="189"/>
      <c r="BT56" s="189"/>
      <c r="BU56" s="189"/>
      <c r="BV56" s="189"/>
      <c r="BW56" s="189"/>
      <c r="BX56" s="189"/>
      <c r="BY56" s="189"/>
      <c r="BZ56" s="189"/>
      <c r="CA56" s="189"/>
      <c r="CB56" s="189"/>
      <c r="CC56" s="189"/>
      <c r="CD56" s="189"/>
      <c r="CE56" s="189"/>
      <c r="CF56" s="189"/>
      <c r="CG56" s="189"/>
      <c r="CH56" s="189"/>
      <c r="CI56" s="189"/>
      <c r="CJ56" s="189"/>
      <c r="CK56" s="189"/>
      <c r="CL56" s="189"/>
    </row>
    <row r="57" spans="1:90" s="192" customFormat="1" x14ac:dyDescent="0.25">
      <c r="A57" s="192" t="s">
        <v>39</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c r="AS57" s="189"/>
      <c r="AT57" s="189"/>
      <c r="AU57" s="189"/>
      <c r="AV57" s="189"/>
      <c r="AW57" s="189"/>
      <c r="AX57" s="189"/>
      <c r="AY57" s="189"/>
      <c r="AZ57" s="189"/>
      <c r="BA57" s="189"/>
      <c r="BB57" s="189"/>
      <c r="BC57" s="189"/>
      <c r="BD57" s="189"/>
      <c r="BE57" s="189"/>
      <c r="BF57" s="189"/>
      <c r="BG57" s="189"/>
      <c r="BH57" s="189"/>
      <c r="BI57" s="189"/>
      <c r="BJ57" s="189"/>
      <c r="BK57" s="189"/>
      <c r="BL57" s="189"/>
      <c r="BM57" s="189"/>
      <c r="BN57" s="189"/>
      <c r="BO57" s="189"/>
      <c r="BP57" s="189"/>
      <c r="BQ57" s="189"/>
      <c r="BR57" s="189"/>
      <c r="BS57" s="189"/>
      <c r="BT57" s="189"/>
      <c r="BU57" s="189"/>
      <c r="BV57" s="189"/>
      <c r="BW57" s="189"/>
      <c r="BX57" s="189"/>
      <c r="BY57" s="189"/>
      <c r="BZ57" s="189"/>
      <c r="CA57" s="189"/>
      <c r="CB57" s="189"/>
      <c r="CC57" s="189"/>
      <c r="CD57" s="189"/>
      <c r="CE57" s="189"/>
      <c r="CF57" s="189"/>
      <c r="CG57" s="189"/>
      <c r="CH57" s="189"/>
      <c r="CI57" s="189"/>
      <c r="CJ57" s="189"/>
      <c r="CK57" s="189"/>
      <c r="CL57" s="189"/>
    </row>
    <row r="58" spans="1:90" s="192" customFormat="1" x14ac:dyDescent="0.25">
      <c r="A58" s="192" t="s">
        <v>40</v>
      </c>
      <c r="B58" s="189">
        <v>123915111.73</v>
      </c>
      <c r="C58" s="189">
        <v>129821798.68000001</v>
      </c>
      <c r="D58" s="189">
        <v>135617391.80000001</v>
      </c>
      <c r="E58" s="189">
        <v>141687875.24000001</v>
      </c>
      <c r="F58" s="189">
        <v>60121685.960000001</v>
      </c>
      <c r="G58" s="189">
        <v>65332264.780000001</v>
      </c>
      <c r="H58" s="189">
        <v>40404138.159999996</v>
      </c>
      <c r="I58" s="189">
        <v>41253832.450000003</v>
      </c>
      <c r="J58" s="189">
        <v>9818727.7300000004</v>
      </c>
      <c r="K58" s="189">
        <v>11536841.65</v>
      </c>
      <c r="L58" s="189">
        <v>13377627.23</v>
      </c>
      <c r="M58" s="189">
        <v>15227362.76</v>
      </c>
      <c r="N58" s="189">
        <v>4015959.21</v>
      </c>
      <c r="O58" s="189">
        <v>4148317.59</v>
      </c>
      <c r="P58" s="189">
        <v>4171805.23</v>
      </c>
      <c r="Q58" s="189">
        <v>4260135.5199999996</v>
      </c>
      <c r="R58" s="189">
        <v>4328892.49</v>
      </c>
      <c r="S58" s="189">
        <v>96727473.310000002</v>
      </c>
      <c r="T58" s="189">
        <v>97257086.290000007</v>
      </c>
      <c r="U58" s="189">
        <v>97671601.840000004</v>
      </c>
      <c r="V58" s="189">
        <v>98217303.280000001</v>
      </c>
      <c r="W58" s="189">
        <v>98181048.980000004</v>
      </c>
      <c r="X58" s="189">
        <v>98717398.579999998</v>
      </c>
      <c r="Y58" s="189">
        <v>99259150.760000005</v>
      </c>
      <c r="Z58" s="189">
        <v>79000902.939999998</v>
      </c>
      <c r="AA58" s="189">
        <v>78759211.079999998</v>
      </c>
      <c r="AB58" s="189">
        <v>59960382.909999996</v>
      </c>
      <c r="AC58" s="189">
        <v>60298748.740000002</v>
      </c>
      <c r="AD58" s="189">
        <v>36170819.43</v>
      </c>
      <c r="AE58" s="189">
        <v>35545391.280000001</v>
      </c>
      <c r="AF58" s="189">
        <v>13942173.25</v>
      </c>
      <c r="AG58" s="189">
        <v>14038955.92</v>
      </c>
      <c r="AH58" s="189">
        <v>14136033.710000001</v>
      </c>
      <c r="AI58" s="189">
        <v>14232816.380000001</v>
      </c>
      <c r="AJ58" s="189">
        <v>33606999.740000002</v>
      </c>
      <c r="AK58" s="189">
        <v>33802373.600000001</v>
      </c>
      <c r="AL58" s="189">
        <v>34042321.899999999</v>
      </c>
      <c r="AM58" s="189">
        <v>34197018.490000002</v>
      </c>
      <c r="AN58" s="189">
        <v>34178065.960000001</v>
      </c>
      <c r="AO58" s="189">
        <v>7849084.1299999999</v>
      </c>
      <c r="AP58" s="189">
        <v>5804629.3200000003</v>
      </c>
      <c r="AQ58" s="189">
        <v>0</v>
      </c>
      <c r="AR58" s="189"/>
      <c r="AS58" s="189"/>
      <c r="AT58" s="189"/>
      <c r="AU58" s="189"/>
      <c r="AV58" s="189"/>
      <c r="AW58" s="189"/>
      <c r="AX58" s="189"/>
      <c r="AY58" s="189"/>
      <c r="AZ58" s="189"/>
      <c r="BA58" s="189"/>
      <c r="BB58" s="189"/>
      <c r="BC58" s="189"/>
      <c r="BD58" s="189"/>
      <c r="BE58" s="189"/>
      <c r="BF58" s="189"/>
      <c r="BG58" s="189"/>
      <c r="BH58" s="189"/>
      <c r="BI58" s="189"/>
      <c r="BJ58" s="189"/>
      <c r="BK58" s="189"/>
      <c r="BL58" s="189"/>
      <c r="BM58" s="189"/>
      <c r="BN58" s="189"/>
      <c r="BO58" s="189"/>
      <c r="BP58" s="189"/>
      <c r="BQ58" s="189"/>
      <c r="BR58" s="189"/>
      <c r="BS58" s="189"/>
      <c r="BT58" s="189"/>
      <c r="BU58" s="189"/>
      <c r="BV58" s="189"/>
      <c r="BW58" s="189"/>
      <c r="BX58" s="189"/>
      <c r="BY58" s="189"/>
      <c r="BZ58" s="189"/>
      <c r="CA58" s="189"/>
      <c r="CB58" s="189"/>
      <c r="CC58" s="189"/>
      <c r="CD58" s="189"/>
      <c r="CE58" s="189"/>
      <c r="CF58" s="189"/>
      <c r="CG58" s="189"/>
      <c r="CH58" s="189"/>
      <c r="CI58" s="189"/>
      <c r="CJ58" s="189"/>
      <c r="CK58" s="189"/>
      <c r="CL58" s="189"/>
    </row>
    <row r="59" spans="1:90" s="192" customFormat="1" x14ac:dyDescent="0.25">
      <c r="A59" s="192" t="s">
        <v>41</v>
      </c>
      <c r="B59" s="189">
        <v>0</v>
      </c>
      <c r="C59" s="189">
        <v>0</v>
      </c>
      <c r="D59" s="189">
        <v>0</v>
      </c>
      <c r="E59" s="189">
        <v>0</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c r="AS59" s="189"/>
      <c r="AT59" s="189"/>
      <c r="AU59" s="189"/>
      <c r="AV59" s="189"/>
      <c r="AW59" s="189"/>
      <c r="AX59" s="189"/>
      <c r="AY59" s="189"/>
      <c r="AZ59" s="189"/>
      <c r="BA59" s="189"/>
      <c r="BB59" s="189"/>
      <c r="BC59" s="189"/>
      <c r="BD59" s="189"/>
      <c r="BE59" s="189"/>
      <c r="BF59" s="189"/>
      <c r="BG59" s="189"/>
      <c r="BH59" s="189"/>
      <c r="BI59" s="189"/>
      <c r="BJ59" s="189"/>
      <c r="BK59" s="189"/>
      <c r="BL59" s="189"/>
      <c r="BM59" s="189"/>
      <c r="BN59" s="189"/>
      <c r="BO59" s="189"/>
      <c r="BP59" s="189"/>
      <c r="BQ59" s="189"/>
      <c r="BR59" s="189"/>
      <c r="BS59" s="189"/>
      <c r="BT59" s="189"/>
      <c r="BU59" s="189"/>
      <c r="BV59" s="189"/>
      <c r="BW59" s="189"/>
      <c r="BX59" s="189"/>
      <c r="BY59" s="189"/>
      <c r="BZ59" s="189"/>
      <c r="CA59" s="189"/>
      <c r="CB59" s="189"/>
      <c r="CC59" s="189"/>
      <c r="CD59" s="189"/>
      <c r="CE59" s="189"/>
      <c r="CF59" s="189"/>
      <c r="CG59" s="189"/>
      <c r="CH59" s="189"/>
      <c r="CI59" s="189"/>
      <c r="CJ59" s="189"/>
      <c r="CK59" s="189"/>
      <c r="CL59" s="189"/>
    </row>
    <row r="60" spans="1:90" s="192" customFormat="1" x14ac:dyDescent="0.25">
      <c r="A60" s="192" t="s">
        <v>42</v>
      </c>
      <c r="B60" s="189">
        <v>6535133405.4700003</v>
      </c>
      <c r="C60" s="189">
        <v>6541432761.1499996</v>
      </c>
      <c r="D60" s="189">
        <v>6541432761.1499996</v>
      </c>
      <c r="E60" s="189">
        <v>6541432761.1499996</v>
      </c>
      <c r="F60" s="189">
        <v>6595862826.2399998</v>
      </c>
      <c r="G60" s="189">
        <v>8483595465.3000002</v>
      </c>
      <c r="H60" s="189">
        <v>8507148669.3000002</v>
      </c>
      <c r="I60" s="189">
        <v>4552774567.4399996</v>
      </c>
      <c r="J60" s="189">
        <v>3664466682</v>
      </c>
      <c r="K60" s="189">
        <v>3664466682</v>
      </c>
      <c r="L60" s="189">
        <v>3664466682</v>
      </c>
      <c r="M60" s="189">
        <v>3664466682</v>
      </c>
      <c r="N60" s="189">
        <v>482408071.51999998</v>
      </c>
      <c r="O60" s="189">
        <v>482408071.51999998</v>
      </c>
      <c r="P60" s="189">
        <v>482417714.81</v>
      </c>
      <c r="Q60" s="189">
        <v>0</v>
      </c>
      <c r="R60" s="189">
        <v>0</v>
      </c>
      <c r="S60" s="189">
        <v>0</v>
      </c>
      <c r="T60" s="189">
        <v>0</v>
      </c>
      <c r="U60" s="189">
        <v>0</v>
      </c>
      <c r="V60" s="189">
        <v>0</v>
      </c>
      <c r="W60" s="189">
        <v>0</v>
      </c>
      <c r="X60" s="189">
        <v>0</v>
      </c>
      <c r="Y60" s="189">
        <v>0</v>
      </c>
      <c r="Z60" s="189">
        <v>0</v>
      </c>
      <c r="AA60" s="189">
        <v>0</v>
      </c>
      <c r="AB60" s="189">
        <v>0</v>
      </c>
      <c r="AC60" s="189">
        <v>0</v>
      </c>
      <c r="AD60" s="189">
        <v>0</v>
      </c>
      <c r="AE60" s="189">
        <v>0</v>
      </c>
      <c r="AF60" s="189">
        <v>0</v>
      </c>
      <c r="AG60" s="189">
        <v>0</v>
      </c>
      <c r="AH60" s="189">
        <v>0</v>
      </c>
      <c r="AI60" s="189">
        <v>0</v>
      </c>
      <c r="AJ60" s="189">
        <v>0</v>
      </c>
      <c r="AK60" s="189">
        <v>0</v>
      </c>
      <c r="AL60" s="189">
        <v>0</v>
      </c>
      <c r="AM60" s="189">
        <v>0</v>
      </c>
      <c r="AN60" s="189">
        <v>0</v>
      </c>
      <c r="AO60" s="189">
        <v>0</v>
      </c>
      <c r="AP60" s="189">
        <v>0</v>
      </c>
      <c r="AQ60" s="189">
        <v>0</v>
      </c>
      <c r="AR60" s="189"/>
      <c r="AS60" s="189"/>
      <c r="AT60" s="189"/>
      <c r="AU60" s="189"/>
      <c r="AV60" s="189"/>
      <c r="AW60" s="189"/>
      <c r="AX60" s="189"/>
      <c r="AY60" s="189"/>
      <c r="AZ60" s="189"/>
      <c r="BA60" s="189"/>
      <c r="BB60" s="189"/>
      <c r="BC60" s="189"/>
      <c r="BD60" s="189"/>
      <c r="BE60" s="189"/>
      <c r="BF60" s="189"/>
      <c r="BG60" s="189"/>
      <c r="BH60" s="189"/>
      <c r="BI60" s="189"/>
      <c r="BJ60" s="189"/>
      <c r="BK60" s="189"/>
      <c r="BL60" s="189"/>
      <c r="BM60" s="189"/>
      <c r="BN60" s="189"/>
      <c r="BO60" s="189"/>
      <c r="BP60" s="189"/>
      <c r="BQ60" s="189"/>
      <c r="BR60" s="189"/>
      <c r="BS60" s="189"/>
      <c r="BT60" s="189"/>
      <c r="BU60" s="189"/>
      <c r="BV60" s="189"/>
      <c r="BW60" s="189"/>
      <c r="BX60" s="189"/>
      <c r="BY60" s="189"/>
      <c r="BZ60" s="189"/>
      <c r="CA60" s="189"/>
      <c r="CB60" s="189"/>
      <c r="CC60" s="189"/>
      <c r="CD60" s="189"/>
      <c r="CE60" s="189"/>
      <c r="CF60" s="189"/>
      <c r="CG60" s="189"/>
      <c r="CH60" s="189"/>
      <c r="CI60" s="189"/>
      <c r="CJ60" s="189"/>
      <c r="CK60" s="189"/>
      <c r="CL60" s="189"/>
    </row>
    <row r="61" spans="1:90" s="192" customFormat="1" x14ac:dyDescent="0.25">
      <c r="A61" s="192" t="s">
        <v>43</v>
      </c>
      <c r="B61" s="189">
        <v>68927280.799999997</v>
      </c>
      <c r="C61" s="189">
        <v>70009748.560000002</v>
      </c>
      <c r="D61" s="189">
        <v>63262594.990000002</v>
      </c>
      <c r="E61" s="189">
        <v>59931135.990000002</v>
      </c>
      <c r="F61" s="189">
        <v>58128446.740000002</v>
      </c>
      <c r="G61" s="189">
        <v>58748214.729999997</v>
      </c>
      <c r="H61" s="189">
        <v>57331762.280000001</v>
      </c>
      <c r="I61" s="189">
        <v>8984312.2300000004</v>
      </c>
      <c r="J61" s="189">
        <v>4960149.7699999996</v>
      </c>
      <c r="K61" s="189">
        <v>2228893.5699999998</v>
      </c>
      <c r="L61" s="189">
        <v>5951059.5700000003</v>
      </c>
      <c r="M61" s="189">
        <v>4119243.64</v>
      </c>
      <c r="N61" s="189">
        <v>3413855.27</v>
      </c>
      <c r="O61" s="189">
        <v>875500</v>
      </c>
      <c r="P61" s="189">
        <v>1167333.3400000001</v>
      </c>
      <c r="Q61" s="189">
        <v>1459166.67</v>
      </c>
      <c r="R61" s="189">
        <v>0</v>
      </c>
      <c r="S61" s="189">
        <v>0</v>
      </c>
      <c r="T61" s="189">
        <v>0</v>
      </c>
      <c r="U61" s="189">
        <v>0</v>
      </c>
      <c r="V61" s="189">
        <v>0</v>
      </c>
      <c r="W61" s="189">
        <v>0</v>
      </c>
      <c r="X61" s="189">
        <v>0</v>
      </c>
      <c r="Y61" s="189">
        <v>0</v>
      </c>
      <c r="Z61" s="189">
        <v>0</v>
      </c>
      <c r="AA61" s="189">
        <v>0</v>
      </c>
      <c r="AB61" s="189">
        <v>0</v>
      </c>
      <c r="AC61" s="189">
        <v>0</v>
      </c>
      <c r="AD61" s="189">
        <v>0</v>
      </c>
      <c r="AE61" s="189">
        <v>0</v>
      </c>
      <c r="AF61" s="189">
        <v>0</v>
      </c>
      <c r="AG61" s="189">
        <v>0</v>
      </c>
      <c r="AH61" s="189">
        <v>0</v>
      </c>
      <c r="AI61" s="189">
        <v>0</v>
      </c>
      <c r="AJ61" s="189">
        <v>0</v>
      </c>
      <c r="AK61" s="189">
        <v>0</v>
      </c>
      <c r="AL61" s="189">
        <v>0</v>
      </c>
      <c r="AM61" s="189">
        <v>0</v>
      </c>
      <c r="AN61" s="189">
        <v>0</v>
      </c>
      <c r="AO61" s="189">
        <v>0</v>
      </c>
      <c r="AP61" s="189">
        <v>681705.35</v>
      </c>
      <c r="AQ61" s="189">
        <v>0</v>
      </c>
      <c r="AR61" s="189"/>
      <c r="AS61" s="189"/>
      <c r="AT61" s="189"/>
      <c r="AU61" s="189"/>
      <c r="AV61" s="189"/>
      <c r="AW61" s="189"/>
      <c r="AX61" s="189"/>
      <c r="AY61" s="189"/>
      <c r="AZ61" s="189"/>
      <c r="BA61" s="189"/>
      <c r="BB61" s="189"/>
      <c r="BC61" s="189"/>
      <c r="BD61" s="189"/>
      <c r="BE61" s="189"/>
      <c r="BF61" s="189"/>
      <c r="BG61" s="189"/>
      <c r="BH61" s="189"/>
      <c r="BI61" s="189"/>
      <c r="BJ61" s="189"/>
      <c r="BK61" s="189"/>
      <c r="BL61" s="189"/>
      <c r="BM61" s="189"/>
      <c r="BN61" s="189"/>
      <c r="BO61" s="189"/>
      <c r="BP61" s="189"/>
      <c r="BQ61" s="189"/>
      <c r="BR61" s="189"/>
      <c r="BS61" s="189"/>
      <c r="BT61" s="189"/>
      <c r="BU61" s="189"/>
      <c r="BV61" s="189"/>
      <c r="BW61" s="189"/>
      <c r="BX61" s="189"/>
      <c r="BY61" s="189"/>
      <c r="BZ61" s="189"/>
      <c r="CA61" s="189"/>
      <c r="CB61" s="189"/>
      <c r="CC61" s="189"/>
      <c r="CD61" s="189"/>
      <c r="CE61" s="189"/>
      <c r="CF61" s="189"/>
      <c r="CG61" s="189"/>
      <c r="CH61" s="189"/>
      <c r="CI61" s="189"/>
      <c r="CJ61" s="189"/>
      <c r="CK61" s="189"/>
      <c r="CL61" s="189"/>
    </row>
    <row r="62" spans="1:90" s="192" customFormat="1" x14ac:dyDescent="0.25">
      <c r="A62" s="192" t="s">
        <v>44</v>
      </c>
      <c r="B62" s="189">
        <v>25944880.5</v>
      </c>
      <c r="C62" s="189">
        <v>25774516.899999999</v>
      </c>
      <c r="D62" s="189">
        <v>31926935.940000001</v>
      </c>
      <c r="E62" s="189">
        <v>25557925.960000001</v>
      </c>
      <c r="F62" s="189">
        <v>100673248.61</v>
      </c>
      <c r="G62" s="189">
        <v>52803082.630000003</v>
      </c>
      <c r="H62" s="189">
        <v>36086536.450000003</v>
      </c>
      <c r="I62" s="189">
        <v>33470720.829999998</v>
      </c>
      <c r="J62" s="189">
        <v>22595324.5</v>
      </c>
      <c r="K62" s="189">
        <v>22929568.899999999</v>
      </c>
      <c r="L62" s="189">
        <v>17854866.510000002</v>
      </c>
      <c r="M62" s="189">
        <v>17554240</v>
      </c>
      <c r="N62" s="189">
        <v>8521674.9100000001</v>
      </c>
      <c r="O62" s="189">
        <v>8599524.5600000005</v>
      </c>
      <c r="P62" s="189">
        <v>8517047.5500000007</v>
      </c>
      <c r="Q62" s="189">
        <v>8447861.1500000004</v>
      </c>
      <c r="R62" s="189">
        <v>3494744.96</v>
      </c>
      <c r="S62" s="189">
        <v>526569.66</v>
      </c>
      <c r="T62" s="189">
        <v>719660.22</v>
      </c>
      <c r="U62" s="189">
        <v>719660.22</v>
      </c>
      <c r="V62" s="189">
        <v>356558.8</v>
      </c>
      <c r="W62" s="189">
        <v>356558.8</v>
      </c>
      <c r="X62" s="189">
        <v>290412.39</v>
      </c>
      <c r="Y62" s="189">
        <v>290412.39</v>
      </c>
      <c r="Z62" s="189">
        <v>190902.87</v>
      </c>
      <c r="AA62" s="189">
        <v>190902.87</v>
      </c>
      <c r="AB62" s="189">
        <v>131359.46</v>
      </c>
      <c r="AC62" s="189">
        <v>229382.61</v>
      </c>
      <c r="AD62" s="189">
        <v>0</v>
      </c>
      <c r="AE62" s="189">
        <v>0</v>
      </c>
      <c r="AF62" s="189">
        <v>0</v>
      </c>
      <c r="AG62" s="189">
        <v>0</v>
      </c>
      <c r="AH62" s="189">
        <v>1150</v>
      </c>
      <c r="AI62" s="189">
        <v>1150</v>
      </c>
      <c r="AJ62" s="189">
        <v>1150</v>
      </c>
      <c r="AK62" s="189">
        <v>1150</v>
      </c>
      <c r="AL62" s="189">
        <v>0</v>
      </c>
      <c r="AM62" s="189">
        <v>211719.17</v>
      </c>
      <c r="AN62" s="189">
        <v>0</v>
      </c>
      <c r="AO62" s="189">
        <v>0</v>
      </c>
      <c r="AP62" s="189">
        <v>0</v>
      </c>
      <c r="AQ62" s="189">
        <v>0</v>
      </c>
      <c r="AR62" s="189"/>
      <c r="AS62" s="189"/>
      <c r="AT62" s="189"/>
      <c r="AU62" s="189"/>
      <c r="AV62" s="189"/>
      <c r="AW62" s="189"/>
      <c r="AX62" s="189"/>
      <c r="AY62" s="189"/>
      <c r="AZ62" s="189"/>
      <c r="BA62" s="189"/>
      <c r="BB62" s="189"/>
      <c r="BC62" s="189"/>
      <c r="BD62" s="189"/>
      <c r="BE62" s="189"/>
      <c r="BF62" s="189"/>
      <c r="BG62" s="189"/>
      <c r="BH62" s="189"/>
      <c r="BI62" s="189"/>
      <c r="BJ62" s="189"/>
      <c r="BK62" s="189"/>
      <c r="BL62" s="189"/>
      <c r="BM62" s="189"/>
      <c r="BN62" s="189"/>
      <c r="BO62" s="189"/>
      <c r="BP62" s="189"/>
      <c r="BQ62" s="189"/>
      <c r="BR62" s="189"/>
      <c r="BS62" s="189"/>
      <c r="BT62" s="189"/>
      <c r="BU62" s="189"/>
      <c r="BV62" s="189"/>
      <c r="BW62" s="189"/>
      <c r="BX62" s="189"/>
      <c r="BY62" s="189"/>
      <c r="BZ62" s="189"/>
      <c r="CA62" s="189"/>
      <c r="CB62" s="189"/>
      <c r="CC62" s="189"/>
      <c r="CD62" s="189"/>
      <c r="CE62" s="189"/>
      <c r="CF62" s="189"/>
      <c r="CG62" s="189"/>
      <c r="CH62" s="189"/>
      <c r="CI62" s="189"/>
      <c r="CJ62" s="189"/>
      <c r="CK62" s="189"/>
      <c r="CL62" s="189"/>
    </row>
    <row r="63" spans="1:90" s="192" customFormat="1" x14ac:dyDescent="0.25">
      <c r="A63" s="192" t="s">
        <v>45</v>
      </c>
      <c r="B63" s="189">
        <v>103596856.86</v>
      </c>
      <c r="C63" s="189">
        <v>104085393.22</v>
      </c>
      <c r="D63" s="189">
        <v>109679691.55</v>
      </c>
      <c r="E63" s="189">
        <v>111007480.28</v>
      </c>
      <c r="F63" s="189">
        <v>87403526.920000002</v>
      </c>
      <c r="G63" s="189">
        <v>122044148.15000001</v>
      </c>
      <c r="H63" s="189">
        <v>107926896.42</v>
      </c>
      <c r="I63" s="189">
        <v>152667435.75999999</v>
      </c>
      <c r="J63" s="189">
        <v>79183089.010000005</v>
      </c>
      <c r="K63" s="189">
        <v>59710421.530000001</v>
      </c>
      <c r="L63" s="189">
        <v>80639301.480000004</v>
      </c>
      <c r="M63" s="189">
        <v>103470769.59</v>
      </c>
      <c r="N63" s="189">
        <v>26821244.559999999</v>
      </c>
      <c r="O63" s="189">
        <v>26821244.559999999</v>
      </c>
      <c r="P63" s="189">
        <v>26937324.289999999</v>
      </c>
      <c r="Q63" s="189">
        <v>26937324.289999999</v>
      </c>
      <c r="R63" s="189">
        <v>25708516.800000001</v>
      </c>
      <c r="S63" s="189">
        <v>0</v>
      </c>
      <c r="T63" s="189">
        <v>0</v>
      </c>
      <c r="U63" s="189">
        <v>0</v>
      </c>
      <c r="V63" s="189">
        <v>0</v>
      </c>
      <c r="W63" s="189">
        <v>0</v>
      </c>
      <c r="X63" s="189">
        <v>0</v>
      </c>
      <c r="Y63" s="189">
        <v>0</v>
      </c>
      <c r="Z63" s="189">
        <v>0</v>
      </c>
      <c r="AA63" s="189">
        <v>0</v>
      </c>
      <c r="AB63" s="189">
        <v>0</v>
      </c>
      <c r="AC63" s="189">
        <v>0</v>
      </c>
      <c r="AD63" s="189">
        <v>0</v>
      </c>
      <c r="AE63" s="189">
        <v>0</v>
      </c>
      <c r="AF63" s="189">
        <v>0</v>
      </c>
      <c r="AG63" s="189">
        <v>0</v>
      </c>
      <c r="AH63" s="189">
        <v>0</v>
      </c>
      <c r="AI63" s="189">
        <v>0</v>
      </c>
      <c r="AJ63" s="189">
        <v>0</v>
      </c>
      <c r="AK63" s="189">
        <v>0</v>
      </c>
      <c r="AL63" s="189">
        <v>0</v>
      </c>
      <c r="AM63" s="189">
        <v>0</v>
      </c>
      <c r="AN63" s="189">
        <v>0</v>
      </c>
      <c r="AO63" s="189">
        <v>0</v>
      </c>
      <c r="AP63" s="189">
        <v>0</v>
      </c>
      <c r="AQ63" s="189">
        <v>0</v>
      </c>
      <c r="AR63" s="189"/>
      <c r="AS63" s="189"/>
      <c r="AT63" s="189"/>
      <c r="AU63" s="189"/>
      <c r="AV63" s="189"/>
      <c r="AW63" s="189"/>
      <c r="AX63" s="189"/>
      <c r="AY63" s="189"/>
      <c r="AZ63" s="189"/>
      <c r="BA63" s="189"/>
      <c r="BB63" s="189"/>
      <c r="BC63" s="189"/>
      <c r="BD63" s="189"/>
      <c r="BE63" s="189"/>
      <c r="BF63" s="189"/>
      <c r="BG63" s="189"/>
      <c r="BH63" s="189"/>
      <c r="BI63" s="189"/>
      <c r="BJ63" s="189"/>
      <c r="BK63" s="189"/>
      <c r="BL63" s="189"/>
      <c r="BM63" s="189"/>
      <c r="BN63" s="189"/>
      <c r="BO63" s="189"/>
      <c r="BP63" s="189"/>
      <c r="BQ63" s="189"/>
      <c r="BR63" s="189"/>
      <c r="BS63" s="189"/>
      <c r="BT63" s="189"/>
      <c r="BU63" s="189"/>
      <c r="BV63" s="189"/>
      <c r="BW63" s="189"/>
      <c r="BX63" s="189"/>
      <c r="BY63" s="189"/>
      <c r="BZ63" s="189"/>
      <c r="CA63" s="189"/>
      <c r="CB63" s="189"/>
      <c r="CC63" s="189"/>
      <c r="CD63" s="189"/>
      <c r="CE63" s="189"/>
      <c r="CF63" s="189"/>
      <c r="CG63" s="189"/>
      <c r="CH63" s="189"/>
      <c r="CI63" s="189"/>
      <c r="CJ63" s="189"/>
      <c r="CK63" s="189"/>
      <c r="CL63" s="189"/>
    </row>
    <row r="64" spans="1:90" s="192" customFormat="1" x14ac:dyDescent="0.25">
      <c r="A64" s="192" t="s">
        <v>46</v>
      </c>
      <c r="B64" s="189">
        <v>291140759.88999999</v>
      </c>
      <c r="C64" s="189">
        <v>283749719.88999999</v>
      </c>
      <c r="D64" s="189">
        <v>353919675.88999999</v>
      </c>
      <c r="E64" s="189">
        <v>412233154.73000002</v>
      </c>
      <c r="F64" s="189">
        <v>314365106.55000001</v>
      </c>
      <c r="G64" s="189">
        <v>169137735.40000001</v>
      </c>
      <c r="H64" s="189">
        <v>339537735.39999998</v>
      </c>
      <c r="I64" s="189">
        <v>67137735.400000006</v>
      </c>
      <c r="J64" s="189">
        <v>314367924</v>
      </c>
      <c r="K64" s="189">
        <v>283867924</v>
      </c>
      <c r="L64" s="189">
        <v>64837735.399999999</v>
      </c>
      <c r="M64" s="189">
        <v>57290565.799999997</v>
      </c>
      <c r="N64" s="189">
        <v>17800000</v>
      </c>
      <c r="O64" s="189">
        <v>17800000</v>
      </c>
      <c r="P64" s="189">
        <v>20800000</v>
      </c>
      <c r="Q64" s="189">
        <v>21800000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2645152.2400000002</v>
      </c>
      <c r="AP64" s="189">
        <v>0</v>
      </c>
      <c r="AQ64" s="189">
        <v>0</v>
      </c>
      <c r="AR64" s="189"/>
      <c r="AS64" s="189"/>
      <c r="AT64" s="189"/>
      <c r="AU64" s="189"/>
      <c r="AV64" s="189"/>
      <c r="AW64" s="189"/>
      <c r="AX64" s="189"/>
      <c r="AY64" s="189"/>
      <c r="AZ64" s="189"/>
      <c r="BA64" s="189"/>
      <c r="BB64" s="189"/>
      <c r="BC64" s="189"/>
      <c r="BD64" s="189"/>
      <c r="BE64" s="189"/>
      <c r="BF64" s="189"/>
      <c r="BG64" s="189"/>
      <c r="BH64" s="189"/>
      <c r="BI64" s="189"/>
      <c r="BJ64" s="189"/>
      <c r="BK64" s="189"/>
      <c r="BL64" s="189"/>
      <c r="BM64" s="189"/>
      <c r="BN64" s="189"/>
      <c r="BO64" s="189"/>
      <c r="BP64" s="189"/>
      <c r="BQ64" s="189"/>
      <c r="BR64" s="189"/>
      <c r="BS64" s="189"/>
      <c r="BT64" s="189"/>
      <c r="BU64" s="189"/>
      <c r="BV64" s="189"/>
      <c r="BW64" s="189"/>
      <c r="BX64" s="189"/>
      <c r="BY64" s="189"/>
      <c r="BZ64" s="189"/>
      <c r="CA64" s="189"/>
      <c r="CB64" s="189"/>
      <c r="CC64" s="189"/>
      <c r="CD64" s="189"/>
      <c r="CE64" s="189"/>
      <c r="CF64" s="189"/>
      <c r="CG64" s="189"/>
      <c r="CH64" s="189"/>
      <c r="CI64" s="189"/>
      <c r="CJ64" s="189"/>
      <c r="CK64" s="189"/>
      <c r="CL64" s="189"/>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6970324312.6599998</v>
      </c>
      <c r="C68" s="36">
        <f t="shared" ref="C68:BN68" si="8">SUM(C52:C64)-2*C63</f>
        <v>6977446198.6000004</v>
      </c>
      <c r="D68" s="36">
        <f t="shared" si="8"/>
        <v>7046192765.3999987</v>
      </c>
      <c r="E68" s="36">
        <f t="shared" si="8"/>
        <v>7098210311.369998</v>
      </c>
      <c r="F68" s="36">
        <f t="shared" si="8"/>
        <v>7070820607.6899996</v>
      </c>
      <c r="G68" s="36">
        <f t="shared" si="8"/>
        <v>8737458851.4899998</v>
      </c>
      <c r="H68" s="36">
        <f t="shared" si="8"/>
        <v>8902047581.5799999</v>
      </c>
      <c r="I68" s="36">
        <f t="shared" si="8"/>
        <v>4562750662.0699997</v>
      </c>
      <c r="J68" s="36">
        <f t="shared" si="8"/>
        <v>3947355707.6400003</v>
      </c>
      <c r="K68" s="36">
        <f t="shared" si="8"/>
        <v>3936241519.3000007</v>
      </c>
      <c r="L68" s="36">
        <f t="shared" si="8"/>
        <v>3698076880.4600005</v>
      </c>
      <c r="M68" s="36">
        <f t="shared" si="8"/>
        <v>3666678731.4000006</v>
      </c>
      <c r="N68" s="36">
        <f t="shared" si="8"/>
        <v>497114555.5</v>
      </c>
      <c r="O68" s="36">
        <f t="shared" si="8"/>
        <v>495624801.06000006</v>
      </c>
      <c r="P68" s="36">
        <f t="shared" si="8"/>
        <v>499435258.74999994</v>
      </c>
      <c r="Q68" s="36">
        <f t="shared" si="8"/>
        <v>17879497.269999996</v>
      </c>
      <c r="R68" s="36">
        <f t="shared" si="8"/>
        <v>-10760089.359999999</v>
      </c>
      <c r="S68" s="36">
        <f t="shared" si="8"/>
        <v>490384748.77000004</v>
      </c>
      <c r="T68" s="36">
        <f t="shared" si="8"/>
        <v>496267318.2100001</v>
      </c>
      <c r="U68" s="36">
        <f t="shared" si="8"/>
        <v>500174601.83000004</v>
      </c>
      <c r="V68" s="36">
        <f t="shared" si="8"/>
        <v>502078278.50000006</v>
      </c>
      <c r="W68" s="36">
        <f t="shared" si="8"/>
        <v>490667811.14000005</v>
      </c>
      <c r="X68" s="36">
        <f t="shared" si="8"/>
        <v>458095903.51999998</v>
      </c>
      <c r="Y68" s="36">
        <f t="shared" si="8"/>
        <v>457208670.33999997</v>
      </c>
      <c r="Z68" s="36">
        <f t="shared" si="8"/>
        <v>409157665.79000002</v>
      </c>
      <c r="AA68" s="36">
        <f t="shared" si="8"/>
        <v>404641282.89999998</v>
      </c>
      <c r="AB68" s="36">
        <f t="shared" si="8"/>
        <v>280107631.34999996</v>
      </c>
      <c r="AC68" s="36">
        <f t="shared" si="8"/>
        <v>264735403.89000005</v>
      </c>
      <c r="AD68" s="36">
        <f t="shared" si="8"/>
        <v>194002292.87</v>
      </c>
      <c r="AE68" s="36">
        <f t="shared" si="8"/>
        <v>194774546.22999999</v>
      </c>
      <c r="AF68" s="36">
        <f t="shared" si="8"/>
        <v>173706857.63999999</v>
      </c>
      <c r="AG68" s="36">
        <f t="shared" si="8"/>
        <v>173187728.47999999</v>
      </c>
      <c r="AH68" s="36">
        <f t="shared" si="8"/>
        <v>152181564.47999999</v>
      </c>
      <c r="AI68" s="36">
        <f t="shared" si="8"/>
        <v>136309064.01000002</v>
      </c>
      <c r="AJ68" s="36">
        <f t="shared" si="8"/>
        <v>132331131.09</v>
      </c>
      <c r="AK68" s="36">
        <f t="shared" si="8"/>
        <v>133745952.72999999</v>
      </c>
      <c r="AL68" s="36">
        <f t="shared" si="8"/>
        <v>132218465.38</v>
      </c>
      <c r="AM68" s="36">
        <f t="shared" si="8"/>
        <v>133261358.39</v>
      </c>
      <c r="AN68" s="36">
        <f t="shared" si="8"/>
        <v>120894064.27000001</v>
      </c>
      <c r="AO68" s="36">
        <f t="shared" si="8"/>
        <v>84122615.639999986</v>
      </c>
      <c r="AP68" s="36">
        <f t="shared" si="8"/>
        <v>46760067.939999998</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7682874958.25</v>
      </c>
      <c r="C69" s="33">
        <f t="shared" ref="C69:BN69" si="10">C50+C68</f>
        <v>7334836859.0700006</v>
      </c>
      <c r="D69" s="33">
        <f t="shared" si="10"/>
        <v>7167242912.3899984</v>
      </c>
      <c r="E69" s="33">
        <f t="shared" si="10"/>
        <v>6140475631.7599983</v>
      </c>
      <c r="F69" s="33">
        <f t="shared" si="10"/>
        <v>5756090129.0999985</v>
      </c>
      <c r="G69" s="33">
        <f t="shared" si="10"/>
        <v>7281419001.9199991</v>
      </c>
      <c r="H69" s="33">
        <f t="shared" si="10"/>
        <v>5042079718.1199999</v>
      </c>
      <c r="I69" s="33">
        <f t="shared" si="10"/>
        <v>4272695463.29</v>
      </c>
      <c r="J69" s="33">
        <f t="shared" si="10"/>
        <v>4019484119.9200001</v>
      </c>
      <c r="K69" s="33">
        <f t="shared" si="10"/>
        <v>3935560238.4700007</v>
      </c>
      <c r="L69" s="33">
        <f t="shared" si="10"/>
        <v>3719063464.0300007</v>
      </c>
      <c r="M69" s="33">
        <f t="shared" si="10"/>
        <v>3682538960.2300005</v>
      </c>
      <c r="N69" s="33">
        <f t="shared" si="10"/>
        <v>421824773.45999998</v>
      </c>
      <c r="O69" s="33">
        <f t="shared" si="10"/>
        <v>520251406.58000004</v>
      </c>
      <c r="P69" s="33">
        <f t="shared" si="10"/>
        <v>480042823.50999987</v>
      </c>
      <c r="Q69" s="33">
        <f t="shared" si="10"/>
        <v>69391169.749999985</v>
      </c>
      <c r="R69" s="33">
        <f t="shared" si="10"/>
        <v>165148581.20999998</v>
      </c>
      <c r="S69" s="33">
        <f t="shared" si="10"/>
        <v>747342755.82999992</v>
      </c>
      <c r="T69" s="33">
        <f t="shared" si="10"/>
        <v>825052707.25</v>
      </c>
      <c r="U69" s="33">
        <f t="shared" si="10"/>
        <v>845423552.35000002</v>
      </c>
      <c r="V69" s="33">
        <f t="shared" si="10"/>
        <v>880411957.46000004</v>
      </c>
      <c r="W69" s="33">
        <f t="shared" si="10"/>
        <v>848104912.19000006</v>
      </c>
      <c r="X69" s="33">
        <f t="shared" si="10"/>
        <v>811052788.63999999</v>
      </c>
      <c r="Y69" s="33">
        <f t="shared" si="10"/>
        <v>758542614.19000006</v>
      </c>
      <c r="Z69" s="33">
        <f t="shared" si="10"/>
        <v>748030527.49000001</v>
      </c>
      <c r="AA69" s="33">
        <f t="shared" si="10"/>
        <v>759406664.3599999</v>
      </c>
      <c r="AB69" s="33">
        <f t="shared" si="10"/>
        <v>758108165.77999997</v>
      </c>
      <c r="AC69" s="33">
        <f t="shared" si="10"/>
        <v>687238199.07999992</v>
      </c>
      <c r="AD69" s="33">
        <f t="shared" si="10"/>
        <v>575780603.96000004</v>
      </c>
      <c r="AE69" s="33">
        <f t="shared" si="10"/>
        <v>490594877.43999994</v>
      </c>
      <c r="AF69" s="33">
        <f t="shared" si="10"/>
        <v>463001599.89999998</v>
      </c>
      <c r="AG69" s="33">
        <f t="shared" si="10"/>
        <v>433864078.13999999</v>
      </c>
      <c r="AH69" s="33">
        <f t="shared" si="10"/>
        <v>393989256.98000002</v>
      </c>
      <c r="AI69" s="33">
        <f t="shared" si="10"/>
        <v>343620588.91999996</v>
      </c>
      <c r="AJ69" s="33">
        <f t="shared" si="10"/>
        <v>285715206.38</v>
      </c>
      <c r="AK69" s="33">
        <f t="shared" si="10"/>
        <v>259360725.84999996</v>
      </c>
      <c r="AL69" s="33">
        <f t="shared" si="10"/>
        <v>264706422.13</v>
      </c>
      <c r="AM69" s="33">
        <f t="shared" si="10"/>
        <v>228823636.10000002</v>
      </c>
      <c r="AN69" s="33">
        <f t="shared" si="10"/>
        <v>222241781.55000001</v>
      </c>
      <c r="AO69" s="33">
        <f t="shared" si="10"/>
        <v>167784886.11000001</v>
      </c>
      <c r="AP69" s="33">
        <f t="shared" si="10"/>
        <v>128025667.49999999</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12347514039.49</v>
      </c>
      <c r="C70" s="37">
        <f t="shared" ref="C70:BN70" si="12">C17+C19+C69</f>
        <v>12025332334.619999</v>
      </c>
      <c r="D70" s="37">
        <f t="shared" si="12"/>
        <v>11968214800.709999</v>
      </c>
      <c r="E70" s="37">
        <f t="shared" si="12"/>
        <v>11859221905.069998</v>
      </c>
      <c r="F70" s="37">
        <f t="shared" si="12"/>
        <v>10474296813.709999</v>
      </c>
      <c r="G70" s="37">
        <f t="shared" si="12"/>
        <v>10205740827.91</v>
      </c>
      <c r="H70" s="37">
        <f t="shared" si="12"/>
        <v>7602401160.4699993</v>
      </c>
      <c r="I70" s="37">
        <f t="shared" si="12"/>
        <v>6360901738.7600002</v>
      </c>
      <c r="J70" s="37">
        <f t="shared" si="12"/>
        <v>5490304602.6599998</v>
      </c>
      <c r="K70" s="37">
        <f t="shared" si="12"/>
        <v>5214553043.3100004</v>
      </c>
      <c r="L70" s="37">
        <f t="shared" si="12"/>
        <v>6323269627.5200005</v>
      </c>
      <c r="M70" s="37">
        <f t="shared" si="12"/>
        <v>6540507242.1600008</v>
      </c>
      <c r="N70" s="37">
        <f t="shared" si="12"/>
        <v>1183926876.5799999</v>
      </c>
      <c r="O70" s="37">
        <f t="shared" si="12"/>
        <v>1120730200.7000003</v>
      </c>
      <c r="P70" s="37">
        <f t="shared" si="12"/>
        <v>1057668850.3299999</v>
      </c>
      <c r="Q70" s="37">
        <f t="shared" si="12"/>
        <v>663016824.98000002</v>
      </c>
      <c r="R70" s="37">
        <f t="shared" si="12"/>
        <v>559044815.99000001</v>
      </c>
      <c r="S70" s="37">
        <f t="shared" si="12"/>
        <v>761945326.73999989</v>
      </c>
      <c r="T70" s="37">
        <f t="shared" si="12"/>
        <v>835767792.12</v>
      </c>
      <c r="U70" s="37">
        <f t="shared" si="12"/>
        <v>887841879.63999999</v>
      </c>
      <c r="V70" s="37">
        <f t="shared" si="12"/>
        <v>893173065.54000008</v>
      </c>
      <c r="W70" s="37">
        <f t="shared" si="12"/>
        <v>887249661.63000011</v>
      </c>
      <c r="X70" s="37">
        <f t="shared" si="12"/>
        <v>832374145.09000003</v>
      </c>
      <c r="Y70" s="37">
        <f t="shared" si="12"/>
        <v>812665160.24000001</v>
      </c>
      <c r="Z70" s="37">
        <f t="shared" si="12"/>
        <v>786351642.19000006</v>
      </c>
      <c r="AA70" s="37">
        <f t="shared" si="12"/>
        <v>829597427.67999983</v>
      </c>
      <c r="AB70" s="37">
        <f t="shared" si="12"/>
        <v>797886855.53999996</v>
      </c>
      <c r="AC70" s="37">
        <f t="shared" si="12"/>
        <v>780688873.28999996</v>
      </c>
      <c r="AD70" s="37">
        <f t="shared" si="12"/>
        <v>755293072.25999999</v>
      </c>
      <c r="AE70" s="37">
        <f t="shared" si="12"/>
        <v>681895244.27999997</v>
      </c>
      <c r="AF70" s="37">
        <f t="shared" si="12"/>
        <v>641817196.45000005</v>
      </c>
      <c r="AG70" s="37">
        <f t="shared" si="12"/>
        <v>639472932</v>
      </c>
      <c r="AH70" s="37">
        <f t="shared" si="12"/>
        <v>607458814.74000001</v>
      </c>
      <c r="AI70" s="37">
        <f t="shared" si="12"/>
        <v>581967203.16999996</v>
      </c>
      <c r="AJ70" s="37">
        <f t="shared" si="12"/>
        <v>545969587.20000005</v>
      </c>
      <c r="AK70" s="37">
        <f t="shared" si="12"/>
        <v>285745411.30999994</v>
      </c>
      <c r="AL70" s="37">
        <f t="shared" si="12"/>
        <v>267908962.03</v>
      </c>
      <c r="AM70" s="37">
        <f t="shared" si="12"/>
        <v>248186537.43000001</v>
      </c>
      <c r="AN70" s="37">
        <f t="shared" si="12"/>
        <v>231144409.21000001</v>
      </c>
      <c r="AO70" s="37">
        <f t="shared" si="12"/>
        <v>187209617.44</v>
      </c>
      <c r="AP70" s="37">
        <f t="shared" si="12"/>
        <v>130334103.45999998</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803642814.64999998</v>
      </c>
      <c r="F72" s="28">
        <f t="shared" ref="F72:BQ72" si="14">SUM(F73:F77)</f>
        <v>618024872.11000001</v>
      </c>
      <c r="G72" s="28">
        <f t="shared" si="14"/>
        <v>447481928.99000001</v>
      </c>
      <c r="H72" s="28">
        <f t="shared" si="14"/>
        <v>139877727.09</v>
      </c>
      <c r="I72" s="28">
        <f t="shared" si="14"/>
        <v>61312017.850000001</v>
      </c>
      <c r="J72" s="28">
        <f t="shared" si="14"/>
        <v>210040273.97</v>
      </c>
      <c r="K72" s="28">
        <f t="shared" si="14"/>
        <v>213699255.71000001</v>
      </c>
      <c r="L72" s="28">
        <f t="shared" si="14"/>
        <v>43103633.119999997</v>
      </c>
      <c r="M72" s="28">
        <f t="shared" si="14"/>
        <v>318573860.86000001</v>
      </c>
      <c r="N72" s="28">
        <f t="shared" si="14"/>
        <v>305800000</v>
      </c>
      <c r="O72" s="28">
        <f t="shared" si="14"/>
        <v>341800000</v>
      </c>
      <c r="P72" s="28">
        <f t="shared" si="14"/>
        <v>323800000</v>
      </c>
      <c r="Q72" s="28">
        <f t="shared" si="14"/>
        <v>0</v>
      </c>
      <c r="R72" s="28">
        <f t="shared" si="14"/>
        <v>0</v>
      </c>
      <c r="S72" s="28">
        <f t="shared" si="14"/>
        <v>299255639.31</v>
      </c>
      <c r="T72" s="28">
        <f t="shared" si="14"/>
        <v>366249108.42000002</v>
      </c>
      <c r="U72" s="28">
        <f t="shared" si="14"/>
        <v>416599846.75999999</v>
      </c>
      <c r="V72" s="28">
        <f t="shared" si="14"/>
        <v>421477333.39999998</v>
      </c>
      <c r="W72" s="28">
        <f t="shared" si="14"/>
        <v>414446558.33999997</v>
      </c>
      <c r="X72" s="28">
        <f t="shared" si="14"/>
        <v>371294691.39999998</v>
      </c>
      <c r="Y72" s="28">
        <f t="shared" si="14"/>
        <v>351564114.06999999</v>
      </c>
      <c r="Z72" s="28">
        <f t="shared" si="14"/>
        <v>325800000</v>
      </c>
      <c r="AA72" s="28">
        <f t="shared" si="14"/>
        <v>330941716.93000001</v>
      </c>
      <c r="AB72" s="28">
        <f t="shared" si="14"/>
        <v>310800000</v>
      </c>
      <c r="AC72" s="28">
        <f t="shared" si="14"/>
        <v>296423773.13</v>
      </c>
      <c r="AD72" s="28">
        <f t="shared" si="14"/>
        <v>285774600</v>
      </c>
      <c r="AE72" s="28">
        <f t="shared" si="14"/>
        <v>219474600</v>
      </c>
      <c r="AF72" s="28">
        <f t="shared" si="14"/>
        <v>185927868.88999999</v>
      </c>
      <c r="AG72" s="28">
        <f t="shared" si="14"/>
        <v>186047257.78</v>
      </c>
      <c r="AH72" s="28">
        <f t="shared" si="14"/>
        <v>158800000</v>
      </c>
      <c r="AI72" s="28">
        <f t="shared" si="14"/>
        <v>139879685</v>
      </c>
      <c r="AJ72" s="28">
        <f t="shared" si="14"/>
        <v>109879685</v>
      </c>
      <c r="AK72" s="28">
        <f t="shared" si="14"/>
        <v>109992080</v>
      </c>
      <c r="AL72" s="28">
        <f t="shared" si="14"/>
        <v>99732802.219999999</v>
      </c>
      <c r="AM72" s="28">
        <f t="shared" si="14"/>
        <v>87732802.219999999</v>
      </c>
      <c r="AN72" s="28">
        <f t="shared" si="14"/>
        <v>79180480</v>
      </c>
      <c r="AO72" s="28">
        <f t="shared" si="14"/>
        <v>74000000</v>
      </c>
      <c r="AP72" s="28">
        <f t="shared" si="14"/>
        <v>41700000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89">
        <v>657500000</v>
      </c>
      <c r="C73" s="189">
        <v>677500000</v>
      </c>
      <c r="D73" s="189">
        <v>668250000</v>
      </c>
      <c r="E73" s="189">
        <v>726250000</v>
      </c>
      <c r="F73" s="189">
        <v>562750000</v>
      </c>
      <c r="G73" s="189">
        <v>412000000</v>
      </c>
      <c r="H73" s="189">
        <v>112000000</v>
      </c>
      <c r="I73" s="189">
        <v>61000000</v>
      </c>
      <c r="J73" s="189">
        <v>205000000</v>
      </c>
      <c r="K73" s="189">
        <v>210800000</v>
      </c>
      <c r="L73" s="189">
        <v>42800000</v>
      </c>
      <c r="M73" s="189">
        <v>317800000</v>
      </c>
      <c r="N73" s="189">
        <v>305800000</v>
      </c>
      <c r="O73" s="189">
        <v>341800000</v>
      </c>
      <c r="P73" s="189">
        <v>323800000</v>
      </c>
      <c r="Q73" s="189">
        <v>0</v>
      </c>
      <c r="R73" s="189">
        <v>0</v>
      </c>
      <c r="S73" s="189">
        <v>299180919</v>
      </c>
      <c r="T73" s="189">
        <v>366177520</v>
      </c>
      <c r="U73" s="189">
        <v>415677520</v>
      </c>
      <c r="V73" s="189">
        <v>420864000</v>
      </c>
      <c r="W73" s="189">
        <v>412864000</v>
      </c>
      <c r="X73" s="189">
        <v>370828400</v>
      </c>
      <c r="Y73" s="189">
        <v>350828400</v>
      </c>
      <c r="Z73" s="189">
        <v>325800000</v>
      </c>
      <c r="AA73" s="189">
        <v>330000000</v>
      </c>
      <c r="AB73" s="189">
        <v>310800000</v>
      </c>
      <c r="AC73" s="189">
        <v>295800000</v>
      </c>
      <c r="AD73" s="189">
        <v>285774600</v>
      </c>
      <c r="AE73" s="189">
        <v>219474600</v>
      </c>
      <c r="AF73" s="189">
        <v>185800000</v>
      </c>
      <c r="AG73" s="189">
        <v>185800000</v>
      </c>
      <c r="AH73" s="189">
        <v>158800000</v>
      </c>
      <c r="AI73" s="189">
        <v>139800000</v>
      </c>
      <c r="AJ73" s="189">
        <v>109800000</v>
      </c>
      <c r="AK73" s="189">
        <v>109800000</v>
      </c>
      <c r="AL73" s="189">
        <v>99000000</v>
      </c>
      <c r="AM73" s="189">
        <v>87000000</v>
      </c>
      <c r="AN73" s="189">
        <v>79000000</v>
      </c>
      <c r="AO73" s="189">
        <v>74000000</v>
      </c>
      <c r="AP73" s="189">
        <v>41700000</v>
      </c>
      <c r="AQ73" s="189">
        <v>0</v>
      </c>
      <c r="AR73" s="189"/>
      <c r="AS73" s="189"/>
      <c r="AT73" s="189"/>
      <c r="AU73" s="189"/>
      <c r="AV73" s="189"/>
      <c r="AW73" s="189"/>
      <c r="AX73" s="189"/>
      <c r="AY73" s="189"/>
      <c r="AZ73" s="189"/>
      <c r="BA73" s="189"/>
      <c r="BB73" s="189"/>
      <c r="BC73" s="189"/>
      <c r="BD73" s="189"/>
      <c r="BE73" s="189"/>
      <c r="BF73" s="189"/>
      <c r="BG73" s="189"/>
      <c r="BH73" s="189"/>
      <c r="BI73" s="189"/>
      <c r="BJ73" s="189"/>
      <c r="BK73" s="189"/>
      <c r="BL73" s="189"/>
      <c r="BM73" s="189"/>
      <c r="BN73" s="189"/>
      <c r="BO73" s="189"/>
      <c r="BP73" s="189"/>
      <c r="BQ73" s="189"/>
      <c r="BR73" s="189"/>
      <c r="BS73" s="189"/>
      <c r="BT73" s="189"/>
      <c r="BU73" s="189"/>
      <c r="BV73" s="189"/>
      <c r="BW73" s="189"/>
      <c r="BX73" s="189"/>
      <c r="BY73" s="189"/>
      <c r="BZ73" s="189"/>
      <c r="CA73" s="189"/>
      <c r="CB73" s="189"/>
      <c r="CC73" s="189"/>
      <c r="CD73" s="189"/>
      <c r="CE73" s="189"/>
      <c r="CF73" s="189"/>
      <c r="CG73" s="189"/>
      <c r="CH73" s="189"/>
      <c r="CI73" s="189"/>
      <c r="CJ73" s="189"/>
      <c r="CK73" s="189"/>
      <c r="CL73" s="189"/>
    </row>
    <row r="74" spans="1:90" x14ac:dyDescent="0.25">
      <c r="A74" s="128" t="s">
        <v>77</v>
      </c>
      <c r="B74" s="189">
        <v>0</v>
      </c>
      <c r="C74" s="189">
        <v>43251054.039999999</v>
      </c>
      <c r="D74" s="189">
        <v>24913678.149999999</v>
      </c>
      <c r="E74" s="189">
        <v>77392814.650000006</v>
      </c>
      <c r="F74" s="189">
        <v>55274872.109999999</v>
      </c>
      <c r="G74" s="189">
        <v>35481928.990000002</v>
      </c>
      <c r="H74" s="189">
        <v>27877727.09</v>
      </c>
      <c r="I74" s="189">
        <v>312017.84999999998</v>
      </c>
      <c r="J74" s="189">
        <v>5040273.97</v>
      </c>
      <c r="K74" s="189">
        <v>2899255.71</v>
      </c>
      <c r="L74" s="189">
        <v>303633.12</v>
      </c>
      <c r="M74" s="189">
        <v>773860.86</v>
      </c>
      <c r="N74" s="189">
        <v>0</v>
      </c>
      <c r="O74" s="189">
        <v>0</v>
      </c>
      <c r="P74" s="189">
        <v>0</v>
      </c>
      <c r="Q74" s="189">
        <v>0</v>
      </c>
      <c r="R74" s="189">
        <v>0</v>
      </c>
      <c r="S74" s="189">
        <v>74720.31</v>
      </c>
      <c r="T74" s="189">
        <v>71588.42</v>
      </c>
      <c r="U74" s="189">
        <v>922326.76</v>
      </c>
      <c r="V74" s="189">
        <v>613333.4</v>
      </c>
      <c r="W74" s="189">
        <v>1582558.34</v>
      </c>
      <c r="X74" s="189">
        <v>466291.4</v>
      </c>
      <c r="Y74" s="189">
        <v>735714.07</v>
      </c>
      <c r="Z74" s="189">
        <v>0</v>
      </c>
      <c r="AA74" s="189">
        <v>941716.93</v>
      </c>
      <c r="AB74" s="189">
        <v>0</v>
      </c>
      <c r="AC74" s="189">
        <v>623773.13</v>
      </c>
      <c r="AD74" s="189">
        <v>0</v>
      </c>
      <c r="AE74" s="189">
        <v>0</v>
      </c>
      <c r="AF74" s="189">
        <v>127868.89</v>
      </c>
      <c r="AG74" s="189">
        <v>247257.78</v>
      </c>
      <c r="AH74" s="189">
        <v>0</v>
      </c>
      <c r="AI74" s="189">
        <v>79685</v>
      </c>
      <c r="AJ74" s="189">
        <v>79685</v>
      </c>
      <c r="AK74" s="189">
        <v>192080</v>
      </c>
      <c r="AL74" s="189">
        <v>732802.22</v>
      </c>
      <c r="AM74" s="189">
        <v>732802.22</v>
      </c>
      <c r="AN74" s="189">
        <v>180480</v>
      </c>
      <c r="AO74" s="189">
        <v>0</v>
      </c>
      <c r="AP74" s="189">
        <v>0</v>
      </c>
      <c r="AQ74" s="189">
        <v>0</v>
      </c>
      <c r="AR74" s="189"/>
      <c r="AS74" s="189"/>
      <c r="AT74" s="189"/>
      <c r="AU74" s="189"/>
      <c r="AV74" s="189"/>
      <c r="AW74" s="189"/>
      <c r="AX74" s="189"/>
      <c r="AY74" s="189"/>
      <c r="AZ74" s="189"/>
      <c r="BA74" s="189"/>
      <c r="BB74" s="189"/>
      <c r="BC74" s="189"/>
      <c r="BD74" s="189"/>
      <c r="BE74" s="189"/>
      <c r="BF74" s="189"/>
      <c r="BG74" s="189"/>
      <c r="BH74" s="189"/>
      <c r="BI74" s="189"/>
      <c r="BJ74" s="189"/>
      <c r="BK74" s="189"/>
      <c r="BL74" s="189"/>
      <c r="BM74" s="189"/>
      <c r="BN74" s="189"/>
      <c r="BO74" s="189"/>
      <c r="BP74" s="189"/>
      <c r="BQ74" s="189"/>
      <c r="BR74" s="189"/>
      <c r="BS74" s="189"/>
      <c r="BT74" s="189"/>
      <c r="BU74" s="189"/>
      <c r="BV74" s="189"/>
      <c r="BW74" s="189"/>
      <c r="BX74" s="189"/>
      <c r="BY74" s="189"/>
      <c r="BZ74" s="189"/>
      <c r="CA74" s="189"/>
      <c r="CB74" s="189"/>
      <c r="CC74" s="189"/>
      <c r="CD74" s="189"/>
      <c r="CE74" s="189"/>
      <c r="CF74" s="189"/>
      <c r="CG74" s="189"/>
      <c r="CH74" s="189"/>
      <c r="CI74" s="189"/>
      <c r="CJ74" s="189"/>
      <c r="CK74" s="189"/>
      <c r="CL74" s="189"/>
    </row>
    <row r="75" spans="1:90" x14ac:dyDescent="0.25">
      <c r="A75" s="128" t="s">
        <v>53</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c r="AS75" s="189"/>
      <c r="AT75" s="189"/>
      <c r="AU75" s="189"/>
      <c r="AV75" s="189"/>
      <c r="AW75" s="189"/>
      <c r="AX75" s="189"/>
      <c r="AY75" s="189"/>
      <c r="AZ75" s="189"/>
      <c r="BA75" s="189"/>
      <c r="BB75" s="189"/>
      <c r="BC75" s="189"/>
      <c r="BD75" s="189"/>
      <c r="BE75" s="189"/>
      <c r="BF75" s="189"/>
      <c r="BG75" s="189"/>
      <c r="BH75" s="189"/>
      <c r="BI75" s="189"/>
      <c r="BJ75" s="189"/>
      <c r="BK75" s="189"/>
      <c r="BL75" s="189"/>
      <c r="BM75" s="189"/>
      <c r="BN75" s="189"/>
      <c r="BO75" s="189"/>
      <c r="BP75" s="189"/>
      <c r="BQ75" s="189"/>
      <c r="BR75" s="189"/>
      <c r="BS75" s="189"/>
      <c r="BT75" s="189"/>
      <c r="BU75" s="189"/>
      <c r="BV75" s="189"/>
      <c r="BW75" s="189"/>
      <c r="BX75" s="189"/>
      <c r="BY75" s="189"/>
      <c r="BZ75" s="189"/>
      <c r="CA75" s="189"/>
      <c r="CB75" s="189"/>
      <c r="CC75" s="189"/>
      <c r="CD75" s="189"/>
      <c r="CE75" s="189"/>
      <c r="CF75" s="189"/>
      <c r="CG75" s="189"/>
      <c r="CH75" s="189"/>
      <c r="CI75" s="189"/>
      <c r="CJ75" s="189"/>
      <c r="CK75" s="189"/>
      <c r="CL75" s="189"/>
    </row>
    <row r="76" spans="1:90" x14ac:dyDescent="0.25">
      <c r="A76" s="128" t="s">
        <v>54</v>
      </c>
      <c r="B76" s="189">
        <v>0</v>
      </c>
      <c r="C76" s="189">
        <v>0</v>
      </c>
      <c r="D76" s="189">
        <v>149970601</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c r="AS76" s="189"/>
      <c r="AT76" s="189"/>
      <c r="AU76" s="189"/>
      <c r="AV76" s="189"/>
      <c r="AW76" s="189"/>
      <c r="AX76" s="189"/>
      <c r="AY76" s="189"/>
      <c r="AZ76" s="189"/>
      <c r="BA76" s="189"/>
      <c r="BB76" s="189"/>
      <c r="BC76" s="189"/>
      <c r="BD76" s="189"/>
      <c r="BE76" s="189"/>
      <c r="BF76" s="189"/>
      <c r="BG76" s="189"/>
      <c r="BH76" s="189"/>
      <c r="BI76" s="189"/>
      <c r="BJ76" s="189"/>
      <c r="BK76" s="189"/>
      <c r="BL76" s="189"/>
      <c r="BM76" s="189"/>
      <c r="BN76" s="189"/>
      <c r="BO76" s="189"/>
      <c r="BP76" s="189"/>
      <c r="BQ76" s="189"/>
      <c r="BR76" s="189"/>
      <c r="BS76" s="189"/>
      <c r="BT76" s="189"/>
      <c r="BU76" s="189"/>
      <c r="BV76" s="189"/>
      <c r="BW76" s="189"/>
      <c r="BX76" s="189"/>
      <c r="BY76" s="189"/>
      <c r="BZ76" s="189"/>
      <c r="CA76" s="189"/>
      <c r="CB76" s="189"/>
      <c r="CC76" s="189"/>
      <c r="CD76" s="189"/>
      <c r="CE76" s="189"/>
      <c r="CF76" s="189"/>
      <c r="CG76" s="189"/>
      <c r="CH76" s="189"/>
      <c r="CI76" s="189"/>
      <c r="CJ76" s="189"/>
      <c r="CK76" s="189"/>
      <c r="CL76" s="189"/>
    </row>
    <row r="77" spans="1:90" x14ac:dyDescent="0.25">
      <c r="A77" s="128" t="s">
        <v>55</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c r="AS77" s="189"/>
      <c r="AT77" s="189"/>
      <c r="AU77" s="189"/>
      <c r="AV77" s="189"/>
      <c r="AW77" s="189"/>
      <c r="AX77" s="189"/>
      <c r="AY77" s="189"/>
      <c r="AZ77" s="189"/>
      <c r="BA77" s="189"/>
      <c r="BB77" s="189"/>
      <c r="BC77" s="189"/>
      <c r="BD77" s="189"/>
      <c r="BE77" s="189"/>
      <c r="BF77" s="189"/>
      <c r="BG77" s="189"/>
      <c r="BH77" s="189"/>
      <c r="BI77" s="189"/>
      <c r="BJ77" s="189"/>
      <c r="BK77" s="189"/>
      <c r="BL77" s="189"/>
      <c r="BM77" s="189"/>
      <c r="BN77" s="189"/>
      <c r="BO77" s="189"/>
      <c r="BP77" s="189"/>
      <c r="BQ77" s="189"/>
      <c r="BR77" s="189"/>
      <c r="BS77" s="189"/>
      <c r="BT77" s="189"/>
      <c r="BU77" s="189"/>
      <c r="BV77" s="189"/>
      <c r="BW77" s="189"/>
      <c r="BX77" s="189"/>
      <c r="BY77" s="189"/>
      <c r="BZ77" s="189"/>
      <c r="CA77" s="189"/>
      <c r="CB77" s="189"/>
      <c r="CC77" s="189"/>
      <c r="CD77" s="189"/>
      <c r="CE77" s="189"/>
      <c r="CF77" s="189"/>
      <c r="CG77" s="189"/>
      <c r="CH77" s="189"/>
      <c r="CI77" s="189"/>
      <c r="CJ77" s="189"/>
      <c r="CK77" s="189"/>
      <c r="CL77" s="189"/>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1483708356.1799998</v>
      </c>
      <c r="F81" s="28">
        <f t="shared" ref="F81:BQ81" si="16">SUM(F82:F85)</f>
        <v>1482473287.6799998</v>
      </c>
      <c r="G81" s="28">
        <f t="shared" si="16"/>
        <v>1481238219.1799998</v>
      </c>
      <c r="H81" s="28">
        <f t="shared" si="16"/>
        <v>1480016575.3400002</v>
      </c>
      <c r="I81" s="28">
        <f t="shared" si="16"/>
        <v>590637400</v>
      </c>
      <c r="J81" s="28">
        <f t="shared" si="16"/>
        <v>104539400</v>
      </c>
      <c r="K81" s="28">
        <f t="shared" si="16"/>
        <v>104539400</v>
      </c>
      <c r="L81" s="28">
        <f t="shared" si="16"/>
        <v>1348168033.77</v>
      </c>
      <c r="M81" s="28">
        <f t="shared" si="16"/>
        <v>1252890975.3299999</v>
      </c>
      <c r="N81" s="28">
        <f t="shared" si="16"/>
        <v>0</v>
      </c>
      <c r="O81" s="28">
        <f t="shared" si="16"/>
        <v>0</v>
      </c>
      <c r="P81" s="28">
        <f t="shared" si="16"/>
        <v>0</v>
      </c>
      <c r="Q81" s="28">
        <f t="shared" si="16"/>
        <v>0</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6000000</v>
      </c>
      <c r="AM81" s="28">
        <f t="shared" si="16"/>
        <v>6000000</v>
      </c>
      <c r="AN81" s="28">
        <f t="shared" si="16"/>
        <v>6000000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89">
        <v>166666666.66</v>
      </c>
      <c r="C82" s="189">
        <v>183333333.33000001</v>
      </c>
      <c r="D82" s="189">
        <v>200000000</v>
      </c>
      <c r="E82" s="189">
        <v>0</v>
      </c>
      <c r="F82" s="189">
        <v>0</v>
      </c>
      <c r="G82" s="189">
        <v>0</v>
      </c>
      <c r="H82" s="189">
        <v>0</v>
      </c>
      <c r="I82" s="189">
        <v>99921400</v>
      </c>
      <c r="J82" s="189">
        <v>99921400</v>
      </c>
      <c r="K82" s="189">
        <v>99921400</v>
      </c>
      <c r="L82" s="189">
        <v>99895058.439999998</v>
      </c>
      <c r="M82" s="189">
        <v>0</v>
      </c>
      <c r="N82" s="189">
        <v>0</v>
      </c>
      <c r="O82" s="189">
        <v>0</v>
      </c>
      <c r="P82" s="189">
        <v>0</v>
      </c>
      <c r="Q82" s="189">
        <v>0</v>
      </c>
      <c r="R82" s="189">
        <v>0</v>
      </c>
      <c r="S82" s="189">
        <v>0</v>
      </c>
      <c r="T82" s="189">
        <v>0</v>
      </c>
      <c r="U82" s="189">
        <v>0</v>
      </c>
      <c r="V82" s="189">
        <v>0</v>
      </c>
      <c r="W82" s="189">
        <v>0</v>
      </c>
      <c r="X82" s="189">
        <v>0</v>
      </c>
      <c r="Y82" s="189">
        <v>0</v>
      </c>
      <c r="Z82" s="189">
        <v>0</v>
      </c>
      <c r="AA82" s="189">
        <v>0</v>
      </c>
      <c r="AB82" s="189">
        <v>0</v>
      </c>
      <c r="AC82" s="189">
        <v>0</v>
      </c>
      <c r="AD82" s="189">
        <v>0</v>
      </c>
      <c r="AE82" s="189">
        <v>0</v>
      </c>
      <c r="AF82" s="189">
        <v>0</v>
      </c>
      <c r="AG82" s="189">
        <v>0</v>
      </c>
      <c r="AH82" s="189">
        <v>0</v>
      </c>
      <c r="AI82" s="189">
        <v>0</v>
      </c>
      <c r="AJ82" s="189">
        <v>0</v>
      </c>
      <c r="AK82" s="189">
        <v>0</v>
      </c>
      <c r="AL82" s="189">
        <v>6000000</v>
      </c>
      <c r="AM82" s="189">
        <v>6000000</v>
      </c>
      <c r="AN82" s="189">
        <v>6000000</v>
      </c>
      <c r="AO82" s="189">
        <v>0</v>
      </c>
      <c r="AP82" s="189">
        <v>0</v>
      </c>
      <c r="AQ82" s="189">
        <v>0</v>
      </c>
      <c r="AR82" s="189"/>
      <c r="AS82" s="189"/>
      <c r="AT82" s="189"/>
      <c r="AU82" s="189"/>
      <c r="AV82" s="189"/>
      <c r="AW82" s="189"/>
      <c r="AX82" s="189"/>
      <c r="AY82" s="189"/>
      <c r="AZ82" s="189"/>
      <c r="BA82" s="189"/>
      <c r="BB82" s="189"/>
      <c r="BC82" s="189"/>
      <c r="BD82" s="189"/>
      <c r="BE82" s="189"/>
      <c r="BF82" s="189"/>
      <c r="BG82" s="189"/>
      <c r="BH82" s="189"/>
      <c r="BI82" s="189"/>
      <c r="BJ82" s="189"/>
      <c r="BK82" s="189"/>
      <c r="BL82" s="189"/>
      <c r="BM82" s="189"/>
      <c r="BN82" s="189"/>
      <c r="BO82" s="189"/>
      <c r="BP82" s="189"/>
      <c r="BQ82" s="189"/>
      <c r="BR82" s="189"/>
      <c r="BS82" s="189"/>
      <c r="BT82" s="189"/>
      <c r="BU82" s="189"/>
      <c r="BV82" s="189"/>
      <c r="BW82" s="189"/>
      <c r="BX82" s="189"/>
      <c r="BY82" s="189"/>
      <c r="BZ82" s="189"/>
      <c r="CA82" s="189"/>
      <c r="CB82" s="189"/>
      <c r="CC82" s="189"/>
      <c r="CD82" s="189"/>
      <c r="CE82" s="189"/>
      <c r="CF82" s="189"/>
      <c r="CG82" s="189"/>
      <c r="CH82" s="189"/>
      <c r="CI82" s="189"/>
      <c r="CJ82" s="189"/>
      <c r="CK82" s="189"/>
      <c r="CL82" s="189"/>
    </row>
    <row r="83" spans="1:90" x14ac:dyDescent="0.25">
      <c r="A83" s="128" t="s">
        <v>58</v>
      </c>
      <c r="B83" s="189">
        <v>996657287.70000005</v>
      </c>
      <c r="C83" s="189">
        <v>995422219.20000005</v>
      </c>
      <c r="D83" s="189">
        <v>994200575.37</v>
      </c>
      <c r="E83" s="189">
        <v>992992356.17999995</v>
      </c>
      <c r="F83" s="189">
        <v>991757287.67999995</v>
      </c>
      <c r="G83" s="189">
        <v>990522219.17999995</v>
      </c>
      <c r="H83" s="189">
        <v>989300575.34000003</v>
      </c>
      <c r="I83" s="189">
        <v>0</v>
      </c>
      <c r="J83" s="189">
        <v>0</v>
      </c>
      <c r="K83" s="189">
        <v>0</v>
      </c>
      <c r="L83" s="189">
        <v>0</v>
      </c>
      <c r="M83" s="189">
        <v>0</v>
      </c>
      <c r="N83" s="189">
        <v>0</v>
      </c>
      <c r="O83" s="189">
        <v>0</v>
      </c>
      <c r="P83" s="189">
        <v>0</v>
      </c>
      <c r="Q83" s="189">
        <v>0</v>
      </c>
      <c r="R83" s="189">
        <v>0</v>
      </c>
      <c r="S83" s="189">
        <v>0</v>
      </c>
      <c r="T83" s="189">
        <v>0</v>
      </c>
      <c r="U83" s="189">
        <v>0</v>
      </c>
      <c r="V83" s="189">
        <v>0</v>
      </c>
      <c r="W83" s="189">
        <v>0</v>
      </c>
      <c r="X83" s="189">
        <v>0</v>
      </c>
      <c r="Y83" s="189">
        <v>0</v>
      </c>
      <c r="Z83" s="189">
        <v>0</v>
      </c>
      <c r="AA83" s="189">
        <v>0</v>
      </c>
      <c r="AB83" s="189">
        <v>0</v>
      </c>
      <c r="AC83" s="189">
        <v>0</v>
      </c>
      <c r="AD83" s="189">
        <v>0</v>
      </c>
      <c r="AE83" s="189">
        <v>0</v>
      </c>
      <c r="AF83" s="189">
        <v>0</v>
      </c>
      <c r="AG83" s="189">
        <v>0</v>
      </c>
      <c r="AH83" s="189">
        <v>0</v>
      </c>
      <c r="AI83" s="189">
        <v>0</v>
      </c>
      <c r="AJ83" s="189">
        <v>0</v>
      </c>
      <c r="AK83" s="189">
        <v>0</v>
      </c>
      <c r="AL83" s="189">
        <v>0</v>
      </c>
      <c r="AM83" s="189">
        <v>0</v>
      </c>
      <c r="AN83" s="189">
        <v>0</v>
      </c>
      <c r="AO83" s="189">
        <v>0</v>
      </c>
      <c r="AP83" s="189">
        <v>0</v>
      </c>
      <c r="AQ83" s="189">
        <v>0</v>
      </c>
      <c r="AR83" s="189"/>
      <c r="AS83" s="189"/>
      <c r="AT83" s="189"/>
      <c r="AU83" s="189"/>
      <c r="AV83" s="189"/>
      <c r="AW83" s="189"/>
      <c r="AX83" s="189"/>
      <c r="AY83" s="189"/>
      <c r="AZ83" s="189"/>
      <c r="BA83" s="189"/>
      <c r="BB83" s="189"/>
      <c r="BC83" s="189"/>
      <c r="BD83" s="189"/>
      <c r="BE83" s="189"/>
      <c r="BF83" s="189"/>
      <c r="BG83" s="189"/>
      <c r="BH83" s="189"/>
      <c r="BI83" s="189"/>
      <c r="BJ83" s="189"/>
      <c r="BK83" s="189"/>
      <c r="BL83" s="189"/>
      <c r="BM83" s="189"/>
      <c r="BN83" s="189"/>
      <c r="BO83" s="189"/>
      <c r="BP83" s="189"/>
      <c r="BQ83" s="189"/>
      <c r="BR83" s="189"/>
      <c r="BS83" s="189"/>
      <c r="BT83" s="189"/>
      <c r="BU83" s="189"/>
      <c r="BV83" s="189"/>
      <c r="BW83" s="189"/>
      <c r="BX83" s="189"/>
      <c r="BY83" s="189"/>
      <c r="BZ83" s="189"/>
      <c r="CA83" s="189"/>
      <c r="CB83" s="189"/>
      <c r="CC83" s="189"/>
      <c r="CD83" s="189"/>
      <c r="CE83" s="189"/>
      <c r="CF83" s="189"/>
      <c r="CG83" s="189"/>
      <c r="CH83" s="189"/>
      <c r="CI83" s="189"/>
      <c r="CJ83" s="189"/>
      <c r="CK83" s="189"/>
      <c r="CL83" s="189"/>
    </row>
    <row r="84" spans="1:90" x14ac:dyDescent="0.25">
      <c r="A84" s="128" t="s">
        <v>59</v>
      </c>
      <c r="B84" s="189">
        <v>480716000</v>
      </c>
      <c r="C84" s="189">
        <v>480716000</v>
      </c>
      <c r="D84" s="189">
        <v>340745399</v>
      </c>
      <c r="E84" s="189">
        <v>490716000</v>
      </c>
      <c r="F84" s="189">
        <v>490716000</v>
      </c>
      <c r="G84" s="189">
        <v>490716000</v>
      </c>
      <c r="H84" s="189">
        <v>490716000</v>
      </c>
      <c r="I84" s="189">
        <v>490716000</v>
      </c>
      <c r="J84" s="189">
        <v>4618000</v>
      </c>
      <c r="K84" s="189">
        <v>4618000</v>
      </c>
      <c r="L84" s="189">
        <v>1248272975.3299999</v>
      </c>
      <c r="M84" s="189">
        <v>1252890975.3299999</v>
      </c>
      <c r="N84" s="189">
        <v>0</v>
      </c>
      <c r="O84" s="189">
        <v>0</v>
      </c>
      <c r="P84" s="189">
        <v>0</v>
      </c>
      <c r="Q84" s="189">
        <v>0</v>
      </c>
      <c r="R84" s="189">
        <v>0</v>
      </c>
      <c r="S84" s="189">
        <v>0</v>
      </c>
      <c r="T84" s="189">
        <v>0</v>
      </c>
      <c r="U84" s="189">
        <v>0</v>
      </c>
      <c r="V84" s="189">
        <v>0</v>
      </c>
      <c r="W84" s="189">
        <v>0</v>
      </c>
      <c r="X84" s="189">
        <v>0</v>
      </c>
      <c r="Y84" s="189">
        <v>0</v>
      </c>
      <c r="Z84" s="189">
        <v>0</v>
      </c>
      <c r="AA84" s="189">
        <v>0</v>
      </c>
      <c r="AB84" s="189">
        <v>0</v>
      </c>
      <c r="AC84" s="189">
        <v>0</v>
      </c>
      <c r="AD84" s="189">
        <v>0</v>
      </c>
      <c r="AE84" s="189">
        <v>0</v>
      </c>
      <c r="AF84" s="189">
        <v>0</v>
      </c>
      <c r="AG84" s="189">
        <v>0</v>
      </c>
      <c r="AH84" s="189">
        <v>0</v>
      </c>
      <c r="AI84" s="189">
        <v>0</v>
      </c>
      <c r="AJ84" s="189">
        <v>0</v>
      </c>
      <c r="AK84" s="189">
        <v>0</v>
      </c>
      <c r="AL84" s="189">
        <v>0</v>
      </c>
      <c r="AM84" s="189">
        <v>0</v>
      </c>
      <c r="AN84" s="189">
        <v>0</v>
      </c>
      <c r="AO84" s="189">
        <v>0</v>
      </c>
      <c r="AP84" s="189">
        <v>0</v>
      </c>
      <c r="AQ84" s="189">
        <v>0</v>
      </c>
      <c r="AR84" s="189"/>
      <c r="AS84" s="189"/>
      <c r="AT84" s="189"/>
      <c r="AU84" s="189"/>
      <c r="AV84" s="189"/>
      <c r="AW84" s="189"/>
      <c r="AX84" s="189"/>
      <c r="AY84" s="189"/>
      <c r="AZ84" s="189"/>
      <c r="BA84" s="189"/>
      <c r="BB84" s="189"/>
      <c r="BC84" s="189"/>
      <c r="BD84" s="189"/>
      <c r="BE84" s="189"/>
      <c r="BF84" s="189"/>
      <c r="BG84" s="189"/>
      <c r="BH84" s="189"/>
      <c r="BI84" s="189"/>
      <c r="BJ84" s="189"/>
      <c r="BK84" s="189"/>
      <c r="BL84" s="189"/>
      <c r="BM84" s="189"/>
      <c r="BN84" s="189"/>
      <c r="BO84" s="189"/>
      <c r="BP84" s="189"/>
      <c r="BQ84" s="189"/>
      <c r="BR84" s="189"/>
      <c r="BS84" s="189"/>
      <c r="BT84" s="189"/>
      <c r="BU84" s="189"/>
      <c r="BV84" s="189"/>
      <c r="BW84" s="189"/>
      <c r="BX84" s="189"/>
      <c r="BY84" s="189"/>
      <c r="BZ84" s="189"/>
      <c r="CA84" s="189"/>
      <c r="CB84" s="189"/>
      <c r="CC84" s="189"/>
      <c r="CD84" s="189"/>
      <c r="CE84" s="189"/>
      <c r="CF84" s="189"/>
      <c r="CG84" s="189"/>
      <c r="CH84" s="189"/>
      <c r="CI84" s="189"/>
      <c r="CJ84" s="189"/>
      <c r="CK84" s="189"/>
      <c r="CL84" s="189"/>
    </row>
    <row r="85" spans="1:90" x14ac:dyDescent="0.25">
      <c r="A85" s="128" t="s">
        <v>83</v>
      </c>
      <c r="B85" s="189">
        <v>0</v>
      </c>
      <c r="C85" s="189">
        <v>0</v>
      </c>
      <c r="D85" s="189">
        <v>0</v>
      </c>
      <c r="E85" s="189">
        <v>0</v>
      </c>
      <c r="F85" s="189">
        <v>0</v>
      </c>
      <c r="G85" s="189">
        <v>0</v>
      </c>
      <c r="H85" s="189">
        <v>0</v>
      </c>
      <c r="I85" s="189">
        <v>0</v>
      </c>
      <c r="J85" s="189">
        <v>0</v>
      </c>
      <c r="K85" s="189">
        <v>0</v>
      </c>
      <c r="L85" s="189">
        <v>0</v>
      </c>
      <c r="M85" s="189">
        <v>0</v>
      </c>
      <c r="N85" s="189">
        <v>0</v>
      </c>
      <c r="O85" s="189">
        <v>0</v>
      </c>
      <c r="P85" s="189">
        <v>0</v>
      </c>
      <c r="Q85" s="189">
        <v>0</v>
      </c>
      <c r="R85" s="189">
        <v>0</v>
      </c>
      <c r="S85" s="189">
        <v>0</v>
      </c>
      <c r="T85" s="189">
        <v>0</v>
      </c>
      <c r="U85" s="189">
        <v>0</v>
      </c>
      <c r="V85" s="189">
        <v>0</v>
      </c>
      <c r="W85" s="189">
        <v>0</v>
      </c>
      <c r="X85" s="189">
        <v>0</v>
      </c>
      <c r="Y85" s="189">
        <v>0</v>
      </c>
      <c r="Z85" s="189">
        <v>0</v>
      </c>
      <c r="AA85" s="189">
        <v>0</v>
      </c>
      <c r="AB85" s="189">
        <v>0</v>
      </c>
      <c r="AC85" s="189">
        <v>0</v>
      </c>
      <c r="AD85" s="189">
        <v>0</v>
      </c>
      <c r="AE85" s="189">
        <v>0</v>
      </c>
      <c r="AF85" s="189">
        <v>0</v>
      </c>
      <c r="AG85" s="189">
        <v>0</v>
      </c>
      <c r="AH85" s="189">
        <v>0</v>
      </c>
      <c r="AI85" s="189">
        <v>0</v>
      </c>
      <c r="AJ85" s="189">
        <v>0</v>
      </c>
      <c r="AK85" s="189">
        <v>0</v>
      </c>
      <c r="AL85" s="189">
        <v>0</v>
      </c>
      <c r="AM85" s="189">
        <v>0</v>
      </c>
      <c r="AN85" s="189">
        <v>0</v>
      </c>
      <c r="AO85" s="189">
        <v>0</v>
      </c>
      <c r="AP85" s="189">
        <v>0</v>
      </c>
      <c r="AQ85" s="189">
        <v>0</v>
      </c>
      <c r="AR85" s="189"/>
      <c r="AS85" s="189"/>
      <c r="AT85" s="189"/>
      <c r="AU85" s="189"/>
      <c r="AV85" s="189"/>
      <c r="AW85" s="189"/>
      <c r="AX85" s="189"/>
      <c r="AY85" s="189"/>
      <c r="AZ85" s="189"/>
      <c r="BA85" s="189"/>
      <c r="BB85" s="189"/>
      <c r="BC85" s="189"/>
      <c r="BD85" s="189"/>
      <c r="BE85" s="189"/>
      <c r="BF85" s="189"/>
      <c r="BG85" s="189"/>
      <c r="BH85" s="189"/>
      <c r="BI85" s="189"/>
      <c r="BJ85" s="189"/>
      <c r="BK85" s="189"/>
      <c r="BL85" s="189"/>
      <c r="BM85" s="189"/>
      <c r="BN85" s="189"/>
      <c r="BO85" s="189"/>
      <c r="BP85" s="189"/>
      <c r="BQ85" s="189"/>
      <c r="BR85" s="189"/>
      <c r="BS85" s="189"/>
      <c r="BT85" s="189"/>
      <c r="BU85" s="189"/>
      <c r="BV85" s="189"/>
      <c r="BW85" s="189"/>
      <c r="BX85" s="189"/>
      <c r="BY85" s="189"/>
      <c r="BZ85" s="189"/>
      <c r="CA85" s="189"/>
      <c r="CB85" s="189"/>
      <c r="CC85" s="189"/>
      <c r="CD85" s="189"/>
      <c r="CE85" s="189"/>
      <c r="CF85" s="189"/>
      <c r="CG85" s="189"/>
      <c r="CH85" s="189"/>
      <c r="CI85" s="189"/>
      <c r="CJ85" s="189"/>
      <c r="CK85" s="189"/>
      <c r="CL85" s="189"/>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2301539954.3600001</v>
      </c>
      <c r="C89" s="33">
        <f>SUM(C73:C85)</f>
        <v>2380222606.5700002</v>
      </c>
      <c r="D89" s="33">
        <f>SUM(D73:D85)</f>
        <v>2378080253.52</v>
      </c>
      <c r="E89" s="33">
        <f>E72+E81</f>
        <v>2287351170.8299999</v>
      </c>
      <c r="F89" s="33">
        <f t="shared" ref="F89:BQ89" si="18">F72+F81</f>
        <v>2100498159.79</v>
      </c>
      <c r="G89" s="33">
        <f t="shared" si="18"/>
        <v>1928720148.1699998</v>
      </c>
      <c r="H89" s="33">
        <f t="shared" si="18"/>
        <v>1619894302.4300001</v>
      </c>
      <c r="I89" s="33">
        <f t="shared" si="18"/>
        <v>651949417.85000002</v>
      </c>
      <c r="J89" s="33">
        <f t="shared" si="18"/>
        <v>314579673.97000003</v>
      </c>
      <c r="K89" s="33">
        <f t="shared" si="18"/>
        <v>318238655.71000004</v>
      </c>
      <c r="L89" s="33">
        <f t="shared" si="18"/>
        <v>1391271666.8899999</v>
      </c>
      <c r="M89" s="33">
        <f t="shared" si="18"/>
        <v>1571464836.1900001</v>
      </c>
      <c r="N89" s="33">
        <f t="shared" si="18"/>
        <v>305800000</v>
      </c>
      <c r="O89" s="33">
        <f t="shared" si="18"/>
        <v>341800000</v>
      </c>
      <c r="P89" s="33">
        <f t="shared" si="18"/>
        <v>323800000</v>
      </c>
      <c r="Q89" s="33">
        <f t="shared" si="18"/>
        <v>0</v>
      </c>
      <c r="R89" s="33">
        <f t="shared" si="18"/>
        <v>0</v>
      </c>
      <c r="S89" s="33">
        <f t="shared" si="18"/>
        <v>299255639.31</v>
      </c>
      <c r="T89" s="33">
        <f t="shared" si="18"/>
        <v>366249108.42000002</v>
      </c>
      <c r="U89" s="33">
        <f t="shared" si="18"/>
        <v>416599846.75999999</v>
      </c>
      <c r="V89" s="33">
        <f t="shared" si="18"/>
        <v>421477333.39999998</v>
      </c>
      <c r="W89" s="33">
        <f t="shared" si="18"/>
        <v>414446558.33999997</v>
      </c>
      <c r="X89" s="33">
        <f t="shared" si="18"/>
        <v>371294691.39999998</v>
      </c>
      <c r="Y89" s="33">
        <f t="shared" si="18"/>
        <v>351564114.06999999</v>
      </c>
      <c r="Z89" s="33">
        <f t="shared" si="18"/>
        <v>325800000</v>
      </c>
      <c r="AA89" s="33">
        <f t="shared" si="18"/>
        <v>330941716.93000001</v>
      </c>
      <c r="AB89" s="33">
        <f t="shared" si="18"/>
        <v>310800000</v>
      </c>
      <c r="AC89" s="33">
        <f t="shared" si="18"/>
        <v>296423773.13</v>
      </c>
      <c r="AD89" s="33">
        <f t="shared" si="18"/>
        <v>285774600</v>
      </c>
      <c r="AE89" s="33">
        <f t="shared" si="18"/>
        <v>219474600</v>
      </c>
      <c r="AF89" s="33">
        <f t="shared" si="18"/>
        <v>185927868.88999999</v>
      </c>
      <c r="AG89" s="33">
        <f t="shared" si="18"/>
        <v>186047257.78</v>
      </c>
      <c r="AH89" s="33">
        <f t="shared" si="18"/>
        <v>158800000</v>
      </c>
      <c r="AI89" s="33">
        <f t="shared" si="18"/>
        <v>139879685</v>
      </c>
      <c r="AJ89" s="33">
        <f t="shared" si="18"/>
        <v>109879685</v>
      </c>
      <c r="AK89" s="33">
        <f t="shared" si="18"/>
        <v>109992080</v>
      </c>
      <c r="AL89" s="33">
        <f t="shared" si="18"/>
        <v>105732802.22</v>
      </c>
      <c r="AM89" s="33">
        <f t="shared" si="18"/>
        <v>93732802.219999999</v>
      </c>
      <c r="AN89" s="33">
        <f t="shared" si="18"/>
        <v>85180480</v>
      </c>
      <c r="AO89" s="33">
        <f t="shared" si="18"/>
        <v>74000000</v>
      </c>
      <c r="AP89" s="33">
        <f t="shared" si="18"/>
        <v>41700000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9">
        <v>932142900</v>
      </c>
      <c r="C91" s="189">
        <v>936846900</v>
      </c>
      <c r="D91" s="189">
        <v>936846900</v>
      </c>
      <c r="E91" s="189">
        <v>936846900</v>
      </c>
      <c r="F91" s="189">
        <v>891866289</v>
      </c>
      <c r="G91" s="189">
        <v>898677407</v>
      </c>
      <c r="H91" s="189">
        <v>292086511</v>
      </c>
      <c r="I91" s="189">
        <v>292086511</v>
      </c>
      <c r="J91" s="189">
        <v>292086511</v>
      </c>
      <c r="K91" s="189">
        <v>292086511</v>
      </c>
      <c r="L91" s="189">
        <v>292086511</v>
      </c>
      <c r="M91" s="189">
        <v>292086511</v>
      </c>
      <c r="N91" s="189">
        <v>222928707</v>
      </c>
      <c r="O91" s="189">
        <v>222928707</v>
      </c>
      <c r="P91" s="189">
        <v>222928707</v>
      </c>
      <c r="Q91" s="189">
        <v>222928707</v>
      </c>
      <c r="R91" s="189">
        <v>222928707</v>
      </c>
      <c r="S91" s="189">
        <v>93500000</v>
      </c>
      <c r="T91" s="189">
        <v>93500000</v>
      </c>
      <c r="U91" s="189">
        <v>93500000</v>
      </c>
      <c r="V91" s="189">
        <v>93500000</v>
      </c>
      <c r="W91" s="189">
        <v>93500000</v>
      </c>
      <c r="X91" s="189">
        <v>93500000</v>
      </c>
      <c r="Y91" s="189">
        <v>93500000</v>
      </c>
      <c r="Z91" s="189">
        <v>93500000</v>
      </c>
      <c r="AA91" s="189">
        <v>93500000</v>
      </c>
      <c r="AB91" s="189">
        <v>93500000</v>
      </c>
      <c r="AC91" s="189">
        <v>93500000</v>
      </c>
      <c r="AD91" s="189">
        <v>93500000</v>
      </c>
      <c r="AE91" s="189">
        <v>93500000</v>
      </c>
      <c r="AF91" s="189">
        <v>93500000</v>
      </c>
      <c r="AG91" s="189">
        <v>93500000</v>
      </c>
      <c r="AH91" s="189">
        <v>93500000</v>
      </c>
      <c r="AI91" s="189">
        <v>93500000</v>
      </c>
      <c r="AJ91" s="189">
        <v>93500000</v>
      </c>
      <c r="AK91" s="189">
        <v>70000000</v>
      </c>
      <c r="AL91" s="189">
        <v>70000000</v>
      </c>
      <c r="AM91" s="189">
        <v>70000000</v>
      </c>
      <c r="AN91" s="189">
        <v>70000000</v>
      </c>
      <c r="AO91" s="189">
        <v>70000000</v>
      </c>
      <c r="AP91" s="189">
        <v>70000000</v>
      </c>
      <c r="AQ91" s="189">
        <v>0</v>
      </c>
      <c r="AR91" s="189"/>
      <c r="AS91" s="189"/>
      <c r="AT91" s="189"/>
      <c r="AU91" s="189"/>
      <c r="AV91" s="189"/>
      <c r="AW91" s="189"/>
      <c r="AX91" s="189"/>
      <c r="AY91" s="189"/>
      <c r="AZ91" s="189"/>
      <c r="BA91" s="189"/>
      <c r="BB91" s="189"/>
      <c r="BC91" s="189"/>
      <c r="BD91" s="189"/>
      <c r="BE91" s="189"/>
      <c r="BF91" s="189"/>
      <c r="BG91" s="189"/>
      <c r="BH91" s="189"/>
      <c r="BI91" s="189"/>
      <c r="BJ91" s="189"/>
      <c r="BK91" s="189"/>
      <c r="BL91" s="189"/>
      <c r="BM91" s="189"/>
      <c r="BN91" s="189"/>
      <c r="BO91" s="189"/>
      <c r="BP91" s="189"/>
      <c r="BQ91" s="189"/>
      <c r="BR91" s="189"/>
      <c r="BS91" s="189"/>
      <c r="BT91" s="189"/>
      <c r="BU91" s="189"/>
      <c r="BV91" s="189"/>
      <c r="BW91" s="189"/>
      <c r="BX91" s="189"/>
      <c r="BY91" s="189"/>
      <c r="BZ91" s="189"/>
      <c r="CA91" s="189"/>
      <c r="CB91" s="189"/>
      <c r="CC91" s="189"/>
      <c r="CD91" s="189"/>
      <c r="CE91" s="189"/>
      <c r="CF91" s="189"/>
      <c r="CG91" s="189"/>
      <c r="CH91" s="189"/>
      <c r="CI91" s="189"/>
      <c r="CJ91" s="189"/>
      <c r="CK91" s="189"/>
      <c r="CL91" s="189"/>
    </row>
    <row r="92" spans="1:90" x14ac:dyDescent="0.25">
      <c r="A92" s="128" t="s">
        <v>63</v>
      </c>
      <c r="B92" s="189">
        <v>5881557990.7700005</v>
      </c>
      <c r="C92" s="189">
        <v>5959798062.6199999</v>
      </c>
      <c r="D92" s="189">
        <v>5959488659.3699999</v>
      </c>
      <c r="E92" s="189">
        <v>5959179262.3999996</v>
      </c>
      <c r="F92" s="189">
        <v>4983995171.3299999</v>
      </c>
      <c r="G92" s="189">
        <v>5039040238.3400002</v>
      </c>
      <c r="H92" s="189">
        <v>3557813962.5100002</v>
      </c>
      <c r="I92" s="189">
        <v>3557240569.0500002</v>
      </c>
      <c r="J92" s="189">
        <v>3685443149.5900002</v>
      </c>
      <c r="K92" s="189">
        <v>3666047628.75</v>
      </c>
      <c r="L92" s="189">
        <v>3631979453.0500002</v>
      </c>
      <c r="M92" s="189">
        <v>3631979453.0500002</v>
      </c>
      <c r="N92" s="189">
        <v>-213966104.78999999</v>
      </c>
      <c r="O92" s="189">
        <v>-213966104.78999999</v>
      </c>
      <c r="P92" s="189">
        <v>-214764979.80000001</v>
      </c>
      <c r="Q92" s="189">
        <v>-213966104.78999999</v>
      </c>
      <c r="R92" s="189">
        <v>-67937682.989999995</v>
      </c>
      <c r="S92" s="189">
        <v>228874489.06999999</v>
      </c>
      <c r="T92" s="189">
        <v>228874489.06999999</v>
      </c>
      <c r="U92" s="189">
        <v>228874489.06999999</v>
      </c>
      <c r="V92" s="189">
        <v>228874489.06999999</v>
      </c>
      <c r="W92" s="189">
        <v>228874489.06999999</v>
      </c>
      <c r="X92" s="189">
        <v>228874489.06999999</v>
      </c>
      <c r="Y92" s="189">
        <v>228874489.06999999</v>
      </c>
      <c r="Z92" s="189">
        <v>229454201.27000001</v>
      </c>
      <c r="AA92" s="189">
        <v>240574600</v>
      </c>
      <c r="AB92" s="189">
        <v>240574600</v>
      </c>
      <c r="AC92" s="189">
        <v>240574600</v>
      </c>
      <c r="AD92" s="189">
        <v>240574600</v>
      </c>
      <c r="AE92" s="189">
        <v>240574600</v>
      </c>
      <c r="AF92" s="189">
        <v>240574600</v>
      </c>
      <c r="AG92" s="189">
        <v>240574600</v>
      </c>
      <c r="AH92" s="189">
        <v>233076150</v>
      </c>
      <c r="AI92" s="189">
        <v>233076150</v>
      </c>
      <c r="AJ92" s="189">
        <v>233076150</v>
      </c>
      <c r="AK92" s="189">
        <v>0</v>
      </c>
      <c r="AL92" s="189">
        <v>0</v>
      </c>
      <c r="AM92" s="189">
        <v>0</v>
      </c>
      <c r="AN92" s="189">
        <v>0</v>
      </c>
      <c r="AO92" s="189">
        <v>0</v>
      </c>
      <c r="AP92" s="189">
        <v>0</v>
      </c>
      <c r="AQ92" s="189">
        <v>0</v>
      </c>
      <c r="AR92" s="189"/>
      <c r="AS92" s="189"/>
      <c r="AT92" s="189"/>
      <c r="AU92" s="189"/>
      <c r="AV92" s="189"/>
      <c r="AW92" s="189"/>
      <c r="AX92" s="189"/>
      <c r="AY92" s="189"/>
      <c r="AZ92" s="189"/>
      <c r="BA92" s="189"/>
      <c r="BB92" s="189"/>
      <c r="BC92" s="189"/>
      <c r="BD92" s="189"/>
      <c r="BE92" s="189"/>
      <c r="BF92" s="189"/>
      <c r="BG92" s="189"/>
      <c r="BH92" s="189"/>
      <c r="BI92" s="189"/>
      <c r="BJ92" s="189"/>
      <c r="BK92" s="189"/>
      <c r="BL92" s="189"/>
      <c r="BM92" s="189"/>
      <c r="BN92" s="189"/>
      <c r="BO92" s="189"/>
      <c r="BP92" s="189"/>
      <c r="BQ92" s="189"/>
      <c r="BR92" s="189"/>
      <c r="BS92" s="189"/>
      <c r="BT92" s="189"/>
      <c r="BU92" s="189"/>
      <c r="BV92" s="189"/>
      <c r="BW92" s="189"/>
      <c r="BX92" s="189"/>
      <c r="BY92" s="189"/>
      <c r="BZ92" s="189"/>
      <c r="CA92" s="189"/>
      <c r="CB92" s="189"/>
      <c r="CC92" s="189"/>
      <c r="CD92" s="189"/>
      <c r="CE92" s="189"/>
      <c r="CF92" s="189"/>
      <c r="CG92" s="189"/>
      <c r="CH92" s="189"/>
      <c r="CI92" s="189"/>
      <c r="CJ92" s="189"/>
      <c r="CK92" s="189"/>
      <c r="CL92" s="189"/>
    </row>
    <row r="93" spans="1:90" x14ac:dyDescent="0.25">
      <c r="A93" s="128" t="s">
        <v>64</v>
      </c>
      <c r="B93" s="189">
        <v>0</v>
      </c>
      <c r="C93" s="189">
        <v>82068000</v>
      </c>
      <c r="D93" s="189">
        <v>82068000</v>
      </c>
      <c r="E93" s="189">
        <v>82068000</v>
      </c>
      <c r="F93" s="189">
        <v>82068000</v>
      </c>
      <c r="G93" s="189">
        <v>83741000</v>
      </c>
      <c r="H93" s="189">
        <v>84448000</v>
      </c>
      <c r="I93" s="189">
        <v>154792000</v>
      </c>
      <c r="J93" s="189">
        <v>268675000</v>
      </c>
      <c r="K93" s="189">
        <v>268675000</v>
      </c>
      <c r="L93" s="189">
        <v>268675000</v>
      </c>
      <c r="M93" s="189">
        <v>268675000</v>
      </c>
      <c r="N93" s="189">
        <v>0</v>
      </c>
      <c r="O93" s="189">
        <v>0</v>
      </c>
      <c r="P93" s="189">
        <v>0</v>
      </c>
      <c r="Q93" s="189">
        <v>0</v>
      </c>
      <c r="R93" s="189">
        <v>0</v>
      </c>
      <c r="S93" s="189">
        <v>0</v>
      </c>
      <c r="T93" s="189">
        <v>0</v>
      </c>
      <c r="U93" s="189">
        <v>0</v>
      </c>
      <c r="V93" s="189">
        <v>0</v>
      </c>
      <c r="W93" s="189">
        <v>0</v>
      </c>
      <c r="X93" s="189">
        <v>0</v>
      </c>
      <c r="Y93" s="189">
        <v>0</v>
      </c>
      <c r="Z93" s="189">
        <v>0</v>
      </c>
      <c r="AA93" s="189">
        <v>0</v>
      </c>
      <c r="AB93" s="189">
        <v>0</v>
      </c>
      <c r="AC93" s="189">
        <v>0</v>
      </c>
      <c r="AD93" s="189">
        <v>0</v>
      </c>
      <c r="AE93" s="189">
        <v>0</v>
      </c>
      <c r="AF93" s="189">
        <v>0</v>
      </c>
      <c r="AG93" s="189">
        <v>0</v>
      </c>
      <c r="AH93" s="189">
        <v>0</v>
      </c>
      <c r="AI93" s="189">
        <v>0</v>
      </c>
      <c r="AJ93" s="189">
        <v>0</v>
      </c>
      <c r="AK93" s="189">
        <v>0</v>
      </c>
      <c r="AL93" s="189">
        <v>0</v>
      </c>
      <c r="AM93" s="189">
        <v>0</v>
      </c>
      <c r="AN93" s="189">
        <v>0</v>
      </c>
      <c r="AO93" s="189">
        <v>0</v>
      </c>
      <c r="AP93" s="189">
        <v>0</v>
      </c>
      <c r="AQ93" s="189">
        <v>0</v>
      </c>
      <c r="AR93" s="189">
        <v>0</v>
      </c>
      <c r="AS93" s="189">
        <v>0</v>
      </c>
      <c r="AT93" s="189">
        <v>0</v>
      </c>
      <c r="AU93" s="189">
        <v>0</v>
      </c>
      <c r="AV93" s="189">
        <v>0</v>
      </c>
      <c r="AW93" s="189">
        <v>0</v>
      </c>
      <c r="AX93" s="189">
        <v>0</v>
      </c>
      <c r="AY93" s="189">
        <v>0</v>
      </c>
      <c r="AZ93" s="189">
        <v>0</v>
      </c>
      <c r="BA93" s="189">
        <v>0</v>
      </c>
      <c r="BB93" s="189">
        <v>0</v>
      </c>
      <c r="BC93" s="189">
        <v>0</v>
      </c>
      <c r="BD93" s="189">
        <v>0</v>
      </c>
      <c r="BE93" s="189">
        <v>0</v>
      </c>
      <c r="BF93" s="189">
        <v>0</v>
      </c>
      <c r="BG93" s="189">
        <v>0</v>
      </c>
      <c r="BH93" s="189">
        <v>0</v>
      </c>
      <c r="BI93" s="189">
        <v>0</v>
      </c>
      <c r="BJ93" s="189">
        <v>0</v>
      </c>
      <c r="BK93" s="189">
        <v>0</v>
      </c>
      <c r="BL93" s="189">
        <v>0</v>
      </c>
      <c r="BM93" s="189">
        <v>0</v>
      </c>
      <c r="BN93" s="189">
        <v>0</v>
      </c>
      <c r="BO93" s="189">
        <v>0</v>
      </c>
      <c r="BP93" s="189">
        <v>0</v>
      </c>
      <c r="BQ93" s="189">
        <v>0</v>
      </c>
      <c r="BR93" s="189">
        <v>0</v>
      </c>
      <c r="BS93" s="189">
        <v>0</v>
      </c>
      <c r="BT93" s="189">
        <v>0</v>
      </c>
      <c r="BU93" s="189">
        <v>0</v>
      </c>
      <c r="BV93" s="189">
        <v>0</v>
      </c>
      <c r="BW93" s="189">
        <v>0</v>
      </c>
      <c r="BX93" s="189">
        <v>0</v>
      </c>
      <c r="BY93" s="189">
        <v>0</v>
      </c>
      <c r="BZ93" s="189">
        <v>0</v>
      </c>
      <c r="CA93" s="189">
        <v>0</v>
      </c>
      <c r="CB93" s="189">
        <v>0</v>
      </c>
      <c r="CC93" s="189">
        <v>0</v>
      </c>
      <c r="CD93" s="189">
        <v>0</v>
      </c>
      <c r="CE93" s="189">
        <v>0</v>
      </c>
      <c r="CF93" s="189">
        <v>0</v>
      </c>
      <c r="CG93" s="189">
        <v>0</v>
      </c>
      <c r="CH93" s="189">
        <v>0</v>
      </c>
      <c r="CI93" s="189">
        <v>0</v>
      </c>
      <c r="CJ93" s="189">
        <v>0</v>
      </c>
      <c r="CK93" s="189">
        <v>0</v>
      </c>
      <c r="CL93" s="189">
        <v>0</v>
      </c>
    </row>
    <row r="94" spans="1:90" x14ac:dyDescent="0.25">
      <c r="A94" s="128" t="s">
        <v>65</v>
      </c>
      <c r="B94" s="189">
        <v>202962966.41999999</v>
      </c>
      <c r="C94" s="189">
        <v>183190023.13999999</v>
      </c>
      <c r="D94" s="189">
        <v>169645589.06999999</v>
      </c>
      <c r="E94" s="189">
        <v>201657970.53</v>
      </c>
      <c r="F94" s="189">
        <v>420186147.79000002</v>
      </c>
      <c r="G94" s="189">
        <v>520359945.81999999</v>
      </c>
      <c r="H94" s="189">
        <v>535956823.55000001</v>
      </c>
      <c r="I94" s="189">
        <v>707017286.04999995</v>
      </c>
      <c r="J94" s="189">
        <v>367863517.97000003</v>
      </c>
      <c r="K94" s="189">
        <v>244365433.13999999</v>
      </c>
      <c r="L94" s="189">
        <v>339646260.63</v>
      </c>
      <c r="M94" s="189">
        <v>483818459.89999998</v>
      </c>
      <c r="N94" s="189">
        <v>157113443.71000001</v>
      </c>
      <c r="O94" s="189">
        <v>156914873.24000001</v>
      </c>
      <c r="P94" s="189">
        <v>157755965.05000001</v>
      </c>
      <c r="Q94" s="189">
        <v>157726104.90000001</v>
      </c>
      <c r="R94" s="189">
        <v>0</v>
      </c>
      <c r="S94" s="189">
        <v>0</v>
      </c>
      <c r="T94" s="189">
        <v>0</v>
      </c>
      <c r="U94" s="189">
        <v>0</v>
      </c>
      <c r="V94" s="189">
        <v>0</v>
      </c>
      <c r="W94" s="189">
        <v>0</v>
      </c>
      <c r="X94" s="189">
        <v>0</v>
      </c>
      <c r="Y94" s="189">
        <v>0</v>
      </c>
      <c r="Z94" s="189">
        <v>0</v>
      </c>
      <c r="AA94" s="189">
        <v>0</v>
      </c>
      <c r="AB94" s="189">
        <v>0</v>
      </c>
      <c r="AC94" s="189">
        <v>0</v>
      </c>
      <c r="AD94" s="189">
        <v>0</v>
      </c>
      <c r="AE94" s="189">
        <v>0</v>
      </c>
      <c r="AF94" s="189">
        <v>0</v>
      </c>
      <c r="AG94" s="189">
        <v>0</v>
      </c>
      <c r="AH94" s="189">
        <v>0</v>
      </c>
      <c r="AI94" s="189">
        <v>0</v>
      </c>
      <c r="AJ94" s="189">
        <v>0</v>
      </c>
      <c r="AK94" s="189">
        <v>0</v>
      </c>
      <c r="AL94" s="189">
        <v>0</v>
      </c>
      <c r="AM94" s="189">
        <v>0</v>
      </c>
      <c r="AN94" s="189">
        <v>0</v>
      </c>
      <c r="AO94" s="189">
        <v>0</v>
      </c>
      <c r="AP94" s="189">
        <v>0</v>
      </c>
      <c r="AQ94" s="189">
        <v>0</v>
      </c>
      <c r="AR94" s="189">
        <v>0</v>
      </c>
      <c r="AS94" s="189">
        <v>0</v>
      </c>
      <c r="AT94" s="189">
        <v>0</v>
      </c>
      <c r="AU94" s="189">
        <v>0</v>
      </c>
      <c r="AV94" s="189">
        <v>0</v>
      </c>
      <c r="AW94" s="189">
        <v>0</v>
      </c>
      <c r="AX94" s="189">
        <v>0</v>
      </c>
      <c r="AY94" s="189">
        <v>0</v>
      </c>
      <c r="AZ94" s="189">
        <v>0</v>
      </c>
      <c r="BA94" s="189">
        <v>0</v>
      </c>
      <c r="BB94" s="189">
        <v>0</v>
      </c>
      <c r="BC94" s="189">
        <v>0</v>
      </c>
      <c r="BD94" s="189">
        <v>0</v>
      </c>
      <c r="BE94" s="189">
        <v>0</v>
      </c>
      <c r="BF94" s="189">
        <v>0</v>
      </c>
      <c r="BG94" s="189">
        <v>0</v>
      </c>
      <c r="BH94" s="189">
        <v>0</v>
      </c>
      <c r="BI94" s="189">
        <v>0</v>
      </c>
      <c r="BJ94" s="189">
        <v>0</v>
      </c>
      <c r="BK94" s="189">
        <v>0</v>
      </c>
      <c r="BL94" s="189">
        <v>0</v>
      </c>
      <c r="BM94" s="189">
        <v>0</v>
      </c>
      <c r="BN94" s="189">
        <v>0</v>
      </c>
      <c r="BO94" s="189">
        <v>0</v>
      </c>
      <c r="BP94" s="189">
        <v>0</v>
      </c>
      <c r="BQ94" s="189">
        <v>0</v>
      </c>
      <c r="BR94" s="189">
        <v>0</v>
      </c>
      <c r="BS94" s="189">
        <v>0</v>
      </c>
      <c r="BT94" s="189">
        <v>0</v>
      </c>
      <c r="BU94" s="189">
        <v>0</v>
      </c>
      <c r="BV94" s="189">
        <v>0</v>
      </c>
      <c r="BW94" s="189">
        <v>0</v>
      </c>
      <c r="BX94" s="189">
        <v>0</v>
      </c>
      <c r="BY94" s="189">
        <v>0</v>
      </c>
      <c r="BZ94" s="189">
        <v>0</v>
      </c>
      <c r="CA94" s="189">
        <v>0</v>
      </c>
      <c r="CB94" s="189">
        <v>0</v>
      </c>
      <c r="CC94" s="189">
        <v>0</v>
      </c>
      <c r="CD94" s="189">
        <v>0</v>
      </c>
      <c r="CE94" s="189">
        <v>0</v>
      </c>
      <c r="CF94" s="189">
        <v>0</v>
      </c>
      <c r="CG94" s="189">
        <v>0</v>
      </c>
      <c r="CH94" s="189">
        <v>0</v>
      </c>
      <c r="CI94" s="189">
        <v>0</v>
      </c>
      <c r="CJ94" s="189">
        <v>0</v>
      </c>
      <c r="CK94" s="189">
        <v>0</v>
      </c>
      <c r="CL94" s="189">
        <v>0</v>
      </c>
    </row>
    <row r="95" spans="1:90" x14ac:dyDescent="0.25">
      <c r="A95" s="128" t="s">
        <v>66</v>
      </c>
      <c r="B95" s="189">
        <v>0</v>
      </c>
      <c r="C95" s="189">
        <v>0</v>
      </c>
      <c r="D95" s="189">
        <v>0</v>
      </c>
      <c r="E95" s="189">
        <v>0</v>
      </c>
      <c r="F95" s="189">
        <v>0</v>
      </c>
      <c r="G95" s="189">
        <v>0</v>
      </c>
      <c r="H95" s="189">
        <v>0</v>
      </c>
      <c r="I95" s="189">
        <v>0</v>
      </c>
      <c r="J95" s="189">
        <v>0</v>
      </c>
      <c r="K95" s="189">
        <v>0</v>
      </c>
      <c r="L95" s="189">
        <v>0</v>
      </c>
      <c r="M95" s="189">
        <v>0</v>
      </c>
      <c r="N95" s="189">
        <v>0</v>
      </c>
      <c r="O95" s="189">
        <v>0</v>
      </c>
      <c r="P95" s="189">
        <v>0</v>
      </c>
      <c r="Q95" s="189">
        <v>0</v>
      </c>
      <c r="R95" s="189">
        <v>0</v>
      </c>
      <c r="S95" s="189">
        <v>0</v>
      </c>
      <c r="T95" s="189">
        <v>0</v>
      </c>
      <c r="U95" s="189">
        <v>0</v>
      </c>
      <c r="V95" s="189">
        <v>0</v>
      </c>
      <c r="W95" s="189">
        <v>0</v>
      </c>
      <c r="X95" s="189">
        <v>0</v>
      </c>
      <c r="Y95" s="189">
        <v>0</v>
      </c>
      <c r="Z95" s="189">
        <v>0</v>
      </c>
      <c r="AA95" s="189">
        <v>0</v>
      </c>
      <c r="AB95" s="189">
        <v>0</v>
      </c>
      <c r="AC95" s="189">
        <v>0</v>
      </c>
      <c r="AD95" s="189">
        <v>0</v>
      </c>
      <c r="AE95" s="189">
        <v>0</v>
      </c>
      <c r="AF95" s="189">
        <v>0</v>
      </c>
      <c r="AG95" s="189">
        <v>0</v>
      </c>
      <c r="AH95" s="189">
        <v>0</v>
      </c>
      <c r="AI95" s="189">
        <v>0</v>
      </c>
      <c r="AJ95" s="189">
        <v>0</v>
      </c>
      <c r="AK95" s="189">
        <v>0</v>
      </c>
      <c r="AL95" s="189">
        <v>0</v>
      </c>
      <c r="AM95" s="189">
        <v>0</v>
      </c>
      <c r="AN95" s="189">
        <v>0</v>
      </c>
      <c r="AO95" s="189">
        <v>0</v>
      </c>
      <c r="AP95" s="189">
        <v>0</v>
      </c>
      <c r="AQ95" s="189">
        <v>0</v>
      </c>
      <c r="AR95" s="189">
        <v>0</v>
      </c>
      <c r="AS95" s="189">
        <v>0</v>
      </c>
      <c r="AT95" s="189">
        <v>0</v>
      </c>
      <c r="AU95" s="189">
        <v>0</v>
      </c>
      <c r="AV95" s="189">
        <v>0</v>
      </c>
      <c r="AW95" s="189">
        <v>0</v>
      </c>
      <c r="AX95" s="189">
        <v>0</v>
      </c>
      <c r="AY95" s="189">
        <v>0</v>
      </c>
      <c r="AZ95" s="189">
        <v>0</v>
      </c>
      <c r="BA95" s="189">
        <v>0</v>
      </c>
      <c r="BB95" s="189">
        <v>0</v>
      </c>
      <c r="BC95" s="189">
        <v>0</v>
      </c>
      <c r="BD95" s="189">
        <v>0</v>
      </c>
      <c r="BE95" s="189">
        <v>0</v>
      </c>
      <c r="BF95" s="189">
        <v>0</v>
      </c>
      <c r="BG95" s="189">
        <v>0</v>
      </c>
      <c r="BH95" s="189">
        <v>0</v>
      </c>
      <c r="BI95" s="189">
        <v>0</v>
      </c>
      <c r="BJ95" s="189">
        <v>0</v>
      </c>
      <c r="BK95" s="189">
        <v>0</v>
      </c>
      <c r="BL95" s="189">
        <v>0</v>
      </c>
      <c r="BM95" s="189">
        <v>0</v>
      </c>
      <c r="BN95" s="189">
        <v>0</v>
      </c>
      <c r="BO95" s="189">
        <v>0</v>
      </c>
      <c r="BP95" s="189">
        <v>0</v>
      </c>
      <c r="BQ95" s="189">
        <v>0</v>
      </c>
      <c r="BR95" s="189">
        <v>0</v>
      </c>
      <c r="BS95" s="189">
        <v>0</v>
      </c>
      <c r="BT95" s="189">
        <v>0</v>
      </c>
      <c r="BU95" s="189">
        <v>0</v>
      </c>
      <c r="BV95" s="189">
        <v>0</v>
      </c>
      <c r="BW95" s="189">
        <v>0</v>
      </c>
      <c r="BX95" s="189">
        <v>0</v>
      </c>
      <c r="BY95" s="189">
        <v>0</v>
      </c>
      <c r="BZ95" s="189">
        <v>0</v>
      </c>
      <c r="CA95" s="189">
        <v>0</v>
      </c>
      <c r="CB95" s="189">
        <v>0</v>
      </c>
      <c r="CC95" s="189">
        <v>0</v>
      </c>
      <c r="CD95" s="189">
        <v>0</v>
      </c>
      <c r="CE95" s="189">
        <v>0</v>
      </c>
      <c r="CF95" s="189">
        <v>0</v>
      </c>
      <c r="CG95" s="189">
        <v>0</v>
      </c>
      <c r="CH95" s="189">
        <v>0</v>
      </c>
      <c r="CI95" s="189">
        <v>0</v>
      </c>
      <c r="CJ95" s="189">
        <v>0</v>
      </c>
      <c r="CK95" s="189">
        <v>0</v>
      </c>
      <c r="CL95" s="189">
        <v>0</v>
      </c>
    </row>
    <row r="96" spans="1:90" x14ac:dyDescent="0.25">
      <c r="A96" s="128" t="s">
        <v>67</v>
      </c>
      <c r="B96" s="189">
        <v>49088595.240000002</v>
      </c>
      <c r="C96" s="189">
        <v>49088595.240000002</v>
      </c>
      <c r="D96" s="189">
        <v>49088595.240000002</v>
      </c>
      <c r="E96" s="189">
        <v>49088595.240000002</v>
      </c>
      <c r="F96" s="189">
        <v>16408000</v>
      </c>
      <c r="G96" s="189">
        <v>16408000</v>
      </c>
      <c r="H96" s="189">
        <v>16408000</v>
      </c>
      <c r="I96" s="189">
        <v>16408000</v>
      </c>
      <c r="J96" s="189">
        <v>16408000</v>
      </c>
      <c r="K96" s="189">
        <v>16408000</v>
      </c>
      <c r="L96" s="189">
        <v>16408000</v>
      </c>
      <c r="M96" s="189">
        <v>16408000</v>
      </c>
      <c r="N96" s="189">
        <v>16408000</v>
      </c>
      <c r="O96" s="189">
        <v>16408000</v>
      </c>
      <c r="P96" s="189">
        <v>16408000</v>
      </c>
      <c r="Q96" s="189">
        <v>16408000</v>
      </c>
      <c r="R96" s="189">
        <v>16166918.09</v>
      </c>
      <c r="S96" s="189">
        <v>8226503.4100000001</v>
      </c>
      <c r="T96" s="189">
        <v>8226503.4100000001</v>
      </c>
      <c r="U96" s="189">
        <v>8226503.4100000001</v>
      </c>
      <c r="V96" s="189">
        <v>8004300.1600000001</v>
      </c>
      <c r="W96" s="189">
        <v>8004300.1600000001</v>
      </c>
      <c r="X96" s="189">
        <v>8004300.1600000001</v>
      </c>
      <c r="Y96" s="189">
        <v>8004300.1600000001</v>
      </c>
      <c r="Z96" s="189">
        <v>8004300.1600000001</v>
      </c>
      <c r="AA96" s="189">
        <v>8004300.1600000001</v>
      </c>
      <c r="AB96" s="189">
        <v>8004300.1600000001</v>
      </c>
      <c r="AC96" s="189">
        <v>8004300.1600000001</v>
      </c>
      <c r="AD96" s="189">
        <v>7992053.5599999996</v>
      </c>
      <c r="AE96" s="189">
        <v>7992053.5599999996</v>
      </c>
      <c r="AF96" s="189">
        <v>7992053.5599999996</v>
      </c>
      <c r="AG96" s="189">
        <v>7992053.5599999996</v>
      </c>
      <c r="AH96" s="189">
        <v>7457138.4699999997</v>
      </c>
      <c r="AI96" s="189">
        <v>7457138.4699999997</v>
      </c>
      <c r="AJ96" s="189">
        <v>7457138.4699999997</v>
      </c>
      <c r="AK96" s="189">
        <v>7457138.4699999997</v>
      </c>
      <c r="AL96" s="189">
        <v>5731967.2800000003</v>
      </c>
      <c r="AM96" s="189">
        <v>6345414.0099999998</v>
      </c>
      <c r="AN96" s="189">
        <v>5731967.2800000003</v>
      </c>
      <c r="AO96" s="189">
        <v>2942399.08</v>
      </c>
      <c r="AP96" s="189">
        <v>0</v>
      </c>
      <c r="AQ96" s="189">
        <v>0</v>
      </c>
      <c r="AR96" s="189">
        <v>1904071967.1600001</v>
      </c>
      <c r="AS96" s="189">
        <v>1803743654.97</v>
      </c>
      <c r="AT96" s="189">
        <v>1784842154.0899999</v>
      </c>
      <c r="AU96" s="189">
        <v>1769499231.54</v>
      </c>
      <c r="AV96" s="189">
        <v>1728597077.04</v>
      </c>
      <c r="AW96" s="189">
        <v>1656111478.8599999</v>
      </c>
      <c r="AX96" s="189">
        <v>1605045274.6500001</v>
      </c>
      <c r="AY96" s="189">
        <v>1586050475.99</v>
      </c>
      <c r="AZ96" s="189">
        <v>1503840551.3499999</v>
      </c>
      <c r="BA96" s="189">
        <v>1421686339.5</v>
      </c>
      <c r="BB96" s="189">
        <v>1389360858.45</v>
      </c>
      <c r="BC96" s="189">
        <v>1382274938.1900001</v>
      </c>
      <c r="BD96" s="189">
        <v>1254574026.6800001</v>
      </c>
      <c r="BE96" s="189">
        <v>1187372649.6400001</v>
      </c>
      <c r="BF96" s="189">
        <v>1118260147.0599999</v>
      </c>
      <c r="BG96" s="189">
        <v>1098510367.5599999</v>
      </c>
      <c r="BH96" s="189">
        <v>994296939.84000003</v>
      </c>
      <c r="BI96" s="189">
        <v>939688251.88</v>
      </c>
      <c r="BJ96" s="189">
        <v>870801644.83000004</v>
      </c>
      <c r="BK96" s="189">
        <v>854086763.44000006</v>
      </c>
      <c r="BL96" s="189">
        <v>772450547.37</v>
      </c>
      <c r="BM96" s="189">
        <v>719760715.63</v>
      </c>
      <c r="BN96" s="189">
        <v>664546335.02999997</v>
      </c>
      <c r="BO96" s="189">
        <v>643227764.61000001</v>
      </c>
      <c r="BP96" s="189">
        <v>576048176.03999996</v>
      </c>
      <c r="BQ96" s="189">
        <v>532864074.19999999</v>
      </c>
      <c r="BR96" s="189">
        <v>0</v>
      </c>
      <c r="BS96" s="189">
        <v>381752149.10000002</v>
      </c>
      <c r="BT96" s="189">
        <v>352223969.88999999</v>
      </c>
      <c r="BU96" s="189">
        <v>309989497.47000003</v>
      </c>
      <c r="BV96" s="189">
        <v>259244599.52000001</v>
      </c>
      <c r="BW96" s="189">
        <v>194772679.46000001</v>
      </c>
      <c r="BX96" s="189">
        <v>144007744.87</v>
      </c>
      <c r="BY96" s="189">
        <v>96446307.129999995</v>
      </c>
      <c r="BZ96" s="189">
        <v>51390553.909999996</v>
      </c>
      <c r="CA96" s="189">
        <v>13452642.869999999</v>
      </c>
      <c r="CB96" s="189">
        <v>0</v>
      </c>
      <c r="CC96" s="189">
        <v>0</v>
      </c>
      <c r="CD96" s="189">
        <v>0</v>
      </c>
      <c r="CE96" s="189">
        <v>34778000</v>
      </c>
      <c r="CF96" s="189">
        <v>10546287.800000001</v>
      </c>
      <c r="CG96" s="189">
        <v>1136843.69</v>
      </c>
      <c r="CH96" s="189">
        <v>0</v>
      </c>
      <c r="CI96" s="189">
        <v>0</v>
      </c>
      <c r="CJ96" s="189">
        <v>0</v>
      </c>
      <c r="CK96" s="189">
        <v>0</v>
      </c>
      <c r="CL96" s="189">
        <v>0</v>
      </c>
    </row>
    <row r="97" spans="1:90" x14ac:dyDescent="0.25">
      <c r="A97" s="128" t="s">
        <v>68</v>
      </c>
      <c r="B97" s="189">
        <v>0</v>
      </c>
      <c r="C97" s="189">
        <v>0</v>
      </c>
      <c r="D97" s="189">
        <v>0</v>
      </c>
      <c r="E97" s="189">
        <v>0</v>
      </c>
      <c r="F97" s="189">
        <v>0</v>
      </c>
      <c r="G97" s="189">
        <v>0</v>
      </c>
      <c r="H97" s="189">
        <v>0</v>
      </c>
      <c r="I97" s="189">
        <v>0</v>
      </c>
      <c r="J97" s="189">
        <v>0</v>
      </c>
      <c r="K97" s="189">
        <v>0</v>
      </c>
      <c r="L97" s="189">
        <v>0</v>
      </c>
      <c r="M97" s="189">
        <v>0</v>
      </c>
      <c r="N97" s="189">
        <v>0</v>
      </c>
      <c r="O97" s="189">
        <v>0</v>
      </c>
      <c r="P97" s="189">
        <v>0</v>
      </c>
      <c r="Q97" s="189">
        <v>0</v>
      </c>
      <c r="R97" s="189">
        <v>0</v>
      </c>
      <c r="S97" s="189">
        <v>0</v>
      </c>
      <c r="T97" s="189">
        <v>0</v>
      </c>
      <c r="U97" s="189">
        <v>0</v>
      </c>
      <c r="V97" s="189">
        <v>0</v>
      </c>
      <c r="W97" s="189">
        <v>0</v>
      </c>
      <c r="X97" s="189">
        <v>0</v>
      </c>
      <c r="Y97" s="189">
        <v>0</v>
      </c>
      <c r="Z97" s="189">
        <v>0</v>
      </c>
      <c r="AA97" s="189">
        <v>0</v>
      </c>
      <c r="AB97" s="189">
        <v>0</v>
      </c>
      <c r="AC97" s="189">
        <v>0</v>
      </c>
      <c r="AD97" s="189">
        <v>0</v>
      </c>
      <c r="AE97" s="189">
        <v>0</v>
      </c>
      <c r="AF97" s="189">
        <v>0</v>
      </c>
      <c r="AG97" s="189">
        <v>0</v>
      </c>
      <c r="AH97" s="189">
        <v>0</v>
      </c>
      <c r="AI97" s="189">
        <v>0</v>
      </c>
      <c r="AJ97" s="189">
        <v>0</v>
      </c>
      <c r="AK97" s="189">
        <v>0</v>
      </c>
      <c r="AL97" s="189">
        <v>0</v>
      </c>
      <c r="AM97" s="189">
        <v>0</v>
      </c>
      <c r="AN97" s="189">
        <v>0</v>
      </c>
      <c r="AO97" s="189">
        <v>0</v>
      </c>
      <c r="AP97" s="189">
        <v>0</v>
      </c>
      <c r="AQ97" s="189">
        <v>0</v>
      </c>
      <c r="AR97" s="189">
        <v>0</v>
      </c>
      <c r="AS97" s="189">
        <v>0</v>
      </c>
      <c r="AT97" s="189">
        <v>0</v>
      </c>
      <c r="AU97" s="189">
        <v>0</v>
      </c>
      <c r="AV97" s="189">
        <v>0</v>
      </c>
      <c r="AW97" s="189">
        <v>0</v>
      </c>
      <c r="AX97" s="189">
        <v>0</v>
      </c>
      <c r="AY97" s="189">
        <v>0</v>
      </c>
      <c r="AZ97" s="189">
        <v>0</v>
      </c>
      <c r="BA97" s="189">
        <v>0</v>
      </c>
      <c r="BB97" s="189">
        <v>0</v>
      </c>
      <c r="BC97" s="189">
        <v>0</v>
      </c>
      <c r="BD97" s="189">
        <v>0</v>
      </c>
      <c r="BE97" s="189">
        <v>0</v>
      </c>
      <c r="BF97" s="189">
        <v>0</v>
      </c>
      <c r="BG97" s="189">
        <v>0</v>
      </c>
      <c r="BH97" s="189">
        <v>0</v>
      </c>
      <c r="BI97" s="189">
        <v>0</v>
      </c>
      <c r="BJ97" s="189">
        <v>0</v>
      </c>
      <c r="BK97" s="189">
        <v>0</v>
      </c>
      <c r="BL97" s="189">
        <v>0</v>
      </c>
      <c r="BM97" s="189">
        <v>0</v>
      </c>
      <c r="BN97" s="189">
        <v>0</v>
      </c>
      <c r="BO97" s="189">
        <v>0</v>
      </c>
      <c r="BP97" s="189">
        <v>0</v>
      </c>
      <c r="BQ97" s="189">
        <v>0</v>
      </c>
      <c r="BR97" s="189">
        <v>0</v>
      </c>
      <c r="BS97" s="189">
        <v>0</v>
      </c>
      <c r="BT97" s="189">
        <v>0</v>
      </c>
      <c r="BU97" s="189">
        <v>0</v>
      </c>
      <c r="BV97" s="189">
        <v>0</v>
      </c>
      <c r="BW97" s="189">
        <v>0</v>
      </c>
      <c r="BX97" s="189">
        <v>0</v>
      </c>
      <c r="BY97" s="189">
        <v>0</v>
      </c>
      <c r="BZ97" s="189">
        <v>0</v>
      </c>
      <c r="CA97" s="189">
        <v>0</v>
      </c>
      <c r="CB97" s="189">
        <v>0</v>
      </c>
      <c r="CC97" s="189">
        <v>0</v>
      </c>
      <c r="CD97" s="189">
        <v>0</v>
      </c>
      <c r="CE97" s="189">
        <v>0</v>
      </c>
      <c r="CF97" s="189">
        <v>0</v>
      </c>
      <c r="CG97" s="189">
        <v>0</v>
      </c>
      <c r="CH97" s="189">
        <v>0</v>
      </c>
      <c r="CI97" s="189">
        <v>0</v>
      </c>
      <c r="CJ97" s="189">
        <v>0</v>
      </c>
      <c r="CK97" s="189">
        <v>0</v>
      </c>
      <c r="CL97" s="189">
        <v>0</v>
      </c>
    </row>
    <row r="98" spans="1:90" x14ac:dyDescent="0.25">
      <c r="A98" s="128" t="s">
        <v>69</v>
      </c>
      <c r="B98" s="189">
        <v>2354734415.6700001</v>
      </c>
      <c r="C98" s="189">
        <v>2311935715.2600002</v>
      </c>
      <c r="D98" s="189">
        <v>2299869556.0700002</v>
      </c>
      <c r="E98" s="189">
        <v>2122004639.3699999</v>
      </c>
      <c r="F98" s="189">
        <v>1970566762.5699999</v>
      </c>
      <c r="G98" s="189">
        <v>1665874457.95</v>
      </c>
      <c r="H98" s="189">
        <v>1495109875.77</v>
      </c>
      <c r="I98" s="189">
        <v>1292228470.51</v>
      </c>
      <c r="J98" s="189">
        <v>1084036361.03</v>
      </c>
      <c r="K98" s="189">
        <v>947463730.42999995</v>
      </c>
      <c r="L98" s="189">
        <v>853696006.15999997</v>
      </c>
      <c r="M98" s="189">
        <v>817928312.29999995</v>
      </c>
      <c r="N98" s="189">
        <v>698641236.65999997</v>
      </c>
      <c r="O98" s="189">
        <v>598555622.72000003</v>
      </c>
      <c r="P98" s="189">
        <v>552401705.82000005</v>
      </c>
      <c r="Q98" s="189">
        <v>479009826.82999998</v>
      </c>
      <c r="R98" s="189">
        <v>388780444.45999998</v>
      </c>
      <c r="S98" s="189">
        <v>129948958.77</v>
      </c>
      <c r="T98" s="189">
        <v>137397618.11000001</v>
      </c>
      <c r="U98" s="189">
        <v>137420967.28999999</v>
      </c>
      <c r="V98" s="189">
        <v>140881592.93000001</v>
      </c>
      <c r="W98" s="189">
        <v>141075960.58000001</v>
      </c>
      <c r="X98" s="189">
        <v>129351050.98</v>
      </c>
      <c r="Y98" s="189">
        <v>129372643.45999999</v>
      </c>
      <c r="Z98" s="189">
        <v>124949102.48999999</v>
      </c>
      <c r="AA98" s="189">
        <v>120759139.37</v>
      </c>
      <c r="AB98" s="189">
        <v>119565405.19</v>
      </c>
      <c r="AC98" s="189">
        <v>117267541.31</v>
      </c>
      <c r="AD98" s="189">
        <v>104459272.18000001</v>
      </c>
      <c r="AE98" s="189">
        <v>98796349.590000004</v>
      </c>
      <c r="AF98" s="189">
        <v>93098869.5</v>
      </c>
      <c r="AG98" s="189">
        <v>90774479.510000005</v>
      </c>
      <c r="AH98" s="189">
        <v>94740412.769999996</v>
      </c>
      <c r="AI98" s="189">
        <v>88856850.75</v>
      </c>
      <c r="AJ98" s="189">
        <v>83316596.230000004</v>
      </c>
      <c r="AK98" s="189">
        <v>79925179.079999998</v>
      </c>
      <c r="AL98" s="189">
        <v>69493020.420000002</v>
      </c>
      <c r="AM98" s="189">
        <v>61702800.289999999</v>
      </c>
      <c r="AN98" s="189">
        <v>54485343.810000002</v>
      </c>
      <c r="AO98" s="189">
        <v>25747790.460000001</v>
      </c>
      <c r="AP98" s="189">
        <v>0</v>
      </c>
      <c r="AQ98" s="189">
        <v>0</v>
      </c>
      <c r="AR98" s="189">
        <v>3939446493.21</v>
      </c>
      <c r="AS98" s="189">
        <v>3016465972.27</v>
      </c>
      <c r="AT98" s="189">
        <v>2895687323</v>
      </c>
      <c r="AU98" s="189">
        <v>2731195492.8200002</v>
      </c>
      <c r="AV98" s="189">
        <v>3619192723.04</v>
      </c>
      <c r="AW98" s="189">
        <v>2936492710.1799998</v>
      </c>
      <c r="AX98" s="189">
        <v>2836202850</v>
      </c>
      <c r="AY98" s="189">
        <v>2655440755.9699998</v>
      </c>
      <c r="AZ98" s="189">
        <v>2735881568.3699999</v>
      </c>
      <c r="BA98" s="189">
        <v>2271940792.2399998</v>
      </c>
      <c r="BB98" s="189">
        <v>2281862701.6399999</v>
      </c>
      <c r="BC98" s="189">
        <v>2108410721.51</v>
      </c>
      <c r="BD98" s="189">
        <v>2060554311.6199999</v>
      </c>
      <c r="BE98" s="189">
        <v>1714905685.0599999</v>
      </c>
      <c r="BF98" s="189">
        <v>1634285513.4000001</v>
      </c>
      <c r="BG98" s="189">
        <v>1512716042.76</v>
      </c>
      <c r="BH98" s="189">
        <v>2819154405.8699999</v>
      </c>
      <c r="BI98" s="189">
        <v>2490295331.4000001</v>
      </c>
      <c r="BJ98" s="189">
        <v>2403776470.8899999</v>
      </c>
      <c r="BK98" s="189">
        <v>2262549503.6999998</v>
      </c>
      <c r="BL98" s="189">
        <v>2243103077.8499999</v>
      </c>
      <c r="BM98" s="189">
        <v>2007248389.73</v>
      </c>
      <c r="BN98" s="189">
        <v>1951462497.3</v>
      </c>
      <c r="BO98" s="189">
        <v>1830539949.02</v>
      </c>
      <c r="BP98" s="189">
        <v>1872926600.26</v>
      </c>
      <c r="BQ98" s="189">
        <v>1667814393.3199999</v>
      </c>
      <c r="BR98" s="189">
        <v>0</v>
      </c>
      <c r="BS98" s="189">
        <v>1712342274.8299999</v>
      </c>
      <c r="BT98" s="189">
        <v>1595935829.22</v>
      </c>
      <c r="BU98" s="189">
        <v>1356607152.1700001</v>
      </c>
      <c r="BV98" s="189">
        <v>1069052730.5</v>
      </c>
      <c r="BW98" s="189">
        <v>703711850.11000001</v>
      </c>
      <c r="BX98" s="189">
        <v>423675870.94999999</v>
      </c>
      <c r="BY98" s="189">
        <v>146529073.66</v>
      </c>
      <c r="BZ98" s="189">
        <v>291213138.67000002</v>
      </c>
      <c r="CA98" s="189">
        <v>76231642.829999998</v>
      </c>
      <c r="CB98" s="189">
        <v>0</v>
      </c>
      <c r="CC98" s="189">
        <v>0</v>
      </c>
      <c r="CD98" s="189">
        <v>0</v>
      </c>
      <c r="CE98" s="189">
        <v>129889000</v>
      </c>
      <c r="CF98" s="189">
        <v>81321459.170000002</v>
      </c>
      <c r="CG98" s="189">
        <v>12975517.09</v>
      </c>
      <c r="CH98" s="189">
        <v>0</v>
      </c>
      <c r="CI98" s="189">
        <v>0</v>
      </c>
      <c r="CJ98" s="189">
        <v>0</v>
      </c>
      <c r="CK98" s="189">
        <v>0</v>
      </c>
      <c r="CL98" s="189">
        <v>0</v>
      </c>
    </row>
    <row r="99" spans="1:90" x14ac:dyDescent="0.25">
      <c r="A99" s="128" t="s">
        <v>70</v>
      </c>
      <c r="B99" s="189">
        <v>0</v>
      </c>
      <c r="C99" s="189">
        <v>8003934.4900000002</v>
      </c>
      <c r="D99" s="189">
        <v>8003934.4900000002</v>
      </c>
      <c r="E99" s="189">
        <v>8003934.4900000002</v>
      </c>
      <c r="F99" s="189">
        <v>0</v>
      </c>
      <c r="G99" s="189">
        <v>0</v>
      </c>
      <c r="H99" s="189">
        <v>0</v>
      </c>
      <c r="I99" s="189">
        <v>0</v>
      </c>
      <c r="J99" s="189">
        <v>0</v>
      </c>
      <c r="K99" s="189">
        <v>0</v>
      </c>
      <c r="L99" s="189">
        <v>72437454.730000004</v>
      </c>
      <c r="M99" s="189">
        <v>0</v>
      </c>
      <c r="N99" s="189">
        <v>0</v>
      </c>
      <c r="O99" s="189">
        <v>0</v>
      </c>
      <c r="P99" s="189">
        <v>0</v>
      </c>
      <c r="Q99" s="189">
        <v>0</v>
      </c>
      <c r="R99" s="189">
        <v>0</v>
      </c>
      <c r="S99" s="189">
        <v>2140913.0699999998</v>
      </c>
      <c r="T99" s="189">
        <v>1521250</v>
      </c>
      <c r="U99" s="189">
        <v>3221250</v>
      </c>
      <c r="V99" s="189">
        <v>416250</v>
      </c>
      <c r="W99" s="189">
        <v>1350000</v>
      </c>
      <c r="X99" s="189">
        <v>1350000</v>
      </c>
      <c r="Y99" s="189">
        <v>1350000</v>
      </c>
      <c r="Z99" s="189">
        <v>4644038.2699999996</v>
      </c>
      <c r="AA99" s="189">
        <v>9350000</v>
      </c>
      <c r="AB99" s="189">
        <v>0</v>
      </c>
      <c r="AC99" s="189">
        <v>0</v>
      </c>
      <c r="AD99" s="189">
        <v>0</v>
      </c>
      <c r="AE99" s="189">
        <v>0</v>
      </c>
      <c r="AF99" s="189">
        <v>0</v>
      </c>
      <c r="AG99" s="189">
        <v>0</v>
      </c>
      <c r="AH99" s="189">
        <v>0</v>
      </c>
      <c r="AI99" s="189">
        <v>0</v>
      </c>
      <c r="AJ99" s="189">
        <v>0</v>
      </c>
      <c r="AK99" s="189">
        <v>0</v>
      </c>
      <c r="AL99" s="189">
        <v>0</v>
      </c>
      <c r="AM99" s="189">
        <v>0</v>
      </c>
      <c r="AN99" s="189">
        <v>0</v>
      </c>
      <c r="AO99" s="189">
        <v>0</v>
      </c>
      <c r="AP99" s="189">
        <v>3925466.82</v>
      </c>
      <c r="AQ99" s="189">
        <v>0</v>
      </c>
      <c r="AR99" s="189">
        <v>0</v>
      </c>
      <c r="AS99" s="189">
        <v>0</v>
      </c>
      <c r="AT99" s="189">
        <v>100000000</v>
      </c>
      <c r="AU99" s="189">
        <v>100000000</v>
      </c>
      <c r="AV99" s="189">
        <v>0</v>
      </c>
      <c r="AW99" s="189">
        <v>0</v>
      </c>
      <c r="AX99" s="189">
        <v>0</v>
      </c>
      <c r="AY99" s="189">
        <v>41778688</v>
      </c>
      <c r="AZ99" s="189">
        <v>0</v>
      </c>
      <c r="BA99" s="189">
        <v>0</v>
      </c>
      <c r="BB99" s="189">
        <v>0</v>
      </c>
      <c r="BC99" s="189">
        <v>0</v>
      </c>
      <c r="BD99" s="189">
        <v>0</v>
      </c>
      <c r="BE99" s="189">
        <v>0</v>
      </c>
      <c r="BF99" s="189">
        <v>0</v>
      </c>
      <c r="BG99" s="189">
        <v>0</v>
      </c>
      <c r="BH99" s="189">
        <v>0</v>
      </c>
      <c r="BI99" s="189">
        <v>0</v>
      </c>
      <c r="BJ99" s="189">
        <v>15606000</v>
      </c>
      <c r="BK99" s="189">
        <v>15606000</v>
      </c>
      <c r="BL99" s="189">
        <v>15606000</v>
      </c>
      <c r="BM99" s="189">
        <v>15606000</v>
      </c>
      <c r="BN99" s="189">
        <v>15606000</v>
      </c>
      <c r="BO99" s="189">
        <v>15606000</v>
      </c>
      <c r="BP99" s="189">
        <v>21726000</v>
      </c>
      <c r="BQ99" s="189">
        <v>21726000</v>
      </c>
      <c r="BR99" s="189">
        <v>0</v>
      </c>
      <c r="BS99" s="189">
        <v>51120000</v>
      </c>
      <c r="BT99" s="189">
        <v>0</v>
      </c>
      <c r="BU99" s="189">
        <v>0</v>
      </c>
      <c r="BV99" s="189">
        <v>0</v>
      </c>
      <c r="BW99" s="189">
        <v>0</v>
      </c>
      <c r="BX99" s="189">
        <v>0</v>
      </c>
      <c r="BY99" s="189">
        <v>400000000</v>
      </c>
      <c r="BZ99" s="189">
        <v>0</v>
      </c>
      <c r="CA99" s="189">
        <v>0</v>
      </c>
      <c r="CB99" s="189">
        <v>0</v>
      </c>
      <c r="CC99" s="189">
        <v>0</v>
      </c>
      <c r="CD99" s="189">
        <v>0</v>
      </c>
      <c r="CE99" s="189">
        <v>0</v>
      </c>
      <c r="CF99" s="189">
        <v>0</v>
      </c>
      <c r="CG99" s="189">
        <v>0</v>
      </c>
      <c r="CH99" s="189">
        <v>0</v>
      </c>
      <c r="CI99" s="189">
        <v>0</v>
      </c>
      <c r="CJ99" s="189">
        <v>0</v>
      </c>
      <c r="CK99" s="189">
        <v>0</v>
      </c>
      <c r="CL99" s="189">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9">
        <v>0</v>
      </c>
      <c r="C101" s="189">
        <v>0</v>
      </c>
      <c r="D101" s="189">
        <v>0</v>
      </c>
      <c r="E101" s="189">
        <v>0</v>
      </c>
      <c r="F101" s="189">
        <v>0</v>
      </c>
      <c r="G101" s="189">
        <v>0</v>
      </c>
      <c r="H101" s="189">
        <v>0</v>
      </c>
      <c r="I101" s="189">
        <v>0</v>
      </c>
      <c r="J101" s="189">
        <v>0</v>
      </c>
      <c r="K101" s="189">
        <v>0</v>
      </c>
      <c r="L101" s="189">
        <v>0</v>
      </c>
      <c r="M101" s="189">
        <v>0</v>
      </c>
      <c r="N101" s="189">
        <v>0</v>
      </c>
      <c r="O101" s="189">
        <v>0</v>
      </c>
      <c r="P101" s="189">
        <v>0</v>
      </c>
      <c r="Q101" s="189">
        <v>0</v>
      </c>
      <c r="R101" s="189">
        <v>0</v>
      </c>
      <c r="S101" s="189">
        <v>0</v>
      </c>
      <c r="T101" s="189">
        <v>0</v>
      </c>
      <c r="U101" s="189">
        <v>0</v>
      </c>
      <c r="V101" s="189">
        <v>0</v>
      </c>
      <c r="W101" s="189">
        <v>0</v>
      </c>
      <c r="X101" s="189">
        <v>0</v>
      </c>
      <c r="Y101" s="189">
        <v>0</v>
      </c>
      <c r="Z101" s="189">
        <v>0</v>
      </c>
      <c r="AA101" s="189">
        <v>0</v>
      </c>
      <c r="AB101" s="189">
        <v>0</v>
      </c>
      <c r="AC101" s="189">
        <v>0</v>
      </c>
      <c r="AD101" s="189">
        <v>0</v>
      </c>
      <c r="AE101" s="189">
        <v>0</v>
      </c>
      <c r="AF101" s="189">
        <v>0</v>
      </c>
      <c r="AG101" s="189">
        <v>0</v>
      </c>
      <c r="AH101" s="189">
        <v>0</v>
      </c>
      <c r="AI101" s="189">
        <v>0</v>
      </c>
      <c r="AJ101" s="189">
        <v>0</v>
      </c>
      <c r="AK101" s="189">
        <v>0</v>
      </c>
      <c r="AL101" s="189">
        <v>0</v>
      </c>
      <c r="AM101" s="189">
        <v>0</v>
      </c>
      <c r="AN101" s="189">
        <v>0</v>
      </c>
      <c r="AO101" s="189">
        <v>0</v>
      </c>
      <c r="AP101" s="189">
        <v>0</v>
      </c>
      <c r="AQ101" s="189">
        <v>0</v>
      </c>
      <c r="AR101" s="189">
        <v>0</v>
      </c>
      <c r="AS101" s="189">
        <v>0</v>
      </c>
      <c r="AT101" s="189">
        <v>0</v>
      </c>
      <c r="AU101" s="189">
        <v>0</v>
      </c>
      <c r="AV101" s="189">
        <v>0</v>
      </c>
      <c r="AW101" s="189">
        <v>0</v>
      </c>
      <c r="AX101" s="189">
        <v>0</v>
      </c>
      <c r="AY101" s="189">
        <v>0</v>
      </c>
      <c r="AZ101" s="189">
        <v>0</v>
      </c>
      <c r="BA101" s="189">
        <v>0</v>
      </c>
      <c r="BB101" s="189">
        <v>0</v>
      </c>
      <c r="BC101" s="189">
        <v>0</v>
      </c>
      <c r="BD101" s="189">
        <v>0</v>
      </c>
      <c r="BE101" s="189">
        <v>0</v>
      </c>
      <c r="BF101" s="189">
        <v>0</v>
      </c>
      <c r="BG101" s="189">
        <v>0</v>
      </c>
      <c r="BH101" s="189">
        <v>0</v>
      </c>
      <c r="BI101" s="189">
        <v>0</v>
      </c>
      <c r="BJ101" s="189">
        <v>0</v>
      </c>
      <c r="BK101" s="189">
        <v>0</v>
      </c>
      <c r="BL101" s="189">
        <v>0</v>
      </c>
      <c r="BM101" s="189">
        <v>0</v>
      </c>
      <c r="BN101" s="189">
        <v>0</v>
      </c>
      <c r="BO101" s="189">
        <v>0</v>
      </c>
      <c r="BP101" s="189">
        <v>0</v>
      </c>
      <c r="BQ101" s="189">
        <v>0</v>
      </c>
      <c r="BR101" s="189">
        <v>0</v>
      </c>
      <c r="BS101" s="189">
        <v>0</v>
      </c>
      <c r="BT101" s="189">
        <v>0</v>
      </c>
      <c r="BU101" s="189">
        <v>0</v>
      </c>
      <c r="BV101" s="189">
        <v>0</v>
      </c>
      <c r="BW101" s="189"/>
      <c r="BX101" s="189"/>
      <c r="BY101" s="189"/>
      <c r="BZ101" s="189"/>
      <c r="CA101" s="189"/>
      <c r="CB101" s="189"/>
      <c r="CC101" s="189"/>
      <c r="CD101" s="189"/>
      <c r="CE101" s="189"/>
      <c r="CF101" s="189"/>
      <c r="CG101" s="189"/>
      <c r="CH101" s="189"/>
      <c r="CI101" s="189"/>
      <c r="CJ101" s="189"/>
      <c r="CK101" s="189"/>
      <c r="CL101" s="189"/>
    </row>
    <row r="102" spans="1:90" x14ac:dyDescent="0.25">
      <c r="A102" s="128" t="s">
        <v>72</v>
      </c>
      <c r="B102" s="189">
        <v>9420486868.1000004</v>
      </c>
      <c r="C102" s="189">
        <v>9358791296.2600002</v>
      </c>
      <c r="D102" s="189">
        <v>9332871299.75</v>
      </c>
      <c r="E102" s="189">
        <v>9186709367.5400009</v>
      </c>
      <c r="F102" s="189">
        <v>8200954370.6899996</v>
      </c>
      <c r="G102" s="189">
        <v>8056619049.1099997</v>
      </c>
      <c r="H102" s="189">
        <v>5812927172.8299999</v>
      </c>
      <c r="I102" s="189">
        <v>5710188836.6099997</v>
      </c>
      <c r="J102" s="189">
        <v>5177162539.5900002</v>
      </c>
      <c r="K102" s="189">
        <v>4897696303.3199997</v>
      </c>
      <c r="L102" s="189">
        <v>4865141230.8400002</v>
      </c>
      <c r="M102" s="189">
        <v>4973545736.25</v>
      </c>
      <c r="N102" s="189">
        <v>881125282.58000004</v>
      </c>
      <c r="O102" s="189">
        <v>780841098.16999996</v>
      </c>
      <c r="P102" s="189">
        <v>734729398.07000005</v>
      </c>
      <c r="Q102" s="189">
        <v>662106533.94000006</v>
      </c>
      <c r="R102" s="189">
        <v>559969146.71000004</v>
      </c>
      <c r="S102" s="189">
        <v>460548774.36000001</v>
      </c>
      <c r="T102" s="189">
        <v>467997433.69999999</v>
      </c>
      <c r="U102" s="189">
        <v>468020782.88</v>
      </c>
      <c r="V102" s="189">
        <v>471279482.13999999</v>
      </c>
      <c r="W102" s="189">
        <v>471453103.29000002</v>
      </c>
      <c r="X102" s="189">
        <v>459729453.69</v>
      </c>
      <c r="Y102" s="189">
        <v>459751046.17000002</v>
      </c>
      <c r="Z102" s="189">
        <v>455907603.92000002</v>
      </c>
      <c r="AA102" s="189">
        <v>462838039.52999997</v>
      </c>
      <c r="AB102" s="189">
        <v>461644305.35000002</v>
      </c>
      <c r="AC102" s="189">
        <v>459346441.47000003</v>
      </c>
      <c r="AD102" s="189">
        <v>446525925.74000001</v>
      </c>
      <c r="AE102" s="189">
        <v>440863003.14999998</v>
      </c>
      <c r="AF102" s="189">
        <v>435165523.06</v>
      </c>
      <c r="AG102" s="189">
        <v>432841133.06999999</v>
      </c>
      <c r="AH102" s="189">
        <v>428773701.24000001</v>
      </c>
      <c r="AI102" s="189">
        <v>422890139.22000003</v>
      </c>
      <c r="AJ102" s="189">
        <v>417349884.69999999</v>
      </c>
      <c r="AK102" s="189">
        <v>157382317.55000001</v>
      </c>
      <c r="AL102" s="189">
        <v>145224987.69999999</v>
      </c>
      <c r="AM102" s="189">
        <v>138048214.30000001</v>
      </c>
      <c r="AN102" s="189">
        <v>130217311.09</v>
      </c>
      <c r="AO102" s="189">
        <v>98690189.540000007</v>
      </c>
      <c r="AP102" s="189">
        <v>70000000</v>
      </c>
      <c r="AQ102" s="189">
        <v>0</v>
      </c>
      <c r="AR102" s="189">
        <v>10592688648.690001</v>
      </c>
      <c r="AS102" s="189">
        <v>9569379815.5599995</v>
      </c>
      <c r="AT102" s="189">
        <v>9444699665.4099998</v>
      </c>
      <c r="AU102" s="189">
        <v>9264864912.6800003</v>
      </c>
      <c r="AV102" s="189">
        <v>9012398068.3999996</v>
      </c>
      <c r="AW102" s="189">
        <v>8257212457.3599997</v>
      </c>
      <c r="AX102" s="189">
        <v>8106355261.6899996</v>
      </c>
      <c r="AY102" s="189">
        <v>7906099500.2799997</v>
      </c>
      <c r="AZ102" s="189">
        <v>7904330388.04</v>
      </c>
      <c r="BA102" s="189">
        <v>7358235400.0600004</v>
      </c>
      <c r="BB102" s="189">
        <v>7335831828.4099998</v>
      </c>
      <c r="BC102" s="189">
        <v>7155293928.0200005</v>
      </c>
      <c r="BD102" s="189">
        <v>6979736606.6199999</v>
      </c>
      <c r="BE102" s="189">
        <v>6566886603.0200005</v>
      </c>
      <c r="BF102" s="189">
        <v>6417153928.7799997</v>
      </c>
      <c r="BG102" s="189">
        <v>6275834678.6400003</v>
      </c>
      <c r="BH102" s="189">
        <v>6393497694.0299997</v>
      </c>
      <c r="BI102" s="189">
        <v>6010029931.6000004</v>
      </c>
      <c r="BJ102" s="189">
        <v>5854624464.04</v>
      </c>
      <c r="BK102" s="189">
        <v>5696682615.46</v>
      </c>
      <c r="BL102" s="189">
        <v>5595599973.54</v>
      </c>
      <c r="BM102" s="189">
        <v>5307055453.6800003</v>
      </c>
      <c r="BN102" s="189">
        <v>5196040467.4899998</v>
      </c>
      <c r="BO102" s="189">
        <v>5053742967.6300001</v>
      </c>
      <c r="BP102" s="189">
        <v>4942046030.3000002</v>
      </c>
      <c r="BQ102" s="189">
        <v>4693749721.5200005</v>
      </c>
      <c r="BR102" s="189">
        <v>4554380000</v>
      </c>
      <c r="BS102" s="189">
        <v>4382685677.9300003</v>
      </c>
      <c r="BT102" s="189">
        <v>4235751053.1100001</v>
      </c>
      <c r="BU102" s="189">
        <v>3188611486.52</v>
      </c>
      <c r="BV102" s="189">
        <v>2850312166.9000001</v>
      </c>
      <c r="BW102" s="189">
        <v>2420499366.4499998</v>
      </c>
      <c r="BX102" s="189">
        <v>2089698452.7</v>
      </c>
      <c r="BY102" s="189">
        <v>1764990217.6700001</v>
      </c>
      <c r="BZ102" s="189">
        <v>1864618529.46</v>
      </c>
      <c r="CA102" s="189">
        <v>392384778.43000001</v>
      </c>
      <c r="CB102" s="189">
        <v>264958379.21000001</v>
      </c>
      <c r="CC102" s="189">
        <v>225967479.94999999</v>
      </c>
      <c r="CD102" s="189">
        <v>0</v>
      </c>
      <c r="CE102" s="189">
        <v>1079642000</v>
      </c>
      <c r="CF102" s="189">
        <v>1003922431.86</v>
      </c>
      <c r="CG102" s="189">
        <v>492362941.67000002</v>
      </c>
      <c r="CH102" s="189">
        <v>203800000</v>
      </c>
      <c r="CI102" s="189">
        <v>162870000</v>
      </c>
      <c r="CJ102" s="189">
        <v>92660000</v>
      </c>
      <c r="CK102" s="189">
        <v>75420000</v>
      </c>
      <c r="CL102" s="189">
        <v>0</v>
      </c>
    </row>
    <row r="103" spans="1:90" x14ac:dyDescent="0.25">
      <c r="A103" s="128" t="s">
        <v>73</v>
      </c>
      <c r="B103" s="189">
        <v>274215217.51999998</v>
      </c>
      <c r="C103" s="189">
        <v>261037486.97999999</v>
      </c>
      <c r="D103" s="189">
        <v>231982302.63</v>
      </c>
      <c r="E103" s="189">
        <v>359880421.88999999</v>
      </c>
      <c r="F103" s="189">
        <v>172844283.22999999</v>
      </c>
      <c r="G103" s="189">
        <v>220401630.63</v>
      </c>
      <c r="H103" s="189">
        <v>169579685.21000001</v>
      </c>
      <c r="I103" s="189">
        <v>-1236515.7</v>
      </c>
      <c r="J103" s="189">
        <v>-1437610.9</v>
      </c>
      <c r="K103" s="189">
        <v>-1381915.72</v>
      </c>
      <c r="L103" s="189">
        <v>-5580724.9400000004</v>
      </c>
      <c r="M103" s="189">
        <v>-4503330.28</v>
      </c>
      <c r="N103" s="189">
        <v>-2998406</v>
      </c>
      <c r="O103" s="189">
        <v>-1910897.47</v>
      </c>
      <c r="P103" s="189">
        <v>-860547.74</v>
      </c>
      <c r="Q103" s="189">
        <v>910291.04</v>
      </c>
      <c r="R103" s="189">
        <v>-924330.72</v>
      </c>
      <c r="S103" s="189">
        <v>0</v>
      </c>
      <c r="T103" s="189">
        <v>0</v>
      </c>
      <c r="U103" s="189">
        <v>0</v>
      </c>
      <c r="V103" s="189">
        <v>0</v>
      </c>
      <c r="W103" s="189">
        <v>0</v>
      </c>
      <c r="X103" s="189">
        <v>0</v>
      </c>
      <c r="Y103" s="189">
        <v>0</v>
      </c>
      <c r="Z103" s="189">
        <v>0</v>
      </c>
      <c r="AA103" s="189">
        <v>26467671.219999999</v>
      </c>
      <c r="AB103" s="189">
        <v>25442550.190000001</v>
      </c>
      <c r="AC103" s="189">
        <v>24918658.690000001</v>
      </c>
      <c r="AD103" s="189">
        <v>22992546.52</v>
      </c>
      <c r="AE103" s="189">
        <v>21557641.129999999</v>
      </c>
      <c r="AF103" s="189">
        <v>20723804.5</v>
      </c>
      <c r="AG103" s="189">
        <v>20584541.149999999</v>
      </c>
      <c r="AH103" s="189">
        <v>19885113.5</v>
      </c>
      <c r="AI103" s="189">
        <v>19197378.949999999</v>
      </c>
      <c r="AJ103" s="189">
        <v>18740017.5</v>
      </c>
      <c r="AK103" s="189">
        <v>18371013.760000002</v>
      </c>
      <c r="AL103" s="189">
        <v>16951172.109999999</v>
      </c>
      <c r="AM103" s="189">
        <v>16405520.91</v>
      </c>
      <c r="AN103" s="189">
        <v>15746618.119999999</v>
      </c>
      <c r="AO103" s="189">
        <v>14519427.9</v>
      </c>
      <c r="AP103" s="189">
        <v>14708636.640000001</v>
      </c>
      <c r="AQ103" s="189">
        <v>0</v>
      </c>
      <c r="AR103" s="189">
        <v>49256028.789999999</v>
      </c>
      <c r="AS103" s="189">
        <v>56857168.609999999</v>
      </c>
      <c r="AT103" s="189">
        <v>40888487.079999998</v>
      </c>
      <c r="AU103" s="189">
        <v>39150237.640000001</v>
      </c>
      <c r="AV103" s="189">
        <v>39251320.369999997</v>
      </c>
      <c r="AW103" s="189">
        <v>37956057.280000001</v>
      </c>
      <c r="AX103" s="189">
        <v>33329921.27</v>
      </c>
      <c r="AY103" s="189">
        <v>32650863.870000001</v>
      </c>
      <c r="AZ103" s="189">
        <v>30454120.460000001</v>
      </c>
      <c r="BA103" s="189">
        <v>27733578.48</v>
      </c>
      <c r="BB103" s="189">
        <v>24884323.18</v>
      </c>
      <c r="BC103" s="189">
        <v>24132037.629999999</v>
      </c>
      <c r="BD103" s="189">
        <v>23728982.75</v>
      </c>
      <c r="BE103" s="189">
        <v>20075298.75</v>
      </c>
      <c r="BF103" s="189">
        <v>16762352.4</v>
      </c>
      <c r="BG103" s="189">
        <v>16880188.02</v>
      </c>
      <c r="BH103" s="189">
        <v>15789115.83</v>
      </c>
      <c r="BI103" s="189">
        <v>15862755.060000001</v>
      </c>
      <c r="BJ103" s="189">
        <v>15780686.800000001</v>
      </c>
      <c r="BK103" s="189">
        <v>15072018.689999999</v>
      </c>
      <c r="BL103" s="189">
        <v>16011767.529999999</v>
      </c>
      <c r="BM103" s="189">
        <v>15044502.029999999</v>
      </c>
      <c r="BN103" s="189">
        <v>18252665.030000001</v>
      </c>
      <c r="BO103" s="189">
        <v>21619133.460000001</v>
      </c>
      <c r="BP103" s="189">
        <v>12934639.26</v>
      </c>
      <c r="BQ103" s="189">
        <v>8493411.2799999993</v>
      </c>
      <c r="BR103" s="189">
        <v>7400000</v>
      </c>
      <c r="BS103" s="189">
        <v>2970143.71</v>
      </c>
      <c r="BT103" s="189">
        <v>2872138.39</v>
      </c>
      <c r="BU103" s="189">
        <v>2604712.4300000002</v>
      </c>
      <c r="BV103" s="189">
        <v>0</v>
      </c>
      <c r="BW103" s="189">
        <v>0</v>
      </c>
      <c r="BX103" s="189">
        <v>0</v>
      </c>
      <c r="BY103" s="189">
        <v>0</v>
      </c>
      <c r="BZ103" s="189">
        <v>0</v>
      </c>
      <c r="CA103" s="189">
        <v>0</v>
      </c>
      <c r="CB103" s="189">
        <v>0</v>
      </c>
      <c r="CC103" s="189">
        <v>0</v>
      </c>
      <c r="CD103" s="189">
        <v>0</v>
      </c>
      <c r="CE103" s="189">
        <v>96000</v>
      </c>
      <c r="CF103" s="189">
        <v>305920.90000000002</v>
      </c>
      <c r="CG103" s="189">
        <v>326958.7</v>
      </c>
      <c r="CH103" s="189">
        <v>0</v>
      </c>
      <c r="CI103" s="189">
        <v>0</v>
      </c>
      <c r="CJ103" s="189">
        <v>0</v>
      </c>
      <c r="CK103" s="189">
        <v>0</v>
      </c>
      <c r="CL103" s="189">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9694702085.6200008</v>
      </c>
      <c r="C107" s="33">
        <f>C102+C103</f>
        <v>9619828783.2399998</v>
      </c>
      <c r="D107" s="33">
        <f>D102+D103</f>
        <v>9564853602.3799992</v>
      </c>
      <c r="E107" s="33">
        <f>E102+E103</f>
        <v>9546589789.4300003</v>
      </c>
      <c r="F107" s="33">
        <f t="shared" ref="F107:BQ107" si="20">F102+F103</f>
        <v>8373798653.9199991</v>
      </c>
      <c r="G107" s="33">
        <f t="shared" si="20"/>
        <v>8277020679.7399998</v>
      </c>
      <c r="H107" s="33">
        <f t="shared" si="20"/>
        <v>5982506858.04</v>
      </c>
      <c r="I107" s="33">
        <f t="shared" si="20"/>
        <v>5708952320.9099998</v>
      </c>
      <c r="J107" s="33">
        <f t="shared" si="20"/>
        <v>5175724928.6900005</v>
      </c>
      <c r="K107" s="33">
        <f t="shared" si="20"/>
        <v>4896314387.5999994</v>
      </c>
      <c r="L107" s="33">
        <f t="shared" si="20"/>
        <v>4859560505.9000006</v>
      </c>
      <c r="M107" s="33">
        <f t="shared" si="20"/>
        <v>4969042405.9700003</v>
      </c>
      <c r="N107" s="33">
        <f t="shared" si="20"/>
        <v>878126876.58000004</v>
      </c>
      <c r="O107" s="33">
        <f t="shared" si="20"/>
        <v>778930200.69999993</v>
      </c>
      <c r="P107" s="33">
        <f t="shared" si="20"/>
        <v>733868850.33000004</v>
      </c>
      <c r="Q107" s="33">
        <f t="shared" si="20"/>
        <v>663016824.98000002</v>
      </c>
      <c r="R107" s="33">
        <f t="shared" si="20"/>
        <v>559044815.99000001</v>
      </c>
      <c r="S107" s="33">
        <f t="shared" si="20"/>
        <v>460548774.36000001</v>
      </c>
      <c r="T107" s="33">
        <f t="shared" si="20"/>
        <v>467997433.69999999</v>
      </c>
      <c r="U107" s="33">
        <f t="shared" si="20"/>
        <v>468020782.88</v>
      </c>
      <c r="V107" s="33">
        <f t="shared" si="20"/>
        <v>471279482.13999999</v>
      </c>
      <c r="W107" s="33">
        <f t="shared" si="20"/>
        <v>471453103.29000002</v>
      </c>
      <c r="X107" s="33">
        <f t="shared" si="20"/>
        <v>459729453.69</v>
      </c>
      <c r="Y107" s="33">
        <f t="shared" si="20"/>
        <v>459751046.17000002</v>
      </c>
      <c r="Z107" s="33">
        <f t="shared" si="20"/>
        <v>455907603.92000002</v>
      </c>
      <c r="AA107" s="33">
        <f t="shared" si="20"/>
        <v>489305710.75</v>
      </c>
      <c r="AB107" s="33">
        <f t="shared" si="20"/>
        <v>487086855.54000002</v>
      </c>
      <c r="AC107" s="33">
        <f t="shared" si="20"/>
        <v>484265100.16000003</v>
      </c>
      <c r="AD107" s="33">
        <f t="shared" si="20"/>
        <v>469518472.25999999</v>
      </c>
      <c r="AE107" s="33">
        <f t="shared" si="20"/>
        <v>462420644.27999997</v>
      </c>
      <c r="AF107" s="33">
        <f t="shared" si="20"/>
        <v>455889327.56</v>
      </c>
      <c r="AG107" s="33">
        <f t="shared" si="20"/>
        <v>453425674.21999997</v>
      </c>
      <c r="AH107" s="33">
        <f t="shared" si="20"/>
        <v>448658814.74000001</v>
      </c>
      <c r="AI107" s="33">
        <f t="shared" si="20"/>
        <v>442087518.17000002</v>
      </c>
      <c r="AJ107" s="33">
        <f t="shared" si="20"/>
        <v>436089902.19999999</v>
      </c>
      <c r="AK107" s="33">
        <f t="shared" si="20"/>
        <v>175753331.31</v>
      </c>
      <c r="AL107" s="33">
        <f t="shared" si="20"/>
        <v>162176159.81</v>
      </c>
      <c r="AM107" s="33">
        <f t="shared" si="20"/>
        <v>154453735.21000001</v>
      </c>
      <c r="AN107" s="33">
        <f t="shared" si="20"/>
        <v>145963929.21000001</v>
      </c>
      <c r="AO107" s="33">
        <f t="shared" si="20"/>
        <v>113209617.44000001</v>
      </c>
      <c r="AP107" s="33">
        <f t="shared" si="20"/>
        <v>84708636.640000001</v>
      </c>
      <c r="AQ107" s="33">
        <f t="shared" si="20"/>
        <v>0</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11996242039.980001</v>
      </c>
      <c r="C108" s="38">
        <f t="shared" ref="C108:BN108" si="22">SUM(C89+C107)</f>
        <v>12000051389.809999</v>
      </c>
      <c r="D108" s="38">
        <f t="shared" si="22"/>
        <v>11942933855.9</v>
      </c>
      <c r="E108" s="38">
        <f>SUM(E107+E89)</f>
        <v>11833940960.26</v>
      </c>
      <c r="F108" s="38">
        <f t="shared" si="22"/>
        <v>10474296813.709999</v>
      </c>
      <c r="G108" s="38">
        <f t="shared" si="22"/>
        <v>10205740827.91</v>
      </c>
      <c r="H108" s="38">
        <f t="shared" si="22"/>
        <v>7602401160.4700003</v>
      </c>
      <c r="I108" s="38">
        <f t="shared" si="22"/>
        <v>6360901738.7600002</v>
      </c>
      <c r="J108" s="38">
        <f t="shared" si="22"/>
        <v>5490304602.6600008</v>
      </c>
      <c r="K108" s="38">
        <f t="shared" si="22"/>
        <v>5214553043.3099995</v>
      </c>
      <c r="L108" s="38">
        <f t="shared" si="22"/>
        <v>6250832172.7900009</v>
      </c>
      <c r="M108" s="38">
        <f t="shared" si="22"/>
        <v>6540507242.1599998</v>
      </c>
      <c r="N108" s="38">
        <f t="shared" si="22"/>
        <v>1183926876.5799999</v>
      </c>
      <c r="O108" s="38">
        <f t="shared" si="22"/>
        <v>1120730200.6999998</v>
      </c>
      <c r="P108" s="38">
        <f t="shared" si="22"/>
        <v>1057668850.33</v>
      </c>
      <c r="Q108" s="38">
        <f t="shared" si="22"/>
        <v>663016824.98000002</v>
      </c>
      <c r="R108" s="38">
        <f t="shared" si="22"/>
        <v>559044815.99000001</v>
      </c>
      <c r="S108" s="38">
        <f t="shared" si="22"/>
        <v>759804413.67000008</v>
      </c>
      <c r="T108" s="38">
        <f t="shared" si="22"/>
        <v>834246542.12</v>
      </c>
      <c r="U108" s="38">
        <f t="shared" si="22"/>
        <v>884620629.63999999</v>
      </c>
      <c r="V108" s="38">
        <f t="shared" si="22"/>
        <v>892756815.53999996</v>
      </c>
      <c r="W108" s="38">
        <f t="shared" si="22"/>
        <v>885899661.63</v>
      </c>
      <c r="X108" s="38">
        <f t="shared" si="22"/>
        <v>831024145.08999991</v>
      </c>
      <c r="Y108" s="38">
        <f t="shared" si="22"/>
        <v>811315160.24000001</v>
      </c>
      <c r="Z108" s="38">
        <f t="shared" si="22"/>
        <v>781707603.92000008</v>
      </c>
      <c r="AA108" s="38">
        <f t="shared" si="22"/>
        <v>820247427.68000007</v>
      </c>
      <c r="AB108" s="38">
        <f t="shared" si="22"/>
        <v>797886855.53999996</v>
      </c>
      <c r="AC108" s="38">
        <f t="shared" si="22"/>
        <v>780688873.28999996</v>
      </c>
      <c r="AD108" s="38">
        <f t="shared" si="22"/>
        <v>755293072.25999999</v>
      </c>
      <c r="AE108" s="38">
        <f t="shared" si="22"/>
        <v>681895244.27999997</v>
      </c>
      <c r="AF108" s="38">
        <f t="shared" si="22"/>
        <v>641817196.45000005</v>
      </c>
      <c r="AG108" s="38">
        <f t="shared" si="22"/>
        <v>639472932</v>
      </c>
      <c r="AH108" s="38">
        <f t="shared" si="22"/>
        <v>607458814.74000001</v>
      </c>
      <c r="AI108" s="38">
        <f t="shared" si="22"/>
        <v>581967203.17000008</v>
      </c>
      <c r="AJ108" s="38">
        <f t="shared" si="22"/>
        <v>545969587.20000005</v>
      </c>
      <c r="AK108" s="38">
        <f t="shared" si="22"/>
        <v>285745411.31</v>
      </c>
      <c r="AL108" s="38">
        <f t="shared" si="22"/>
        <v>267908962.03</v>
      </c>
      <c r="AM108" s="38">
        <f t="shared" si="22"/>
        <v>248186537.43000001</v>
      </c>
      <c r="AN108" s="38">
        <f t="shared" si="22"/>
        <v>231144409.21000001</v>
      </c>
      <c r="AO108" s="38">
        <f t="shared" si="22"/>
        <v>187209617.44</v>
      </c>
      <c r="AP108" s="38">
        <f t="shared" si="22"/>
        <v>126408636.64</v>
      </c>
      <c r="AQ108" s="38">
        <f t="shared" si="22"/>
        <v>0</v>
      </c>
      <c r="AR108" s="38">
        <f t="shared" si="22"/>
        <v>10641944677.480001</v>
      </c>
      <c r="AS108" s="38">
        <f t="shared" si="22"/>
        <v>9626236984.1700001</v>
      </c>
      <c r="AT108" s="38">
        <f t="shared" si="22"/>
        <v>9485588152.4899998</v>
      </c>
      <c r="AU108" s="38">
        <f t="shared" si="22"/>
        <v>9304015150.3199997</v>
      </c>
      <c r="AV108" s="38">
        <f t="shared" si="22"/>
        <v>9051649388.7700005</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A31" workbookViewId="0">
      <selection activeCell="M55" sqref="M55"/>
    </sheetView>
  </sheetViews>
  <sheetFormatPr defaultRowHeight="14.4" x14ac:dyDescent="0.25"/>
  <cols>
    <col min="1" max="1" width="57.21875" style="17" bestFit="1" customWidth="1"/>
    <col min="2" max="2" width="19.33203125" hidden="1" customWidth="1"/>
    <col min="3" max="4" width="20.21875" hidden="1" customWidth="1"/>
    <col min="5" max="5" width="21.44140625" bestFit="1" customWidth="1"/>
    <col min="6" max="8" width="20.21875" hidden="1" customWidth="1"/>
    <col min="9" max="9" width="19" bestFit="1" customWidth="1"/>
    <col min="10" max="12" width="20.21875" hidden="1" customWidth="1"/>
    <col min="13" max="13" width="19" bestFit="1" customWidth="1"/>
    <col min="14" max="15" width="19" hidden="1" customWidth="1"/>
    <col min="16" max="16" width="17.77734375" hidden="1" customWidth="1"/>
    <col min="17" max="17" width="19" bestFit="1" customWidth="1"/>
    <col min="18" max="20" width="19" hidden="1" customWidth="1"/>
    <col min="21" max="21" width="19" bestFit="1" customWidth="1"/>
    <col min="22" max="24" width="19" hidden="1" customWidth="1"/>
    <col min="25" max="25" width="19" bestFit="1" customWidth="1"/>
    <col min="26" max="28" width="19" hidden="1" customWidth="1"/>
    <col min="29" max="29" width="17.77734375" bestFit="1" customWidth="1"/>
    <col min="30" max="32" width="19" hidden="1" customWidth="1"/>
    <col min="33" max="33" width="19" bestFit="1" customWidth="1"/>
    <col min="34" max="36" width="19" hidden="1" customWidth="1"/>
    <col min="37" max="37" width="17.77734375" bestFit="1" customWidth="1"/>
    <col min="38" max="40" width="17.77734375" hidden="1" customWidth="1"/>
    <col min="41" max="43" width="17.77734375" bestFit="1" customWidth="1"/>
    <col min="44" max="44" width="9.5546875" hidden="1" customWidth="1"/>
    <col min="45" max="51" width="22.6640625" bestFit="1" customWidth="1"/>
    <col min="52"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2354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89">
        <v>1868391113.5899999</v>
      </c>
      <c r="C4" s="189">
        <v>1234157097.75</v>
      </c>
      <c r="D4" s="189">
        <v>741870814.82000005</v>
      </c>
      <c r="E4" s="189">
        <v>3101374995.27</v>
      </c>
      <c r="F4" s="189">
        <v>2237152268.6500001</v>
      </c>
      <c r="G4" s="189">
        <v>1589165365.48</v>
      </c>
      <c r="H4" s="189">
        <v>639633152.34000003</v>
      </c>
      <c r="I4" s="189">
        <v>1674860621.6700001</v>
      </c>
      <c r="J4" s="189">
        <v>1309911726.6900001</v>
      </c>
      <c r="K4" s="189">
        <v>858826118.13999999</v>
      </c>
      <c r="L4" s="189">
        <v>447990967.76999998</v>
      </c>
      <c r="M4" s="189">
        <v>940847581.74000001</v>
      </c>
      <c r="N4" s="189">
        <v>528693076.44999999</v>
      </c>
      <c r="O4" s="189">
        <v>319281419.52999997</v>
      </c>
      <c r="P4" s="189">
        <v>153468545.18000001</v>
      </c>
      <c r="Q4" s="189">
        <v>475541247.29000002</v>
      </c>
      <c r="R4" s="189">
        <v>342647438.50999999</v>
      </c>
      <c r="S4" s="189">
        <v>160980245.72999999</v>
      </c>
      <c r="T4" s="189">
        <v>76490124.170000002</v>
      </c>
      <c r="U4" s="189">
        <v>404860703.92000002</v>
      </c>
      <c r="V4" s="189">
        <v>299333915.07999998</v>
      </c>
      <c r="W4" s="189">
        <v>201629671.28</v>
      </c>
      <c r="X4" s="189">
        <v>88216270.299999997</v>
      </c>
      <c r="Y4" s="189">
        <v>368978529.88999999</v>
      </c>
      <c r="Z4" s="189">
        <v>263719499.74000001</v>
      </c>
      <c r="AA4" s="189">
        <v>167647473.08000001</v>
      </c>
      <c r="AB4" s="189">
        <v>70386396.640000001</v>
      </c>
      <c r="AC4" s="189">
        <v>427854958.19</v>
      </c>
      <c r="AD4" s="189">
        <v>289069924.76999998</v>
      </c>
      <c r="AE4" s="189">
        <v>176035812.30000001</v>
      </c>
      <c r="AF4" s="189">
        <v>72551082.439999998</v>
      </c>
      <c r="AG4" s="189">
        <v>306601155.70999998</v>
      </c>
      <c r="AH4" s="189">
        <v>228052601.91</v>
      </c>
      <c r="AI4" s="189">
        <v>138338266.08000001</v>
      </c>
      <c r="AJ4" s="189">
        <v>60389382.710000001</v>
      </c>
      <c r="AK4" s="189">
        <v>236369504.05000001</v>
      </c>
      <c r="AL4" s="189">
        <v>158647035.88999999</v>
      </c>
      <c r="AM4" s="189">
        <v>96728958.370000005</v>
      </c>
      <c r="AN4" s="189">
        <v>45667900.600000001</v>
      </c>
      <c r="AO4" s="189">
        <v>285772761.35000002</v>
      </c>
      <c r="AP4" s="189">
        <v>271690739.83999997</v>
      </c>
      <c r="AQ4" s="189">
        <v>218629260.31999999</v>
      </c>
      <c r="AR4" s="189">
        <v>0</v>
      </c>
      <c r="AS4" s="189"/>
      <c r="AT4" s="189"/>
      <c r="AU4" s="189"/>
      <c r="AV4" s="189"/>
      <c r="AW4" s="189"/>
      <c r="AX4" s="189"/>
      <c r="AY4" s="189"/>
      <c r="AZ4" s="189"/>
      <c r="BA4" s="189"/>
      <c r="BB4" s="189"/>
      <c r="BC4" s="189"/>
      <c r="BD4" s="189"/>
      <c r="BE4" s="189"/>
      <c r="BF4" s="189"/>
      <c r="BG4" s="189"/>
      <c r="BH4" s="189"/>
      <c r="BI4" s="189"/>
      <c r="BJ4" s="189"/>
      <c r="BK4" s="189"/>
      <c r="BL4" s="189"/>
      <c r="BM4" s="189"/>
      <c r="BN4" s="189"/>
      <c r="BO4" s="189"/>
      <c r="BP4" s="189"/>
      <c r="BQ4" s="189"/>
      <c r="BR4" s="189"/>
      <c r="BS4" s="189"/>
      <c r="BT4" s="189"/>
      <c r="BU4" s="189"/>
      <c r="BV4" s="189"/>
      <c r="BW4" s="189"/>
      <c r="BX4" s="189"/>
      <c r="BY4" s="189"/>
      <c r="BZ4" s="189"/>
      <c r="CA4" s="189"/>
      <c r="CB4" s="189"/>
      <c r="CC4" s="189"/>
      <c r="CD4" s="189"/>
      <c r="CE4" s="189"/>
      <c r="CF4" s="189"/>
      <c r="CG4" s="189"/>
      <c r="CH4" s="189"/>
      <c r="CI4" s="189"/>
      <c r="CJ4" s="189"/>
      <c r="CK4" s="189"/>
    </row>
    <row r="5" spans="1:89" x14ac:dyDescent="0.25">
      <c r="A5" s="19" t="s">
        <v>385</v>
      </c>
      <c r="B5" s="189">
        <v>624556761.50999999</v>
      </c>
      <c r="C5" s="189">
        <v>394198759.94</v>
      </c>
      <c r="D5" s="189">
        <v>230949591.12</v>
      </c>
      <c r="E5" s="189">
        <v>1073549556.55</v>
      </c>
      <c r="F5" s="189">
        <v>812762965.25</v>
      </c>
      <c r="G5" s="189">
        <v>624870843.95000005</v>
      </c>
      <c r="H5" s="189">
        <v>243581348.91</v>
      </c>
      <c r="I5" s="189">
        <v>681953910.48000002</v>
      </c>
      <c r="J5" s="189">
        <v>586998862.96000004</v>
      </c>
      <c r="K5" s="189">
        <v>399669312.94</v>
      </c>
      <c r="L5" s="189">
        <v>217997762.84</v>
      </c>
      <c r="M5" s="189">
        <v>294534604.23000002</v>
      </c>
      <c r="N5" s="189">
        <v>143239997.56</v>
      </c>
      <c r="O5" s="189">
        <v>82821174.730000004</v>
      </c>
      <c r="P5" s="189">
        <v>36003926.729999997</v>
      </c>
      <c r="Q5" s="189">
        <v>84075285.200000003</v>
      </c>
      <c r="R5" s="189">
        <v>70051293.879999995</v>
      </c>
      <c r="S5" s="189">
        <v>134933687.97</v>
      </c>
      <c r="T5" s="189">
        <v>61285591.07</v>
      </c>
      <c r="U5" s="189">
        <v>331647428.75999999</v>
      </c>
      <c r="V5" s="189">
        <v>244767894.46000001</v>
      </c>
      <c r="W5" s="189">
        <v>159124525.56</v>
      </c>
      <c r="X5" s="189">
        <v>71075407.579999998</v>
      </c>
      <c r="Y5" s="189">
        <v>291852976.17000002</v>
      </c>
      <c r="Z5" s="189">
        <v>210304718.69</v>
      </c>
      <c r="AA5" s="189">
        <v>134841206.36000001</v>
      </c>
      <c r="AB5" s="189">
        <v>55432019.719999999</v>
      </c>
      <c r="AC5" s="189">
        <v>347819373.01999998</v>
      </c>
      <c r="AD5" s="189">
        <v>236634286.88</v>
      </c>
      <c r="AE5" s="189">
        <v>144027414.56999999</v>
      </c>
      <c r="AF5" s="189">
        <v>61399932.880000003</v>
      </c>
      <c r="AG5" s="189">
        <v>255058285.75</v>
      </c>
      <c r="AH5" s="189">
        <v>188392182.86000001</v>
      </c>
      <c r="AI5" s="189">
        <v>114405034.56</v>
      </c>
      <c r="AJ5" s="189">
        <v>50105763.420000002</v>
      </c>
      <c r="AK5" s="189">
        <v>180376688.06</v>
      </c>
      <c r="AL5" s="189">
        <v>122895640.44</v>
      </c>
      <c r="AM5" s="189">
        <v>75225794.790000007</v>
      </c>
      <c r="AN5" s="189">
        <v>37067286.439999998</v>
      </c>
      <c r="AO5" s="189">
        <v>234097399.05000001</v>
      </c>
      <c r="AP5" s="189">
        <v>218187982.00999999</v>
      </c>
      <c r="AQ5" s="189">
        <v>177908118.96000001</v>
      </c>
      <c r="AR5" s="189">
        <v>0</v>
      </c>
      <c r="AS5" s="189"/>
      <c r="AT5" s="189"/>
      <c r="AU5" s="189"/>
      <c r="AV5" s="189"/>
      <c r="AW5" s="189"/>
      <c r="AX5" s="189"/>
      <c r="AY5" s="189"/>
      <c r="AZ5" s="189"/>
      <c r="BA5" s="189"/>
      <c r="BB5" s="189"/>
      <c r="BC5" s="189"/>
      <c r="BD5" s="189"/>
      <c r="BE5" s="189"/>
      <c r="BF5" s="189"/>
      <c r="BG5" s="189"/>
      <c r="BH5" s="189"/>
      <c r="BI5" s="189"/>
      <c r="BJ5" s="189"/>
      <c r="BK5" s="189"/>
      <c r="BL5" s="189"/>
      <c r="BM5" s="189"/>
      <c r="BN5" s="189"/>
      <c r="BO5" s="189"/>
      <c r="BP5" s="189"/>
      <c r="BQ5" s="189"/>
      <c r="BR5" s="189"/>
      <c r="BS5" s="189"/>
      <c r="BT5" s="189"/>
      <c r="BU5" s="189"/>
      <c r="BV5" s="189"/>
      <c r="BW5" s="189"/>
      <c r="BX5" s="189"/>
      <c r="BY5" s="189"/>
      <c r="BZ5" s="189"/>
      <c r="CA5" s="189"/>
      <c r="CB5" s="189"/>
      <c r="CC5" s="189"/>
      <c r="CD5" s="189"/>
      <c r="CE5" s="189"/>
      <c r="CF5" s="189"/>
      <c r="CG5" s="189"/>
      <c r="CH5" s="189"/>
      <c r="CI5" s="189"/>
      <c r="CJ5" s="189"/>
      <c r="CK5" s="189"/>
    </row>
    <row r="6" spans="1:89" s="3" customFormat="1" x14ac:dyDescent="0.25">
      <c r="A6" s="20" t="s">
        <v>386</v>
      </c>
      <c r="B6" s="27">
        <f>B4-B5</f>
        <v>1243834352.0799999</v>
      </c>
      <c r="C6" s="27">
        <f t="shared" ref="C6:BN6" si="0">C4-C5</f>
        <v>839958337.80999994</v>
      </c>
      <c r="D6" s="27">
        <f t="shared" si="0"/>
        <v>510921223.70000005</v>
      </c>
      <c r="E6" s="27">
        <f t="shared" si="0"/>
        <v>2027825438.72</v>
      </c>
      <c r="F6" s="27">
        <f t="shared" si="0"/>
        <v>1424389303.4000001</v>
      </c>
      <c r="G6" s="27">
        <f t="shared" si="0"/>
        <v>964294521.52999997</v>
      </c>
      <c r="H6" s="27">
        <f t="shared" si="0"/>
        <v>396051803.43000007</v>
      </c>
      <c r="I6" s="27">
        <f t="shared" si="0"/>
        <v>992906711.19000006</v>
      </c>
      <c r="J6" s="27">
        <f t="shared" si="0"/>
        <v>722912863.73000002</v>
      </c>
      <c r="K6" s="27">
        <f t="shared" si="0"/>
        <v>459156805.19999999</v>
      </c>
      <c r="L6" s="27">
        <f t="shared" si="0"/>
        <v>229993204.92999998</v>
      </c>
      <c r="M6" s="27">
        <f t="shared" si="0"/>
        <v>646312977.50999999</v>
      </c>
      <c r="N6" s="27">
        <f t="shared" si="0"/>
        <v>385453078.88999999</v>
      </c>
      <c r="O6" s="27">
        <f t="shared" si="0"/>
        <v>236460244.79999995</v>
      </c>
      <c r="P6" s="27">
        <f t="shared" si="0"/>
        <v>117464618.45000002</v>
      </c>
      <c r="Q6" s="27">
        <f t="shared" si="0"/>
        <v>391465962.09000003</v>
      </c>
      <c r="R6" s="27">
        <f t="shared" si="0"/>
        <v>272596144.63</v>
      </c>
      <c r="S6" s="27">
        <f t="shared" si="0"/>
        <v>26046557.75999999</v>
      </c>
      <c r="T6" s="27">
        <f t="shared" si="0"/>
        <v>15204533.100000001</v>
      </c>
      <c r="U6" s="27">
        <f t="shared" si="0"/>
        <v>73213275.160000026</v>
      </c>
      <c r="V6" s="27">
        <f t="shared" si="0"/>
        <v>54566020.619999975</v>
      </c>
      <c r="W6" s="27">
        <f t="shared" si="0"/>
        <v>42505145.719999999</v>
      </c>
      <c r="X6" s="27">
        <f t="shared" si="0"/>
        <v>17140862.719999999</v>
      </c>
      <c r="Y6" s="27">
        <f t="shared" si="0"/>
        <v>77125553.719999969</v>
      </c>
      <c r="Z6" s="27">
        <f t="shared" si="0"/>
        <v>53414781.050000012</v>
      </c>
      <c r="AA6" s="27">
        <f t="shared" si="0"/>
        <v>32806266.719999999</v>
      </c>
      <c r="AB6" s="27">
        <f t="shared" si="0"/>
        <v>14954376.920000002</v>
      </c>
      <c r="AC6" s="27">
        <f t="shared" si="0"/>
        <v>80035585.170000017</v>
      </c>
      <c r="AD6" s="27">
        <f t="shared" si="0"/>
        <v>52435637.889999986</v>
      </c>
      <c r="AE6" s="27">
        <f t="shared" si="0"/>
        <v>32008397.730000019</v>
      </c>
      <c r="AF6" s="27">
        <f t="shared" si="0"/>
        <v>11151149.559999995</v>
      </c>
      <c r="AG6" s="27">
        <f t="shared" si="0"/>
        <v>51542869.959999979</v>
      </c>
      <c r="AH6" s="27">
        <f t="shared" si="0"/>
        <v>39660419.049999982</v>
      </c>
      <c r="AI6" s="27">
        <f t="shared" si="0"/>
        <v>23933231.520000011</v>
      </c>
      <c r="AJ6" s="27">
        <f t="shared" si="0"/>
        <v>10283619.289999999</v>
      </c>
      <c r="AK6" s="27">
        <f t="shared" si="0"/>
        <v>55992815.99000001</v>
      </c>
      <c r="AL6" s="27">
        <f t="shared" si="0"/>
        <v>35751395.449999988</v>
      </c>
      <c r="AM6" s="27">
        <f t="shared" si="0"/>
        <v>21503163.579999998</v>
      </c>
      <c r="AN6" s="27">
        <f t="shared" si="0"/>
        <v>8600614.1600000039</v>
      </c>
      <c r="AO6" s="27">
        <f t="shared" si="0"/>
        <v>51675362.300000012</v>
      </c>
      <c r="AP6" s="27">
        <f t="shared" si="0"/>
        <v>53502757.829999983</v>
      </c>
      <c r="AQ6" s="27">
        <f t="shared" si="0"/>
        <v>40721141.359999985</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66.572482765134112</v>
      </c>
      <c r="C7" s="57">
        <f t="shared" ref="C7:D7" si="2">C6/C4*100</f>
        <v>68.059272141393805</v>
      </c>
      <c r="D7" s="57">
        <f t="shared" si="2"/>
        <v>68.869298197687527</v>
      </c>
      <c r="E7" s="57">
        <f>E6/E4</f>
        <v>0.65384722641173587</v>
      </c>
      <c r="F7" s="57">
        <f t="shared" ref="F7:BQ7" si="3">F6/F4</f>
        <v>0.63669752093340592</v>
      </c>
      <c r="G7" s="57">
        <f t="shared" si="3"/>
        <v>0.60679306413070444</v>
      </c>
      <c r="H7" s="57">
        <f t="shared" si="3"/>
        <v>0.61918585986530739</v>
      </c>
      <c r="I7" s="57">
        <f t="shared" si="3"/>
        <v>0.59282945598182069</v>
      </c>
      <c r="J7" s="57">
        <f t="shared" si="3"/>
        <v>0.55187906864283121</v>
      </c>
      <c r="K7" s="57">
        <f t="shared" si="3"/>
        <v>0.53463302466210205</v>
      </c>
      <c r="L7" s="57">
        <f t="shared" si="3"/>
        <v>0.51338804010905692</v>
      </c>
      <c r="M7" s="57">
        <f t="shared" si="3"/>
        <v>0.68694758859316107</v>
      </c>
      <c r="N7" s="57">
        <f t="shared" si="3"/>
        <v>0.72906776362230907</v>
      </c>
      <c r="O7" s="57">
        <f t="shared" si="3"/>
        <v>0.74060133266784711</v>
      </c>
      <c r="P7" s="57">
        <f t="shared" si="3"/>
        <v>0.76539865750488645</v>
      </c>
      <c r="Q7" s="57">
        <f t="shared" si="3"/>
        <v>0.82320085654162356</v>
      </c>
      <c r="R7" s="57">
        <f t="shared" si="3"/>
        <v>0.79555868217017012</v>
      </c>
      <c r="S7" s="57">
        <f t="shared" si="3"/>
        <v>0.16179971425615733</v>
      </c>
      <c r="T7" s="57">
        <f t="shared" si="3"/>
        <v>0.1987777280398681</v>
      </c>
      <c r="U7" s="57">
        <f t="shared" si="3"/>
        <v>0.18083571571931784</v>
      </c>
      <c r="V7" s="57">
        <f t="shared" si="3"/>
        <v>0.1822914740730821</v>
      </c>
      <c r="W7" s="57">
        <f t="shared" si="3"/>
        <v>0.21080798996579111</v>
      </c>
      <c r="X7" s="57">
        <f t="shared" si="3"/>
        <v>0.19430500362017686</v>
      </c>
      <c r="Y7" s="57">
        <f t="shared" si="3"/>
        <v>0.2090245027074954</v>
      </c>
      <c r="Z7" s="57">
        <f t="shared" si="3"/>
        <v>0.20254391921212284</v>
      </c>
      <c r="AA7" s="57">
        <f t="shared" si="3"/>
        <v>0.19568601970126395</v>
      </c>
      <c r="AB7" s="57">
        <f t="shared" si="3"/>
        <v>0.21246118048187673</v>
      </c>
      <c r="AC7" s="57">
        <f t="shared" si="3"/>
        <v>0.1870624229962953</v>
      </c>
      <c r="AD7" s="57">
        <f t="shared" si="3"/>
        <v>0.18139430427333691</v>
      </c>
      <c r="AE7" s="57">
        <f t="shared" si="3"/>
        <v>0.18182889783501183</v>
      </c>
      <c r="AF7" s="57">
        <f t="shared" si="3"/>
        <v>0.1537006642074849</v>
      </c>
      <c r="AG7" s="57">
        <f t="shared" si="3"/>
        <v>0.16811048817034474</v>
      </c>
      <c r="AH7" s="57">
        <f t="shared" si="3"/>
        <v>0.17390908377204922</v>
      </c>
      <c r="AI7" s="57">
        <f t="shared" si="3"/>
        <v>0.17300514310450874</v>
      </c>
      <c r="AJ7" s="57">
        <f t="shared" si="3"/>
        <v>0.17028853133643829</v>
      </c>
      <c r="AK7" s="57">
        <f t="shared" si="3"/>
        <v>0.23688680236074644</v>
      </c>
      <c r="AL7" s="57">
        <f t="shared" si="3"/>
        <v>0.22535180219054762</v>
      </c>
      <c r="AM7" s="57">
        <f t="shared" si="3"/>
        <v>0.22230326824928465</v>
      </c>
      <c r="AN7" s="57">
        <f t="shared" si="3"/>
        <v>0.18832952789601201</v>
      </c>
      <c r="AO7" s="57">
        <f t="shared" si="3"/>
        <v>0.18082675919105753</v>
      </c>
      <c r="AP7" s="57">
        <f t="shared" si="3"/>
        <v>0.19692521674278637</v>
      </c>
      <c r="AQ7" s="57">
        <f t="shared" si="3"/>
        <v>0.18625659392707947</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9">
        <v>5990482.0499999998</v>
      </c>
      <c r="C8" s="189">
        <v>4062008.74</v>
      </c>
      <c r="D8" s="189">
        <v>2248442.37</v>
      </c>
      <c r="E8" s="189">
        <v>14762897.85</v>
      </c>
      <c r="F8" s="189">
        <v>9954565.4600000009</v>
      </c>
      <c r="G8" s="189">
        <v>7979233.3300000001</v>
      </c>
      <c r="H8" s="189">
        <v>2037316.29</v>
      </c>
      <c r="I8" s="189">
        <v>5334404.04</v>
      </c>
      <c r="J8" s="189">
        <v>3250132.44</v>
      </c>
      <c r="K8" s="189">
        <v>2148225.4300000002</v>
      </c>
      <c r="L8" s="189">
        <v>1117994.8700000001</v>
      </c>
      <c r="M8" s="189">
        <v>3973624.58</v>
      </c>
      <c r="N8" s="189">
        <v>2698035.2000000002</v>
      </c>
      <c r="O8" s="189">
        <v>1528713.33</v>
      </c>
      <c r="P8" s="189">
        <v>673026.7</v>
      </c>
      <c r="Q8" s="189">
        <v>2135664.39</v>
      </c>
      <c r="R8" s="189">
        <v>1555881.22</v>
      </c>
      <c r="S8" s="189">
        <v>1231802.94</v>
      </c>
      <c r="T8" s="189">
        <v>230951.84</v>
      </c>
      <c r="U8" s="189">
        <v>786637.65</v>
      </c>
      <c r="V8" s="189">
        <v>521075.42</v>
      </c>
      <c r="W8" s="189">
        <v>440141.02</v>
      </c>
      <c r="X8" s="189">
        <v>139746.96</v>
      </c>
      <c r="Y8" s="189">
        <v>1990295.61</v>
      </c>
      <c r="Z8" s="189">
        <v>1574985.16</v>
      </c>
      <c r="AA8" s="189">
        <v>1179884.3400000001</v>
      </c>
      <c r="AB8" s="189">
        <v>469489.97</v>
      </c>
      <c r="AC8" s="189">
        <v>2485080.54</v>
      </c>
      <c r="AD8" s="189">
        <v>967682.29</v>
      </c>
      <c r="AE8" s="189">
        <v>395512.9</v>
      </c>
      <c r="AF8" s="189">
        <v>123133.85</v>
      </c>
      <c r="AG8" s="189">
        <v>677738.84</v>
      </c>
      <c r="AH8" s="189">
        <v>619502.54</v>
      </c>
      <c r="AI8" s="189">
        <v>213160.36</v>
      </c>
      <c r="AJ8" s="189">
        <v>9770.66</v>
      </c>
      <c r="AK8" s="189">
        <v>70592.39</v>
      </c>
      <c r="AL8" s="189">
        <v>54576.77</v>
      </c>
      <c r="AM8" s="189">
        <v>38531.42</v>
      </c>
      <c r="AN8" s="189">
        <v>885.29</v>
      </c>
      <c r="AO8" s="189">
        <v>56266.720000000001</v>
      </c>
      <c r="AP8" s="189">
        <v>261365.22</v>
      </c>
      <c r="AQ8" s="189">
        <v>185792.82</v>
      </c>
      <c r="AR8" s="189">
        <v>0</v>
      </c>
      <c r="AS8" s="189"/>
      <c r="AT8" s="189"/>
      <c r="AU8" s="189"/>
      <c r="AV8" s="189"/>
      <c r="AW8" s="189"/>
      <c r="AX8" s="189"/>
      <c r="AY8" s="189"/>
      <c r="AZ8" s="189"/>
      <c r="BA8" s="189"/>
      <c r="BB8" s="189"/>
      <c r="BC8" s="189"/>
      <c r="BD8" s="189"/>
      <c r="BE8" s="189"/>
      <c r="BF8" s="189"/>
      <c r="BG8" s="189"/>
      <c r="BH8" s="189"/>
      <c r="BI8" s="189"/>
      <c r="BJ8" s="189"/>
      <c r="BK8" s="189"/>
      <c r="BL8" s="189"/>
      <c r="BM8" s="189"/>
      <c r="BN8" s="189"/>
      <c r="BO8" s="189"/>
      <c r="BP8" s="189"/>
      <c r="BQ8" s="189"/>
      <c r="BR8" s="189"/>
      <c r="BS8" s="189"/>
      <c r="BT8" s="189"/>
      <c r="BU8" s="189"/>
      <c r="BV8" s="189"/>
      <c r="BW8" s="189"/>
      <c r="BX8" s="189"/>
      <c r="BY8" s="189"/>
      <c r="BZ8" s="189"/>
      <c r="CA8" s="189"/>
      <c r="CB8" s="189"/>
      <c r="CC8" s="189"/>
      <c r="CD8" s="189"/>
      <c r="CE8" s="189"/>
      <c r="CF8" s="189"/>
      <c r="CG8" s="189"/>
      <c r="CH8" s="189"/>
      <c r="CI8" s="189"/>
      <c r="CJ8" s="189"/>
      <c r="CK8" s="189"/>
    </row>
    <row r="9" spans="1:89" x14ac:dyDescent="0.25">
      <c r="A9" s="17" t="s">
        <v>389</v>
      </c>
      <c r="B9" s="189">
        <v>266674634.78999999</v>
      </c>
      <c r="C9" s="189">
        <v>157978571.91</v>
      </c>
      <c r="D9" s="189">
        <v>73464968.620000005</v>
      </c>
      <c r="E9" s="189">
        <v>235039391.34999999</v>
      </c>
      <c r="F9" s="189">
        <v>160911887.5</v>
      </c>
      <c r="G9" s="189">
        <v>102697946.06999999</v>
      </c>
      <c r="H9" s="189">
        <v>33508005.43</v>
      </c>
      <c r="I9" s="189">
        <v>76143525.890000001</v>
      </c>
      <c r="J9" s="189">
        <v>58604093.039999999</v>
      </c>
      <c r="K9" s="189">
        <v>33786565.460000001</v>
      </c>
      <c r="L9" s="189">
        <v>19579201.640000001</v>
      </c>
      <c r="M9" s="189">
        <v>14814626.029999999</v>
      </c>
      <c r="N9" s="189">
        <v>8446284.1899999995</v>
      </c>
      <c r="O9" s="189">
        <v>6716926.7599999998</v>
      </c>
      <c r="P9" s="189">
        <v>3492623.59</v>
      </c>
      <c r="Q9" s="189">
        <v>39167018.579999998</v>
      </c>
      <c r="R9" s="189">
        <v>28778010.32</v>
      </c>
      <c r="S9" s="189">
        <v>6491548.3899999997</v>
      </c>
      <c r="T9" s="189">
        <v>2544162.16</v>
      </c>
      <c r="U9" s="189">
        <v>13101319.789999999</v>
      </c>
      <c r="V9" s="189">
        <v>8930356.6999999993</v>
      </c>
      <c r="W9" s="189">
        <v>6592855.2999999998</v>
      </c>
      <c r="X9" s="189">
        <v>3895547.01</v>
      </c>
      <c r="Y9" s="189">
        <v>11733088.949999999</v>
      </c>
      <c r="Z9" s="189">
        <v>8997436.8499999996</v>
      </c>
      <c r="AA9" s="189">
        <v>5526848.1900000004</v>
      </c>
      <c r="AB9" s="189">
        <v>3593793.33</v>
      </c>
      <c r="AC9" s="189">
        <v>11182598.359999999</v>
      </c>
      <c r="AD9" s="189">
        <v>7051016.8899999997</v>
      </c>
      <c r="AE9" s="189">
        <v>4808581.66</v>
      </c>
      <c r="AF9" s="189">
        <v>2603706.5699999998</v>
      </c>
      <c r="AG9" s="189">
        <v>7446312.4199999999</v>
      </c>
      <c r="AH9" s="189">
        <v>5205512.6100000003</v>
      </c>
      <c r="AI9" s="189">
        <v>3295356.99</v>
      </c>
      <c r="AJ9" s="189">
        <v>1314460.1200000001</v>
      </c>
      <c r="AK9" s="189">
        <v>4606815.68</v>
      </c>
      <c r="AL9" s="189">
        <v>2859957.14</v>
      </c>
      <c r="AM9" s="189">
        <v>2360819.9</v>
      </c>
      <c r="AN9" s="189">
        <v>956052.64</v>
      </c>
      <c r="AO9" s="189">
        <v>5688106.25</v>
      </c>
      <c r="AP9" s="189">
        <v>5667204.29</v>
      </c>
      <c r="AQ9" s="189">
        <v>3983624.71</v>
      </c>
      <c r="AR9" s="189">
        <v>0</v>
      </c>
      <c r="AS9" s="189"/>
      <c r="AT9" s="189"/>
      <c r="AU9" s="189"/>
      <c r="AV9" s="189"/>
      <c r="AW9" s="189"/>
      <c r="AX9" s="189"/>
      <c r="AY9" s="189"/>
      <c r="AZ9" s="189"/>
      <c r="BA9" s="189"/>
      <c r="BB9" s="189"/>
      <c r="BC9" s="189"/>
      <c r="BD9" s="189"/>
      <c r="BE9" s="189"/>
      <c r="BF9" s="189"/>
      <c r="BG9" s="189"/>
      <c r="BH9" s="189"/>
      <c r="BI9" s="189"/>
      <c r="BJ9" s="189"/>
      <c r="BK9" s="189"/>
      <c r="BL9" s="189"/>
      <c r="BM9" s="189"/>
      <c r="BN9" s="189"/>
      <c r="BO9" s="189"/>
      <c r="BP9" s="189"/>
      <c r="BQ9" s="189"/>
      <c r="BR9" s="189"/>
      <c r="BS9" s="189"/>
      <c r="BT9" s="189"/>
      <c r="BU9" s="189"/>
      <c r="BV9" s="189"/>
      <c r="BW9" s="189"/>
      <c r="BX9" s="189"/>
      <c r="BY9" s="189"/>
      <c r="BZ9" s="189"/>
      <c r="CA9" s="189"/>
      <c r="CB9" s="189"/>
      <c r="CC9" s="189"/>
      <c r="CD9" s="189"/>
      <c r="CE9" s="189"/>
      <c r="CF9" s="189"/>
      <c r="CG9" s="189"/>
      <c r="CH9" s="189"/>
      <c r="CI9" s="189"/>
      <c r="CJ9" s="189"/>
      <c r="CK9" s="189"/>
    </row>
    <row r="10" spans="1:89" x14ac:dyDescent="0.25">
      <c r="A10" s="17" t="s">
        <v>390</v>
      </c>
      <c r="B10" s="189">
        <v>243926228.55000001</v>
      </c>
      <c r="C10" s="189">
        <v>349271032.81</v>
      </c>
      <c r="D10" s="189">
        <v>175371224.78999999</v>
      </c>
      <c r="E10" s="189">
        <v>645302065.19000006</v>
      </c>
      <c r="F10" s="189">
        <v>376647774.79000002</v>
      </c>
      <c r="G10" s="189">
        <v>230984681.88</v>
      </c>
      <c r="H10" s="189">
        <v>101541708.88</v>
      </c>
      <c r="I10" s="189">
        <v>343751924.87</v>
      </c>
      <c r="J10" s="189">
        <v>295195959.89999998</v>
      </c>
      <c r="K10" s="189">
        <v>196749875.84</v>
      </c>
      <c r="L10" s="189">
        <v>88053884.180000007</v>
      </c>
      <c r="M10" s="189">
        <v>226255739.27000001</v>
      </c>
      <c r="N10" s="189">
        <v>111578771.18000001</v>
      </c>
      <c r="O10" s="189">
        <v>74093674.420000002</v>
      </c>
      <c r="P10" s="189">
        <v>37907618.509999998</v>
      </c>
      <c r="Q10" s="189">
        <v>139922870.47</v>
      </c>
      <c r="R10" s="189">
        <v>95218737.260000005</v>
      </c>
      <c r="S10" s="189">
        <v>13749416.039999999</v>
      </c>
      <c r="T10" s="189">
        <v>7229190.6799999997</v>
      </c>
      <c r="U10" s="189">
        <v>27247889.48</v>
      </c>
      <c r="V10" s="189">
        <v>20159171.960000001</v>
      </c>
      <c r="W10" s="189">
        <v>13156661.380000001</v>
      </c>
      <c r="X10" s="189">
        <v>5790115.3200000003</v>
      </c>
      <c r="Y10" s="189">
        <v>25466012.559999999</v>
      </c>
      <c r="Z10" s="189">
        <v>16706878.949999999</v>
      </c>
      <c r="AA10" s="189">
        <v>10583610.17</v>
      </c>
      <c r="AB10" s="189">
        <v>4579572.97</v>
      </c>
      <c r="AC10" s="189">
        <v>20500322.920000002</v>
      </c>
      <c r="AD10" s="189">
        <v>15196836.859999999</v>
      </c>
      <c r="AE10" s="189">
        <v>10240511.060000001</v>
      </c>
      <c r="AF10" s="189">
        <v>4655559.8099999996</v>
      </c>
      <c r="AG10" s="189">
        <v>21064727.32</v>
      </c>
      <c r="AH10" s="189">
        <v>17088875.149999999</v>
      </c>
      <c r="AI10" s="189">
        <v>13423976.67</v>
      </c>
      <c r="AJ10" s="189">
        <v>10065443.91</v>
      </c>
      <c r="AK10" s="189">
        <v>12385737.359999999</v>
      </c>
      <c r="AL10" s="189">
        <v>8100878.7400000002</v>
      </c>
      <c r="AM10" s="189">
        <v>5105867.0199999996</v>
      </c>
      <c r="AN10" s="189">
        <v>2168814.48</v>
      </c>
      <c r="AO10" s="189">
        <v>10425117.710000001</v>
      </c>
      <c r="AP10" s="189">
        <v>7970574.8799999999</v>
      </c>
      <c r="AQ10" s="189">
        <v>3966026.1</v>
      </c>
      <c r="AR10" s="189">
        <v>0</v>
      </c>
      <c r="AS10" s="189"/>
      <c r="AT10" s="189"/>
      <c r="AU10" s="189"/>
      <c r="AV10" s="189"/>
      <c r="AW10" s="189"/>
      <c r="AX10" s="189"/>
      <c r="AY10" s="189"/>
      <c r="AZ10" s="189"/>
      <c r="BA10" s="189"/>
      <c r="BB10" s="189"/>
      <c r="BC10" s="189"/>
      <c r="BD10" s="189"/>
      <c r="BE10" s="189"/>
      <c r="BF10" s="189"/>
      <c r="BG10" s="189"/>
      <c r="BH10" s="189"/>
      <c r="BI10" s="189"/>
      <c r="BJ10" s="189"/>
      <c r="BK10" s="189"/>
      <c r="BL10" s="189"/>
      <c r="BM10" s="189"/>
      <c r="BN10" s="189"/>
      <c r="BO10" s="189"/>
      <c r="BP10" s="189"/>
      <c r="BQ10" s="189"/>
      <c r="BR10" s="189"/>
      <c r="BS10" s="189"/>
      <c r="BT10" s="189"/>
      <c r="BU10" s="189"/>
      <c r="BV10" s="189"/>
      <c r="BW10" s="189"/>
      <c r="BX10" s="189"/>
      <c r="BY10" s="189"/>
      <c r="BZ10" s="189"/>
      <c r="CA10" s="189"/>
      <c r="CB10" s="189"/>
      <c r="CC10" s="189"/>
      <c r="CD10" s="189"/>
      <c r="CE10" s="189"/>
      <c r="CF10" s="189"/>
      <c r="CG10" s="189"/>
      <c r="CH10" s="189"/>
      <c r="CI10" s="189"/>
      <c r="CJ10" s="189"/>
      <c r="CK10" s="189"/>
    </row>
    <row r="11" spans="1:89" x14ac:dyDescent="0.25">
      <c r="A11" s="17" t="s">
        <v>391</v>
      </c>
      <c r="B11" s="189">
        <v>7440266.5199999996</v>
      </c>
      <c r="C11" s="189">
        <v>11094350.9</v>
      </c>
      <c r="D11" s="189">
        <v>8493498.3200000003</v>
      </c>
      <c r="E11" s="189">
        <v>94553626.400000006</v>
      </c>
      <c r="F11" s="189">
        <v>13739282.439999999</v>
      </c>
      <c r="G11" s="189">
        <v>10098933.4</v>
      </c>
      <c r="H11" s="189">
        <v>-3710435.92</v>
      </c>
      <c r="I11" s="189">
        <v>29691962.469999999</v>
      </c>
      <c r="J11" s="189">
        <v>2725015.63</v>
      </c>
      <c r="K11" s="189">
        <v>3958780.17</v>
      </c>
      <c r="L11" s="189">
        <v>2072613.08</v>
      </c>
      <c r="M11" s="189">
        <v>25403369.030000001</v>
      </c>
      <c r="N11" s="189">
        <v>518989.3</v>
      </c>
      <c r="O11" s="189">
        <v>2445124.89</v>
      </c>
      <c r="P11" s="189">
        <v>556491.16</v>
      </c>
      <c r="Q11" s="189">
        <v>1263500.74</v>
      </c>
      <c r="R11" s="189">
        <v>-265855</v>
      </c>
      <c r="S11" s="189">
        <v>-1551647.8</v>
      </c>
      <c r="T11" s="189">
        <v>-926583.99</v>
      </c>
      <c r="U11" s="189">
        <v>808807.22</v>
      </c>
      <c r="V11" s="189">
        <v>718505.48</v>
      </c>
      <c r="W11" s="189">
        <v>718505.48</v>
      </c>
      <c r="X11" s="189">
        <v>0</v>
      </c>
      <c r="Y11" s="189">
        <v>77412.22</v>
      </c>
      <c r="Z11" s="189">
        <v>-435229.57</v>
      </c>
      <c r="AA11" s="189">
        <v>-435229.57</v>
      </c>
      <c r="AB11" s="189">
        <v>0</v>
      </c>
      <c r="AC11" s="189">
        <v>1220059.21</v>
      </c>
      <c r="AD11" s="189">
        <v>0</v>
      </c>
      <c r="AE11" s="189">
        <v>0</v>
      </c>
      <c r="AF11" s="189">
        <v>0</v>
      </c>
      <c r="AG11" s="189">
        <v>-4600</v>
      </c>
      <c r="AH11" s="189">
        <v>-4600</v>
      </c>
      <c r="AI11" s="189">
        <v>0</v>
      </c>
      <c r="AJ11" s="189">
        <v>0</v>
      </c>
      <c r="AK11" s="189">
        <v>4600</v>
      </c>
      <c r="AL11" s="189">
        <v>0</v>
      </c>
      <c r="AM11" s="189">
        <v>45102.78</v>
      </c>
      <c r="AN11" s="189">
        <v>0</v>
      </c>
      <c r="AO11" s="189">
        <v>0</v>
      </c>
      <c r="AP11" s="189">
        <v>0</v>
      </c>
      <c r="AQ11" s="189">
        <v>0</v>
      </c>
      <c r="AR11" s="189">
        <v>0</v>
      </c>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c r="BO11" s="189"/>
      <c r="BP11" s="189"/>
      <c r="BQ11" s="189"/>
      <c r="BR11" s="189"/>
      <c r="BS11" s="189"/>
      <c r="BT11" s="189"/>
      <c r="BU11" s="189"/>
      <c r="BV11" s="189"/>
      <c r="BW11" s="189"/>
      <c r="BX11" s="189"/>
      <c r="BY11" s="189"/>
      <c r="BZ11" s="189"/>
      <c r="CA11" s="189"/>
      <c r="CB11" s="189"/>
      <c r="CC11" s="189"/>
      <c r="CD11" s="189"/>
      <c r="CE11" s="189"/>
      <c r="CF11" s="189"/>
      <c r="CG11" s="189"/>
      <c r="CH11" s="189"/>
      <c r="CI11" s="189"/>
      <c r="CJ11" s="189"/>
      <c r="CK11" s="189"/>
    </row>
    <row r="12" spans="1:89" s="7" customFormat="1" x14ac:dyDescent="0.25">
      <c r="A12" s="21" t="s">
        <v>392</v>
      </c>
      <c r="B12" s="29">
        <f>B55</f>
        <v>463</v>
      </c>
      <c r="C12" s="29">
        <f t="shared" ref="C12:BN12" si="5">C55</f>
        <v>603</v>
      </c>
      <c r="D12" s="29">
        <f t="shared" si="5"/>
        <v>653</v>
      </c>
      <c r="E12" s="29">
        <f t="shared" si="5"/>
        <v>4356622.45</v>
      </c>
      <c r="F12" s="29">
        <f t="shared" si="5"/>
        <v>1204</v>
      </c>
      <c r="G12" s="29">
        <f t="shared" si="5"/>
        <v>868</v>
      </c>
      <c r="H12" s="29">
        <f t="shared" si="5"/>
        <v>644</v>
      </c>
      <c r="I12" s="29">
        <f t="shared" si="5"/>
        <v>4634804.4800000004</v>
      </c>
      <c r="J12" s="29">
        <f t="shared" si="5"/>
        <v>0</v>
      </c>
      <c r="K12" s="29">
        <f t="shared" si="5"/>
        <v>0</v>
      </c>
      <c r="L12" s="29">
        <f t="shared" si="5"/>
        <v>0</v>
      </c>
      <c r="M12" s="29">
        <f t="shared" si="5"/>
        <v>3413460.04</v>
      </c>
      <c r="N12" s="29">
        <f t="shared" si="5"/>
        <v>0</v>
      </c>
      <c r="O12" s="29">
        <f t="shared" si="5"/>
        <v>0</v>
      </c>
      <c r="P12" s="29">
        <f t="shared" si="5"/>
        <v>0</v>
      </c>
      <c r="Q12" s="29">
        <f t="shared" si="5"/>
        <v>0</v>
      </c>
      <c r="R12" s="29">
        <f t="shared" si="5"/>
        <v>0</v>
      </c>
      <c r="S12" s="29">
        <f t="shared" si="5"/>
        <v>0</v>
      </c>
      <c r="T12" s="29">
        <f t="shared" si="5"/>
        <v>0</v>
      </c>
      <c r="U12" s="29">
        <f t="shared" si="5"/>
        <v>0</v>
      </c>
      <c r="V12" s="29">
        <f t="shared" si="5"/>
        <v>0</v>
      </c>
      <c r="W12" s="29">
        <f t="shared" si="5"/>
        <v>0</v>
      </c>
      <c r="X12" s="29">
        <f t="shared" si="5"/>
        <v>0</v>
      </c>
      <c r="Y12" s="29">
        <f t="shared" si="5"/>
        <v>0</v>
      </c>
      <c r="Z12" s="29">
        <f t="shared" si="5"/>
        <v>0</v>
      </c>
      <c r="AA12" s="29">
        <f t="shared" si="5"/>
        <v>0</v>
      </c>
      <c r="AB12" s="29">
        <f t="shared" si="5"/>
        <v>0</v>
      </c>
      <c r="AC12" s="29">
        <f t="shared" si="5"/>
        <v>0</v>
      </c>
      <c r="AD12" s="29">
        <f t="shared" si="5"/>
        <v>0</v>
      </c>
      <c r="AE12" s="29">
        <f t="shared" si="5"/>
        <v>0</v>
      </c>
      <c r="AF12" s="29">
        <f t="shared" si="5"/>
        <v>0</v>
      </c>
      <c r="AG12" s="29">
        <f t="shared" si="5"/>
        <v>0</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9">
        <v>3283212.66</v>
      </c>
      <c r="C13" s="189">
        <v>2305171.9</v>
      </c>
      <c r="D13" s="189">
        <v>1311846.8899999999</v>
      </c>
      <c r="E13" s="189">
        <v>3155021.99</v>
      </c>
      <c r="F13" s="189">
        <v>127183036.91</v>
      </c>
      <c r="G13" s="189">
        <v>3106866.07</v>
      </c>
      <c r="H13" s="189">
        <v>2046422.63</v>
      </c>
      <c r="I13" s="189">
        <v>8203964.71</v>
      </c>
      <c r="J13" s="189">
        <v>2808920.95</v>
      </c>
      <c r="K13" s="189">
        <v>2013052.82</v>
      </c>
      <c r="L13" s="189">
        <v>170464</v>
      </c>
      <c r="M13" s="189">
        <v>511240.38</v>
      </c>
      <c r="N13" s="189">
        <v>1.78</v>
      </c>
      <c r="O13" s="189">
        <v>1.76</v>
      </c>
      <c r="P13" s="189">
        <v>0</v>
      </c>
      <c r="Q13" s="189">
        <v>2030.01</v>
      </c>
      <c r="R13" s="189">
        <v>2030.01</v>
      </c>
      <c r="S13" s="189">
        <v>128499.01</v>
      </c>
      <c r="T13" s="189">
        <v>128499.01</v>
      </c>
      <c r="U13" s="189">
        <v>16150638.18</v>
      </c>
      <c r="V13" s="189">
        <v>16150624</v>
      </c>
      <c r="W13" s="189">
        <v>13921624</v>
      </c>
      <c r="X13" s="189">
        <v>15000</v>
      </c>
      <c r="Y13" s="189">
        <v>13314500.279999999</v>
      </c>
      <c r="Z13" s="189">
        <v>11621600.65</v>
      </c>
      <c r="AA13" s="189">
        <v>11487062.789999999</v>
      </c>
      <c r="AB13" s="189">
        <v>220092.79</v>
      </c>
      <c r="AC13" s="189">
        <v>13847144.960000001</v>
      </c>
      <c r="AD13" s="189">
        <v>667117.15</v>
      </c>
      <c r="AE13" s="189">
        <v>636091.5</v>
      </c>
      <c r="AF13" s="189">
        <v>636091.5</v>
      </c>
      <c r="AG13" s="189">
        <v>3371805.3</v>
      </c>
      <c r="AH13" s="189">
        <v>2480614</v>
      </c>
      <c r="AI13" s="189">
        <v>2203166</v>
      </c>
      <c r="AJ13" s="189">
        <v>68900</v>
      </c>
      <c r="AK13" s="189">
        <v>5378932.9100000001</v>
      </c>
      <c r="AL13" s="189">
        <v>258054.91</v>
      </c>
      <c r="AM13" s="189">
        <v>232322</v>
      </c>
      <c r="AN13" s="189">
        <v>132322</v>
      </c>
      <c r="AO13" s="189">
        <v>10822685.65</v>
      </c>
      <c r="AP13" s="189">
        <v>0</v>
      </c>
      <c r="AQ13" s="189">
        <v>0</v>
      </c>
      <c r="AR13" s="189">
        <v>0</v>
      </c>
      <c r="AS13" s="189"/>
      <c r="AT13" s="189"/>
      <c r="AU13" s="189"/>
      <c r="AV13" s="189"/>
      <c r="AW13" s="189"/>
      <c r="AX13" s="189"/>
      <c r="AY13" s="189"/>
      <c r="AZ13" s="189"/>
      <c r="BA13" s="189"/>
      <c r="BB13" s="189"/>
      <c r="BC13" s="189"/>
      <c r="BD13" s="189"/>
      <c r="BE13" s="189"/>
      <c r="BF13" s="189"/>
      <c r="BG13" s="189"/>
      <c r="BH13" s="189"/>
      <c r="BI13" s="189"/>
      <c r="BJ13" s="189"/>
      <c r="BK13" s="189"/>
      <c r="BL13" s="189"/>
      <c r="BM13" s="189"/>
      <c r="BN13" s="189"/>
      <c r="BO13" s="189"/>
      <c r="BP13" s="189"/>
      <c r="BQ13" s="189"/>
      <c r="BR13" s="189"/>
      <c r="BS13" s="189"/>
      <c r="BT13" s="189"/>
      <c r="BU13" s="189"/>
      <c r="BV13" s="189"/>
      <c r="BW13" s="189"/>
      <c r="BX13" s="189"/>
      <c r="BY13" s="189"/>
      <c r="BZ13" s="189"/>
      <c r="CA13" s="189"/>
      <c r="CB13" s="189"/>
      <c r="CC13" s="189"/>
      <c r="CD13" s="189"/>
      <c r="CE13" s="189"/>
      <c r="CF13" s="189"/>
      <c r="CG13" s="189"/>
      <c r="CH13" s="189"/>
      <c r="CI13" s="189"/>
      <c r="CJ13" s="189"/>
      <c r="CK13" s="189"/>
    </row>
    <row r="14" spans="1:89" x14ac:dyDescent="0.25">
      <c r="A14" s="17" t="s">
        <v>394</v>
      </c>
      <c r="B14" s="189">
        <v>57807.54</v>
      </c>
      <c r="C14" s="189">
        <v>29031.19</v>
      </c>
      <c r="D14" s="189">
        <v>20200.060000000001</v>
      </c>
      <c r="E14" s="189">
        <v>28698522.949999999</v>
      </c>
      <c r="F14" s="189">
        <v>4260696.93</v>
      </c>
      <c r="G14" s="189">
        <v>4062629.34</v>
      </c>
      <c r="H14" s="189">
        <v>4022553.88</v>
      </c>
      <c r="I14" s="189">
        <v>1233072.08</v>
      </c>
      <c r="J14" s="189">
        <v>437.1</v>
      </c>
      <c r="K14" s="189">
        <v>399.8</v>
      </c>
      <c r="L14" s="189">
        <v>0</v>
      </c>
      <c r="M14" s="189">
        <v>6504270</v>
      </c>
      <c r="N14" s="189">
        <v>3170</v>
      </c>
      <c r="O14" s="189">
        <v>2250</v>
      </c>
      <c r="P14" s="189">
        <v>100</v>
      </c>
      <c r="Q14" s="189">
        <v>271.2</v>
      </c>
      <c r="R14" s="189">
        <v>271.2</v>
      </c>
      <c r="S14" s="189">
        <v>73953.83</v>
      </c>
      <c r="T14" s="189">
        <v>70000</v>
      </c>
      <c r="U14" s="189">
        <v>139182.96</v>
      </c>
      <c r="V14" s="189">
        <v>131690.14000000001</v>
      </c>
      <c r="W14" s="189">
        <v>35742.32</v>
      </c>
      <c r="X14" s="189">
        <v>30566</v>
      </c>
      <c r="Y14" s="189">
        <v>135926.93</v>
      </c>
      <c r="Z14" s="189">
        <v>129179.52</v>
      </c>
      <c r="AA14" s="189">
        <v>35000</v>
      </c>
      <c r="AB14" s="189">
        <v>30000</v>
      </c>
      <c r="AC14" s="189">
        <v>97510.33</v>
      </c>
      <c r="AD14" s="189">
        <v>15775.67</v>
      </c>
      <c r="AE14" s="189">
        <v>0</v>
      </c>
      <c r="AF14" s="189">
        <v>0</v>
      </c>
      <c r="AG14" s="189">
        <v>30000</v>
      </c>
      <c r="AH14" s="189">
        <v>0</v>
      </c>
      <c r="AI14" s="189">
        <v>0</v>
      </c>
      <c r="AJ14" s="189">
        <v>0</v>
      </c>
      <c r="AK14" s="189">
        <v>107786.49</v>
      </c>
      <c r="AL14" s="189">
        <v>97620</v>
      </c>
      <c r="AM14" s="189">
        <v>76420</v>
      </c>
      <c r="AN14" s="189">
        <v>66420</v>
      </c>
      <c r="AO14" s="189">
        <v>96000</v>
      </c>
      <c r="AP14" s="189">
        <v>75000</v>
      </c>
      <c r="AQ14" s="189">
        <v>0</v>
      </c>
      <c r="AR14" s="189">
        <v>0</v>
      </c>
      <c r="AS14" s="189"/>
      <c r="AT14" s="189"/>
      <c r="AU14" s="189"/>
      <c r="AV14" s="189"/>
      <c r="AW14" s="189"/>
      <c r="AX14" s="189"/>
      <c r="AY14" s="189"/>
      <c r="AZ14" s="189"/>
      <c r="BA14" s="189"/>
      <c r="BB14" s="189"/>
      <c r="BC14" s="189"/>
      <c r="BD14" s="189"/>
      <c r="BE14" s="189"/>
      <c r="BF14" s="189"/>
      <c r="BG14" s="189"/>
      <c r="BH14" s="189"/>
      <c r="BI14" s="189"/>
      <c r="BJ14" s="189"/>
      <c r="BK14" s="189"/>
      <c r="BL14" s="189"/>
      <c r="BM14" s="189"/>
      <c r="BN14" s="189"/>
      <c r="BO14" s="189"/>
      <c r="BP14" s="189"/>
      <c r="BQ14" s="189"/>
      <c r="BR14" s="189"/>
      <c r="BS14" s="189"/>
      <c r="BT14" s="189"/>
      <c r="BU14" s="189"/>
      <c r="BV14" s="189"/>
      <c r="BW14" s="189"/>
      <c r="BX14" s="189"/>
      <c r="BY14" s="189"/>
      <c r="BZ14" s="189"/>
      <c r="CA14" s="189"/>
      <c r="CB14" s="189"/>
      <c r="CC14" s="189"/>
      <c r="CD14" s="189"/>
      <c r="CE14" s="189"/>
      <c r="CF14" s="189"/>
      <c r="CG14" s="189"/>
      <c r="CH14" s="189"/>
      <c r="CI14" s="189"/>
      <c r="CJ14" s="189"/>
      <c r="CK14" s="189"/>
    </row>
    <row r="15" spans="1:89" s="2" customFormat="1" x14ac:dyDescent="0.25">
      <c r="A15" s="20" t="s">
        <v>397</v>
      </c>
      <c r="B15" s="28">
        <f>B6-(B8+B9+B10+B11+B12)+B13-B14</f>
        <v>723027682.28999996</v>
      </c>
      <c r="C15" s="28">
        <f t="shared" ref="C15:BN15" si="7">C6-(C8+C9+C10+C11+C12)+C13-C14</f>
        <v>319827911.15999991</v>
      </c>
      <c r="D15" s="28">
        <f t="shared" si="7"/>
        <v>252634083.43000004</v>
      </c>
      <c r="E15" s="28">
        <f t="shared" si="7"/>
        <v>1008267334.5199999</v>
      </c>
      <c r="F15" s="28">
        <f t="shared" si="7"/>
        <v>986056929.19000006</v>
      </c>
      <c r="G15" s="28">
        <f t="shared" si="7"/>
        <v>611577095.58000004</v>
      </c>
      <c r="H15" s="28">
        <f t="shared" si="7"/>
        <v>260698433.50000006</v>
      </c>
      <c r="I15" s="28">
        <f t="shared" si="7"/>
        <v>540320982.07000005</v>
      </c>
      <c r="J15" s="28">
        <f t="shared" si="7"/>
        <v>365946146.56999999</v>
      </c>
      <c r="K15" s="28">
        <f t="shared" si="7"/>
        <v>224526011.31999996</v>
      </c>
      <c r="L15" s="28">
        <f t="shared" si="7"/>
        <v>119339975.15999997</v>
      </c>
      <c r="M15" s="28">
        <f t="shared" si="7"/>
        <v>366459128.94</v>
      </c>
      <c r="N15" s="28">
        <f t="shared" si="7"/>
        <v>262207830.79999998</v>
      </c>
      <c r="O15" s="28">
        <f t="shared" si="7"/>
        <v>151673557.15999994</v>
      </c>
      <c r="P15" s="28">
        <f t="shared" si="7"/>
        <v>74834758.490000024</v>
      </c>
      <c r="Q15" s="28">
        <f t="shared" si="7"/>
        <v>208978666.72000003</v>
      </c>
      <c r="R15" s="28">
        <f t="shared" si="7"/>
        <v>147311129.63999999</v>
      </c>
      <c r="S15" s="28">
        <f t="shared" si="7"/>
        <v>6179983.3699999936</v>
      </c>
      <c r="T15" s="28">
        <f t="shared" si="7"/>
        <v>6185311.4200000018</v>
      </c>
      <c r="U15" s="28">
        <f t="shared" si="7"/>
        <v>47280076.240000024</v>
      </c>
      <c r="V15" s="28">
        <f t="shared" si="7"/>
        <v>40255844.919999972</v>
      </c>
      <c r="W15" s="28">
        <f t="shared" si="7"/>
        <v>35482864.219999991</v>
      </c>
      <c r="X15" s="28">
        <f t="shared" si="7"/>
        <v>7299887.4299999997</v>
      </c>
      <c r="Y15" s="28">
        <f t="shared" si="7"/>
        <v>51037317.729999974</v>
      </c>
      <c r="Z15" s="28">
        <f t="shared" si="7"/>
        <v>38063130.790000007</v>
      </c>
      <c r="AA15" s="28">
        <f t="shared" si="7"/>
        <v>27403216.379999999</v>
      </c>
      <c r="AB15" s="28">
        <f t="shared" si="7"/>
        <v>6501613.4400000023</v>
      </c>
      <c r="AC15" s="28">
        <f t="shared" si="7"/>
        <v>58397158.770000018</v>
      </c>
      <c r="AD15" s="28">
        <f t="shared" si="7"/>
        <v>29871443.329999983</v>
      </c>
      <c r="AE15" s="28">
        <f t="shared" si="7"/>
        <v>17199883.610000018</v>
      </c>
      <c r="AF15" s="28">
        <f t="shared" si="7"/>
        <v>4404840.8299999954</v>
      </c>
      <c r="AG15" s="28">
        <f t="shared" si="7"/>
        <v>25700496.679999981</v>
      </c>
      <c r="AH15" s="28">
        <f t="shared" si="7"/>
        <v>19231742.749999985</v>
      </c>
      <c r="AI15" s="28">
        <f t="shared" si="7"/>
        <v>9203903.5000000112</v>
      </c>
      <c r="AJ15" s="28">
        <f t="shared" si="7"/>
        <v>-1037155.4000000004</v>
      </c>
      <c r="AK15" s="28">
        <f t="shared" si="7"/>
        <v>44196216.980000012</v>
      </c>
      <c r="AL15" s="28">
        <f t="shared" si="7"/>
        <v>24896417.70999999</v>
      </c>
      <c r="AM15" s="28">
        <f t="shared" si="7"/>
        <v>14108744.459999997</v>
      </c>
      <c r="AN15" s="28">
        <f t="shared" si="7"/>
        <v>5540763.7500000037</v>
      </c>
      <c r="AO15" s="28">
        <f t="shared" si="7"/>
        <v>46232557.270000011</v>
      </c>
      <c r="AP15" s="28">
        <f t="shared" si="7"/>
        <v>39528613.439999983</v>
      </c>
      <c r="AQ15" s="28">
        <f t="shared" si="7"/>
        <v>32585697.729999986</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35386207.590508901</v>
      </c>
      <c r="C16" s="26">
        <f t="shared" ref="C16:BN16" si="9">C15*C41</f>
        <v>24098665.851480402</v>
      </c>
      <c r="D16" s="26">
        <f t="shared" si="9"/>
        <v>7881138.6461533783</v>
      </c>
      <c r="E16" s="26">
        <f t="shared" si="9"/>
        <v>114294863.17473413</v>
      </c>
      <c r="F16" s="26">
        <f t="shared" si="9"/>
        <v>16014902.302155478</v>
      </c>
      <c r="G16" s="26">
        <f t="shared" si="9"/>
        <v>-2628660.2899054578</v>
      </c>
      <c r="H16" s="26">
        <f t="shared" si="9"/>
        <v>31886595.817869619</v>
      </c>
      <c r="I16" s="26">
        <f t="shared" si="9"/>
        <v>15854932.451368948</v>
      </c>
      <c r="J16" s="26">
        <f t="shared" si="9"/>
        <v>24633556.522961307</v>
      </c>
      <c r="K16" s="26">
        <f t="shared" si="9"/>
        <v>-123611731.26094235</v>
      </c>
      <c r="L16" s="26">
        <f t="shared" si="9"/>
        <v>-11039647.439217577</v>
      </c>
      <c r="M16" s="26">
        <f t="shared" si="9"/>
        <v>2405597.4538645758</v>
      </c>
      <c r="N16" s="26">
        <f t="shared" si="9"/>
        <v>7469643.1354006752</v>
      </c>
      <c r="O16" s="26">
        <f t="shared" si="9"/>
        <v>4191817.6672974993</v>
      </c>
      <c r="P16" s="26">
        <f t="shared" si="9"/>
        <v>2215827.9222929683</v>
      </c>
      <c r="Q16" s="26">
        <f t="shared" si="9"/>
        <v>10865067.136671597</v>
      </c>
      <c r="R16" s="26">
        <f t="shared" si="9"/>
        <v>8285348.7096018223</v>
      </c>
      <c r="S16" s="26">
        <f t="shared" si="9"/>
        <v>-1125341.4967988101</v>
      </c>
      <c r="T16" s="26">
        <f t="shared" si="9"/>
        <v>6372944.0888122618</v>
      </c>
      <c r="U16" s="26">
        <f t="shared" si="9"/>
        <v>12810097.171784917</v>
      </c>
      <c r="V16" s="26">
        <f t="shared" si="9"/>
        <v>10448675.666535314</v>
      </c>
      <c r="W16" s="26">
        <f t="shared" si="9"/>
        <v>12704848.611851657</v>
      </c>
      <c r="X16" s="26">
        <f t="shared" si="9"/>
        <v>7458178.4316873029</v>
      </c>
      <c r="Y16" s="26">
        <f t="shared" si="9"/>
        <v>11615516.82705895</v>
      </c>
      <c r="Z16" s="26">
        <f t="shared" si="9"/>
        <v>7838093.8227169244</v>
      </c>
      <c r="AA16" s="26">
        <f t="shared" si="9"/>
        <v>6000122.5790815633</v>
      </c>
      <c r="AB16" s="26">
        <f t="shared" si="9"/>
        <v>1410396.9477084607</v>
      </c>
      <c r="AC16" s="26">
        <f t="shared" si="9"/>
        <v>11915333.536325308</v>
      </c>
      <c r="AD16" s="26">
        <f t="shared" si="9"/>
        <v>5894885.2950410778</v>
      </c>
      <c r="AE16" s="26">
        <f t="shared" si="9"/>
        <v>3571568.9363050954</v>
      </c>
      <c r="AF16" s="26">
        <f t="shared" si="9"/>
        <v>992737.87882582471</v>
      </c>
      <c r="AG16" s="26">
        <f t="shared" si="9"/>
        <v>4787457.616204787</v>
      </c>
      <c r="AH16" s="26">
        <f t="shared" si="9"/>
        <v>3967773.4286275441</v>
      </c>
      <c r="AI16" s="26">
        <f t="shared" si="9"/>
        <v>1835837.4972236436</v>
      </c>
      <c r="AJ16" s="26">
        <f t="shared" si="9"/>
        <v>83704.242930413442</v>
      </c>
      <c r="AK16" s="26">
        <f t="shared" si="9"/>
        <v>8462735.1842505652</v>
      </c>
      <c r="AL16" s="26">
        <f t="shared" si="9"/>
        <v>4977363.0142141879</v>
      </c>
      <c r="AM16" s="26">
        <f t="shared" si="9"/>
        <v>2848614.5154338661</v>
      </c>
      <c r="AN16" s="26">
        <f t="shared" si="9"/>
        <v>1069424.0411063985</v>
      </c>
      <c r="AO16" s="26">
        <f t="shared" si="9"/>
        <v>4437640.9980816934</v>
      </c>
      <c r="AP16" s="26">
        <f t="shared" si="9"/>
        <v>4882119.6794553306</v>
      </c>
      <c r="AQ16" s="26">
        <f t="shared" si="9"/>
        <v>3904784.5739040463</v>
      </c>
      <c r="AR16" s="26" t="e">
        <f t="shared" si="9"/>
        <v>#DIV/0!</v>
      </c>
      <c r="AS16" s="26">
        <f t="shared" si="9"/>
        <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687641474.69949102</v>
      </c>
      <c r="C17" s="27">
        <f t="shared" ref="C17:BN17" si="11">C15-C16</f>
        <v>295729245.30851948</v>
      </c>
      <c r="D17" s="27">
        <f t="shared" si="11"/>
        <v>244752944.78384665</v>
      </c>
      <c r="E17" s="27">
        <f t="shared" si="11"/>
        <v>893972471.34526575</v>
      </c>
      <c r="F17" s="27">
        <f t="shared" si="11"/>
        <v>970042026.88784456</v>
      </c>
      <c r="G17" s="27">
        <f t="shared" si="11"/>
        <v>614205755.86990547</v>
      </c>
      <c r="H17" s="27">
        <f t="shared" si="11"/>
        <v>228811837.68213046</v>
      </c>
      <c r="I17" s="27">
        <f t="shared" si="11"/>
        <v>524466049.61863112</v>
      </c>
      <c r="J17" s="27">
        <f t="shared" si="11"/>
        <v>341312590.04703867</v>
      </c>
      <c r="K17" s="27">
        <f t="shared" si="11"/>
        <v>348137742.58094233</v>
      </c>
      <c r="L17" s="27">
        <f t="shared" si="11"/>
        <v>130379622.59921755</v>
      </c>
      <c r="M17" s="27">
        <f t="shared" si="11"/>
        <v>364053531.48613542</v>
      </c>
      <c r="N17" s="27">
        <f t="shared" si="11"/>
        <v>254738187.6645993</v>
      </c>
      <c r="O17" s="27">
        <f t="shared" si="11"/>
        <v>147481739.49270242</v>
      </c>
      <c r="P17" s="27">
        <f t="shared" si="11"/>
        <v>72618930.567707062</v>
      </c>
      <c r="Q17" s="27">
        <f t="shared" si="11"/>
        <v>198113599.58332843</v>
      </c>
      <c r="R17" s="27">
        <f t="shared" si="11"/>
        <v>139025780.93039817</v>
      </c>
      <c r="S17" s="27">
        <f t="shared" si="11"/>
        <v>7305324.8667988032</v>
      </c>
      <c r="T17" s="27">
        <f t="shared" si="11"/>
        <v>-187632.66881226003</v>
      </c>
      <c r="U17" s="27">
        <f t="shared" si="11"/>
        <v>34469979.068215109</v>
      </c>
      <c r="V17" s="27">
        <f t="shared" si="11"/>
        <v>29807169.253464658</v>
      </c>
      <c r="W17" s="27">
        <f t="shared" si="11"/>
        <v>22778015.608148336</v>
      </c>
      <c r="X17" s="27">
        <f t="shared" si="11"/>
        <v>-158291.00168730319</v>
      </c>
      <c r="Y17" s="27">
        <f t="shared" si="11"/>
        <v>39421800.902941026</v>
      </c>
      <c r="Z17" s="27">
        <f t="shared" si="11"/>
        <v>30225036.967283081</v>
      </c>
      <c r="AA17" s="27">
        <f t="shared" si="11"/>
        <v>21403093.800918438</v>
      </c>
      <c r="AB17" s="27">
        <f t="shared" si="11"/>
        <v>5091216.4922915418</v>
      </c>
      <c r="AC17" s="27">
        <f t="shared" si="11"/>
        <v>46481825.233674712</v>
      </c>
      <c r="AD17" s="27">
        <f t="shared" si="11"/>
        <v>23976558.034958906</v>
      </c>
      <c r="AE17" s="27">
        <f t="shared" si="11"/>
        <v>13628314.673694924</v>
      </c>
      <c r="AF17" s="27">
        <f t="shared" si="11"/>
        <v>3412102.9511741707</v>
      </c>
      <c r="AG17" s="27">
        <f t="shared" si="11"/>
        <v>20913039.063795194</v>
      </c>
      <c r="AH17" s="27">
        <f t="shared" si="11"/>
        <v>15263969.321372442</v>
      </c>
      <c r="AI17" s="27">
        <f t="shared" si="11"/>
        <v>7368066.0027763676</v>
      </c>
      <c r="AJ17" s="27">
        <f t="shared" si="11"/>
        <v>-1120859.6429304138</v>
      </c>
      <c r="AK17" s="27">
        <f t="shared" si="11"/>
        <v>35733481.795749448</v>
      </c>
      <c r="AL17" s="27">
        <f t="shared" si="11"/>
        <v>19919054.695785802</v>
      </c>
      <c r="AM17" s="27">
        <f t="shared" si="11"/>
        <v>11260129.944566131</v>
      </c>
      <c r="AN17" s="27">
        <f t="shared" si="11"/>
        <v>4471339.7088936055</v>
      </c>
      <c r="AO17" s="27">
        <f t="shared" si="11"/>
        <v>41794916.271918319</v>
      </c>
      <c r="AP17" s="27">
        <f t="shared" si="11"/>
        <v>34646493.76054465</v>
      </c>
      <c r="AQ17" s="27">
        <f t="shared" si="11"/>
        <v>28680913.156095941</v>
      </c>
      <c r="AR17" s="27" t="e">
        <f t="shared" si="11"/>
        <v>#DIV/0!</v>
      </c>
      <c r="AS17" s="27">
        <f t="shared" si="11"/>
        <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36.80393626890195</v>
      </c>
      <c r="C18" s="57">
        <f t="shared" ref="C18:D18" si="13">C17/C4*100</f>
        <v>23.962042259260627</v>
      </c>
      <c r="D18" s="57">
        <f t="shared" si="13"/>
        <v>32.991315993908046</v>
      </c>
      <c r="E18" s="57">
        <f>E17/E4</f>
        <v>0.28825036401876264</v>
      </c>
      <c r="F18" s="57">
        <f t="shared" ref="F18:BQ18" si="14">F17/F4</f>
        <v>0.4336057229905107</v>
      </c>
      <c r="G18" s="57">
        <f t="shared" si="14"/>
        <v>0.38649581044977499</v>
      </c>
      <c r="H18" s="57">
        <f t="shared" si="14"/>
        <v>0.35772354332332112</v>
      </c>
      <c r="I18" s="57">
        <f t="shared" si="14"/>
        <v>0.31314011615825504</v>
      </c>
      <c r="J18" s="57">
        <f t="shared" si="14"/>
        <v>0.26056151959910862</v>
      </c>
      <c r="K18" s="57">
        <f t="shared" si="14"/>
        <v>0.40536464276950562</v>
      </c>
      <c r="L18" s="57">
        <f t="shared" si="14"/>
        <v>0.29103181086042534</v>
      </c>
      <c r="M18" s="57">
        <f t="shared" si="14"/>
        <v>0.38694209195165935</v>
      </c>
      <c r="N18" s="57">
        <f t="shared" si="14"/>
        <v>0.48182622207781195</v>
      </c>
      <c r="O18" s="57">
        <f t="shared" si="14"/>
        <v>0.4619177016620753</v>
      </c>
      <c r="P18" s="57">
        <f t="shared" si="14"/>
        <v>0.47318445928143682</v>
      </c>
      <c r="Q18" s="57">
        <f t="shared" si="14"/>
        <v>0.41660655245435002</v>
      </c>
      <c r="R18" s="57">
        <f t="shared" si="14"/>
        <v>0.40574002693541444</v>
      </c>
      <c r="S18" s="57">
        <f t="shared" si="14"/>
        <v>4.5380256649946188E-2</v>
      </c>
      <c r="T18" s="57">
        <f t="shared" si="14"/>
        <v>-2.4530313010767859E-3</v>
      </c>
      <c r="U18" s="57">
        <f t="shared" si="14"/>
        <v>8.5140342677036726E-2</v>
      </c>
      <c r="V18" s="57">
        <f t="shared" si="14"/>
        <v>9.9578322909044212E-2</v>
      </c>
      <c r="W18" s="57">
        <f t="shared" si="14"/>
        <v>0.11296956178893362</v>
      </c>
      <c r="X18" s="57">
        <f t="shared" si="14"/>
        <v>-1.7943515538459938E-3</v>
      </c>
      <c r="Y18" s="57">
        <f t="shared" si="14"/>
        <v>0.10684036525023141</v>
      </c>
      <c r="Z18" s="57">
        <f t="shared" si="14"/>
        <v>0.11461055021369987</v>
      </c>
      <c r="AA18" s="57">
        <f t="shared" si="14"/>
        <v>0.12766726159185862</v>
      </c>
      <c r="AB18" s="57">
        <f t="shared" si="14"/>
        <v>7.2332392839076609E-2</v>
      </c>
      <c r="AC18" s="57">
        <f t="shared" si="14"/>
        <v>0.1086392113587083</v>
      </c>
      <c r="AD18" s="57">
        <f t="shared" si="14"/>
        <v>8.2943800030515047E-2</v>
      </c>
      <c r="AE18" s="57">
        <f t="shared" si="14"/>
        <v>7.741785319494858E-2</v>
      </c>
      <c r="AF18" s="57">
        <f t="shared" si="14"/>
        <v>4.7030352083251022E-2</v>
      </c>
      <c r="AG18" s="57">
        <f t="shared" si="14"/>
        <v>6.8209263645359119E-2</v>
      </c>
      <c r="AH18" s="57">
        <f t="shared" si="14"/>
        <v>6.6931792023124131E-2</v>
      </c>
      <c r="AI18" s="57">
        <f t="shared" si="14"/>
        <v>5.3261228520209071E-2</v>
      </c>
      <c r="AJ18" s="57">
        <f t="shared" si="14"/>
        <v>-1.8560541483143997E-2</v>
      </c>
      <c r="AK18" s="57">
        <f t="shared" si="14"/>
        <v>0.15117636236267867</v>
      </c>
      <c r="AL18" s="57">
        <f t="shared" si="14"/>
        <v>0.12555579487534163</v>
      </c>
      <c r="AM18" s="57">
        <f t="shared" si="14"/>
        <v>0.11640908921498738</v>
      </c>
      <c r="AN18" s="57">
        <f t="shared" si="14"/>
        <v>9.7909902801479015E-2</v>
      </c>
      <c r="AO18" s="57">
        <f t="shared" si="14"/>
        <v>0.14625227427021997</v>
      </c>
      <c r="AP18" s="57">
        <f t="shared" si="14"/>
        <v>0.1275218057889943</v>
      </c>
      <c r="AQ18" s="57">
        <f t="shared" si="14"/>
        <v>0.13118515387243543</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9">
        <v>13541538.210000001</v>
      </c>
      <c r="C20" s="189">
        <v>8266666.7800000003</v>
      </c>
      <c r="D20" s="189">
        <v>-976095.24</v>
      </c>
      <c r="E20" s="189">
        <v>42402449.289999999</v>
      </c>
      <c r="F20" s="189">
        <v>19651361.809999999</v>
      </c>
      <c r="G20" s="189">
        <v>-8626850.9100000001</v>
      </c>
      <c r="H20" s="189">
        <v>0</v>
      </c>
      <c r="I20" s="189">
        <v>-12823244.01</v>
      </c>
      <c r="J20" s="189">
        <v>-10076555.49</v>
      </c>
      <c r="K20" s="189">
        <v>4595156.3</v>
      </c>
      <c r="L20" s="189">
        <v>-5178734.26</v>
      </c>
      <c r="M20" s="189">
        <v>37387981.030000001</v>
      </c>
      <c r="N20" s="189">
        <v>0</v>
      </c>
      <c r="O20" s="189">
        <v>-1915777.35</v>
      </c>
      <c r="P20" s="189">
        <v>-580264.26</v>
      </c>
      <c r="Q20" s="189">
        <v>-1525873.72</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c r="AT20" s="189"/>
      <c r="AU20" s="189"/>
      <c r="AV20" s="189"/>
      <c r="AW20" s="189"/>
      <c r="AX20" s="189"/>
      <c r="AY20" s="189"/>
      <c r="AZ20" s="189"/>
      <c r="BA20" s="189"/>
      <c r="BB20" s="189"/>
      <c r="BC20" s="189"/>
      <c r="BD20" s="189"/>
      <c r="BE20" s="189"/>
      <c r="BF20" s="189"/>
      <c r="BG20" s="189"/>
      <c r="BH20" s="189"/>
      <c r="BI20" s="189"/>
      <c r="BJ20" s="189"/>
      <c r="BK20" s="189"/>
      <c r="BL20" s="189"/>
      <c r="BM20" s="189"/>
      <c r="BN20" s="189"/>
      <c r="BO20" s="189"/>
      <c r="BP20" s="189"/>
      <c r="BQ20" s="189"/>
      <c r="BR20" s="189"/>
      <c r="BS20" s="189"/>
      <c r="BT20" s="189"/>
      <c r="BU20" s="189"/>
      <c r="BV20" s="189"/>
      <c r="BW20" s="189"/>
      <c r="BX20" s="189"/>
      <c r="BY20" s="189"/>
      <c r="BZ20" s="189"/>
      <c r="CA20" s="189"/>
      <c r="CB20" s="189"/>
      <c r="CC20" s="189"/>
      <c r="CD20" s="189"/>
      <c r="CE20" s="189"/>
      <c r="CF20" s="189"/>
      <c r="CG20" s="189"/>
      <c r="CH20" s="189"/>
      <c r="CI20" s="189"/>
      <c r="CJ20" s="189"/>
      <c r="CK20" s="189"/>
    </row>
    <row r="21" spans="1:89" s="16" customFormat="1" x14ac:dyDescent="0.25">
      <c r="A21" s="18" t="s">
        <v>87</v>
      </c>
      <c r="B21" s="30"/>
      <c r="C21" s="30"/>
      <c r="D21" s="30"/>
      <c r="E21" s="30"/>
      <c r="F21" s="30"/>
      <c r="G21" s="30"/>
      <c r="H21" s="30"/>
      <c r="I21" s="30"/>
      <c r="J21" s="30"/>
      <c r="K21" s="30"/>
    </row>
    <row r="22" spans="1:89" x14ac:dyDescent="0.25">
      <c r="A22" s="17" t="s">
        <v>400</v>
      </c>
      <c r="B22" s="189">
        <v>0</v>
      </c>
      <c r="C22" s="189">
        <v>0</v>
      </c>
      <c r="D22" s="189">
        <v>0</v>
      </c>
      <c r="E22" s="189">
        <v>-4656798.32</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c r="AT22" s="189"/>
      <c r="AU22" s="189"/>
      <c r="AV22" s="189"/>
      <c r="AW22" s="189"/>
      <c r="AX22" s="189"/>
      <c r="AY22" s="189"/>
      <c r="AZ22" s="189"/>
      <c r="BA22" s="189"/>
      <c r="BB22" s="189"/>
      <c r="BC22" s="189"/>
      <c r="BD22" s="189"/>
      <c r="BE22" s="189"/>
      <c r="BF22" s="189"/>
      <c r="BG22" s="189"/>
      <c r="BH22" s="189"/>
      <c r="BI22" s="189"/>
      <c r="BJ22" s="189"/>
      <c r="BK22" s="189"/>
      <c r="BL22" s="189"/>
      <c r="BM22" s="189"/>
      <c r="BN22" s="189"/>
      <c r="BO22" s="189"/>
      <c r="BP22" s="189"/>
      <c r="BQ22" s="189"/>
      <c r="BR22" s="189"/>
      <c r="BS22" s="189"/>
      <c r="BT22" s="189"/>
      <c r="BU22" s="189"/>
      <c r="BV22" s="189"/>
      <c r="BW22" s="189"/>
      <c r="BX22" s="189"/>
      <c r="BY22" s="189"/>
      <c r="BZ22" s="189"/>
      <c r="CA22" s="189"/>
      <c r="CB22" s="189"/>
      <c r="CC22" s="189"/>
      <c r="CD22" s="189"/>
      <c r="CE22" s="189"/>
      <c r="CF22" s="189"/>
      <c r="CG22" s="189"/>
      <c r="CH22" s="189"/>
      <c r="CI22" s="189"/>
      <c r="CJ22" s="189"/>
      <c r="CK22" s="189"/>
    </row>
    <row r="23" spans="1:89" s="7" customFormat="1" x14ac:dyDescent="0.25">
      <c r="A23" s="21" t="s">
        <v>401</v>
      </c>
      <c r="B23" s="29">
        <f>-B52</f>
        <v>25636</v>
      </c>
      <c r="C23" s="29">
        <f t="shared" ref="C23:BN23" si="16">-C52</f>
        <v>27718</v>
      </c>
      <c r="D23" s="29">
        <f t="shared" si="16"/>
        <v>35317</v>
      </c>
      <c r="E23" s="29">
        <f t="shared" si="16"/>
        <v>6377480.21</v>
      </c>
      <c r="F23" s="29">
        <f t="shared" si="16"/>
        <v>34414</v>
      </c>
      <c r="G23" s="29">
        <f t="shared" si="16"/>
        <v>23309</v>
      </c>
      <c r="H23" s="29">
        <f t="shared" si="16"/>
        <v>16814</v>
      </c>
      <c r="I23" s="29">
        <f t="shared" si="16"/>
        <v>5779130.5499999998</v>
      </c>
      <c r="J23" s="29">
        <f t="shared" si="16"/>
        <v>0</v>
      </c>
      <c r="K23" s="29">
        <f t="shared" si="16"/>
        <v>0</v>
      </c>
      <c r="L23" s="29">
        <f t="shared" si="16"/>
        <v>0</v>
      </c>
      <c r="M23" s="29">
        <f t="shared" si="16"/>
        <v>3026862.97</v>
      </c>
      <c r="N23" s="29">
        <f t="shared" si="16"/>
        <v>0</v>
      </c>
      <c r="O23" s="29">
        <f t="shared" si="16"/>
        <v>0</v>
      </c>
      <c r="P23" s="29">
        <f t="shared" si="16"/>
        <v>0</v>
      </c>
      <c r="Q23" s="29">
        <f t="shared" si="16"/>
        <v>0</v>
      </c>
      <c r="R23" s="29">
        <f t="shared" si="16"/>
        <v>0</v>
      </c>
      <c r="S23" s="29">
        <f t="shared" si="16"/>
        <v>0</v>
      </c>
      <c r="T23" s="29">
        <f t="shared" si="16"/>
        <v>0</v>
      </c>
      <c r="U23" s="29">
        <f t="shared" si="16"/>
        <v>0</v>
      </c>
      <c r="V23" s="29">
        <f t="shared" si="16"/>
        <v>0</v>
      </c>
      <c r="W23" s="29">
        <f t="shared" si="16"/>
        <v>0</v>
      </c>
      <c r="X23" s="29">
        <f t="shared" si="16"/>
        <v>0</v>
      </c>
      <c r="Y23" s="29">
        <f t="shared" si="16"/>
        <v>0</v>
      </c>
      <c r="Z23" s="29">
        <f t="shared" si="16"/>
        <v>0</v>
      </c>
      <c r="AA23" s="29">
        <f t="shared" si="16"/>
        <v>0</v>
      </c>
      <c r="AB23" s="29">
        <f t="shared" si="16"/>
        <v>0</v>
      </c>
      <c r="AC23" s="29">
        <f t="shared" si="16"/>
        <v>0</v>
      </c>
      <c r="AD23" s="29">
        <f t="shared" si="16"/>
        <v>0</v>
      </c>
      <c r="AE23" s="29">
        <f t="shared" si="16"/>
        <v>0</v>
      </c>
      <c r="AF23" s="29">
        <f t="shared" si="16"/>
        <v>0</v>
      </c>
      <c r="AG23" s="29">
        <f t="shared" si="16"/>
        <v>0</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102507331.63999999</v>
      </c>
      <c r="C24" s="26">
        <f t="shared" ref="C24:BN24" si="18">C67</f>
        <v>75496075.280000001</v>
      </c>
      <c r="D24" s="26">
        <f t="shared" si="18"/>
        <v>42307505.109999999</v>
      </c>
      <c r="E24" s="26">
        <f>E67</f>
        <v>393769520.01999998</v>
      </c>
      <c r="F24" s="26">
        <f t="shared" si="18"/>
        <v>-28269961.539999999</v>
      </c>
      <c r="G24" s="26">
        <f t="shared" si="18"/>
        <v>54205760.629999995</v>
      </c>
      <c r="H24" s="26">
        <f t="shared" si="18"/>
        <v>50921365.340000004</v>
      </c>
      <c r="I24" s="26">
        <f t="shared" si="18"/>
        <v>51202223.129999995</v>
      </c>
      <c r="J24" s="26">
        <f t="shared" si="18"/>
        <v>13388289.65</v>
      </c>
      <c r="K24" s="26">
        <f t="shared" si="18"/>
        <v>-6792460.1899999995</v>
      </c>
      <c r="L24" s="26">
        <f t="shared" si="18"/>
        <v>0</v>
      </c>
      <c r="M24" s="26">
        <f t="shared" si="18"/>
        <v>4895963.7199999988</v>
      </c>
      <c r="N24" s="26">
        <f t="shared" si="18"/>
        <v>980144.56</v>
      </c>
      <c r="O24" s="26">
        <f t="shared" si="18"/>
        <v>3803634.67</v>
      </c>
      <c r="P24" s="26">
        <f t="shared" si="18"/>
        <v>780651.52000000002</v>
      </c>
      <c r="Q24" s="26">
        <f t="shared" si="18"/>
        <v>46500232.399999999</v>
      </c>
      <c r="R24" s="26">
        <f t="shared" si="18"/>
        <v>10644373.67</v>
      </c>
      <c r="S24" s="26">
        <f t="shared" si="18"/>
        <v>0</v>
      </c>
      <c r="T24" s="26">
        <f t="shared" si="18"/>
        <v>0</v>
      </c>
      <c r="U24" s="26">
        <f t="shared" si="18"/>
        <v>0</v>
      </c>
      <c r="V24" s="26">
        <f t="shared" si="18"/>
        <v>0</v>
      </c>
      <c r="W24" s="26">
        <f t="shared" si="18"/>
        <v>0</v>
      </c>
      <c r="X24" s="26">
        <f t="shared" si="18"/>
        <v>0</v>
      </c>
      <c r="Y24" s="26">
        <f t="shared" si="18"/>
        <v>0</v>
      </c>
      <c r="Z24" s="26">
        <f t="shared" si="18"/>
        <v>0</v>
      </c>
      <c r="AA24" s="26">
        <f t="shared" si="18"/>
        <v>0</v>
      </c>
      <c r="AB24" s="26">
        <f t="shared" si="18"/>
        <v>0</v>
      </c>
      <c r="AC24" s="26">
        <f t="shared" si="18"/>
        <v>0</v>
      </c>
      <c r="AD24" s="26">
        <f t="shared" si="18"/>
        <v>0</v>
      </c>
      <c r="AE24" s="26">
        <f t="shared" si="18"/>
        <v>0</v>
      </c>
      <c r="AF24" s="26">
        <f t="shared" si="18"/>
        <v>0</v>
      </c>
      <c r="AG24" s="26">
        <f t="shared" si="18"/>
        <v>0</v>
      </c>
      <c r="AH24" s="26">
        <f t="shared" si="18"/>
        <v>0</v>
      </c>
      <c r="AI24" s="26">
        <f t="shared" si="18"/>
        <v>0</v>
      </c>
      <c r="AJ24" s="26">
        <f t="shared" si="18"/>
        <v>0</v>
      </c>
      <c r="AK24" s="26">
        <f t="shared" si="18"/>
        <v>0</v>
      </c>
      <c r="AL24" s="26">
        <f t="shared" si="18"/>
        <v>0</v>
      </c>
      <c r="AM24" s="26">
        <f t="shared" si="18"/>
        <v>0</v>
      </c>
      <c r="AN24" s="26">
        <f t="shared" si="18"/>
        <v>0</v>
      </c>
      <c r="AO24" s="26">
        <f t="shared" si="18"/>
        <v>0</v>
      </c>
      <c r="AP24" s="26">
        <f t="shared" si="18"/>
        <v>0</v>
      </c>
      <c r="AQ24" s="26">
        <f t="shared" si="18"/>
        <v>0</v>
      </c>
      <c r="AR24" s="26">
        <f t="shared" si="18"/>
        <v>0</v>
      </c>
      <c r="AS24" s="26">
        <f t="shared" si="18"/>
        <v>3199582.46</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-3238784.66</v>
      </c>
      <c r="F25" s="29">
        <f t="shared" si="20"/>
        <v>-2684</v>
      </c>
      <c r="G25" s="29">
        <f t="shared" si="20"/>
        <v>377</v>
      </c>
      <c r="H25" s="29">
        <f t="shared" si="20"/>
        <v>-1008</v>
      </c>
      <c r="I25" s="29">
        <f t="shared" si="20"/>
        <v>5368201.79</v>
      </c>
      <c r="J25" s="29">
        <f t="shared" si="20"/>
        <v>0</v>
      </c>
      <c r="K25" s="29">
        <f t="shared" si="20"/>
        <v>0</v>
      </c>
      <c r="L25" s="29">
        <f t="shared" si="20"/>
        <v>0</v>
      </c>
      <c r="M25" s="29">
        <f t="shared" si="20"/>
        <v>3826470.86</v>
      </c>
      <c r="N25" s="29">
        <f t="shared" si="20"/>
        <v>0</v>
      </c>
      <c r="O25" s="29">
        <f t="shared" si="20"/>
        <v>0</v>
      </c>
      <c r="P25" s="29">
        <f t="shared" si="20"/>
        <v>0</v>
      </c>
      <c r="Q25" s="29">
        <f t="shared" si="20"/>
        <v>0</v>
      </c>
      <c r="R25" s="29">
        <f t="shared" si="20"/>
        <v>0</v>
      </c>
      <c r="S25" s="29">
        <f t="shared" si="20"/>
        <v>0</v>
      </c>
      <c r="T25" s="29">
        <f t="shared" si="20"/>
        <v>0</v>
      </c>
      <c r="U25" s="29">
        <f t="shared" si="20"/>
        <v>0</v>
      </c>
      <c r="V25" s="29">
        <f t="shared" si="20"/>
        <v>0</v>
      </c>
      <c r="W25" s="29">
        <f t="shared" si="20"/>
        <v>0</v>
      </c>
      <c r="X25" s="29">
        <f t="shared" si="20"/>
        <v>0</v>
      </c>
      <c r="Y25" s="29">
        <f t="shared" si="20"/>
        <v>0</v>
      </c>
      <c r="Z25" s="29">
        <f t="shared" si="20"/>
        <v>0</v>
      </c>
      <c r="AA25" s="29">
        <f t="shared" si="20"/>
        <v>0</v>
      </c>
      <c r="AB25" s="29">
        <f t="shared" si="20"/>
        <v>0</v>
      </c>
      <c r="AC25" s="29">
        <f t="shared" si="20"/>
        <v>0</v>
      </c>
      <c r="AD25" s="29">
        <f t="shared" si="20"/>
        <v>0</v>
      </c>
      <c r="AE25" s="29">
        <f t="shared" si="20"/>
        <v>0</v>
      </c>
      <c r="AF25" s="29">
        <f t="shared" si="20"/>
        <v>0</v>
      </c>
      <c r="AG25" s="29">
        <f t="shared" si="20"/>
        <v>0</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9">
        <v>-263510.40000000002</v>
      </c>
      <c r="C26" s="189">
        <v>-17676574.379999999</v>
      </c>
      <c r="D26" s="189">
        <v>-33808958.520000003</v>
      </c>
      <c r="E26" s="189">
        <v>-507199836.61000001</v>
      </c>
      <c r="F26" s="189">
        <v>-277220099.63999999</v>
      </c>
      <c r="G26" s="189">
        <v>-187150745.53999999</v>
      </c>
      <c r="H26" s="189">
        <v>-190932400.28</v>
      </c>
      <c r="I26" s="189">
        <v>223198826.15000001</v>
      </c>
      <c r="J26" s="189">
        <v>-115809968.03</v>
      </c>
      <c r="K26" s="189">
        <v>-239453026.75999999</v>
      </c>
      <c r="L26" s="189">
        <v>-144172199.27000001</v>
      </c>
      <c r="M26" s="189">
        <v>326092355</v>
      </c>
      <c r="N26" s="189">
        <v>-612661.18999999994</v>
      </c>
      <c r="O26" s="189">
        <v>-811231.66</v>
      </c>
      <c r="P26" s="189">
        <v>29860.15</v>
      </c>
      <c r="Q26" s="189">
        <v>157726104.97999999</v>
      </c>
      <c r="R26" s="189">
        <v>146059182.03</v>
      </c>
      <c r="S26" s="189">
        <v>0</v>
      </c>
      <c r="T26" s="189">
        <v>0</v>
      </c>
      <c r="U26" s="189">
        <v>-790.37</v>
      </c>
      <c r="V26" s="189">
        <v>0</v>
      </c>
      <c r="W26" s="189">
        <v>0</v>
      </c>
      <c r="X26" s="189">
        <v>0</v>
      </c>
      <c r="Y26" s="189">
        <v>-386.52</v>
      </c>
      <c r="Z26" s="189">
        <v>0</v>
      </c>
      <c r="AA26" s="189">
        <v>0</v>
      </c>
      <c r="AB26" s="189">
        <v>0</v>
      </c>
      <c r="AC26" s="189">
        <v>0</v>
      </c>
      <c r="AD26" s="189">
        <v>0</v>
      </c>
      <c r="AE26" s="189">
        <v>0</v>
      </c>
      <c r="AF26" s="189">
        <v>0</v>
      </c>
      <c r="AG26" s="189">
        <v>0</v>
      </c>
      <c r="AH26" s="189">
        <v>0</v>
      </c>
      <c r="AI26" s="189">
        <v>0</v>
      </c>
      <c r="AJ26" s="189">
        <v>0</v>
      </c>
      <c r="AK26" s="189">
        <v>0</v>
      </c>
      <c r="AL26" s="189">
        <v>0</v>
      </c>
      <c r="AM26" s="189">
        <v>0</v>
      </c>
      <c r="AN26" s="189">
        <v>0</v>
      </c>
      <c r="AO26" s="189">
        <v>0</v>
      </c>
      <c r="AP26" s="189">
        <v>0</v>
      </c>
      <c r="AQ26" s="189">
        <v>0</v>
      </c>
      <c r="AR26" s="189">
        <v>0</v>
      </c>
      <c r="AS26" s="189"/>
      <c r="AT26" s="189"/>
      <c r="AU26" s="189"/>
      <c r="AV26" s="189"/>
      <c r="AW26" s="189"/>
      <c r="AX26" s="189"/>
      <c r="AY26" s="189"/>
      <c r="AZ26" s="189"/>
      <c r="BA26" s="189"/>
      <c r="BB26" s="189"/>
      <c r="BC26" s="189"/>
      <c r="BD26" s="189"/>
      <c r="BE26" s="189"/>
      <c r="BF26" s="189"/>
      <c r="BG26" s="189"/>
      <c r="BH26" s="189"/>
      <c r="BI26" s="189"/>
      <c r="BJ26" s="189"/>
      <c r="BK26" s="189"/>
      <c r="BL26" s="189"/>
      <c r="BM26" s="189"/>
      <c r="BN26" s="189"/>
      <c r="BO26" s="189"/>
      <c r="BP26" s="189"/>
      <c r="BQ26" s="189"/>
      <c r="BR26" s="189"/>
      <c r="BS26" s="189"/>
      <c r="BT26" s="189"/>
      <c r="BU26" s="189"/>
      <c r="BV26" s="189"/>
      <c r="BW26" s="189"/>
      <c r="BX26" s="189"/>
      <c r="BY26" s="189"/>
      <c r="BZ26" s="189"/>
      <c r="CA26" s="189"/>
      <c r="CB26" s="189"/>
      <c r="CC26" s="189"/>
      <c r="CD26" s="189"/>
      <c r="CE26" s="189"/>
      <c r="CF26" s="189"/>
      <c r="CG26" s="189"/>
      <c r="CH26" s="189"/>
      <c r="CI26" s="189"/>
      <c r="CJ26" s="189"/>
      <c r="CK26" s="189"/>
    </row>
    <row r="27" spans="1:89" x14ac:dyDescent="0.25">
      <c r="A27" s="17" t="s">
        <v>405</v>
      </c>
      <c r="B27" s="26">
        <f>SUM(B22:B26)</f>
        <v>102266353.23999998</v>
      </c>
      <c r="C27" s="26">
        <f t="shared" ref="C27:BN27" si="22">SUM(C22:C26)</f>
        <v>57848642.900000006</v>
      </c>
      <c r="D27" s="26">
        <f t="shared" si="22"/>
        <v>8534203.5899999961</v>
      </c>
      <c r="E27" s="26">
        <f t="shared" si="22"/>
        <v>-114948419.36000007</v>
      </c>
      <c r="F27" s="26">
        <f t="shared" si="22"/>
        <v>-305458331.18000001</v>
      </c>
      <c r="G27" s="26">
        <f t="shared" si="22"/>
        <v>-132921298.91</v>
      </c>
      <c r="H27" s="26">
        <f t="shared" si="22"/>
        <v>-139995228.94</v>
      </c>
      <c r="I27" s="26">
        <f t="shared" si="22"/>
        <v>285548381.62</v>
      </c>
      <c r="J27" s="26">
        <f t="shared" si="22"/>
        <v>-102421678.38</v>
      </c>
      <c r="K27" s="26">
        <f t="shared" si="22"/>
        <v>-246245486.94999999</v>
      </c>
      <c r="L27" s="26">
        <f t="shared" si="22"/>
        <v>-144172199.27000001</v>
      </c>
      <c r="M27" s="26">
        <f t="shared" si="22"/>
        <v>337841652.55000001</v>
      </c>
      <c r="N27" s="26">
        <f t="shared" si="22"/>
        <v>367483.37000000011</v>
      </c>
      <c r="O27" s="26">
        <f t="shared" si="22"/>
        <v>2992403.01</v>
      </c>
      <c r="P27" s="26">
        <f t="shared" si="22"/>
        <v>810511.67</v>
      </c>
      <c r="Q27" s="26">
        <f t="shared" si="22"/>
        <v>204226337.38</v>
      </c>
      <c r="R27" s="26">
        <f t="shared" si="22"/>
        <v>156703555.69999999</v>
      </c>
      <c r="S27" s="26">
        <f t="shared" si="22"/>
        <v>0</v>
      </c>
      <c r="T27" s="26">
        <f t="shared" si="22"/>
        <v>0</v>
      </c>
      <c r="U27" s="26">
        <f t="shared" si="22"/>
        <v>-790.37</v>
      </c>
      <c r="V27" s="26">
        <f t="shared" si="22"/>
        <v>0</v>
      </c>
      <c r="W27" s="26">
        <f t="shared" si="22"/>
        <v>0</v>
      </c>
      <c r="X27" s="26">
        <f t="shared" si="22"/>
        <v>0</v>
      </c>
      <c r="Y27" s="26">
        <f t="shared" si="22"/>
        <v>-386.52</v>
      </c>
      <c r="Z27" s="26">
        <f t="shared" si="22"/>
        <v>0</v>
      </c>
      <c r="AA27" s="26">
        <f t="shared" si="22"/>
        <v>0</v>
      </c>
      <c r="AB27" s="26">
        <f t="shared" si="22"/>
        <v>0</v>
      </c>
      <c r="AC27" s="26">
        <f t="shared" si="22"/>
        <v>0</v>
      </c>
      <c r="AD27" s="26">
        <f t="shared" si="22"/>
        <v>0</v>
      </c>
      <c r="AE27" s="26">
        <f t="shared" si="22"/>
        <v>0</v>
      </c>
      <c r="AF27" s="26">
        <f t="shared" si="22"/>
        <v>0</v>
      </c>
      <c r="AG27" s="26">
        <f t="shared" si="22"/>
        <v>0</v>
      </c>
      <c r="AH27" s="26">
        <f t="shared" si="22"/>
        <v>0</v>
      </c>
      <c r="AI27" s="26">
        <f t="shared" si="22"/>
        <v>0</v>
      </c>
      <c r="AJ27" s="26">
        <f t="shared" si="22"/>
        <v>0</v>
      </c>
      <c r="AK27" s="26">
        <f t="shared" si="22"/>
        <v>0</v>
      </c>
      <c r="AL27" s="26">
        <f t="shared" si="22"/>
        <v>0</v>
      </c>
      <c r="AM27" s="26">
        <f t="shared" si="22"/>
        <v>0</v>
      </c>
      <c r="AN27" s="26">
        <f t="shared" si="22"/>
        <v>0</v>
      </c>
      <c r="AO27" s="26">
        <f t="shared" si="22"/>
        <v>0</v>
      </c>
      <c r="AP27" s="26">
        <f t="shared" si="22"/>
        <v>0</v>
      </c>
      <c r="AQ27" s="26">
        <f t="shared" si="22"/>
        <v>0</v>
      </c>
      <c r="AR27" s="26">
        <f t="shared" si="22"/>
        <v>0</v>
      </c>
      <c r="AS27" s="26">
        <f t="shared" si="22"/>
        <v>3199582.46</v>
      </c>
      <c r="AT27" s="26">
        <f t="shared" si="22"/>
        <v>556604.28</v>
      </c>
      <c r="AU27" s="26">
        <f t="shared" si="22"/>
        <v>47918.79</v>
      </c>
      <c r="AV27" s="26">
        <f t="shared" si="22"/>
        <v>665864.48</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5017986.348047452</v>
      </c>
      <c r="C28" s="26">
        <f t="shared" ref="C28:BN28" si="24">SUM(C22:C25)*C41</f>
        <v>5690738.3973772572</v>
      </c>
      <c r="D28" s="26">
        <f t="shared" si="24"/>
        <v>1320931.549594034</v>
      </c>
      <c r="E28" s="26">
        <f t="shared" si="24"/>
        <v>44464717.371834084</v>
      </c>
      <c r="F28" s="26">
        <f t="shared" si="24"/>
        <v>-458627.19069398299</v>
      </c>
      <c r="G28" s="26">
        <f t="shared" si="24"/>
        <v>-233087.20017488187</v>
      </c>
      <c r="H28" s="26">
        <f t="shared" si="24"/>
        <v>6230236.8787503736</v>
      </c>
      <c r="I28" s="26">
        <f t="shared" si="24"/>
        <v>1829556.9173763127</v>
      </c>
      <c r="J28" s="26">
        <f t="shared" si="24"/>
        <v>901228.75436800614</v>
      </c>
      <c r="K28" s="26">
        <f t="shared" si="24"/>
        <v>3739556.7607989586</v>
      </c>
      <c r="L28" s="26">
        <f t="shared" si="24"/>
        <v>0</v>
      </c>
      <c r="M28" s="26">
        <f t="shared" si="24"/>
        <v>77127.510379486135</v>
      </c>
      <c r="N28" s="26">
        <f t="shared" si="24"/>
        <v>27921.85901529649</v>
      </c>
      <c r="O28" s="26">
        <f t="shared" si="24"/>
        <v>105121.44178719213</v>
      </c>
      <c r="P28" s="26">
        <f t="shared" si="24"/>
        <v>23114.786103406677</v>
      </c>
      <c r="Q28" s="26">
        <f t="shared" si="24"/>
        <v>2417606.3271269766</v>
      </c>
      <c r="R28" s="26">
        <f t="shared" si="24"/>
        <v>598680.81839287514</v>
      </c>
      <c r="S28" s="26">
        <f t="shared" si="24"/>
        <v>0</v>
      </c>
      <c r="T28" s="26">
        <f t="shared" si="24"/>
        <v>0</v>
      </c>
      <c r="U28" s="26">
        <f t="shared" si="24"/>
        <v>0</v>
      </c>
      <c r="V28" s="26">
        <f t="shared" si="24"/>
        <v>0</v>
      </c>
      <c r="W28" s="26">
        <f t="shared" si="24"/>
        <v>0</v>
      </c>
      <c r="X28" s="26">
        <f t="shared" si="24"/>
        <v>0</v>
      </c>
      <c r="Y28" s="26">
        <f t="shared" si="24"/>
        <v>0</v>
      </c>
      <c r="Z28" s="26">
        <f t="shared" si="24"/>
        <v>0</v>
      </c>
      <c r="AA28" s="26">
        <f t="shared" si="24"/>
        <v>0</v>
      </c>
      <c r="AB28" s="26">
        <f t="shared" si="24"/>
        <v>0</v>
      </c>
      <c r="AC28" s="26">
        <f t="shared" si="24"/>
        <v>0</v>
      </c>
      <c r="AD28" s="26">
        <f t="shared" si="24"/>
        <v>0</v>
      </c>
      <c r="AE28" s="26">
        <f t="shared" si="24"/>
        <v>0</v>
      </c>
      <c r="AF28" s="26">
        <f t="shared" si="24"/>
        <v>0</v>
      </c>
      <c r="AG28" s="26">
        <f t="shared" si="24"/>
        <v>0</v>
      </c>
      <c r="AH28" s="26">
        <f t="shared" si="24"/>
        <v>0</v>
      </c>
      <c r="AI28" s="26">
        <f t="shared" si="24"/>
        <v>0</v>
      </c>
      <c r="AJ28" s="26">
        <f t="shared" si="24"/>
        <v>0</v>
      </c>
      <c r="AK28" s="26">
        <f t="shared" si="24"/>
        <v>0</v>
      </c>
      <c r="AL28" s="26">
        <f t="shared" si="24"/>
        <v>0</v>
      </c>
      <c r="AM28" s="26">
        <f t="shared" si="24"/>
        <v>0</v>
      </c>
      <c r="AN28" s="26">
        <f t="shared" si="24"/>
        <v>0</v>
      </c>
      <c r="AO28" s="26">
        <f t="shared" si="24"/>
        <v>0</v>
      </c>
      <c r="AP28" s="26">
        <f t="shared" si="24"/>
        <v>0</v>
      </c>
      <c r="AQ28" s="26">
        <f t="shared" si="24"/>
        <v>0</v>
      </c>
      <c r="AR28" s="26" t="e">
        <f t="shared" si="24"/>
        <v>#DIV/0!</v>
      </c>
      <c r="AS28" s="26">
        <f t="shared" si="24"/>
        <v>23656833.091745093</v>
      </c>
      <c r="AT28" s="26">
        <f t="shared" si="24"/>
        <v>8678777.9360173382</v>
      </c>
      <c r="AU28" s="26">
        <f t="shared" si="24"/>
        <v>736819.25322403584</v>
      </c>
      <c r="AV28" s="26">
        <f t="shared" si="24"/>
        <v>61688651.607207946</v>
      </c>
      <c r="AW28" s="26">
        <f t="shared" si="24"/>
        <v>55145390.309275553</v>
      </c>
      <c r="AX28" s="26">
        <f t="shared" si="24"/>
        <v>45508373.624261901</v>
      </c>
      <c r="AY28" s="26">
        <f t="shared" si="24"/>
        <v>29356178.013127491</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97248366.89195253</v>
      </c>
      <c r="C29" s="28">
        <f t="shared" ref="C29:BN29" si="26">C27-C28</f>
        <v>52157904.502622746</v>
      </c>
      <c r="D29" s="28">
        <f t="shared" si="26"/>
        <v>7213272.0404059626</v>
      </c>
      <c r="E29" s="28">
        <f t="shared" si="26"/>
        <v>-159413136.73183417</v>
      </c>
      <c r="F29" s="28">
        <f t="shared" si="26"/>
        <v>-304999703.98930603</v>
      </c>
      <c r="G29" s="28">
        <f t="shared" si="26"/>
        <v>-132688211.70982511</v>
      </c>
      <c r="H29" s="28">
        <f t="shared" si="26"/>
        <v>-146225465.81875038</v>
      </c>
      <c r="I29" s="28">
        <f t="shared" si="26"/>
        <v>283718824.70262367</v>
      </c>
      <c r="J29" s="28">
        <f t="shared" si="26"/>
        <v>-103322907.134368</v>
      </c>
      <c r="K29" s="28">
        <f t="shared" si="26"/>
        <v>-249985043.71079895</v>
      </c>
      <c r="L29" s="28">
        <f t="shared" si="26"/>
        <v>-144172199.27000001</v>
      </c>
      <c r="M29" s="28">
        <f t="shared" si="26"/>
        <v>337764525.03962052</v>
      </c>
      <c r="N29" s="28">
        <f t="shared" si="26"/>
        <v>339561.51098470361</v>
      </c>
      <c r="O29" s="28">
        <f t="shared" si="26"/>
        <v>2887281.5682128076</v>
      </c>
      <c r="P29" s="28">
        <f t="shared" si="26"/>
        <v>787396.88389659335</v>
      </c>
      <c r="Q29" s="28">
        <f t="shared" si="26"/>
        <v>201808731.05287302</v>
      </c>
      <c r="R29" s="28">
        <f t="shared" si="26"/>
        <v>156104874.88160712</v>
      </c>
      <c r="S29" s="28">
        <f t="shared" si="26"/>
        <v>0</v>
      </c>
      <c r="T29" s="28">
        <f t="shared" si="26"/>
        <v>0</v>
      </c>
      <c r="U29" s="28">
        <f t="shared" si="26"/>
        <v>-790.37</v>
      </c>
      <c r="V29" s="28">
        <f t="shared" si="26"/>
        <v>0</v>
      </c>
      <c r="W29" s="28">
        <f t="shared" si="26"/>
        <v>0</v>
      </c>
      <c r="X29" s="28">
        <f t="shared" si="26"/>
        <v>0</v>
      </c>
      <c r="Y29" s="28">
        <f t="shared" si="26"/>
        <v>-386.52</v>
      </c>
      <c r="Z29" s="28">
        <f t="shared" si="26"/>
        <v>0</v>
      </c>
      <c r="AA29" s="28">
        <f t="shared" si="26"/>
        <v>0</v>
      </c>
      <c r="AB29" s="28">
        <f t="shared" si="26"/>
        <v>0</v>
      </c>
      <c r="AC29" s="28">
        <f t="shared" si="26"/>
        <v>0</v>
      </c>
      <c r="AD29" s="28">
        <f t="shared" si="26"/>
        <v>0</v>
      </c>
      <c r="AE29" s="28">
        <f t="shared" si="26"/>
        <v>0</v>
      </c>
      <c r="AF29" s="28">
        <f t="shared" si="26"/>
        <v>0</v>
      </c>
      <c r="AG29" s="28">
        <f t="shared" si="26"/>
        <v>0</v>
      </c>
      <c r="AH29" s="28">
        <f t="shared" si="26"/>
        <v>0</v>
      </c>
      <c r="AI29" s="28">
        <f t="shared" si="26"/>
        <v>0</v>
      </c>
      <c r="AJ29" s="28">
        <f t="shared" si="26"/>
        <v>0</v>
      </c>
      <c r="AK29" s="28">
        <f t="shared" si="26"/>
        <v>0</v>
      </c>
      <c r="AL29" s="28">
        <f t="shared" si="26"/>
        <v>0</v>
      </c>
      <c r="AM29" s="28">
        <f t="shared" si="26"/>
        <v>0</v>
      </c>
      <c r="AN29" s="28">
        <f t="shared" si="26"/>
        <v>0</v>
      </c>
      <c r="AO29" s="28">
        <f t="shared" si="26"/>
        <v>0</v>
      </c>
      <c r="AP29" s="28">
        <f t="shared" si="26"/>
        <v>0</v>
      </c>
      <c r="AQ29" s="28">
        <f t="shared" si="26"/>
        <v>0</v>
      </c>
      <c r="AR29" s="28" t="e">
        <f t="shared" si="26"/>
        <v>#DIV/0!</v>
      </c>
      <c r="AS29" s="28">
        <f t="shared" si="26"/>
        <v>-20457250.631745093</v>
      </c>
      <c r="AT29" s="28">
        <f t="shared" si="26"/>
        <v>-8122173.6560173379</v>
      </c>
      <c r="AU29" s="28">
        <f t="shared" si="26"/>
        <v>-688900.4632240358</v>
      </c>
      <c r="AV29" s="28">
        <f t="shared" si="26"/>
        <v>-61022787.12720795</v>
      </c>
      <c r="AW29" s="28">
        <f t="shared" si="26"/>
        <v>-50093697.729275554</v>
      </c>
      <c r="AX29" s="28">
        <f t="shared" si="26"/>
        <v>-43012215.904261902</v>
      </c>
      <c r="AY29" s="28">
        <f t="shared" si="26"/>
        <v>-27523866.203127492</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838835573.74000001</v>
      </c>
      <c r="C31" s="26">
        <f t="shared" ref="C31:BN31" si="28">C15+C20+C27</f>
        <v>385943220.83999991</v>
      </c>
      <c r="D31" s="26">
        <f t="shared" si="28"/>
        <v>260192191.78000003</v>
      </c>
      <c r="E31" s="26">
        <f t="shared" si="28"/>
        <v>935721364.44999981</v>
      </c>
      <c r="F31" s="26">
        <f t="shared" si="28"/>
        <v>700249959.81999993</v>
      </c>
      <c r="G31" s="26">
        <f t="shared" si="28"/>
        <v>470028945.76000011</v>
      </c>
      <c r="H31" s="26">
        <f t="shared" si="28"/>
        <v>120703204.56000006</v>
      </c>
      <c r="I31" s="26">
        <f t="shared" si="28"/>
        <v>813046119.68000007</v>
      </c>
      <c r="J31" s="26">
        <f t="shared" si="28"/>
        <v>253447912.69999999</v>
      </c>
      <c r="K31" s="26">
        <f t="shared" si="28"/>
        <v>-17124319.330000013</v>
      </c>
      <c r="L31" s="26">
        <f t="shared" si="28"/>
        <v>-30010958.370000049</v>
      </c>
      <c r="M31" s="26">
        <f t="shared" si="28"/>
        <v>741688762.51999998</v>
      </c>
      <c r="N31" s="26">
        <f t="shared" si="28"/>
        <v>262575314.16999999</v>
      </c>
      <c r="O31" s="26">
        <f t="shared" si="28"/>
        <v>152750182.81999993</v>
      </c>
      <c r="P31" s="26">
        <f t="shared" si="28"/>
        <v>75065005.900000021</v>
      </c>
      <c r="Q31" s="26">
        <f t="shared" si="28"/>
        <v>411679130.38</v>
      </c>
      <c r="R31" s="26">
        <f t="shared" si="28"/>
        <v>304014685.33999997</v>
      </c>
      <c r="S31" s="26">
        <f t="shared" si="28"/>
        <v>6179983.3699999936</v>
      </c>
      <c r="T31" s="26">
        <f t="shared" si="28"/>
        <v>6185311.4200000018</v>
      </c>
      <c r="U31" s="26">
        <f t="shared" si="28"/>
        <v>47279285.870000027</v>
      </c>
      <c r="V31" s="26">
        <f t="shared" si="28"/>
        <v>40255844.919999972</v>
      </c>
      <c r="W31" s="26">
        <f t="shared" si="28"/>
        <v>35482864.219999991</v>
      </c>
      <c r="X31" s="26">
        <f t="shared" si="28"/>
        <v>7299887.4299999997</v>
      </c>
      <c r="Y31" s="26">
        <f t="shared" si="28"/>
        <v>51036931.209999971</v>
      </c>
      <c r="Z31" s="26">
        <f t="shared" si="28"/>
        <v>38063130.790000007</v>
      </c>
      <c r="AA31" s="26">
        <f t="shared" si="28"/>
        <v>27403216.379999999</v>
      </c>
      <c r="AB31" s="26">
        <f t="shared" si="28"/>
        <v>6501613.4400000023</v>
      </c>
      <c r="AC31" s="26">
        <f t="shared" si="28"/>
        <v>58397158.770000018</v>
      </c>
      <c r="AD31" s="26">
        <f t="shared" si="28"/>
        <v>29871443.329999983</v>
      </c>
      <c r="AE31" s="26">
        <f t="shared" si="28"/>
        <v>17199883.610000018</v>
      </c>
      <c r="AF31" s="26">
        <f t="shared" si="28"/>
        <v>4404840.8299999954</v>
      </c>
      <c r="AG31" s="26">
        <f t="shared" si="28"/>
        <v>25700496.679999981</v>
      </c>
      <c r="AH31" s="26">
        <f t="shared" si="28"/>
        <v>19231742.749999985</v>
      </c>
      <c r="AI31" s="26">
        <f t="shared" si="28"/>
        <v>9203903.5000000112</v>
      </c>
      <c r="AJ31" s="26">
        <f t="shared" si="28"/>
        <v>-1037155.4000000004</v>
      </c>
      <c r="AK31" s="26">
        <f t="shared" si="28"/>
        <v>44196216.980000012</v>
      </c>
      <c r="AL31" s="26">
        <f t="shared" si="28"/>
        <v>24896417.70999999</v>
      </c>
      <c r="AM31" s="26">
        <f t="shared" si="28"/>
        <v>14108744.459999997</v>
      </c>
      <c r="AN31" s="26">
        <f t="shared" si="28"/>
        <v>5540763.7500000037</v>
      </c>
      <c r="AO31" s="26">
        <f t="shared" si="28"/>
        <v>46232557.270000011</v>
      </c>
      <c r="AP31" s="26">
        <f t="shared" si="28"/>
        <v>39528613.439999983</v>
      </c>
      <c r="AQ31" s="26">
        <f t="shared" si="28"/>
        <v>32585697.729999986</v>
      </c>
      <c r="AR31" s="26">
        <f t="shared" si="28"/>
        <v>0</v>
      </c>
      <c r="AS31" s="26">
        <f t="shared" si="28"/>
        <v>3199582.46</v>
      </c>
      <c r="AT31" s="26">
        <f t="shared" si="28"/>
        <v>556604.28</v>
      </c>
      <c r="AU31" s="26">
        <f t="shared" si="28"/>
        <v>47918.79</v>
      </c>
      <c r="AV31" s="26">
        <f t="shared" si="28"/>
        <v>665864.48</v>
      </c>
      <c r="AW31" s="26">
        <f t="shared" si="28"/>
        <v>5051692.58</v>
      </c>
      <c r="AX31" s="26">
        <f t="shared" si="28"/>
        <v>2496157.7200000002</v>
      </c>
      <c r="AY31" s="26">
        <f t="shared" si="28"/>
        <v>1832311.81</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44.896144476315158</v>
      </c>
      <c r="C32" s="57">
        <f t="shared" ref="C32:D32" si="30">C31/C4*100</f>
        <v>31.271806607409669</v>
      </c>
      <c r="D32" s="57">
        <f t="shared" si="30"/>
        <v>35.072439376541645</v>
      </c>
      <c r="E32" s="57">
        <f>E31/E4</f>
        <v>0.30171177812328293</v>
      </c>
      <c r="F32" s="57">
        <f t="shared" ref="F32:BQ32" si="31">F31/F4</f>
        <v>0.31300952091319323</v>
      </c>
      <c r="G32" s="57">
        <f t="shared" si="31"/>
        <v>0.29577094742310223</v>
      </c>
      <c r="H32" s="57">
        <f t="shared" si="31"/>
        <v>0.18870692383349089</v>
      </c>
      <c r="I32" s="57">
        <f t="shared" si="31"/>
        <v>0.48544106247438873</v>
      </c>
      <c r="J32" s="57">
        <f t="shared" si="31"/>
        <v>0.19348472689868532</v>
      </c>
      <c r="K32" s="57">
        <f t="shared" si="31"/>
        <v>-1.9939215829959799E-2</v>
      </c>
      <c r="L32" s="57">
        <f t="shared" si="31"/>
        <v>-6.6990096964204354E-2</v>
      </c>
      <c r="M32" s="57">
        <f t="shared" si="31"/>
        <v>0.78831978411245263</v>
      </c>
      <c r="N32" s="57">
        <f t="shared" si="31"/>
        <v>0.49664980660065911</v>
      </c>
      <c r="O32" s="57">
        <f t="shared" si="31"/>
        <v>0.47841864097465087</v>
      </c>
      <c r="P32" s="57">
        <f t="shared" si="31"/>
        <v>0.48912306956424112</v>
      </c>
      <c r="Q32" s="57">
        <f t="shared" si="31"/>
        <v>0.8657064612713713</v>
      </c>
      <c r="R32" s="57">
        <f t="shared" si="31"/>
        <v>0.88725217576995674</v>
      </c>
      <c r="S32" s="57">
        <f t="shared" si="31"/>
        <v>3.8389700189458108E-2</v>
      </c>
      <c r="T32" s="57">
        <f t="shared" si="31"/>
        <v>8.0864183280093663E-2</v>
      </c>
      <c r="U32" s="57">
        <f t="shared" si="31"/>
        <v>0.11677914258466131</v>
      </c>
      <c r="V32" s="57">
        <f t="shared" si="31"/>
        <v>0.13448474393301271</v>
      </c>
      <c r="W32" s="57">
        <f t="shared" si="31"/>
        <v>0.17598037032320252</v>
      </c>
      <c r="X32" s="57">
        <f t="shared" si="31"/>
        <v>8.2749898688473572E-2</v>
      </c>
      <c r="Y32" s="57">
        <f t="shared" si="31"/>
        <v>0.13831951475663129</v>
      </c>
      <c r="Z32" s="57">
        <f t="shared" si="31"/>
        <v>0.14433187848272991</v>
      </c>
      <c r="AA32" s="57">
        <f t="shared" si="31"/>
        <v>0.16345737801203486</v>
      </c>
      <c r="AB32" s="57">
        <f t="shared" si="31"/>
        <v>9.2370312309824787E-2</v>
      </c>
      <c r="AC32" s="57">
        <f t="shared" si="31"/>
        <v>0.13648821324180438</v>
      </c>
      <c r="AD32" s="57">
        <f t="shared" si="31"/>
        <v>0.10333639292903735</v>
      </c>
      <c r="AE32" s="57">
        <f t="shared" si="31"/>
        <v>9.770673015493006E-2</v>
      </c>
      <c r="AF32" s="57">
        <f t="shared" si="31"/>
        <v>6.0713647293171878E-2</v>
      </c>
      <c r="AG32" s="57">
        <f t="shared" si="31"/>
        <v>8.3823874115820055E-2</v>
      </c>
      <c r="AH32" s="57">
        <f t="shared" si="31"/>
        <v>8.4330293050502936E-2</v>
      </c>
      <c r="AI32" s="57">
        <f t="shared" si="31"/>
        <v>6.6531869748009273E-2</v>
      </c>
      <c r="AJ32" s="57">
        <f t="shared" si="31"/>
        <v>-1.7174465998114195E-2</v>
      </c>
      <c r="AK32" s="57">
        <f t="shared" si="31"/>
        <v>0.18697935318530365</v>
      </c>
      <c r="AL32" s="57">
        <f t="shared" si="31"/>
        <v>0.15692961151358825</v>
      </c>
      <c r="AM32" s="57">
        <f t="shared" si="31"/>
        <v>0.14585853810223343</v>
      </c>
      <c r="AN32" s="57">
        <f t="shared" si="31"/>
        <v>0.12132731474851295</v>
      </c>
      <c r="AO32" s="57">
        <f t="shared" si="31"/>
        <v>0.16178083961395018</v>
      </c>
      <c r="AP32" s="57">
        <f t="shared" si="31"/>
        <v>0.14549120615328509</v>
      </c>
      <c r="AQ32" s="57">
        <f t="shared" si="31"/>
        <v>0.14904545568285527</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798431379.80144358</v>
      </c>
      <c r="C33" s="26">
        <f t="shared" ref="C33:BN33" si="33">C17+C20+C29</f>
        <v>356153816.59114218</v>
      </c>
      <c r="D33" s="26">
        <f t="shared" si="33"/>
        <v>250990121.5842526</v>
      </c>
      <c r="E33" s="26">
        <f t="shared" si="33"/>
        <v>776961783.90343153</v>
      </c>
      <c r="F33" s="26">
        <f t="shared" si="33"/>
        <v>684693684.70853853</v>
      </c>
      <c r="G33" s="26">
        <f t="shared" si="33"/>
        <v>472890693.25008041</v>
      </c>
      <c r="H33" s="26">
        <f t="shared" si="33"/>
        <v>82586371.863380075</v>
      </c>
      <c r="I33" s="26">
        <f t="shared" si="33"/>
        <v>795361630.31125474</v>
      </c>
      <c r="J33" s="26">
        <f t="shared" si="33"/>
        <v>227913127.42267066</v>
      </c>
      <c r="K33" s="26">
        <f t="shared" si="33"/>
        <v>102747855.1701434</v>
      </c>
      <c r="L33" s="26">
        <f t="shared" si="33"/>
        <v>-18971310.930782467</v>
      </c>
      <c r="M33" s="26">
        <f t="shared" si="33"/>
        <v>739206037.55575597</v>
      </c>
      <c r="N33" s="26">
        <f t="shared" si="33"/>
        <v>255077749.17558399</v>
      </c>
      <c r="O33" s="26">
        <f t="shared" si="33"/>
        <v>148453243.71091524</v>
      </c>
      <c r="P33" s="26">
        <f t="shared" si="33"/>
        <v>72826063.191603646</v>
      </c>
      <c r="Q33" s="26">
        <f t="shared" si="33"/>
        <v>398396456.91620147</v>
      </c>
      <c r="R33" s="26">
        <f t="shared" si="33"/>
        <v>295130655.81200528</v>
      </c>
      <c r="S33" s="26">
        <f t="shared" si="33"/>
        <v>7305324.8667988032</v>
      </c>
      <c r="T33" s="26">
        <f t="shared" si="33"/>
        <v>-187632.66881226003</v>
      </c>
      <c r="U33" s="26">
        <f t="shared" si="33"/>
        <v>34469188.698215112</v>
      </c>
      <c r="V33" s="26">
        <f t="shared" si="33"/>
        <v>29807169.253464658</v>
      </c>
      <c r="W33" s="26">
        <f t="shared" si="33"/>
        <v>22778015.608148336</v>
      </c>
      <c r="X33" s="26">
        <f t="shared" si="33"/>
        <v>-158291.00168730319</v>
      </c>
      <c r="Y33" s="26">
        <f t="shared" si="33"/>
        <v>39421414.382941023</v>
      </c>
      <c r="Z33" s="26">
        <f t="shared" si="33"/>
        <v>30225036.967283081</v>
      </c>
      <c r="AA33" s="26">
        <f t="shared" si="33"/>
        <v>21403093.800918438</v>
      </c>
      <c r="AB33" s="26">
        <f t="shared" si="33"/>
        <v>5091216.4922915418</v>
      </c>
      <c r="AC33" s="26">
        <f t="shared" si="33"/>
        <v>46481825.233674712</v>
      </c>
      <c r="AD33" s="26">
        <f t="shared" si="33"/>
        <v>23976558.034958906</v>
      </c>
      <c r="AE33" s="26">
        <f t="shared" si="33"/>
        <v>13628314.673694924</v>
      </c>
      <c r="AF33" s="26">
        <f t="shared" si="33"/>
        <v>3412102.9511741707</v>
      </c>
      <c r="AG33" s="26">
        <f t="shared" si="33"/>
        <v>20913039.063795194</v>
      </c>
      <c r="AH33" s="26">
        <f t="shared" si="33"/>
        <v>15263969.321372442</v>
      </c>
      <c r="AI33" s="26">
        <f t="shared" si="33"/>
        <v>7368066.0027763676</v>
      </c>
      <c r="AJ33" s="26">
        <f t="shared" si="33"/>
        <v>-1120859.6429304138</v>
      </c>
      <c r="AK33" s="26">
        <f t="shared" si="33"/>
        <v>35733481.795749448</v>
      </c>
      <c r="AL33" s="26">
        <f t="shared" si="33"/>
        <v>19919054.695785802</v>
      </c>
      <c r="AM33" s="26">
        <f t="shared" si="33"/>
        <v>11260129.944566131</v>
      </c>
      <c r="AN33" s="26">
        <f t="shared" si="33"/>
        <v>4471339.7088936055</v>
      </c>
      <c r="AO33" s="26">
        <f t="shared" si="33"/>
        <v>41794916.271918319</v>
      </c>
      <c r="AP33" s="26">
        <f t="shared" si="33"/>
        <v>34646493.76054465</v>
      </c>
      <c r="AQ33" s="26">
        <f t="shared" si="33"/>
        <v>28680913.156095941</v>
      </c>
      <c r="AR33" s="26" t="e">
        <f t="shared" si="33"/>
        <v>#DIV/0!</v>
      </c>
      <c r="AS33" s="26">
        <f t="shared" si="33"/>
        <v>-20457250.631745093</v>
      </c>
      <c r="AT33" s="26">
        <f t="shared" si="33"/>
        <v>-8122173.6560173379</v>
      </c>
      <c r="AU33" s="26">
        <f t="shared" si="33"/>
        <v>-688900.4632240358</v>
      </c>
      <c r="AV33" s="26">
        <f t="shared" si="33"/>
        <v>-61022787.12720795</v>
      </c>
      <c r="AW33" s="26">
        <f t="shared" si="33"/>
        <v>-50093697.729275554</v>
      </c>
      <c r="AX33" s="26">
        <f t="shared" si="33"/>
        <v>-43012215.904261902</v>
      </c>
      <c r="AY33" s="26">
        <f t="shared" si="33"/>
        <v>-27523866.203127492</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42.733631839390753</v>
      </c>
      <c r="C34" s="57">
        <f t="shared" ref="C34:D34" si="35">C33/C4*100</f>
        <v>28.858061687644838</v>
      </c>
      <c r="D34" s="57">
        <f t="shared" si="35"/>
        <v>33.832052234747948</v>
      </c>
      <c r="E34" s="57">
        <f>E33/E4</f>
        <v>0.25052171539668672</v>
      </c>
      <c r="F34" s="57">
        <f t="shared" ref="F34:BQ34" si="36">F33/F4</f>
        <v>0.30605591505924357</v>
      </c>
      <c r="G34" s="57">
        <f t="shared" si="36"/>
        <v>0.29757173389393998</v>
      </c>
      <c r="H34" s="57">
        <f t="shared" si="36"/>
        <v>0.12911521480906746</v>
      </c>
      <c r="I34" s="57">
        <f t="shared" si="36"/>
        <v>0.47488227976737629</v>
      </c>
      <c r="J34" s="57">
        <f t="shared" si="36"/>
        <v>0.1739912108418035</v>
      </c>
      <c r="K34" s="57">
        <f t="shared" si="36"/>
        <v>0.11963755293407849</v>
      </c>
      <c r="L34" s="57">
        <f t="shared" si="36"/>
        <v>-4.23475299629755E-2</v>
      </c>
      <c r="M34" s="57">
        <f t="shared" si="36"/>
        <v>0.78568096671797905</v>
      </c>
      <c r="N34" s="57">
        <f t="shared" si="36"/>
        <v>0.48246848793320146</v>
      </c>
      <c r="O34" s="57">
        <f t="shared" si="36"/>
        <v>0.46496048510886312</v>
      </c>
      <c r="P34" s="57">
        <f t="shared" si="36"/>
        <v>0.47453413405455497</v>
      </c>
      <c r="Q34" s="57">
        <f t="shared" si="36"/>
        <v>0.83777476546266194</v>
      </c>
      <c r="R34" s="57">
        <f t="shared" si="36"/>
        <v>0.86132456467609653</v>
      </c>
      <c r="S34" s="57">
        <f t="shared" si="36"/>
        <v>4.5380256649946188E-2</v>
      </c>
      <c r="T34" s="57">
        <f t="shared" si="36"/>
        <v>-2.4530313010767859E-3</v>
      </c>
      <c r="U34" s="57">
        <f t="shared" si="36"/>
        <v>8.5138390474730249E-2</v>
      </c>
      <c r="V34" s="57">
        <f t="shared" si="36"/>
        <v>9.9578322909044212E-2</v>
      </c>
      <c r="W34" s="57">
        <f t="shared" si="36"/>
        <v>0.11296956178893362</v>
      </c>
      <c r="X34" s="57">
        <f t="shared" si="36"/>
        <v>-1.7943515538459938E-3</v>
      </c>
      <c r="Y34" s="57">
        <f t="shared" si="36"/>
        <v>0.10683931770960589</v>
      </c>
      <c r="Z34" s="57">
        <f t="shared" si="36"/>
        <v>0.11461055021369987</v>
      </c>
      <c r="AA34" s="57">
        <f t="shared" si="36"/>
        <v>0.12766726159185862</v>
      </c>
      <c r="AB34" s="57">
        <f t="shared" si="36"/>
        <v>7.2332392839076609E-2</v>
      </c>
      <c r="AC34" s="57">
        <f t="shared" si="36"/>
        <v>0.1086392113587083</v>
      </c>
      <c r="AD34" s="57">
        <f t="shared" si="36"/>
        <v>8.2943800030515047E-2</v>
      </c>
      <c r="AE34" s="57">
        <f t="shared" si="36"/>
        <v>7.741785319494858E-2</v>
      </c>
      <c r="AF34" s="57">
        <f t="shared" si="36"/>
        <v>4.7030352083251022E-2</v>
      </c>
      <c r="AG34" s="57">
        <f t="shared" si="36"/>
        <v>6.8209263645359119E-2</v>
      </c>
      <c r="AH34" s="57">
        <f t="shared" si="36"/>
        <v>6.6931792023124131E-2</v>
      </c>
      <c r="AI34" s="57">
        <f t="shared" si="36"/>
        <v>5.3261228520209071E-2</v>
      </c>
      <c r="AJ34" s="57">
        <f t="shared" si="36"/>
        <v>-1.8560541483143997E-2</v>
      </c>
      <c r="AK34" s="57">
        <f t="shared" si="36"/>
        <v>0.15117636236267867</v>
      </c>
      <c r="AL34" s="57">
        <f t="shared" si="36"/>
        <v>0.12555579487534163</v>
      </c>
      <c r="AM34" s="57">
        <f t="shared" si="36"/>
        <v>0.11640908921498738</v>
      </c>
      <c r="AN34" s="57">
        <f t="shared" si="36"/>
        <v>9.7909902801479015E-2</v>
      </c>
      <c r="AO34" s="57">
        <f t="shared" si="36"/>
        <v>0.14625227427021997</v>
      </c>
      <c r="AP34" s="57">
        <f t="shared" si="36"/>
        <v>0.1275218057889943</v>
      </c>
      <c r="AQ34" s="57">
        <f t="shared" si="36"/>
        <v>0.13118515387243543</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103769836.41</v>
      </c>
      <c r="C35" s="26">
        <f t="shared" ref="C35:BN35" si="38">C23+C68</f>
        <v>75184195.879999995</v>
      </c>
      <c r="D35" s="26">
        <f t="shared" si="38"/>
        <v>39155009.109999999</v>
      </c>
      <c r="E35" s="26">
        <f t="shared" si="38"/>
        <v>123581021.20999999</v>
      </c>
      <c r="F35" s="26">
        <f t="shared" si="38"/>
        <v>75603273.920000002</v>
      </c>
      <c r="G35" s="26">
        <f t="shared" si="38"/>
        <v>46579389.549999997</v>
      </c>
      <c r="H35" s="26">
        <f t="shared" si="38"/>
        <v>30993447.940000001</v>
      </c>
      <c r="I35" s="26">
        <f t="shared" si="38"/>
        <v>20273061.039999999</v>
      </c>
      <c r="J35" s="26">
        <f t="shared" si="38"/>
        <v>16095729.310000001</v>
      </c>
      <c r="K35" s="26">
        <f t="shared" si="38"/>
        <v>7889528.2000000002</v>
      </c>
      <c r="L35" s="26">
        <f t="shared" si="38"/>
        <v>3896818.77</v>
      </c>
      <c r="M35" s="26">
        <f t="shared" si="38"/>
        <v>54247754.060000002</v>
      </c>
      <c r="N35" s="26">
        <f t="shared" si="38"/>
        <v>17293205.289999999</v>
      </c>
      <c r="O35" s="26">
        <f t="shared" si="38"/>
        <v>9698692.9000000004</v>
      </c>
      <c r="P35" s="26">
        <f t="shared" si="38"/>
        <v>1227815.21</v>
      </c>
      <c r="Q35" s="26">
        <f t="shared" si="38"/>
        <v>-1577625.94</v>
      </c>
      <c r="R35" s="26">
        <f t="shared" si="38"/>
        <v>-935920.35</v>
      </c>
      <c r="S35" s="26">
        <f t="shared" si="38"/>
        <v>11710004.92</v>
      </c>
      <c r="T35" s="26">
        <f t="shared" si="38"/>
        <v>5415605.6399999997</v>
      </c>
      <c r="U35" s="26">
        <f t="shared" si="38"/>
        <v>32088838.699999999</v>
      </c>
      <c r="V35" s="26">
        <f t="shared" si="38"/>
        <v>24712521.059999999</v>
      </c>
      <c r="W35" s="26">
        <f t="shared" si="38"/>
        <v>17251811.109999999</v>
      </c>
      <c r="X35" s="26">
        <f t="shared" si="38"/>
        <v>6304109.5800000001</v>
      </c>
      <c r="Y35" s="26">
        <f t="shared" si="38"/>
        <v>22073552.18</v>
      </c>
      <c r="Z35" s="26">
        <f t="shared" si="38"/>
        <v>14775066.99</v>
      </c>
      <c r="AA35" s="26">
        <f t="shared" si="38"/>
        <v>8978355.9600000009</v>
      </c>
      <c r="AB35" s="26">
        <f t="shared" si="38"/>
        <v>2898159.78</v>
      </c>
      <c r="AC35" s="26">
        <f t="shared" si="38"/>
        <v>19652233.329999998</v>
      </c>
      <c r="AD35" s="26">
        <f t="shared" si="38"/>
        <v>9822064.0999999996</v>
      </c>
      <c r="AE35" s="26">
        <f t="shared" si="38"/>
        <v>5847604.0499999998</v>
      </c>
      <c r="AF35" s="26">
        <f t="shared" si="38"/>
        <v>1224397.28</v>
      </c>
      <c r="AG35" s="26">
        <f t="shared" si="38"/>
        <v>8989929.3900000006</v>
      </c>
      <c r="AH35" s="26">
        <f t="shared" si="38"/>
        <v>5743420.0599999996</v>
      </c>
      <c r="AI35" s="26">
        <f t="shared" si="38"/>
        <v>4039621.32</v>
      </c>
      <c r="AJ35" s="26">
        <f t="shared" si="38"/>
        <v>1635369.62</v>
      </c>
      <c r="AK35" s="26">
        <f t="shared" si="38"/>
        <v>7351811.8799999999</v>
      </c>
      <c r="AL35" s="26">
        <f t="shared" si="38"/>
        <v>5260409.08</v>
      </c>
      <c r="AM35" s="26">
        <f t="shared" si="38"/>
        <v>3471167.1</v>
      </c>
      <c r="AN35" s="26">
        <f t="shared" si="38"/>
        <v>1379238.77</v>
      </c>
      <c r="AO35" s="26">
        <f t="shared" si="38"/>
        <v>10000504.91</v>
      </c>
      <c r="AP35" s="26">
        <f t="shared" si="38"/>
        <v>7011491.7800000003</v>
      </c>
      <c r="AQ35" s="26">
        <f t="shared" si="38"/>
        <v>2513676.0099999998</v>
      </c>
      <c r="AR35" s="26">
        <f t="shared" si="38"/>
        <v>0</v>
      </c>
      <c r="AS35" s="26">
        <f t="shared" si="38"/>
        <v>-92227613.010000005</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5078672.7296626437</v>
      </c>
      <c r="C36" s="26">
        <f t="shared" ref="C36:BN36" si="40">C35*C41</f>
        <v>5665042.8264779029</v>
      </c>
      <c r="D36" s="26">
        <f t="shared" si="40"/>
        <v>1221474.3604570352</v>
      </c>
      <c r="E36" s="26">
        <f t="shared" si="40"/>
        <v>14008859.978504729</v>
      </c>
      <c r="F36" s="26">
        <f t="shared" si="40"/>
        <v>1227899.7385541401</v>
      </c>
      <c r="G36" s="26">
        <f t="shared" si="40"/>
        <v>-200205.97979066361</v>
      </c>
      <c r="H36" s="26">
        <f t="shared" si="40"/>
        <v>3790876.4321936881</v>
      </c>
      <c r="I36" s="26">
        <f t="shared" si="40"/>
        <v>594883.45638599992</v>
      </c>
      <c r="J36" s="26">
        <f t="shared" si="40"/>
        <v>1083479.2535800796</v>
      </c>
      <c r="K36" s="26">
        <f t="shared" si="40"/>
        <v>-4343542.3535141898</v>
      </c>
      <c r="L36" s="26">
        <f t="shared" si="40"/>
        <v>-360478.58479649358</v>
      </c>
      <c r="M36" s="26">
        <f t="shared" si="40"/>
        <v>356105.90305685648</v>
      </c>
      <c r="N36" s="26">
        <f t="shared" si="40"/>
        <v>492640.02447757235</v>
      </c>
      <c r="O36" s="26">
        <f t="shared" si="40"/>
        <v>268043.77116985415</v>
      </c>
      <c r="P36" s="26">
        <f t="shared" si="40"/>
        <v>36355.128026471211</v>
      </c>
      <c r="Q36" s="26">
        <f t="shared" si="40"/>
        <v>-82022.782629870126</v>
      </c>
      <c r="R36" s="26">
        <f t="shared" si="40"/>
        <v>-52639.786845114213</v>
      </c>
      <c r="S36" s="26">
        <f t="shared" si="40"/>
        <v>-2132328.4667988103</v>
      </c>
      <c r="T36" s="26">
        <f t="shared" si="40"/>
        <v>5579889.1288122619</v>
      </c>
      <c r="U36" s="26">
        <f t="shared" si="40"/>
        <v>8694172.5683801938</v>
      </c>
      <c r="V36" s="26">
        <f t="shared" si="40"/>
        <v>6414301.2765353145</v>
      </c>
      <c r="W36" s="26">
        <f t="shared" si="40"/>
        <v>6177112.6218516566</v>
      </c>
      <c r="X36" s="26">
        <f t="shared" si="40"/>
        <v>6440808.1016873028</v>
      </c>
      <c r="Y36" s="26">
        <f t="shared" si="40"/>
        <v>5023691.0594743732</v>
      </c>
      <c r="Z36" s="26">
        <f t="shared" si="40"/>
        <v>3042533.7827169243</v>
      </c>
      <c r="AA36" s="26">
        <f t="shared" si="40"/>
        <v>1965872.7490815637</v>
      </c>
      <c r="AB36" s="26">
        <f t="shared" si="40"/>
        <v>628698.66770846082</v>
      </c>
      <c r="AC36" s="26">
        <f t="shared" si="40"/>
        <v>4009834.0363253062</v>
      </c>
      <c r="AD36" s="26">
        <f t="shared" si="40"/>
        <v>1938304.1050410774</v>
      </c>
      <c r="AE36" s="26">
        <f t="shared" si="40"/>
        <v>1214259.4363050952</v>
      </c>
      <c r="AF36" s="26">
        <f t="shared" si="40"/>
        <v>275947.66882582469</v>
      </c>
      <c r="AG36" s="26">
        <f t="shared" si="40"/>
        <v>1674633.2362047874</v>
      </c>
      <c r="AH36" s="26">
        <f t="shared" si="40"/>
        <v>1184946.6686275445</v>
      </c>
      <c r="AI36" s="26">
        <f t="shared" si="40"/>
        <v>805754.6772236434</v>
      </c>
      <c r="AJ36" s="26">
        <f t="shared" si="40"/>
        <v>-131983.47706958654</v>
      </c>
      <c r="AK36" s="26">
        <f t="shared" si="40"/>
        <v>1407732.1842505643</v>
      </c>
      <c r="AL36" s="26">
        <f t="shared" si="40"/>
        <v>1051676.0242141879</v>
      </c>
      <c r="AM36" s="26">
        <f t="shared" si="40"/>
        <v>700843.15543386631</v>
      </c>
      <c r="AN36" s="26">
        <f t="shared" si="40"/>
        <v>266207.18110639846</v>
      </c>
      <c r="AO36" s="26">
        <f t="shared" si="40"/>
        <v>959900.40808169346</v>
      </c>
      <c r="AP36" s="26">
        <f t="shared" si="40"/>
        <v>865978.81945533026</v>
      </c>
      <c r="AQ36" s="26">
        <f t="shared" si="40"/>
        <v>301216.913904046</v>
      </c>
      <c r="AR36" s="26" t="e">
        <f t="shared" si="40"/>
        <v>#DIV/0!</v>
      </c>
      <c r="AS36" s="26">
        <f t="shared" si="40"/>
        <v>-681905615.7182548</v>
      </c>
      <c r="AT36" s="26">
        <f t="shared" si="40"/>
        <v>-639572055.30398273</v>
      </c>
      <c r="AU36" s="26">
        <f t="shared" si="40"/>
        <v>-561042484.52677596</v>
      </c>
      <c r="AV36" s="26">
        <f t="shared" si="40"/>
        <v>-312858390.72279203</v>
      </c>
      <c r="AW36" s="26">
        <f t="shared" si="40"/>
        <v>-551240236.96072447</v>
      </c>
      <c r="AX36" s="26">
        <f t="shared" si="40"/>
        <v>-480719628.0057382</v>
      </c>
      <c r="AY36" s="26">
        <f t="shared" si="40"/>
        <v>-390866074.9768725</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98691163.680337355</v>
      </c>
      <c r="C37" s="26">
        <f t="shared" ref="C37:BN37" si="42">C35-C36</f>
        <v>69519153.053522095</v>
      </c>
      <c r="D37" s="26">
        <f t="shared" si="42"/>
        <v>37933534.749542966</v>
      </c>
      <c r="E37" s="26">
        <f t="shared" si="42"/>
        <v>109572161.23149526</v>
      </c>
      <c r="F37" s="26">
        <f t="shared" si="42"/>
        <v>74375374.181445867</v>
      </c>
      <c r="G37" s="26">
        <f t="shared" si="42"/>
        <v>46779595.529790662</v>
      </c>
      <c r="H37" s="26">
        <f t="shared" si="42"/>
        <v>27202571.507806312</v>
      </c>
      <c r="I37" s="26">
        <f t="shared" si="42"/>
        <v>19678177.583613999</v>
      </c>
      <c r="J37" s="26">
        <f t="shared" si="42"/>
        <v>15012250.05641992</v>
      </c>
      <c r="K37" s="26">
        <f t="shared" si="42"/>
        <v>12233070.55351419</v>
      </c>
      <c r="L37" s="26">
        <f t="shared" si="42"/>
        <v>4257297.3547964934</v>
      </c>
      <c r="M37" s="26">
        <f t="shared" si="42"/>
        <v>53891648.156943142</v>
      </c>
      <c r="N37" s="26">
        <f t="shared" si="42"/>
        <v>16800565.265522428</v>
      </c>
      <c r="O37" s="26">
        <f t="shared" si="42"/>
        <v>9430649.128830146</v>
      </c>
      <c r="P37" s="26">
        <f t="shared" si="42"/>
        <v>1191460.0819735287</v>
      </c>
      <c r="Q37" s="26">
        <f t="shared" si="42"/>
        <v>-1495603.1573701298</v>
      </c>
      <c r="R37" s="26">
        <f t="shared" si="42"/>
        <v>-883280.56315488578</v>
      </c>
      <c r="S37" s="26">
        <f t="shared" si="42"/>
        <v>13842333.38679881</v>
      </c>
      <c r="T37" s="26">
        <f t="shared" si="42"/>
        <v>-164283.48881226219</v>
      </c>
      <c r="U37" s="26">
        <f t="shared" si="42"/>
        <v>23394666.131619804</v>
      </c>
      <c r="V37" s="26">
        <f t="shared" si="42"/>
        <v>18298219.783464685</v>
      </c>
      <c r="W37" s="26">
        <f t="shared" si="42"/>
        <v>11074698.488148343</v>
      </c>
      <c r="X37" s="26">
        <f t="shared" si="42"/>
        <v>-136698.52168730274</v>
      </c>
      <c r="Y37" s="26">
        <f t="shared" si="42"/>
        <v>17049861.120525628</v>
      </c>
      <c r="Z37" s="26">
        <f t="shared" si="42"/>
        <v>11732533.207283076</v>
      </c>
      <c r="AA37" s="26">
        <f t="shared" si="42"/>
        <v>7012483.2109184377</v>
      </c>
      <c r="AB37" s="26">
        <f t="shared" si="42"/>
        <v>2269461.1122915391</v>
      </c>
      <c r="AC37" s="26">
        <f t="shared" si="42"/>
        <v>15642399.293674693</v>
      </c>
      <c r="AD37" s="26">
        <f t="shared" si="42"/>
        <v>7883759.9949589223</v>
      </c>
      <c r="AE37" s="26">
        <f t="shared" si="42"/>
        <v>4633344.6136949044</v>
      </c>
      <c r="AF37" s="26">
        <f t="shared" si="42"/>
        <v>948449.61117417528</v>
      </c>
      <c r="AG37" s="26">
        <f t="shared" si="42"/>
        <v>7315296.1537952134</v>
      </c>
      <c r="AH37" s="26">
        <f t="shared" si="42"/>
        <v>4558473.3913724553</v>
      </c>
      <c r="AI37" s="26">
        <f t="shared" si="42"/>
        <v>3233866.6427763565</v>
      </c>
      <c r="AJ37" s="26">
        <f t="shared" si="42"/>
        <v>1767353.0970695866</v>
      </c>
      <c r="AK37" s="26">
        <f t="shared" si="42"/>
        <v>5944079.6957494356</v>
      </c>
      <c r="AL37" s="26">
        <f t="shared" si="42"/>
        <v>4208733.0557858124</v>
      </c>
      <c r="AM37" s="26">
        <f t="shared" si="42"/>
        <v>2770323.9445661339</v>
      </c>
      <c r="AN37" s="26">
        <f t="shared" si="42"/>
        <v>1113031.5888936017</v>
      </c>
      <c r="AO37" s="26">
        <f t="shared" si="42"/>
        <v>9040604.5019183066</v>
      </c>
      <c r="AP37" s="26">
        <f t="shared" si="42"/>
        <v>6145512.96054467</v>
      </c>
      <c r="AQ37" s="26">
        <f t="shared" si="42"/>
        <v>2212459.0960959536</v>
      </c>
      <c r="AR37" s="26" t="e">
        <f t="shared" si="42"/>
        <v>#DIV/0!</v>
      </c>
      <c r="AS37" s="26">
        <f t="shared" si="42"/>
        <v>589678002.70825481</v>
      </c>
      <c r="AT37" s="26">
        <f t="shared" si="42"/>
        <v>598553775.31398273</v>
      </c>
      <c r="AU37" s="26">
        <f t="shared" si="42"/>
        <v>524555277.00677598</v>
      </c>
      <c r="AV37" s="26">
        <f t="shared" si="42"/>
        <v>309481411.58279204</v>
      </c>
      <c r="AW37" s="26">
        <f t="shared" si="42"/>
        <v>500742884.4307245</v>
      </c>
      <c r="AX37" s="26">
        <f t="shared" si="42"/>
        <v>454351908.9457382</v>
      </c>
      <c r="AY37" s="26">
        <f t="shared" si="42"/>
        <v>366469556.9768725</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735065737.33000004</v>
      </c>
      <c r="C38" s="28">
        <f t="shared" ref="C38:BN38" si="44">C31-C35</f>
        <v>310759024.95999992</v>
      </c>
      <c r="D38" s="28">
        <f t="shared" si="44"/>
        <v>221037182.67000002</v>
      </c>
      <c r="E38" s="28">
        <f t="shared" si="44"/>
        <v>812140343.23999977</v>
      </c>
      <c r="F38" s="28">
        <f t="shared" si="44"/>
        <v>624646685.89999998</v>
      </c>
      <c r="G38" s="28">
        <f t="shared" si="44"/>
        <v>423449556.2100001</v>
      </c>
      <c r="H38" s="28">
        <f t="shared" si="44"/>
        <v>89709756.620000064</v>
      </c>
      <c r="I38" s="28">
        <f t="shared" si="44"/>
        <v>792773058.6400001</v>
      </c>
      <c r="J38" s="28">
        <f t="shared" si="44"/>
        <v>237352183.38999999</v>
      </c>
      <c r="K38" s="28">
        <f t="shared" si="44"/>
        <v>-25013847.530000012</v>
      </c>
      <c r="L38" s="28">
        <f t="shared" si="44"/>
        <v>-33907777.140000053</v>
      </c>
      <c r="M38" s="28">
        <f t="shared" si="44"/>
        <v>687441008.46000004</v>
      </c>
      <c r="N38" s="28">
        <f t="shared" si="44"/>
        <v>245282108.88</v>
      </c>
      <c r="O38" s="28">
        <f t="shared" si="44"/>
        <v>143051489.91999993</v>
      </c>
      <c r="P38" s="28">
        <f t="shared" si="44"/>
        <v>73837190.690000027</v>
      </c>
      <c r="Q38" s="28">
        <f t="shared" si="44"/>
        <v>413256756.31999999</v>
      </c>
      <c r="R38" s="28">
        <f t="shared" si="44"/>
        <v>304950605.69</v>
      </c>
      <c r="S38" s="28">
        <f t="shared" si="44"/>
        <v>-5530021.5500000063</v>
      </c>
      <c r="T38" s="28">
        <f t="shared" si="44"/>
        <v>769705.78000000212</v>
      </c>
      <c r="U38" s="28">
        <f t="shared" si="44"/>
        <v>15190447.170000028</v>
      </c>
      <c r="V38" s="28">
        <f t="shared" si="44"/>
        <v>15543323.859999973</v>
      </c>
      <c r="W38" s="28">
        <f t="shared" si="44"/>
        <v>18231053.109999992</v>
      </c>
      <c r="X38" s="28">
        <f t="shared" si="44"/>
        <v>995777.84999999963</v>
      </c>
      <c r="Y38" s="28">
        <f t="shared" si="44"/>
        <v>28963379.029999971</v>
      </c>
      <c r="Z38" s="28">
        <f t="shared" si="44"/>
        <v>23288063.800000004</v>
      </c>
      <c r="AA38" s="28">
        <f t="shared" si="44"/>
        <v>18424860.419999998</v>
      </c>
      <c r="AB38" s="28">
        <f t="shared" si="44"/>
        <v>3603453.6600000025</v>
      </c>
      <c r="AC38" s="28">
        <f t="shared" si="44"/>
        <v>38744925.44000002</v>
      </c>
      <c r="AD38" s="28">
        <f t="shared" si="44"/>
        <v>20049379.229999982</v>
      </c>
      <c r="AE38" s="28">
        <f t="shared" si="44"/>
        <v>11352279.560000017</v>
      </c>
      <c r="AF38" s="28">
        <f t="shared" si="44"/>
        <v>3180443.5499999952</v>
      </c>
      <c r="AG38" s="28">
        <f t="shared" si="44"/>
        <v>16710567.28999998</v>
      </c>
      <c r="AH38" s="28">
        <f t="shared" si="44"/>
        <v>13488322.689999986</v>
      </c>
      <c r="AI38" s="28">
        <f t="shared" si="44"/>
        <v>5164282.1800000109</v>
      </c>
      <c r="AJ38" s="28">
        <f t="shared" si="44"/>
        <v>-2672525.0200000005</v>
      </c>
      <c r="AK38" s="28">
        <f t="shared" si="44"/>
        <v>36844405.100000009</v>
      </c>
      <c r="AL38" s="28">
        <f t="shared" si="44"/>
        <v>19636008.629999988</v>
      </c>
      <c r="AM38" s="28">
        <f t="shared" si="44"/>
        <v>10637577.359999998</v>
      </c>
      <c r="AN38" s="28">
        <f t="shared" si="44"/>
        <v>4161524.9800000037</v>
      </c>
      <c r="AO38" s="28">
        <f t="shared" si="44"/>
        <v>36232052.360000014</v>
      </c>
      <c r="AP38" s="28">
        <f t="shared" si="44"/>
        <v>32517121.659999982</v>
      </c>
      <c r="AQ38" s="28">
        <f t="shared" si="44"/>
        <v>30072021.719999984</v>
      </c>
      <c r="AR38" s="28">
        <f t="shared" si="44"/>
        <v>0</v>
      </c>
      <c r="AS38" s="28">
        <f t="shared" si="44"/>
        <v>95427195.469999999</v>
      </c>
      <c r="AT38" s="28">
        <f t="shared" si="44"/>
        <v>41574884.270000003</v>
      </c>
      <c r="AU38" s="28">
        <f t="shared" si="44"/>
        <v>36535126.310000002</v>
      </c>
      <c r="AV38" s="28">
        <f t="shared" si="44"/>
        <v>4042843.62</v>
      </c>
      <c r="AW38" s="28">
        <f t="shared" si="44"/>
        <v>55549045.109999999</v>
      </c>
      <c r="AX38" s="28">
        <f t="shared" si="44"/>
        <v>28863876.779999997</v>
      </c>
      <c r="AY38" s="28">
        <f t="shared" si="44"/>
        <v>26228829.809999999</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39.34217691271374</v>
      </c>
      <c r="C39" s="57">
        <f t="shared" ref="C39:D39" si="46">C38/C4*100</f>
        <v>25.179859640765894</v>
      </c>
      <c r="D39" s="57">
        <f t="shared" si="46"/>
        <v>29.794565071767948</v>
      </c>
      <c r="E39" s="57">
        <f>E38/E4</f>
        <v>0.26186460665950406</v>
      </c>
      <c r="F39" s="57">
        <f t="shared" ref="F39:BQ39" si="47">F38/F4</f>
        <v>0.27921509619769436</v>
      </c>
      <c r="G39" s="57">
        <f t="shared" si="47"/>
        <v>0.26646034793370865</v>
      </c>
      <c r="H39" s="57">
        <f t="shared" si="47"/>
        <v>0.14025188702588451</v>
      </c>
      <c r="I39" s="57">
        <f t="shared" si="47"/>
        <v>0.473336735238021</v>
      </c>
      <c r="J39" s="57">
        <f t="shared" si="47"/>
        <v>0.18119708263835635</v>
      </c>
      <c r="K39" s="57">
        <f t="shared" si="47"/>
        <v>-2.9125625084823543E-2</v>
      </c>
      <c r="L39" s="57">
        <f t="shared" si="47"/>
        <v>-7.5688528518299089E-2</v>
      </c>
      <c r="M39" s="57">
        <f t="shared" si="47"/>
        <v>0.73066139702314925</v>
      </c>
      <c r="N39" s="57">
        <f t="shared" si="47"/>
        <v>0.46394045960841523</v>
      </c>
      <c r="O39" s="57">
        <f t="shared" si="47"/>
        <v>0.44804201300088081</v>
      </c>
      <c r="P39" s="57">
        <f t="shared" si="47"/>
        <v>0.48112263397947735</v>
      </c>
      <c r="Q39" s="57">
        <f t="shared" si="47"/>
        <v>0.86902399881199588</v>
      </c>
      <c r="R39" s="57">
        <f t="shared" si="47"/>
        <v>0.88998361410806281</v>
      </c>
      <c r="S39" s="57">
        <f t="shared" si="47"/>
        <v>-3.4352174857995271E-2</v>
      </c>
      <c r="T39" s="57">
        <f t="shared" si="47"/>
        <v>1.0062812531057263E-2</v>
      </c>
      <c r="U39" s="57">
        <f t="shared" si="47"/>
        <v>3.7520181689457421E-2</v>
      </c>
      <c r="V39" s="57">
        <f t="shared" si="47"/>
        <v>5.1926370775078612E-2</v>
      </c>
      <c r="W39" s="57">
        <f t="shared" si="47"/>
        <v>9.041850335947238E-2</v>
      </c>
      <c r="X39" s="57">
        <f t="shared" si="47"/>
        <v>1.1287916011565948E-2</v>
      </c>
      <c r="Y39" s="57">
        <f t="shared" si="47"/>
        <v>7.8496109349870696E-2</v>
      </c>
      <c r="Z39" s="57">
        <f t="shared" si="47"/>
        <v>8.8306188290815102E-2</v>
      </c>
      <c r="AA39" s="57">
        <f t="shared" si="47"/>
        <v>0.10990240462024622</v>
      </c>
      <c r="AB39" s="57">
        <f t="shared" si="47"/>
        <v>5.1195313754024308E-2</v>
      </c>
      <c r="AC39" s="57">
        <f t="shared" si="47"/>
        <v>9.0556214666546744E-2</v>
      </c>
      <c r="AD39" s="57">
        <f t="shared" si="47"/>
        <v>6.935823311938237E-2</v>
      </c>
      <c r="AE39" s="57">
        <f t="shared" si="47"/>
        <v>6.4488466361909788E-2</v>
      </c>
      <c r="AF39" s="57">
        <f t="shared" si="47"/>
        <v>4.3837299776061003E-2</v>
      </c>
      <c r="AG39" s="57">
        <f t="shared" si="47"/>
        <v>5.4502623290193147E-2</v>
      </c>
      <c r="AH39" s="57">
        <f t="shared" si="47"/>
        <v>5.9145664539811287E-2</v>
      </c>
      <c r="AI39" s="57">
        <f t="shared" si="47"/>
        <v>3.7330829179350447E-2</v>
      </c>
      <c r="AJ39" s="57">
        <f t="shared" si="47"/>
        <v>-4.425488223375152E-2</v>
      </c>
      <c r="AK39" s="57">
        <f t="shared" si="47"/>
        <v>0.15587630582076353</v>
      </c>
      <c r="AL39" s="57">
        <f t="shared" si="47"/>
        <v>0.12377167036146124</v>
      </c>
      <c r="AM39" s="57">
        <f t="shared" si="47"/>
        <v>0.10997303743631739</v>
      </c>
      <c r="AN39" s="57">
        <f t="shared" si="47"/>
        <v>9.1125821973957868E-2</v>
      </c>
      <c r="AO39" s="57">
        <f t="shared" si="47"/>
        <v>0.12678623459016386</v>
      </c>
      <c r="AP39" s="57">
        <f t="shared" si="47"/>
        <v>0.11968432078012477</v>
      </c>
      <c r="AQ39" s="57">
        <f t="shared" si="47"/>
        <v>0.13754801930896449</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35975370.530000001</v>
      </c>
      <c r="C40" s="26">
        <f t="shared" ref="C40:BN40" si="49">C60</f>
        <v>23415335.690000001</v>
      </c>
      <c r="D40" s="26">
        <f t="shared" si="49"/>
        <v>6895446.0099999998</v>
      </c>
      <c r="E40" s="26">
        <f t="shared" si="49"/>
        <v>92062359.090000004</v>
      </c>
      <c r="F40" s="26">
        <f t="shared" si="49"/>
        <v>10145109.630000001</v>
      </c>
      <c r="G40" s="26">
        <f t="shared" si="49"/>
        <v>-1820056.77</v>
      </c>
      <c r="H40" s="26">
        <f t="shared" si="49"/>
        <v>10972596.619999999</v>
      </c>
      <c r="I40" s="26">
        <f t="shared" si="49"/>
        <v>23262771.039999999</v>
      </c>
      <c r="J40" s="26">
        <f t="shared" si="49"/>
        <v>15977291.960000001</v>
      </c>
      <c r="K40" s="26">
        <f t="shared" si="49"/>
        <v>13771255.189999999</v>
      </c>
      <c r="L40" s="26">
        <f t="shared" si="49"/>
        <v>3136668.2</v>
      </c>
      <c r="M40" s="26">
        <f t="shared" si="49"/>
        <v>4512662.42</v>
      </c>
      <c r="N40" s="26">
        <f t="shared" si="49"/>
        <v>6987471.79</v>
      </c>
      <c r="O40" s="26">
        <f t="shared" si="49"/>
        <v>3953528.71</v>
      </c>
      <c r="P40" s="26">
        <f t="shared" si="49"/>
        <v>2186290.33</v>
      </c>
      <c r="Q40" s="26">
        <f t="shared" si="49"/>
        <v>21485745.280000001</v>
      </c>
      <c r="R40" s="26">
        <f t="shared" si="49"/>
        <v>17151603.640000001</v>
      </c>
      <c r="S40" s="26">
        <f t="shared" si="49"/>
        <v>1006986.97</v>
      </c>
      <c r="T40" s="26">
        <f t="shared" si="49"/>
        <v>793054.96</v>
      </c>
      <c r="U40" s="26">
        <f t="shared" si="49"/>
        <v>4115710.46</v>
      </c>
      <c r="V40" s="26">
        <f t="shared" si="49"/>
        <v>4034374.39</v>
      </c>
      <c r="W40" s="26">
        <f t="shared" si="49"/>
        <v>6527735.9900000002</v>
      </c>
      <c r="X40" s="26">
        <f t="shared" si="49"/>
        <v>1017370.33</v>
      </c>
      <c r="Y40" s="26">
        <f t="shared" si="49"/>
        <v>6591737.7999999998</v>
      </c>
      <c r="Z40" s="26">
        <f t="shared" si="49"/>
        <v>4795560.04</v>
      </c>
      <c r="AA40" s="26">
        <f t="shared" si="49"/>
        <v>4034249.83</v>
      </c>
      <c r="AB40" s="26">
        <f t="shared" si="49"/>
        <v>781698.28</v>
      </c>
      <c r="AC40" s="26">
        <f t="shared" si="49"/>
        <v>7905499.5</v>
      </c>
      <c r="AD40" s="26">
        <f t="shared" si="49"/>
        <v>3956581.19</v>
      </c>
      <c r="AE40" s="26">
        <f t="shared" si="49"/>
        <v>2357309.5</v>
      </c>
      <c r="AF40" s="26">
        <f t="shared" si="49"/>
        <v>716790.21</v>
      </c>
      <c r="AG40" s="26">
        <f t="shared" si="49"/>
        <v>3112824.38</v>
      </c>
      <c r="AH40" s="26">
        <f t="shared" si="49"/>
        <v>2782826.76</v>
      </c>
      <c r="AI40" s="26">
        <f t="shared" si="49"/>
        <v>1030082.82</v>
      </c>
      <c r="AJ40" s="26">
        <f t="shared" si="49"/>
        <v>215687.72</v>
      </c>
      <c r="AK40" s="26">
        <f t="shared" si="49"/>
        <v>7055003</v>
      </c>
      <c r="AL40" s="26">
        <f t="shared" si="49"/>
        <v>3925686.99</v>
      </c>
      <c r="AM40" s="26">
        <f t="shared" si="49"/>
        <v>2147771.36</v>
      </c>
      <c r="AN40" s="26">
        <f t="shared" si="49"/>
        <v>803216.86</v>
      </c>
      <c r="AO40" s="26">
        <f t="shared" si="49"/>
        <v>3477740.59</v>
      </c>
      <c r="AP40" s="26">
        <f t="shared" si="49"/>
        <v>4016140.86</v>
      </c>
      <c r="AQ40" s="26">
        <f t="shared" si="49"/>
        <v>3603567.66</v>
      </c>
      <c r="AR40" s="26">
        <f t="shared" si="49"/>
        <v>0</v>
      </c>
      <c r="AS40" s="26">
        <f t="shared" si="49"/>
        <v>705562448.80999994</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4.8941705078887711E-2</v>
      </c>
      <c r="C41" s="57">
        <f t="shared" ref="C41:BN41" si="51">C40/C38</f>
        <v>7.534885171239665E-2</v>
      </c>
      <c r="D41" s="57">
        <f t="shared" si="51"/>
        <v>3.1195864545082601E-2</v>
      </c>
      <c r="E41" s="57">
        <f t="shared" si="51"/>
        <v>0.11335769717179803</v>
      </c>
      <c r="F41" s="57">
        <f t="shared" si="51"/>
        <v>1.6241356688513894E-2</v>
      </c>
      <c r="G41" s="57">
        <f t="shared" si="51"/>
        <v>-4.2981666725313197E-3</v>
      </c>
      <c r="H41" s="57">
        <f t="shared" si="51"/>
        <v>0.12231218803188401</v>
      </c>
      <c r="I41" s="57">
        <f t="shared" si="51"/>
        <v>2.934354388872298E-2</v>
      </c>
      <c r="J41" s="57">
        <f t="shared" si="51"/>
        <v>6.7314703963549674E-2</v>
      </c>
      <c r="K41" s="57">
        <f t="shared" si="51"/>
        <v>-0.5505452599198758</v>
      </c>
      <c r="L41" s="57">
        <f t="shared" si="51"/>
        <v>-9.2505863390843185E-2</v>
      </c>
      <c r="M41" s="57">
        <f t="shared" si="51"/>
        <v>6.5644358780824422E-3</v>
      </c>
      <c r="N41" s="57">
        <f t="shared" si="51"/>
        <v>2.8487490677187952E-2</v>
      </c>
      <c r="O41" s="57">
        <f t="shared" si="51"/>
        <v>2.7637102641929631E-2</v>
      </c>
      <c r="P41" s="57">
        <f t="shared" si="51"/>
        <v>2.960960878345139E-2</v>
      </c>
      <c r="Q41" s="57">
        <f t="shared" si="51"/>
        <v>5.1991274072148007E-2</v>
      </c>
      <c r="R41" s="57">
        <f t="shared" si="51"/>
        <v>5.6243874647147286E-2</v>
      </c>
      <c r="S41" s="57">
        <f t="shared" si="51"/>
        <v>-0.18209458333846798</v>
      </c>
      <c r="T41" s="57">
        <f t="shared" si="51"/>
        <v>1.0303352015883236</v>
      </c>
      <c r="U41" s="57">
        <f t="shared" si="51"/>
        <v>0.27094070463759706</v>
      </c>
      <c r="V41" s="57">
        <f t="shared" si="51"/>
        <v>0.25955673486172903</v>
      </c>
      <c r="W41" s="57">
        <f t="shared" si="51"/>
        <v>0.35805589236199659</v>
      </c>
      <c r="X41" s="57">
        <f t="shared" si="51"/>
        <v>1.0216840332409487</v>
      </c>
      <c r="Y41" s="57">
        <f t="shared" si="51"/>
        <v>0.22758870065444869</v>
      </c>
      <c r="Z41" s="57">
        <f t="shared" si="51"/>
        <v>0.20592351863962169</v>
      </c>
      <c r="AA41" s="57">
        <f t="shared" si="51"/>
        <v>0.21895687337858272</v>
      </c>
      <c r="AB41" s="57">
        <f t="shared" si="51"/>
        <v>0.21693029902873776</v>
      </c>
      <c r="AC41" s="57">
        <f t="shared" si="51"/>
        <v>0.20403961061281103</v>
      </c>
      <c r="AD41" s="57">
        <f t="shared" si="51"/>
        <v>0.19734183011909659</v>
      </c>
      <c r="AE41" s="57">
        <f t="shared" si="51"/>
        <v>0.20765076190565523</v>
      </c>
      <c r="AF41" s="57">
        <f t="shared" si="51"/>
        <v>0.22537429095385172</v>
      </c>
      <c r="AG41" s="57">
        <f t="shared" si="51"/>
        <v>0.18627879748060927</v>
      </c>
      <c r="AH41" s="57">
        <f t="shared" si="51"/>
        <v>0.20631377406644788</v>
      </c>
      <c r="AI41" s="57">
        <f t="shared" si="51"/>
        <v>0.19946292322856723</v>
      </c>
      <c r="AJ41" s="57">
        <f t="shared" si="51"/>
        <v>-8.0705594292247246E-2</v>
      </c>
      <c r="AK41" s="57">
        <f t="shared" si="51"/>
        <v>0.19148098553503307</v>
      </c>
      <c r="AL41" s="57">
        <f t="shared" si="51"/>
        <v>0.19992285927203743</v>
      </c>
      <c r="AM41" s="57">
        <f t="shared" si="51"/>
        <v>0.20190418243877292</v>
      </c>
      <c r="AN41" s="57">
        <f t="shared" si="51"/>
        <v>0.19301022194032325</v>
      </c>
      <c r="AO41" s="57">
        <f t="shared" si="51"/>
        <v>9.5985194419717895E-2</v>
      </c>
      <c r="AP41" s="57">
        <f t="shared" si="51"/>
        <v>0.12350849813808527</v>
      </c>
      <c r="AQ41" s="57">
        <f t="shared" si="51"/>
        <v>0.11983124026554481</v>
      </c>
      <c r="AR41" s="57" t="e">
        <f t="shared" si="51"/>
        <v>#DIV/0!</v>
      </c>
      <c r="AS41" s="57">
        <f t="shared" si="51"/>
        <v>7.3937250836614146</v>
      </c>
      <c r="AT41" s="57">
        <f t="shared" si="51"/>
        <v>15.592366512196667</v>
      </c>
      <c r="AU41" s="57">
        <f t="shared" si="51"/>
        <v>15.376416082794156</v>
      </c>
      <c r="AV41" s="57">
        <f t="shared" si="51"/>
        <v>92.644454630179325</v>
      </c>
      <c r="AW41" s="57">
        <f t="shared" si="51"/>
        <v>10.916220541131098</v>
      </c>
      <c r="AX41" s="57">
        <f t="shared" si="51"/>
        <v>18.231369460204579</v>
      </c>
      <c r="AY41" s="57">
        <f t="shared" si="51"/>
        <v>16.021387764306059</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699090366.80000007</v>
      </c>
      <c r="C42" s="28">
        <f t="shared" ref="C42:BN42" si="53">C38-C40</f>
        <v>287343689.26999992</v>
      </c>
      <c r="D42" s="28">
        <f t="shared" si="53"/>
        <v>214141736.66000003</v>
      </c>
      <c r="E42" s="28">
        <f t="shared" si="53"/>
        <v>720077984.14999974</v>
      </c>
      <c r="F42" s="28">
        <f t="shared" si="53"/>
        <v>614501576.26999998</v>
      </c>
      <c r="G42" s="28">
        <f t="shared" si="53"/>
        <v>425269612.98000008</v>
      </c>
      <c r="H42" s="28">
        <f t="shared" si="53"/>
        <v>78737160.00000006</v>
      </c>
      <c r="I42" s="28">
        <f t="shared" si="53"/>
        <v>769510287.60000014</v>
      </c>
      <c r="J42" s="28">
        <f t="shared" si="53"/>
        <v>221374891.42999998</v>
      </c>
      <c r="K42" s="28">
        <f t="shared" si="53"/>
        <v>-38785102.720000014</v>
      </c>
      <c r="L42" s="28">
        <f t="shared" si="53"/>
        <v>-37044445.340000056</v>
      </c>
      <c r="M42" s="28">
        <f t="shared" si="53"/>
        <v>682928346.04000008</v>
      </c>
      <c r="N42" s="28">
        <f t="shared" si="53"/>
        <v>238294637.09</v>
      </c>
      <c r="O42" s="28">
        <f t="shared" si="53"/>
        <v>139097961.20999992</v>
      </c>
      <c r="P42" s="28">
        <f t="shared" si="53"/>
        <v>71650900.360000029</v>
      </c>
      <c r="Q42" s="28">
        <f t="shared" si="53"/>
        <v>391771011.03999996</v>
      </c>
      <c r="R42" s="28">
        <f t="shared" si="53"/>
        <v>287799002.05000001</v>
      </c>
      <c r="S42" s="28">
        <f t="shared" si="53"/>
        <v>-6537008.5200000061</v>
      </c>
      <c r="T42" s="28">
        <f t="shared" si="53"/>
        <v>-23349.179999997839</v>
      </c>
      <c r="U42" s="28">
        <f t="shared" si="53"/>
        <v>11074736.710000027</v>
      </c>
      <c r="V42" s="28">
        <f t="shared" si="53"/>
        <v>11508949.469999973</v>
      </c>
      <c r="W42" s="28">
        <f t="shared" si="53"/>
        <v>11703317.119999992</v>
      </c>
      <c r="X42" s="28">
        <f t="shared" si="53"/>
        <v>-21592.480000000331</v>
      </c>
      <c r="Y42" s="28">
        <f t="shared" si="53"/>
        <v>22371641.229999971</v>
      </c>
      <c r="Z42" s="28">
        <f t="shared" si="53"/>
        <v>18492503.760000005</v>
      </c>
      <c r="AA42" s="28">
        <f t="shared" si="53"/>
        <v>14390610.589999998</v>
      </c>
      <c r="AB42" s="28">
        <f t="shared" si="53"/>
        <v>2821755.3800000027</v>
      </c>
      <c r="AC42" s="28">
        <f t="shared" si="53"/>
        <v>30839425.94000002</v>
      </c>
      <c r="AD42" s="28">
        <f t="shared" si="53"/>
        <v>16092798.039999982</v>
      </c>
      <c r="AE42" s="28">
        <f t="shared" si="53"/>
        <v>8994970.0600000173</v>
      </c>
      <c r="AF42" s="28">
        <f t="shared" si="53"/>
        <v>2463653.3399999952</v>
      </c>
      <c r="AG42" s="28">
        <f t="shared" si="53"/>
        <v>13597742.909999982</v>
      </c>
      <c r="AH42" s="28">
        <f t="shared" si="53"/>
        <v>10705495.929999987</v>
      </c>
      <c r="AI42" s="28">
        <f t="shared" si="53"/>
        <v>4134199.360000011</v>
      </c>
      <c r="AJ42" s="28">
        <f t="shared" si="53"/>
        <v>-2888212.7400000007</v>
      </c>
      <c r="AK42" s="28">
        <f t="shared" si="53"/>
        <v>29789402.100000009</v>
      </c>
      <c r="AL42" s="28">
        <f t="shared" si="53"/>
        <v>15710321.639999988</v>
      </c>
      <c r="AM42" s="28">
        <f t="shared" si="53"/>
        <v>8489805.9999999981</v>
      </c>
      <c r="AN42" s="28">
        <f t="shared" si="53"/>
        <v>3358308.1200000038</v>
      </c>
      <c r="AO42" s="28">
        <f t="shared" si="53"/>
        <v>32754311.770000014</v>
      </c>
      <c r="AP42" s="28">
        <f t="shared" si="53"/>
        <v>28500980.799999982</v>
      </c>
      <c r="AQ42" s="28">
        <f t="shared" si="53"/>
        <v>26468454.059999984</v>
      </c>
      <c r="AR42" s="28">
        <f t="shared" si="53"/>
        <v>0</v>
      </c>
      <c r="AS42" s="28">
        <f t="shared" si="53"/>
        <v>-610135253.33999991</v>
      </c>
      <c r="AT42" s="28">
        <f t="shared" si="53"/>
        <v>-606675948.97000003</v>
      </c>
      <c r="AU42" s="28">
        <f t="shared" si="53"/>
        <v>-525244177.46999997</v>
      </c>
      <c r="AV42" s="28">
        <f t="shared" si="53"/>
        <v>-370504198.70999998</v>
      </c>
      <c r="AW42" s="28">
        <f t="shared" si="53"/>
        <v>-550836582.15999997</v>
      </c>
      <c r="AX42" s="28">
        <f t="shared" si="53"/>
        <v>-497364124.85000002</v>
      </c>
      <c r="AY42" s="28">
        <f t="shared" si="53"/>
        <v>-393993423.18000001</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37.416703693090284</v>
      </c>
      <c r="C43" s="57">
        <f t="shared" ref="C43:D43" si="55">C42/C4*100</f>
        <v>23.282586130554865</v>
      </c>
      <c r="D43" s="57">
        <f t="shared" si="55"/>
        <v>28.865097855609427</v>
      </c>
      <c r="E43" s="57">
        <f>E42/E4</f>
        <v>0.23218023787778397</v>
      </c>
      <c r="F43" s="57">
        <f t="shared" ref="F43:BQ43" si="56">F42/F4</f>
        <v>0.27468026422752989</v>
      </c>
      <c r="G43" s="57">
        <f t="shared" si="56"/>
        <v>0.2676056389207484</v>
      </c>
      <c r="H43" s="57">
        <f t="shared" si="56"/>
        <v>0.12309737184814797</v>
      </c>
      <c r="I43" s="57">
        <f t="shared" si="56"/>
        <v>0.45944735797341929</v>
      </c>
      <c r="J43" s="57">
        <f t="shared" si="56"/>
        <v>0.16899985466149653</v>
      </c>
      <c r="K43" s="57">
        <f t="shared" si="56"/>
        <v>-4.5160599917476577E-2</v>
      </c>
      <c r="L43" s="57">
        <f t="shared" si="56"/>
        <v>-8.2690161197666812E-2</v>
      </c>
      <c r="M43" s="57">
        <f t="shared" si="56"/>
        <v>0.72586501713380069</v>
      </c>
      <c r="N43" s="57">
        <f t="shared" si="56"/>
        <v>0.45072396009055021</v>
      </c>
      <c r="O43" s="57">
        <f t="shared" si="56"/>
        <v>0.43565942989967865</v>
      </c>
      <c r="P43" s="57">
        <f t="shared" si="56"/>
        <v>0.46687678101048136</v>
      </c>
      <c r="Q43" s="57">
        <f t="shared" si="56"/>
        <v>0.82384233391448725</v>
      </c>
      <c r="R43" s="57">
        <f t="shared" si="56"/>
        <v>0.83992748727815381</v>
      </c>
      <c r="S43" s="57">
        <f t="shared" si="56"/>
        <v>-4.0607519825532117E-2</v>
      </c>
      <c r="T43" s="57">
        <f t="shared" si="56"/>
        <v>-3.052574466751299E-4</v>
      </c>
      <c r="U43" s="57">
        <f t="shared" si="56"/>
        <v>2.7354437224385159E-2</v>
      </c>
      <c r="V43" s="57">
        <f t="shared" si="56"/>
        <v>3.8448531523479691E-2</v>
      </c>
      <c r="W43" s="57">
        <f t="shared" si="56"/>
        <v>5.8043625453060313E-2</v>
      </c>
      <c r="X43" s="57">
        <f t="shared" si="56"/>
        <v>-2.4476754601583206E-4</v>
      </c>
      <c r="Y43" s="57">
        <f t="shared" si="56"/>
        <v>6.0631281816504103E-2</v>
      </c>
      <c r="Z43" s="57">
        <f t="shared" si="56"/>
        <v>7.0121867280317496E-2</v>
      </c>
      <c r="AA43" s="57">
        <f t="shared" si="56"/>
        <v>8.5838517727809205E-2</v>
      </c>
      <c r="AB43" s="57">
        <f t="shared" si="56"/>
        <v>4.0089499032493772E-2</v>
      </c>
      <c r="AC43" s="57">
        <f t="shared" si="56"/>
        <v>7.207915988741441E-2</v>
      </c>
      <c r="AD43" s="57">
        <f t="shared" si="56"/>
        <v>5.5670952461776516E-2</v>
      </c>
      <c r="AE43" s="57">
        <f t="shared" si="56"/>
        <v>5.1097387187732012E-2</v>
      </c>
      <c r="AF43" s="57">
        <f t="shared" si="56"/>
        <v>3.3957499421699809E-2</v>
      </c>
      <c r="AG43" s="57">
        <f t="shared" si="56"/>
        <v>4.4349940164157324E-2</v>
      </c>
      <c r="AH43" s="57">
        <f t="shared" si="56"/>
        <v>4.6943099268934745E-2</v>
      </c>
      <c r="AI43" s="57">
        <f t="shared" si="56"/>
        <v>2.9884712864690913E-2</v>
      </c>
      <c r="AJ43" s="57">
        <f t="shared" si="56"/>
        <v>-4.7826498804759858E-2</v>
      </c>
      <c r="AK43" s="57">
        <f t="shared" si="56"/>
        <v>0.12602895716064352</v>
      </c>
      <c r="AL43" s="57">
        <f t="shared" si="56"/>
        <v>9.902688412592181E-2</v>
      </c>
      <c r="AM43" s="57">
        <f t="shared" si="56"/>
        <v>8.7769021222429175E-2</v>
      </c>
      <c r="AN43" s="57">
        <f t="shared" si="56"/>
        <v>7.3537606850269874E-2</v>
      </c>
      <c r="AO43" s="57">
        <f t="shared" si="56"/>
        <v>0.11461663321328301</v>
      </c>
      <c r="AP43" s="57">
        <f t="shared" si="56"/>
        <v>0.10490229006989474</v>
      </c>
      <c r="AQ43" s="57">
        <f t="shared" si="56"/>
        <v>0.12106546955910218</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775576166.84960008</v>
      </c>
      <c r="C45" s="26">
        <f t="shared" ref="C45:BN45" si="58">C70*C69</f>
        <v>769586302.65919995</v>
      </c>
      <c r="D45" s="26">
        <f t="shared" si="58"/>
        <v>765188288.1904</v>
      </c>
      <c r="E45" s="26">
        <f t="shared" si="58"/>
        <v>763727183.15439999</v>
      </c>
      <c r="F45" s="26">
        <f t="shared" si="58"/>
        <v>669903892.31360006</v>
      </c>
      <c r="G45" s="26">
        <f t="shared" si="58"/>
        <v>662161654.37919998</v>
      </c>
      <c r="H45" s="26">
        <f t="shared" si="58"/>
        <v>478600548.64319998</v>
      </c>
      <c r="I45" s="26">
        <f t="shared" si="58"/>
        <v>456716185.6728</v>
      </c>
      <c r="J45" s="26">
        <f t="shared" si="58"/>
        <v>414057994.29519999</v>
      </c>
      <c r="K45" s="26">
        <f t="shared" si="58"/>
        <v>391705151.00800002</v>
      </c>
      <c r="L45" s="26">
        <f t="shared" si="58"/>
        <v>388764840.472</v>
      </c>
      <c r="M45" s="26">
        <f t="shared" si="58"/>
        <v>397523392.47760004</v>
      </c>
      <c r="N45" s="26">
        <f t="shared" si="58"/>
        <v>70250150.126400009</v>
      </c>
      <c r="O45" s="26">
        <f t="shared" si="58"/>
        <v>62314416.056000002</v>
      </c>
      <c r="P45" s="26">
        <f t="shared" si="58"/>
        <v>58709508.026400007</v>
      </c>
      <c r="Q45" s="26">
        <f t="shared" si="58"/>
        <v>53041345.998400003</v>
      </c>
      <c r="R45" s="26">
        <f t="shared" si="58"/>
        <v>44723585.279200003</v>
      </c>
      <c r="S45" s="26">
        <f t="shared" si="58"/>
        <v>36843901.948800005</v>
      </c>
      <c r="T45" s="26">
        <f t="shared" si="58"/>
        <v>37439794.696000002</v>
      </c>
      <c r="U45" s="26">
        <f t="shared" si="58"/>
        <v>37441662.630400002</v>
      </c>
      <c r="V45" s="26">
        <f t="shared" si="58"/>
        <v>37702358.571199998</v>
      </c>
      <c r="W45" s="26">
        <f t="shared" si="58"/>
        <v>37716248.2632</v>
      </c>
      <c r="X45" s="26">
        <f t="shared" si="58"/>
        <v>36778356.295199998</v>
      </c>
      <c r="Y45" s="26">
        <f t="shared" si="58"/>
        <v>36780083.693599999</v>
      </c>
      <c r="Z45" s="26">
        <f t="shared" si="58"/>
        <v>36472608.313600004</v>
      </c>
      <c r="AA45" s="26">
        <f t="shared" si="58"/>
        <v>39144456.859999999</v>
      </c>
      <c r="AB45" s="26">
        <f t="shared" si="58"/>
        <v>38966948.4432</v>
      </c>
      <c r="AC45" s="26">
        <f t="shared" si="58"/>
        <v>38741208.012800001</v>
      </c>
      <c r="AD45" s="26">
        <f t="shared" si="58"/>
        <v>37561477.7808</v>
      </c>
      <c r="AE45" s="26">
        <f t="shared" si="58"/>
        <v>36993651.542399995</v>
      </c>
      <c r="AF45" s="26">
        <f t="shared" si="58"/>
        <v>36471146.204800002</v>
      </c>
      <c r="AG45" s="26">
        <f t="shared" si="58"/>
        <v>36274053.937600002</v>
      </c>
      <c r="AH45" s="26">
        <f t="shared" si="58"/>
        <v>35892705.179200001</v>
      </c>
      <c r="AI45" s="26">
        <f t="shared" si="58"/>
        <v>35367001.453600004</v>
      </c>
      <c r="AJ45" s="26">
        <f t="shared" si="58"/>
        <v>34887192.175999999</v>
      </c>
      <c r="AK45" s="26">
        <f t="shared" si="58"/>
        <v>14060266.504800001</v>
      </c>
      <c r="AL45" s="26">
        <f t="shared" si="58"/>
        <v>12974092.7848</v>
      </c>
      <c r="AM45" s="26">
        <f t="shared" si="58"/>
        <v>12356298.8168</v>
      </c>
      <c r="AN45" s="26">
        <f t="shared" si="58"/>
        <v>11677114.336800002</v>
      </c>
      <c r="AO45" s="26">
        <f t="shared" si="58"/>
        <v>9056769.3951999992</v>
      </c>
      <c r="AP45" s="26">
        <f t="shared" si="58"/>
        <v>6776690.9312000005</v>
      </c>
      <c r="AQ45" s="26">
        <f t="shared" si="58"/>
        <v>0</v>
      </c>
      <c r="AR45" s="26">
        <f t="shared" si="58"/>
        <v>0</v>
      </c>
      <c r="AS45" s="26">
        <f t="shared" si="58"/>
        <v>770098958.73360002</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-76485800.049600005</v>
      </c>
      <c r="C47" s="28">
        <f t="shared" ref="C47:BN47" si="62">C42-C45</f>
        <v>-482242613.38920003</v>
      </c>
      <c r="D47" s="28">
        <f t="shared" si="62"/>
        <v>-551046551.53040004</v>
      </c>
      <c r="E47" s="28">
        <f t="shared" si="62"/>
        <v>-43649199.004400253</v>
      </c>
      <c r="F47" s="28">
        <f t="shared" si="62"/>
        <v>-55402316.043600082</v>
      </c>
      <c r="G47" s="28">
        <f t="shared" si="62"/>
        <v>-236892041.3991999</v>
      </c>
      <c r="H47" s="28">
        <f t="shared" si="62"/>
        <v>-399863388.64319992</v>
      </c>
      <c r="I47" s="28">
        <f t="shared" si="62"/>
        <v>312794101.92720014</v>
      </c>
      <c r="J47" s="28">
        <f t="shared" si="62"/>
        <v>-192683102.86520001</v>
      </c>
      <c r="K47" s="28">
        <f t="shared" si="62"/>
        <v>-430490253.72800004</v>
      </c>
      <c r="L47" s="28">
        <f t="shared" si="62"/>
        <v>-425809285.81200004</v>
      </c>
      <c r="M47" s="28">
        <f t="shared" si="62"/>
        <v>285404953.56240004</v>
      </c>
      <c r="N47" s="28">
        <f t="shared" si="62"/>
        <v>168044486.96359998</v>
      </c>
      <c r="O47" s="28">
        <f t="shared" si="62"/>
        <v>76783545.153999925</v>
      </c>
      <c r="P47" s="28">
        <f t="shared" si="62"/>
        <v>12941392.333600022</v>
      </c>
      <c r="Q47" s="28">
        <f t="shared" si="62"/>
        <v>338729665.04159999</v>
      </c>
      <c r="R47" s="28">
        <f t="shared" si="62"/>
        <v>243075416.77079999</v>
      </c>
      <c r="S47" s="28">
        <f t="shared" si="62"/>
        <v>-43380910.468800008</v>
      </c>
      <c r="T47" s="28">
        <f t="shared" si="62"/>
        <v>-37463143.876000002</v>
      </c>
      <c r="U47" s="28">
        <f t="shared" si="62"/>
        <v>-26366925.920399975</v>
      </c>
      <c r="V47" s="28">
        <f t="shared" si="62"/>
        <v>-26193409.101200026</v>
      </c>
      <c r="W47" s="28">
        <f t="shared" si="62"/>
        <v>-26012931.14320001</v>
      </c>
      <c r="X47" s="28">
        <f t="shared" si="62"/>
        <v>-36799948.775199994</v>
      </c>
      <c r="Y47" s="28">
        <f t="shared" si="62"/>
        <v>-14408442.463600028</v>
      </c>
      <c r="Z47" s="28">
        <f t="shared" si="62"/>
        <v>-17980104.553599998</v>
      </c>
      <c r="AA47" s="28">
        <f t="shared" si="62"/>
        <v>-24753846.270000003</v>
      </c>
      <c r="AB47" s="28">
        <f t="shared" si="62"/>
        <v>-36145193.063199997</v>
      </c>
      <c r="AC47" s="28">
        <f t="shared" si="62"/>
        <v>-7901782.0727999806</v>
      </c>
      <c r="AD47" s="28">
        <f t="shared" si="62"/>
        <v>-21468679.740800016</v>
      </c>
      <c r="AE47" s="28">
        <f t="shared" si="62"/>
        <v>-27998681.482399978</v>
      </c>
      <c r="AF47" s="28">
        <f t="shared" si="62"/>
        <v>-34007492.864800006</v>
      </c>
      <c r="AG47" s="28">
        <f t="shared" si="62"/>
        <v>-22676311.02760002</v>
      </c>
      <c r="AH47" s="28">
        <f t="shared" si="62"/>
        <v>-25187209.249200016</v>
      </c>
      <c r="AI47" s="28">
        <f t="shared" si="62"/>
        <v>-31232802.093599994</v>
      </c>
      <c r="AJ47" s="28">
        <f t="shared" si="62"/>
        <v>-37775404.916000001</v>
      </c>
      <c r="AK47" s="28">
        <f t="shared" si="62"/>
        <v>15729135.595200008</v>
      </c>
      <c r="AL47" s="28">
        <f t="shared" si="62"/>
        <v>2736228.8551999871</v>
      </c>
      <c r="AM47" s="28">
        <f t="shared" si="62"/>
        <v>-3866492.816800002</v>
      </c>
      <c r="AN47" s="28">
        <f t="shared" si="62"/>
        <v>-8318806.2167999977</v>
      </c>
      <c r="AO47" s="28">
        <f t="shared" si="62"/>
        <v>23697542.374800015</v>
      </c>
      <c r="AP47" s="28">
        <f t="shared" si="62"/>
        <v>21724289.868799981</v>
      </c>
      <c r="AQ47" s="28">
        <f t="shared" si="62"/>
        <v>26468454.059999984</v>
      </c>
      <c r="AR47" s="28">
        <f t="shared" si="62"/>
        <v>0</v>
      </c>
      <c r="AS47" s="28">
        <f t="shared" si="62"/>
        <v>-1380234212.0735998</v>
      </c>
      <c r="AT47" s="28">
        <f t="shared" si="62"/>
        <v>-1365523001.1691999</v>
      </c>
      <c r="AU47" s="28">
        <f t="shared" si="62"/>
        <v>-1269565389.4956</v>
      </c>
      <c r="AV47" s="28">
        <f t="shared" si="62"/>
        <v>-1094636149.8116</v>
      </c>
      <c r="AW47" s="28">
        <f t="shared" si="62"/>
        <v>-1214450063.3312001</v>
      </c>
      <c r="AX47" s="28">
        <f t="shared" si="62"/>
        <v>-1148538939.4868002</v>
      </c>
      <c r="AY47" s="28">
        <f t="shared" si="62"/>
        <v>-1029093452.312</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9">
        <v>20180930</v>
      </c>
      <c r="C51" s="189">
        <v>20180630</v>
      </c>
      <c r="D51" s="189">
        <v>20180331</v>
      </c>
      <c r="E51" s="189">
        <v>20171231</v>
      </c>
      <c r="F51" s="189">
        <v>20170930</v>
      </c>
      <c r="G51" s="189">
        <v>20170630</v>
      </c>
      <c r="H51" s="189">
        <v>20170331</v>
      </c>
      <c r="I51" s="189">
        <v>20161231</v>
      </c>
      <c r="J51" s="189">
        <v>20160930</v>
      </c>
      <c r="K51" s="189">
        <v>20160630</v>
      </c>
      <c r="L51" s="189">
        <v>20160331</v>
      </c>
      <c r="M51" s="189">
        <v>20151231</v>
      </c>
      <c r="N51" s="189">
        <v>20150930</v>
      </c>
      <c r="O51" s="189">
        <v>20150630</v>
      </c>
      <c r="P51" s="189">
        <v>20150331</v>
      </c>
      <c r="Q51" s="189">
        <v>20141231</v>
      </c>
      <c r="R51" s="189">
        <v>20140930</v>
      </c>
      <c r="S51" s="189">
        <v>20140630</v>
      </c>
      <c r="T51" s="189">
        <v>20140331</v>
      </c>
      <c r="U51" s="189">
        <v>20131231</v>
      </c>
      <c r="V51" s="189">
        <v>20130930</v>
      </c>
      <c r="W51" s="189">
        <v>20130630</v>
      </c>
      <c r="X51" s="189">
        <v>20130331</v>
      </c>
      <c r="Y51" s="189">
        <v>20121231</v>
      </c>
      <c r="Z51" s="189">
        <v>20120930</v>
      </c>
      <c r="AA51" s="189">
        <v>20120630</v>
      </c>
      <c r="AB51" s="189">
        <v>20120331</v>
      </c>
      <c r="AC51" s="189">
        <v>20111231</v>
      </c>
      <c r="AD51" s="189">
        <v>20110930</v>
      </c>
      <c r="AE51" s="189">
        <v>20110630</v>
      </c>
      <c r="AF51" s="189">
        <v>20110331</v>
      </c>
      <c r="AG51" s="189">
        <v>20101231</v>
      </c>
      <c r="AH51" s="189">
        <v>20100930</v>
      </c>
      <c r="AI51" s="189">
        <v>20100630</v>
      </c>
      <c r="AJ51" s="189">
        <v>20100331</v>
      </c>
      <c r="AK51" s="189">
        <v>20091231</v>
      </c>
      <c r="AL51" s="189">
        <v>20090930</v>
      </c>
      <c r="AM51" s="189">
        <v>20090630</v>
      </c>
      <c r="AN51" s="189">
        <v>20090331</v>
      </c>
      <c r="AO51" s="189">
        <v>20081231</v>
      </c>
      <c r="AP51" s="189">
        <v>20071231</v>
      </c>
      <c r="AQ51" s="189">
        <v>20061231</v>
      </c>
      <c r="AR51" s="189">
        <v>19700101</v>
      </c>
      <c r="AS51" s="189">
        <v>20071231</v>
      </c>
      <c r="AT51" s="189">
        <v>20070930</v>
      </c>
      <c r="AU51" s="189">
        <v>20070630</v>
      </c>
      <c r="AV51" s="189">
        <v>20070331</v>
      </c>
      <c r="AW51" s="189">
        <v>20061231</v>
      </c>
      <c r="AX51" s="189">
        <v>20060930</v>
      </c>
      <c r="AY51" s="189">
        <v>20060630</v>
      </c>
      <c r="AZ51" s="189">
        <v>20060331</v>
      </c>
      <c r="BA51" s="189">
        <v>20051231</v>
      </c>
      <c r="BB51" s="189">
        <v>20050930</v>
      </c>
      <c r="BC51" s="189">
        <v>20050630</v>
      </c>
      <c r="BD51" s="189">
        <v>20050331</v>
      </c>
      <c r="BE51" s="189">
        <v>20041231</v>
      </c>
      <c r="BF51" s="189">
        <v>20040930</v>
      </c>
      <c r="BG51" s="189">
        <v>20040630</v>
      </c>
      <c r="BH51" s="189">
        <v>20040331</v>
      </c>
      <c r="BI51" s="189">
        <v>20031231</v>
      </c>
      <c r="BJ51" s="189">
        <v>20030930</v>
      </c>
      <c r="BK51" s="189">
        <v>20030630</v>
      </c>
      <c r="BL51" s="189">
        <v>20030331</v>
      </c>
      <c r="BM51" s="189">
        <v>20021231</v>
      </c>
      <c r="BN51" s="189">
        <v>20020930</v>
      </c>
      <c r="BO51" s="189">
        <v>20020630</v>
      </c>
      <c r="BP51" s="189">
        <v>20020331</v>
      </c>
      <c r="BQ51" s="189">
        <v>20011231</v>
      </c>
      <c r="BR51" s="189">
        <v>20010930</v>
      </c>
      <c r="BS51" s="189">
        <v>20010630</v>
      </c>
      <c r="BT51" s="189">
        <v>20010331</v>
      </c>
      <c r="BU51" s="189">
        <v>20001231</v>
      </c>
      <c r="BV51" s="189">
        <v>20000630</v>
      </c>
      <c r="BW51" s="189">
        <v>19991231</v>
      </c>
      <c r="BX51" s="189">
        <v>19990630</v>
      </c>
      <c r="BY51" s="189">
        <v>19981231</v>
      </c>
      <c r="BZ51" s="189">
        <v>19980630</v>
      </c>
      <c r="CA51" s="189">
        <v>19971231</v>
      </c>
      <c r="CB51" s="189">
        <v>19961231</v>
      </c>
      <c r="CC51" s="189">
        <v>19951231</v>
      </c>
      <c r="CD51" s="189">
        <v>19700101</v>
      </c>
      <c r="CE51" s="189">
        <v>19941231</v>
      </c>
      <c r="CF51" s="189">
        <v>19940630</v>
      </c>
      <c r="CG51" s="189">
        <v>19930630</v>
      </c>
      <c r="CH51" s="189">
        <v>19921231</v>
      </c>
      <c r="CI51" s="189">
        <v>19911231</v>
      </c>
      <c r="CJ51" s="189">
        <v>19901231</v>
      </c>
      <c r="CK51" s="189">
        <v>19700101</v>
      </c>
    </row>
    <row r="52" spans="1:89" s="43" customFormat="1" x14ac:dyDescent="0.25">
      <c r="A52" s="131" t="s">
        <v>571</v>
      </c>
      <c r="B52" s="42">
        <v>-25636</v>
      </c>
      <c r="C52" s="42">
        <v>-27718</v>
      </c>
      <c r="D52" s="42">
        <v>-35317</v>
      </c>
      <c r="E52" s="42">
        <v>-6377480.21</v>
      </c>
      <c r="F52" s="42">
        <v>-34414</v>
      </c>
      <c r="G52" s="42">
        <v>-23309</v>
      </c>
      <c r="H52" s="42">
        <v>-16814</v>
      </c>
      <c r="I52" s="42">
        <v>-5779130.5499999998</v>
      </c>
      <c r="J52" s="42"/>
      <c r="K52" s="42"/>
      <c r="M52" s="43">
        <v>-3026862.97</v>
      </c>
    </row>
    <row r="53" spans="1:89" s="43" customFormat="1" x14ac:dyDescent="0.25">
      <c r="A53" s="132" t="s">
        <v>90</v>
      </c>
      <c r="B53" s="42">
        <v>217</v>
      </c>
      <c r="C53" s="42">
        <v>189</v>
      </c>
      <c r="D53" s="42"/>
      <c r="E53" s="42">
        <v>115985614.09999999</v>
      </c>
      <c r="F53" s="42"/>
      <c r="G53" s="42"/>
      <c r="H53" s="42"/>
      <c r="I53" s="42">
        <v>21006458.350000001</v>
      </c>
      <c r="J53" s="42"/>
      <c r="K53" s="42"/>
      <c r="M53" s="43">
        <v>54660764.880000003</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3238784.66</v>
      </c>
      <c r="F54" s="42">
        <v>2684</v>
      </c>
      <c r="G54" s="42">
        <v>-377</v>
      </c>
      <c r="H54" s="42">
        <v>1008</v>
      </c>
      <c r="I54" s="42">
        <v>-5368201.79</v>
      </c>
      <c r="J54" s="42"/>
      <c r="K54" s="42"/>
      <c r="M54" s="43">
        <v>-3826470.86</v>
      </c>
    </row>
    <row r="55" spans="1:89" s="43" customFormat="1" x14ac:dyDescent="0.25">
      <c r="A55" s="132" t="s">
        <v>92</v>
      </c>
      <c r="B55" s="42">
        <v>463</v>
      </c>
      <c r="C55" s="42">
        <v>603</v>
      </c>
      <c r="D55" s="42">
        <v>653</v>
      </c>
      <c r="E55" s="42">
        <v>4356622.45</v>
      </c>
      <c r="F55" s="42">
        <v>1204</v>
      </c>
      <c r="G55" s="42">
        <v>868</v>
      </c>
      <c r="H55" s="42">
        <v>644</v>
      </c>
      <c r="I55" s="42">
        <v>4634804.4800000004</v>
      </c>
      <c r="J55" s="42"/>
      <c r="K55" s="42"/>
      <c r="M55" s="43">
        <v>3413460.04</v>
      </c>
    </row>
    <row r="56" spans="1:89" s="26" customFormat="1" x14ac:dyDescent="0.25">
      <c r="A56" s="133" t="s">
        <v>93</v>
      </c>
      <c r="B56" s="44">
        <f>SUM(B52:B55)</f>
        <v>-21852</v>
      </c>
      <c r="C56" s="44">
        <f t="shared" ref="C56:D56" si="64">SUM(C52:C55)</f>
        <v>-28350</v>
      </c>
      <c r="D56" s="44">
        <f t="shared" si="64"/>
        <v>-35004</v>
      </c>
      <c r="E56" s="44">
        <f>SUM(E52:E55)</f>
        <v>117203541</v>
      </c>
      <c r="F56" s="44">
        <f t="shared" ref="F56:BQ56" si="65">SUM(F52:F55)</f>
        <v>-30526</v>
      </c>
      <c r="G56" s="44">
        <f t="shared" si="65"/>
        <v>-22818</v>
      </c>
      <c r="H56" s="44">
        <f t="shared" si="65"/>
        <v>-15162</v>
      </c>
      <c r="I56" s="44">
        <f t="shared" si="65"/>
        <v>14493930.490000002</v>
      </c>
      <c r="J56" s="44">
        <f t="shared" si="65"/>
        <v>0</v>
      </c>
      <c r="K56" s="44">
        <f t="shared" si="65"/>
        <v>0</v>
      </c>
      <c r="L56" s="44">
        <f t="shared" si="65"/>
        <v>0</v>
      </c>
      <c r="M56" s="44">
        <f t="shared" si="65"/>
        <v>51220891.090000004</v>
      </c>
      <c r="N56" s="44">
        <f t="shared" si="65"/>
        <v>0</v>
      </c>
      <c r="O56" s="44">
        <f t="shared" si="65"/>
        <v>0</v>
      </c>
      <c r="P56" s="44">
        <f t="shared" si="65"/>
        <v>0</v>
      </c>
      <c r="Q56" s="44">
        <f t="shared" si="65"/>
        <v>0</v>
      </c>
      <c r="R56" s="44">
        <f t="shared" si="65"/>
        <v>0</v>
      </c>
      <c r="S56" s="44">
        <f t="shared" si="65"/>
        <v>0</v>
      </c>
      <c r="T56" s="44">
        <f t="shared" si="65"/>
        <v>0</v>
      </c>
      <c r="U56" s="44">
        <f t="shared" si="65"/>
        <v>0</v>
      </c>
      <c r="V56" s="44">
        <f t="shared" si="65"/>
        <v>0</v>
      </c>
      <c r="W56" s="44">
        <f t="shared" si="65"/>
        <v>0</v>
      </c>
      <c r="X56" s="44">
        <f t="shared" si="65"/>
        <v>0</v>
      </c>
      <c r="Y56" s="44">
        <f t="shared" si="65"/>
        <v>0</v>
      </c>
      <c r="Z56" s="44">
        <f t="shared" si="65"/>
        <v>0</v>
      </c>
      <c r="AA56" s="44">
        <f t="shared" si="65"/>
        <v>0</v>
      </c>
      <c r="AB56" s="44">
        <f t="shared" si="65"/>
        <v>0</v>
      </c>
      <c r="AC56" s="44">
        <f t="shared" si="65"/>
        <v>0</v>
      </c>
      <c r="AD56" s="44">
        <f t="shared" si="65"/>
        <v>0</v>
      </c>
      <c r="AE56" s="44">
        <f t="shared" si="65"/>
        <v>0</v>
      </c>
      <c r="AF56" s="44">
        <f t="shared" si="65"/>
        <v>0</v>
      </c>
      <c r="AG56" s="44">
        <f t="shared" si="65"/>
        <v>0</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9">
        <v>409238046.58999997</v>
      </c>
      <c r="C59" s="189">
        <v>305476755.51999998</v>
      </c>
      <c r="D59" s="189">
        <v>248395966.05000001</v>
      </c>
      <c r="E59" s="189">
        <v>1240323015.6500001</v>
      </c>
      <c r="F59" s="189">
        <v>891725563.90999997</v>
      </c>
      <c r="G59" s="189">
        <v>612420849.51999998</v>
      </c>
      <c r="H59" s="189">
        <v>269339932.79000002</v>
      </c>
      <c r="I59" s="189">
        <v>545578064.13999999</v>
      </c>
      <c r="J59" s="189">
        <v>337184859.45999998</v>
      </c>
      <c r="K59" s="189">
        <v>200667924.03999999</v>
      </c>
      <c r="L59" s="189">
        <v>107127753.93000001</v>
      </c>
      <c r="M59" s="189">
        <v>356422980.22000003</v>
      </c>
      <c r="N59" s="189">
        <v>238907298.28</v>
      </c>
      <c r="O59" s="189">
        <v>139909192.87</v>
      </c>
      <c r="P59" s="189">
        <v>71621040.209999993</v>
      </c>
      <c r="Q59" s="189">
        <v>234044906.06</v>
      </c>
      <c r="R59" s="189">
        <v>141739820.02000001</v>
      </c>
      <c r="S59" s="189">
        <v>-6537008.5199999996</v>
      </c>
      <c r="T59" s="189">
        <v>-23349.18</v>
      </c>
      <c r="U59" s="189">
        <v>11075527.08</v>
      </c>
      <c r="V59" s="189">
        <v>11508949.470000001</v>
      </c>
      <c r="W59" s="189">
        <v>11703317.119999999</v>
      </c>
      <c r="X59" s="189">
        <v>-21592.48</v>
      </c>
      <c r="Y59" s="189">
        <v>22372027.75</v>
      </c>
      <c r="Z59" s="189">
        <v>18492503.760000002</v>
      </c>
      <c r="AA59" s="189">
        <v>14390610.59</v>
      </c>
      <c r="AB59" s="189">
        <v>2821755.38</v>
      </c>
      <c r="AC59" s="189">
        <v>30839425.940000001</v>
      </c>
      <c r="AD59" s="189">
        <v>16092798.039999999</v>
      </c>
      <c r="AE59" s="189">
        <v>8994970.0600000005</v>
      </c>
      <c r="AF59" s="189">
        <v>2463653.34</v>
      </c>
      <c r="AG59" s="189">
        <v>13597742.91</v>
      </c>
      <c r="AH59" s="189">
        <v>10705495.93</v>
      </c>
      <c r="AI59" s="189">
        <v>4134199.36</v>
      </c>
      <c r="AJ59" s="189">
        <v>-2888212.74</v>
      </c>
      <c r="AK59" s="189">
        <v>29789402.100000001</v>
      </c>
      <c r="AL59" s="189">
        <v>15710321.640000001</v>
      </c>
      <c r="AM59" s="189">
        <v>8489806</v>
      </c>
      <c r="AN59" s="189">
        <v>3358308.12</v>
      </c>
      <c r="AO59" s="189">
        <v>32754311.77</v>
      </c>
      <c r="AP59" s="189">
        <v>28500980.800000001</v>
      </c>
      <c r="AQ59" s="189">
        <v>26468454.059999999</v>
      </c>
      <c r="AR59" s="189">
        <v>0</v>
      </c>
      <c r="AS59" s="189">
        <v>1472784098.4200001</v>
      </c>
      <c r="AT59" s="189">
        <v>1326845730.0799999</v>
      </c>
      <c r="AU59" s="189">
        <v>1145272727.9100001</v>
      </c>
      <c r="AV59" s="189">
        <v>745206726.03999996</v>
      </c>
      <c r="AW59" s="189">
        <v>1179340016.0999999</v>
      </c>
      <c r="AX59" s="189">
        <v>1023357815.7</v>
      </c>
      <c r="AY59" s="189">
        <v>822921865.61000001</v>
      </c>
      <c r="AZ59" s="189">
        <v>548815529.96000004</v>
      </c>
      <c r="BA59" s="189">
        <v>799007076.76999998</v>
      </c>
      <c r="BB59" s="189">
        <v>773754249.82000005</v>
      </c>
      <c r="BC59" s="189">
        <v>592464063.88</v>
      </c>
      <c r="BD59" s="189">
        <v>416503687.60000002</v>
      </c>
      <c r="BE59" s="189">
        <v>829759695.11000001</v>
      </c>
      <c r="BF59" s="189">
        <v>679164074.51999998</v>
      </c>
      <c r="BG59" s="189">
        <v>537962660</v>
      </c>
      <c r="BH59" s="189">
        <v>383394123.19999999</v>
      </c>
      <c r="BI59" s="189">
        <v>703792730.94000006</v>
      </c>
      <c r="BJ59" s="189">
        <v>548305195.13</v>
      </c>
      <c r="BK59" s="189">
        <v>389654678.44</v>
      </c>
      <c r="BL59" s="189">
        <v>289511785.36000001</v>
      </c>
      <c r="BM59" s="189">
        <v>618984667.90999997</v>
      </c>
      <c r="BN59" s="189">
        <v>511693618.56</v>
      </c>
      <c r="BO59" s="189">
        <v>373562587.13</v>
      </c>
      <c r="BP59" s="189">
        <v>253237536.75999999</v>
      </c>
      <c r="BQ59" s="189">
        <v>816316516.73000002</v>
      </c>
      <c r="BR59" s="189">
        <v>650310000</v>
      </c>
      <c r="BS59" s="189">
        <v>478983205.56999999</v>
      </c>
      <c r="BT59" s="189">
        <v>281830575.43000001</v>
      </c>
      <c r="BU59" s="189">
        <v>768216832.5</v>
      </c>
      <c r="BV59" s="189">
        <v>429812800.44999999</v>
      </c>
      <c r="BW59" s="189">
        <v>649021962.89999998</v>
      </c>
      <c r="BX59" s="189">
        <v>317076251.63999999</v>
      </c>
      <c r="BY59" s="189">
        <v>553291095.09000003</v>
      </c>
      <c r="BZ59" s="189">
        <v>252919406.88</v>
      </c>
      <c r="CA59" s="189">
        <v>341298375.86000001</v>
      </c>
      <c r="CB59" s="189">
        <v>259939328.41</v>
      </c>
      <c r="CC59" s="189">
        <v>216927477.38</v>
      </c>
      <c r="CD59" s="189">
        <v>0</v>
      </c>
      <c r="CE59" s="189">
        <v>162135000</v>
      </c>
      <c r="CF59" s="189">
        <v>90056788.769999996</v>
      </c>
      <c r="CG59" s="189">
        <v>54430000</v>
      </c>
      <c r="CH59" s="189">
        <v>80440000</v>
      </c>
      <c r="CI59" s="189">
        <v>58950000</v>
      </c>
      <c r="CJ59" s="189">
        <v>67670000</v>
      </c>
      <c r="CK59" s="189">
        <v>0</v>
      </c>
    </row>
    <row r="60" spans="1:89" x14ac:dyDescent="0.25">
      <c r="A60" s="22" t="s">
        <v>95</v>
      </c>
      <c r="B60" s="189">
        <v>35975370.530000001</v>
      </c>
      <c r="C60" s="189">
        <v>23415335.690000001</v>
      </c>
      <c r="D60" s="189">
        <v>6895446.0099999998</v>
      </c>
      <c r="E60" s="189">
        <v>92062359.090000004</v>
      </c>
      <c r="F60" s="189">
        <v>10145109.630000001</v>
      </c>
      <c r="G60" s="189">
        <v>-1820056.77</v>
      </c>
      <c r="H60" s="189">
        <v>10972596.619999999</v>
      </c>
      <c r="I60" s="189">
        <v>23262771.039999999</v>
      </c>
      <c r="J60" s="189">
        <v>15977291.960000001</v>
      </c>
      <c r="K60" s="189">
        <v>13771255.189999999</v>
      </c>
      <c r="L60" s="189">
        <v>3136668.2</v>
      </c>
      <c r="M60" s="189">
        <v>4512662.42</v>
      </c>
      <c r="N60" s="189">
        <v>6987471.79</v>
      </c>
      <c r="O60" s="189">
        <v>3953528.71</v>
      </c>
      <c r="P60" s="189">
        <v>2186290.33</v>
      </c>
      <c r="Q60" s="189">
        <v>21485745.280000001</v>
      </c>
      <c r="R60" s="189">
        <v>17151603.640000001</v>
      </c>
      <c r="S60" s="189">
        <v>1006986.97</v>
      </c>
      <c r="T60" s="189">
        <v>793054.96</v>
      </c>
      <c r="U60" s="189">
        <v>4115710.46</v>
      </c>
      <c r="V60" s="189">
        <v>4034374.39</v>
      </c>
      <c r="W60" s="189">
        <v>6527735.9900000002</v>
      </c>
      <c r="X60" s="189">
        <v>1017370.33</v>
      </c>
      <c r="Y60" s="189">
        <v>6591737.7999999998</v>
      </c>
      <c r="Z60" s="189">
        <v>4795560.04</v>
      </c>
      <c r="AA60" s="189">
        <v>4034249.83</v>
      </c>
      <c r="AB60" s="189">
        <v>781698.28</v>
      </c>
      <c r="AC60" s="189">
        <v>7905499.5</v>
      </c>
      <c r="AD60" s="189">
        <v>3956581.19</v>
      </c>
      <c r="AE60" s="189">
        <v>2357309.5</v>
      </c>
      <c r="AF60" s="189">
        <v>716790.21</v>
      </c>
      <c r="AG60" s="189">
        <v>3112824.38</v>
      </c>
      <c r="AH60" s="189">
        <v>2782826.76</v>
      </c>
      <c r="AI60" s="189">
        <v>1030082.82</v>
      </c>
      <c r="AJ60" s="189">
        <v>215687.72</v>
      </c>
      <c r="AK60" s="189">
        <v>7055003</v>
      </c>
      <c r="AL60" s="189">
        <v>3925686.99</v>
      </c>
      <c r="AM60" s="189">
        <v>2147771.36</v>
      </c>
      <c r="AN60" s="189">
        <v>803216.86</v>
      </c>
      <c r="AO60" s="189">
        <v>3477740.59</v>
      </c>
      <c r="AP60" s="189">
        <v>4016140.86</v>
      </c>
      <c r="AQ60" s="189">
        <v>3603567.66</v>
      </c>
      <c r="AR60" s="189">
        <v>0</v>
      </c>
      <c r="AS60" s="189">
        <v>705562448.80999994</v>
      </c>
      <c r="AT60" s="189">
        <v>648250833.24000001</v>
      </c>
      <c r="AU60" s="189">
        <v>561779303.77999997</v>
      </c>
      <c r="AV60" s="189">
        <v>374547042.32999998</v>
      </c>
      <c r="AW60" s="189">
        <v>606385627.26999998</v>
      </c>
      <c r="AX60" s="189">
        <v>526228001.63</v>
      </c>
      <c r="AY60" s="189">
        <v>420222252.99000001</v>
      </c>
      <c r="AZ60" s="189">
        <v>280943626.88999999</v>
      </c>
      <c r="BA60" s="189">
        <v>396902090.45999998</v>
      </c>
      <c r="BB60" s="189">
        <v>383849839.51999998</v>
      </c>
      <c r="BC60" s="189">
        <v>336122195.32999998</v>
      </c>
      <c r="BD60" s="189">
        <v>238518321.50999999</v>
      </c>
      <c r="BE60" s="189">
        <v>441401360.93000001</v>
      </c>
      <c r="BF60" s="189">
        <v>355010263.50999999</v>
      </c>
      <c r="BG60" s="189">
        <v>278320628.12</v>
      </c>
      <c r="BH60" s="189">
        <v>193355065.81999999</v>
      </c>
      <c r="BI60" s="189">
        <v>383447938.93000001</v>
      </c>
      <c r="BJ60" s="189">
        <v>311366323.06999999</v>
      </c>
      <c r="BK60" s="189">
        <v>250049516.34999999</v>
      </c>
      <c r="BL60" s="189">
        <v>207396289.06999999</v>
      </c>
      <c r="BM60" s="189">
        <v>250085682.47999999</v>
      </c>
      <c r="BN60" s="189">
        <v>190785252.78999999</v>
      </c>
      <c r="BO60" s="189">
        <v>126708958.8</v>
      </c>
      <c r="BP60" s="189">
        <v>121401855.98999999</v>
      </c>
      <c r="BQ60" s="189">
        <v>116775657.84999999</v>
      </c>
      <c r="BR60" s="189">
        <v>160590000</v>
      </c>
      <c r="BS60" s="189">
        <v>179226656.44999999</v>
      </c>
      <c r="BT60" s="189">
        <v>138812074.46000001</v>
      </c>
      <c r="BU60" s="189">
        <v>238879360.28</v>
      </c>
      <c r="BV60" s="189">
        <v>295349924.56</v>
      </c>
      <c r="BW60" s="189">
        <v>303429006.82999998</v>
      </c>
      <c r="BX60" s="189">
        <v>66653678.539999999</v>
      </c>
      <c r="BY60" s="189">
        <v>260578360.56999999</v>
      </c>
      <c r="BZ60" s="189">
        <v>44632836.509999998</v>
      </c>
      <c r="CA60" s="189">
        <v>168102185.13</v>
      </c>
      <c r="CB60" s="189">
        <v>128029818.47</v>
      </c>
      <c r="CC60" s="189">
        <v>106844876.92</v>
      </c>
      <c r="CD60" s="189">
        <v>0</v>
      </c>
      <c r="CE60" s="189">
        <v>27810000</v>
      </c>
      <c r="CF60" s="189">
        <v>16447145.279999999</v>
      </c>
      <c r="CG60" s="189">
        <v>4330000</v>
      </c>
      <c r="CH60" s="189">
        <v>4220000</v>
      </c>
      <c r="CI60" s="189">
        <v>12510000</v>
      </c>
      <c r="CJ60" s="189">
        <v>3630000</v>
      </c>
      <c r="CK60" s="189">
        <v>0</v>
      </c>
    </row>
    <row r="61" spans="1:89" x14ac:dyDescent="0.25">
      <c r="A61" s="22" t="s">
        <v>94</v>
      </c>
      <c r="B61" s="189">
        <v>445213417.12</v>
      </c>
      <c r="C61" s="189">
        <v>328892091.20999998</v>
      </c>
      <c r="D61" s="189">
        <v>255291412.06</v>
      </c>
      <c r="E61" s="189">
        <v>1332385374.74</v>
      </c>
      <c r="F61" s="189">
        <v>901870673.53999996</v>
      </c>
      <c r="G61" s="189">
        <v>610600792.75</v>
      </c>
      <c r="H61" s="189">
        <v>280312529.41000003</v>
      </c>
      <c r="I61" s="189">
        <v>568840835.17999995</v>
      </c>
      <c r="J61" s="189">
        <v>353162151.42000002</v>
      </c>
      <c r="K61" s="189">
        <v>214439179.22999999</v>
      </c>
      <c r="L61" s="189">
        <v>110264422.13</v>
      </c>
      <c r="M61" s="189">
        <v>360935642.63999999</v>
      </c>
      <c r="N61" s="189">
        <v>245894770.06999999</v>
      </c>
      <c r="O61" s="189">
        <v>143862721.58000001</v>
      </c>
      <c r="P61" s="189">
        <v>73807330.540000007</v>
      </c>
      <c r="Q61" s="189">
        <v>255530651.34</v>
      </c>
      <c r="R61" s="189">
        <v>158891423.66</v>
      </c>
      <c r="S61" s="189">
        <v>-5530021.5499999998</v>
      </c>
      <c r="T61" s="189">
        <v>769705.78</v>
      </c>
      <c r="U61" s="189">
        <v>15191237.539999999</v>
      </c>
      <c r="V61" s="189">
        <v>15543323.859999999</v>
      </c>
      <c r="W61" s="189">
        <v>18231053.109999999</v>
      </c>
      <c r="X61" s="189">
        <v>995777.85</v>
      </c>
      <c r="Y61" s="189">
        <v>28963765.550000001</v>
      </c>
      <c r="Z61" s="189">
        <v>23288063.800000001</v>
      </c>
      <c r="AA61" s="189">
        <v>18424860.420000002</v>
      </c>
      <c r="AB61" s="189">
        <v>3603453.66</v>
      </c>
      <c r="AC61" s="189">
        <v>38744925.439999998</v>
      </c>
      <c r="AD61" s="189">
        <v>20049379.23</v>
      </c>
      <c r="AE61" s="189">
        <v>11352279.560000001</v>
      </c>
      <c r="AF61" s="189">
        <v>3180443.55</v>
      </c>
      <c r="AG61" s="189">
        <v>16710567.289999999</v>
      </c>
      <c r="AH61" s="189">
        <v>13488322.689999999</v>
      </c>
      <c r="AI61" s="189">
        <v>5164282.18</v>
      </c>
      <c r="AJ61" s="189">
        <v>-2672525.02</v>
      </c>
      <c r="AK61" s="189">
        <v>36844405.100000001</v>
      </c>
      <c r="AL61" s="189">
        <v>19636008.629999999</v>
      </c>
      <c r="AM61" s="189">
        <v>10637577.359999999</v>
      </c>
      <c r="AN61" s="189">
        <v>4161524.98</v>
      </c>
      <c r="AO61" s="189">
        <v>36232052.359999999</v>
      </c>
      <c r="AP61" s="189">
        <v>32517121.66</v>
      </c>
      <c r="AQ61" s="189">
        <v>30072021.719999999</v>
      </c>
      <c r="AR61" s="189">
        <v>0</v>
      </c>
      <c r="AS61" s="189">
        <v>2178346547.23</v>
      </c>
      <c r="AT61" s="189">
        <v>1975096563.3199999</v>
      </c>
      <c r="AU61" s="189">
        <v>1707052031.6900001</v>
      </c>
      <c r="AV61" s="189">
        <v>1119753768.3699999</v>
      </c>
      <c r="AW61" s="189">
        <v>1785725643.3699999</v>
      </c>
      <c r="AX61" s="189">
        <v>1549585817.3299999</v>
      </c>
      <c r="AY61" s="189">
        <v>1243144118.5999999</v>
      </c>
      <c r="AZ61" s="189">
        <v>829759156.85000002</v>
      </c>
      <c r="BA61" s="189">
        <v>1195909167.23</v>
      </c>
      <c r="BB61" s="189">
        <v>1157604089.3399999</v>
      </c>
      <c r="BC61" s="189">
        <v>928586259.21000004</v>
      </c>
      <c r="BD61" s="189">
        <v>655022009.11000001</v>
      </c>
      <c r="BE61" s="189">
        <v>1271161056.04</v>
      </c>
      <c r="BF61" s="189">
        <v>1034174338.03</v>
      </c>
      <c r="BG61" s="189">
        <v>816283288.12</v>
      </c>
      <c r="BH61" s="189">
        <v>576749189.01999998</v>
      </c>
      <c r="BI61" s="189">
        <v>1087240669.8699999</v>
      </c>
      <c r="BJ61" s="189">
        <v>859671518.20000005</v>
      </c>
      <c r="BK61" s="189">
        <v>639704194.78999996</v>
      </c>
      <c r="BL61" s="189">
        <v>496908074.43000001</v>
      </c>
      <c r="BM61" s="189">
        <v>869070350.38999999</v>
      </c>
      <c r="BN61" s="189">
        <v>702478871.35000002</v>
      </c>
      <c r="BO61" s="189">
        <v>500271545.93000001</v>
      </c>
      <c r="BP61" s="189">
        <v>374639392.75</v>
      </c>
      <c r="BQ61" s="189">
        <v>933092174.58000004</v>
      </c>
      <c r="BR61" s="189">
        <v>814730000</v>
      </c>
      <c r="BS61" s="189">
        <v>658209862.01999998</v>
      </c>
      <c r="BT61" s="189">
        <v>420642649.88999999</v>
      </c>
      <c r="BU61" s="189">
        <v>1007096192.78</v>
      </c>
      <c r="BV61" s="189">
        <v>725162725.00999999</v>
      </c>
      <c r="BW61" s="189">
        <v>786944238.74000001</v>
      </c>
      <c r="BX61" s="189">
        <v>383729930.18000001</v>
      </c>
      <c r="BY61" s="189">
        <v>813869455.65999997</v>
      </c>
      <c r="BZ61" s="189">
        <v>297552243.38999999</v>
      </c>
      <c r="CA61" s="189">
        <v>509400560.99000001</v>
      </c>
      <c r="CB61" s="189">
        <v>387969146.88</v>
      </c>
      <c r="CC61" s="189">
        <v>323772354.30000001</v>
      </c>
      <c r="CD61" s="189">
        <v>0</v>
      </c>
      <c r="CE61" s="189">
        <v>189945000</v>
      </c>
      <c r="CF61" s="189">
        <v>106503934.05</v>
      </c>
      <c r="CG61" s="189">
        <v>58750000</v>
      </c>
      <c r="CH61" s="189">
        <v>84660000</v>
      </c>
      <c r="CI61" s="189">
        <v>71460000</v>
      </c>
      <c r="CJ61" s="189">
        <v>71300000</v>
      </c>
      <c r="CK61" s="189">
        <v>0</v>
      </c>
    </row>
    <row r="62" spans="1:89" x14ac:dyDescent="0.25">
      <c r="A62" s="22"/>
      <c r="B62" s="4"/>
      <c r="C62" s="4"/>
      <c r="D62" s="4"/>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row>
    <row r="65" spans="1:89" x14ac:dyDescent="0.25">
      <c r="A65" s="22" t="s">
        <v>98</v>
      </c>
      <c r="B65" s="189">
        <v>116048869.84999999</v>
      </c>
      <c r="C65" s="189">
        <v>83762742.060000002</v>
      </c>
      <c r="D65" s="189">
        <v>41331409.869999997</v>
      </c>
      <c r="E65" s="189">
        <v>436171969.31</v>
      </c>
      <c r="F65" s="189">
        <v>-8618599.7300000004</v>
      </c>
      <c r="G65" s="189">
        <v>45578909.719999999</v>
      </c>
      <c r="H65" s="189">
        <v>50921365.340000004</v>
      </c>
      <c r="I65" s="189">
        <v>38378979.119999997</v>
      </c>
      <c r="J65" s="189">
        <v>3311734.16</v>
      </c>
      <c r="K65" s="189">
        <v>-2197303.89</v>
      </c>
      <c r="L65" s="189">
        <v>-5178734.26</v>
      </c>
      <c r="M65" s="189">
        <v>42283944.75</v>
      </c>
      <c r="N65" s="189">
        <v>980144.56</v>
      </c>
      <c r="O65" s="189">
        <v>1887857.32</v>
      </c>
      <c r="P65" s="189">
        <v>200387.26</v>
      </c>
      <c r="Q65" s="189">
        <v>44974358.68</v>
      </c>
      <c r="R65" s="189">
        <v>10644373.67</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c r="AN65" s="189">
        <v>0</v>
      </c>
      <c r="AO65" s="189">
        <v>0</v>
      </c>
      <c r="AP65" s="189">
        <v>0</v>
      </c>
      <c r="AQ65" s="189">
        <v>0</v>
      </c>
      <c r="AR65" s="189">
        <v>0</v>
      </c>
      <c r="AS65" s="189">
        <v>3199582.46</v>
      </c>
      <c r="AT65" s="189">
        <v>556604.28</v>
      </c>
      <c r="AU65" s="189">
        <v>47918.79</v>
      </c>
      <c r="AV65" s="189">
        <v>665864.48</v>
      </c>
      <c r="AW65" s="189">
        <v>5051692.58</v>
      </c>
      <c r="AX65" s="189">
        <v>2496157.7200000002</v>
      </c>
      <c r="AY65" s="189">
        <v>1832311.81</v>
      </c>
      <c r="AZ65" s="189">
        <v>100000</v>
      </c>
      <c r="BA65" s="189">
        <v>-3923017.4</v>
      </c>
      <c r="BB65" s="189">
        <v>-497364.9</v>
      </c>
      <c r="BC65" s="189">
        <v>-499893.8</v>
      </c>
      <c r="BD65" s="189">
        <v>0</v>
      </c>
      <c r="BE65" s="189">
        <v>-126753.75</v>
      </c>
      <c r="BF65" s="189">
        <v>344265.81</v>
      </c>
      <c r="BG65" s="189">
        <v>344265.81</v>
      </c>
      <c r="BH65" s="189">
        <v>1026367.48</v>
      </c>
      <c r="BI65" s="189">
        <v>-554425.18000000005</v>
      </c>
      <c r="BJ65" s="189">
        <v>287254.11</v>
      </c>
      <c r="BK65" s="189">
        <v>52424.27</v>
      </c>
      <c r="BL65" s="189">
        <v>265460.88</v>
      </c>
      <c r="BM65" s="189">
        <v>178932.4</v>
      </c>
      <c r="BN65" s="189">
        <v>1871129.6000000001</v>
      </c>
      <c r="BO65" s="189">
        <v>1511721.55</v>
      </c>
      <c r="BP65" s="189">
        <v>-174029.22</v>
      </c>
      <c r="BQ65" s="189">
        <v>12349967.949999999</v>
      </c>
      <c r="BR65" s="189">
        <v>12720000</v>
      </c>
      <c r="BS65" s="189">
        <v>9766309.1799999997</v>
      </c>
      <c r="BT65" s="189">
        <v>5348519.25</v>
      </c>
      <c r="BU65" s="189">
        <v>2373601.7000000002</v>
      </c>
      <c r="BV65" s="189">
        <v>0</v>
      </c>
      <c r="BW65" s="189">
        <v>0</v>
      </c>
      <c r="BX65" s="189">
        <v>0</v>
      </c>
      <c r="BY65" s="189">
        <v>0</v>
      </c>
      <c r="BZ65" s="189">
        <v>0</v>
      </c>
      <c r="CA65" s="189">
        <v>0</v>
      </c>
      <c r="CB65" s="189">
        <v>0</v>
      </c>
      <c r="CC65" s="189">
        <v>0</v>
      </c>
      <c r="CD65" s="189">
        <v>0</v>
      </c>
      <c r="CE65" s="189">
        <v>7729000</v>
      </c>
      <c r="CF65" s="189">
        <v>2092581.44</v>
      </c>
      <c r="CG65" s="189">
        <v>0</v>
      </c>
      <c r="CH65" s="189">
        <v>0</v>
      </c>
      <c r="CI65" s="189">
        <v>0</v>
      </c>
      <c r="CJ65" s="189">
        <v>0</v>
      </c>
      <c r="CK65" s="189">
        <v>0</v>
      </c>
    </row>
    <row r="66" spans="1:89" x14ac:dyDescent="0.25">
      <c r="A66" s="22" t="s">
        <v>99</v>
      </c>
      <c r="B66" s="189">
        <v>13541538.210000001</v>
      </c>
      <c r="C66" s="189">
        <v>8266666.7800000003</v>
      </c>
      <c r="D66" s="189">
        <v>-976095.24</v>
      </c>
      <c r="E66" s="189">
        <v>42402449.289999999</v>
      </c>
      <c r="F66" s="189">
        <v>19651361.809999999</v>
      </c>
      <c r="G66" s="189">
        <v>-8626850.9100000001</v>
      </c>
      <c r="H66" s="189">
        <v>0</v>
      </c>
      <c r="I66" s="189">
        <v>-12823244.01</v>
      </c>
      <c r="J66" s="189">
        <v>-10076555.49</v>
      </c>
      <c r="K66" s="189">
        <v>4595156.3</v>
      </c>
      <c r="L66" s="189">
        <v>-5178734.26</v>
      </c>
      <c r="M66" s="189">
        <v>37387981.030000001</v>
      </c>
      <c r="N66" s="189">
        <v>0</v>
      </c>
      <c r="O66" s="189">
        <v>-1915777.35</v>
      </c>
      <c r="P66" s="189">
        <v>-580264.26</v>
      </c>
      <c r="Q66" s="189">
        <v>-1525873.72</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row>
    <row r="67" spans="1:89" x14ac:dyDescent="0.25">
      <c r="A67" s="22" t="s">
        <v>100</v>
      </c>
      <c r="B67" s="4">
        <f>B65-B66</f>
        <v>102507331.63999999</v>
      </c>
      <c r="C67" s="4">
        <f t="shared" ref="C67:BN67" si="67">C65-C66</f>
        <v>75496075.280000001</v>
      </c>
      <c r="D67" s="4">
        <f t="shared" si="67"/>
        <v>42307505.109999999</v>
      </c>
      <c r="E67" s="4">
        <f t="shared" si="67"/>
        <v>393769520.01999998</v>
      </c>
      <c r="F67" s="4">
        <f t="shared" si="67"/>
        <v>-28269961.539999999</v>
      </c>
      <c r="G67" s="4">
        <f t="shared" si="67"/>
        <v>54205760.629999995</v>
      </c>
      <c r="H67" s="4">
        <f t="shared" si="67"/>
        <v>50921365.340000004</v>
      </c>
      <c r="I67" s="4">
        <f t="shared" si="67"/>
        <v>51202223.129999995</v>
      </c>
      <c r="J67" s="4">
        <f t="shared" si="67"/>
        <v>13388289.65</v>
      </c>
      <c r="K67" s="4">
        <f t="shared" si="67"/>
        <v>-6792460.1899999995</v>
      </c>
      <c r="L67" s="4">
        <f t="shared" si="67"/>
        <v>0</v>
      </c>
      <c r="M67" s="4">
        <f t="shared" si="67"/>
        <v>4895963.7199999988</v>
      </c>
      <c r="N67" s="4">
        <f t="shared" si="67"/>
        <v>980144.56</v>
      </c>
      <c r="O67" s="4">
        <f t="shared" si="67"/>
        <v>3803634.67</v>
      </c>
      <c r="P67" s="4">
        <f t="shared" si="67"/>
        <v>780651.52000000002</v>
      </c>
      <c r="Q67" s="4">
        <f t="shared" si="67"/>
        <v>46500232.399999999</v>
      </c>
      <c r="R67" s="4">
        <f t="shared" si="67"/>
        <v>10644373.67</v>
      </c>
      <c r="S67" s="4">
        <f t="shared" si="67"/>
        <v>0</v>
      </c>
      <c r="T67" s="4">
        <f t="shared" si="67"/>
        <v>0</v>
      </c>
      <c r="U67" s="4">
        <f t="shared" si="67"/>
        <v>0</v>
      </c>
      <c r="V67" s="4">
        <f t="shared" si="67"/>
        <v>0</v>
      </c>
      <c r="W67" s="4">
        <f t="shared" si="67"/>
        <v>0</v>
      </c>
      <c r="X67" s="4">
        <f t="shared" si="67"/>
        <v>0</v>
      </c>
      <c r="Y67" s="4">
        <f t="shared" si="67"/>
        <v>0</v>
      </c>
      <c r="Z67" s="4">
        <f t="shared" si="67"/>
        <v>0</v>
      </c>
      <c r="AA67" s="4">
        <f t="shared" si="67"/>
        <v>0</v>
      </c>
      <c r="AB67" s="4">
        <f t="shared" si="67"/>
        <v>0</v>
      </c>
      <c r="AC67" s="4">
        <f t="shared" si="67"/>
        <v>0</v>
      </c>
      <c r="AD67" s="4">
        <f t="shared" si="67"/>
        <v>0</v>
      </c>
      <c r="AE67" s="4">
        <f t="shared" si="67"/>
        <v>0</v>
      </c>
      <c r="AF67" s="4">
        <f t="shared" si="67"/>
        <v>0</v>
      </c>
      <c r="AG67" s="4">
        <f t="shared" si="67"/>
        <v>0</v>
      </c>
      <c r="AH67" s="4">
        <f t="shared" si="67"/>
        <v>0</v>
      </c>
      <c r="AI67" s="4">
        <f t="shared" si="67"/>
        <v>0</v>
      </c>
      <c r="AJ67" s="4">
        <f t="shared" si="67"/>
        <v>0</v>
      </c>
      <c r="AK67" s="4">
        <f t="shared" si="67"/>
        <v>0</v>
      </c>
      <c r="AL67" s="4">
        <f t="shared" si="67"/>
        <v>0</v>
      </c>
      <c r="AM67" s="4">
        <f t="shared" si="67"/>
        <v>0</v>
      </c>
      <c r="AN67" s="4">
        <f t="shared" si="67"/>
        <v>0</v>
      </c>
      <c r="AO67" s="4">
        <f t="shared" si="67"/>
        <v>0</v>
      </c>
      <c r="AP67" s="4">
        <f t="shared" si="67"/>
        <v>0</v>
      </c>
      <c r="AQ67" s="4">
        <f t="shared" si="67"/>
        <v>0</v>
      </c>
      <c r="AR67" s="4">
        <f t="shared" si="67"/>
        <v>0</v>
      </c>
      <c r="AS67" s="4">
        <f t="shared" si="67"/>
        <v>3199582.46</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9">
        <v>103744200.41</v>
      </c>
      <c r="C68" s="189">
        <v>75156477.879999995</v>
      </c>
      <c r="D68" s="189">
        <v>39119692.109999999</v>
      </c>
      <c r="E68" s="189">
        <v>117203541</v>
      </c>
      <c r="F68" s="189">
        <v>75568859.920000002</v>
      </c>
      <c r="G68" s="189">
        <v>46556080.549999997</v>
      </c>
      <c r="H68" s="189">
        <v>30976633.940000001</v>
      </c>
      <c r="I68" s="189">
        <v>14493930.49</v>
      </c>
      <c r="J68" s="189">
        <v>16095729.310000001</v>
      </c>
      <c r="K68" s="189">
        <v>7889528.2000000002</v>
      </c>
      <c r="L68" s="189">
        <v>3896818.77</v>
      </c>
      <c r="M68" s="189">
        <v>51220891.090000004</v>
      </c>
      <c r="N68" s="189">
        <v>17293205.289999999</v>
      </c>
      <c r="O68" s="189">
        <v>9698692.9000000004</v>
      </c>
      <c r="P68" s="189">
        <v>1227815.21</v>
      </c>
      <c r="Q68" s="189">
        <v>-1577625.94</v>
      </c>
      <c r="R68" s="189">
        <v>-935920.35</v>
      </c>
      <c r="S68" s="189">
        <v>11710004.92</v>
      </c>
      <c r="T68" s="189">
        <v>5415605.6399999997</v>
      </c>
      <c r="U68" s="189">
        <v>32088838.699999999</v>
      </c>
      <c r="V68" s="189">
        <v>24712521.059999999</v>
      </c>
      <c r="W68" s="189">
        <v>17251811.109999999</v>
      </c>
      <c r="X68" s="189">
        <v>6304109.5800000001</v>
      </c>
      <c r="Y68" s="189">
        <v>22073552.18</v>
      </c>
      <c r="Z68" s="189">
        <v>14775066.99</v>
      </c>
      <c r="AA68" s="189">
        <v>8978355.9600000009</v>
      </c>
      <c r="AB68" s="189">
        <v>2898159.78</v>
      </c>
      <c r="AC68" s="189">
        <v>19652233.329999998</v>
      </c>
      <c r="AD68" s="189">
        <v>9822064.0999999996</v>
      </c>
      <c r="AE68" s="189">
        <v>5847604.0499999998</v>
      </c>
      <c r="AF68" s="189">
        <v>1224397.28</v>
      </c>
      <c r="AG68" s="189">
        <v>8989929.3900000006</v>
      </c>
      <c r="AH68" s="189">
        <v>5743420.0599999996</v>
      </c>
      <c r="AI68" s="189">
        <v>4039621.32</v>
      </c>
      <c r="AJ68" s="189">
        <v>1635369.62</v>
      </c>
      <c r="AK68" s="189">
        <v>7351811.8799999999</v>
      </c>
      <c r="AL68" s="189">
        <v>5260409.08</v>
      </c>
      <c r="AM68" s="189">
        <v>3471167.1</v>
      </c>
      <c r="AN68" s="189">
        <v>1379238.77</v>
      </c>
      <c r="AO68" s="189">
        <v>10000504.91</v>
      </c>
      <c r="AP68" s="189">
        <v>7011491.7800000003</v>
      </c>
      <c r="AQ68" s="189">
        <v>2513676.0099999998</v>
      </c>
      <c r="AR68" s="189">
        <v>0</v>
      </c>
      <c r="AS68" s="189">
        <v>-92227613.010000005</v>
      </c>
      <c r="AT68" s="189">
        <v>-41018279.990000002</v>
      </c>
      <c r="AU68" s="189">
        <v>-36487207.520000003</v>
      </c>
      <c r="AV68" s="189">
        <v>-3376979.14</v>
      </c>
      <c r="AW68" s="189">
        <v>-50497352.530000001</v>
      </c>
      <c r="AX68" s="189">
        <v>-26367719.059999999</v>
      </c>
      <c r="AY68" s="189">
        <v>-24396518</v>
      </c>
      <c r="AZ68" s="189">
        <v>-2917708.8</v>
      </c>
      <c r="BA68" s="189">
        <v>-25225980.809999999</v>
      </c>
      <c r="BB68" s="189">
        <v>-7438048.8600000003</v>
      </c>
      <c r="BC68" s="189">
        <v>-5495968.9100000001</v>
      </c>
      <c r="BD68" s="189">
        <v>-6057952.7199999997</v>
      </c>
      <c r="BE68" s="189">
        <v>-26456599.109999999</v>
      </c>
      <c r="BF68" s="189">
        <v>-12780406.130000001</v>
      </c>
      <c r="BG68" s="189">
        <v>-11107770.039999999</v>
      </c>
      <c r="BH68" s="189">
        <v>-1735818.19</v>
      </c>
      <c r="BI68" s="189">
        <v>-28358707.260000002</v>
      </c>
      <c r="BJ68" s="189">
        <v>-19582453.850000001</v>
      </c>
      <c r="BK68" s="189">
        <v>-12127010.279999999</v>
      </c>
      <c r="BL68" s="189">
        <v>-2445731.69</v>
      </c>
      <c r="BM68" s="189">
        <v>-26693808.859999999</v>
      </c>
      <c r="BN68" s="189">
        <v>-21740886.899999999</v>
      </c>
      <c r="BO68" s="189">
        <v>-11645839.699999999</v>
      </c>
      <c r="BP68" s="189">
        <v>-7526726.1299999999</v>
      </c>
      <c r="BQ68" s="189">
        <v>-25420934.84</v>
      </c>
      <c r="BR68" s="189">
        <v>0</v>
      </c>
      <c r="BS68" s="189">
        <v>-16481097.720000001</v>
      </c>
      <c r="BT68" s="189">
        <v>-5451391.75</v>
      </c>
      <c r="BU68" s="189">
        <v>-14348624.140000001</v>
      </c>
      <c r="BV68" s="189">
        <v>-7438579.8600000003</v>
      </c>
      <c r="BW68" s="189">
        <v>-15086567.960000001</v>
      </c>
      <c r="BX68" s="189">
        <v>-9593131.2100000009</v>
      </c>
      <c r="BY68" s="189">
        <v>-42791521.079999998</v>
      </c>
      <c r="BZ68" s="189">
        <v>-3834295.55</v>
      </c>
      <c r="CA68" s="189">
        <v>11835075.34</v>
      </c>
      <c r="CB68" s="189">
        <v>16252757.800000001</v>
      </c>
      <c r="CC68" s="189">
        <v>12407743.33</v>
      </c>
      <c r="CD68" s="189">
        <v>0</v>
      </c>
      <c r="CE68" s="189">
        <v>0</v>
      </c>
      <c r="CF68" s="189">
        <v>0</v>
      </c>
      <c r="CG68" s="189">
        <v>0</v>
      </c>
      <c r="CH68" s="189">
        <v>0</v>
      </c>
      <c r="CI68" s="189">
        <v>0</v>
      </c>
      <c r="CJ68" s="189">
        <v>0</v>
      </c>
      <c r="CK68" s="189">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9">
        <v>9694702085.6200008</v>
      </c>
      <c r="C70" s="189">
        <v>9619828783.2399998</v>
      </c>
      <c r="D70" s="189">
        <v>9564853602.3799992</v>
      </c>
      <c r="E70" s="189">
        <v>9546589789.4300003</v>
      </c>
      <c r="F70" s="189">
        <v>8373798653.9200001</v>
      </c>
      <c r="G70" s="189">
        <v>8277020679.7399998</v>
      </c>
      <c r="H70" s="189">
        <v>5982506858.04</v>
      </c>
      <c r="I70" s="189">
        <v>5708952320.9099998</v>
      </c>
      <c r="J70" s="189">
        <v>5175724928.6899996</v>
      </c>
      <c r="K70" s="189">
        <v>4896314387.6000004</v>
      </c>
      <c r="L70" s="189">
        <v>4859560505.8999996</v>
      </c>
      <c r="M70" s="189">
        <v>4969042405.9700003</v>
      </c>
      <c r="N70" s="189">
        <v>878126876.58000004</v>
      </c>
      <c r="O70" s="189">
        <v>778930200.70000005</v>
      </c>
      <c r="P70" s="189">
        <v>733868850.33000004</v>
      </c>
      <c r="Q70" s="189">
        <v>663016824.98000002</v>
      </c>
      <c r="R70" s="189">
        <v>559044815.99000001</v>
      </c>
      <c r="S70" s="189">
        <v>460548774.36000001</v>
      </c>
      <c r="T70" s="189">
        <v>467997433.69999999</v>
      </c>
      <c r="U70" s="189">
        <v>468020782.88</v>
      </c>
      <c r="V70" s="189">
        <v>471279482.13999999</v>
      </c>
      <c r="W70" s="189">
        <v>471453103.29000002</v>
      </c>
      <c r="X70" s="189">
        <v>459729453.69</v>
      </c>
      <c r="Y70" s="189">
        <v>459751046.17000002</v>
      </c>
      <c r="Z70" s="189">
        <v>455907603.92000002</v>
      </c>
      <c r="AA70" s="189">
        <v>489305710.75</v>
      </c>
      <c r="AB70" s="189">
        <v>487086855.54000002</v>
      </c>
      <c r="AC70" s="189">
        <v>484265100.16000003</v>
      </c>
      <c r="AD70" s="189">
        <v>469518472.25999999</v>
      </c>
      <c r="AE70" s="189">
        <v>462420644.27999997</v>
      </c>
      <c r="AF70" s="189">
        <v>455889327.56</v>
      </c>
      <c r="AG70" s="189">
        <v>453425674.22000003</v>
      </c>
      <c r="AH70" s="189">
        <v>448658814.74000001</v>
      </c>
      <c r="AI70" s="189">
        <v>442087518.17000002</v>
      </c>
      <c r="AJ70" s="189">
        <v>436089902.19999999</v>
      </c>
      <c r="AK70" s="189">
        <v>175753331.31</v>
      </c>
      <c r="AL70" s="189">
        <v>162176159.81</v>
      </c>
      <c r="AM70" s="189">
        <v>154453735.21000001</v>
      </c>
      <c r="AN70" s="189">
        <v>145963929.21000001</v>
      </c>
      <c r="AO70" s="189">
        <v>113209617.44</v>
      </c>
      <c r="AP70" s="189">
        <v>84708636.640000001</v>
      </c>
      <c r="AQ70" s="189">
        <v>0</v>
      </c>
      <c r="AR70" s="189"/>
      <c r="AS70" s="189">
        <v>9626236984.1700001</v>
      </c>
      <c r="AT70" s="189">
        <v>9485588152.4899998</v>
      </c>
      <c r="AU70" s="189">
        <v>9304015150.3199997</v>
      </c>
      <c r="AV70" s="189">
        <v>9051649388.7700005</v>
      </c>
      <c r="AW70" s="189">
        <v>8295168514.6400003</v>
      </c>
      <c r="AX70" s="189">
        <v>8139685182.96</v>
      </c>
      <c r="AY70" s="189">
        <v>7938750364.1499996</v>
      </c>
      <c r="AZ70" s="189">
        <v>7934784508.5</v>
      </c>
      <c r="BA70" s="189">
        <v>7385968978.54</v>
      </c>
      <c r="BB70" s="189">
        <v>7360716151.5900002</v>
      </c>
      <c r="BC70" s="189">
        <v>7179425965.6499996</v>
      </c>
      <c r="BD70" s="189">
        <v>7003465589.3699999</v>
      </c>
      <c r="BE70" s="189">
        <v>6586961901.7700005</v>
      </c>
      <c r="BF70" s="189">
        <v>6433916281.1800003</v>
      </c>
      <c r="BG70" s="189">
        <v>6292714866.6599998</v>
      </c>
      <c r="BH70" s="189">
        <v>6409286809.8599997</v>
      </c>
      <c r="BI70" s="189">
        <v>6025892686.6599998</v>
      </c>
      <c r="BJ70" s="189">
        <v>5870405150.8400002</v>
      </c>
      <c r="BK70" s="189">
        <v>5711754634.1499996</v>
      </c>
      <c r="BL70" s="189">
        <v>5611611741.0699997</v>
      </c>
      <c r="BM70" s="189">
        <v>5322099955.71</v>
      </c>
      <c r="BN70" s="189">
        <v>5214293132.5200005</v>
      </c>
      <c r="BO70" s="189">
        <v>5075362101.0900002</v>
      </c>
      <c r="BP70" s="189">
        <v>4954980669.5600004</v>
      </c>
      <c r="BQ70" s="189">
        <v>4702243132.8000002</v>
      </c>
      <c r="BR70" s="189">
        <v>0</v>
      </c>
      <c r="BS70" s="189">
        <v>4385655821.6400003</v>
      </c>
      <c r="BT70" s="189">
        <v>4238623191.5</v>
      </c>
      <c r="BU70" s="189">
        <v>3191216198.9499998</v>
      </c>
      <c r="BV70" s="189">
        <v>2850312166.9000001</v>
      </c>
      <c r="BW70" s="189">
        <v>2420499366.4499998</v>
      </c>
      <c r="BX70" s="189">
        <v>2089698452.7</v>
      </c>
      <c r="BY70" s="189">
        <v>1764990217.6700001</v>
      </c>
      <c r="BZ70" s="189">
        <v>1864618529.46</v>
      </c>
      <c r="CA70" s="189">
        <v>392384778.43000001</v>
      </c>
      <c r="CB70" s="189">
        <v>264958379.21000001</v>
      </c>
      <c r="CC70" s="189">
        <v>225967479.94999999</v>
      </c>
      <c r="CD70" s="189">
        <v>0</v>
      </c>
      <c r="CE70" s="189">
        <v>1079738000</v>
      </c>
      <c r="CF70" s="189">
        <v>1004228352.76</v>
      </c>
      <c r="CG70" s="189">
        <v>492689900.37</v>
      </c>
      <c r="CH70" s="189">
        <v>0</v>
      </c>
      <c r="CI70" s="189">
        <v>0</v>
      </c>
      <c r="CJ70" s="189">
        <v>0</v>
      </c>
      <c r="CK70" s="189">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31" zoomScale="95" zoomScaleNormal="95" workbookViewId="0">
      <selection activeCell="I47" sqref="I47"/>
    </sheetView>
  </sheetViews>
  <sheetFormatPr defaultRowHeight="14.4" x14ac:dyDescent="0.25"/>
  <cols>
    <col min="1" max="1" width="77.5546875" style="17" bestFit="1" customWidth="1"/>
    <col min="2" max="2" width="22.5546875" hidden="1" customWidth="1"/>
    <col min="3" max="4" width="21.5546875" hidden="1" customWidth="1"/>
    <col min="5" max="5" width="20.33203125" bestFit="1" customWidth="1"/>
    <col min="6" max="8" width="20.33203125" hidden="1" customWidth="1"/>
    <col min="9" max="9" width="21.5546875" bestFit="1" customWidth="1"/>
    <col min="10" max="12" width="20.33203125" hidden="1" customWidth="1"/>
    <col min="13" max="13" width="20.33203125" bestFit="1" customWidth="1"/>
    <col min="14" max="14" width="18.109375" hidden="1" customWidth="1"/>
    <col min="15" max="15" width="20.33203125" hidden="1" customWidth="1"/>
    <col min="16" max="16" width="19.33203125" hidden="1" customWidth="1"/>
    <col min="17" max="17" width="19.33203125" bestFit="1" customWidth="1"/>
    <col min="18" max="18" width="18.109375" hidden="1" customWidth="1"/>
    <col min="19" max="19" width="19.33203125" hidden="1" customWidth="1"/>
    <col min="20" max="20" width="18.109375" hidden="1" customWidth="1"/>
    <col min="21" max="21" width="18.6640625" bestFit="1" customWidth="1"/>
    <col min="22" max="24" width="18.109375" hidden="1" customWidth="1"/>
    <col min="25" max="25" width="18.6640625" bestFit="1" customWidth="1"/>
    <col min="26" max="28" width="18.109375" hidden="1" customWidth="1"/>
    <col min="29" max="29" width="18.109375" bestFit="1" customWidth="1"/>
    <col min="30" max="32" width="18.109375" hidden="1" customWidth="1"/>
    <col min="33" max="33" width="19.33203125" bestFit="1" customWidth="1"/>
    <col min="34" max="34" width="19.33203125" hidden="1" customWidth="1"/>
    <col min="35" max="36" width="18.109375" hidden="1" customWidth="1"/>
    <col min="37" max="37" width="18.109375" bestFit="1" customWidth="1"/>
    <col min="38" max="40" width="18.109375" hidden="1" customWidth="1"/>
    <col min="41" max="43" width="20.33203125" bestFit="1" customWidth="1"/>
    <col min="44"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18.109375" hidden="1" customWidth="1"/>
    <col min="71" max="71" width="19.33203125" bestFit="1" customWidth="1"/>
    <col min="72" max="72" width="19.33203125" hidden="1" customWidth="1"/>
    <col min="73" max="73" width="20.33203125" bestFit="1" customWidth="1"/>
    <col min="74" max="74" width="12.21875" hidden="1" customWidth="1"/>
  </cols>
  <sheetData>
    <row r="1" spans="1:74" s="6" customFormat="1" x14ac:dyDescent="0.25">
      <c r="A1" s="104">
        <v>2354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192" customFormat="1" x14ac:dyDescent="0.25">
      <c r="A3" s="192" t="s">
        <v>320</v>
      </c>
      <c r="B3" s="189">
        <v>0</v>
      </c>
      <c r="C3" s="189">
        <v>0</v>
      </c>
      <c r="D3" s="189">
        <v>0</v>
      </c>
      <c r="E3" s="189">
        <v>965667.54</v>
      </c>
      <c r="F3" s="189">
        <v>834717.54</v>
      </c>
      <c r="G3" s="189">
        <v>834717.54</v>
      </c>
      <c r="H3" s="189">
        <v>7873862.5700000003</v>
      </c>
      <c r="I3" s="189">
        <v>347380.34</v>
      </c>
      <c r="J3" s="189">
        <v>400000</v>
      </c>
      <c r="K3" s="189">
        <v>400000</v>
      </c>
      <c r="L3" s="189">
        <v>0</v>
      </c>
      <c r="M3" s="189">
        <v>0</v>
      </c>
      <c r="N3" s="189">
        <v>0</v>
      </c>
      <c r="O3" s="189">
        <v>0</v>
      </c>
      <c r="P3" s="189">
        <v>0</v>
      </c>
      <c r="Q3" s="189">
        <v>0</v>
      </c>
      <c r="R3" s="189">
        <v>0</v>
      </c>
      <c r="S3" s="189">
        <v>0</v>
      </c>
      <c r="T3" s="189">
        <v>0</v>
      </c>
      <c r="U3" s="189">
        <v>5000</v>
      </c>
      <c r="V3" s="189">
        <v>42902</v>
      </c>
      <c r="W3" s="189">
        <v>4900</v>
      </c>
      <c r="X3" s="189">
        <v>0</v>
      </c>
      <c r="Y3" s="189">
        <v>0</v>
      </c>
      <c r="Z3" s="189">
        <v>250000</v>
      </c>
      <c r="AA3" s="189">
        <v>250000</v>
      </c>
      <c r="AB3" s="189">
        <v>150000</v>
      </c>
      <c r="AC3" s="189">
        <v>23527.81</v>
      </c>
      <c r="AD3" s="189">
        <v>23527.81</v>
      </c>
      <c r="AE3" s="189">
        <v>21000</v>
      </c>
      <c r="AF3" s="189">
        <v>21000</v>
      </c>
      <c r="AG3" s="189">
        <v>40400</v>
      </c>
      <c r="AH3" s="189">
        <v>0</v>
      </c>
      <c r="AI3" s="189">
        <v>0</v>
      </c>
      <c r="AJ3" s="189">
        <v>0</v>
      </c>
      <c r="AK3" s="189">
        <v>0</v>
      </c>
      <c r="AL3" s="189">
        <v>0</v>
      </c>
      <c r="AM3" s="189">
        <v>0</v>
      </c>
      <c r="AN3" s="189">
        <v>0</v>
      </c>
      <c r="AO3" s="189">
        <v>0</v>
      </c>
      <c r="AP3" s="189">
        <v>0</v>
      </c>
      <c r="AQ3" s="189">
        <v>0</v>
      </c>
      <c r="AR3" s="189">
        <v>0</v>
      </c>
      <c r="AS3" s="192">
        <v>1461877.56</v>
      </c>
      <c r="AT3" s="192">
        <v>915725.99</v>
      </c>
      <c r="AU3" s="192">
        <v>888021.74</v>
      </c>
      <c r="AV3" s="192">
        <v>464588.74</v>
      </c>
      <c r="AW3" s="192">
        <v>573336.46</v>
      </c>
      <c r="AX3" s="192">
        <v>488804.96</v>
      </c>
      <c r="AY3" s="192">
        <v>270000</v>
      </c>
      <c r="AZ3" s="192">
        <v>0</v>
      </c>
      <c r="BA3" s="192">
        <v>863329.02</v>
      </c>
      <c r="BB3" s="192">
        <v>813805.81</v>
      </c>
      <c r="BC3" s="192">
        <v>727743.76</v>
      </c>
      <c r="BD3" s="192">
        <v>17650.599999999999</v>
      </c>
      <c r="BE3" s="192">
        <v>8589013.4800000004</v>
      </c>
      <c r="BF3" s="192">
        <v>7499124.0300000003</v>
      </c>
      <c r="BG3" s="192">
        <v>7168613.4299999997</v>
      </c>
      <c r="BH3" s="192">
        <v>21398</v>
      </c>
      <c r="BI3" s="192">
        <v>6970503.7599999998</v>
      </c>
      <c r="BJ3" s="192">
        <v>0</v>
      </c>
      <c r="BK3" s="192">
        <v>211614.42</v>
      </c>
      <c r="BL3" s="192">
        <v>50000</v>
      </c>
      <c r="BM3" s="192">
        <v>27193335.649999999</v>
      </c>
      <c r="BN3" s="192">
        <v>40285.5</v>
      </c>
      <c r="BO3" s="192">
        <v>371490.58</v>
      </c>
      <c r="BP3" s="192">
        <v>0</v>
      </c>
      <c r="BQ3" s="192">
        <v>3580</v>
      </c>
      <c r="BR3" s="192">
        <v>1500</v>
      </c>
      <c r="BS3" s="192">
        <v>52101.23</v>
      </c>
      <c r="BT3" s="192">
        <v>1680</v>
      </c>
      <c r="BU3" s="192">
        <v>25980.76</v>
      </c>
      <c r="BV3" s="192">
        <v>0</v>
      </c>
    </row>
    <row r="4" spans="1:74" s="192" customFormat="1" x14ac:dyDescent="0.25">
      <c r="A4" s="192" t="s">
        <v>304</v>
      </c>
      <c r="B4" s="189">
        <v>25352668.140000001</v>
      </c>
      <c r="C4" s="189">
        <v>22176159.719999999</v>
      </c>
      <c r="D4" s="189">
        <v>3487020.16</v>
      </c>
      <c r="E4" s="189">
        <v>20710051.460000001</v>
      </c>
      <c r="F4" s="189">
        <v>10047360.800000001</v>
      </c>
      <c r="G4" s="189">
        <v>6519333.9900000002</v>
      </c>
      <c r="H4" s="189">
        <v>6198280.6699999999</v>
      </c>
      <c r="I4" s="189">
        <v>10773753.15</v>
      </c>
      <c r="J4" s="189">
        <v>3356686.71</v>
      </c>
      <c r="K4" s="189">
        <v>3087172.35</v>
      </c>
      <c r="L4" s="189">
        <v>2723942</v>
      </c>
      <c r="M4" s="189">
        <v>18879374.030000001</v>
      </c>
      <c r="N4" s="189">
        <v>778447.76</v>
      </c>
      <c r="O4" s="189">
        <v>698860.86</v>
      </c>
      <c r="P4" s="189">
        <v>269967.86</v>
      </c>
      <c r="Q4" s="189">
        <v>6505669.96</v>
      </c>
      <c r="R4" s="189">
        <v>2878859</v>
      </c>
      <c r="S4" s="189">
        <v>21570635.23</v>
      </c>
      <c r="T4" s="189">
        <v>20820785.280000001</v>
      </c>
      <c r="U4" s="189">
        <v>72791210.780000001</v>
      </c>
      <c r="V4" s="189">
        <v>63565752.140000001</v>
      </c>
      <c r="W4" s="189">
        <v>50009586.359999999</v>
      </c>
      <c r="X4" s="189">
        <v>25201084.59</v>
      </c>
      <c r="Y4" s="189">
        <v>98593799.849999994</v>
      </c>
      <c r="Z4" s="189">
        <v>90686983.120000005</v>
      </c>
      <c r="AA4" s="189">
        <v>67631423.430000007</v>
      </c>
      <c r="AB4" s="189">
        <v>37937744.950000003</v>
      </c>
      <c r="AC4" s="189">
        <v>232527234.75999999</v>
      </c>
      <c r="AD4" s="189">
        <v>232527234.75999999</v>
      </c>
      <c r="AE4" s="189">
        <v>151654176.80000001</v>
      </c>
      <c r="AF4" s="189">
        <v>3355518.97</v>
      </c>
      <c r="AG4" s="189">
        <v>54055872.549999997</v>
      </c>
      <c r="AH4" s="189">
        <v>32858999.809999999</v>
      </c>
      <c r="AI4" s="189">
        <v>12990713.869999999</v>
      </c>
      <c r="AJ4" s="189">
        <v>806108.92</v>
      </c>
      <c r="AK4" s="189">
        <v>13975414.369999999</v>
      </c>
      <c r="AL4" s="189">
        <v>11581104.27</v>
      </c>
      <c r="AM4" s="189">
        <v>10106423.24</v>
      </c>
      <c r="AN4" s="189">
        <v>3353514.14</v>
      </c>
      <c r="AO4" s="189">
        <v>39736096.030000001</v>
      </c>
      <c r="AP4" s="189">
        <v>31666008.98</v>
      </c>
      <c r="AQ4" s="189">
        <v>10988563.300000001</v>
      </c>
      <c r="AR4" s="189">
        <v>0</v>
      </c>
      <c r="AS4" s="192">
        <v>248805213.50999999</v>
      </c>
      <c r="AT4" s="192">
        <v>180806493.18000001</v>
      </c>
      <c r="AU4" s="192">
        <v>102706016.8</v>
      </c>
      <c r="AV4" s="192">
        <v>39566827.240000002</v>
      </c>
      <c r="AW4" s="192">
        <v>251397575.99000001</v>
      </c>
      <c r="AX4" s="192">
        <v>231787598.30000001</v>
      </c>
      <c r="AY4" s="192">
        <v>193913936.41999999</v>
      </c>
      <c r="AZ4" s="192">
        <v>732516.47</v>
      </c>
      <c r="BA4" s="192">
        <v>117069771.09999999</v>
      </c>
      <c r="BB4" s="192">
        <v>72571280.939999998</v>
      </c>
      <c r="BC4" s="192">
        <v>69853888.430000007</v>
      </c>
      <c r="BD4" s="192">
        <v>48611645.549999997</v>
      </c>
      <c r="BE4" s="192">
        <v>683013865.38</v>
      </c>
      <c r="BF4" s="192">
        <v>111516381.05</v>
      </c>
      <c r="BG4" s="192">
        <v>99482044.859999999</v>
      </c>
      <c r="BH4" s="192">
        <v>66469318.329999998</v>
      </c>
      <c r="BI4" s="192">
        <v>1370837016.3299999</v>
      </c>
      <c r="BJ4" s="192">
        <v>869403485.79999995</v>
      </c>
      <c r="BK4" s="192">
        <v>102523951.22</v>
      </c>
      <c r="BL4" s="192">
        <v>18067034.449999999</v>
      </c>
      <c r="BM4" s="192">
        <v>1276551302.9200001</v>
      </c>
      <c r="BN4" s="192">
        <v>227870170.09</v>
      </c>
      <c r="BO4" s="192">
        <v>1825260201.4100001</v>
      </c>
      <c r="BP4" s="192">
        <v>1033022955.65</v>
      </c>
      <c r="BQ4" s="192">
        <v>508204018.88</v>
      </c>
      <c r="BR4" s="192">
        <v>378968057.27999997</v>
      </c>
      <c r="BS4" s="192">
        <v>94153230.329999998</v>
      </c>
      <c r="BT4" s="192">
        <v>6757461.4400000004</v>
      </c>
      <c r="BU4" s="192">
        <v>585117171</v>
      </c>
      <c r="BV4" s="192">
        <v>0</v>
      </c>
    </row>
    <row r="5" spans="1:74" s="47" customFormat="1" x14ac:dyDescent="0.25">
      <c r="A5" s="47" t="s">
        <v>295</v>
      </c>
      <c r="E5" s="47">
        <f>E4-E3</f>
        <v>19744383.920000002</v>
      </c>
      <c r="F5" s="47">
        <f t="shared" ref="F5:AR5" si="0">F4-F3</f>
        <v>9212643.2600000016</v>
      </c>
      <c r="G5" s="47">
        <f t="shared" si="0"/>
        <v>5684616.4500000002</v>
      </c>
      <c r="H5" s="47">
        <f t="shared" si="0"/>
        <v>-1675581.9000000004</v>
      </c>
      <c r="I5" s="47">
        <f t="shared" si="0"/>
        <v>10426372.810000001</v>
      </c>
      <c r="J5" s="47">
        <f t="shared" si="0"/>
        <v>2956686.71</v>
      </c>
      <c r="K5" s="47">
        <f t="shared" si="0"/>
        <v>2687172.35</v>
      </c>
      <c r="L5" s="47">
        <f t="shared" si="0"/>
        <v>2723942</v>
      </c>
      <c r="M5" s="47">
        <f t="shared" si="0"/>
        <v>18879374.030000001</v>
      </c>
      <c r="N5" s="47">
        <f t="shared" si="0"/>
        <v>778447.76</v>
      </c>
      <c r="O5" s="47">
        <f t="shared" si="0"/>
        <v>698860.86</v>
      </c>
      <c r="P5" s="47">
        <f t="shared" si="0"/>
        <v>269967.86</v>
      </c>
      <c r="Q5" s="47">
        <f t="shared" si="0"/>
        <v>6505669.96</v>
      </c>
      <c r="R5" s="47">
        <f t="shared" si="0"/>
        <v>2878859</v>
      </c>
      <c r="S5" s="47">
        <f t="shared" si="0"/>
        <v>21570635.23</v>
      </c>
      <c r="T5" s="47">
        <f t="shared" si="0"/>
        <v>20820785.280000001</v>
      </c>
      <c r="U5" s="47">
        <f t="shared" si="0"/>
        <v>72786210.780000001</v>
      </c>
      <c r="V5" s="47">
        <f t="shared" si="0"/>
        <v>63522850.140000001</v>
      </c>
      <c r="W5" s="47">
        <f t="shared" si="0"/>
        <v>50004686.359999999</v>
      </c>
      <c r="X5" s="47">
        <f t="shared" si="0"/>
        <v>25201084.59</v>
      </c>
      <c r="Y5" s="47">
        <f t="shared" si="0"/>
        <v>98593799.849999994</v>
      </c>
      <c r="Z5" s="47">
        <f t="shared" si="0"/>
        <v>90436983.120000005</v>
      </c>
      <c r="AA5" s="47">
        <f t="shared" si="0"/>
        <v>67381423.430000007</v>
      </c>
      <c r="AB5" s="47">
        <f t="shared" si="0"/>
        <v>37787744.950000003</v>
      </c>
      <c r="AC5" s="47">
        <f t="shared" si="0"/>
        <v>232503706.94999999</v>
      </c>
      <c r="AD5" s="47">
        <f t="shared" si="0"/>
        <v>232503706.94999999</v>
      </c>
      <c r="AE5" s="47">
        <f t="shared" si="0"/>
        <v>151633176.80000001</v>
      </c>
      <c r="AF5" s="47">
        <f t="shared" si="0"/>
        <v>3334518.97</v>
      </c>
      <c r="AG5" s="47">
        <f t="shared" si="0"/>
        <v>54015472.549999997</v>
      </c>
      <c r="AH5" s="47">
        <f t="shared" si="0"/>
        <v>32858999.809999999</v>
      </c>
      <c r="AI5" s="47">
        <f t="shared" si="0"/>
        <v>12990713.869999999</v>
      </c>
      <c r="AJ5" s="47">
        <f t="shared" si="0"/>
        <v>806108.92</v>
      </c>
      <c r="AK5" s="47">
        <f t="shared" si="0"/>
        <v>13975414.369999999</v>
      </c>
      <c r="AL5" s="47">
        <f t="shared" si="0"/>
        <v>11581104.27</v>
      </c>
      <c r="AM5" s="47">
        <f t="shared" si="0"/>
        <v>10106423.24</v>
      </c>
      <c r="AN5" s="47">
        <f t="shared" si="0"/>
        <v>3353514.14</v>
      </c>
      <c r="AO5" s="47">
        <f t="shared" si="0"/>
        <v>39736096.030000001</v>
      </c>
      <c r="AP5" s="47">
        <f t="shared" si="0"/>
        <v>31666008.98</v>
      </c>
      <c r="AQ5" s="47">
        <f t="shared" si="0"/>
        <v>10988563.300000001</v>
      </c>
      <c r="AR5" s="47">
        <f t="shared" si="0"/>
        <v>0</v>
      </c>
    </row>
    <row r="6" spans="1:74" s="105" customFormat="1" x14ac:dyDescent="0.25">
      <c r="A6" s="105" t="s">
        <v>305</v>
      </c>
      <c r="B6" s="189">
        <v>0</v>
      </c>
      <c r="C6" s="189">
        <v>5630434.1500000004</v>
      </c>
      <c r="D6" s="189">
        <v>0</v>
      </c>
      <c r="E6" s="189">
        <v>10106944.25</v>
      </c>
      <c r="F6" s="189">
        <v>0</v>
      </c>
      <c r="G6" s="189">
        <v>4529943.97</v>
      </c>
      <c r="H6" s="189">
        <v>0</v>
      </c>
      <c r="I6" s="189">
        <v>4393351.9800000004</v>
      </c>
      <c r="J6" s="189">
        <v>0</v>
      </c>
      <c r="K6" s="189">
        <v>2562811.63</v>
      </c>
      <c r="L6" s="189">
        <v>0</v>
      </c>
      <c r="M6" s="189">
        <v>4355917.71</v>
      </c>
      <c r="N6" s="189">
        <v>0</v>
      </c>
      <c r="O6" s="189">
        <v>881735.42</v>
      </c>
      <c r="P6" s="189">
        <v>0</v>
      </c>
      <c r="Q6" s="189">
        <v>4083043.19</v>
      </c>
      <c r="R6" s="189">
        <v>0</v>
      </c>
      <c r="S6" s="189">
        <v>11652838.689999999</v>
      </c>
      <c r="T6" s="189">
        <v>0</v>
      </c>
      <c r="U6" s="189">
        <v>23231511.260000002</v>
      </c>
      <c r="V6" s="189">
        <v>0</v>
      </c>
      <c r="W6" s="189">
        <v>11179193.16</v>
      </c>
      <c r="X6" s="189">
        <v>0</v>
      </c>
      <c r="Y6" s="189">
        <v>12717169.41</v>
      </c>
      <c r="Z6" s="189">
        <v>0</v>
      </c>
      <c r="AA6" s="189">
        <v>5894600.79</v>
      </c>
      <c r="AB6" s="189">
        <v>0</v>
      </c>
      <c r="AC6" s="189">
        <v>11047959.460000001</v>
      </c>
      <c r="AD6" s="189">
        <v>0</v>
      </c>
      <c r="AE6" s="189">
        <v>5468010.21</v>
      </c>
      <c r="AF6" s="189">
        <v>0</v>
      </c>
      <c r="AG6" s="189">
        <v>8580931.3399999999</v>
      </c>
      <c r="AH6" s="189">
        <v>0</v>
      </c>
      <c r="AI6" s="189">
        <v>4170010.03</v>
      </c>
      <c r="AJ6" s="189">
        <v>0</v>
      </c>
      <c r="AK6" s="189">
        <v>7211478.79</v>
      </c>
      <c r="AL6" s="189">
        <v>0</v>
      </c>
      <c r="AM6" s="189">
        <v>3203056.65</v>
      </c>
      <c r="AN6" s="189">
        <v>0</v>
      </c>
      <c r="AO6" s="189">
        <v>5524485.0800000001</v>
      </c>
      <c r="AP6" s="189">
        <v>4111925.34</v>
      </c>
      <c r="AQ6" s="189">
        <v>2798273.21</v>
      </c>
      <c r="AR6" s="189">
        <v>0</v>
      </c>
      <c r="AS6" s="192">
        <v>466252820.24000001</v>
      </c>
      <c r="AT6" s="192">
        <v>0</v>
      </c>
      <c r="AU6" s="192">
        <v>0</v>
      </c>
      <c r="AV6" s="192">
        <v>0</v>
      </c>
      <c r="AW6" s="192">
        <v>467047308.91000003</v>
      </c>
      <c r="AX6" s="192">
        <v>322210774.50999999</v>
      </c>
      <c r="AY6" s="192">
        <v>214415246.97</v>
      </c>
      <c r="AZ6" s="192">
        <v>106891762.23999999</v>
      </c>
      <c r="BA6" s="192">
        <v>478234075.06999999</v>
      </c>
      <c r="BB6" s="192">
        <v>357766299.13</v>
      </c>
      <c r="BC6" s="192">
        <v>237335309.81999999</v>
      </c>
      <c r="BD6" s="192">
        <v>118623693.14</v>
      </c>
      <c r="BE6" s="192">
        <v>404552322.94</v>
      </c>
      <c r="BF6" s="192">
        <v>305788725.56</v>
      </c>
      <c r="BG6" s="192">
        <v>208996928.00999999</v>
      </c>
      <c r="BH6" s="192">
        <v>112312929.75</v>
      </c>
      <c r="BI6" s="192">
        <v>275750634.47000003</v>
      </c>
      <c r="BJ6" s="192">
        <v>202256946.52000001</v>
      </c>
      <c r="BK6" s="192">
        <v>113461866.70999999</v>
      </c>
      <c r="BL6" s="192">
        <v>56664861.82</v>
      </c>
      <c r="BM6" s="192">
        <v>233663769.53999999</v>
      </c>
      <c r="BN6" s="192">
        <v>102939387.53</v>
      </c>
      <c r="BO6" s="192">
        <v>165653982.56</v>
      </c>
      <c r="BP6" s="192">
        <v>49234570.869999997</v>
      </c>
      <c r="BQ6" s="192">
        <v>130519869.31</v>
      </c>
      <c r="BR6" s="192">
        <v>62414344.259999998</v>
      </c>
      <c r="BS6" s="192">
        <v>56928281.189999998</v>
      </c>
      <c r="BT6" s="192">
        <v>29633190.559999999</v>
      </c>
      <c r="BU6" s="192">
        <v>42460875.850000001</v>
      </c>
      <c r="BV6" s="192">
        <v>0</v>
      </c>
    </row>
    <row r="7" spans="1:74" s="192" customFormat="1" x14ac:dyDescent="0.25">
      <c r="A7" s="192" t="s">
        <v>306</v>
      </c>
      <c r="B7" s="189">
        <v>0</v>
      </c>
      <c r="C7" s="189">
        <v>11886792.34</v>
      </c>
      <c r="D7" s="189">
        <v>0</v>
      </c>
      <c r="E7" s="189">
        <v>25960197.460000001</v>
      </c>
      <c r="F7" s="189">
        <v>0</v>
      </c>
      <c r="G7" s="189">
        <v>3813975.67</v>
      </c>
      <c r="H7" s="189">
        <v>0</v>
      </c>
      <c r="I7" s="189">
        <v>9214147.1500000004</v>
      </c>
      <c r="J7" s="189">
        <v>0</v>
      </c>
      <c r="K7" s="189">
        <v>3770341.35</v>
      </c>
      <c r="L7" s="189">
        <v>0</v>
      </c>
      <c r="M7" s="189">
        <v>534578.49</v>
      </c>
      <c r="N7" s="189">
        <v>0</v>
      </c>
      <c r="O7" s="189">
        <v>258028.9</v>
      </c>
      <c r="P7" s="189">
        <v>0</v>
      </c>
      <c r="Q7" s="189">
        <v>500747.55</v>
      </c>
      <c r="R7" s="189">
        <v>0</v>
      </c>
      <c r="S7" s="189">
        <v>1055513.1399999999</v>
      </c>
      <c r="T7" s="189">
        <v>0</v>
      </c>
      <c r="U7" s="189">
        <v>2172978.92</v>
      </c>
      <c r="V7" s="189">
        <v>0</v>
      </c>
      <c r="W7" s="189">
        <v>1083531.78</v>
      </c>
      <c r="X7" s="189">
        <v>0</v>
      </c>
      <c r="Y7" s="189">
        <v>1716867.98</v>
      </c>
      <c r="Z7" s="189">
        <v>0</v>
      </c>
      <c r="AA7" s="189">
        <v>740735.66</v>
      </c>
      <c r="AB7" s="189">
        <v>0</v>
      </c>
      <c r="AC7" s="189">
        <v>733298.94</v>
      </c>
      <c r="AD7" s="189">
        <v>0</v>
      </c>
      <c r="AE7" s="189">
        <v>193564.64</v>
      </c>
      <c r="AF7" s="189">
        <v>0</v>
      </c>
      <c r="AG7" s="189">
        <v>387720.95</v>
      </c>
      <c r="AH7" s="189">
        <v>0</v>
      </c>
      <c r="AI7" s="189">
        <v>193860.48000000001</v>
      </c>
      <c r="AJ7" s="189">
        <v>0</v>
      </c>
      <c r="AK7" s="189">
        <v>799792.36</v>
      </c>
      <c r="AL7" s="189">
        <v>0</v>
      </c>
      <c r="AM7" s="189">
        <v>394647.47</v>
      </c>
      <c r="AN7" s="189">
        <v>0</v>
      </c>
      <c r="AO7" s="189">
        <v>204063.48</v>
      </c>
      <c r="AP7" s="189">
        <v>124788.43</v>
      </c>
      <c r="AQ7" s="189">
        <v>0</v>
      </c>
      <c r="AR7" s="189">
        <v>0</v>
      </c>
      <c r="AS7" s="192">
        <v>1586144.88</v>
      </c>
      <c r="AT7" s="192">
        <v>0</v>
      </c>
      <c r="AU7" s="192">
        <v>0</v>
      </c>
      <c r="AV7" s="192">
        <v>0</v>
      </c>
      <c r="AW7" s="192">
        <v>3799631.08</v>
      </c>
      <c r="AX7" s="192">
        <v>3384594.86</v>
      </c>
      <c r="AY7" s="192">
        <v>1952934.44</v>
      </c>
      <c r="AZ7" s="192">
        <v>567536.22</v>
      </c>
      <c r="BA7" s="192">
        <v>1586144.88</v>
      </c>
      <c r="BB7" s="192">
        <v>1189608.6599999999</v>
      </c>
      <c r="BC7" s="192">
        <v>793072.44</v>
      </c>
      <c r="BD7" s="192">
        <v>396536.22</v>
      </c>
      <c r="BE7" s="192">
        <v>2026799.88</v>
      </c>
      <c r="BF7" s="192">
        <v>1513263.66</v>
      </c>
      <c r="BG7" s="192">
        <v>968842.44</v>
      </c>
      <c r="BH7" s="192">
        <v>572304.69999999995</v>
      </c>
      <c r="BI7" s="192">
        <v>2294148.85</v>
      </c>
      <c r="BJ7" s="192">
        <v>1897612.63</v>
      </c>
      <c r="BK7" s="192">
        <v>1501076.41</v>
      </c>
      <c r="BL7" s="192">
        <v>397126.17</v>
      </c>
      <c r="BM7" s="192">
        <v>3779059.29</v>
      </c>
      <c r="BN7" s="192">
        <v>943096.31999999995</v>
      </c>
      <c r="BO7" s="192">
        <v>1696119.74</v>
      </c>
      <c r="BP7" s="192">
        <v>808679.94</v>
      </c>
      <c r="BQ7" s="192">
        <v>2290393.21</v>
      </c>
      <c r="BR7" s="192">
        <v>677235.94</v>
      </c>
      <c r="BS7" s="192">
        <v>16746446.949999999</v>
      </c>
      <c r="BT7" s="192">
        <v>1394056.95</v>
      </c>
      <c r="BU7" s="192">
        <v>2442875.52</v>
      </c>
      <c r="BV7" s="192">
        <v>0</v>
      </c>
    </row>
    <row r="8" spans="1:74" s="192" customFormat="1" x14ac:dyDescent="0.25">
      <c r="A8" s="192" t="s">
        <v>307</v>
      </c>
      <c r="B8" s="189">
        <v>0</v>
      </c>
      <c r="C8" s="189">
        <v>16072012.83</v>
      </c>
      <c r="D8" s="189">
        <v>0</v>
      </c>
      <c r="E8" s="189">
        <v>23874535.640000001</v>
      </c>
      <c r="F8" s="189">
        <v>0</v>
      </c>
      <c r="G8" s="189">
        <v>10369192.199999999</v>
      </c>
      <c r="H8" s="189">
        <v>0</v>
      </c>
      <c r="I8" s="189">
        <v>4235312.3099999996</v>
      </c>
      <c r="J8" s="189">
        <v>0</v>
      </c>
      <c r="K8" s="189">
        <v>2132814.7000000002</v>
      </c>
      <c r="L8" s="189">
        <v>0</v>
      </c>
      <c r="M8" s="189">
        <v>1885843.01</v>
      </c>
      <c r="N8" s="189">
        <v>0</v>
      </c>
      <c r="O8" s="189">
        <v>583666.67000000004</v>
      </c>
      <c r="P8" s="189">
        <v>0</v>
      </c>
      <c r="Q8" s="189">
        <v>345839.93</v>
      </c>
      <c r="R8" s="189">
        <v>0</v>
      </c>
      <c r="S8" s="189">
        <v>0</v>
      </c>
      <c r="T8" s="189">
        <v>0</v>
      </c>
      <c r="U8" s="189">
        <v>0</v>
      </c>
      <c r="V8" s="189">
        <v>0</v>
      </c>
      <c r="W8" s="189">
        <v>0</v>
      </c>
      <c r="X8" s="189">
        <v>0</v>
      </c>
      <c r="Y8" s="189">
        <v>0</v>
      </c>
      <c r="Z8" s="189">
        <v>0</v>
      </c>
      <c r="AA8" s="189">
        <v>0</v>
      </c>
      <c r="AB8" s="189">
        <v>0</v>
      </c>
      <c r="AC8" s="189">
        <v>0</v>
      </c>
      <c r="AD8" s="189">
        <v>0</v>
      </c>
      <c r="AE8" s="189">
        <v>0</v>
      </c>
      <c r="AF8" s="189">
        <v>0</v>
      </c>
      <c r="AG8" s="189">
        <v>0</v>
      </c>
      <c r="AH8" s="189">
        <v>0</v>
      </c>
      <c r="AI8" s="189">
        <v>0</v>
      </c>
      <c r="AJ8" s="189">
        <v>0</v>
      </c>
      <c r="AK8" s="189">
        <v>0</v>
      </c>
      <c r="AL8" s="189">
        <v>0</v>
      </c>
      <c r="AM8" s="189">
        <v>0</v>
      </c>
      <c r="AN8" s="189">
        <v>0</v>
      </c>
      <c r="AO8" s="189">
        <v>388159.98</v>
      </c>
      <c r="AP8" s="189">
        <v>717675.11</v>
      </c>
      <c r="AQ8" s="189">
        <v>0</v>
      </c>
      <c r="AR8" s="189">
        <v>0</v>
      </c>
      <c r="AS8" s="192">
        <v>820470.57</v>
      </c>
      <c r="AT8" s="192">
        <v>0</v>
      </c>
      <c r="AU8" s="192">
        <v>0</v>
      </c>
      <c r="AV8" s="192">
        <v>0</v>
      </c>
      <c r="AW8" s="192">
        <v>0</v>
      </c>
      <c r="AX8" s="192">
        <v>0</v>
      </c>
      <c r="AY8" s="192">
        <v>0</v>
      </c>
      <c r="AZ8" s="192">
        <v>0</v>
      </c>
      <c r="BA8" s="192">
        <v>0</v>
      </c>
      <c r="BB8" s="192">
        <v>0</v>
      </c>
      <c r="BC8" s="192">
        <v>0</v>
      </c>
      <c r="BD8" s="192">
        <v>0</v>
      </c>
      <c r="BE8" s="192">
        <v>0</v>
      </c>
      <c r="BF8" s="192">
        <v>0</v>
      </c>
      <c r="BG8" s="192">
        <v>0</v>
      </c>
      <c r="BH8" s="192">
        <v>0</v>
      </c>
      <c r="BI8" s="192">
        <v>0</v>
      </c>
      <c r="BJ8" s="192">
        <v>0</v>
      </c>
      <c r="BK8" s="192">
        <v>0</v>
      </c>
      <c r="BL8" s="192">
        <v>0</v>
      </c>
      <c r="BM8" s="192">
        <v>0</v>
      </c>
      <c r="BN8" s="192">
        <v>0</v>
      </c>
      <c r="BO8" s="192">
        <v>0</v>
      </c>
      <c r="BP8" s="192">
        <v>0</v>
      </c>
      <c r="BQ8" s="192">
        <v>0</v>
      </c>
      <c r="BR8" s="192">
        <v>0</v>
      </c>
      <c r="BS8" s="192">
        <v>0</v>
      </c>
      <c r="BT8" s="192">
        <v>0</v>
      </c>
      <c r="BU8" s="192">
        <v>0</v>
      </c>
      <c r="BV8" s="192">
        <v>0</v>
      </c>
    </row>
    <row r="9" spans="1:74" s="192" customFormat="1" x14ac:dyDescent="0.25">
      <c r="A9" s="192" t="s">
        <v>308</v>
      </c>
      <c r="B9" s="189">
        <v>0</v>
      </c>
      <c r="C9" s="189">
        <v>0</v>
      </c>
      <c r="D9" s="189">
        <v>0</v>
      </c>
      <c r="E9" s="189">
        <v>-4503.07</v>
      </c>
      <c r="F9" s="189">
        <v>0</v>
      </c>
      <c r="G9" s="189">
        <v>23586.54</v>
      </c>
      <c r="H9" s="189">
        <v>0</v>
      </c>
      <c r="I9" s="189">
        <v>185418.47</v>
      </c>
      <c r="J9" s="189">
        <v>0</v>
      </c>
      <c r="K9" s="189">
        <v>-193390.34</v>
      </c>
      <c r="L9" s="189">
        <v>0</v>
      </c>
      <c r="M9" s="189">
        <v>0</v>
      </c>
      <c r="N9" s="189">
        <v>0</v>
      </c>
      <c r="O9" s="189">
        <v>0</v>
      </c>
      <c r="P9" s="189">
        <v>0</v>
      </c>
      <c r="Q9" s="189">
        <v>0</v>
      </c>
      <c r="R9" s="189">
        <v>0</v>
      </c>
      <c r="S9" s="189">
        <v>0</v>
      </c>
      <c r="T9" s="189">
        <v>0</v>
      </c>
      <c r="U9" s="189">
        <v>4790.8999999999996</v>
      </c>
      <c r="V9" s="189">
        <v>0</v>
      </c>
      <c r="W9" s="189">
        <v>4790.8999999999996</v>
      </c>
      <c r="X9" s="189">
        <v>0</v>
      </c>
      <c r="Y9" s="189">
        <v>-205062.79</v>
      </c>
      <c r="Z9" s="189">
        <v>0</v>
      </c>
      <c r="AA9" s="189">
        <v>-205062.79</v>
      </c>
      <c r="AB9" s="189">
        <v>0</v>
      </c>
      <c r="AC9" s="189">
        <v>-9619.31</v>
      </c>
      <c r="AD9" s="189">
        <v>0</v>
      </c>
      <c r="AE9" s="189">
        <v>-7091.5</v>
      </c>
      <c r="AF9" s="189">
        <v>0</v>
      </c>
      <c r="AG9" s="189">
        <v>-21506.3</v>
      </c>
      <c r="AH9" s="189">
        <v>0</v>
      </c>
      <c r="AI9" s="189">
        <v>0</v>
      </c>
      <c r="AJ9" s="189">
        <v>0</v>
      </c>
      <c r="AK9" s="189">
        <v>0</v>
      </c>
      <c r="AL9" s="189">
        <v>0</v>
      </c>
      <c r="AM9" s="189">
        <v>0</v>
      </c>
      <c r="AN9" s="189">
        <v>0</v>
      </c>
      <c r="AO9" s="189">
        <v>0</v>
      </c>
      <c r="AP9" s="189">
        <v>0</v>
      </c>
      <c r="AQ9" s="189">
        <v>0</v>
      </c>
      <c r="AR9" s="189">
        <v>0</v>
      </c>
      <c r="AS9" s="192">
        <v>-598305.26</v>
      </c>
      <c r="AT9" s="192">
        <v>0</v>
      </c>
      <c r="AU9" s="192">
        <v>0</v>
      </c>
      <c r="AV9" s="192">
        <v>0</v>
      </c>
      <c r="AW9" s="192">
        <v>269102.78999999998</v>
      </c>
      <c r="AX9" s="192">
        <v>146154.56</v>
      </c>
      <c r="AY9" s="192">
        <v>-125360.21</v>
      </c>
      <c r="AZ9" s="192">
        <v>0</v>
      </c>
      <c r="BA9" s="192">
        <v>-191319.73</v>
      </c>
      <c r="BB9" s="192">
        <v>-54708.43</v>
      </c>
      <c r="BC9" s="192">
        <v>-7534.17</v>
      </c>
      <c r="BD9" s="192">
        <v>-12970.6</v>
      </c>
      <c r="BE9" s="192">
        <v>2450780.61</v>
      </c>
      <c r="BF9" s="192">
        <v>461041.96</v>
      </c>
      <c r="BG9" s="192">
        <v>260575.46</v>
      </c>
      <c r="BH9" s="192">
        <v>-14558</v>
      </c>
      <c r="BI9" s="192">
        <v>3395525.08</v>
      </c>
      <c r="BJ9" s="192">
        <v>-15527.85</v>
      </c>
      <c r="BK9" s="192">
        <v>13728.15</v>
      </c>
      <c r="BL9" s="192">
        <v>-38776.370000000003</v>
      </c>
      <c r="BM9" s="192">
        <v>925739.38</v>
      </c>
      <c r="BN9" s="192">
        <v>510508.23</v>
      </c>
      <c r="BO9" s="192">
        <v>-49398.94</v>
      </c>
      <c r="BP9" s="192">
        <v>1595890.7</v>
      </c>
      <c r="BQ9" s="192">
        <v>-3580</v>
      </c>
      <c r="BR9" s="192">
        <v>-1500</v>
      </c>
      <c r="BS9" s="192">
        <v>169771.53</v>
      </c>
      <c r="BT9" s="192">
        <v>-1680</v>
      </c>
      <c r="BU9" s="192">
        <v>0</v>
      </c>
      <c r="BV9" s="192">
        <v>0</v>
      </c>
    </row>
    <row r="10" spans="1:74" s="192" customFormat="1" x14ac:dyDescent="0.25">
      <c r="A10" s="192" t="s">
        <v>309</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14513.82</v>
      </c>
      <c r="V10" s="189">
        <v>0</v>
      </c>
      <c r="W10" s="189">
        <v>566</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92">
        <v>577470.38</v>
      </c>
      <c r="AT10" s="192">
        <v>0</v>
      </c>
      <c r="AU10" s="192">
        <v>0</v>
      </c>
      <c r="AV10" s="192">
        <v>0</v>
      </c>
      <c r="AW10" s="192">
        <v>0</v>
      </c>
      <c r="AX10" s="192">
        <v>0</v>
      </c>
      <c r="AY10" s="192">
        <v>1108956.43</v>
      </c>
      <c r="AZ10" s="192">
        <v>0</v>
      </c>
      <c r="BA10" s="192">
        <v>0</v>
      </c>
      <c r="BB10" s="192">
        <v>0</v>
      </c>
      <c r="BC10" s="192">
        <v>0</v>
      </c>
      <c r="BD10" s="192">
        <v>0</v>
      </c>
      <c r="BE10" s="192">
        <v>10234174.27</v>
      </c>
      <c r="BF10" s="192">
        <v>6735200.1100000003</v>
      </c>
      <c r="BG10" s="192">
        <v>2122271.27</v>
      </c>
      <c r="BH10" s="192">
        <v>0</v>
      </c>
      <c r="BI10" s="192">
        <v>5443986.7300000004</v>
      </c>
      <c r="BJ10" s="192">
        <v>2732944.24</v>
      </c>
      <c r="BK10" s="192">
        <v>1676945.26</v>
      </c>
      <c r="BL10" s="192">
        <v>15909.78</v>
      </c>
      <c r="BM10" s="192">
        <v>4369433.5199999996</v>
      </c>
      <c r="BN10" s="192">
        <v>256577.04</v>
      </c>
      <c r="BO10" s="192">
        <v>2074884.19</v>
      </c>
      <c r="BP10" s="192">
        <v>0</v>
      </c>
      <c r="BQ10" s="192">
        <v>1025342.66</v>
      </c>
      <c r="BR10" s="192">
        <v>43944</v>
      </c>
      <c r="BS10" s="192">
        <v>0</v>
      </c>
      <c r="BT10" s="192">
        <v>7101</v>
      </c>
      <c r="BU10" s="192">
        <v>0</v>
      </c>
      <c r="BV10" s="192">
        <v>0</v>
      </c>
    </row>
    <row r="11" spans="1:74" s="47" customFormat="1" x14ac:dyDescent="0.25">
      <c r="A11" s="135" t="s">
        <v>296</v>
      </c>
      <c r="E11" s="47">
        <f>E5-E6-E7-E8-E9-E10</f>
        <v>-40192790.359999999</v>
      </c>
      <c r="F11" s="47">
        <f t="shared" ref="F11:BQ11" si="1">F5-F6-F7-F8-F9-F10</f>
        <v>9212643.2600000016</v>
      </c>
      <c r="G11" s="47">
        <f t="shared" si="1"/>
        <v>-13052081.929999998</v>
      </c>
      <c r="H11" s="47">
        <f t="shared" si="1"/>
        <v>-1675581.9000000004</v>
      </c>
      <c r="I11" s="47">
        <f t="shared" si="1"/>
        <v>-7601857.0999999996</v>
      </c>
      <c r="J11" s="47">
        <f t="shared" si="1"/>
        <v>2956686.71</v>
      </c>
      <c r="K11" s="47">
        <f t="shared" si="1"/>
        <v>-5585404.9900000002</v>
      </c>
      <c r="L11" s="47">
        <f t="shared" si="1"/>
        <v>2723942</v>
      </c>
      <c r="M11" s="47">
        <f t="shared" si="1"/>
        <v>12103034.82</v>
      </c>
      <c r="N11" s="47">
        <f t="shared" si="1"/>
        <v>778447.76</v>
      </c>
      <c r="O11" s="47">
        <f t="shared" si="1"/>
        <v>-1024570.1300000001</v>
      </c>
      <c r="P11" s="47">
        <f t="shared" si="1"/>
        <v>269967.86</v>
      </c>
      <c r="Q11" s="47">
        <f t="shared" si="1"/>
        <v>1576039.29</v>
      </c>
      <c r="R11" s="47">
        <f t="shared" si="1"/>
        <v>2878859</v>
      </c>
      <c r="S11" s="47">
        <f t="shared" si="1"/>
        <v>8862283.4000000004</v>
      </c>
      <c r="T11" s="47">
        <f t="shared" si="1"/>
        <v>20820785.280000001</v>
      </c>
      <c r="U11" s="47">
        <f t="shared" si="1"/>
        <v>47362415.879999995</v>
      </c>
      <c r="V11" s="47">
        <f t="shared" si="1"/>
        <v>63522850.140000001</v>
      </c>
      <c r="W11" s="47">
        <f t="shared" si="1"/>
        <v>37736604.520000003</v>
      </c>
      <c r="X11" s="47">
        <f t="shared" si="1"/>
        <v>25201084.59</v>
      </c>
      <c r="Y11" s="47">
        <f t="shared" si="1"/>
        <v>84364825.25</v>
      </c>
      <c r="Z11" s="47">
        <f t="shared" si="1"/>
        <v>90436983.120000005</v>
      </c>
      <c r="AA11" s="47">
        <f t="shared" si="1"/>
        <v>60951149.770000011</v>
      </c>
      <c r="AB11" s="47">
        <f t="shared" si="1"/>
        <v>37787744.950000003</v>
      </c>
      <c r="AC11" s="47">
        <f t="shared" si="1"/>
        <v>220732067.85999998</v>
      </c>
      <c r="AD11" s="47">
        <f t="shared" si="1"/>
        <v>232503706.94999999</v>
      </c>
      <c r="AE11" s="47">
        <f t="shared" si="1"/>
        <v>145978693.45000002</v>
      </c>
      <c r="AF11" s="47">
        <f t="shared" si="1"/>
        <v>3334518.97</v>
      </c>
      <c r="AG11" s="47">
        <f t="shared" si="1"/>
        <v>45068326.559999987</v>
      </c>
      <c r="AH11" s="47">
        <f t="shared" si="1"/>
        <v>32858999.809999999</v>
      </c>
      <c r="AI11" s="47">
        <f t="shared" si="1"/>
        <v>8626843.3599999994</v>
      </c>
      <c r="AJ11" s="47">
        <f t="shared" si="1"/>
        <v>806108.92</v>
      </c>
      <c r="AK11" s="47">
        <f t="shared" si="1"/>
        <v>5964143.2199999988</v>
      </c>
      <c r="AL11" s="47">
        <f t="shared" si="1"/>
        <v>11581104.27</v>
      </c>
      <c r="AM11" s="47">
        <f t="shared" si="1"/>
        <v>6508719.1200000001</v>
      </c>
      <c r="AN11" s="47">
        <f t="shared" si="1"/>
        <v>3353514.14</v>
      </c>
      <c r="AO11" s="47">
        <f t="shared" si="1"/>
        <v>33619387.49000001</v>
      </c>
      <c r="AP11" s="47">
        <f t="shared" si="1"/>
        <v>26711620.100000001</v>
      </c>
      <c r="AQ11" s="47">
        <f t="shared" si="1"/>
        <v>8190290.0900000008</v>
      </c>
      <c r="AR11" s="47">
        <f t="shared" si="1"/>
        <v>0</v>
      </c>
      <c r="AS11" s="47">
        <f t="shared" si="1"/>
        <v>-468638600.81</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230297326.35000038</v>
      </c>
      <c r="F12" s="26">
        <f t="shared" si="3"/>
        <v>433706080.54000044</v>
      </c>
      <c r="G12" s="26">
        <f t="shared" si="3"/>
        <v>406916376.92000031</v>
      </c>
      <c r="H12" s="26">
        <f t="shared" si="3"/>
        <v>1531918470.73</v>
      </c>
      <c r="I12" s="26">
        <f t="shared" si="3"/>
        <v>1500913882.2799997</v>
      </c>
      <c r="J12" s="26">
        <f t="shared" si="3"/>
        <v>78709226.920000076</v>
      </c>
      <c r="K12" s="26">
        <f t="shared" si="3"/>
        <v>56621704.800000012</v>
      </c>
      <c r="L12" s="26">
        <f t="shared" si="3"/>
        <v>61874112.009999931</v>
      </c>
      <c r="M12" s="26">
        <f t="shared" si="3"/>
        <v>61316329.610000014</v>
      </c>
      <c r="N12" s="26">
        <f t="shared" si="3"/>
        <v>23568173.069999993</v>
      </c>
      <c r="O12" s="26">
        <f t="shared" si="3"/>
        <v>490384748.76999998</v>
      </c>
      <c r="P12" s="26">
        <f t="shared" si="3"/>
        <v>496267318.20999998</v>
      </c>
      <c r="Q12" s="26">
        <f t="shared" si="3"/>
        <v>500174601.82999998</v>
      </c>
      <c r="R12" s="192">
        <f t="shared" ref="R12" si="4">V34</f>
        <v>502078278.5</v>
      </c>
      <c r="S12" s="192">
        <f t="shared" ref="S12" si="5">W34</f>
        <v>490667811.13999999</v>
      </c>
      <c r="T12" s="192">
        <f t="shared" ref="T12" si="6">X34</f>
        <v>458095903.51999998</v>
      </c>
      <c r="U12" s="192">
        <f t="shared" ref="U12" si="7">Y34</f>
        <v>457208670.33999997</v>
      </c>
      <c r="V12" s="192">
        <f t="shared" ref="V12" si="8">Z34</f>
        <v>409157665.79000002</v>
      </c>
      <c r="W12" s="192">
        <f t="shared" ref="W12" si="9">AA34</f>
        <v>404641282.89999998</v>
      </c>
      <c r="X12" s="192">
        <f t="shared" ref="X12" si="10">AB34</f>
        <v>280107631.35000002</v>
      </c>
      <c r="Y12" s="192">
        <f t="shared" ref="Y12" si="11">AC34</f>
        <v>264735403.88999999</v>
      </c>
      <c r="Z12" s="192">
        <f t="shared" ref="Z12" si="12">AD34</f>
        <v>194002292.87</v>
      </c>
      <c r="AA12" s="192">
        <f t="shared" ref="AA12" si="13">AE34</f>
        <v>194774546.22999999</v>
      </c>
      <c r="AB12" s="192">
        <f t="shared" ref="AB12" si="14">AF34</f>
        <v>173706857.63999999</v>
      </c>
      <c r="AC12" s="192">
        <f t="shared" ref="AC12" si="15">AG34</f>
        <v>173187728.47999999</v>
      </c>
      <c r="AD12" s="192">
        <f t="shared" ref="AD12" si="16">AH34</f>
        <v>152181564.47999999</v>
      </c>
      <c r="AE12" s="192">
        <f t="shared" ref="AE12" si="17">AI34</f>
        <v>136309064.00999999</v>
      </c>
      <c r="AF12" s="192">
        <f t="shared" ref="AF12" si="18">AJ34</f>
        <v>132331131.09</v>
      </c>
      <c r="AG12" s="192">
        <f t="shared" ref="AG12" si="19">AK34</f>
        <v>133745952.73</v>
      </c>
      <c r="AH12" s="192">
        <f t="shared" ref="AH12" si="20">AL34</f>
        <v>132218465.38</v>
      </c>
      <c r="AI12" s="192">
        <f t="shared" ref="AI12" si="21">AM34</f>
        <v>133261358.39</v>
      </c>
      <c r="AJ12" s="192">
        <f t="shared" ref="AJ12" si="22">AN34</f>
        <v>120894064.27</v>
      </c>
      <c r="AK12" s="192">
        <f t="shared" ref="AK12" si="23">AO34</f>
        <v>84122615.640000001</v>
      </c>
      <c r="AL12" s="192">
        <f t="shared" ref="AL12" si="24">AP34</f>
        <v>46760067.939999998</v>
      </c>
      <c r="AM12" s="192">
        <f t="shared" ref="AM12" si="25">AQ34</f>
        <v>0</v>
      </c>
      <c r="AN12" s="192">
        <f t="shared" ref="AN12" si="26">AR34</f>
        <v>0</v>
      </c>
      <c r="AO12" s="192">
        <f t="shared" ref="AO12" si="27">AS34</f>
        <v>5087759145.3900003</v>
      </c>
      <c r="AP12" s="192">
        <f t="shared" ref="AP12" si="28">AT34</f>
        <v>5119825755.0799999</v>
      </c>
      <c r="AQ12" s="192">
        <f t="shared" ref="AQ12" si="29">AU34</f>
        <v>5166324238.8199997</v>
      </c>
      <c r="AR12" s="192">
        <f t="shared" ref="AR12" si="30">AV34</f>
        <v>5229742144.5900002</v>
      </c>
      <c r="AS12" s="192">
        <f t="shared" ref="AS12" si="31">AW34</f>
        <v>5303368604.3599997</v>
      </c>
      <c r="AT12" s="192">
        <f t="shared" ref="AT12" si="32">AX34</f>
        <v>5412891640.3100004</v>
      </c>
      <c r="AU12" s="192">
        <f t="shared" ref="AU12" si="33">AY34</f>
        <v>5477269087.8599997</v>
      </c>
      <c r="AV12" s="192">
        <f t="shared" ref="AV12" si="34">AZ34</f>
        <v>5394582476.9899998</v>
      </c>
      <c r="AW12" s="192">
        <f t="shared" ref="AW12" si="35">BA34</f>
        <v>5501322858.9799995</v>
      </c>
      <c r="AX12" s="192">
        <f t="shared" ref="AX12" si="36">BB34</f>
        <v>5577867470.3299999</v>
      </c>
      <c r="AY12" s="192">
        <f t="shared" ref="AY12" si="37">BC34</f>
        <v>5696283898.6499996</v>
      </c>
      <c r="AZ12" s="192">
        <f t="shared" ref="AZ12" si="38">BD34</f>
        <v>5779603253.5100002</v>
      </c>
      <c r="BA12" s="192">
        <f t="shared" ref="BA12" si="39">BE34</f>
        <v>5840992847.29</v>
      </c>
      <c r="BB12" s="192">
        <f t="shared" ref="BB12" si="40">BF34</f>
        <v>5434316703.3800001</v>
      </c>
      <c r="BC12" s="192">
        <f t="shared" ref="BC12" si="41">BG34</f>
        <v>5519652065.3800001</v>
      </c>
      <c r="BD12" s="192">
        <f t="shared" ref="BD12" si="42">BH34</f>
        <v>5587811046.9799995</v>
      </c>
      <c r="BE12" s="192">
        <f t="shared" ref="BE12" si="43">BI34</f>
        <v>5587556850.7200003</v>
      </c>
      <c r="BF12" s="192">
        <f t="shared" ref="BF12" si="44">BJ34</f>
        <v>5175235607.8500004</v>
      </c>
      <c r="BG12" s="192">
        <f t="shared" ref="BG12" si="45">BK34</f>
        <v>4543535291.6599998</v>
      </c>
      <c r="BH12" s="192">
        <f t="shared" ref="BH12" si="46">BL34</f>
        <v>4478639735.0500002</v>
      </c>
      <c r="BI12" s="192">
        <f t="shared" ref="BI12" si="47">BM34</f>
        <v>4520776529.7700005</v>
      </c>
      <c r="BJ12" s="192">
        <f t="shared" ref="BJ12" si="48">BN34</f>
        <v>3620875395.5999999</v>
      </c>
      <c r="BK12" s="192">
        <f t="shared" ref="BK12" si="49">BO34</f>
        <v>3684993020.0500002</v>
      </c>
      <c r="BL12" s="192">
        <f t="shared" ref="BL12" si="50">BP34</f>
        <v>3523637936.8200002</v>
      </c>
      <c r="BM12" s="192">
        <f t="shared" ref="BM12" si="51">BQ34</f>
        <v>46760067.939999998</v>
      </c>
      <c r="BN12" s="192">
        <f t="shared" ref="BN12" si="52">BR34</f>
        <v>0</v>
      </c>
    </row>
    <row r="13" spans="1:74" s="219" customFormat="1" x14ac:dyDescent="0.25">
      <c r="A13" s="219" t="s">
        <v>350</v>
      </c>
      <c r="E13" s="219">
        <f>E11/E12</f>
        <v>-0.17452564906861295</v>
      </c>
      <c r="F13" s="219">
        <f t="shared" ref="F13:AR13" si="53">F11/F12</f>
        <v>2.1241674196795877E-2</v>
      </c>
      <c r="G13" s="219">
        <f t="shared" si="53"/>
        <v>-3.2075587689030356E-2</v>
      </c>
      <c r="H13" s="219">
        <f t="shared" si="53"/>
        <v>-1.0937800751247165E-3</v>
      </c>
      <c r="I13" s="219">
        <f t="shared" si="53"/>
        <v>-5.0648189677959497E-3</v>
      </c>
      <c r="J13" s="219">
        <f t="shared" si="53"/>
        <v>3.7564677302766185E-2</v>
      </c>
      <c r="K13" s="219">
        <f t="shared" si="53"/>
        <v>-9.8644239161092856E-2</v>
      </c>
      <c r="L13" s="219">
        <f t="shared" si="53"/>
        <v>4.4023936853586902E-2</v>
      </c>
      <c r="M13" s="219">
        <f t="shared" si="53"/>
        <v>0.19738681191422994</v>
      </c>
      <c r="N13" s="219">
        <f t="shared" si="53"/>
        <v>3.3029618277493421E-2</v>
      </c>
      <c r="O13" s="219">
        <f t="shared" si="53"/>
        <v>-2.0893189124862924E-3</v>
      </c>
      <c r="P13" s="219">
        <f t="shared" si="53"/>
        <v>5.4399685430375376E-4</v>
      </c>
      <c r="Q13" s="219">
        <f t="shared" si="53"/>
        <v>3.1509782468636151E-3</v>
      </c>
      <c r="R13" s="219">
        <f t="shared" si="53"/>
        <v>5.7338847810760249E-3</v>
      </c>
      <c r="S13" s="219">
        <f t="shared" si="53"/>
        <v>1.8061676757253932E-2</v>
      </c>
      <c r="T13" s="219">
        <f t="shared" si="53"/>
        <v>4.5450712656484142E-2</v>
      </c>
      <c r="U13" s="219">
        <f t="shared" si="53"/>
        <v>0.10359037120791972</v>
      </c>
      <c r="V13" s="219">
        <f t="shared" si="53"/>
        <v>0.15525274350500151</v>
      </c>
      <c r="W13" s="219">
        <f t="shared" si="53"/>
        <v>9.3259403117615033E-2</v>
      </c>
      <c r="X13" s="219">
        <f t="shared" si="53"/>
        <v>8.9969289549668666E-2</v>
      </c>
      <c r="Y13" s="219">
        <f t="shared" si="53"/>
        <v>0.31867602145519747</v>
      </c>
      <c r="Z13" s="219">
        <f t="shared" si="53"/>
        <v>0.4661645065226182</v>
      </c>
      <c r="AA13" s="219">
        <f t="shared" si="53"/>
        <v>0.31293180217719874</v>
      </c>
      <c r="AB13" s="219">
        <f t="shared" si="53"/>
        <v>0.21753743901299213</v>
      </c>
      <c r="AC13" s="219">
        <f t="shared" si="53"/>
        <v>1.2745248742349</v>
      </c>
      <c r="AD13" s="219">
        <f t="shared" si="53"/>
        <v>1.5278046834677934</v>
      </c>
      <c r="AE13" s="219">
        <f t="shared" si="53"/>
        <v>1.0709390054889574</v>
      </c>
      <c r="AF13" s="219">
        <f t="shared" si="53"/>
        <v>2.5198295688503965E-2</v>
      </c>
      <c r="AG13" s="219">
        <f t="shared" si="53"/>
        <v>0.33696964760482728</v>
      </c>
      <c r="AH13" s="219">
        <f t="shared" si="53"/>
        <v>0.24852050517726257</v>
      </c>
      <c r="AI13" s="219">
        <f t="shared" si="53"/>
        <v>6.4736270620571454E-2</v>
      </c>
      <c r="AJ13" s="219">
        <f t="shared" si="53"/>
        <v>6.6678949447813119E-3</v>
      </c>
      <c r="AK13" s="219">
        <f t="shared" si="53"/>
        <v>7.0898214167797111E-2</v>
      </c>
      <c r="AL13" s="219">
        <f t="shared" si="53"/>
        <v>0.24767081786237458</v>
      </c>
      <c r="AM13" s="219" t="e">
        <f t="shared" si="53"/>
        <v>#DIV/0!</v>
      </c>
      <c r="AN13" s="219" t="e">
        <f t="shared" si="53"/>
        <v>#DIV/0!</v>
      </c>
      <c r="AO13" s="219">
        <f t="shared" si="53"/>
        <v>6.607896822408036E-3</v>
      </c>
      <c r="AP13" s="219">
        <f t="shared" si="53"/>
        <v>5.2172908567242084E-3</v>
      </c>
      <c r="AQ13" s="219">
        <f t="shared" si="53"/>
        <v>1.5853225061752379E-3</v>
      </c>
      <c r="AR13" s="219">
        <f t="shared" si="53"/>
        <v>0</v>
      </c>
    </row>
    <row r="14" spans="1:74" s="48" customFormat="1" x14ac:dyDescent="0.25">
      <c r="A14" s="46" t="s">
        <v>293</v>
      </c>
    </row>
    <row r="15" spans="1:74" s="26" customFormat="1" x14ac:dyDescent="0.25">
      <c r="A15" s="17" t="s">
        <v>313</v>
      </c>
      <c r="B15" s="189">
        <v>64455765.460000001</v>
      </c>
      <c r="C15" s="189">
        <v>64455765.460000001</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row>
    <row r="16" spans="1:74" s="26" customFormat="1" x14ac:dyDescent="0.25">
      <c r="A16" s="17" t="s">
        <v>314</v>
      </c>
      <c r="B16" s="189">
        <v>1127044566.25</v>
      </c>
      <c r="C16" s="189">
        <v>1070044806.25</v>
      </c>
      <c r="D16" s="189">
        <v>870355251.75</v>
      </c>
      <c r="E16" s="189">
        <v>520966669.63999999</v>
      </c>
      <c r="F16" s="189">
        <v>802428500.89999998</v>
      </c>
      <c r="G16" s="189">
        <v>489538528.19999999</v>
      </c>
      <c r="H16" s="189">
        <v>70868080</v>
      </c>
      <c r="I16" s="189">
        <v>381469996.25</v>
      </c>
      <c r="J16" s="189">
        <v>150000000</v>
      </c>
      <c r="K16" s="189">
        <v>150000000</v>
      </c>
      <c r="L16" s="189">
        <v>97000048.109999999</v>
      </c>
      <c r="M16" s="189">
        <v>965494280.67999995</v>
      </c>
      <c r="N16" s="189">
        <v>2000000</v>
      </c>
      <c r="O16" s="189">
        <v>2000000</v>
      </c>
      <c r="P16" s="189">
        <v>401500000</v>
      </c>
      <c r="Q16" s="189">
        <v>0</v>
      </c>
      <c r="R16" s="189">
        <v>0</v>
      </c>
      <c r="S16" s="189">
        <v>0</v>
      </c>
      <c r="T16" s="189">
        <v>0</v>
      </c>
      <c r="U16" s="189">
        <v>0</v>
      </c>
      <c r="V16" s="189">
        <v>0</v>
      </c>
      <c r="W16" s="189">
        <v>0</v>
      </c>
      <c r="X16" s="189">
        <v>0</v>
      </c>
      <c r="Y16" s="189">
        <v>0</v>
      </c>
      <c r="Z16" s="189">
        <v>17831103.469999999</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row>
    <row r="17" spans="1:74" s="47" customFormat="1" x14ac:dyDescent="0.25">
      <c r="A17" s="135" t="s">
        <v>298</v>
      </c>
      <c r="E17" s="47">
        <f>E16-E15</f>
        <v>520966669.63999999</v>
      </c>
      <c r="F17" s="47">
        <f t="shared" ref="F17:AV17" si="54">F16-F15</f>
        <v>802428500.89999998</v>
      </c>
      <c r="G17" s="47">
        <f t="shared" si="54"/>
        <v>489538528.19999999</v>
      </c>
      <c r="H17" s="47">
        <f t="shared" si="54"/>
        <v>70868080</v>
      </c>
      <c r="I17" s="47">
        <f t="shared" si="54"/>
        <v>381469996.25</v>
      </c>
      <c r="J17" s="47">
        <f t="shared" si="54"/>
        <v>150000000</v>
      </c>
      <c r="K17" s="47">
        <f t="shared" si="54"/>
        <v>150000000</v>
      </c>
      <c r="L17" s="47">
        <f t="shared" si="54"/>
        <v>97000048.109999999</v>
      </c>
      <c r="M17" s="47">
        <f t="shared" si="54"/>
        <v>965494280.67999995</v>
      </c>
      <c r="N17" s="47">
        <f t="shared" si="54"/>
        <v>2000000</v>
      </c>
      <c r="O17" s="47">
        <f t="shared" si="54"/>
        <v>2000000</v>
      </c>
      <c r="P17" s="47">
        <f t="shared" si="54"/>
        <v>401500000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17831103.469999999</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2" customFormat="1" x14ac:dyDescent="0.25">
      <c r="A19" s="192" t="s">
        <v>299</v>
      </c>
      <c r="E19" s="192">
        <f>E5+E17</f>
        <v>540711053.55999994</v>
      </c>
      <c r="F19" s="192">
        <f t="shared" ref="F19:AS19" si="55">F5+F17</f>
        <v>811641144.15999997</v>
      </c>
      <c r="G19" s="192">
        <f t="shared" si="55"/>
        <v>495223144.64999998</v>
      </c>
      <c r="H19" s="192">
        <f t="shared" si="55"/>
        <v>69192498.099999994</v>
      </c>
      <c r="I19" s="192">
        <f t="shared" si="55"/>
        <v>391896369.06</v>
      </c>
      <c r="J19" s="192">
        <f t="shared" si="55"/>
        <v>152956686.71000001</v>
      </c>
      <c r="K19" s="192">
        <f t="shared" si="55"/>
        <v>152687172.34999999</v>
      </c>
      <c r="L19" s="192">
        <f t="shared" si="55"/>
        <v>99723990.109999999</v>
      </c>
      <c r="M19" s="192">
        <f t="shared" si="55"/>
        <v>984373654.70999992</v>
      </c>
      <c r="N19" s="192">
        <f t="shared" si="55"/>
        <v>2778447.76</v>
      </c>
      <c r="O19" s="192">
        <f t="shared" si="55"/>
        <v>2698860.86</v>
      </c>
      <c r="P19" s="192">
        <f t="shared" si="55"/>
        <v>401769967.86000001</v>
      </c>
      <c r="Q19" s="192">
        <f t="shared" si="55"/>
        <v>6505669.96</v>
      </c>
      <c r="R19" s="192">
        <f t="shared" si="55"/>
        <v>2878859</v>
      </c>
      <c r="S19" s="192">
        <f t="shared" si="55"/>
        <v>21570635.23</v>
      </c>
      <c r="T19" s="192">
        <f t="shared" si="55"/>
        <v>20820785.280000001</v>
      </c>
      <c r="U19" s="192">
        <f t="shared" si="55"/>
        <v>72786210.780000001</v>
      </c>
      <c r="V19" s="192">
        <f t="shared" si="55"/>
        <v>63522850.140000001</v>
      </c>
      <c r="W19" s="192">
        <f t="shared" si="55"/>
        <v>50004686.359999999</v>
      </c>
      <c r="X19" s="192">
        <f t="shared" si="55"/>
        <v>25201084.59</v>
      </c>
      <c r="Y19" s="192">
        <f t="shared" si="55"/>
        <v>98593799.849999994</v>
      </c>
      <c r="Z19" s="192">
        <f t="shared" si="55"/>
        <v>108268086.59</v>
      </c>
      <c r="AA19" s="192">
        <f t="shared" si="55"/>
        <v>67381423.430000007</v>
      </c>
      <c r="AB19" s="192">
        <f t="shared" si="55"/>
        <v>37787744.950000003</v>
      </c>
      <c r="AC19" s="192">
        <f t="shared" si="55"/>
        <v>232503706.94999999</v>
      </c>
      <c r="AD19" s="192">
        <f t="shared" si="55"/>
        <v>232503706.94999999</v>
      </c>
      <c r="AE19" s="192">
        <f t="shared" si="55"/>
        <v>151633176.80000001</v>
      </c>
      <c r="AF19" s="192">
        <f t="shared" si="55"/>
        <v>3334518.97</v>
      </c>
      <c r="AG19" s="192">
        <f t="shared" si="55"/>
        <v>54015472.549999997</v>
      </c>
      <c r="AH19" s="192">
        <f t="shared" si="55"/>
        <v>32858999.809999999</v>
      </c>
      <c r="AI19" s="192">
        <f t="shared" si="55"/>
        <v>12990713.869999999</v>
      </c>
      <c r="AJ19" s="192">
        <f t="shared" si="55"/>
        <v>806108.92</v>
      </c>
      <c r="AK19" s="192">
        <f t="shared" si="55"/>
        <v>13975414.369999999</v>
      </c>
      <c r="AL19" s="192">
        <f t="shared" si="55"/>
        <v>11581104.27</v>
      </c>
      <c r="AM19" s="192">
        <f t="shared" si="55"/>
        <v>10106423.24</v>
      </c>
      <c r="AN19" s="192">
        <f t="shared" si="55"/>
        <v>3353514.14</v>
      </c>
      <c r="AO19" s="192">
        <f t="shared" si="55"/>
        <v>39736096.030000001</v>
      </c>
      <c r="AP19" s="192">
        <f t="shared" si="55"/>
        <v>31666008.98</v>
      </c>
      <c r="AQ19" s="192">
        <f t="shared" si="55"/>
        <v>10988563.300000001</v>
      </c>
      <c r="AR19" s="192">
        <f t="shared" si="55"/>
        <v>0</v>
      </c>
      <c r="AS19" s="192">
        <f t="shared" si="55"/>
        <v>0</v>
      </c>
    </row>
    <row r="20" spans="1:74" s="192" customFormat="1" x14ac:dyDescent="0.25">
      <c r="A20" s="192" t="s">
        <v>300</v>
      </c>
      <c r="B20" s="189">
        <v>-108197221.23</v>
      </c>
      <c r="C20" s="189">
        <v>-232794497.27000001</v>
      </c>
      <c r="D20" s="189">
        <v>-93939834.430000007</v>
      </c>
      <c r="E20" s="189">
        <v>894259231.52999997</v>
      </c>
      <c r="F20" s="189">
        <v>607769733.25999999</v>
      </c>
      <c r="G20" s="189">
        <v>535216358.55000001</v>
      </c>
      <c r="H20" s="189">
        <v>119357705.84</v>
      </c>
      <c r="I20" s="189">
        <v>502161696.61000001</v>
      </c>
      <c r="J20" s="189">
        <v>272970470.39999998</v>
      </c>
      <c r="K20" s="189">
        <v>256359330.97999999</v>
      </c>
      <c r="L20" s="189">
        <v>59950360.829999998</v>
      </c>
      <c r="M20" s="189">
        <v>319815463.44999999</v>
      </c>
      <c r="N20" s="189">
        <v>212158835.91</v>
      </c>
      <c r="O20" s="189">
        <v>149557629.66</v>
      </c>
      <c r="P20" s="189">
        <v>53685843.909999996</v>
      </c>
      <c r="Q20" s="189">
        <v>130247553.36</v>
      </c>
      <c r="R20" s="189">
        <v>90884489.090000004</v>
      </c>
      <c r="S20" s="189">
        <v>123276307.67</v>
      </c>
      <c r="T20" s="189">
        <v>45104165.799999997</v>
      </c>
      <c r="U20" s="189">
        <v>33861130.560000002</v>
      </c>
      <c r="V20" s="189">
        <v>-14335425.93</v>
      </c>
      <c r="W20" s="189">
        <v>-2057374.86</v>
      </c>
      <c r="X20" s="189">
        <v>-21348673.190000001</v>
      </c>
      <c r="Y20" s="189">
        <v>70474643.549999997</v>
      </c>
      <c r="Z20" s="189">
        <v>44595388.979999997</v>
      </c>
      <c r="AA20" s="189">
        <v>19630028.210000001</v>
      </c>
      <c r="AB20" s="189">
        <v>-27499918.41</v>
      </c>
      <c r="AC20" s="189">
        <v>26215696.399999999</v>
      </c>
      <c r="AD20" s="189">
        <v>26215696.399999999</v>
      </c>
      <c r="AE20" s="189">
        <v>25362999.530000001</v>
      </c>
      <c r="AF20" s="189">
        <v>-7341950.5800000001</v>
      </c>
      <c r="AG20" s="189">
        <v>-103135762.66</v>
      </c>
      <c r="AH20" s="189">
        <v>-92129113.760000005</v>
      </c>
      <c r="AI20" s="189">
        <v>-69915547.030000001</v>
      </c>
      <c r="AJ20" s="189">
        <v>-32539203.309999999</v>
      </c>
      <c r="AK20" s="189">
        <v>15888489.98</v>
      </c>
      <c r="AL20" s="189">
        <v>-8670569.1099999994</v>
      </c>
      <c r="AM20" s="189">
        <v>17608446.309999999</v>
      </c>
      <c r="AN20" s="189">
        <v>696966.86</v>
      </c>
      <c r="AO20" s="189">
        <v>24519272.550000001</v>
      </c>
      <c r="AP20" s="189">
        <v>25160612.399999999</v>
      </c>
      <c r="AQ20" s="189">
        <v>16822143.379999999</v>
      </c>
      <c r="AR20" s="189">
        <v>0</v>
      </c>
      <c r="AS20" s="192">
        <v>1665545943.71</v>
      </c>
      <c r="AT20" s="192">
        <v>2089846017.8800001</v>
      </c>
      <c r="AU20" s="192">
        <v>1599888081.8099999</v>
      </c>
      <c r="AV20" s="192">
        <v>1055798280.0700001</v>
      </c>
      <c r="AW20" s="192">
        <v>1336270367.45</v>
      </c>
      <c r="AX20" s="192">
        <v>1192408273.4000001</v>
      </c>
      <c r="AY20" s="192">
        <v>889923241.13999999</v>
      </c>
      <c r="AZ20" s="192">
        <v>788427165.83000004</v>
      </c>
      <c r="BA20" s="192">
        <v>1252717668.0899999</v>
      </c>
      <c r="BB20" s="192">
        <v>807940999.38999999</v>
      </c>
      <c r="BC20" s="192">
        <v>713289532.66999996</v>
      </c>
      <c r="BD20" s="192">
        <v>410809880.20999998</v>
      </c>
      <c r="BE20" s="192">
        <v>821693394.29999995</v>
      </c>
      <c r="BF20" s="192">
        <v>845972023.45000005</v>
      </c>
      <c r="BG20" s="192">
        <v>673455379.76999998</v>
      </c>
      <c r="BH20" s="192">
        <v>959479476.41999996</v>
      </c>
      <c r="BI20" s="192">
        <v>1044659243.4</v>
      </c>
      <c r="BJ20" s="192">
        <v>796479775.66999996</v>
      </c>
      <c r="BK20" s="192">
        <v>324143510.37</v>
      </c>
      <c r="BL20" s="192">
        <v>233531826.72</v>
      </c>
      <c r="BM20" s="192">
        <v>1053290717.92</v>
      </c>
      <c r="BN20" s="192">
        <v>513631576.39999998</v>
      </c>
      <c r="BO20" s="192">
        <v>1073187941.83</v>
      </c>
      <c r="BP20" s="192">
        <v>259841859.31999999</v>
      </c>
      <c r="BQ20" s="192">
        <v>1294995783.27</v>
      </c>
      <c r="BR20" s="192">
        <v>527169463.72000003</v>
      </c>
      <c r="BS20" s="192">
        <v>898446895.69000006</v>
      </c>
      <c r="BT20" s="192">
        <v>436278873.26999998</v>
      </c>
      <c r="BU20" s="192">
        <v>359005459.04000002</v>
      </c>
      <c r="BV20" s="192">
        <v>0</v>
      </c>
    </row>
    <row r="21" spans="1:74" s="220" customFormat="1" x14ac:dyDescent="0.25">
      <c r="A21" s="220" t="s">
        <v>666</v>
      </c>
      <c r="E21" s="220">
        <f>E20/E19</f>
        <v>1.6538578703769158</v>
      </c>
      <c r="F21" s="220">
        <f t="shared" ref="F21:AS21" si="56">F20/F19</f>
        <v>0.7488158253596241</v>
      </c>
      <c r="G21" s="220">
        <f t="shared" si="56"/>
        <v>1.0807579660443078</v>
      </c>
      <c r="H21" s="220">
        <f t="shared" si="56"/>
        <v>1.7250093451966293</v>
      </c>
      <c r="I21" s="220">
        <f t="shared" si="56"/>
        <v>1.2813634834496723</v>
      </c>
      <c r="J21" s="220">
        <f t="shared" si="56"/>
        <v>1.7846259373906384</v>
      </c>
      <c r="K21" s="220">
        <f t="shared" si="56"/>
        <v>1.6789840759664838</v>
      </c>
      <c r="L21" s="220">
        <f t="shared" si="56"/>
        <v>0.60116287729634643</v>
      </c>
      <c r="M21" s="220">
        <f t="shared" si="56"/>
        <v>0.32489234338988765</v>
      </c>
      <c r="N21" s="220">
        <f t="shared" si="56"/>
        <v>76.358763682495876</v>
      </c>
      <c r="O21" s="220">
        <f t="shared" si="56"/>
        <v>55.41509452250903</v>
      </c>
      <c r="P21" s="220">
        <f t="shared" si="56"/>
        <v>0.13362333724432898</v>
      </c>
      <c r="Q21" s="220">
        <f t="shared" si="56"/>
        <v>20.020621113709247</v>
      </c>
      <c r="R21" s="220">
        <f t="shared" si="56"/>
        <v>31.569621537560543</v>
      </c>
      <c r="S21" s="220">
        <f t="shared" si="56"/>
        <v>5.7150059029578237</v>
      </c>
      <c r="T21" s="220">
        <f t="shared" si="56"/>
        <v>2.1663047379546287</v>
      </c>
      <c r="U21" s="220">
        <f t="shared" si="56"/>
        <v>0.4652135369753892</v>
      </c>
      <c r="V21" s="220">
        <f t="shared" si="56"/>
        <v>-0.22567353162532389</v>
      </c>
      <c r="W21" s="220">
        <f t="shared" si="56"/>
        <v>-4.1143640921738604E-2</v>
      </c>
      <c r="X21" s="220">
        <f t="shared" si="56"/>
        <v>-0.84713311102774258</v>
      </c>
      <c r="Y21" s="220">
        <f t="shared" si="56"/>
        <v>0.71479792499345485</v>
      </c>
      <c r="Z21" s="220">
        <f t="shared" si="56"/>
        <v>0.41189782127468549</v>
      </c>
      <c r="AA21" s="220">
        <f t="shared" si="56"/>
        <v>0.29132700395373645</v>
      </c>
      <c r="AB21" s="220">
        <f t="shared" si="56"/>
        <v>-0.72774701021157384</v>
      </c>
      <c r="AC21" s="220">
        <f t="shared" si="56"/>
        <v>0.11275388570745538</v>
      </c>
      <c r="AD21" s="220">
        <f t="shared" si="56"/>
        <v>0.11275388570745538</v>
      </c>
      <c r="AE21" s="220">
        <f t="shared" si="56"/>
        <v>0.16726550261129924</v>
      </c>
      <c r="AF21" s="220">
        <f t="shared" si="56"/>
        <v>-2.2018020128402509</v>
      </c>
      <c r="AG21" s="220">
        <f t="shared" si="56"/>
        <v>-1.9093744401575174</v>
      </c>
      <c r="AH21" s="220">
        <f t="shared" si="56"/>
        <v>-2.8037710914122926</v>
      </c>
      <c r="AI21" s="220">
        <f t="shared" si="56"/>
        <v>-5.3819634340079574</v>
      </c>
      <c r="AJ21" s="220">
        <f t="shared" si="56"/>
        <v>-40.365765100329121</v>
      </c>
      <c r="AK21" s="220">
        <f t="shared" si="56"/>
        <v>1.1368886502647579</v>
      </c>
      <c r="AL21" s="220">
        <f t="shared" si="56"/>
        <v>-0.74868241472106178</v>
      </c>
      <c r="AM21" s="220">
        <f t="shared" si="56"/>
        <v>1.742302483464961</v>
      </c>
      <c r="AN21" s="220">
        <f t="shared" si="56"/>
        <v>0.20783179402368643</v>
      </c>
      <c r="AO21" s="220">
        <f t="shared" si="56"/>
        <v>0.61705288137738579</v>
      </c>
      <c r="AP21" s="220">
        <f t="shared" si="56"/>
        <v>0.79456215704010069</v>
      </c>
      <c r="AQ21" s="220">
        <f t="shared" si="56"/>
        <v>1.5308774150666264</v>
      </c>
      <c r="AR21" s="220" t="e">
        <f t="shared" si="56"/>
        <v>#DIV/0!</v>
      </c>
      <c r="AS21" s="220" t="e">
        <f t="shared" si="56"/>
        <v>#DIV/0!</v>
      </c>
    </row>
    <row r="22" spans="1:74" s="192" customFormat="1" x14ac:dyDescent="0.25">
      <c r="A22" s="192" t="s">
        <v>301</v>
      </c>
      <c r="E22" s="192">
        <f>I35</f>
        <v>2020552479.51</v>
      </c>
      <c r="F22" s="192">
        <f t="shared" ref="F22:Y22" si="57">J35</f>
        <v>1399186516.8500001</v>
      </c>
      <c r="G22" s="192">
        <f t="shared" si="57"/>
        <v>1203561686.75</v>
      </c>
      <c r="H22" s="192">
        <f t="shared" si="57"/>
        <v>1186537192.7</v>
      </c>
      <c r="I22" s="192">
        <f t="shared" si="57"/>
        <v>1462737218.6400001</v>
      </c>
      <c r="J22" s="192">
        <f t="shared" si="57"/>
        <v>724920604.74000001</v>
      </c>
      <c r="K22" s="192">
        <f t="shared" si="57"/>
        <v>583895063.42000008</v>
      </c>
      <c r="L22" s="192">
        <f t="shared" si="57"/>
        <v>559706783.04000008</v>
      </c>
      <c r="M22" s="192">
        <f t="shared" si="57"/>
        <v>577126147.18000007</v>
      </c>
      <c r="N22" s="192">
        <f t="shared" si="57"/>
        <v>385276489.14999998</v>
      </c>
      <c r="O22" s="192">
        <f t="shared" si="57"/>
        <v>14602570.91</v>
      </c>
      <c r="P22" s="192">
        <f t="shared" si="57"/>
        <v>10715084.869999999</v>
      </c>
      <c r="Q22" s="192">
        <f t="shared" si="57"/>
        <v>42418327.289999999</v>
      </c>
      <c r="R22" s="192">
        <f t="shared" si="57"/>
        <v>12761108.08</v>
      </c>
      <c r="S22" s="192">
        <f t="shared" si="57"/>
        <v>39144749.439999998</v>
      </c>
      <c r="T22" s="192">
        <f t="shared" si="57"/>
        <v>21321356.449999999</v>
      </c>
      <c r="U22" s="192">
        <f t="shared" si="57"/>
        <v>54122546.049999997</v>
      </c>
      <c r="V22" s="192">
        <f t="shared" si="57"/>
        <v>38321114.700000003</v>
      </c>
      <c r="W22" s="192">
        <f t="shared" si="57"/>
        <v>70190763.319999993</v>
      </c>
      <c r="X22" s="192">
        <f t="shared" si="57"/>
        <v>39778689.759999998</v>
      </c>
      <c r="Y22" s="192">
        <f t="shared" si="57"/>
        <v>93450674.209999993</v>
      </c>
      <c r="Z22" s="192">
        <f t="shared" ref="Z22" si="58">AD35</f>
        <v>179512468.30000001</v>
      </c>
      <c r="AA22" s="192">
        <f t="shared" ref="AA22" si="59">AE35</f>
        <v>191300366.84</v>
      </c>
      <c r="AB22" s="192">
        <f t="shared" ref="AB22" si="60">AF35</f>
        <v>178815596.55000001</v>
      </c>
      <c r="AC22" s="192">
        <f t="shared" ref="AC22" si="61">AG35</f>
        <v>205608853.86000001</v>
      </c>
      <c r="AD22" s="192">
        <f t="shared" ref="AD22" si="62">AH35</f>
        <v>213469557.75999999</v>
      </c>
      <c r="AE22" s="192">
        <f t="shared" ref="AE22" si="63">AI35</f>
        <v>238346614.25</v>
      </c>
      <c r="AF22" s="192">
        <f t="shared" ref="AF22" si="64">AJ35</f>
        <v>260254380.81999999</v>
      </c>
      <c r="AG22" s="192">
        <f t="shared" ref="AG22" si="65">AK35</f>
        <v>26384685.460000001</v>
      </c>
      <c r="AH22" s="192">
        <f t="shared" ref="AH22" si="66">AL35</f>
        <v>3202539.9</v>
      </c>
      <c r="AI22" s="192">
        <f t="shared" ref="AI22" si="67">AM35</f>
        <v>19362901.329999998</v>
      </c>
      <c r="AJ22" s="192">
        <f t="shared" ref="AJ22" si="68">AN35</f>
        <v>8902627.6600000001</v>
      </c>
      <c r="AK22" s="192">
        <f t="shared" ref="AK22" si="69">AO35</f>
        <v>19424731.329999998</v>
      </c>
      <c r="AL22" s="192">
        <f t="shared" ref="AL22" si="70">AP35</f>
        <v>2308435.96</v>
      </c>
      <c r="AM22" s="192">
        <f t="shared" ref="AM22" si="71">AQ35</f>
        <v>0</v>
      </c>
      <c r="AN22" s="192">
        <f t="shared" ref="AN22" si="72">AR35</f>
        <v>0</v>
      </c>
      <c r="AO22" s="192">
        <f t="shared" ref="AO22" si="73">AS35</f>
        <v>0</v>
      </c>
      <c r="AP22" s="192">
        <f t="shared" ref="AP22" si="74">AT35</f>
        <v>0</v>
      </c>
      <c r="AQ22" s="192">
        <f t="shared" ref="AQ22" si="75">AU35</f>
        <v>0</v>
      </c>
      <c r="AR22" s="192">
        <f t="shared" ref="AR22" si="76">AV35</f>
        <v>0</v>
      </c>
      <c r="AS22" s="192">
        <f t="shared" ref="AS22" si="77">AW35</f>
        <v>0</v>
      </c>
    </row>
    <row r="23" spans="1:74" s="192" customFormat="1" x14ac:dyDescent="0.25">
      <c r="A23" s="192" t="s">
        <v>302</v>
      </c>
      <c r="E23" s="192">
        <f>E20+E22-E19</f>
        <v>2374100657.48</v>
      </c>
      <c r="F23" s="192">
        <f t="shared" ref="F23:AS23" si="78">F20+F22-F19</f>
        <v>1195315105.9500003</v>
      </c>
      <c r="G23" s="192">
        <f t="shared" si="78"/>
        <v>1243554900.6500001</v>
      </c>
      <c r="H23" s="192">
        <f t="shared" si="78"/>
        <v>1236702400.4400001</v>
      </c>
      <c r="I23" s="192">
        <f t="shared" si="78"/>
        <v>1573002546.1900001</v>
      </c>
      <c r="J23" s="192">
        <f t="shared" si="78"/>
        <v>844934388.42999995</v>
      </c>
      <c r="K23" s="192">
        <f t="shared" si="78"/>
        <v>687567222.05000007</v>
      </c>
      <c r="L23" s="192">
        <f t="shared" si="78"/>
        <v>519933153.76000011</v>
      </c>
      <c r="M23" s="192">
        <f t="shared" si="78"/>
        <v>-87432044.079999804</v>
      </c>
      <c r="N23" s="192">
        <f t="shared" si="78"/>
        <v>594656877.29999995</v>
      </c>
      <c r="O23" s="192">
        <f t="shared" si="78"/>
        <v>161461339.70999998</v>
      </c>
      <c r="P23" s="192">
        <f t="shared" si="78"/>
        <v>-337369039.08000004</v>
      </c>
      <c r="Q23" s="192">
        <f t="shared" si="78"/>
        <v>166160210.69</v>
      </c>
      <c r="R23" s="192">
        <f t="shared" si="78"/>
        <v>100766738.17</v>
      </c>
      <c r="S23" s="192">
        <f t="shared" si="78"/>
        <v>140850421.88000003</v>
      </c>
      <c r="T23" s="192">
        <f t="shared" si="78"/>
        <v>45604736.969999999</v>
      </c>
      <c r="U23" s="192">
        <f t="shared" si="78"/>
        <v>15197465.829999998</v>
      </c>
      <c r="V23" s="192">
        <f t="shared" si="78"/>
        <v>-39537161.369999997</v>
      </c>
      <c r="W23" s="192">
        <f t="shared" si="78"/>
        <v>18128702.099999994</v>
      </c>
      <c r="X23" s="192">
        <f t="shared" si="78"/>
        <v>-6771068.0200000033</v>
      </c>
      <c r="Y23" s="192">
        <f t="shared" si="78"/>
        <v>65331517.909999996</v>
      </c>
      <c r="Z23" s="192">
        <f t="shared" si="78"/>
        <v>115839770.69</v>
      </c>
      <c r="AA23" s="192">
        <f t="shared" si="78"/>
        <v>143548971.62</v>
      </c>
      <c r="AB23" s="192">
        <f t="shared" si="78"/>
        <v>113527933.19000001</v>
      </c>
      <c r="AC23" s="192">
        <f t="shared" si="78"/>
        <v>-679156.68999996781</v>
      </c>
      <c r="AD23" s="192">
        <f t="shared" si="78"/>
        <v>7181547.2100000083</v>
      </c>
      <c r="AE23" s="192">
        <f t="shared" si="78"/>
        <v>112076436.97999999</v>
      </c>
      <c r="AF23" s="192">
        <f t="shared" si="78"/>
        <v>249577911.26999998</v>
      </c>
      <c r="AG23" s="192">
        <f t="shared" si="78"/>
        <v>-130766549.74999999</v>
      </c>
      <c r="AH23" s="192">
        <f t="shared" si="78"/>
        <v>-121785573.67</v>
      </c>
      <c r="AI23" s="192">
        <f t="shared" si="78"/>
        <v>-63543359.57</v>
      </c>
      <c r="AJ23" s="192">
        <f t="shared" si="78"/>
        <v>-24442684.57</v>
      </c>
      <c r="AK23" s="192">
        <f t="shared" si="78"/>
        <v>21337806.940000005</v>
      </c>
      <c r="AL23" s="192">
        <f t="shared" si="78"/>
        <v>-17943237.419999998</v>
      </c>
      <c r="AM23" s="192">
        <f t="shared" si="78"/>
        <v>7502023.0699999984</v>
      </c>
      <c r="AN23" s="192">
        <f t="shared" si="78"/>
        <v>-2656547.2800000003</v>
      </c>
      <c r="AO23" s="192">
        <f t="shared" si="78"/>
        <v>-15216823.48</v>
      </c>
      <c r="AP23" s="192">
        <f t="shared" si="78"/>
        <v>-6505396.5800000019</v>
      </c>
      <c r="AQ23" s="192">
        <f t="shared" si="78"/>
        <v>5833580.0799999982</v>
      </c>
      <c r="AR23" s="192">
        <f t="shared" si="78"/>
        <v>0</v>
      </c>
      <c r="AS23" s="192">
        <f t="shared" si="78"/>
        <v>1665545943.71</v>
      </c>
    </row>
    <row r="24" spans="1:74" s="220" customFormat="1" x14ac:dyDescent="0.25">
      <c r="A24" s="220" t="s">
        <v>303</v>
      </c>
      <c r="B24" s="192">
        <v>-375335399.35000002</v>
      </c>
      <c r="C24" s="192">
        <v>-317575379.41000003</v>
      </c>
      <c r="D24" s="192">
        <v>-106331009.94</v>
      </c>
      <c r="E24" s="192">
        <v>2177816128.77</v>
      </c>
      <c r="F24" s="192">
        <v>1053413250.5700001</v>
      </c>
      <c r="G24" s="192">
        <v>1043583808.0599999</v>
      </c>
      <c r="H24" s="192">
        <v>938228435.74000001</v>
      </c>
      <c r="I24" s="192">
        <v>-1613319196.03</v>
      </c>
      <c r="J24" s="192">
        <v>686283.62</v>
      </c>
      <c r="K24" s="192">
        <v>-31080138.149999999</v>
      </c>
      <c r="L24" s="192">
        <v>-193052939.63999999</v>
      </c>
      <c r="M24" s="192">
        <v>2638301460.3400002</v>
      </c>
      <c r="N24" s="192">
        <v>265804887.59999999</v>
      </c>
      <c r="O24" s="192">
        <v>309166182.94</v>
      </c>
      <c r="P24" s="192">
        <v>321100000</v>
      </c>
      <c r="Q24" s="192">
        <v>-27441428.710000001</v>
      </c>
      <c r="R24" s="192">
        <v>-8330000</v>
      </c>
      <c r="S24" s="192">
        <v>-130109315.31</v>
      </c>
      <c r="T24" s="192">
        <v>-56122648.840000004</v>
      </c>
      <c r="U24" s="192">
        <v>60868143.649999999</v>
      </c>
      <c r="V24" s="192">
        <v>68561060.959999993</v>
      </c>
      <c r="W24" s="192">
        <v>60256343.07</v>
      </c>
      <c r="X24" s="192">
        <v>28203062.989999998</v>
      </c>
      <c r="Y24" s="192">
        <v>-2567977.89</v>
      </c>
      <c r="Z24" s="192">
        <v>8543138.0999999996</v>
      </c>
      <c r="AA24" s="192">
        <v>24491484.329999998</v>
      </c>
      <c r="AB24" s="192">
        <v>11721675.15</v>
      </c>
      <c r="AC24" s="192">
        <v>59122093.270000003</v>
      </c>
      <c r="AD24" s="192">
        <v>94405270.090000004</v>
      </c>
      <c r="AE24" s="192">
        <v>29148794.710000001</v>
      </c>
      <c r="AF24" s="192">
        <v>-1760770</v>
      </c>
      <c r="AG24" s="192">
        <v>337087825.23000002</v>
      </c>
      <c r="AH24" s="192">
        <v>312353195.06</v>
      </c>
      <c r="AI24" s="192">
        <v>295267453.39999998</v>
      </c>
      <c r="AJ24" s="192">
        <v>267251197.41</v>
      </c>
      <c r="AK24" s="192">
        <v>15765807.380000001</v>
      </c>
      <c r="AL24" s="192">
        <v>14664682.720000001</v>
      </c>
      <c r="AM24" s="192">
        <v>2968373.63</v>
      </c>
      <c r="AN24" s="192">
        <v>2689068.88</v>
      </c>
      <c r="AO24" s="192">
        <v>4798178.59</v>
      </c>
      <c r="AP24" s="192">
        <v>23900018.66</v>
      </c>
      <c r="AQ24" s="192">
        <v>2943760.32</v>
      </c>
      <c r="AR24" s="192">
        <v>0</v>
      </c>
      <c r="AS24" s="192">
        <v>-147684288</v>
      </c>
      <c r="AT24" s="192">
        <v>-11287580.49</v>
      </c>
      <c r="AU24" s="192">
        <v>-11287580.49</v>
      </c>
      <c r="AV24" s="192">
        <v>0</v>
      </c>
      <c r="AW24" s="192">
        <v>-271140480</v>
      </c>
      <c r="AX24" s="192">
        <v>-265331306.06</v>
      </c>
      <c r="AY24" s="192">
        <v>-220552618.06</v>
      </c>
      <c r="AZ24" s="192">
        <v>0</v>
      </c>
      <c r="BA24" s="192">
        <v>0</v>
      </c>
      <c r="BB24" s="192">
        <v>0</v>
      </c>
      <c r="BC24" s="192">
        <v>0</v>
      </c>
      <c r="BD24" s="192">
        <v>0</v>
      </c>
      <c r="BE24" s="192">
        <v>-268690480</v>
      </c>
      <c r="BF24" s="192">
        <v>-271140480</v>
      </c>
      <c r="BG24" s="192">
        <v>-271140480</v>
      </c>
      <c r="BH24" s="192">
        <v>0</v>
      </c>
      <c r="BI24" s="192">
        <v>-15606000</v>
      </c>
      <c r="BJ24" s="192">
        <v>0</v>
      </c>
      <c r="BK24" s="192">
        <v>0</v>
      </c>
      <c r="BL24" s="192">
        <v>0</v>
      </c>
      <c r="BM24" s="192">
        <v>-5320000</v>
      </c>
      <c r="BN24" s="192">
        <v>-6120000</v>
      </c>
      <c r="BO24" s="192">
        <v>562994338.32000005</v>
      </c>
      <c r="BP24" s="192">
        <v>613134338.32000005</v>
      </c>
      <c r="BQ24" s="192">
        <v>0</v>
      </c>
      <c r="BR24" s="192">
        <v>4623692.53</v>
      </c>
      <c r="BS24" s="192">
        <v>-400000000</v>
      </c>
      <c r="BT24" s="192">
        <v>-237866348.78</v>
      </c>
      <c r="BU24" s="192">
        <v>1108113819.7</v>
      </c>
      <c r="BV24" s="192">
        <v>0</v>
      </c>
    </row>
    <row r="25" spans="1:74" s="241" customFormat="1" ht="138.6" customHeight="1" x14ac:dyDescent="0.25">
      <c r="A25" s="275" t="s">
        <v>742</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630</v>
      </c>
      <c r="E26" s="26">
        <f>现金流量表!E15</f>
        <v>583099828.19000006</v>
      </c>
      <c r="F26" s="26">
        <f>现金流量表!F15</f>
        <v>265595825.11000001</v>
      </c>
      <c r="G26" s="26">
        <f>现金流量表!G15</f>
        <v>235580825.11000001</v>
      </c>
      <c r="H26" s="26">
        <f>现金流量表!H15</f>
        <v>178000000</v>
      </c>
      <c r="I26" s="26">
        <f>现金流量表!I15</f>
        <v>1743740878.5599999</v>
      </c>
      <c r="J26" s="26">
        <f>现金流量表!J15</f>
        <v>178073834.97</v>
      </c>
      <c r="K26" s="26">
        <f>现金流量表!K15</f>
        <v>172101273.41999999</v>
      </c>
      <c r="L26" s="26">
        <f>现金流量表!L15</f>
        <v>189940000</v>
      </c>
      <c r="M26" s="26">
        <f>现金流量表!M15</f>
        <v>16000000</v>
      </c>
      <c r="N26" s="26">
        <f>现金流量表!N15</f>
        <v>8237600</v>
      </c>
      <c r="O26" s="26">
        <f>现金流量表!O15</f>
        <v>838516876.86000001</v>
      </c>
      <c r="P26" s="26">
        <f>现金流量表!P15</f>
        <v>306266040</v>
      </c>
      <c r="Q26" s="26">
        <f>现金流量表!Q15</f>
        <v>318000147.10000002</v>
      </c>
      <c r="R26" s="26">
        <f>现金流量表!R15</f>
        <v>261677317</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631</v>
      </c>
      <c r="E27" s="26">
        <f>现金流量表!E22</f>
        <v>1561904238.03</v>
      </c>
      <c r="F27" s="26">
        <f>现金流量表!F22</f>
        <v>698074098.14999998</v>
      </c>
      <c r="G27" s="26">
        <f>现金流量表!G22</f>
        <v>455126687.32999998</v>
      </c>
      <c r="H27" s="26">
        <f>现金流量表!H22</f>
        <v>745566453.16999996</v>
      </c>
      <c r="I27" s="26">
        <f>现金流量表!I22</f>
        <v>439156850</v>
      </c>
      <c r="J27" s="26">
        <f>现金流量表!J22</f>
        <v>431056850</v>
      </c>
      <c r="K27" s="26">
        <f>现金流量表!K22</f>
        <v>415791850</v>
      </c>
      <c r="L27" s="26">
        <f>现金流量表!L22</f>
        <v>201431850</v>
      </c>
      <c r="M27" s="26">
        <f>现金流量表!M22</f>
        <v>1504063431.5999999</v>
      </c>
      <c r="N27" s="26">
        <f>现金流量表!N22</f>
        <v>626000000</v>
      </c>
      <c r="O27" s="26">
        <f>现金流量表!O22</f>
        <v>1303642107</v>
      </c>
      <c r="P27" s="26">
        <f>现金流量表!P22</f>
        <v>308950400</v>
      </c>
      <c r="Q27" s="26">
        <f>现金流量表!Q22</f>
        <v>341133480</v>
      </c>
      <c r="R27" s="26">
        <f>现金流量表!R22</f>
        <v>349791219</v>
      </c>
      <c r="S27" s="26">
        <f>现金流量表!S22</f>
        <v>0</v>
      </c>
      <c r="T27" s="26">
        <f>现金流量表!T22</f>
        <v>0</v>
      </c>
      <c r="U27" s="26">
        <f>现金流量表!U22</f>
        <v>4525560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10000000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632</v>
      </c>
      <c r="E28" s="26">
        <f>E27-E26</f>
        <v>978804409.83999991</v>
      </c>
      <c r="F28" s="26">
        <f t="shared" ref="F28:BQ28" si="79">F27-F26</f>
        <v>432478273.03999996</v>
      </c>
      <c r="G28" s="26">
        <f t="shared" si="79"/>
        <v>219545862.21999997</v>
      </c>
      <c r="H28" s="26">
        <f t="shared" si="79"/>
        <v>567566453.16999996</v>
      </c>
      <c r="I28" s="26">
        <f t="shared" si="79"/>
        <v>-1304584028.5599999</v>
      </c>
      <c r="J28" s="26">
        <f t="shared" si="79"/>
        <v>252983015.03</v>
      </c>
      <c r="K28" s="26">
        <f t="shared" si="79"/>
        <v>243690576.58000001</v>
      </c>
      <c r="L28" s="26">
        <f t="shared" si="79"/>
        <v>11491850</v>
      </c>
      <c r="M28" s="26">
        <f t="shared" si="79"/>
        <v>1488063431.5999999</v>
      </c>
      <c r="N28" s="26">
        <f t="shared" si="79"/>
        <v>617762400</v>
      </c>
      <c r="O28" s="26">
        <f t="shared" si="79"/>
        <v>465125230.13999999</v>
      </c>
      <c r="P28" s="26">
        <f t="shared" si="79"/>
        <v>2684360</v>
      </c>
      <c r="Q28" s="26">
        <f t="shared" si="79"/>
        <v>23133332.899999976</v>
      </c>
      <c r="R28" s="26">
        <f t="shared" si="79"/>
        <v>88113902</v>
      </c>
      <c r="S28" s="26">
        <f t="shared" si="79"/>
        <v>0</v>
      </c>
      <c r="T28" s="26">
        <f t="shared" si="79"/>
        <v>0</v>
      </c>
      <c r="U28" s="26">
        <f t="shared" si="79"/>
        <v>4525560</v>
      </c>
      <c r="V28" s="26">
        <f t="shared" si="79"/>
        <v>0</v>
      </c>
      <c r="W28" s="26">
        <f t="shared" si="79"/>
        <v>0</v>
      </c>
      <c r="X28" s="26">
        <f t="shared" si="79"/>
        <v>0</v>
      </c>
      <c r="Y28" s="26">
        <f t="shared" si="79"/>
        <v>0</v>
      </c>
      <c r="Z28" s="26">
        <f t="shared" si="79"/>
        <v>0</v>
      </c>
      <c r="AA28" s="26">
        <f t="shared" si="79"/>
        <v>0</v>
      </c>
      <c r="AB28" s="26">
        <f t="shared" si="79"/>
        <v>0</v>
      </c>
      <c r="AC28" s="26">
        <f t="shared" si="79"/>
        <v>0</v>
      </c>
      <c r="AD28" s="26">
        <f t="shared" si="79"/>
        <v>0</v>
      </c>
      <c r="AE28" s="26">
        <f t="shared" si="79"/>
        <v>0</v>
      </c>
      <c r="AF28" s="26">
        <f t="shared" si="79"/>
        <v>0</v>
      </c>
      <c r="AG28" s="26">
        <f t="shared" si="79"/>
        <v>0</v>
      </c>
      <c r="AH28" s="26">
        <f t="shared" si="79"/>
        <v>0</v>
      </c>
      <c r="AI28" s="26">
        <f t="shared" si="79"/>
        <v>0</v>
      </c>
      <c r="AJ28" s="26">
        <f t="shared" si="79"/>
        <v>0</v>
      </c>
      <c r="AK28" s="26">
        <f t="shared" si="79"/>
        <v>0</v>
      </c>
      <c r="AL28" s="26">
        <f t="shared" si="79"/>
        <v>0</v>
      </c>
      <c r="AM28" s="26">
        <f t="shared" si="79"/>
        <v>0</v>
      </c>
      <c r="AN28" s="26">
        <f t="shared" si="79"/>
        <v>0</v>
      </c>
      <c r="AO28" s="26">
        <f t="shared" si="79"/>
        <v>0</v>
      </c>
      <c r="AP28" s="26">
        <f t="shared" si="79"/>
        <v>0</v>
      </c>
      <c r="AQ28" s="26">
        <f t="shared" si="79"/>
        <v>10000000</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0" t="s">
        <v>633</v>
      </c>
      <c r="E29" s="181">
        <f>POWER(E28/U28,1/5)-1</f>
        <v>1.9309250856920483</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39447</v>
      </c>
      <c r="AQ30" s="1">
        <v>39082</v>
      </c>
      <c r="AR30" s="1">
        <v>25569</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89">
        <v>11048848691.58</v>
      </c>
      <c r="C31" s="189">
        <v>11036178431.08</v>
      </c>
      <c r="D31" s="189">
        <v>11083884352.15</v>
      </c>
      <c r="E31" s="189">
        <v>11104231558.290001</v>
      </c>
      <c r="F31" s="189">
        <v>10858926836.66</v>
      </c>
      <c r="G31" s="189">
        <v>10365137287.690001</v>
      </c>
      <c r="H31" s="189">
        <v>10226442264.129999</v>
      </c>
      <c r="I31" s="189">
        <v>6246235194.25</v>
      </c>
      <c r="J31" s="189">
        <v>4804908744.5200005</v>
      </c>
      <c r="K31" s="189">
        <v>4624422999.2200003</v>
      </c>
      <c r="L31" s="189">
        <v>5903531278</v>
      </c>
      <c r="M31" s="189">
        <v>5904509107.8999996</v>
      </c>
      <c r="N31" s="189">
        <v>1168120349.8800001</v>
      </c>
      <c r="O31" s="189">
        <v>894519965.75999999</v>
      </c>
      <c r="P31" s="189">
        <v>898023754.05999994</v>
      </c>
      <c r="Q31" s="189">
        <v>410048256.85000002</v>
      </c>
      <c r="R31" s="189">
        <v>254690285.06999999</v>
      </c>
      <c r="S31" s="189">
        <v>490384748.76999998</v>
      </c>
      <c r="T31" s="189">
        <v>496267318.20999998</v>
      </c>
      <c r="U31" s="189">
        <v>500174601.82999998</v>
      </c>
      <c r="V31" s="189">
        <v>502078278.5</v>
      </c>
      <c r="W31" s="189">
        <v>490667811.13999999</v>
      </c>
      <c r="X31" s="189">
        <v>458095903.51999998</v>
      </c>
      <c r="Y31" s="189">
        <v>457208670.33999997</v>
      </c>
      <c r="Z31" s="189">
        <v>409157665.79000002</v>
      </c>
      <c r="AA31" s="189">
        <v>404641282.89999998</v>
      </c>
      <c r="AB31" s="189">
        <v>280107631.35000002</v>
      </c>
      <c r="AC31" s="189">
        <v>264735403.88999999</v>
      </c>
      <c r="AD31" s="189">
        <v>194002292.87</v>
      </c>
      <c r="AE31" s="189">
        <v>194774546.22999999</v>
      </c>
      <c r="AF31" s="189">
        <v>173706857.63999999</v>
      </c>
      <c r="AG31" s="189">
        <v>173187728.47999999</v>
      </c>
      <c r="AH31" s="189">
        <v>152181564.47999999</v>
      </c>
      <c r="AI31" s="189">
        <v>136309064.00999999</v>
      </c>
      <c r="AJ31" s="189">
        <v>132331131.09</v>
      </c>
      <c r="AK31" s="189">
        <v>133745952.73</v>
      </c>
      <c r="AL31" s="189">
        <v>132218465.38</v>
      </c>
      <c r="AM31" s="189">
        <v>133261358.39</v>
      </c>
      <c r="AN31" s="189">
        <v>120894064.27</v>
      </c>
      <c r="AO31" s="189">
        <v>84122615.640000001</v>
      </c>
      <c r="AP31" s="189">
        <v>46760067.939999998</v>
      </c>
      <c r="AQ31" s="189">
        <v>0</v>
      </c>
      <c r="AR31" s="189"/>
      <c r="AS31" s="189">
        <v>5087759145.3900003</v>
      </c>
      <c r="AT31" s="189">
        <v>5119825755.0799999</v>
      </c>
      <c r="AU31" s="189">
        <v>5166324238.8199997</v>
      </c>
      <c r="AV31" s="189">
        <v>5229742144.5900002</v>
      </c>
      <c r="AW31" s="189">
        <v>5303368604.3599997</v>
      </c>
      <c r="AX31" s="189">
        <v>5412891640.3100004</v>
      </c>
      <c r="AY31" s="189">
        <v>5477269087.8599997</v>
      </c>
      <c r="AZ31" s="189">
        <v>5394582476.9899998</v>
      </c>
      <c r="BA31" s="189">
        <v>5501322858.9799995</v>
      </c>
      <c r="BB31" s="189">
        <v>5577867470.3299999</v>
      </c>
      <c r="BC31" s="189">
        <v>5696283898.6499996</v>
      </c>
      <c r="BD31" s="189">
        <v>5779603253.5100002</v>
      </c>
      <c r="BE31" s="189">
        <v>5840992847.29</v>
      </c>
      <c r="BF31" s="189">
        <v>5434316703.3800001</v>
      </c>
      <c r="BG31" s="189">
        <v>5519652065.3800001</v>
      </c>
      <c r="BH31" s="189">
        <v>5587811046.9799995</v>
      </c>
      <c r="BI31" s="189">
        <v>5587556850.7200003</v>
      </c>
      <c r="BJ31" s="189">
        <v>5175235607.8500004</v>
      </c>
      <c r="BK31" s="189">
        <v>4543535291.6599998</v>
      </c>
      <c r="BL31" s="189">
        <v>4478639735.0500002</v>
      </c>
      <c r="BM31" s="189">
        <v>4520776529.7700005</v>
      </c>
      <c r="BN31" s="189">
        <v>3620875395.5999999</v>
      </c>
      <c r="BO31" s="189">
        <v>3684993020.0500002</v>
      </c>
      <c r="BP31" s="189">
        <v>3523637936.8200002</v>
      </c>
      <c r="BQ31" s="189">
        <v>3558533656.5999999</v>
      </c>
      <c r="BR31" s="189">
        <v>0</v>
      </c>
      <c r="BS31" s="189">
        <v>3540915525.1199999</v>
      </c>
      <c r="BT31" s="189">
        <v>1786934979.5599999</v>
      </c>
      <c r="BU31" s="189">
        <v>1665815375.1099999</v>
      </c>
      <c r="BV31" s="189">
        <v>1686369507.6900001</v>
      </c>
    </row>
    <row r="32" spans="1:74" s="54" customFormat="1" ht="15" customHeight="1" x14ac:dyDescent="0.25">
      <c r="A32" s="137" t="s">
        <v>311</v>
      </c>
      <c r="B32" s="189">
        <v>6535133405.4700003</v>
      </c>
      <c r="C32" s="189">
        <v>6541432761.1499996</v>
      </c>
      <c r="D32" s="189">
        <v>6541432761.1499996</v>
      </c>
      <c r="E32" s="189">
        <v>6541432761.1499996</v>
      </c>
      <c r="F32" s="189">
        <v>6595862826.2399998</v>
      </c>
      <c r="G32" s="189">
        <v>8483595465.3000002</v>
      </c>
      <c r="H32" s="189">
        <v>8507148669.3000002</v>
      </c>
      <c r="I32" s="189">
        <v>4552774567.4399996</v>
      </c>
      <c r="J32" s="189">
        <v>3664466682</v>
      </c>
      <c r="K32" s="189">
        <v>3664466682</v>
      </c>
      <c r="L32" s="189">
        <v>3664466682</v>
      </c>
      <c r="M32" s="189">
        <v>3664466682</v>
      </c>
      <c r="N32" s="189">
        <v>482408071.51999998</v>
      </c>
      <c r="O32" s="189">
        <v>482408071.51999998</v>
      </c>
      <c r="P32" s="189">
        <v>482417714.81</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row>
    <row r="33" spans="1:74" s="54" customFormat="1" ht="19.2" customHeight="1" x14ac:dyDescent="0.25">
      <c r="A33" s="137" t="s">
        <v>312</v>
      </c>
      <c r="B33" s="189">
        <v>1570547664.02</v>
      </c>
      <c r="C33" s="189">
        <v>1565678269.3099999</v>
      </c>
      <c r="D33" s="189">
        <v>1547408566.27</v>
      </c>
      <c r="E33" s="189">
        <v>1575311291.5</v>
      </c>
      <c r="F33" s="189">
        <v>1350403074.7</v>
      </c>
      <c r="G33" s="189">
        <v>1416511904.1800001</v>
      </c>
      <c r="H33" s="189">
        <v>1135338311.9000001</v>
      </c>
      <c r="I33" s="189">
        <v>1463163300.46</v>
      </c>
      <c r="J33" s="189">
        <v>706735981.98000002</v>
      </c>
      <c r="K33" s="189">
        <v>553039940.29999995</v>
      </c>
      <c r="L33" s="189">
        <v>707146125.26999998</v>
      </c>
      <c r="M33" s="189">
        <v>739128543.62</v>
      </c>
      <c r="N33" s="189">
        <v>607003051.44000006</v>
      </c>
      <c r="O33" s="189">
        <v>355490189.44</v>
      </c>
      <c r="P33" s="189">
        <v>353731927.24000001</v>
      </c>
      <c r="Q33" s="189">
        <v>348731927.24000001</v>
      </c>
      <c r="R33" s="189">
        <v>231122112</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row>
    <row r="34" spans="1:74" s="44" customFormat="1" ht="15" thickBot="1" x14ac:dyDescent="0.3">
      <c r="A34" s="138" t="s">
        <v>315</v>
      </c>
      <c r="B34" s="49"/>
      <c r="C34" s="49"/>
      <c r="D34" s="49"/>
      <c r="E34" s="49">
        <f>E31-E32-E33</f>
        <v>2987487505.6400013</v>
      </c>
      <c r="F34" s="49">
        <f t="shared" ref="F34:BP34" si="81">F31-F32-F33</f>
        <v>2912660935.7200003</v>
      </c>
      <c r="G34" s="49">
        <f t="shared" si="81"/>
        <v>465029918.21000028</v>
      </c>
      <c r="H34" s="49">
        <f t="shared" si="81"/>
        <v>583955282.92999887</v>
      </c>
      <c r="I34" s="49">
        <f t="shared" si="81"/>
        <v>230297326.35000038</v>
      </c>
      <c r="J34" s="49">
        <f t="shared" si="81"/>
        <v>433706080.54000044</v>
      </c>
      <c r="K34" s="49">
        <f t="shared" si="81"/>
        <v>406916376.92000031</v>
      </c>
      <c r="L34" s="49">
        <f t="shared" si="81"/>
        <v>1531918470.73</v>
      </c>
      <c r="M34" s="49">
        <f t="shared" si="81"/>
        <v>1500913882.2799997</v>
      </c>
      <c r="N34" s="49">
        <f t="shared" si="81"/>
        <v>78709226.920000076</v>
      </c>
      <c r="O34" s="49">
        <f t="shared" si="81"/>
        <v>56621704.800000012</v>
      </c>
      <c r="P34" s="49">
        <f t="shared" si="81"/>
        <v>61874112.009999931</v>
      </c>
      <c r="Q34" s="49">
        <f t="shared" si="81"/>
        <v>61316329.610000014</v>
      </c>
      <c r="R34" s="49">
        <f t="shared" si="81"/>
        <v>23568173.069999993</v>
      </c>
      <c r="S34" s="49">
        <f t="shared" si="81"/>
        <v>490384748.76999998</v>
      </c>
      <c r="T34" s="49">
        <f t="shared" si="81"/>
        <v>496267318.20999998</v>
      </c>
      <c r="U34" s="49">
        <f t="shared" si="81"/>
        <v>500174601.82999998</v>
      </c>
      <c r="V34" s="49">
        <f t="shared" si="81"/>
        <v>502078278.5</v>
      </c>
      <c r="W34" s="49">
        <f t="shared" si="81"/>
        <v>490667811.13999999</v>
      </c>
      <c r="X34" s="49">
        <f t="shared" si="81"/>
        <v>458095903.51999998</v>
      </c>
      <c r="Y34" s="49">
        <f t="shared" si="81"/>
        <v>457208670.33999997</v>
      </c>
      <c r="Z34" s="49">
        <f t="shared" si="81"/>
        <v>409157665.79000002</v>
      </c>
      <c r="AA34" s="49">
        <f t="shared" si="81"/>
        <v>404641282.89999998</v>
      </c>
      <c r="AB34" s="49">
        <f t="shared" si="81"/>
        <v>280107631.35000002</v>
      </c>
      <c r="AC34" s="49">
        <f t="shared" si="81"/>
        <v>264735403.88999999</v>
      </c>
      <c r="AD34" s="49">
        <f t="shared" si="81"/>
        <v>194002292.87</v>
      </c>
      <c r="AE34" s="49">
        <f t="shared" si="81"/>
        <v>194774546.22999999</v>
      </c>
      <c r="AF34" s="49">
        <f t="shared" si="81"/>
        <v>173706857.63999999</v>
      </c>
      <c r="AG34" s="49">
        <f t="shared" si="81"/>
        <v>173187728.47999999</v>
      </c>
      <c r="AH34" s="49">
        <f t="shared" si="81"/>
        <v>152181564.47999999</v>
      </c>
      <c r="AI34" s="49">
        <f t="shared" si="81"/>
        <v>136309064.00999999</v>
      </c>
      <c r="AJ34" s="49">
        <f t="shared" si="81"/>
        <v>132331131.09</v>
      </c>
      <c r="AK34" s="49">
        <f t="shared" si="81"/>
        <v>133745952.73</v>
      </c>
      <c r="AL34" s="49">
        <f t="shared" si="81"/>
        <v>132218465.38</v>
      </c>
      <c r="AM34" s="49">
        <f t="shared" si="81"/>
        <v>133261358.39</v>
      </c>
      <c r="AN34" s="49">
        <f t="shared" si="81"/>
        <v>120894064.27</v>
      </c>
      <c r="AO34" s="49">
        <f t="shared" si="81"/>
        <v>84122615.640000001</v>
      </c>
      <c r="AP34" s="49">
        <f t="shared" si="81"/>
        <v>46760067.939999998</v>
      </c>
      <c r="AQ34" s="49">
        <f t="shared" si="81"/>
        <v>0</v>
      </c>
      <c r="AR34" s="49">
        <f t="shared" si="81"/>
        <v>0</v>
      </c>
      <c r="AS34" s="49">
        <f t="shared" si="81"/>
        <v>5087759145.3900003</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46760067.939999998</v>
      </c>
      <c r="BR34" s="49">
        <f>AQ31-AQ32-AQ33</f>
        <v>0</v>
      </c>
      <c r="BS34" s="49">
        <f>AR31-AR32-AR33</f>
        <v>0</v>
      </c>
      <c r="BT34" s="49"/>
      <c r="BU34" s="50"/>
    </row>
    <row r="35" spans="1:74" s="106" customFormat="1" ht="15" thickBot="1" x14ac:dyDescent="0.3">
      <c r="A35" s="139" t="s">
        <v>317</v>
      </c>
      <c r="B35" s="33">
        <f>SUM(B22:B31)</f>
        <v>10673556665.23</v>
      </c>
      <c r="C35" s="33">
        <f>SUM(C22:C31)</f>
        <v>10718646332.67</v>
      </c>
      <c r="D35" s="33">
        <f>SUM(D22:D31)</f>
        <v>10977596532.209999</v>
      </c>
      <c r="E35" s="33">
        <f>资产资本表!E17</f>
        <v>3399043798.1699996</v>
      </c>
      <c r="F35" s="33">
        <f>资产资本表!F17</f>
        <v>2367907057.2600002</v>
      </c>
      <c r="G35" s="33">
        <f>资产资本表!G17</f>
        <v>2835199442.1200004</v>
      </c>
      <c r="H35" s="33">
        <f>资产资本表!H17</f>
        <v>2479191968.1199999</v>
      </c>
      <c r="I35" s="33">
        <f>资产资本表!I17</f>
        <v>2020552479.51</v>
      </c>
      <c r="J35" s="33">
        <f>资产资本表!J17</f>
        <v>1399186516.8500001</v>
      </c>
      <c r="K35" s="33">
        <f>资产资本表!K17</f>
        <v>1203561686.75</v>
      </c>
      <c r="L35" s="33">
        <f>资产资本表!L17</f>
        <v>1186537192.7</v>
      </c>
      <c r="M35" s="33">
        <f>资产资本表!M17</f>
        <v>1462737218.6400001</v>
      </c>
      <c r="N35" s="33">
        <f>资产资本表!N17</f>
        <v>724920604.74000001</v>
      </c>
      <c r="O35" s="33">
        <f>资产资本表!O17</f>
        <v>583895063.42000008</v>
      </c>
      <c r="P35" s="33">
        <f>资产资本表!P17</f>
        <v>559706783.04000008</v>
      </c>
      <c r="Q35" s="33">
        <f>资产资本表!Q17</f>
        <v>577126147.18000007</v>
      </c>
      <c r="R35" s="33">
        <f>资产资本表!R17</f>
        <v>385276489.14999998</v>
      </c>
      <c r="S35" s="33">
        <f>资产资本表!S17</f>
        <v>14602570.91</v>
      </c>
      <c r="T35" s="33">
        <f>资产资本表!T17</f>
        <v>10715084.869999999</v>
      </c>
      <c r="U35" s="33">
        <f>资产资本表!U17</f>
        <v>42418327.289999999</v>
      </c>
      <c r="V35" s="33">
        <f>资产资本表!V17</f>
        <v>12761108.08</v>
      </c>
      <c r="W35" s="33">
        <f>资产资本表!W17</f>
        <v>39144749.439999998</v>
      </c>
      <c r="X35" s="33">
        <f>资产资本表!X17</f>
        <v>21321356.449999999</v>
      </c>
      <c r="Y35" s="33">
        <f>资产资本表!Y17</f>
        <v>54122546.049999997</v>
      </c>
      <c r="Z35" s="33">
        <f>资产资本表!Z17</f>
        <v>38321114.700000003</v>
      </c>
      <c r="AA35" s="33">
        <f>资产资本表!AA17</f>
        <v>70190763.319999993</v>
      </c>
      <c r="AB35" s="33">
        <f>资产资本表!AB17</f>
        <v>39778689.759999998</v>
      </c>
      <c r="AC35" s="33">
        <f>资产资本表!AC17</f>
        <v>93450674.209999993</v>
      </c>
      <c r="AD35" s="33">
        <f>资产资本表!AD17</f>
        <v>179512468.30000001</v>
      </c>
      <c r="AE35" s="33">
        <f>资产资本表!AE17</f>
        <v>191300366.84</v>
      </c>
      <c r="AF35" s="33">
        <f>资产资本表!AF17</f>
        <v>178815596.55000001</v>
      </c>
      <c r="AG35" s="33">
        <f>资产资本表!AG17</f>
        <v>205608853.86000001</v>
      </c>
      <c r="AH35" s="33">
        <f>资产资本表!AH17</f>
        <v>213469557.75999999</v>
      </c>
      <c r="AI35" s="33">
        <f>资产资本表!AI17</f>
        <v>238346614.25</v>
      </c>
      <c r="AJ35" s="33">
        <f>资产资本表!AJ17</f>
        <v>260254380.81999999</v>
      </c>
      <c r="AK35" s="33">
        <f>资产资本表!AK17</f>
        <v>26384685.460000001</v>
      </c>
      <c r="AL35" s="33">
        <f>资产资本表!AL17</f>
        <v>3202539.9</v>
      </c>
      <c r="AM35" s="33">
        <f>资产资本表!AM17</f>
        <v>19362901.329999998</v>
      </c>
      <c r="AN35" s="33">
        <f>资产资本表!AN17</f>
        <v>8902627.6600000001</v>
      </c>
      <c r="AO35" s="33">
        <f>资产资本表!AO17</f>
        <v>19424731.329999998</v>
      </c>
      <c r="AP35" s="33">
        <f>资产资本表!AP17</f>
        <v>2308435.96</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39447</v>
      </c>
      <c r="AQ38" s="1">
        <v>39082</v>
      </c>
      <c r="AR38" s="1">
        <v>25569</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2" customFormat="1" x14ac:dyDescent="0.25">
      <c r="A40" s="192" t="s">
        <v>743</v>
      </c>
      <c r="B40" s="192">
        <v>2000000</v>
      </c>
      <c r="C40" s="192">
        <v>0</v>
      </c>
      <c r="D40" s="192">
        <v>0</v>
      </c>
      <c r="E40" s="192">
        <v>1002079981.3099999</v>
      </c>
      <c r="F40" s="192">
        <v>-90109051.200000003</v>
      </c>
      <c r="G40" s="192">
        <v>-34202000</v>
      </c>
      <c r="H40" s="192">
        <v>0</v>
      </c>
      <c r="I40" s="192">
        <v>0</v>
      </c>
      <c r="J40" s="192">
        <v>0</v>
      </c>
      <c r="K40" s="192">
        <v>0</v>
      </c>
      <c r="L40" s="192">
        <v>0</v>
      </c>
      <c r="M40" s="192">
        <v>1157429576.3399999</v>
      </c>
      <c r="N40" s="192">
        <v>0</v>
      </c>
      <c r="O40" s="192">
        <v>0</v>
      </c>
      <c r="P40" s="192">
        <v>0</v>
      </c>
      <c r="Q40" s="192">
        <v>0</v>
      </c>
      <c r="R40" s="192">
        <v>0</v>
      </c>
      <c r="S40" s="192">
        <v>0</v>
      </c>
      <c r="T40" s="192">
        <v>0</v>
      </c>
      <c r="U40" s="192">
        <v>0</v>
      </c>
      <c r="V40" s="192">
        <v>0</v>
      </c>
      <c r="W40" s="192">
        <v>0</v>
      </c>
      <c r="X40" s="192">
        <v>0</v>
      </c>
      <c r="Y40" s="192">
        <v>0</v>
      </c>
      <c r="Z40" s="192">
        <v>0</v>
      </c>
      <c r="AA40" s="192">
        <v>0</v>
      </c>
      <c r="AB40" s="192">
        <v>0</v>
      </c>
      <c r="AC40" s="192">
        <v>0</v>
      </c>
      <c r="AD40" s="192">
        <v>0</v>
      </c>
      <c r="AE40" s="192">
        <v>0</v>
      </c>
      <c r="AF40" s="192">
        <v>0</v>
      </c>
      <c r="AG40" s="192">
        <v>268924600</v>
      </c>
      <c r="AH40" s="192">
        <v>268924600</v>
      </c>
      <c r="AI40" s="192">
        <v>268924600</v>
      </c>
      <c r="AJ40" s="192">
        <v>268924600</v>
      </c>
      <c r="AK40" s="192">
        <v>0</v>
      </c>
      <c r="AL40" s="192">
        <v>0</v>
      </c>
      <c r="AM40" s="192">
        <v>0</v>
      </c>
      <c r="AN40" s="192">
        <v>0</v>
      </c>
      <c r="AO40" s="192">
        <v>0</v>
      </c>
      <c r="AP40" s="192">
        <v>0</v>
      </c>
      <c r="AQ40" s="192">
        <v>0</v>
      </c>
      <c r="AR40" s="192">
        <v>0</v>
      </c>
      <c r="AS40" s="192">
        <v>15000000</v>
      </c>
      <c r="AT40" s="192">
        <v>15000000</v>
      </c>
      <c r="AU40" s="192">
        <v>15000000</v>
      </c>
      <c r="AV40" s="192">
        <v>0</v>
      </c>
      <c r="AW40" s="192">
        <v>0</v>
      </c>
      <c r="AX40" s="192">
        <v>1000000</v>
      </c>
      <c r="AY40" s="192">
        <v>1000000</v>
      </c>
      <c r="AZ40" s="192">
        <v>0</v>
      </c>
      <c r="BA40" s="192">
        <v>0</v>
      </c>
      <c r="BB40" s="192">
        <v>0</v>
      </c>
      <c r="BC40" s="192">
        <v>0</v>
      </c>
      <c r="BD40" s="192">
        <v>0</v>
      </c>
      <c r="BE40" s="192">
        <v>2450000</v>
      </c>
      <c r="BF40" s="192">
        <v>0</v>
      </c>
      <c r="BG40" s="192">
        <v>0</v>
      </c>
      <c r="BH40" s="192">
        <v>0</v>
      </c>
      <c r="BI40" s="192">
        <v>0</v>
      </c>
      <c r="BJ40" s="192">
        <v>0</v>
      </c>
      <c r="BK40" s="192">
        <v>0</v>
      </c>
      <c r="BL40" s="192">
        <v>0</v>
      </c>
      <c r="BM40" s="192">
        <v>800000</v>
      </c>
      <c r="BN40" s="192">
        <v>0</v>
      </c>
      <c r="BO40" s="192">
        <v>615571049.24000001</v>
      </c>
      <c r="BP40" s="192">
        <v>614591049.24000001</v>
      </c>
      <c r="BQ40" s="192">
        <v>0</v>
      </c>
      <c r="BR40" s="192">
        <v>0</v>
      </c>
      <c r="BS40" s="192">
        <v>0</v>
      </c>
      <c r="BT40" s="192">
        <v>0</v>
      </c>
      <c r="BU40" s="192">
        <v>1165397962.47</v>
      </c>
      <c r="BV40" s="192">
        <v>0</v>
      </c>
    </row>
    <row r="41" spans="1:74" s="53" customFormat="1" ht="21.75" customHeight="1" x14ac:dyDescent="0.25">
      <c r="A41" s="140" t="s">
        <v>634</v>
      </c>
      <c r="B41" s="53">
        <v>1419647033.29</v>
      </c>
      <c r="C41" s="53">
        <v>682396282.87</v>
      </c>
      <c r="D41" s="53">
        <v>73246783.790000007</v>
      </c>
      <c r="E41" s="53">
        <v>18736938</v>
      </c>
      <c r="I41" s="53">
        <v>132605992.02</v>
      </c>
      <c r="M41" s="53">
        <v>72437454.730000004</v>
      </c>
    </row>
    <row r="42" spans="1:74" s="26" customFormat="1" x14ac:dyDescent="0.25">
      <c r="A42" s="17" t="s">
        <v>322</v>
      </c>
      <c r="E42" s="26">
        <f>E40-E41</f>
        <v>983343043.30999994</v>
      </c>
      <c r="F42" s="26">
        <f t="shared" ref="F42:Y42" si="82">F40-F41</f>
        <v>-90109051.200000003</v>
      </c>
      <c r="G42" s="26">
        <f t="shared" si="82"/>
        <v>-34202000</v>
      </c>
      <c r="H42" s="26">
        <f t="shared" si="82"/>
        <v>0</v>
      </c>
      <c r="I42" s="26">
        <f>I40-I41</f>
        <v>-132605992.02</v>
      </c>
      <c r="J42" s="26">
        <f t="shared" si="82"/>
        <v>0</v>
      </c>
      <c r="K42" s="26">
        <f t="shared" si="82"/>
        <v>0</v>
      </c>
      <c r="L42" s="26">
        <f t="shared" si="82"/>
        <v>0</v>
      </c>
      <c r="M42" s="26">
        <f t="shared" si="82"/>
        <v>1084992121.6099999</v>
      </c>
      <c r="N42" s="26">
        <f t="shared" si="82"/>
        <v>0</v>
      </c>
      <c r="O42" s="26">
        <f t="shared" si="82"/>
        <v>0</v>
      </c>
      <c r="P42" s="26">
        <f t="shared" si="82"/>
        <v>0</v>
      </c>
      <c r="Q42" s="26">
        <f t="shared" si="82"/>
        <v>0</v>
      </c>
      <c r="R42" s="26">
        <f t="shared" si="82"/>
        <v>0</v>
      </c>
      <c r="S42" s="26">
        <f t="shared" si="82"/>
        <v>0</v>
      </c>
      <c r="T42" s="26">
        <f t="shared" si="82"/>
        <v>0</v>
      </c>
      <c r="U42" s="26">
        <f t="shared" si="82"/>
        <v>0</v>
      </c>
      <c r="V42" s="26">
        <f t="shared" si="82"/>
        <v>0</v>
      </c>
      <c r="W42" s="26">
        <f t="shared" si="82"/>
        <v>0</v>
      </c>
      <c r="X42" s="26">
        <f t="shared" si="82"/>
        <v>0</v>
      </c>
      <c r="Y42" s="26">
        <f t="shared" si="82"/>
        <v>0</v>
      </c>
      <c r="Z42" s="26">
        <f t="shared" ref="Z42:BQ42" si="83">Z40-Z41</f>
        <v>0</v>
      </c>
      <c r="AA42" s="26">
        <f t="shared" si="83"/>
        <v>0</v>
      </c>
      <c r="AB42" s="26">
        <f t="shared" si="83"/>
        <v>0</v>
      </c>
      <c r="AC42" s="26">
        <f t="shared" si="83"/>
        <v>0</v>
      </c>
      <c r="AD42" s="26">
        <f t="shared" si="83"/>
        <v>0</v>
      </c>
      <c r="AE42" s="26">
        <f t="shared" si="83"/>
        <v>0</v>
      </c>
      <c r="AF42" s="26">
        <f t="shared" si="83"/>
        <v>0</v>
      </c>
      <c r="AG42" s="26">
        <f t="shared" si="83"/>
        <v>268924600</v>
      </c>
      <c r="AH42" s="26">
        <f t="shared" si="83"/>
        <v>268924600</v>
      </c>
      <c r="AI42" s="26">
        <f t="shared" si="83"/>
        <v>268924600</v>
      </c>
      <c r="AJ42" s="26">
        <f t="shared" si="83"/>
        <v>268924600</v>
      </c>
      <c r="AK42" s="26">
        <f t="shared" si="83"/>
        <v>0</v>
      </c>
      <c r="AL42" s="192">
        <f t="shared" si="83"/>
        <v>0</v>
      </c>
      <c r="AM42" s="192">
        <f t="shared" si="83"/>
        <v>0</v>
      </c>
      <c r="AN42" s="192">
        <f t="shared" si="83"/>
        <v>0</v>
      </c>
      <c r="AO42" s="192">
        <f t="shared" si="83"/>
        <v>0</v>
      </c>
      <c r="AP42" s="192">
        <f t="shared" si="83"/>
        <v>0</v>
      </c>
      <c r="AQ42" s="192">
        <f t="shared" si="83"/>
        <v>0</v>
      </c>
      <c r="AR42" s="192">
        <f t="shared" si="83"/>
        <v>0</v>
      </c>
      <c r="AS42" s="192">
        <f t="shared" si="83"/>
        <v>15000000</v>
      </c>
      <c r="AT42" s="192">
        <f t="shared" si="83"/>
        <v>15000000</v>
      </c>
      <c r="AU42" s="192">
        <f t="shared" si="83"/>
        <v>15000000</v>
      </c>
      <c r="AV42" s="192">
        <f t="shared" si="83"/>
        <v>0</v>
      </c>
      <c r="AW42" s="192">
        <f t="shared" si="83"/>
        <v>0</v>
      </c>
      <c r="AX42" s="192">
        <f t="shared" si="83"/>
        <v>1000000</v>
      </c>
      <c r="AY42" s="192">
        <f t="shared" si="83"/>
        <v>1000000</v>
      </c>
      <c r="AZ42" s="192">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1" t="s">
        <v>321</v>
      </c>
    </row>
    <row r="44" spans="1:74" s="192" customFormat="1" x14ac:dyDescent="0.25">
      <c r="A44" s="192" t="s">
        <v>324</v>
      </c>
      <c r="B44" s="192">
        <v>642500000</v>
      </c>
      <c r="C44" s="192">
        <v>610000000</v>
      </c>
      <c r="D44" s="192">
        <v>256000000</v>
      </c>
      <c r="E44" s="192">
        <v>958250000</v>
      </c>
      <c r="F44" s="192">
        <v>656750000</v>
      </c>
      <c r="G44" s="192">
        <v>505953642.72000003</v>
      </c>
      <c r="H44" s="192">
        <v>106000000</v>
      </c>
      <c r="I44" s="192">
        <v>316895058.44</v>
      </c>
      <c r="J44" s="192">
        <v>310895058.44</v>
      </c>
      <c r="K44" s="192">
        <v>292895058.44</v>
      </c>
      <c r="L44" s="192">
        <v>110895058.44</v>
      </c>
      <c r="M44" s="192">
        <v>359800000</v>
      </c>
      <c r="N44" s="192">
        <v>347800000</v>
      </c>
      <c r="O44" s="192">
        <v>341800000</v>
      </c>
      <c r="P44" s="192">
        <v>323800000</v>
      </c>
      <c r="Q44" s="192">
        <v>0</v>
      </c>
      <c r="R44" s="192">
        <v>0</v>
      </c>
      <c r="S44" s="192">
        <v>134432199</v>
      </c>
      <c r="T44" s="192">
        <v>90500000</v>
      </c>
      <c r="U44" s="192">
        <v>442683440</v>
      </c>
      <c r="V44" s="192">
        <v>392776640</v>
      </c>
      <c r="W44" s="192">
        <v>165976640</v>
      </c>
      <c r="X44" s="192">
        <v>50000000</v>
      </c>
      <c r="Y44" s="192">
        <v>465828400</v>
      </c>
      <c r="Z44" s="192">
        <v>370800000</v>
      </c>
      <c r="AA44" s="192">
        <v>168000000</v>
      </c>
      <c r="AB44" s="192">
        <v>25000000</v>
      </c>
      <c r="AC44" s="192">
        <v>324474600</v>
      </c>
      <c r="AD44" s="192">
        <v>324474600</v>
      </c>
      <c r="AE44" s="192">
        <v>119474600</v>
      </c>
      <c r="AF44" s="192">
        <v>10000000</v>
      </c>
      <c r="AG44" s="192">
        <v>193800000</v>
      </c>
      <c r="AH44" s="192">
        <v>163800000</v>
      </c>
      <c r="AI44" s="192">
        <v>52000000</v>
      </c>
      <c r="AJ44" s="192">
        <v>22000000</v>
      </c>
      <c r="AK44" s="192">
        <v>148800000</v>
      </c>
      <c r="AL44" s="192">
        <v>102800000</v>
      </c>
      <c r="AM44" s="192">
        <v>55000000</v>
      </c>
      <c r="AN44" s="192">
        <v>15000000</v>
      </c>
      <c r="AO44" s="192">
        <v>92000000</v>
      </c>
      <c r="AP44" s="192">
        <v>74000000</v>
      </c>
      <c r="AQ44" s="192">
        <v>43700000</v>
      </c>
      <c r="AR44" s="192">
        <v>0</v>
      </c>
      <c r="AS44" s="192">
        <v>0</v>
      </c>
      <c r="AT44" s="192">
        <v>0</v>
      </c>
      <c r="AU44" s="192">
        <v>0</v>
      </c>
      <c r="AV44" s="192">
        <v>0</v>
      </c>
      <c r="AW44" s="192">
        <v>0</v>
      </c>
      <c r="AX44" s="192">
        <v>0</v>
      </c>
      <c r="AY44" s="192">
        <v>0</v>
      </c>
      <c r="AZ44" s="192">
        <v>0</v>
      </c>
      <c r="BA44" s="192">
        <v>0</v>
      </c>
      <c r="BB44" s="192">
        <v>0</v>
      </c>
      <c r="BC44" s="192">
        <v>0</v>
      </c>
      <c r="BD44" s="192">
        <v>0</v>
      </c>
      <c r="BE44" s="192">
        <v>0</v>
      </c>
      <c r="BF44" s="192">
        <v>0</v>
      </c>
      <c r="BG44" s="192">
        <v>0</v>
      </c>
      <c r="BH44" s="192">
        <v>0</v>
      </c>
      <c r="BI44" s="192">
        <v>0</v>
      </c>
      <c r="BJ44" s="192">
        <v>0</v>
      </c>
      <c r="BK44" s="192">
        <v>0</v>
      </c>
      <c r="BL44" s="192">
        <v>0</v>
      </c>
      <c r="BM44" s="192">
        <v>0</v>
      </c>
      <c r="BN44" s="192">
        <v>0</v>
      </c>
      <c r="BO44" s="192">
        <v>0</v>
      </c>
      <c r="BP44" s="192">
        <v>0</v>
      </c>
      <c r="BQ44" s="192">
        <v>0</v>
      </c>
      <c r="BR44" s="192">
        <v>0</v>
      </c>
      <c r="BS44" s="192">
        <v>0</v>
      </c>
      <c r="BT44" s="192">
        <v>0</v>
      </c>
      <c r="BU44" s="192">
        <v>0</v>
      </c>
      <c r="BV44" s="192">
        <v>0</v>
      </c>
    </row>
    <row r="45" spans="1:74" s="192" customFormat="1" x14ac:dyDescent="0.25">
      <c r="A45" s="192" t="s">
        <v>323</v>
      </c>
      <c r="E45" s="192">
        <f>股权价值增加表!E53</f>
        <v>115985614.09999999</v>
      </c>
      <c r="F45" s="192">
        <f>股权价值增加表!F53</f>
        <v>0</v>
      </c>
      <c r="G45" s="192">
        <f>股权价值增加表!G53</f>
        <v>0</v>
      </c>
      <c r="H45" s="192">
        <f>股权价值增加表!H53</f>
        <v>0</v>
      </c>
      <c r="I45" s="192">
        <f>股权价值增加表!I53</f>
        <v>21006458.350000001</v>
      </c>
      <c r="J45" s="192">
        <f>股权价值增加表!J53</f>
        <v>0</v>
      </c>
      <c r="K45" s="192">
        <f>股权价值增加表!K53</f>
        <v>0</v>
      </c>
      <c r="L45" s="192">
        <f>股权价值增加表!L53</f>
        <v>0</v>
      </c>
      <c r="M45" s="192">
        <f>股权价值增加表!M53</f>
        <v>54660764.880000003</v>
      </c>
      <c r="N45" s="192">
        <f>股权价值增加表!N53</f>
        <v>0</v>
      </c>
      <c r="O45" s="192">
        <f>股权价值增加表!O53</f>
        <v>0</v>
      </c>
      <c r="P45" s="192">
        <f>股权价值增加表!P53</f>
        <v>0</v>
      </c>
      <c r="Q45" s="192">
        <f>股权价值增加表!Q53</f>
        <v>0</v>
      </c>
      <c r="R45" s="192">
        <f>股权价值增加表!R53</f>
        <v>0</v>
      </c>
      <c r="S45" s="192">
        <f>股权价值增加表!S53</f>
        <v>0</v>
      </c>
      <c r="T45" s="192">
        <f>股权价值增加表!T53</f>
        <v>0</v>
      </c>
      <c r="U45" s="192">
        <f>股权价值增加表!U53</f>
        <v>0</v>
      </c>
      <c r="V45" s="192">
        <f>股权价值增加表!V53</f>
        <v>0</v>
      </c>
      <c r="W45" s="192">
        <f>股权价值增加表!W53</f>
        <v>0</v>
      </c>
      <c r="X45" s="192">
        <f>股权价值增加表!X53</f>
        <v>0</v>
      </c>
      <c r="Y45" s="192">
        <f>股权价值增加表!Y53</f>
        <v>0</v>
      </c>
      <c r="Z45" s="192">
        <f>股权价值增加表!Z53</f>
        <v>0</v>
      </c>
      <c r="AA45" s="192">
        <f>股权价值增加表!AA53</f>
        <v>0</v>
      </c>
      <c r="AB45" s="192">
        <f>股权价值增加表!AB53</f>
        <v>0</v>
      </c>
      <c r="AC45" s="192">
        <f>股权价值增加表!AC53</f>
        <v>0</v>
      </c>
      <c r="AD45" s="192">
        <f>股权价值增加表!AD53</f>
        <v>0</v>
      </c>
      <c r="AE45" s="192">
        <f>股权价值增加表!AE53</f>
        <v>0</v>
      </c>
      <c r="AF45" s="192">
        <f>股权价值增加表!AF53</f>
        <v>0</v>
      </c>
      <c r="AG45" s="192">
        <f>股权价值增加表!AG53</f>
        <v>0</v>
      </c>
      <c r="AH45" s="192">
        <f>股权价值增加表!AH53</f>
        <v>0</v>
      </c>
      <c r="AI45" s="192">
        <f>股权价值增加表!AI53</f>
        <v>0</v>
      </c>
      <c r="AJ45" s="192">
        <f>股权价值增加表!AJ53</f>
        <v>0</v>
      </c>
      <c r="AK45" s="192">
        <f>股权价值增加表!AK53</f>
        <v>0</v>
      </c>
      <c r="AL45" s="192">
        <f>股权价值增加表!AL53</f>
        <v>0</v>
      </c>
      <c r="AM45" s="192">
        <f>股权价值增加表!AM53</f>
        <v>0</v>
      </c>
      <c r="AN45" s="192">
        <f>股权价值增加表!AN53</f>
        <v>0</v>
      </c>
      <c r="AO45" s="192">
        <f>股权价值增加表!AO53</f>
        <v>0</v>
      </c>
      <c r="AP45" s="192">
        <f>股权价值增加表!AP53</f>
        <v>0</v>
      </c>
      <c r="AQ45" s="192">
        <f>股权价值增加表!AQ53</f>
        <v>0</v>
      </c>
      <c r="AR45" s="192">
        <f>股权价值增加表!AR53</f>
        <v>0</v>
      </c>
      <c r="AS45" s="192">
        <f>股权价值增加表!AS53</f>
        <v>0</v>
      </c>
      <c r="AT45" s="192">
        <f>股权价值增加表!AT53</f>
        <v>0</v>
      </c>
      <c r="AU45" s="192">
        <f>股权价值增加表!AU53</f>
        <v>0</v>
      </c>
      <c r="AV45" s="192">
        <f>股权价值增加表!AV53</f>
        <v>0</v>
      </c>
      <c r="AW45" s="192">
        <f>股权价值增加表!AW53</f>
        <v>0</v>
      </c>
      <c r="AX45" s="192">
        <f>股权价值增加表!AX53</f>
        <v>0</v>
      </c>
      <c r="AY45" s="192">
        <f>股权价值增加表!AY53</f>
        <v>0</v>
      </c>
      <c r="AZ45" s="192">
        <f>股权价值增加表!AZ53</f>
        <v>0</v>
      </c>
      <c r="BA45" s="192">
        <f>股权价值增加表!BA53</f>
        <v>0</v>
      </c>
      <c r="BB45" s="192">
        <f>股权价值增加表!BB53</f>
        <v>0</v>
      </c>
      <c r="BC45" s="192">
        <f>股权价值增加表!BC53</f>
        <v>0</v>
      </c>
      <c r="BD45" s="192">
        <f>股权价值增加表!BD53</f>
        <v>0</v>
      </c>
      <c r="BE45" s="192">
        <f>股权价值增加表!BE53</f>
        <v>0</v>
      </c>
      <c r="BF45" s="192">
        <f>股权价值增加表!BF53</f>
        <v>0</v>
      </c>
      <c r="BG45" s="192">
        <f>股权价值增加表!BG53</f>
        <v>0</v>
      </c>
      <c r="BH45" s="192">
        <f>股权价值增加表!BH53</f>
        <v>0</v>
      </c>
      <c r="BI45" s="192">
        <f>股权价值增加表!BI53</f>
        <v>0</v>
      </c>
      <c r="BJ45" s="192">
        <f>股权价值增加表!BJ53</f>
        <v>0</v>
      </c>
      <c r="BK45" s="192">
        <f>股权价值增加表!BK53</f>
        <v>0</v>
      </c>
      <c r="BL45" s="192">
        <f>股权价值增加表!BL53</f>
        <v>0</v>
      </c>
      <c r="BM45" s="192">
        <f>股权价值增加表!BM53</f>
        <v>0</v>
      </c>
      <c r="BN45" s="192">
        <f>股权价值增加表!BN53</f>
        <v>0</v>
      </c>
      <c r="BO45" s="192">
        <f>股权价值增加表!BO53</f>
        <v>0</v>
      </c>
      <c r="BP45" s="192">
        <f>股权价值增加表!BP53</f>
        <v>0</v>
      </c>
      <c r="BQ45" s="192">
        <f>股权价值增加表!BQ53</f>
        <v>0</v>
      </c>
      <c r="BR45" s="192">
        <f>股权价值增加表!BR53</f>
        <v>0</v>
      </c>
      <c r="BS45" s="192">
        <f>股权价值增加表!BS53</f>
        <v>0</v>
      </c>
      <c r="BT45" s="192">
        <f>股权价值增加表!BT53</f>
        <v>0</v>
      </c>
      <c r="BU45" s="192">
        <f>股权价值增加表!BU53</f>
        <v>0</v>
      </c>
      <c r="BV45" s="192">
        <f>股权价值增加表!BV53</f>
        <v>0</v>
      </c>
    </row>
    <row r="46" spans="1:74" s="192" customFormat="1" x14ac:dyDescent="0.25">
      <c r="A46" s="192" t="s">
        <v>325</v>
      </c>
      <c r="B46" s="192">
        <v>0</v>
      </c>
      <c r="C46" s="192">
        <v>43251054.039999999</v>
      </c>
      <c r="D46" s="192">
        <v>24913678.149999999</v>
      </c>
      <c r="E46" s="192">
        <v>77392814.650000006</v>
      </c>
      <c r="F46" s="192">
        <v>55274872.109999999</v>
      </c>
      <c r="G46" s="192">
        <v>35481928.990000002</v>
      </c>
      <c r="H46" s="192">
        <v>27877727.09</v>
      </c>
      <c r="I46" s="192">
        <v>312017.84999999998</v>
      </c>
      <c r="J46" s="192">
        <v>5040273.97</v>
      </c>
      <c r="K46" s="192">
        <v>2899255.71</v>
      </c>
      <c r="L46" s="192">
        <v>303633.12</v>
      </c>
      <c r="M46" s="192">
        <v>773860.86</v>
      </c>
      <c r="N46" s="192">
        <v>0</v>
      </c>
      <c r="O46" s="192">
        <v>0</v>
      </c>
      <c r="P46" s="192">
        <v>0</v>
      </c>
      <c r="Q46" s="192">
        <v>0</v>
      </c>
      <c r="R46" s="192">
        <v>0</v>
      </c>
      <c r="S46" s="192">
        <v>74720.31</v>
      </c>
      <c r="T46" s="192">
        <v>71588.42</v>
      </c>
      <c r="U46" s="192">
        <v>922326.76</v>
      </c>
      <c r="V46" s="192">
        <v>613333.4</v>
      </c>
      <c r="W46" s="192">
        <v>1582558.34</v>
      </c>
      <c r="X46" s="192">
        <v>466291.4</v>
      </c>
      <c r="Y46" s="192">
        <v>735714.07</v>
      </c>
      <c r="Z46" s="192">
        <v>0</v>
      </c>
      <c r="AA46" s="192">
        <v>941716.93</v>
      </c>
      <c r="AB46" s="192">
        <v>0</v>
      </c>
      <c r="AC46" s="192">
        <v>623773.13</v>
      </c>
      <c r="AD46" s="192">
        <v>0</v>
      </c>
      <c r="AE46" s="192">
        <v>0</v>
      </c>
      <c r="AF46" s="192">
        <v>127868.89</v>
      </c>
      <c r="AG46" s="192">
        <v>247257.78</v>
      </c>
      <c r="AH46" s="192">
        <v>0</v>
      </c>
      <c r="AI46" s="192">
        <v>79685</v>
      </c>
      <c r="AJ46" s="192">
        <v>79685</v>
      </c>
      <c r="AK46" s="192">
        <v>192080</v>
      </c>
      <c r="AL46" s="192">
        <v>732802.22</v>
      </c>
      <c r="AM46" s="192">
        <v>732802.22</v>
      </c>
      <c r="AN46" s="192">
        <v>180480</v>
      </c>
      <c r="AO46" s="192">
        <v>0</v>
      </c>
      <c r="AP46" s="192">
        <v>0</v>
      </c>
      <c r="AQ46" s="192">
        <v>0</v>
      </c>
      <c r="AS46" s="192">
        <v>0</v>
      </c>
      <c r="AT46" s="192">
        <v>0</v>
      </c>
      <c r="AU46" s="192">
        <v>0</v>
      </c>
      <c r="AV46" s="192">
        <v>0</v>
      </c>
      <c r="AW46" s="192">
        <v>0</v>
      </c>
      <c r="AX46" s="192">
        <v>0</v>
      </c>
      <c r="AY46" s="192">
        <v>0</v>
      </c>
      <c r="AZ46" s="192">
        <v>0</v>
      </c>
      <c r="BA46" s="192">
        <v>0</v>
      </c>
      <c r="BB46" s="192">
        <v>0</v>
      </c>
      <c r="BC46" s="192">
        <v>0</v>
      </c>
      <c r="BD46" s="192">
        <v>0</v>
      </c>
      <c r="BE46" s="192">
        <v>0</v>
      </c>
      <c r="BF46" s="192">
        <v>0</v>
      </c>
      <c r="BG46" s="192">
        <v>0</v>
      </c>
      <c r="BH46" s="192">
        <v>0</v>
      </c>
      <c r="BI46" s="192">
        <v>0</v>
      </c>
      <c r="BJ46" s="192">
        <v>0</v>
      </c>
      <c r="BK46" s="192">
        <v>0</v>
      </c>
      <c r="BL46" s="192">
        <v>0</v>
      </c>
      <c r="BM46" s="192">
        <v>0</v>
      </c>
      <c r="BN46" s="192">
        <v>0</v>
      </c>
      <c r="BO46" s="192">
        <v>0</v>
      </c>
      <c r="BP46" s="192">
        <v>0</v>
      </c>
      <c r="BQ46" s="192">
        <v>0</v>
      </c>
      <c r="BR46" s="192">
        <v>0</v>
      </c>
      <c r="BS46" s="192">
        <v>0</v>
      </c>
      <c r="BT46" s="192">
        <v>0</v>
      </c>
      <c r="BU46" s="192">
        <v>0</v>
      </c>
      <c r="BV46" s="192">
        <v>0</v>
      </c>
    </row>
    <row r="47" spans="1:74" s="192" customFormat="1" x14ac:dyDescent="0.25">
      <c r="A47" s="192" t="s">
        <v>326</v>
      </c>
      <c r="B47" s="192">
        <v>479129375.00999999</v>
      </c>
      <c r="C47" s="192">
        <v>452462708.33999997</v>
      </c>
      <c r="D47" s="192">
        <v>114000000</v>
      </c>
      <c r="E47" s="192">
        <v>402921400</v>
      </c>
      <c r="F47" s="192">
        <v>254921400</v>
      </c>
      <c r="G47" s="192">
        <v>254921400</v>
      </c>
      <c r="H47" s="192">
        <v>154921400</v>
      </c>
      <c r="I47" s="192">
        <v>473800000</v>
      </c>
      <c r="J47" s="192">
        <v>323800000</v>
      </c>
      <c r="K47" s="192">
        <v>300000000</v>
      </c>
      <c r="L47" s="192">
        <v>300000000</v>
      </c>
      <c r="M47" s="192">
        <v>42000000</v>
      </c>
      <c r="N47" s="192">
        <v>42000000</v>
      </c>
      <c r="O47" s="192">
        <v>0</v>
      </c>
      <c r="P47" s="192">
        <v>0</v>
      </c>
      <c r="Q47" s="192">
        <v>0</v>
      </c>
      <c r="R47" s="192">
        <v>0</v>
      </c>
      <c r="S47" s="192">
        <v>250928800</v>
      </c>
      <c r="T47" s="192">
        <v>140000000</v>
      </c>
      <c r="U47" s="192">
        <v>377829920</v>
      </c>
      <c r="V47" s="192">
        <v>322741040</v>
      </c>
      <c r="W47" s="192">
        <v>103941040</v>
      </c>
      <c r="X47" s="192">
        <v>30000000</v>
      </c>
      <c r="Y47" s="192">
        <v>410800000</v>
      </c>
      <c r="Z47" s="192">
        <v>340800000</v>
      </c>
      <c r="AA47" s="192">
        <v>133800000</v>
      </c>
      <c r="AB47" s="192">
        <v>10000000</v>
      </c>
      <c r="AC47" s="192">
        <v>214474600</v>
      </c>
      <c r="AD47" s="192">
        <v>214474600</v>
      </c>
      <c r="AE47" s="192">
        <v>85800000</v>
      </c>
      <c r="AF47" s="192">
        <v>10000000</v>
      </c>
      <c r="AG47" s="192">
        <v>117800000</v>
      </c>
      <c r="AH47" s="192">
        <v>114800000</v>
      </c>
      <c r="AI47" s="192">
        <v>22000000</v>
      </c>
      <c r="AJ47" s="192">
        <v>22000000</v>
      </c>
      <c r="AK47" s="192">
        <v>124000000</v>
      </c>
      <c r="AL47" s="192">
        <v>81000000</v>
      </c>
      <c r="AM47" s="192">
        <v>47000000</v>
      </c>
      <c r="AN47" s="192">
        <v>10000000</v>
      </c>
      <c r="AO47" s="192">
        <v>81000000</v>
      </c>
      <c r="AP47" s="192">
        <v>41700000</v>
      </c>
      <c r="AQ47" s="192">
        <v>25000000</v>
      </c>
      <c r="AR47" s="192">
        <v>0</v>
      </c>
      <c r="AS47" s="192">
        <v>0</v>
      </c>
      <c r="AT47" s="192">
        <v>0</v>
      </c>
      <c r="AU47" s="192">
        <v>0</v>
      </c>
      <c r="AV47" s="192">
        <v>0</v>
      </c>
      <c r="AW47" s="192">
        <v>0</v>
      </c>
      <c r="AX47" s="192">
        <v>0</v>
      </c>
      <c r="AY47" s="192">
        <v>0</v>
      </c>
      <c r="AZ47" s="192">
        <v>0</v>
      </c>
      <c r="BA47" s="192">
        <v>0</v>
      </c>
      <c r="BB47" s="192">
        <v>0</v>
      </c>
      <c r="BC47" s="192">
        <v>0</v>
      </c>
      <c r="BD47" s="192">
        <v>0</v>
      </c>
      <c r="BE47" s="192">
        <v>0</v>
      </c>
      <c r="BF47" s="192">
        <v>0</v>
      </c>
      <c r="BG47" s="192">
        <v>0</v>
      </c>
      <c r="BH47" s="192">
        <v>0</v>
      </c>
      <c r="BI47" s="192">
        <v>0</v>
      </c>
      <c r="BJ47" s="192">
        <v>0</v>
      </c>
      <c r="BK47" s="192">
        <v>0</v>
      </c>
      <c r="BL47" s="192">
        <v>0</v>
      </c>
      <c r="BM47" s="192">
        <v>0</v>
      </c>
      <c r="BN47" s="192">
        <v>0</v>
      </c>
      <c r="BO47" s="192">
        <v>0</v>
      </c>
      <c r="BP47" s="192">
        <v>0</v>
      </c>
      <c r="BQ47" s="192">
        <v>0</v>
      </c>
      <c r="BR47" s="192">
        <v>2814887.33</v>
      </c>
      <c r="BS47" s="192">
        <v>0</v>
      </c>
      <c r="BT47" s="192">
        <v>0</v>
      </c>
      <c r="BU47" s="192">
        <v>70000000</v>
      </c>
      <c r="BV47" s="192">
        <v>0</v>
      </c>
    </row>
    <row r="48" spans="1:74" s="192" customFormat="1" x14ac:dyDescent="0.25">
      <c r="A48" s="192" t="s">
        <v>598</v>
      </c>
      <c r="B48" s="192">
        <v>0</v>
      </c>
      <c r="C48" s="192">
        <v>0</v>
      </c>
      <c r="D48" s="192">
        <v>0</v>
      </c>
      <c r="E48" s="192">
        <v>988334000</v>
      </c>
      <c r="F48" s="192">
        <v>988334000</v>
      </c>
      <c r="G48" s="192">
        <v>988334000</v>
      </c>
      <c r="H48" s="192">
        <v>988334000</v>
      </c>
      <c r="I48" s="192">
        <v>0</v>
      </c>
      <c r="J48" s="192">
        <v>0</v>
      </c>
      <c r="K48" s="192">
        <v>0</v>
      </c>
      <c r="L48" s="192">
        <v>0</v>
      </c>
      <c r="M48" s="192">
        <v>0</v>
      </c>
      <c r="N48" s="192">
        <v>0</v>
      </c>
      <c r="O48" s="192">
        <v>0</v>
      </c>
      <c r="P48" s="192">
        <v>0</v>
      </c>
      <c r="Q48" s="192">
        <v>0</v>
      </c>
      <c r="R48" s="192">
        <v>0</v>
      </c>
      <c r="S48" s="192">
        <v>0</v>
      </c>
      <c r="T48" s="192">
        <v>0</v>
      </c>
      <c r="U48" s="192">
        <v>0</v>
      </c>
      <c r="V48" s="192">
        <v>0</v>
      </c>
      <c r="W48" s="192">
        <v>0</v>
      </c>
      <c r="X48" s="192">
        <v>0</v>
      </c>
      <c r="Y48" s="192">
        <v>0</v>
      </c>
      <c r="Z48" s="192">
        <v>0</v>
      </c>
      <c r="AA48" s="192">
        <v>0</v>
      </c>
      <c r="AB48" s="192">
        <v>0</v>
      </c>
      <c r="AC48" s="192">
        <v>0</v>
      </c>
      <c r="AD48" s="192">
        <v>0</v>
      </c>
      <c r="AE48" s="192">
        <v>0</v>
      </c>
      <c r="AF48" s="192">
        <v>0</v>
      </c>
      <c r="AG48" s="192">
        <v>0</v>
      </c>
      <c r="AH48" s="192">
        <v>0</v>
      </c>
      <c r="AI48" s="192">
        <v>0</v>
      </c>
      <c r="AJ48" s="192">
        <v>0</v>
      </c>
      <c r="AK48" s="192">
        <v>0</v>
      </c>
      <c r="AL48" s="192">
        <v>0</v>
      </c>
      <c r="AM48" s="192">
        <v>0</v>
      </c>
      <c r="AN48" s="192">
        <v>0</v>
      </c>
      <c r="AO48" s="192">
        <v>0</v>
      </c>
      <c r="AP48" s="192">
        <v>0</v>
      </c>
      <c r="AQ48" s="192">
        <v>0</v>
      </c>
      <c r="AR48" s="192">
        <v>0</v>
      </c>
      <c r="AS48" s="192">
        <v>0</v>
      </c>
      <c r="AT48" s="192">
        <v>0</v>
      </c>
      <c r="AU48" s="192">
        <v>0</v>
      </c>
      <c r="AV48" s="192">
        <v>0</v>
      </c>
      <c r="AW48" s="192">
        <v>0</v>
      </c>
      <c r="AX48" s="192">
        <v>0</v>
      </c>
      <c r="AY48" s="192">
        <v>0</v>
      </c>
      <c r="AZ48" s="192">
        <v>0</v>
      </c>
      <c r="BA48" s="192">
        <v>0</v>
      </c>
      <c r="BB48" s="192">
        <v>0</v>
      </c>
      <c r="BC48" s="192">
        <v>0</v>
      </c>
      <c r="BD48" s="192">
        <v>0</v>
      </c>
      <c r="BE48" s="192">
        <v>0</v>
      </c>
      <c r="BF48" s="192">
        <v>0</v>
      </c>
      <c r="BG48" s="192">
        <v>0</v>
      </c>
      <c r="BH48" s="192">
        <v>0</v>
      </c>
      <c r="BI48" s="192">
        <v>0</v>
      </c>
      <c r="BJ48" s="192">
        <v>0</v>
      </c>
      <c r="BK48" s="192">
        <v>0</v>
      </c>
      <c r="BL48" s="192">
        <v>0</v>
      </c>
      <c r="BM48" s="192">
        <v>0</v>
      </c>
      <c r="BN48" s="192">
        <v>0</v>
      </c>
      <c r="BO48" s="192">
        <v>0</v>
      </c>
      <c r="BP48" s="192">
        <v>0</v>
      </c>
      <c r="BQ48" s="192">
        <v>0</v>
      </c>
      <c r="BR48" s="192">
        <v>0</v>
      </c>
      <c r="BS48" s="192">
        <v>0</v>
      </c>
      <c r="BT48" s="192">
        <v>0</v>
      </c>
      <c r="BU48" s="192">
        <v>0</v>
      </c>
      <c r="BV48" s="192">
        <v>0</v>
      </c>
    </row>
    <row r="49" spans="1:74" s="192" customFormat="1" x14ac:dyDescent="0.25">
      <c r="A49" s="192" t="s">
        <v>599</v>
      </c>
      <c r="E49" s="192">
        <f>E44+E48-E45-E46-E47</f>
        <v>1350284171.25</v>
      </c>
      <c r="F49" s="192">
        <f t="shared" ref="F49:BQ49" si="85">F44+F48-F45-F46-F47</f>
        <v>1334887727.8900001</v>
      </c>
      <c r="G49" s="192">
        <f t="shared" si="85"/>
        <v>1203884313.73</v>
      </c>
      <c r="H49" s="192">
        <f t="shared" si="85"/>
        <v>911534872.90999997</v>
      </c>
      <c r="I49" s="192">
        <f t="shared" si="85"/>
        <v>-178223417.76000005</v>
      </c>
      <c r="J49" s="192">
        <f t="shared" si="85"/>
        <v>-17945215.530000031</v>
      </c>
      <c r="K49" s="192">
        <f t="shared" si="85"/>
        <v>-10004197.269999981</v>
      </c>
      <c r="L49" s="192">
        <f t="shared" si="85"/>
        <v>-189408574.68000001</v>
      </c>
      <c r="M49" s="192">
        <f t="shared" si="85"/>
        <v>262365374.25999999</v>
      </c>
      <c r="N49" s="192">
        <f t="shared" si="85"/>
        <v>305800000</v>
      </c>
      <c r="O49" s="192">
        <f t="shared" si="85"/>
        <v>341800000</v>
      </c>
      <c r="P49" s="192">
        <f t="shared" si="85"/>
        <v>323800000</v>
      </c>
      <c r="Q49" s="192">
        <f t="shared" si="85"/>
        <v>0</v>
      </c>
      <c r="R49" s="192">
        <f t="shared" si="85"/>
        <v>0</v>
      </c>
      <c r="S49" s="192">
        <f t="shared" si="85"/>
        <v>-116571321.31</v>
      </c>
      <c r="T49" s="192">
        <f t="shared" si="85"/>
        <v>-49571588.420000002</v>
      </c>
      <c r="U49" s="192">
        <f t="shared" si="85"/>
        <v>63931193.24000001</v>
      </c>
      <c r="V49" s="192">
        <f t="shared" si="85"/>
        <v>69422266.600000024</v>
      </c>
      <c r="W49" s="192">
        <f t="shared" si="85"/>
        <v>60453041.659999996</v>
      </c>
      <c r="X49" s="192">
        <f t="shared" si="85"/>
        <v>19533708.600000001</v>
      </c>
      <c r="Y49" s="192">
        <f t="shared" si="85"/>
        <v>54292685.930000007</v>
      </c>
      <c r="Z49" s="192">
        <f t="shared" si="85"/>
        <v>30000000</v>
      </c>
      <c r="AA49" s="192">
        <f t="shared" si="85"/>
        <v>33258283.069999993</v>
      </c>
      <c r="AB49" s="192">
        <f t="shared" si="85"/>
        <v>15000000</v>
      </c>
      <c r="AC49" s="192">
        <f t="shared" si="85"/>
        <v>109376226.87</v>
      </c>
      <c r="AD49" s="192">
        <f t="shared" si="85"/>
        <v>110000000</v>
      </c>
      <c r="AE49" s="192">
        <f t="shared" si="85"/>
        <v>33674600</v>
      </c>
      <c r="AF49" s="192">
        <f t="shared" si="85"/>
        <v>-127868.8900000006</v>
      </c>
      <c r="AG49" s="192">
        <f t="shared" si="85"/>
        <v>75752742.219999999</v>
      </c>
      <c r="AH49" s="192">
        <f t="shared" si="85"/>
        <v>49000000</v>
      </c>
      <c r="AI49" s="192">
        <f t="shared" si="85"/>
        <v>29920315</v>
      </c>
      <c r="AJ49" s="192">
        <f t="shared" si="85"/>
        <v>-79685</v>
      </c>
      <c r="AK49" s="192">
        <f t="shared" si="85"/>
        <v>24607920</v>
      </c>
      <c r="AL49" s="192">
        <f t="shared" si="85"/>
        <v>21067197.780000001</v>
      </c>
      <c r="AM49" s="192">
        <f t="shared" si="85"/>
        <v>7267197.7800000012</v>
      </c>
      <c r="AN49" s="192">
        <f t="shared" si="85"/>
        <v>4819520</v>
      </c>
      <c r="AO49" s="192">
        <f t="shared" si="85"/>
        <v>11000000</v>
      </c>
      <c r="AP49" s="192">
        <f t="shared" si="85"/>
        <v>32300000</v>
      </c>
      <c r="AQ49" s="192">
        <f t="shared" si="85"/>
        <v>18700000</v>
      </c>
      <c r="AR49" s="192">
        <f t="shared" si="85"/>
        <v>0</v>
      </c>
      <c r="AS49" s="192">
        <f t="shared" si="85"/>
        <v>0</v>
      </c>
      <c r="AT49" s="192">
        <f t="shared" si="85"/>
        <v>0</v>
      </c>
      <c r="AU49" s="192">
        <f t="shared" si="85"/>
        <v>0</v>
      </c>
      <c r="AV49" s="192">
        <f t="shared" si="85"/>
        <v>0</v>
      </c>
      <c r="AW49" s="192">
        <f t="shared" si="85"/>
        <v>0</v>
      </c>
      <c r="AX49" s="192">
        <f t="shared" si="85"/>
        <v>0</v>
      </c>
      <c r="AY49" s="192">
        <f t="shared" si="85"/>
        <v>0</v>
      </c>
      <c r="AZ49" s="192">
        <f t="shared" si="85"/>
        <v>0</v>
      </c>
      <c r="BA49" s="192">
        <f t="shared" si="85"/>
        <v>0</v>
      </c>
      <c r="BB49" s="192">
        <f t="shared" si="85"/>
        <v>0</v>
      </c>
      <c r="BC49" s="192">
        <f t="shared" si="85"/>
        <v>0</v>
      </c>
      <c r="BD49" s="192">
        <f t="shared" si="85"/>
        <v>0</v>
      </c>
      <c r="BE49" s="192">
        <f t="shared" si="85"/>
        <v>0</v>
      </c>
      <c r="BF49" s="192">
        <f t="shared" si="85"/>
        <v>0</v>
      </c>
      <c r="BG49" s="192">
        <f t="shared" si="85"/>
        <v>0</v>
      </c>
      <c r="BH49" s="192">
        <f t="shared" si="85"/>
        <v>0</v>
      </c>
      <c r="BI49" s="192">
        <f t="shared" si="85"/>
        <v>0</v>
      </c>
      <c r="BJ49" s="192">
        <f t="shared" si="85"/>
        <v>0</v>
      </c>
      <c r="BK49" s="192">
        <f t="shared" si="85"/>
        <v>0</v>
      </c>
      <c r="BL49" s="192">
        <f t="shared" si="85"/>
        <v>0</v>
      </c>
      <c r="BM49" s="192">
        <f t="shared" si="85"/>
        <v>0</v>
      </c>
      <c r="BN49" s="192">
        <f t="shared" si="85"/>
        <v>0</v>
      </c>
      <c r="BO49" s="192">
        <f t="shared" si="85"/>
        <v>0</v>
      </c>
      <c r="BP49" s="192">
        <f t="shared" si="85"/>
        <v>0</v>
      </c>
      <c r="BQ49" s="192">
        <f t="shared" si="85"/>
        <v>0</v>
      </c>
      <c r="BR49" s="192">
        <f t="shared" ref="BR49:BV49" si="86">BR44+BR48-BR45-BR46-BR47</f>
        <v>-2814887.33</v>
      </c>
      <c r="BS49" s="192">
        <f t="shared" si="86"/>
        <v>0</v>
      </c>
      <c r="BT49" s="192">
        <f t="shared" si="86"/>
        <v>0</v>
      </c>
      <c r="BU49" s="192">
        <f t="shared" si="86"/>
        <v>-70000000</v>
      </c>
      <c r="BV49" s="192">
        <f t="shared" si="86"/>
        <v>0</v>
      </c>
    </row>
    <row r="50" spans="1:74" s="26" customFormat="1" x14ac:dyDescent="0.25"/>
    <row r="51" spans="1:74" s="16" customFormat="1" ht="120" customHeight="1" x14ac:dyDescent="0.25">
      <c r="A51" s="277" t="s">
        <v>667</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12" sqref="E12"/>
    </sheetView>
  </sheetViews>
  <sheetFormatPr defaultRowHeight="14.4" x14ac:dyDescent="0.25"/>
  <cols>
    <col min="1" max="1" width="63.6640625" style="17" bestFit="1" customWidth="1"/>
    <col min="2" max="4" width="9.5546875" hidden="1" customWidth="1"/>
    <col min="5" max="5" width="20.44140625" bestFit="1" customWidth="1"/>
    <col min="6" max="7" width="20.44140625" hidden="1" customWidth="1"/>
    <col min="8" max="8" width="19.33203125" hidden="1" customWidth="1"/>
    <col min="9" max="9" width="19.33203125" bestFit="1" customWidth="1"/>
    <col min="10" max="12" width="19.33203125" hidden="1" customWidth="1"/>
    <col min="13" max="13" width="19.33203125" bestFit="1" customWidth="1"/>
    <col min="14" max="16" width="19.33203125" hidden="1" customWidth="1"/>
    <col min="17" max="17" width="17.21875" bestFit="1" customWidth="1"/>
    <col min="18" max="20" width="17.21875" hidden="1" customWidth="1"/>
    <col min="21" max="21" width="17.2187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6" width="17.21875" hidden="1" customWidth="1"/>
    <col min="37" max="37" width="17.21875" bestFit="1" customWidth="1"/>
    <col min="38" max="40" width="17.21875" hidden="1" customWidth="1"/>
    <col min="41" max="42" width="17.21875" bestFit="1" customWidth="1"/>
    <col min="43" max="43" width="9.5546875" bestFit="1" customWidth="1"/>
    <col min="44"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2354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115985614.09999999</v>
      </c>
      <c r="F3" s="26">
        <f>股权价值增加表!F53</f>
        <v>0</v>
      </c>
      <c r="G3" s="26">
        <f>股权价值增加表!G53</f>
        <v>0</v>
      </c>
      <c r="H3" s="26">
        <f>股权价值增加表!H53</f>
        <v>0</v>
      </c>
      <c r="I3" s="26">
        <f>股权价值增加表!I53</f>
        <v>21006458.350000001</v>
      </c>
      <c r="J3" s="26">
        <f>股权价值增加表!J53</f>
        <v>0</v>
      </c>
      <c r="K3" s="26">
        <f>股权价值增加表!K53</f>
        <v>0</v>
      </c>
      <c r="L3" s="26">
        <f>股权价值增加表!L53</f>
        <v>0</v>
      </c>
      <c r="M3" s="26">
        <f>股权价值增加表!M53</f>
        <v>54660764.880000003</v>
      </c>
      <c r="N3" s="26">
        <f>股权价值增加表!N53</f>
        <v>0</v>
      </c>
      <c r="O3" s="26">
        <f>股权价值增加表!O53</f>
        <v>0</v>
      </c>
      <c r="P3" s="26">
        <f>股权价值增加表!P53</f>
        <v>0</v>
      </c>
      <c r="Q3" s="26">
        <f>股权价值增加表!Q53</f>
        <v>0</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2287351170.8299999</v>
      </c>
      <c r="F4" s="26">
        <f>资产资本表!F89</f>
        <v>2100498159.79</v>
      </c>
      <c r="G4" s="26">
        <f>资产资本表!G89</f>
        <v>1928720148.1699998</v>
      </c>
      <c r="H4" s="26">
        <f>资产资本表!H89</f>
        <v>1619894302.4300001</v>
      </c>
      <c r="I4" s="26">
        <f>资产资本表!I89</f>
        <v>651949417.85000002</v>
      </c>
      <c r="J4" s="26">
        <f>资产资本表!J89</f>
        <v>314579673.97000003</v>
      </c>
      <c r="K4" s="26">
        <f>资产资本表!K89</f>
        <v>318238655.71000004</v>
      </c>
      <c r="L4" s="26">
        <f>资产资本表!L89</f>
        <v>1391271666.8899999</v>
      </c>
      <c r="M4" s="26">
        <f>资产资本表!M89</f>
        <v>1571464836.1900001</v>
      </c>
      <c r="N4" s="26">
        <f>资产资本表!N89</f>
        <v>305800000</v>
      </c>
      <c r="O4" s="26">
        <f>资产资本表!O89</f>
        <v>341800000</v>
      </c>
      <c r="P4" s="26">
        <f>资产资本表!P89</f>
        <v>323800000</v>
      </c>
      <c r="Q4" s="26">
        <f>资产资本表!Q89</f>
        <v>0</v>
      </c>
      <c r="R4" s="26">
        <f>资产资本表!R89</f>
        <v>0</v>
      </c>
      <c r="S4" s="26">
        <f>资产资本表!S89</f>
        <v>299255639.31</v>
      </c>
      <c r="T4" s="26">
        <f>资产资本表!T89</f>
        <v>366249108.42000002</v>
      </c>
      <c r="U4" s="26">
        <f>资产资本表!U89</f>
        <v>416599846.75999999</v>
      </c>
      <c r="V4" s="26">
        <f>资产资本表!V89</f>
        <v>421477333.39999998</v>
      </c>
      <c r="W4" s="26">
        <f>资产资本表!W89</f>
        <v>414446558.33999997</v>
      </c>
      <c r="X4" s="26">
        <f>资产资本表!X89</f>
        <v>371294691.39999998</v>
      </c>
      <c r="Y4" s="26">
        <f>资产资本表!Y89</f>
        <v>351564114.06999999</v>
      </c>
      <c r="Z4" s="26">
        <f>资产资本表!Z89</f>
        <v>325800000</v>
      </c>
      <c r="AA4" s="26">
        <f>资产资本表!AA89</f>
        <v>330941716.93000001</v>
      </c>
      <c r="AB4" s="26">
        <f>资产资本表!AB89</f>
        <v>310800000</v>
      </c>
      <c r="AC4" s="26">
        <f>资产资本表!AC89</f>
        <v>296423773.13</v>
      </c>
      <c r="AD4" s="26">
        <f>资产资本表!AD89</f>
        <v>285774600</v>
      </c>
      <c r="AE4" s="26">
        <f>资产资本表!AE89</f>
        <v>219474600</v>
      </c>
      <c r="AF4" s="26">
        <f>资产资本表!AF89</f>
        <v>185927868.88999999</v>
      </c>
      <c r="AG4" s="26">
        <f>资产资本表!AG89</f>
        <v>186047257.78</v>
      </c>
      <c r="AH4" s="26">
        <f>资产资本表!AH89</f>
        <v>158800000</v>
      </c>
      <c r="AI4" s="26">
        <f>资产资本表!AI89</f>
        <v>139879685</v>
      </c>
      <c r="AJ4" s="26">
        <f>资产资本表!AJ89</f>
        <v>109879685</v>
      </c>
      <c r="AK4" s="26">
        <f>资产资本表!AK89</f>
        <v>109992080</v>
      </c>
      <c r="AL4" s="26">
        <f>资产资本表!AL89</f>
        <v>105732802.22</v>
      </c>
      <c r="AM4" s="26">
        <f>资产资本表!AM89</f>
        <v>93732802.219999999</v>
      </c>
      <c r="AN4" s="26">
        <f>资产资本表!AN89</f>
        <v>85180480</v>
      </c>
      <c r="AO4" s="26">
        <f>资产资本表!AO89</f>
        <v>74000000</v>
      </c>
      <c r="AP4" s="26">
        <f>资产资本表!AP89</f>
        <v>41700000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7.8920553104837476E-2</v>
      </c>
      <c r="F5" s="63">
        <f t="shared" ref="F5:BQ5" si="0">IF(F4+J4=0,0,F3/((F4+J4)/2))</f>
        <v>0</v>
      </c>
      <c r="G5" s="63">
        <f t="shared" si="0"/>
        <v>0</v>
      </c>
      <c r="H5" s="63">
        <f t="shared" si="0"/>
        <v>0</v>
      </c>
      <c r="I5" s="63">
        <f t="shared" si="0"/>
        <v>1.8895676603521577E-2</v>
      </c>
      <c r="J5" s="63">
        <f t="shared" si="0"/>
        <v>0</v>
      </c>
      <c r="K5" s="63">
        <f t="shared" si="0"/>
        <v>0</v>
      </c>
      <c r="L5" s="63">
        <f t="shared" si="0"/>
        <v>0</v>
      </c>
      <c r="M5" s="63">
        <f t="shared" si="0"/>
        <v>6.9566640781507344E-2</v>
      </c>
      <c r="N5" s="63">
        <f t="shared" si="0"/>
        <v>0</v>
      </c>
      <c r="O5" s="63">
        <f t="shared" si="0"/>
        <v>0</v>
      </c>
      <c r="P5" s="63">
        <f t="shared" si="0"/>
        <v>0</v>
      </c>
      <c r="Q5" s="63">
        <f t="shared" si="0"/>
        <v>0</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0.11335769717179803</v>
      </c>
      <c r="F6" s="63">
        <f>股权价值增加表!F41</f>
        <v>1.6241356688513894E-2</v>
      </c>
      <c r="G6" s="63">
        <f>股权价值增加表!G41</f>
        <v>-4.2981666725313197E-3</v>
      </c>
      <c r="H6" s="63">
        <f>股权价值增加表!H41</f>
        <v>0.12231218803188401</v>
      </c>
      <c r="I6" s="63">
        <f>股权价值增加表!I41</f>
        <v>2.934354388872298E-2</v>
      </c>
      <c r="J6" s="63">
        <f>股权价值增加表!J41</f>
        <v>6.7314703963549674E-2</v>
      </c>
      <c r="K6" s="63">
        <f>股权价值增加表!K41</f>
        <v>-0.5505452599198758</v>
      </c>
      <c r="L6" s="63">
        <f>股权价值增加表!L41</f>
        <v>-9.2505863390843185E-2</v>
      </c>
      <c r="M6" s="63">
        <f>股权价值增加表!M41</f>
        <v>6.5644358780824422E-3</v>
      </c>
      <c r="N6" s="63">
        <f>股权价值增加表!N41</f>
        <v>2.8487490677187952E-2</v>
      </c>
      <c r="O6" s="63">
        <f>股权价值增加表!O41</f>
        <v>2.7637102641929631E-2</v>
      </c>
      <c r="P6" s="63">
        <f>股权价值增加表!P41</f>
        <v>2.960960878345139E-2</v>
      </c>
      <c r="Q6" s="63">
        <f>股权价值增加表!Q41</f>
        <v>5.1991274072148007E-2</v>
      </c>
      <c r="R6" s="63">
        <f>股权价值增加表!R41</f>
        <v>5.6243874647147286E-2</v>
      </c>
      <c r="S6" s="63">
        <f>股权价值增加表!S41</f>
        <v>-0.18209458333846798</v>
      </c>
      <c r="T6" s="63">
        <f>股权价值增加表!T41</f>
        <v>1.0303352015883236</v>
      </c>
      <c r="U6" s="63">
        <f>股权价值增加表!U41</f>
        <v>0.27094070463759706</v>
      </c>
      <c r="V6" s="63">
        <f>股权价值增加表!V41</f>
        <v>0.25955673486172903</v>
      </c>
      <c r="W6" s="63">
        <f>股权价值增加表!W41</f>
        <v>0.35805589236199659</v>
      </c>
      <c r="X6" s="63">
        <f>股权价值增加表!X41</f>
        <v>1.0216840332409487</v>
      </c>
      <c r="Y6" s="63">
        <f>股权价值增加表!Y41</f>
        <v>0.22758870065444869</v>
      </c>
      <c r="Z6" s="63">
        <f>股权价值增加表!Z41</f>
        <v>0.20592351863962169</v>
      </c>
      <c r="AA6" s="63">
        <f>股权价值增加表!AA41</f>
        <v>0.21895687337858272</v>
      </c>
      <c r="AB6" s="63">
        <f>股权价值增加表!AB41</f>
        <v>0.21693029902873776</v>
      </c>
      <c r="AC6" s="63">
        <f>股权价值增加表!AC41</f>
        <v>0.20403961061281103</v>
      </c>
      <c r="AD6" s="63">
        <f>股权价值增加表!AD41</f>
        <v>0.19734183011909659</v>
      </c>
      <c r="AE6" s="63">
        <f>股权价值增加表!AE41</f>
        <v>0.20765076190565523</v>
      </c>
      <c r="AF6" s="63">
        <f>股权价值增加表!AF41</f>
        <v>0.22537429095385172</v>
      </c>
      <c r="AG6" s="63">
        <f>股权价值增加表!AG41</f>
        <v>0.18627879748060927</v>
      </c>
      <c r="AH6" s="63">
        <f>股权价值增加表!AH41</f>
        <v>0.20631377406644788</v>
      </c>
      <c r="AI6" s="63">
        <f>股权价值增加表!AI41</f>
        <v>0.19946292322856723</v>
      </c>
      <c r="AJ6" s="63">
        <f>股权价值增加表!AJ41</f>
        <v>-8.0705594292247246E-2</v>
      </c>
      <c r="AK6" s="63">
        <f>股权价值增加表!AK41</f>
        <v>0.19148098553503307</v>
      </c>
      <c r="AL6" s="63">
        <f>股权价值增加表!AL41</f>
        <v>0.19992285927203743</v>
      </c>
      <c r="AM6" s="63">
        <f>股权价值增加表!AM41</f>
        <v>0.20190418243877292</v>
      </c>
      <c r="AN6" s="63">
        <f>股权价值增加表!AN41</f>
        <v>0.19301022194032325</v>
      </c>
      <c r="AO6" s="63">
        <f>股权价值增加表!AO41</f>
        <v>9.5985194419717895E-2</v>
      </c>
      <c r="AP6" s="63">
        <f>股权价值增加表!AP41</f>
        <v>0.12350849813808527</v>
      </c>
      <c r="AQ6" s="63">
        <f>股权价值增加表!AQ41</f>
        <v>0.11983124026554481</v>
      </c>
      <c r="AR6" s="63" t="e">
        <f>股权价值增加表!AR41</f>
        <v>#DIV/0!</v>
      </c>
      <c r="AS6" s="63">
        <f>股权价值增加表!AS41</f>
        <v>7.3937250836614146</v>
      </c>
      <c r="AT6" s="63">
        <f>股权价值增加表!AT41</f>
        <v>15.592366512196667</v>
      </c>
      <c r="AU6" s="63">
        <f>股权价值增加表!AU41</f>
        <v>15.376416082794156</v>
      </c>
      <c r="AV6" s="63">
        <f>股权价值增加表!AV41</f>
        <v>92.644454630179325</v>
      </c>
      <c r="AW6" s="63">
        <f>股权价值增加表!AW41</f>
        <v>10.916220541131098</v>
      </c>
      <c r="AX6" s="63">
        <f>股权价值增加表!AX41</f>
        <v>18.231369460204579</v>
      </c>
      <c r="AY6" s="63">
        <f>股权价值增加表!AY41</f>
        <v>16.021387764306059</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6.9974300945348511E-2</v>
      </c>
      <c r="F7" s="63">
        <f t="shared" ref="F7:BQ7" si="2">F5*(1-F6)</f>
        <v>0</v>
      </c>
      <c r="G7" s="63">
        <f t="shared" si="2"/>
        <v>0</v>
      </c>
      <c r="H7" s="63">
        <f t="shared" si="2"/>
        <v>0</v>
      </c>
      <c r="I7" s="63">
        <f t="shared" si="2"/>
        <v>1.8341210487799027E-2</v>
      </c>
      <c r="J7" s="63">
        <f t="shared" si="2"/>
        <v>0</v>
      </c>
      <c r="K7" s="63">
        <f t="shared" si="2"/>
        <v>0</v>
      </c>
      <c r="L7" s="63">
        <f t="shared" si="2"/>
        <v>0</v>
      </c>
      <c r="M7" s="63">
        <f t="shared" si="2"/>
        <v>6.9109975028843543E-2</v>
      </c>
      <c r="N7" s="63">
        <f t="shared" si="2"/>
        <v>0</v>
      </c>
      <c r="O7" s="63">
        <f t="shared" si="2"/>
        <v>0</v>
      </c>
      <c r="P7" s="63">
        <f t="shared" si="2"/>
        <v>0</v>
      </c>
      <c r="Q7" s="63">
        <f t="shared" si="2"/>
        <v>0</v>
      </c>
      <c r="R7" s="63">
        <f t="shared" si="2"/>
        <v>0</v>
      </c>
      <c r="S7" s="63">
        <f t="shared" si="2"/>
        <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t="e">
        <f t="shared" si="2"/>
        <v>#DIV/0!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9546589789.4300003</v>
      </c>
      <c r="F8" s="26">
        <f>资产资本表!F107</f>
        <v>8373798653.9199991</v>
      </c>
      <c r="G8" s="26">
        <f>资产资本表!G107</f>
        <v>8277020679.7399998</v>
      </c>
      <c r="H8" s="26">
        <f>资产资本表!H107</f>
        <v>5982506858.04</v>
      </c>
      <c r="I8" s="26">
        <f>资产资本表!I107</f>
        <v>5708952320.9099998</v>
      </c>
      <c r="J8" s="26">
        <f>资产资本表!J107</f>
        <v>5175724928.6900005</v>
      </c>
      <c r="K8" s="26">
        <f>资产资本表!K107</f>
        <v>4896314387.5999994</v>
      </c>
      <c r="L8" s="26">
        <f>资产资本表!L107</f>
        <v>4859560505.9000006</v>
      </c>
      <c r="M8" s="26">
        <f>资产资本表!M107</f>
        <v>4969042405.9700003</v>
      </c>
      <c r="N8" s="26">
        <f>资产资本表!N107</f>
        <v>878126876.58000004</v>
      </c>
      <c r="O8" s="26">
        <f>资产资本表!O107</f>
        <v>778930200.69999993</v>
      </c>
      <c r="P8" s="26">
        <f>资产资本表!P107</f>
        <v>733868850.33000004</v>
      </c>
      <c r="Q8" s="26">
        <f>资产资本表!Q107</f>
        <v>663016824.98000002</v>
      </c>
      <c r="R8" s="26">
        <f>资产资本表!R107</f>
        <v>559044815.99000001</v>
      </c>
      <c r="S8" s="26">
        <f>资产资本表!S107</f>
        <v>460548774.36000001</v>
      </c>
      <c r="T8" s="26">
        <f>资产资本表!T107</f>
        <v>467997433.69999999</v>
      </c>
      <c r="U8" s="26">
        <f>资产资本表!U107</f>
        <v>468020782.88</v>
      </c>
      <c r="V8" s="26">
        <f>资产资本表!V107</f>
        <v>471279482.13999999</v>
      </c>
      <c r="W8" s="26">
        <f>资产资本表!W107</f>
        <v>471453103.29000002</v>
      </c>
      <c r="X8" s="26">
        <f>资产资本表!X107</f>
        <v>459729453.69</v>
      </c>
      <c r="Y8" s="26">
        <f>资产资本表!Y107</f>
        <v>459751046.17000002</v>
      </c>
      <c r="Z8" s="26">
        <f>资产资本表!Z107</f>
        <v>455907603.92000002</v>
      </c>
      <c r="AA8" s="26">
        <f>资产资本表!AA107</f>
        <v>489305710.75</v>
      </c>
      <c r="AB8" s="26">
        <f>资产资本表!AB107</f>
        <v>487086855.54000002</v>
      </c>
      <c r="AC8" s="26">
        <f>资产资本表!AC107</f>
        <v>484265100.16000003</v>
      </c>
      <c r="AD8" s="26">
        <f>资产资本表!AD107</f>
        <v>469518472.25999999</v>
      </c>
      <c r="AE8" s="26">
        <f>资产资本表!AE107</f>
        <v>462420644.27999997</v>
      </c>
      <c r="AF8" s="26">
        <f>资产资本表!AF107</f>
        <v>455889327.56</v>
      </c>
      <c r="AG8" s="26">
        <f>资产资本表!AG107</f>
        <v>453425674.21999997</v>
      </c>
      <c r="AH8" s="26">
        <f>资产资本表!AH107</f>
        <v>448658814.74000001</v>
      </c>
      <c r="AI8" s="26">
        <f>资产资本表!AI107</f>
        <v>442087518.17000002</v>
      </c>
      <c r="AJ8" s="26">
        <f>资产资本表!AJ107</f>
        <v>436089902.19999999</v>
      </c>
      <c r="AK8" s="26">
        <f>资产资本表!AK107</f>
        <v>175753331.31</v>
      </c>
      <c r="AL8" s="26">
        <f>资产资本表!AL107</f>
        <v>162176159.81</v>
      </c>
      <c r="AM8" s="26">
        <f>资产资本表!AM107</f>
        <v>154453735.21000001</v>
      </c>
      <c r="AN8" s="26">
        <f>资产资本表!AN107</f>
        <v>145963929.21000001</v>
      </c>
      <c r="AO8" s="26">
        <f>资产资本表!AO107</f>
        <v>113209617.44000001</v>
      </c>
      <c r="AP8" s="26">
        <f>资产资本表!AP107</f>
        <v>84708636.640000001</v>
      </c>
      <c r="AQ8" s="26">
        <f>资产资本表!AQ107</f>
        <v>0</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741</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t="e">
        <f>股东权益回报率分析表!BV14</f>
        <v>#DIV/0!</v>
      </c>
    </row>
    <row r="10" spans="1:74" s="26" customFormat="1" x14ac:dyDescent="0.25">
      <c r="A10" s="17" t="s">
        <v>332</v>
      </c>
      <c r="E10" s="26">
        <f>资产资本表!E70</f>
        <v>11859221905.069998</v>
      </c>
      <c r="F10" s="26">
        <f>资产资本表!F70</f>
        <v>10474296813.709999</v>
      </c>
      <c r="G10" s="26">
        <f>资产资本表!G70</f>
        <v>10205740827.91</v>
      </c>
      <c r="H10" s="26">
        <f>资产资本表!H70</f>
        <v>7602401160.4699993</v>
      </c>
      <c r="I10" s="26">
        <f>资产资本表!I70</f>
        <v>6360901738.7600002</v>
      </c>
      <c r="J10" s="26">
        <f>资产资本表!J70</f>
        <v>5490304602.6599998</v>
      </c>
      <c r="K10" s="26">
        <f>资产资本表!K70</f>
        <v>5214553043.3100004</v>
      </c>
      <c r="L10" s="26">
        <f>资产资本表!L70</f>
        <v>6323269627.5200005</v>
      </c>
      <c r="M10" s="26">
        <f>资产资本表!M70</f>
        <v>6540507242.1600008</v>
      </c>
      <c r="N10" s="26">
        <f>资产资本表!N70</f>
        <v>1183926876.5799999</v>
      </c>
      <c r="O10" s="26">
        <f>资产资本表!O70</f>
        <v>1120730200.7000003</v>
      </c>
      <c r="P10" s="26">
        <f>资产资本表!P70</f>
        <v>1057668850.3299999</v>
      </c>
      <c r="Q10" s="26">
        <f>资产资本表!Q70</f>
        <v>663016824.98000002</v>
      </c>
      <c r="R10" s="26">
        <f>资产资本表!R70</f>
        <v>559044815.99000001</v>
      </c>
      <c r="S10" s="26">
        <f>资产资本表!S70</f>
        <v>761945326.73999989</v>
      </c>
      <c r="T10" s="26">
        <f>资产资本表!T70</f>
        <v>835767792.12</v>
      </c>
      <c r="U10" s="26">
        <f>资产资本表!U70</f>
        <v>887841879.63999999</v>
      </c>
      <c r="V10" s="26">
        <f>资产资本表!V70</f>
        <v>893173065.54000008</v>
      </c>
      <c r="W10" s="26">
        <f>资产资本表!W70</f>
        <v>887249661.63000011</v>
      </c>
      <c r="X10" s="26">
        <f>资产资本表!X70</f>
        <v>832374145.09000003</v>
      </c>
      <c r="Y10" s="26">
        <f>资产资本表!Y70</f>
        <v>812665160.24000001</v>
      </c>
      <c r="Z10" s="26">
        <f>资产资本表!Z70</f>
        <v>786351642.19000006</v>
      </c>
      <c r="AA10" s="26">
        <f>资产资本表!AA70</f>
        <v>829597427.67999983</v>
      </c>
      <c r="AB10" s="26">
        <f>资产资本表!AB70</f>
        <v>797886855.53999996</v>
      </c>
      <c r="AC10" s="26">
        <f>资产资本表!AC70</f>
        <v>780688873.28999996</v>
      </c>
      <c r="AD10" s="26">
        <f>资产资本表!AD70</f>
        <v>755293072.25999999</v>
      </c>
      <c r="AE10" s="26">
        <f>资产资本表!AE70</f>
        <v>681895244.27999997</v>
      </c>
      <c r="AF10" s="26">
        <f>资产资本表!AF70</f>
        <v>641817196.45000005</v>
      </c>
      <c r="AG10" s="26">
        <f>资产资本表!AG70</f>
        <v>639472932</v>
      </c>
      <c r="AH10" s="26">
        <f>资产资本表!AH70</f>
        <v>607458814.74000001</v>
      </c>
      <c r="AI10" s="26">
        <f>资产资本表!AI70</f>
        <v>581967203.16999996</v>
      </c>
      <c r="AJ10" s="26">
        <f>资产资本表!AJ70</f>
        <v>545969587.20000005</v>
      </c>
      <c r="AK10" s="26">
        <f>资产资本表!AK70</f>
        <v>285745411.30999994</v>
      </c>
      <c r="AL10" s="26">
        <f>资产资本表!AL70</f>
        <v>267908962.03</v>
      </c>
      <c r="AM10" s="26">
        <f>资产资本表!AM70</f>
        <v>248186537.43000001</v>
      </c>
      <c r="AN10" s="26">
        <f>资产资本表!AN70</f>
        <v>231144409.21000001</v>
      </c>
      <c r="AO10" s="26">
        <f>资产资本表!AO70</f>
        <v>187209617.44</v>
      </c>
      <c r="AP10" s="26">
        <f>资产资本表!AP70</f>
        <v>130334103.45999998</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0.19287531586301818</v>
      </c>
      <c r="F11" s="63">
        <f t="shared" ref="F11:BQ11" si="3">F4/F10</f>
        <v>0.2005383461198674</v>
      </c>
      <c r="G11" s="63">
        <f t="shared" si="3"/>
        <v>0.18898384553284567</v>
      </c>
      <c r="H11" s="63">
        <f t="shared" si="3"/>
        <v>0.21307666725782912</v>
      </c>
      <c r="I11" s="63">
        <f t="shared" si="3"/>
        <v>0.10249323832144146</v>
      </c>
      <c r="J11" s="63">
        <f t="shared" si="3"/>
        <v>5.7297308025057336E-2</v>
      </c>
      <c r="K11" s="63">
        <f t="shared" si="3"/>
        <v>6.102894209088229E-2</v>
      </c>
      <c r="L11" s="63">
        <f t="shared" si="3"/>
        <v>0.22002409336380924</v>
      </c>
      <c r="M11" s="63">
        <f t="shared" si="3"/>
        <v>0.24026650808676794</v>
      </c>
      <c r="N11" s="63">
        <f t="shared" si="3"/>
        <v>0.25829297910979265</v>
      </c>
      <c r="O11" s="63">
        <f t="shared" si="3"/>
        <v>0.30497973534264899</v>
      </c>
      <c r="P11" s="63">
        <f t="shared" si="3"/>
        <v>0.30614497146150438</v>
      </c>
      <c r="Q11" s="63">
        <f t="shared" si="3"/>
        <v>0</v>
      </c>
      <c r="R11" s="63">
        <f t="shared" si="3"/>
        <v>0</v>
      </c>
      <c r="S11" s="63">
        <f t="shared" si="3"/>
        <v>0.39275211594297971</v>
      </c>
      <c r="T11" s="63">
        <f t="shared" si="3"/>
        <v>0.43821873955082224</v>
      </c>
      <c r="U11" s="63">
        <f t="shared" si="3"/>
        <v>0.46922752385697541</v>
      </c>
      <c r="V11" s="63">
        <f t="shared" si="3"/>
        <v>0.47188764379631243</v>
      </c>
      <c r="W11" s="63">
        <f t="shared" si="3"/>
        <v>0.4671137970101949</v>
      </c>
      <c r="X11" s="63">
        <f t="shared" si="3"/>
        <v>0.44606706442071664</v>
      </c>
      <c r="Y11" s="63">
        <f t="shared" si="3"/>
        <v>0.43260635655424734</v>
      </c>
      <c r="Z11" s="63">
        <f t="shared" si="3"/>
        <v>0.41431845820610552</v>
      </c>
      <c r="AA11" s="63">
        <f t="shared" si="3"/>
        <v>0.39891844633063878</v>
      </c>
      <c r="AB11" s="63">
        <f t="shared" si="3"/>
        <v>0.3895289135821825</v>
      </c>
      <c r="AC11" s="63">
        <f t="shared" si="3"/>
        <v>0.37969514267675292</v>
      </c>
      <c r="AD11" s="63">
        <f t="shared" si="3"/>
        <v>0.37836253302959694</v>
      </c>
      <c r="AE11" s="63">
        <f t="shared" si="3"/>
        <v>0.32185970182522539</v>
      </c>
      <c r="AF11" s="63">
        <f t="shared" si="3"/>
        <v>0.28968975888835424</v>
      </c>
      <c r="AG11" s="63">
        <f t="shared" si="3"/>
        <v>0.2909384408158186</v>
      </c>
      <c r="AH11" s="63">
        <f t="shared" si="3"/>
        <v>0.26141689962630371</v>
      </c>
      <c r="AI11" s="63">
        <f t="shared" si="3"/>
        <v>0.24035664593824091</v>
      </c>
      <c r="AJ11" s="63">
        <f t="shared" si="3"/>
        <v>0.20125605450574077</v>
      </c>
      <c r="AK11" s="63">
        <f t="shared" si="3"/>
        <v>0.3849303458478695</v>
      </c>
      <c r="AL11" s="63">
        <f t="shared" si="3"/>
        <v>0.39465944483096543</v>
      </c>
      <c r="AM11" s="63">
        <f t="shared" si="3"/>
        <v>0.37767077614528932</v>
      </c>
      <c r="AN11" s="63">
        <f t="shared" si="3"/>
        <v>0.36851628941027759</v>
      </c>
      <c r="AO11" s="63">
        <f t="shared" si="3"/>
        <v>0.39527883776439388</v>
      </c>
      <c r="AP11" s="63">
        <f t="shared" si="3"/>
        <v>0.31994695857019406</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0.80499293004616834</v>
      </c>
      <c r="F12" s="63">
        <f t="shared" ref="F12:BQ12" si="4">F8/F10</f>
        <v>0.79946165388013257</v>
      </c>
      <c r="G12" s="63">
        <f t="shared" si="4"/>
        <v>0.81101615446715436</v>
      </c>
      <c r="H12" s="63">
        <f t="shared" si="4"/>
        <v>0.78692333274217097</v>
      </c>
      <c r="I12" s="63">
        <f t="shared" si="4"/>
        <v>0.89750676167855847</v>
      </c>
      <c r="J12" s="63">
        <f t="shared" si="4"/>
        <v>0.94270269197494283</v>
      </c>
      <c r="K12" s="63">
        <f t="shared" si="4"/>
        <v>0.9389710579091175</v>
      </c>
      <c r="L12" s="63">
        <f t="shared" si="4"/>
        <v>0.76852021061229525</v>
      </c>
      <c r="M12" s="63">
        <f t="shared" si="4"/>
        <v>0.75973349191323203</v>
      </c>
      <c r="N12" s="63">
        <f t="shared" si="4"/>
        <v>0.74170702089020746</v>
      </c>
      <c r="O12" s="63">
        <f t="shared" si="4"/>
        <v>0.69502026465735067</v>
      </c>
      <c r="P12" s="63">
        <f t="shared" si="4"/>
        <v>0.69385502853849568</v>
      </c>
      <c r="Q12" s="63">
        <f t="shared" si="4"/>
        <v>1</v>
      </c>
      <c r="R12" s="63">
        <f t="shared" si="4"/>
        <v>1</v>
      </c>
      <c r="S12" s="63">
        <f t="shared" si="4"/>
        <v>0.60443808525011666</v>
      </c>
      <c r="T12" s="63">
        <f t="shared" si="4"/>
        <v>0.55996107784063143</v>
      </c>
      <c r="U12" s="63">
        <f t="shared" si="4"/>
        <v>0.52714429631295601</v>
      </c>
      <c r="V12" s="63">
        <f t="shared" si="4"/>
        <v>0.527646321102474</v>
      </c>
      <c r="W12" s="63">
        <f t="shared" si="4"/>
        <v>0.53136464704182085</v>
      </c>
      <c r="X12" s="63">
        <f t="shared" si="4"/>
        <v>0.55231106876859082</v>
      </c>
      <c r="Y12" s="63">
        <f t="shared" si="4"/>
        <v>0.56573244266337719</v>
      </c>
      <c r="Z12" s="63">
        <f t="shared" si="4"/>
        <v>0.57977573830747164</v>
      </c>
      <c r="AA12" s="63">
        <f t="shared" si="4"/>
        <v>0.58981102691984189</v>
      </c>
      <c r="AB12" s="63">
        <f t="shared" si="4"/>
        <v>0.61047108641781755</v>
      </c>
      <c r="AC12" s="63">
        <f t="shared" si="4"/>
        <v>0.62030485732324714</v>
      </c>
      <c r="AD12" s="63">
        <f t="shared" si="4"/>
        <v>0.62163746697040301</v>
      </c>
      <c r="AE12" s="63">
        <f t="shared" si="4"/>
        <v>0.67814029817477461</v>
      </c>
      <c r="AF12" s="63">
        <f t="shared" si="4"/>
        <v>0.71031024111164565</v>
      </c>
      <c r="AG12" s="63">
        <f t="shared" si="4"/>
        <v>0.70906155918418134</v>
      </c>
      <c r="AH12" s="63">
        <f t="shared" si="4"/>
        <v>0.73858310037369634</v>
      </c>
      <c r="AI12" s="63">
        <f t="shared" si="4"/>
        <v>0.7596433540617592</v>
      </c>
      <c r="AJ12" s="63">
        <f t="shared" si="4"/>
        <v>0.79874394549425909</v>
      </c>
      <c r="AK12" s="63">
        <f t="shared" si="4"/>
        <v>0.61506965415213066</v>
      </c>
      <c r="AL12" s="63">
        <f t="shared" si="4"/>
        <v>0.60534055516903451</v>
      </c>
      <c r="AM12" s="63">
        <f t="shared" si="4"/>
        <v>0.62232922385471068</v>
      </c>
      <c r="AN12" s="63">
        <f t="shared" si="4"/>
        <v>0.63148371058972241</v>
      </c>
      <c r="AO12" s="63">
        <f t="shared" si="4"/>
        <v>0.60472116223560624</v>
      </c>
      <c r="AP12" s="63">
        <f t="shared" si="4"/>
        <v>0.64993454814378182</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7.7895749800821451E-2</v>
      </c>
      <c r="F13" s="63">
        <f t="shared" ref="F13:J13" si="5">F5*F11*(1-F6)+F9*F12</f>
        <v>6.3956932310410608E-2</v>
      </c>
      <c r="G13" s="63">
        <f t="shared" si="5"/>
        <v>6.4881292357372347E-2</v>
      </c>
      <c r="H13" s="63">
        <f t="shared" si="5"/>
        <v>6.2953866619373675E-2</v>
      </c>
      <c r="I13" s="63">
        <f t="shared" si="5"/>
        <v>7.3680390991914382E-2</v>
      </c>
      <c r="J13" s="63">
        <f t="shared" si="5"/>
        <v>7.5416215357995434E-2</v>
      </c>
      <c r="K13" s="63">
        <f t="shared" ref="K13" si="6">K5*K11*(1-K6)+K9*K12</f>
        <v>7.5117684632729401E-2</v>
      </c>
      <c r="L13" s="63">
        <f t="shared" ref="L13" si="7">L5*L11*(1-L6)+L9*L12</f>
        <v>6.1481616848983622E-2</v>
      </c>
      <c r="M13" s="63">
        <f t="shared" ref="M13" si="8">M5*M11*(1-M6)+M9*M12</f>
        <v>7.7383491727202533E-2</v>
      </c>
      <c r="N13" s="63">
        <f t="shared" ref="N13:O13" si="9">N5*N11*(1-N6)+N9*N12</f>
        <v>5.9336561671216599E-2</v>
      </c>
      <c r="O13" s="63">
        <f t="shared" si="9"/>
        <v>5.5601621172588052E-2</v>
      </c>
      <c r="P13" s="63">
        <f t="shared" ref="P13" si="10">P5*P11*(1-P6)+P9*P12</f>
        <v>5.5508402283079655E-2</v>
      </c>
      <c r="Q13" s="63">
        <f t="shared" ref="Q13" si="11">Q5*Q11*(1-Q6)+Q9*Q12</f>
        <v>0.08</v>
      </c>
      <c r="R13" s="63">
        <f t="shared" ref="R13" si="12">R5*R11*(1-R6)+R9*R12</f>
        <v>0.08</v>
      </c>
      <c r="S13" s="63">
        <f t="shared" ref="S13:T13" si="13">S5*S11*(1-S6)+S9*S12</f>
        <v>4.8355046820009337E-2</v>
      </c>
      <c r="T13" s="63">
        <f t="shared" si="13"/>
        <v>4.4796886227250518E-2</v>
      </c>
      <c r="U13" s="63">
        <f t="shared" ref="U13" si="14">U5*U11*(1-U6)+U9*U12</f>
        <v>4.2171543705036479E-2</v>
      </c>
      <c r="V13" s="63">
        <f t="shared" ref="V13" si="15">V5*V11*(1-V6)+V9*V12</f>
        <v>4.2211705688197924E-2</v>
      </c>
      <c r="W13" s="63">
        <f t="shared" ref="W13" si="16">W5*W11*(1-W6)+W9*W12</f>
        <v>4.250917176334567E-2</v>
      </c>
      <c r="X13" s="63">
        <f t="shared" ref="X13:Y13" si="17">X5*X11*(1-X6)+X9*X12</f>
        <v>4.4184885501487269E-2</v>
      </c>
      <c r="Y13" s="63">
        <f t="shared" si="17"/>
        <v>4.5258595413070174E-2</v>
      </c>
      <c r="Z13" s="63">
        <f t="shared" ref="Z13" si="18">Z5*Z11*(1-Z6)+Z9*Z12</f>
        <v>4.6382059064597733E-2</v>
      </c>
      <c r="AA13" s="63">
        <f t="shared" ref="AA13" si="19">AA5*AA11*(1-AA6)+AA9*AA12</f>
        <v>4.7184882153587349E-2</v>
      </c>
      <c r="AB13" s="63">
        <f t="shared" ref="AB13" si="20">AB5*AB11*(1-AB6)+AB9*AB12</f>
        <v>4.8837686913425403E-2</v>
      </c>
      <c r="AC13" s="63">
        <f t="shared" ref="AC13:AD13" si="21">AC5*AC11*(1-AC6)+AC9*AC12</f>
        <v>4.9624388585859769E-2</v>
      </c>
      <c r="AD13" s="63">
        <f t="shared" si="21"/>
        <v>4.9730997357632242E-2</v>
      </c>
      <c r="AE13" s="63">
        <f t="shared" ref="AE13" si="22">AE5*AE11*(1-AE6)+AE9*AE12</f>
        <v>5.425122385398197E-2</v>
      </c>
      <c r="AF13" s="63">
        <f t="shared" ref="AF13" si="23">AF5*AF11*(1-AF6)+AF9*AF12</f>
        <v>5.6824819288931655E-2</v>
      </c>
      <c r="AG13" s="63">
        <f t="shared" ref="AG13" si="24">AG5*AG11*(1-AG6)+AG9*AG12</f>
        <v>5.6724924734734505E-2</v>
      </c>
      <c r="AH13" s="63">
        <f t="shared" ref="AH13:AI13" si="25">AH5*AH11*(1-AH6)+AH9*AH12</f>
        <v>5.9086648029895709E-2</v>
      </c>
      <c r="AI13" s="63">
        <f t="shared" si="25"/>
        <v>6.0771468324940736E-2</v>
      </c>
      <c r="AJ13" s="63">
        <f t="shared" ref="AJ13" si="26">AJ5*AJ11*(1-AJ6)+AJ9*AJ12</f>
        <v>6.389951563954073E-2</v>
      </c>
      <c r="AK13" s="63">
        <f t="shared" ref="AK13" si="27">AK5*AK11*(1-AK6)+AK9*AK12</f>
        <v>4.9205572332170454E-2</v>
      </c>
      <c r="AL13" s="63">
        <f t="shared" ref="AL13" si="28">AL5*AL11*(1-AL6)+AL9*AL12</f>
        <v>4.8427244413522759E-2</v>
      </c>
      <c r="AM13" s="63">
        <f t="shared" ref="AM13:AN13" si="29">AM5*AM11*(1-AM6)+AM9*AM12</f>
        <v>4.9786337908376853E-2</v>
      </c>
      <c r="AN13" s="63">
        <f t="shared" si="29"/>
        <v>5.0518696847177795E-2</v>
      </c>
      <c r="AO13" s="63">
        <f t="shared" ref="AO13" si="30">AO5*AO11*(1-AO6)+AO9*AO12</f>
        <v>4.8377692978848502E-2</v>
      </c>
      <c r="AP13" s="63">
        <f t="shared" ref="AP13" si="31">AP5*AP11*(1-AP6)+AP9*AP12</f>
        <v>5.1994763851502548E-2</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668</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71"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7" width="22.6640625" hidden="1" customWidth="1"/>
    <col min="8" max="8" width="21.44140625" hidden="1" customWidth="1"/>
    <col min="9" max="9" width="21.44140625" bestFit="1" customWidth="1"/>
    <col min="10" max="12" width="21.44140625" hidden="1" customWidth="1"/>
    <col min="13" max="13" width="21.44140625" bestFit="1" customWidth="1"/>
    <col min="14" max="16" width="21.44140625" hidden="1" customWidth="1"/>
    <col min="17" max="17" width="19" bestFit="1" customWidth="1"/>
    <col min="18" max="20" width="19" hidden="1" customWidth="1"/>
    <col min="21" max="21" width="19" bestFit="1" customWidth="1"/>
    <col min="22" max="24" width="19" hidden="1" customWidth="1"/>
    <col min="25" max="25" width="19" bestFit="1" customWidth="1"/>
    <col min="26" max="28" width="19" hidden="1" customWidth="1"/>
    <col min="29" max="29" width="19" bestFit="1" customWidth="1"/>
    <col min="30" max="32" width="19" hidden="1" customWidth="1"/>
    <col min="33" max="33" width="19" bestFit="1" customWidth="1"/>
    <col min="34" max="36" width="19" hidden="1" customWidth="1"/>
    <col min="37" max="37" width="19" bestFit="1" customWidth="1"/>
    <col min="38" max="39" width="19" hidden="1" customWidth="1"/>
    <col min="40" max="42" width="19" bestFit="1" customWidth="1"/>
    <col min="43" max="43" width="9.5546875" hidden="1" customWidth="1"/>
    <col min="44" max="90" width="8.5546875" bestFit="1" customWidth="1"/>
  </cols>
  <sheetData>
    <row r="1" spans="1:90" s="26" customFormat="1" x14ac:dyDescent="0.25">
      <c r="A1" s="17">
        <v>2354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39082</v>
      </c>
      <c r="AQ1" s="1">
        <v>25569</v>
      </c>
      <c r="AR1" s="189"/>
      <c r="AS1" s="189"/>
      <c r="AT1" s="189"/>
      <c r="AU1" s="189"/>
      <c r="AV1" s="189"/>
      <c r="AW1" s="189"/>
      <c r="AX1" s="189"/>
      <c r="AY1" s="189"/>
      <c r="AZ1" s="189"/>
      <c r="BA1" s="189"/>
      <c r="BB1" s="189"/>
      <c r="BC1" s="189"/>
      <c r="BD1" s="189"/>
      <c r="BE1" s="189"/>
      <c r="BF1" s="189"/>
      <c r="BG1" s="189"/>
      <c r="BH1" s="189"/>
      <c r="BI1" s="189"/>
      <c r="BJ1" s="189"/>
      <c r="BK1" s="189"/>
      <c r="BL1" s="189"/>
      <c r="BM1" s="189"/>
      <c r="BN1" s="189"/>
      <c r="BO1" s="189"/>
      <c r="BP1" s="189"/>
      <c r="BQ1" s="189"/>
      <c r="BR1" s="189"/>
      <c r="BS1" s="189"/>
      <c r="BT1" s="189"/>
      <c r="BU1" s="189"/>
      <c r="BV1" s="189"/>
      <c r="BW1" s="189"/>
      <c r="BX1" s="189"/>
      <c r="BY1" s="189"/>
      <c r="BZ1" s="189"/>
      <c r="CA1" s="189"/>
      <c r="CB1" s="189"/>
      <c r="CC1" s="189"/>
      <c r="CD1" s="189"/>
      <c r="CE1" s="189"/>
      <c r="CF1" s="189"/>
      <c r="CG1" s="189"/>
      <c r="CH1" s="189"/>
      <c r="CI1" s="189"/>
      <c r="CJ1" s="189"/>
      <c r="CK1" s="189"/>
      <c r="CL1" s="189"/>
    </row>
    <row r="2" spans="1:90" s="26" customFormat="1" x14ac:dyDescent="0.25">
      <c r="A2" s="41" t="s">
        <v>552</v>
      </c>
      <c r="E2" s="26">
        <f>资产资本表!E17</f>
        <v>3399043798.1699996</v>
      </c>
      <c r="F2" s="26">
        <f>资产资本表!F17</f>
        <v>2367907057.2600002</v>
      </c>
      <c r="G2" s="26">
        <f>资产资本表!G17</f>
        <v>2835199442.1200004</v>
      </c>
      <c r="H2" s="26">
        <f>资产资本表!H17</f>
        <v>2479191968.1199999</v>
      </c>
      <c r="I2" s="26">
        <f>资产资本表!I17</f>
        <v>2020552479.51</v>
      </c>
      <c r="J2" s="26">
        <f>资产资本表!J17</f>
        <v>1399186516.8500001</v>
      </c>
      <c r="K2" s="26">
        <f>资产资本表!K17</f>
        <v>1203561686.75</v>
      </c>
      <c r="L2" s="26">
        <f>资产资本表!L17</f>
        <v>1186537192.7</v>
      </c>
      <c r="M2" s="26">
        <f>资产资本表!M17</f>
        <v>1462737218.6400001</v>
      </c>
      <c r="N2" s="26">
        <f>资产资本表!N17</f>
        <v>724920604.74000001</v>
      </c>
      <c r="O2" s="26">
        <f>资产资本表!O17</f>
        <v>583895063.42000008</v>
      </c>
      <c r="P2" s="26">
        <f>资产资本表!P17</f>
        <v>559706783.04000008</v>
      </c>
      <c r="Q2" s="26">
        <f>资产资本表!Q17</f>
        <v>577126147.18000007</v>
      </c>
      <c r="R2" s="26">
        <f>资产资本表!R17</f>
        <v>385276489.14999998</v>
      </c>
      <c r="S2" s="26">
        <f>资产资本表!S17</f>
        <v>14602570.91</v>
      </c>
      <c r="T2" s="26">
        <f>资产资本表!T17</f>
        <v>10715084.869999999</v>
      </c>
      <c r="U2" s="26">
        <f>资产资本表!U17</f>
        <v>42418327.289999999</v>
      </c>
      <c r="V2" s="26">
        <f>资产资本表!V17</f>
        <v>12761108.08</v>
      </c>
      <c r="W2" s="26">
        <f>资产资本表!W17</f>
        <v>39144749.439999998</v>
      </c>
      <c r="X2" s="26">
        <f>资产资本表!X17</f>
        <v>21321356.449999999</v>
      </c>
      <c r="Y2" s="26">
        <f>资产资本表!Y17</f>
        <v>54122546.049999997</v>
      </c>
      <c r="Z2" s="26">
        <f>资产资本表!Z17</f>
        <v>38321114.700000003</v>
      </c>
      <c r="AA2" s="26">
        <f>资产资本表!AA17</f>
        <v>70190763.319999993</v>
      </c>
      <c r="AB2" s="26">
        <f>资产资本表!AB17</f>
        <v>39778689.759999998</v>
      </c>
      <c r="AC2" s="26">
        <f>资产资本表!AC17</f>
        <v>93450674.209999993</v>
      </c>
      <c r="AD2" s="26">
        <f>资产资本表!AD17</f>
        <v>179512468.30000001</v>
      </c>
      <c r="AE2" s="26">
        <f>资产资本表!AE17</f>
        <v>191300366.84</v>
      </c>
      <c r="AF2" s="26">
        <f>资产资本表!AF17</f>
        <v>178815596.55000001</v>
      </c>
      <c r="AG2" s="26">
        <f>资产资本表!AG17</f>
        <v>205608853.86000001</v>
      </c>
      <c r="AH2" s="26">
        <f>资产资本表!AH17</f>
        <v>213469557.75999999</v>
      </c>
      <c r="AI2" s="26">
        <f>资产资本表!AI17</f>
        <v>238346614.25</v>
      </c>
      <c r="AJ2" s="26">
        <f>资产资本表!AJ17</f>
        <v>260254380.81999999</v>
      </c>
      <c r="AK2" s="26">
        <f>资产资本表!AK17</f>
        <v>26384685.460000001</v>
      </c>
      <c r="AL2" s="26">
        <f>资产资本表!AL17</f>
        <v>3202539.9</v>
      </c>
      <c r="AM2" s="26">
        <f>资产资本表!AM17</f>
        <v>19362901.329999998</v>
      </c>
      <c r="AN2" s="26">
        <f>资产资本表!AN17</f>
        <v>8902627.6600000001</v>
      </c>
      <c r="AO2" s="26">
        <f>资产资本表!AO17</f>
        <v>19424731.329999998</v>
      </c>
      <c r="AP2" s="26">
        <f>资产资本表!AP17</f>
        <v>2308435.96</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2319702475.1399999</v>
      </c>
      <c r="F3" s="26">
        <f>资产资本表!F19</f>
        <v>2350299627.3499999</v>
      </c>
      <c r="G3" s="26">
        <f>资产资本表!G19</f>
        <v>89122383.870000005</v>
      </c>
      <c r="H3" s="26">
        <f>资产资本表!H19</f>
        <v>81129474.230000004</v>
      </c>
      <c r="I3" s="26">
        <f>资产资本表!I19</f>
        <v>67653795.959999993</v>
      </c>
      <c r="J3" s="26">
        <f>资产资本表!J19</f>
        <v>71633965.890000001</v>
      </c>
      <c r="K3" s="26">
        <f>资产资本表!K19</f>
        <v>75431118.090000004</v>
      </c>
      <c r="L3" s="26">
        <f>资产资本表!L19</f>
        <v>1417668970.79</v>
      </c>
      <c r="M3" s="26">
        <f>资产资本表!M19</f>
        <v>1395231063.29</v>
      </c>
      <c r="N3" s="26">
        <f>资产资本表!N19</f>
        <v>37181498.380000003</v>
      </c>
      <c r="O3" s="26">
        <f>资产资本表!O19</f>
        <v>16583730.699999999</v>
      </c>
      <c r="P3" s="26">
        <f>资产资本表!P19</f>
        <v>17919243.780000001</v>
      </c>
      <c r="Q3" s="26">
        <f>资产资本表!Q19</f>
        <v>16499508.050000001</v>
      </c>
      <c r="R3" s="26">
        <f>资产资本表!R19</f>
        <v>8619745.6300000008</v>
      </c>
      <c r="S3" s="26">
        <f>资产资本表!S19</f>
        <v>0</v>
      </c>
      <c r="T3" s="26">
        <f>资产资本表!T19</f>
        <v>0</v>
      </c>
      <c r="U3" s="26">
        <f>资产资本表!U19</f>
        <v>0</v>
      </c>
      <c r="V3" s="26">
        <f>资产资本表!V19</f>
        <v>0</v>
      </c>
      <c r="W3" s="26">
        <f>资产资本表!W19</f>
        <v>0</v>
      </c>
      <c r="X3" s="26">
        <f>资产资本表!X19</f>
        <v>0</v>
      </c>
      <c r="Y3" s="26">
        <f>资产资本表!Y19</f>
        <v>0</v>
      </c>
      <c r="Z3" s="26">
        <f>资产资本表!Z19</f>
        <v>0</v>
      </c>
      <c r="AA3" s="26">
        <f>资产资本表!AA19</f>
        <v>0</v>
      </c>
      <c r="AB3" s="26">
        <f>资产资本表!AB19</f>
        <v>0</v>
      </c>
      <c r="AC3" s="26">
        <f>资产资本表!AC19</f>
        <v>0</v>
      </c>
      <c r="AD3" s="26">
        <f>资产资本表!AD19</f>
        <v>0</v>
      </c>
      <c r="AE3" s="26">
        <f>资产资本表!AE19</f>
        <v>0</v>
      </c>
      <c r="AF3" s="26">
        <f>资产资本表!AF19</f>
        <v>0</v>
      </c>
      <c r="AG3" s="26">
        <f>资产资本表!AG19</f>
        <v>0</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-957734679.6099999</v>
      </c>
      <c r="F4" s="26">
        <f>资产资本表!F50</f>
        <v>-1314730478.5900006</v>
      </c>
      <c r="G4" s="26">
        <f>资产资本表!G50</f>
        <v>-1456039849.5700004</v>
      </c>
      <c r="H4" s="26">
        <f>资产资本表!H50</f>
        <v>-3859967863.46</v>
      </c>
      <c r="I4" s="26">
        <f>资产资本表!I50</f>
        <v>-290055198.77999997</v>
      </c>
      <c r="J4" s="26">
        <f>资产资本表!J50</f>
        <v>72128412.279999912</v>
      </c>
      <c r="K4" s="26">
        <f>资产资本表!K50</f>
        <v>-681280.83000004292</v>
      </c>
      <c r="L4" s="26">
        <f>资产资本表!L50</f>
        <v>20986583.569999933</v>
      </c>
      <c r="M4" s="26">
        <f>资产资本表!M50</f>
        <v>15860228.830000043</v>
      </c>
      <c r="N4" s="26">
        <f>资产资本表!N50</f>
        <v>-75289782.040000021</v>
      </c>
      <c r="O4" s="26">
        <f>资产资本表!O50</f>
        <v>24626605.520000011</v>
      </c>
      <c r="P4" s="26">
        <f>资产资本表!P50</f>
        <v>-19392435.240000039</v>
      </c>
      <c r="Q4" s="26">
        <f>资产资本表!Q50</f>
        <v>51511672.479999989</v>
      </c>
      <c r="R4" s="26">
        <f>资产资本表!R50</f>
        <v>175908670.56999999</v>
      </c>
      <c r="S4" s="26">
        <f>资产资本表!S50</f>
        <v>256958007.05999994</v>
      </c>
      <c r="T4" s="26">
        <f>资产资本表!T50</f>
        <v>328785389.03999996</v>
      </c>
      <c r="U4" s="26">
        <f>资产资本表!U50</f>
        <v>345248950.51999998</v>
      </c>
      <c r="V4" s="26">
        <f>资产资本表!V50</f>
        <v>378333678.95999992</v>
      </c>
      <c r="W4" s="26">
        <f>资产资本表!W50</f>
        <v>357437101.05000001</v>
      </c>
      <c r="X4" s="26">
        <f>资产资本表!X50</f>
        <v>352956885.12</v>
      </c>
      <c r="Y4" s="26">
        <f>资产资本表!Y50</f>
        <v>301333943.85000002</v>
      </c>
      <c r="Z4" s="26">
        <f>资产资本表!Z50</f>
        <v>338872861.70000005</v>
      </c>
      <c r="AA4" s="26">
        <f>资产资本表!AA50</f>
        <v>354765381.45999998</v>
      </c>
      <c r="AB4" s="26">
        <f>资产资本表!AB50</f>
        <v>478000534.42999995</v>
      </c>
      <c r="AC4" s="26">
        <f>资产资本表!AC50</f>
        <v>422502795.18999994</v>
      </c>
      <c r="AD4" s="26">
        <f>资产资本表!AD50</f>
        <v>381778311.09000003</v>
      </c>
      <c r="AE4" s="26">
        <f>资产资本表!AE50</f>
        <v>295820331.20999998</v>
      </c>
      <c r="AF4" s="26">
        <f>资产资本表!AF50</f>
        <v>289294742.25999999</v>
      </c>
      <c r="AG4" s="26">
        <f>资产资本表!AG50</f>
        <v>260676349.65999997</v>
      </c>
      <c r="AH4" s="26">
        <f>资产资本表!AH50</f>
        <v>241807692.50000006</v>
      </c>
      <c r="AI4" s="26">
        <f>资产资本表!AI50</f>
        <v>207311524.90999997</v>
      </c>
      <c r="AJ4" s="26">
        <f>资产资本表!AJ50</f>
        <v>153384075.29000002</v>
      </c>
      <c r="AK4" s="26">
        <f>资产资本表!AK50</f>
        <v>125614773.11999999</v>
      </c>
      <c r="AL4" s="26">
        <f>资产资本表!AL50</f>
        <v>132487956.74999999</v>
      </c>
      <c r="AM4" s="26">
        <f>资产资本表!AM50</f>
        <v>95562277.710000008</v>
      </c>
      <c r="AN4" s="26">
        <f>资产资本表!AN50</f>
        <v>101347717.28</v>
      </c>
      <c r="AO4" s="26">
        <f>资产资本表!AO50</f>
        <v>83662270.470000029</v>
      </c>
      <c r="AP4" s="26">
        <f>资产资本表!AP50</f>
        <v>81265599.559999987</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1472474469.8399999</v>
      </c>
      <c r="F5" s="26">
        <f>资产资本表!F33</f>
        <v>1372150193.1299996</v>
      </c>
      <c r="G5" s="26">
        <f>资产资本表!G33</f>
        <v>1407316088.5899999</v>
      </c>
      <c r="H5" s="26">
        <f>资产资本表!H33</f>
        <v>1179305346.3399999</v>
      </c>
      <c r="I5" s="26">
        <f>资产资本表!I33</f>
        <v>586635849.01999998</v>
      </c>
      <c r="J5" s="26">
        <f>资产资本表!J33</f>
        <v>594535366.5999999</v>
      </c>
      <c r="K5" s="26">
        <f>资产资本表!K33</f>
        <v>550138591.83999991</v>
      </c>
      <c r="L5" s="26">
        <f>资产资本表!L33</f>
        <v>613855249.96999991</v>
      </c>
      <c r="M5" s="26">
        <f>资产资本表!M33</f>
        <v>677727154.16000009</v>
      </c>
      <c r="N5" s="26">
        <f>资产资本表!N33</f>
        <v>215516904.38999999</v>
      </c>
      <c r="O5" s="26">
        <f>资产资本表!O33</f>
        <v>238240678.38</v>
      </c>
      <c r="P5" s="26">
        <f>资产资本表!P33</f>
        <v>252665141.10999998</v>
      </c>
      <c r="Q5" s="26">
        <f>资产资本表!Q33</f>
        <v>105719267.17999999</v>
      </c>
      <c r="R5" s="26">
        <f>资产资本表!R33</f>
        <v>243558246.75</v>
      </c>
      <c r="S5" s="26">
        <f>资产资本表!S33</f>
        <v>357097971.20999998</v>
      </c>
      <c r="T5" s="26">
        <f>资产资本表!T33</f>
        <v>400512832.97999996</v>
      </c>
      <c r="U5" s="26">
        <f>资产资本表!U33</f>
        <v>426911111.28999996</v>
      </c>
      <c r="V5" s="26">
        <f>资产资本表!V33</f>
        <v>471325721.41999996</v>
      </c>
      <c r="W5" s="26">
        <f>资产资本表!W33</f>
        <v>472241674.59000003</v>
      </c>
      <c r="X5" s="26">
        <f>资产资本表!X33</f>
        <v>439432821.02999997</v>
      </c>
      <c r="Y5" s="26">
        <f>资产资本表!Y33</f>
        <v>398835275.69</v>
      </c>
      <c r="Z5" s="26">
        <f>资产资本表!Z33</f>
        <v>490887961.77000004</v>
      </c>
      <c r="AA5" s="26">
        <f>资产资本表!AA33</f>
        <v>464702270.5</v>
      </c>
      <c r="AB5" s="26">
        <f>资产资本表!AB33</f>
        <v>551049954.80999994</v>
      </c>
      <c r="AC5" s="26">
        <f>资产资本表!AC33</f>
        <v>524719091.35999995</v>
      </c>
      <c r="AD5" s="26">
        <f>资产资本表!AD33</f>
        <v>509846444.41000003</v>
      </c>
      <c r="AE5" s="26">
        <f>资产资本表!AE33</f>
        <v>410472742.81999999</v>
      </c>
      <c r="AF5" s="26">
        <f>资产资本表!AF33</f>
        <v>384934443.55000001</v>
      </c>
      <c r="AG5" s="26">
        <f>资产资本表!AG33</f>
        <v>329579410.53999996</v>
      </c>
      <c r="AH5" s="26">
        <f>资产资本表!AH33</f>
        <v>317352240.70000005</v>
      </c>
      <c r="AI5" s="26">
        <f>资产资本表!AI33</f>
        <v>269620434.66999996</v>
      </c>
      <c r="AJ5" s="26">
        <f>资产资本表!AJ33</f>
        <v>208823259.54000002</v>
      </c>
      <c r="AK5" s="26">
        <f>资产资本表!AK33</f>
        <v>161582963.63</v>
      </c>
      <c r="AL5" s="26">
        <f>资产资本表!AL33</f>
        <v>148970566.72999999</v>
      </c>
      <c r="AM5" s="26">
        <f>资产资本表!AM33</f>
        <v>132970330.98</v>
      </c>
      <c r="AN5" s="26">
        <f>资产资本表!AN33</f>
        <v>156414727.86000001</v>
      </c>
      <c r="AO5" s="26">
        <f>资产资本表!AO33</f>
        <v>134786998.86000001</v>
      </c>
      <c r="AP5" s="26">
        <f>资产资本表!AP33</f>
        <v>106661910.05999999</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2430209149.4499998</v>
      </c>
      <c r="F6" s="26">
        <f>资产资本表!F49</f>
        <v>2686880671.7200003</v>
      </c>
      <c r="G6" s="26">
        <f>资产资本表!G49</f>
        <v>2863355938.1600003</v>
      </c>
      <c r="H6" s="26">
        <f>资产资本表!H49</f>
        <v>5039273209.8000002</v>
      </c>
      <c r="I6" s="26">
        <f>资产资本表!I49</f>
        <v>876691047.79999995</v>
      </c>
      <c r="J6" s="26">
        <f>资产资本表!J49</f>
        <v>522406954.31999999</v>
      </c>
      <c r="K6" s="26">
        <f>资产资本表!K49</f>
        <v>550819872.66999996</v>
      </c>
      <c r="L6" s="26">
        <f>资产资本表!L49</f>
        <v>592868666.39999998</v>
      </c>
      <c r="M6" s="26">
        <f>资产资本表!M49</f>
        <v>661866925.33000004</v>
      </c>
      <c r="N6" s="26">
        <f>资产资本表!N49</f>
        <v>290806686.43000001</v>
      </c>
      <c r="O6" s="26">
        <f>资产资本表!O49</f>
        <v>213614072.85999998</v>
      </c>
      <c r="P6" s="26">
        <f>资产资本表!P49</f>
        <v>272057576.35000002</v>
      </c>
      <c r="Q6" s="26">
        <f>资产资本表!Q49</f>
        <v>54207594.700000003</v>
      </c>
      <c r="R6" s="26">
        <f>资产资本表!R49</f>
        <v>67649576.179999992</v>
      </c>
      <c r="S6" s="26">
        <f>资产资本表!S49</f>
        <v>100139964.15000002</v>
      </c>
      <c r="T6" s="26">
        <f>资产资本表!T49</f>
        <v>71727443.940000013</v>
      </c>
      <c r="U6" s="26">
        <f>资产资本表!U49</f>
        <v>81662160.769999996</v>
      </c>
      <c r="V6" s="26">
        <f>资产资本表!V49</f>
        <v>92992042.460000008</v>
      </c>
      <c r="W6" s="26">
        <f>资产资本表!W49</f>
        <v>114804573.54000001</v>
      </c>
      <c r="X6" s="26">
        <f>资产资本表!X49</f>
        <v>86475935.909999996</v>
      </c>
      <c r="Y6" s="26">
        <f>资产资本表!Y49</f>
        <v>97501331.839999974</v>
      </c>
      <c r="Z6" s="26">
        <f>资产资本表!Z49</f>
        <v>152015100.06999999</v>
      </c>
      <c r="AA6" s="26">
        <f>资产资本表!AA49</f>
        <v>109936889.04000001</v>
      </c>
      <c r="AB6" s="26">
        <f>资产资本表!AB49</f>
        <v>73049420.37999998</v>
      </c>
      <c r="AC6" s="26">
        <f>资产资本表!AC49</f>
        <v>102216296.17000002</v>
      </c>
      <c r="AD6" s="26">
        <f>资产资本表!AD49</f>
        <v>128068133.32000001</v>
      </c>
      <c r="AE6" s="26">
        <f>资产资本表!AE49</f>
        <v>114652411.61</v>
      </c>
      <c r="AF6" s="26">
        <f>资产资本表!AF49</f>
        <v>95639701.289999992</v>
      </c>
      <c r="AG6" s="26">
        <f>资产资本表!AG49</f>
        <v>68903060.879999995</v>
      </c>
      <c r="AH6" s="26">
        <f>资产资本表!AH49</f>
        <v>75544548.200000003</v>
      </c>
      <c r="AI6" s="26">
        <f>资产资本表!AI49</f>
        <v>62308909.760000005</v>
      </c>
      <c r="AJ6" s="26">
        <f>资产资本表!AJ49</f>
        <v>55439184.25</v>
      </c>
      <c r="AK6" s="26">
        <f>资产资本表!AK49</f>
        <v>35968190.510000005</v>
      </c>
      <c r="AL6" s="26">
        <f>资产资本表!AL49</f>
        <v>16482609.980000002</v>
      </c>
      <c r="AM6" s="26">
        <f>资产资本表!AM49</f>
        <v>37408053.270000003</v>
      </c>
      <c r="AN6" s="26">
        <f>资产资本表!AN49</f>
        <v>55067010.580000006</v>
      </c>
      <c r="AO6" s="26">
        <f>资产资本表!AO49</f>
        <v>51124728.389999993</v>
      </c>
      <c r="AP6" s="26">
        <f>资产资本表!AP49</f>
        <v>25396310.499999996</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7098210311.369998</v>
      </c>
      <c r="F7" s="26">
        <f>资产资本表!F68</f>
        <v>7070820607.6899996</v>
      </c>
      <c r="G7" s="26">
        <f>资产资本表!G68</f>
        <v>8737458851.4899998</v>
      </c>
      <c r="H7" s="26">
        <f>资产资本表!H68</f>
        <v>8902047581.5799999</v>
      </c>
      <c r="I7" s="26">
        <f>资产资本表!I68</f>
        <v>4562750662.0699997</v>
      </c>
      <c r="J7" s="26">
        <f>资产资本表!J68</f>
        <v>3947355707.6400003</v>
      </c>
      <c r="K7" s="26">
        <f>资产资本表!K68</f>
        <v>3936241519.3000007</v>
      </c>
      <c r="L7" s="26">
        <f>资产资本表!L68</f>
        <v>3698076880.4600005</v>
      </c>
      <c r="M7" s="26">
        <f>资产资本表!M68</f>
        <v>3666678731.4000006</v>
      </c>
      <c r="N7" s="26">
        <f>资产资本表!N68</f>
        <v>497114555.5</v>
      </c>
      <c r="O7" s="26">
        <f>资产资本表!O68</f>
        <v>495624801.06000006</v>
      </c>
      <c r="P7" s="26">
        <f>资产资本表!P68</f>
        <v>499435258.74999994</v>
      </c>
      <c r="Q7" s="26">
        <f>资产资本表!Q68</f>
        <v>17879497.269999996</v>
      </c>
      <c r="R7" s="26">
        <f>资产资本表!R68</f>
        <v>-10760089.359999999</v>
      </c>
      <c r="S7" s="26">
        <f>资产资本表!S68</f>
        <v>490384748.77000004</v>
      </c>
      <c r="T7" s="26">
        <f>资产资本表!T68</f>
        <v>496267318.2100001</v>
      </c>
      <c r="U7" s="26">
        <f>资产资本表!U68</f>
        <v>500174601.83000004</v>
      </c>
      <c r="V7" s="26">
        <f>资产资本表!V68</f>
        <v>502078278.50000006</v>
      </c>
      <c r="W7" s="26">
        <f>资产资本表!W68</f>
        <v>490667811.14000005</v>
      </c>
      <c r="X7" s="26">
        <f>资产资本表!X68</f>
        <v>458095903.51999998</v>
      </c>
      <c r="Y7" s="26">
        <f>资产资本表!Y68</f>
        <v>457208670.33999997</v>
      </c>
      <c r="Z7" s="26">
        <f>资产资本表!Z68</f>
        <v>409157665.79000002</v>
      </c>
      <c r="AA7" s="26">
        <f>资产资本表!AA68</f>
        <v>404641282.89999998</v>
      </c>
      <c r="AB7" s="26">
        <f>资产资本表!AB68</f>
        <v>280107631.34999996</v>
      </c>
      <c r="AC7" s="26">
        <f>资产资本表!AC68</f>
        <v>264735403.89000005</v>
      </c>
      <c r="AD7" s="26">
        <f>资产资本表!AD68</f>
        <v>194002292.87</v>
      </c>
      <c r="AE7" s="26">
        <f>资产资本表!AE68</f>
        <v>194774546.22999999</v>
      </c>
      <c r="AF7" s="26">
        <f>资产资本表!AF68</f>
        <v>173706857.63999999</v>
      </c>
      <c r="AG7" s="26">
        <f>资产资本表!AG68</f>
        <v>173187728.47999999</v>
      </c>
      <c r="AH7" s="26">
        <f>资产资本表!AH68</f>
        <v>152181564.47999999</v>
      </c>
      <c r="AI7" s="26">
        <f>资产资本表!AI68</f>
        <v>136309064.01000002</v>
      </c>
      <c r="AJ7" s="26">
        <f>资产资本表!AJ68</f>
        <v>132331131.09</v>
      </c>
      <c r="AK7" s="26">
        <f>资产资本表!AK68</f>
        <v>133745952.72999999</v>
      </c>
      <c r="AL7" s="26">
        <f>资产资本表!AL68</f>
        <v>132218465.38</v>
      </c>
      <c r="AM7" s="26">
        <f>资产资本表!AM68</f>
        <v>133261358.39</v>
      </c>
      <c r="AN7" s="26">
        <f>资产资本表!AN68</f>
        <v>120894064.27000001</v>
      </c>
      <c r="AO7" s="26">
        <f>资产资本表!AO68</f>
        <v>84122615.639999986</v>
      </c>
      <c r="AP7" s="26">
        <f>资产资本表!AP68</f>
        <v>46760067.939999998</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6140475631.7599983</v>
      </c>
      <c r="F8" s="26">
        <f>资产资本表!F69</f>
        <v>5756090129.0999985</v>
      </c>
      <c r="G8" s="26">
        <f>资产资本表!G69</f>
        <v>7281419001.9199991</v>
      </c>
      <c r="H8" s="26">
        <f>资产资本表!H69</f>
        <v>5042079718.1199999</v>
      </c>
      <c r="I8" s="26">
        <f>资产资本表!I69</f>
        <v>4272695463.29</v>
      </c>
      <c r="J8" s="26">
        <f>资产资本表!J69</f>
        <v>4019484119.9200001</v>
      </c>
      <c r="K8" s="26">
        <f>资产资本表!K69</f>
        <v>3935560238.4700007</v>
      </c>
      <c r="L8" s="26">
        <f>资产资本表!L69</f>
        <v>3719063464.0300007</v>
      </c>
      <c r="M8" s="26">
        <f>资产资本表!M69</f>
        <v>3682538960.2300005</v>
      </c>
      <c r="N8" s="26">
        <f>资产资本表!N69</f>
        <v>421824773.45999998</v>
      </c>
      <c r="O8" s="26">
        <f>资产资本表!O69</f>
        <v>520251406.58000004</v>
      </c>
      <c r="P8" s="26">
        <f>资产资本表!P69</f>
        <v>480042823.50999987</v>
      </c>
      <c r="Q8" s="26">
        <f>资产资本表!Q69</f>
        <v>69391169.749999985</v>
      </c>
      <c r="R8" s="26">
        <f>资产资本表!R69</f>
        <v>165148581.20999998</v>
      </c>
      <c r="S8" s="26">
        <f>资产资本表!S69</f>
        <v>747342755.82999992</v>
      </c>
      <c r="T8" s="26">
        <f>资产资本表!T69</f>
        <v>825052707.25</v>
      </c>
      <c r="U8" s="26">
        <f>资产资本表!U69</f>
        <v>845423552.35000002</v>
      </c>
      <c r="V8" s="26">
        <f>资产资本表!V69</f>
        <v>880411957.46000004</v>
      </c>
      <c r="W8" s="26">
        <f>资产资本表!W69</f>
        <v>848104912.19000006</v>
      </c>
      <c r="X8" s="26">
        <f>资产资本表!X69</f>
        <v>811052788.63999999</v>
      </c>
      <c r="Y8" s="26">
        <f>资产资本表!Y69</f>
        <v>758542614.19000006</v>
      </c>
      <c r="Z8" s="26">
        <f>资产资本表!Z69</f>
        <v>748030527.49000001</v>
      </c>
      <c r="AA8" s="26">
        <f>资产资本表!AA69</f>
        <v>759406664.3599999</v>
      </c>
      <c r="AB8" s="26">
        <f>资产资本表!AB69</f>
        <v>758108165.77999997</v>
      </c>
      <c r="AC8" s="26">
        <f>资产资本表!AC69</f>
        <v>687238199.07999992</v>
      </c>
      <c r="AD8" s="26">
        <f>资产资本表!AD69</f>
        <v>575780603.96000004</v>
      </c>
      <c r="AE8" s="26">
        <f>资产资本表!AE69</f>
        <v>490594877.43999994</v>
      </c>
      <c r="AF8" s="26">
        <f>资产资本表!AF69</f>
        <v>463001599.89999998</v>
      </c>
      <c r="AG8" s="26">
        <f>资产资本表!AG69</f>
        <v>433864078.13999999</v>
      </c>
      <c r="AH8" s="26">
        <f>资产资本表!AH69</f>
        <v>393989256.98000002</v>
      </c>
      <c r="AI8" s="26">
        <f>资产资本表!AI69</f>
        <v>343620588.91999996</v>
      </c>
      <c r="AJ8" s="26">
        <f>资产资本表!AJ69</f>
        <v>285715206.38</v>
      </c>
      <c r="AK8" s="26">
        <f>资产资本表!AK69</f>
        <v>259360725.84999996</v>
      </c>
      <c r="AL8" s="26">
        <f>资产资本表!AL69</f>
        <v>264706422.13</v>
      </c>
      <c r="AM8" s="26">
        <f>资产资本表!AM69</f>
        <v>228823636.10000002</v>
      </c>
      <c r="AN8" s="26">
        <f>资产资本表!AN69</f>
        <v>222241781.55000001</v>
      </c>
      <c r="AO8" s="26">
        <f>资产资本表!AO69</f>
        <v>167784886.11000001</v>
      </c>
      <c r="AP8" s="26">
        <f>资产资本表!AP69</f>
        <v>128025667.49999999</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11859221905.069998</v>
      </c>
      <c r="F9" s="48">
        <f>资产资本表!F70</f>
        <v>10474296813.709999</v>
      </c>
      <c r="G9" s="48">
        <f>资产资本表!G70</f>
        <v>10205740827.91</v>
      </c>
      <c r="H9" s="48">
        <f>资产资本表!H70</f>
        <v>7602401160.4699993</v>
      </c>
      <c r="I9" s="48">
        <f>资产资本表!I70</f>
        <v>6360901738.7600002</v>
      </c>
      <c r="J9" s="48">
        <f>资产资本表!J70</f>
        <v>5490304602.6599998</v>
      </c>
      <c r="K9" s="48">
        <f>资产资本表!K70</f>
        <v>5214553043.3100004</v>
      </c>
      <c r="L9" s="48">
        <f>资产资本表!L70</f>
        <v>6323269627.5200005</v>
      </c>
      <c r="M9" s="48">
        <f>资产资本表!M70</f>
        <v>6540507242.1600008</v>
      </c>
      <c r="N9" s="48">
        <f>资产资本表!N70</f>
        <v>1183926876.5799999</v>
      </c>
      <c r="O9" s="48">
        <f>资产资本表!O70</f>
        <v>1120730200.7000003</v>
      </c>
      <c r="P9" s="48">
        <f>资产资本表!P70</f>
        <v>1057668850.3299999</v>
      </c>
      <c r="Q9" s="48">
        <f>资产资本表!Q70</f>
        <v>663016824.98000002</v>
      </c>
      <c r="R9" s="48">
        <f>资产资本表!R70</f>
        <v>559044815.99000001</v>
      </c>
      <c r="S9" s="48">
        <f>资产资本表!S70</f>
        <v>761945326.73999989</v>
      </c>
      <c r="T9" s="48">
        <f>资产资本表!T70</f>
        <v>835767792.12</v>
      </c>
      <c r="U9" s="48">
        <f>资产资本表!U70</f>
        <v>887841879.63999999</v>
      </c>
      <c r="V9" s="48">
        <f>资产资本表!V70</f>
        <v>893173065.54000008</v>
      </c>
      <c r="W9" s="48">
        <f>资产资本表!W70</f>
        <v>887249661.63000011</v>
      </c>
      <c r="X9" s="48">
        <f>资产资本表!X70</f>
        <v>832374145.09000003</v>
      </c>
      <c r="Y9" s="48">
        <f>资产资本表!Y70</f>
        <v>812665160.24000001</v>
      </c>
      <c r="Z9" s="48">
        <f>资产资本表!Z70</f>
        <v>786351642.19000006</v>
      </c>
      <c r="AA9" s="48">
        <f>资产资本表!AA70</f>
        <v>829597427.67999983</v>
      </c>
      <c r="AB9" s="48">
        <f>资产资本表!AB70</f>
        <v>797886855.53999996</v>
      </c>
      <c r="AC9" s="48">
        <f>资产资本表!AC70</f>
        <v>780688873.28999996</v>
      </c>
      <c r="AD9" s="48">
        <f>资产资本表!AD70</f>
        <v>755293072.25999999</v>
      </c>
      <c r="AE9" s="48">
        <f>资产资本表!AE70</f>
        <v>681895244.27999997</v>
      </c>
      <c r="AF9" s="48">
        <f>资产资本表!AF70</f>
        <v>641817196.45000005</v>
      </c>
      <c r="AG9" s="48">
        <f>资产资本表!AG70</f>
        <v>639472932</v>
      </c>
      <c r="AH9" s="48">
        <f>资产资本表!AH70</f>
        <v>607458814.74000001</v>
      </c>
      <c r="AI9" s="48">
        <f>资产资本表!AI70</f>
        <v>581967203.16999996</v>
      </c>
      <c r="AJ9" s="48">
        <f>资产资本表!AJ70</f>
        <v>545969587.20000005</v>
      </c>
      <c r="AK9" s="48">
        <f>资产资本表!AK70</f>
        <v>285745411.30999994</v>
      </c>
      <c r="AL9" s="48">
        <f>资产资本表!AL70</f>
        <v>267908962.03</v>
      </c>
      <c r="AM9" s="48">
        <f>资产资本表!AM70</f>
        <v>248186537.43000001</v>
      </c>
      <c r="AN9" s="48">
        <f>资产资本表!AN70</f>
        <v>231144409.21000001</v>
      </c>
      <c r="AO9" s="48">
        <f>资产资本表!AO70</f>
        <v>187209617.44</v>
      </c>
      <c r="AP9" s="48">
        <f>资产资本表!AP70</f>
        <v>130334103.45999998</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803642814.64999998</v>
      </c>
      <c r="F10" s="26">
        <f>资产资本表!F72</f>
        <v>618024872.11000001</v>
      </c>
      <c r="G10" s="26">
        <f>资产资本表!G72</f>
        <v>447481928.99000001</v>
      </c>
      <c r="H10" s="26">
        <f>资产资本表!H72</f>
        <v>139877727.09</v>
      </c>
      <c r="I10" s="26">
        <f>资产资本表!I72</f>
        <v>61312017.850000001</v>
      </c>
      <c r="J10" s="26">
        <f>资产资本表!J72</f>
        <v>210040273.97</v>
      </c>
      <c r="K10" s="26">
        <f>资产资本表!K72</f>
        <v>213699255.71000001</v>
      </c>
      <c r="L10" s="26">
        <f>资产资本表!L72</f>
        <v>43103633.119999997</v>
      </c>
      <c r="M10" s="26">
        <f>资产资本表!M72</f>
        <v>318573860.86000001</v>
      </c>
      <c r="N10" s="26">
        <f>资产资本表!N72</f>
        <v>305800000</v>
      </c>
      <c r="O10" s="26">
        <f>资产资本表!O72</f>
        <v>341800000</v>
      </c>
      <c r="P10" s="26">
        <f>资产资本表!P72</f>
        <v>323800000</v>
      </c>
      <c r="Q10" s="26">
        <f>资产资本表!Q72</f>
        <v>0</v>
      </c>
      <c r="R10" s="26">
        <f>资产资本表!R72</f>
        <v>0</v>
      </c>
      <c r="S10" s="26">
        <f>资产资本表!S72</f>
        <v>299255639.31</v>
      </c>
      <c r="T10" s="26">
        <f>资产资本表!T72</f>
        <v>366249108.42000002</v>
      </c>
      <c r="U10" s="26">
        <f>资产资本表!U72</f>
        <v>416599846.75999999</v>
      </c>
      <c r="V10" s="26">
        <f>资产资本表!V72</f>
        <v>421477333.39999998</v>
      </c>
      <c r="W10" s="26">
        <f>资产资本表!W72</f>
        <v>414446558.33999997</v>
      </c>
      <c r="X10" s="26">
        <f>资产资本表!X72</f>
        <v>371294691.39999998</v>
      </c>
      <c r="Y10" s="26">
        <f>资产资本表!Y72</f>
        <v>351564114.06999999</v>
      </c>
      <c r="Z10" s="26">
        <f>资产资本表!Z72</f>
        <v>325800000</v>
      </c>
      <c r="AA10" s="26">
        <f>资产资本表!AA72</f>
        <v>330941716.93000001</v>
      </c>
      <c r="AB10" s="26">
        <f>资产资本表!AB72</f>
        <v>310800000</v>
      </c>
      <c r="AC10" s="26">
        <f>资产资本表!AC72</f>
        <v>296423773.13</v>
      </c>
      <c r="AD10" s="26">
        <f>资产资本表!AD72</f>
        <v>285774600</v>
      </c>
      <c r="AE10" s="26">
        <f>资产资本表!AE72</f>
        <v>219474600</v>
      </c>
      <c r="AF10" s="26">
        <f>资产资本表!AF72</f>
        <v>185927868.88999999</v>
      </c>
      <c r="AG10" s="26">
        <f>资产资本表!AG72</f>
        <v>186047257.78</v>
      </c>
      <c r="AH10" s="26">
        <f>资产资本表!AH72</f>
        <v>158800000</v>
      </c>
      <c r="AI10" s="26">
        <f>资产资本表!AI72</f>
        <v>139879685</v>
      </c>
      <c r="AJ10" s="26">
        <f>资产资本表!AJ72</f>
        <v>109879685</v>
      </c>
      <c r="AK10" s="26">
        <f>资产资本表!AK72</f>
        <v>109992080</v>
      </c>
      <c r="AL10" s="26">
        <f>资产资本表!AL72</f>
        <v>99732802.219999999</v>
      </c>
      <c r="AM10" s="26">
        <f>资产资本表!AM72</f>
        <v>87732802.219999999</v>
      </c>
      <c r="AN10" s="26">
        <f>资产资本表!AN72</f>
        <v>79180480</v>
      </c>
      <c r="AO10" s="26">
        <f>资产资本表!AO72</f>
        <v>74000000</v>
      </c>
      <c r="AP10" s="26">
        <f>资产资本表!AP72</f>
        <v>41700000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1483708356.1799998</v>
      </c>
      <c r="F11" s="26">
        <f>资产资本表!F81</f>
        <v>1482473287.6799998</v>
      </c>
      <c r="G11" s="26">
        <f>资产资本表!G81</f>
        <v>1481238219.1799998</v>
      </c>
      <c r="H11" s="26">
        <f>资产资本表!H81</f>
        <v>1480016575.3400002</v>
      </c>
      <c r="I11" s="26">
        <f>资产资本表!I81</f>
        <v>590637400</v>
      </c>
      <c r="J11" s="26">
        <f>资产资本表!J81</f>
        <v>104539400</v>
      </c>
      <c r="K11" s="26">
        <f>资产资本表!K81</f>
        <v>104539400</v>
      </c>
      <c r="L11" s="26">
        <f>资产资本表!L81</f>
        <v>1348168033.77</v>
      </c>
      <c r="M11" s="26">
        <f>资产资本表!M81</f>
        <v>1252890975.3299999</v>
      </c>
      <c r="N11" s="26">
        <f>资产资本表!N81</f>
        <v>0</v>
      </c>
      <c r="O11" s="26">
        <f>资产资本表!O81</f>
        <v>0</v>
      </c>
      <c r="P11" s="26">
        <f>资产资本表!P81</f>
        <v>0</v>
      </c>
      <c r="Q11" s="26">
        <f>资产资本表!Q81</f>
        <v>0</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6000000</v>
      </c>
      <c r="AM11" s="26">
        <f>资产资本表!AM81</f>
        <v>6000000</v>
      </c>
      <c r="AN11" s="26">
        <f>资产资本表!AN81</f>
        <v>6000000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2287351170.8299999</v>
      </c>
      <c r="F12" s="26">
        <f>资产资本表!F89</f>
        <v>2100498159.79</v>
      </c>
      <c r="G12" s="26">
        <f>资产资本表!G89</f>
        <v>1928720148.1699998</v>
      </c>
      <c r="H12" s="26">
        <f>资产资本表!H89</f>
        <v>1619894302.4300001</v>
      </c>
      <c r="I12" s="26">
        <f>资产资本表!I89</f>
        <v>651949417.85000002</v>
      </c>
      <c r="J12" s="26">
        <f>资产资本表!J89</f>
        <v>314579673.97000003</v>
      </c>
      <c r="K12" s="26">
        <f>资产资本表!K89</f>
        <v>318238655.71000004</v>
      </c>
      <c r="L12" s="26">
        <f>资产资本表!L89</f>
        <v>1391271666.8899999</v>
      </c>
      <c r="M12" s="26">
        <f>资产资本表!M89</f>
        <v>1571464836.1900001</v>
      </c>
      <c r="N12" s="26">
        <f>资产资本表!N89</f>
        <v>305800000</v>
      </c>
      <c r="O12" s="26">
        <f>资产资本表!O89</f>
        <v>341800000</v>
      </c>
      <c r="P12" s="26">
        <f>资产资本表!P89</f>
        <v>323800000</v>
      </c>
      <c r="Q12" s="26">
        <f>资产资本表!Q89</f>
        <v>0</v>
      </c>
      <c r="R12" s="26">
        <f>资产资本表!R89</f>
        <v>0</v>
      </c>
      <c r="S12" s="26">
        <f>资产资本表!S89</f>
        <v>299255639.31</v>
      </c>
      <c r="T12" s="26">
        <f>资产资本表!T89</f>
        <v>366249108.42000002</v>
      </c>
      <c r="U12" s="26">
        <f>资产资本表!U89</f>
        <v>416599846.75999999</v>
      </c>
      <c r="V12" s="26">
        <f>资产资本表!V89</f>
        <v>421477333.39999998</v>
      </c>
      <c r="W12" s="26">
        <f>资产资本表!W89</f>
        <v>414446558.33999997</v>
      </c>
      <c r="X12" s="26">
        <f>资产资本表!X89</f>
        <v>371294691.39999998</v>
      </c>
      <c r="Y12" s="26">
        <f>资产资本表!Y89</f>
        <v>351564114.06999999</v>
      </c>
      <c r="Z12" s="26">
        <f>资产资本表!Z89</f>
        <v>325800000</v>
      </c>
      <c r="AA12" s="26">
        <f>资产资本表!AA89</f>
        <v>330941716.93000001</v>
      </c>
      <c r="AB12" s="26">
        <f>资产资本表!AB89</f>
        <v>310800000</v>
      </c>
      <c r="AC12" s="26">
        <f>资产资本表!AC89</f>
        <v>296423773.13</v>
      </c>
      <c r="AD12" s="26">
        <f>资产资本表!AD89</f>
        <v>285774600</v>
      </c>
      <c r="AE12" s="26">
        <f>资产资本表!AE89</f>
        <v>219474600</v>
      </c>
      <c r="AF12" s="26">
        <f>资产资本表!AF89</f>
        <v>185927868.88999999</v>
      </c>
      <c r="AG12" s="26">
        <f>资产资本表!AG89</f>
        <v>186047257.78</v>
      </c>
      <c r="AH12" s="26">
        <f>资产资本表!AH89</f>
        <v>158800000</v>
      </c>
      <c r="AI12" s="26">
        <f>资产资本表!AI89</f>
        <v>139879685</v>
      </c>
      <c r="AJ12" s="26">
        <f>资产资本表!AJ89</f>
        <v>109879685</v>
      </c>
      <c r="AK12" s="26">
        <f>资产资本表!AK89</f>
        <v>109992080</v>
      </c>
      <c r="AL12" s="26">
        <f>资产资本表!AL89</f>
        <v>105732802.22</v>
      </c>
      <c r="AM12" s="26">
        <f>资产资本表!AM89</f>
        <v>93732802.219999999</v>
      </c>
      <c r="AN12" s="26">
        <f>资产资本表!AN89</f>
        <v>85180480</v>
      </c>
      <c r="AO12" s="26">
        <f>资产资本表!AO89</f>
        <v>74000000</v>
      </c>
      <c r="AP12" s="26">
        <f>资产资本表!AP89</f>
        <v>41700000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9571870734.2399979</v>
      </c>
      <c r="F13" s="26">
        <f t="shared" ref="F13:BQ13" si="0">F9-F12</f>
        <v>8373798653.9199991</v>
      </c>
      <c r="G13" s="26">
        <f t="shared" si="0"/>
        <v>8277020679.7399998</v>
      </c>
      <c r="H13" s="26">
        <f t="shared" si="0"/>
        <v>5982506858.039999</v>
      </c>
      <c r="I13" s="26">
        <f t="shared" si="0"/>
        <v>5708952320.9099998</v>
      </c>
      <c r="J13" s="26">
        <f t="shared" si="0"/>
        <v>5175724928.6899996</v>
      </c>
      <c r="K13" s="26">
        <f t="shared" si="0"/>
        <v>4896314387.6000004</v>
      </c>
      <c r="L13" s="26">
        <f t="shared" si="0"/>
        <v>4931997960.6300011</v>
      </c>
      <c r="M13" s="26">
        <f t="shared" si="0"/>
        <v>4969042405.9700012</v>
      </c>
      <c r="N13" s="26">
        <f t="shared" si="0"/>
        <v>878126876.57999992</v>
      </c>
      <c r="O13" s="26">
        <f t="shared" si="0"/>
        <v>778930200.70000029</v>
      </c>
      <c r="P13" s="26">
        <f t="shared" si="0"/>
        <v>733868850.32999992</v>
      </c>
      <c r="Q13" s="26">
        <f t="shared" si="0"/>
        <v>663016824.98000002</v>
      </c>
      <c r="R13" s="26">
        <f t="shared" si="0"/>
        <v>559044815.99000001</v>
      </c>
      <c r="S13" s="26">
        <f t="shared" si="0"/>
        <v>462689687.42999989</v>
      </c>
      <c r="T13" s="26">
        <f t="shared" si="0"/>
        <v>469518683.69999999</v>
      </c>
      <c r="U13" s="26">
        <f t="shared" si="0"/>
        <v>471242032.88</v>
      </c>
      <c r="V13" s="26">
        <f t="shared" si="0"/>
        <v>471695732.1400001</v>
      </c>
      <c r="W13" s="26">
        <f t="shared" si="0"/>
        <v>472803103.29000014</v>
      </c>
      <c r="X13" s="26">
        <f t="shared" si="0"/>
        <v>461079453.69000006</v>
      </c>
      <c r="Y13" s="26">
        <f t="shared" si="0"/>
        <v>461101046.17000002</v>
      </c>
      <c r="Z13" s="26">
        <f t="shared" si="0"/>
        <v>460551642.19000006</v>
      </c>
      <c r="AA13" s="26">
        <f t="shared" si="0"/>
        <v>498655710.74999982</v>
      </c>
      <c r="AB13" s="26">
        <f t="shared" si="0"/>
        <v>487086855.53999996</v>
      </c>
      <c r="AC13" s="26">
        <f t="shared" si="0"/>
        <v>484265100.15999997</v>
      </c>
      <c r="AD13" s="26">
        <f t="shared" si="0"/>
        <v>469518472.25999999</v>
      </c>
      <c r="AE13" s="26">
        <f t="shared" si="0"/>
        <v>462420644.27999997</v>
      </c>
      <c r="AF13" s="26">
        <f t="shared" si="0"/>
        <v>455889327.56000006</v>
      </c>
      <c r="AG13" s="26">
        <f t="shared" si="0"/>
        <v>453425674.22000003</v>
      </c>
      <c r="AH13" s="26">
        <f t="shared" si="0"/>
        <v>448658814.74000001</v>
      </c>
      <c r="AI13" s="26">
        <f t="shared" si="0"/>
        <v>442087518.16999996</v>
      </c>
      <c r="AJ13" s="26">
        <f t="shared" si="0"/>
        <v>436089902.20000005</v>
      </c>
      <c r="AK13" s="26">
        <f t="shared" si="0"/>
        <v>175753331.30999994</v>
      </c>
      <c r="AL13" s="26">
        <f t="shared" si="0"/>
        <v>162176159.81</v>
      </c>
      <c r="AM13" s="26">
        <f t="shared" si="0"/>
        <v>154453735.21000001</v>
      </c>
      <c r="AN13" s="26">
        <f t="shared" si="0"/>
        <v>145963929.21000001</v>
      </c>
      <c r="AO13" s="26">
        <f t="shared" si="0"/>
        <v>113209617.44</v>
      </c>
      <c r="AP13" s="26">
        <f t="shared" si="0"/>
        <v>88634103.459999979</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11859221905.069998</v>
      </c>
      <c r="F14" s="48">
        <f t="shared" ref="F14:BQ14" si="2">F9</f>
        <v>10474296813.709999</v>
      </c>
      <c r="G14" s="48">
        <f t="shared" si="2"/>
        <v>10205740827.91</v>
      </c>
      <c r="H14" s="48">
        <f t="shared" si="2"/>
        <v>7602401160.4699993</v>
      </c>
      <c r="I14" s="48">
        <f t="shared" si="2"/>
        <v>6360901738.7600002</v>
      </c>
      <c r="J14" s="48">
        <f t="shared" si="2"/>
        <v>5490304602.6599998</v>
      </c>
      <c r="K14" s="48">
        <f t="shared" si="2"/>
        <v>5214553043.3100004</v>
      </c>
      <c r="L14" s="48">
        <f t="shared" si="2"/>
        <v>6323269627.5200005</v>
      </c>
      <c r="M14" s="48">
        <f t="shared" si="2"/>
        <v>6540507242.1600008</v>
      </c>
      <c r="N14" s="48">
        <f t="shared" si="2"/>
        <v>1183926876.5799999</v>
      </c>
      <c r="O14" s="48">
        <f t="shared" si="2"/>
        <v>1120730200.7000003</v>
      </c>
      <c r="P14" s="48">
        <f t="shared" si="2"/>
        <v>1057668850.3299999</v>
      </c>
      <c r="Q14" s="48">
        <f t="shared" si="2"/>
        <v>663016824.98000002</v>
      </c>
      <c r="R14" s="48">
        <f t="shared" si="2"/>
        <v>559044815.99000001</v>
      </c>
      <c r="S14" s="48">
        <f t="shared" si="2"/>
        <v>761945326.73999989</v>
      </c>
      <c r="T14" s="48">
        <f t="shared" si="2"/>
        <v>835767792.12</v>
      </c>
      <c r="U14" s="48">
        <f t="shared" si="2"/>
        <v>887841879.63999999</v>
      </c>
      <c r="V14" s="48">
        <f t="shared" si="2"/>
        <v>893173065.54000008</v>
      </c>
      <c r="W14" s="48">
        <f t="shared" si="2"/>
        <v>887249661.63000011</v>
      </c>
      <c r="X14" s="48">
        <f t="shared" si="2"/>
        <v>832374145.09000003</v>
      </c>
      <c r="Y14" s="48">
        <f t="shared" si="2"/>
        <v>812665160.24000001</v>
      </c>
      <c r="Z14" s="48">
        <f t="shared" si="2"/>
        <v>786351642.19000006</v>
      </c>
      <c r="AA14" s="48">
        <f t="shared" si="2"/>
        <v>829597427.67999983</v>
      </c>
      <c r="AB14" s="48">
        <f t="shared" si="2"/>
        <v>797886855.53999996</v>
      </c>
      <c r="AC14" s="48">
        <f t="shared" si="2"/>
        <v>780688873.28999996</v>
      </c>
      <c r="AD14" s="48">
        <f t="shared" si="2"/>
        <v>755293072.25999999</v>
      </c>
      <c r="AE14" s="48">
        <f t="shared" si="2"/>
        <v>681895244.27999997</v>
      </c>
      <c r="AF14" s="48">
        <f t="shared" si="2"/>
        <v>641817196.45000005</v>
      </c>
      <c r="AG14" s="48">
        <f t="shared" si="2"/>
        <v>639472932</v>
      </c>
      <c r="AH14" s="48">
        <f t="shared" si="2"/>
        <v>607458814.74000001</v>
      </c>
      <c r="AI14" s="48">
        <f t="shared" si="2"/>
        <v>581967203.16999996</v>
      </c>
      <c r="AJ14" s="48">
        <f t="shared" si="2"/>
        <v>545969587.20000005</v>
      </c>
      <c r="AK14" s="48">
        <f t="shared" si="2"/>
        <v>285745411.30999994</v>
      </c>
      <c r="AL14" s="48">
        <f t="shared" si="2"/>
        <v>267908962.03</v>
      </c>
      <c r="AM14" s="48">
        <f t="shared" si="2"/>
        <v>248186537.43000001</v>
      </c>
      <c r="AN14" s="48">
        <f t="shared" si="2"/>
        <v>231144409.21000001</v>
      </c>
      <c r="AO14" s="48">
        <f t="shared" si="2"/>
        <v>187209617.44</v>
      </c>
      <c r="AP14" s="48">
        <f t="shared" si="2"/>
        <v>130334103.45999998</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2595400983.5200014</v>
      </c>
      <c r="F15" s="58">
        <f t="shared" ref="F15:BQ15" si="4">F11+F13-F3-F4-F7</f>
        <v>1749882185.1499987</v>
      </c>
      <c r="G15" s="58">
        <f t="shared" si="4"/>
        <v>2387717513.1299992</v>
      </c>
      <c r="H15" s="58">
        <f t="shared" si="4"/>
        <v>2339314241.0300007</v>
      </c>
      <c r="I15" s="58">
        <f t="shared" si="4"/>
        <v>1959240461.6599998</v>
      </c>
      <c r="J15" s="58">
        <f t="shared" si="4"/>
        <v>1189146242.8799992</v>
      </c>
      <c r="K15" s="58">
        <f t="shared" si="4"/>
        <v>989862431.03999949</v>
      </c>
      <c r="L15" s="58">
        <f t="shared" si="4"/>
        <v>1143433559.5800014</v>
      </c>
      <c r="M15" s="58">
        <f t="shared" si="4"/>
        <v>1144163357.7800007</v>
      </c>
      <c r="N15" s="58">
        <f t="shared" si="4"/>
        <v>419120604.74000001</v>
      </c>
      <c r="O15" s="58">
        <f t="shared" si="4"/>
        <v>242095063.4200002</v>
      </c>
      <c r="P15" s="58">
        <f t="shared" si="4"/>
        <v>235906783.04000002</v>
      </c>
      <c r="Q15" s="58">
        <f t="shared" si="4"/>
        <v>577126147.18000007</v>
      </c>
      <c r="R15" s="58">
        <f t="shared" si="4"/>
        <v>385276489.15000004</v>
      </c>
      <c r="S15" s="58">
        <f t="shared" si="4"/>
        <v>-284653068.4000001</v>
      </c>
      <c r="T15" s="58">
        <f t="shared" si="4"/>
        <v>-355534023.55000007</v>
      </c>
      <c r="U15" s="58">
        <f t="shared" si="4"/>
        <v>-374181519.47000003</v>
      </c>
      <c r="V15" s="58">
        <f t="shared" si="4"/>
        <v>-408716225.31999987</v>
      </c>
      <c r="W15" s="58">
        <f t="shared" si="4"/>
        <v>-375301808.89999992</v>
      </c>
      <c r="X15" s="58">
        <f t="shared" si="4"/>
        <v>-349973334.94999993</v>
      </c>
      <c r="Y15" s="58">
        <f t="shared" si="4"/>
        <v>-297441568.01999998</v>
      </c>
      <c r="Z15" s="58">
        <f t="shared" si="4"/>
        <v>-287478885.30000001</v>
      </c>
      <c r="AA15" s="58">
        <f t="shared" si="4"/>
        <v>-260750953.61000013</v>
      </c>
      <c r="AB15" s="58">
        <f t="shared" si="4"/>
        <v>-271021310.23999995</v>
      </c>
      <c r="AC15" s="58">
        <f t="shared" si="4"/>
        <v>-202973098.92000002</v>
      </c>
      <c r="AD15" s="58">
        <f t="shared" si="4"/>
        <v>-106262131.70000005</v>
      </c>
      <c r="AE15" s="58">
        <f t="shared" si="4"/>
        <v>-28174233.159999996</v>
      </c>
      <c r="AF15" s="58">
        <f t="shared" si="4"/>
        <v>-7112272.3399999142</v>
      </c>
      <c r="AG15" s="58">
        <f t="shared" si="4"/>
        <v>19561596.080000073</v>
      </c>
      <c r="AH15" s="58">
        <f t="shared" si="4"/>
        <v>54669557.759999961</v>
      </c>
      <c r="AI15" s="58">
        <f t="shared" si="4"/>
        <v>98466929.24999997</v>
      </c>
      <c r="AJ15" s="58">
        <f t="shared" si="4"/>
        <v>150374695.82000002</v>
      </c>
      <c r="AK15" s="58">
        <f t="shared" si="4"/>
        <v>-83607394.540000036</v>
      </c>
      <c r="AL15" s="58">
        <f t="shared" si="4"/>
        <v>-96530262.319999978</v>
      </c>
      <c r="AM15" s="58">
        <f t="shared" si="4"/>
        <v>-68369900.890000001</v>
      </c>
      <c r="AN15" s="58">
        <f t="shared" si="4"/>
        <v>-70277852.340000004</v>
      </c>
      <c r="AO15" s="58">
        <f t="shared" si="4"/>
        <v>-54575268.670000017</v>
      </c>
      <c r="AP15" s="58">
        <f t="shared" si="4"/>
        <v>-39391564.040000007</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-2595400983.5199995</v>
      </c>
      <c r="F16" s="58">
        <f t="shared" ref="F16:BQ16" si="6">F10-F2</f>
        <v>-1749882185.1500001</v>
      </c>
      <c r="G16" s="58">
        <f t="shared" si="6"/>
        <v>-2387717513.1300001</v>
      </c>
      <c r="H16" s="58">
        <f t="shared" si="6"/>
        <v>-2339314241.0299997</v>
      </c>
      <c r="I16" s="58">
        <f t="shared" si="6"/>
        <v>-1959240461.6600001</v>
      </c>
      <c r="J16" s="58">
        <f t="shared" si="6"/>
        <v>-1189146242.8800001</v>
      </c>
      <c r="K16" s="58">
        <f t="shared" si="6"/>
        <v>-989862431.03999996</v>
      </c>
      <c r="L16" s="58">
        <f t="shared" si="6"/>
        <v>-1143433559.5800002</v>
      </c>
      <c r="M16" s="58">
        <f t="shared" si="6"/>
        <v>-1144163357.7800002</v>
      </c>
      <c r="N16" s="58">
        <f t="shared" si="6"/>
        <v>-419120604.74000001</v>
      </c>
      <c r="O16" s="58">
        <f t="shared" si="6"/>
        <v>-242095063.42000008</v>
      </c>
      <c r="P16" s="58">
        <f t="shared" si="6"/>
        <v>-235906783.04000008</v>
      </c>
      <c r="Q16" s="58">
        <f t="shared" si="6"/>
        <v>-577126147.18000007</v>
      </c>
      <c r="R16" s="58">
        <f t="shared" si="6"/>
        <v>-385276489.14999998</v>
      </c>
      <c r="S16" s="58">
        <f t="shared" si="6"/>
        <v>284653068.39999998</v>
      </c>
      <c r="T16" s="58">
        <f t="shared" si="6"/>
        <v>355534023.55000001</v>
      </c>
      <c r="U16" s="58">
        <f t="shared" si="6"/>
        <v>374181519.46999997</v>
      </c>
      <c r="V16" s="58">
        <f t="shared" si="6"/>
        <v>408716225.31999999</v>
      </c>
      <c r="W16" s="58">
        <f t="shared" si="6"/>
        <v>375301808.89999998</v>
      </c>
      <c r="X16" s="58">
        <f t="shared" si="6"/>
        <v>349973334.94999999</v>
      </c>
      <c r="Y16" s="58">
        <f t="shared" si="6"/>
        <v>297441568.01999998</v>
      </c>
      <c r="Z16" s="58">
        <f t="shared" si="6"/>
        <v>287478885.30000001</v>
      </c>
      <c r="AA16" s="58">
        <f t="shared" si="6"/>
        <v>260750953.61000001</v>
      </c>
      <c r="AB16" s="58">
        <f t="shared" si="6"/>
        <v>271021310.24000001</v>
      </c>
      <c r="AC16" s="58">
        <f t="shared" si="6"/>
        <v>202973098.92000002</v>
      </c>
      <c r="AD16" s="58">
        <f t="shared" si="6"/>
        <v>106262131.69999999</v>
      </c>
      <c r="AE16" s="58">
        <f t="shared" si="6"/>
        <v>28174233.159999996</v>
      </c>
      <c r="AF16" s="58">
        <f t="shared" si="6"/>
        <v>7112272.3399999738</v>
      </c>
      <c r="AG16" s="58">
        <f t="shared" si="6"/>
        <v>-19561596.080000013</v>
      </c>
      <c r="AH16" s="58">
        <f t="shared" si="6"/>
        <v>-54669557.75999999</v>
      </c>
      <c r="AI16" s="58">
        <f t="shared" si="6"/>
        <v>-98466929.25</v>
      </c>
      <c r="AJ16" s="58">
        <f t="shared" si="6"/>
        <v>-150374695.81999999</v>
      </c>
      <c r="AK16" s="58">
        <f t="shared" si="6"/>
        <v>83607394.539999992</v>
      </c>
      <c r="AL16" s="58">
        <f t="shared" si="6"/>
        <v>96530262.319999993</v>
      </c>
      <c r="AM16" s="58">
        <f t="shared" si="6"/>
        <v>68369900.890000001</v>
      </c>
      <c r="AN16" s="58">
        <f t="shared" si="6"/>
        <v>70277852.340000004</v>
      </c>
      <c r="AO16" s="58">
        <f t="shared" si="6"/>
        <v>54575268.670000002</v>
      </c>
      <c r="AP16" s="58">
        <f t="shared" si="6"/>
        <v>39391564.039999999</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-1.7099373540246825</v>
      </c>
      <c r="F17" s="59">
        <f t="shared" ref="F17:BQ17" si="8">(F11+F13-F7-F3)/F4</f>
        <v>-0.33098168304935238</v>
      </c>
      <c r="G17" s="59">
        <f t="shared" si="8"/>
        <v>-0.63987099242863754</v>
      </c>
      <c r="H17" s="59">
        <f t="shared" si="8"/>
        <v>0.39395499553898267</v>
      </c>
      <c r="I17" s="59">
        <f t="shared" si="8"/>
        <v>-5.7547158951149768</v>
      </c>
      <c r="J17" s="59">
        <f t="shared" si="8"/>
        <v>17.486516274110901</v>
      </c>
      <c r="K17" s="59">
        <f t="shared" si="8"/>
        <v>-1451.943320069548</v>
      </c>
      <c r="L17" s="59">
        <f t="shared" si="8"/>
        <v>55.484025747503061</v>
      </c>
      <c r="M17" s="59">
        <f t="shared" si="8"/>
        <v>73.140406676591283</v>
      </c>
      <c r="N17" s="59">
        <f t="shared" si="8"/>
        <v>-4.5667660787931244</v>
      </c>
      <c r="O17" s="59">
        <f t="shared" si="8"/>
        <v>10.830630665821463</v>
      </c>
      <c r="P17" s="59">
        <f t="shared" si="8"/>
        <v>-11.164886984044379</v>
      </c>
      <c r="Q17" s="59">
        <f t="shared" si="8"/>
        <v>12.203793614041091</v>
      </c>
      <c r="R17" s="59">
        <f t="shared" si="8"/>
        <v>3.190207497456389</v>
      </c>
      <c r="S17" s="59">
        <f t="shared" si="8"/>
        <v>-0.10778049556374918</v>
      </c>
      <c r="T17" s="59">
        <f t="shared" si="8"/>
        <v>-8.1355909969423476E-2</v>
      </c>
      <c r="U17" s="59">
        <f t="shared" si="8"/>
        <v>-8.3802047497676627E-2</v>
      </c>
      <c r="V17" s="59">
        <f t="shared" si="8"/>
        <v>-8.0306216574528674E-2</v>
      </c>
      <c r="W17" s="59">
        <f t="shared" si="8"/>
        <v>-4.9980004307109978E-2</v>
      </c>
      <c r="X17" s="59">
        <f t="shared" si="8"/>
        <v>8.4530159228533384E-3</v>
      </c>
      <c r="Y17" s="59">
        <f t="shared" si="8"/>
        <v>1.2917150256187584E-2</v>
      </c>
      <c r="Z17" s="59">
        <f t="shared" si="8"/>
        <v>0.15166152917107445</v>
      </c>
      <c r="AA17" s="59">
        <f t="shared" si="8"/>
        <v>0.26500451499267841</v>
      </c>
      <c r="AB17" s="59">
        <f t="shared" si="8"/>
        <v>0.43301044513855191</v>
      </c>
      <c r="AC17" s="59">
        <f t="shared" si="8"/>
        <v>0.51959347670416522</v>
      </c>
      <c r="AD17" s="59">
        <f t="shared" si="8"/>
        <v>0.72166535234383722</v>
      </c>
      <c r="AE17" s="59">
        <f t="shared" si="8"/>
        <v>0.90475896959225777</v>
      </c>
      <c r="AF17" s="59">
        <f t="shared" si="8"/>
        <v>0.97541513445962369</v>
      </c>
      <c r="AG17" s="59">
        <f t="shared" si="8"/>
        <v>1.0750416986639342</v>
      </c>
      <c r="AH17" s="59">
        <f t="shared" si="8"/>
        <v>1.2260869255017597</v>
      </c>
      <c r="AI17" s="59">
        <f t="shared" si="8"/>
        <v>1.4749708405876008</v>
      </c>
      <c r="AJ17" s="59">
        <f t="shared" si="8"/>
        <v>1.9803801048817469</v>
      </c>
      <c r="AK17" s="59">
        <f t="shared" si="8"/>
        <v>0.33441431717486159</v>
      </c>
      <c r="AL17" s="59">
        <f t="shared" si="8"/>
        <v>0.27140349441610673</v>
      </c>
      <c r="AM17" s="59">
        <f t="shared" si="8"/>
        <v>0.28455136766957251</v>
      </c>
      <c r="AN17" s="59">
        <f t="shared" si="8"/>
        <v>0.30656699305975721</v>
      </c>
      <c r="AO17" s="59">
        <f t="shared" si="8"/>
        <v>0.34767167609239286</v>
      </c>
      <c r="AP17" s="59">
        <f t="shared" si="8"/>
        <v>0.51527381507944892</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744</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x14ac:dyDescent="0.25">
      <c r="A20" s="113" t="s">
        <v>575</v>
      </c>
      <c r="B20" s="115"/>
      <c r="C20" s="115"/>
      <c r="D20" s="115"/>
      <c r="E20" s="115">
        <f>POWER(E9/U9,1/5)-1</f>
        <v>0.67936119496875791</v>
      </c>
      <c r="F20" s="115"/>
      <c r="G20" s="115"/>
      <c r="H20" s="115"/>
      <c r="I20" s="115">
        <f>POWER(E9/Y9,1/6)-1</f>
        <v>0.56323436009149375</v>
      </c>
      <c r="M20" s="115">
        <f>POWER(E9/AC9,1/7)-1</f>
        <v>0.47501652734107291</v>
      </c>
    </row>
    <row r="21" spans="1:90" s="63" customFormat="1" ht="14.25" customHeight="1" x14ac:dyDescent="0.25">
      <c r="A21" s="113" t="s">
        <v>573</v>
      </c>
      <c r="B21" s="115"/>
      <c r="C21" s="115"/>
      <c r="D21" s="115"/>
      <c r="E21" s="115">
        <f>POWER(E4/U4,1/5)-1</f>
        <v>-2.2263729684375404</v>
      </c>
      <c r="F21" s="115"/>
      <c r="G21" s="115"/>
      <c r="H21" s="115"/>
      <c r="I21" s="115" t="e">
        <f>POWER(E4/Y4,1/6)-1</f>
        <v>#NUM!</v>
      </c>
      <c r="M21" s="115">
        <f>POWER(E4/AC4,1/7)-1</f>
        <v>-2.1240190221447577</v>
      </c>
    </row>
    <row r="22" spans="1:90" s="63" customFormat="1" ht="14.25" customHeight="1" x14ac:dyDescent="0.25">
      <c r="A22" s="113" t="s">
        <v>576</v>
      </c>
      <c r="B22" s="115"/>
      <c r="C22" s="115"/>
      <c r="D22" s="115"/>
      <c r="E22" s="115">
        <f>POWER(E5/U5,1/5)-1</f>
        <v>0.28097915613619384</v>
      </c>
      <c r="F22" s="115"/>
      <c r="G22" s="115"/>
      <c r="H22" s="115"/>
      <c r="I22" s="115">
        <f>POWER(E5/Y5,1/6)-1</f>
        <v>0.24320391294789623</v>
      </c>
      <c r="M22" s="115">
        <f>POWER(E5/AC5,1/7)-1</f>
        <v>0.15882344337315057</v>
      </c>
    </row>
    <row r="23" spans="1:90" s="63" customFormat="1" ht="14.25" customHeight="1" x14ac:dyDescent="0.25">
      <c r="A23" s="113" t="s">
        <v>577</v>
      </c>
      <c r="B23" s="115"/>
      <c r="C23" s="115"/>
      <c r="D23" s="115"/>
      <c r="E23" s="115">
        <f>POWER(E6/U6,1/5)-1</f>
        <v>0.9711721607294248</v>
      </c>
      <c r="F23" s="115"/>
      <c r="G23" s="115"/>
      <c r="H23" s="115"/>
      <c r="I23" s="115">
        <f>POWER(E6/Y6,1/6)-1</f>
        <v>0.70911853458398211</v>
      </c>
      <c r="M23" s="115">
        <f>POWER(E6/AC6,1/7)-1</f>
        <v>0.57249427531062369</v>
      </c>
    </row>
    <row r="24" spans="1:90" s="63" customFormat="1" ht="14.25" customHeight="1" x14ac:dyDescent="0.25">
      <c r="A24" s="113" t="s">
        <v>578</v>
      </c>
      <c r="B24" s="115"/>
      <c r="C24" s="115"/>
      <c r="D24" s="115"/>
      <c r="E24" s="115">
        <f>POWER(E7/U7,1/5)-1</f>
        <v>0.69982982695718743</v>
      </c>
      <c r="F24" s="115"/>
      <c r="G24" s="115"/>
      <c r="H24" s="115"/>
      <c r="I24" s="115">
        <f>POWER(E7/Y7,1/6)-1</f>
        <v>0.57944946184568757</v>
      </c>
      <c r="M24" s="115">
        <f>POWER(E7/AC7,1/7)-1</f>
        <v>0.59973526908561237</v>
      </c>
    </row>
    <row r="25" spans="1:90" s="107" customFormat="1" x14ac:dyDescent="0.25">
      <c r="A25" s="142" t="s">
        <v>554</v>
      </c>
      <c r="B25" s="108"/>
      <c r="C25" s="108"/>
      <c r="D25" s="108"/>
      <c r="E25" s="108">
        <f>(E2-I2)/I2</f>
        <v>0.68223485043768561</v>
      </c>
      <c r="F25" s="108">
        <f t="shared" ref="F25:BQ25" si="10">(F2-J2)/J2</f>
        <v>0.69234553702739243</v>
      </c>
      <c r="G25" s="108">
        <f t="shared" si="10"/>
        <v>1.3556743898818697</v>
      </c>
      <c r="H25" s="108">
        <f t="shared" si="10"/>
        <v>1.0894346872334664</v>
      </c>
      <c r="I25" s="108">
        <f t="shared" si="10"/>
        <v>0.38135028887050282</v>
      </c>
      <c r="J25" s="107">
        <f t="shared" si="10"/>
        <v>0.93012380625024771</v>
      </c>
      <c r="K25" s="107">
        <f t="shared" si="10"/>
        <v>1.0612636792996297</v>
      </c>
      <c r="L25" s="107">
        <f t="shared" si="10"/>
        <v>1.1199264126395316</v>
      </c>
      <c r="M25" s="108">
        <f t="shared" si="10"/>
        <v>1.5345190575532641</v>
      </c>
      <c r="N25" s="108">
        <f t="shared" si="10"/>
        <v>0.8815594129279094</v>
      </c>
      <c r="O25" s="108">
        <f t="shared" si="10"/>
        <v>38.985771479468895</v>
      </c>
      <c r="P25" s="108">
        <f t="shared" si="10"/>
        <v>51.235403623079293</v>
      </c>
      <c r="Q25" s="108">
        <f t="shared" si="10"/>
        <v>12.6055847566638</v>
      </c>
      <c r="R25" s="108">
        <f t="shared" si="10"/>
        <v>29.191460391580666</v>
      </c>
      <c r="S25" s="108">
        <f t="shared" si="10"/>
        <v>-0.62695965311050406</v>
      </c>
      <c r="T25" s="108">
        <f t="shared" si="10"/>
        <v>-0.49744825592463654</v>
      </c>
      <c r="U25" s="108">
        <f t="shared" si="10"/>
        <v>-0.21625403116082709</v>
      </c>
      <c r="V25" s="107">
        <f t="shared" si="10"/>
        <v>-0.66699538414001314</v>
      </c>
      <c r="W25" s="107">
        <f t="shared" si="10"/>
        <v>-0.44230910751691194</v>
      </c>
      <c r="X25" s="107">
        <f t="shared" si="10"/>
        <v>-0.46400053449120943</v>
      </c>
      <c r="Y25" s="107">
        <f t="shared" si="10"/>
        <v>-0.4208437070408162</v>
      </c>
      <c r="Z25" s="107">
        <f t="shared" si="10"/>
        <v>-0.7865267239490128</v>
      </c>
      <c r="AA25" s="107">
        <f t="shared" si="10"/>
        <v>-0.63308610182276226</v>
      </c>
      <c r="AB25" s="107">
        <f t="shared" si="10"/>
        <v>-0.77754351115073361</v>
      </c>
      <c r="AC25" s="107">
        <f t="shared" si="10"/>
        <v>-0.54549294713917829</v>
      </c>
      <c r="AD25" s="107">
        <f t="shared" si="10"/>
        <v>-0.15907228092062348</v>
      </c>
      <c r="AE25" s="107">
        <f t="shared" si="10"/>
        <v>-0.19738584312615212</v>
      </c>
      <c r="AF25" s="107">
        <f t="shared" si="10"/>
        <v>-0.31291993630772186</v>
      </c>
      <c r="AG25" s="107">
        <f t="shared" si="10"/>
        <v>6.7927346972435725</v>
      </c>
      <c r="AH25" s="107">
        <f t="shared" si="10"/>
        <v>65.656330420738868</v>
      </c>
      <c r="AI25" s="107">
        <f t="shared" si="10"/>
        <v>11.309447338902492</v>
      </c>
      <c r="AJ25" s="107">
        <f t="shared" si="10"/>
        <v>28.233434302698896</v>
      </c>
      <c r="AK25" s="107">
        <f t="shared" si="10"/>
        <v>0.35830375266250869</v>
      </c>
      <c r="AL25" s="107">
        <f t="shared" si="10"/>
        <v>0.38732022698173529</v>
      </c>
      <c r="AM25" s="107" t="e">
        <f t="shared" si="10"/>
        <v>#DIV/0!</v>
      </c>
      <c r="AN25" s="107" t="e">
        <f t="shared" si="10"/>
        <v>#DIV/0!</v>
      </c>
      <c r="AO25" s="107" t="e">
        <f t="shared" si="10"/>
        <v>#DIV/0!</v>
      </c>
      <c r="AP25" s="107" t="e">
        <f t="shared" si="10"/>
        <v>#DIV/0!</v>
      </c>
      <c r="AQ25" s="107" t="e">
        <f t="shared" si="10"/>
        <v>#DIV/0!</v>
      </c>
      <c r="AR25" s="107" t="e">
        <f t="shared" si="10"/>
        <v>#DIV/0!</v>
      </c>
      <c r="AS25" s="107" t="e">
        <f t="shared" si="10"/>
        <v>#DIV/0!</v>
      </c>
      <c r="AT25" s="107" t="e">
        <f t="shared" si="10"/>
        <v>#DIV/0!</v>
      </c>
      <c r="AU25" s="107" t="e">
        <f t="shared" si="10"/>
        <v>#DIV/0!</v>
      </c>
      <c r="AV25" s="107" t="e">
        <f t="shared" si="10"/>
        <v>#DIV/0!</v>
      </c>
      <c r="AW25" s="107" t="e">
        <f t="shared" si="10"/>
        <v>#DIV/0!</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2" t="s">
        <v>562</v>
      </c>
      <c r="E26" s="108">
        <f>E2/E9</f>
        <v>0.28661608876016198</v>
      </c>
      <c r="F26" s="108">
        <f t="shared" ref="F26:BQ26" si="12">F2/F9</f>
        <v>0.22606835564947933</v>
      </c>
      <c r="G26" s="108">
        <f t="shared" si="12"/>
        <v>0.27780437402118624</v>
      </c>
      <c r="H26" s="108">
        <f t="shared" si="12"/>
        <v>0.32610643871451928</v>
      </c>
      <c r="I26" s="108">
        <f t="shared" si="12"/>
        <v>0.31765189315813708</v>
      </c>
      <c r="J26" s="108">
        <f t="shared" si="12"/>
        <v>0.25484679232043111</v>
      </c>
      <c r="K26" s="108">
        <f t="shared" si="12"/>
        <v>0.23080821630419637</v>
      </c>
      <c r="L26" s="108">
        <f t="shared" si="12"/>
        <v>0.18764614868484777</v>
      </c>
      <c r="M26" s="108">
        <f t="shared" si="12"/>
        <v>0.22364277944854496</v>
      </c>
      <c r="N26" s="108">
        <f t="shared" si="12"/>
        <v>0.61230183981807418</v>
      </c>
      <c r="O26" s="108">
        <f t="shared" si="12"/>
        <v>0.52099520745965733</v>
      </c>
      <c r="P26" s="108">
        <f t="shared" si="12"/>
        <v>0.52918905843295638</v>
      </c>
      <c r="Q26" s="108">
        <f t="shared" si="12"/>
        <v>0.87045475384038584</v>
      </c>
      <c r="R26" s="108">
        <f t="shared" si="12"/>
        <v>0.68916923675917185</v>
      </c>
      <c r="S26" s="108">
        <f t="shared" si="12"/>
        <v>1.9164853956749661E-2</v>
      </c>
      <c r="T26" s="108">
        <f t="shared" si="12"/>
        <v>1.282064823630045E-2</v>
      </c>
      <c r="U26" s="108">
        <f t="shared" si="12"/>
        <v>4.777689390727962E-2</v>
      </c>
      <c r="V26" s="108">
        <f t="shared" si="12"/>
        <v>1.428738569527375E-2</v>
      </c>
      <c r="W26" s="108">
        <f t="shared" si="12"/>
        <v>4.4119204698354786E-2</v>
      </c>
      <c r="X26" s="108">
        <f t="shared" si="12"/>
        <v>2.561511139644377E-2</v>
      </c>
      <c r="Y26" s="108">
        <f t="shared" si="12"/>
        <v>6.659882654993636E-2</v>
      </c>
      <c r="Z26" s="108">
        <f t="shared" si="12"/>
        <v>4.8732796682760371E-2</v>
      </c>
      <c r="AA26" s="108">
        <f t="shared" si="12"/>
        <v>8.4608221985802298E-2</v>
      </c>
      <c r="AB26" s="108">
        <f t="shared" si="12"/>
        <v>4.9855050855648286E-2</v>
      </c>
      <c r="AC26" s="108">
        <f t="shared" si="12"/>
        <v>0.11970283861761429</v>
      </c>
      <c r="AD26" s="108">
        <f t="shared" si="12"/>
        <v>0.23767260007146621</v>
      </c>
      <c r="AE26" s="108">
        <f t="shared" si="12"/>
        <v>0.28054216310305896</v>
      </c>
      <c r="AF26" s="108">
        <f t="shared" si="12"/>
        <v>0.27860829771944323</v>
      </c>
      <c r="AG26" s="108">
        <f t="shared" si="12"/>
        <v>0.32152862704750107</v>
      </c>
      <c r="AH26" s="108">
        <f t="shared" si="12"/>
        <v>0.35141404253285491</v>
      </c>
      <c r="AI26" s="108">
        <f t="shared" si="12"/>
        <v>0.40955334416048861</v>
      </c>
      <c r="AJ26" s="108">
        <f t="shared" si="12"/>
        <v>0.47668292689106029</v>
      </c>
      <c r="AK26" s="108">
        <f t="shared" si="12"/>
        <v>9.2336340027437014E-2</v>
      </c>
      <c r="AL26" s="108">
        <f t="shared" si="12"/>
        <v>1.1953836391786642E-2</v>
      </c>
      <c r="AM26" s="108">
        <f t="shared" si="12"/>
        <v>7.8017532822308E-2</v>
      </c>
      <c r="AN26" s="108">
        <f t="shared" si="12"/>
        <v>3.8515435828308346E-2</v>
      </c>
      <c r="AO26" s="108">
        <f t="shared" si="12"/>
        <v>0.103759259783892</v>
      </c>
      <c r="AP26" s="108">
        <f t="shared" si="12"/>
        <v>1.771168020278336E-2</v>
      </c>
      <c r="AQ26" s="108" t="e">
        <f t="shared" si="12"/>
        <v>#DIV/0!</v>
      </c>
      <c r="AR26" s="108" t="e">
        <f t="shared" si="12"/>
        <v>#DIV/0!</v>
      </c>
      <c r="AS26" s="108" t="e">
        <f t="shared" si="12"/>
        <v>#DIV/0!</v>
      </c>
      <c r="AT26" s="108" t="e">
        <f t="shared" si="12"/>
        <v>#DIV/0!</v>
      </c>
      <c r="AU26" s="108" t="e">
        <f t="shared" si="12"/>
        <v>#DIV/0!</v>
      </c>
      <c r="AV26" s="108" t="e">
        <f t="shared" si="12"/>
        <v>#DIV/0!</v>
      </c>
      <c r="AW26" s="108" t="e">
        <f t="shared" si="12"/>
        <v>#DIV/0!</v>
      </c>
      <c r="AX26" s="108" t="e">
        <f t="shared" si="12"/>
        <v>#DIV/0!</v>
      </c>
      <c r="AY26" s="108" t="e">
        <f t="shared" si="12"/>
        <v>#DIV/0!</v>
      </c>
      <c r="AZ26" s="108" t="e">
        <f t="shared" si="12"/>
        <v>#DIV/0!</v>
      </c>
      <c r="BA26" s="108" t="e">
        <f t="shared" si="12"/>
        <v>#DIV/0!</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3" t="s">
        <v>555</v>
      </c>
      <c r="E27" s="109">
        <f>(E3-I3)/I3</f>
        <v>33.287839170347716</v>
      </c>
      <c r="F27" s="109">
        <f t="shared" ref="F27:BQ27" si="14">(F3-J3)/J3</f>
        <v>31.809849324258877</v>
      </c>
      <c r="G27" s="109">
        <f t="shared" si="14"/>
        <v>0.18150686515960671</v>
      </c>
      <c r="H27" s="109">
        <f t="shared" si="14"/>
        <v>-0.94277262470886247</v>
      </c>
      <c r="I27" s="109">
        <f t="shared" si="14"/>
        <v>-0.95151068683887374</v>
      </c>
      <c r="J27" s="109">
        <f t="shared" si="14"/>
        <v>0.92660245044164347</v>
      </c>
      <c r="K27" s="109">
        <f t="shared" si="14"/>
        <v>3.5485011457645053</v>
      </c>
      <c r="L27" s="109">
        <f t="shared" si="14"/>
        <v>78.114330280627499</v>
      </c>
      <c r="M27" s="109">
        <f t="shared" si="14"/>
        <v>83.561979609446595</v>
      </c>
      <c r="N27" s="109">
        <f t="shared" si="14"/>
        <v>3.3135261730455494</v>
      </c>
      <c r="O27" s="109" t="e">
        <f t="shared" si="14"/>
        <v>#DIV/0!</v>
      </c>
      <c r="P27" s="109" t="e">
        <f t="shared" si="14"/>
        <v>#DIV/0!</v>
      </c>
      <c r="Q27" s="109" t="e">
        <f t="shared" si="14"/>
        <v>#DIV/0!</v>
      </c>
      <c r="R27" s="109" t="e">
        <f t="shared" si="14"/>
        <v>#DIV/0!</v>
      </c>
      <c r="S27" s="109" t="e">
        <f t="shared" si="14"/>
        <v>#DIV/0!</v>
      </c>
      <c r="T27" s="109" t="e">
        <f t="shared" si="14"/>
        <v>#DIV/0!</v>
      </c>
      <c r="U27" s="109" t="e">
        <f t="shared" si="14"/>
        <v>#DIV/0!</v>
      </c>
      <c r="V27" s="109" t="e">
        <f t="shared" si="14"/>
        <v>#DIV/0!</v>
      </c>
      <c r="W27" s="109" t="e">
        <f t="shared" si="14"/>
        <v>#DIV/0!</v>
      </c>
      <c r="X27" s="109" t="e">
        <f t="shared" si="14"/>
        <v>#DIV/0!</v>
      </c>
      <c r="Y27" s="109" t="e">
        <f t="shared" si="14"/>
        <v>#DIV/0!</v>
      </c>
      <c r="Z27" s="109" t="e">
        <f t="shared" si="14"/>
        <v>#DIV/0!</v>
      </c>
      <c r="AA27" s="109" t="e">
        <f t="shared" si="14"/>
        <v>#DIV/0!</v>
      </c>
      <c r="AB27" s="109" t="e">
        <f t="shared" si="14"/>
        <v>#DIV/0!</v>
      </c>
      <c r="AC27" s="109" t="e">
        <f t="shared" si="14"/>
        <v>#DIV/0!</v>
      </c>
      <c r="AD27" s="109" t="e">
        <f t="shared" si="14"/>
        <v>#DIV/0!</v>
      </c>
      <c r="AE27" s="109" t="e">
        <f t="shared" si="14"/>
        <v>#DIV/0!</v>
      </c>
      <c r="AF27" s="109" t="e">
        <f t="shared" si="14"/>
        <v>#DIV/0!</v>
      </c>
      <c r="AG27" s="109" t="e">
        <f t="shared" si="14"/>
        <v>#DIV/0!</v>
      </c>
      <c r="AH27" s="109" t="e">
        <f t="shared" si="14"/>
        <v>#DIV/0!</v>
      </c>
      <c r="AI27" s="109" t="e">
        <f t="shared" si="14"/>
        <v>#DIV/0!</v>
      </c>
      <c r="AJ27" s="109" t="e">
        <f t="shared" si="14"/>
        <v>#DIV/0!</v>
      </c>
      <c r="AK27" s="109" t="e">
        <f t="shared" si="14"/>
        <v>#DIV/0!</v>
      </c>
      <c r="AL27" s="109" t="e">
        <f t="shared" si="14"/>
        <v>#DIV/0!</v>
      </c>
      <c r="AM27" s="109" t="e">
        <f t="shared" si="14"/>
        <v>#DIV/0!</v>
      </c>
      <c r="AN27" s="109" t="e">
        <f t="shared" si="14"/>
        <v>#DIV/0!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3" t="s">
        <v>563</v>
      </c>
      <c r="E28" s="109">
        <f>E3/E9</f>
        <v>0.19560326079641799</v>
      </c>
      <c r="F28" s="109">
        <f t="shared" ref="F28:BQ28" si="16">F3/F9</f>
        <v>0.22438734257307369</v>
      </c>
      <c r="G28" s="109">
        <f t="shared" si="16"/>
        <v>8.7325736928644971E-3</v>
      </c>
      <c r="H28" s="109">
        <f t="shared" si="16"/>
        <v>1.0671559224189161E-2</v>
      </c>
      <c r="I28" s="109">
        <f t="shared" si="16"/>
        <v>1.0635881316599064E-2</v>
      </c>
      <c r="J28" s="109">
        <f t="shared" si="16"/>
        <v>1.304735730970082E-2</v>
      </c>
      <c r="K28" s="109">
        <f t="shared" si="16"/>
        <v>1.4465500199825216E-2</v>
      </c>
      <c r="L28" s="109">
        <f t="shared" si="16"/>
        <v>0.22419872222750886</v>
      </c>
      <c r="M28" s="109">
        <f t="shared" si="16"/>
        <v>0.21332153786121721</v>
      </c>
      <c r="N28" s="109">
        <f t="shared" si="16"/>
        <v>3.1405232126671456E-2</v>
      </c>
      <c r="O28" s="109">
        <f t="shared" si="16"/>
        <v>1.4797255119601414E-2</v>
      </c>
      <c r="P28" s="109">
        <f t="shared" si="16"/>
        <v>1.6942206224953182E-2</v>
      </c>
      <c r="Q28" s="109">
        <f t="shared" si="16"/>
        <v>2.488550430148995E-2</v>
      </c>
      <c r="R28" s="109">
        <f t="shared" si="16"/>
        <v>1.5418702371357269E-2</v>
      </c>
      <c r="S28" s="109">
        <f t="shared" si="16"/>
        <v>0</v>
      </c>
      <c r="T28" s="109">
        <f t="shared" si="16"/>
        <v>0</v>
      </c>
      <c r="U28" s="109">
        <f t="shared" si="16"/>
        <v>0</v>
      </c>
      <c r="V28" s="109">
        <f t="shared" si="16"/>
        <v>0</v>
      </c>
      <c r="W28" s="109">
        <f t="shared" si="16"/>
        <v>0</v>
      </c>
      <c r="X28" s="109">
        <f t="shared" si="16"/>
        <v>0</v>
      </c>
      <c r="Y28" s="109">
        <f t="shared" si="16"/>
        <v>0</v>
      </c>
      <c r="Z28" s="109">
        <f t="shared" si="16"/>
        <v>0</v>
      </c>
      <c r="AA28" s="109">
        <f t="shared" si="16"/>
        <v>0</v>
      </c>
      <c r="AB28" s="109">
        <f t="shared" si="16"/>
        <v>0</v>
      </c>
      <c r="AC28" s="109">
        <f t="shared" si="16"/>
        <v>0</v>
      </c>
      <c r="AD28" s="109">
        <f t="shared" si="16"/>
        <v>0</v>
      </c>
      <c r="AE28" s="109">
        <f t="shared" si="16"/>
        <v>0</v>
      </c>
      <c r="AF28" s="109">
        <f t="shared" si="16"/>
        <v>0</v>
      </c>
      <c r="AG28" s="109">
        <f t="shared" si="16"/>
        <v>0</v>
      </c>
      <c r="AH28" s="109">
        <f t="shared" si="16"/>
        <v>0</v>
      </c>
      <c r="AI28" s="109">
        <f t="shared" si="16"/>
        <v>0</v>
      </c>
      <c r="AJ28" s="109">
        <f t="shared" si="16"/>
        <v>0</v>
      </c>
      <c r="AK28" s="109">
        <f t="shared" si="16"/>
        <v>0</v>
      </c>
      <c r="AL28" s="109">
        <f t="shared" si="16"/>
        <v>0</v>
      </c>
      <c r="AM28" s="109">
        <f t="shared" si="16"/>
        <v>0</v>
      </c>
      <c r="AN28" s="109">
        <f t="shared" si="16"/>
        <v>0</v>
      </c>
      <c r="AO28" s="109">
        <f t="shared" si="16"/>
        <v>0</v>
      </c>
      <c r="AP28" s="109">
        <f t="shared" si="16"/>
        <v>0</v>
      </c>
      <c r="AQ28" s="109" t="e">
        <f t="shared" si="16"/>
        <v>#DIV/0!</v>
      </c>
      <c r="AR28" s="109" t="e">
        <f t="shared" si="16"/>
        <v>#DIV/0!</v>
      </c>
      <c r="AS28" s="109" t="e">
        <f t="shared" si="16"/>
        <v>#DIV/0!</v>
      </c>
      <c r="AT28" s="109" t="e">
        <f t="shared" si="16"/>
        <v>#DIV/0!</v>
      </c>
      <c r="AU28" s="109" t="e">
        <f t="shared" si="16"/>
        <v>#DIV/0!</v>
      </c>
      <c r="AV28" s="109" t="e">
        <f t="shared" si="16"/>
        <v>#DIV/0!</v>
      </c>
      <c r="AW28" s="109" t="e">
        <f t="shared" si="16"/>
        <v>#DIV/0!</v>
      </c>
      <c r="AX28" s="109" t="e">
        <f t="shared" si="16"/>
        <v>#DIV/0!</v>
      </c>
      <c r="AY28" s="109" t="e">
        <f t="shared" si="16"/>
        <v>#DIV/0!</v>
      </c>
      <c r="AZ28" s="109" t="e">
        <f t="shared" si="16"/>
        <v>#DIV/0!</v>
      </c>
      <c r="BA28" s="109" t="e">
        <f t="shared" si="16"/>
        <v>#DIV/0!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2" t="s">
        <v>572</v>
      </c>
      <c r="E29" s="108">
        <f>(E4-I4)/I4</f>
        <v>2.3019048913390416</v>
      </c>
      <c r="F29" s="108">
        <f t="shared" ref="F29:BQ29" si="18">(F4-J4)/J4</f>
        <v>-19.227636475433066</v>
      </c>
      <c r="G29" s="108">
        <f t="shared" si="18"/>
        <v>2136.2094816904046</v>
      </c>
      <c r="H29" s="108">
        <f t="shared" si="18"/>
        <v>-184.92549938322392</v>
      </c>
      <c r="I29" s="108">
        <f t="shared" si="18"/>
        <v>-19.28821020736806</v>
      </c>
      <c r="J29" s="108">
        <f t="shared" si="18"/>
        <v>-1.9580106400318633</v>
      </c>
      <c r="K29" s="108">
        <f t="shared" si="18"/>
        <v>-1.0276644229123155</v>
      </c>
      <c r="L29" s="108">
        <f t="shared" si="18"/>
        <v>-2.0822046488886401</v>
      </c>
      <c r="M29" s="108">
        <f t="shared" si="18"/>
        <v>-0.69210417626882603</v>
      </c>
      <c r="N29" s="108">
        <f t="shared" si="18"/>
        <v>-1.4280049516378994</v>
      </c>
      <c r="O29" s="108">
        <f t="shared" si="18"/>
        <v>-0.90416097244150218</v>
      </c>
      <c r="P29" s="108">
        <f t="shared" si="18"/>
        <v>-1.0589820469109736</v>
      </c>
      <c r="Q29" s="108">
        <f t="shared" si="18"/>
        <v>-0.85079846759152999</v>
      </c>
      <c r="R29" s="108">
        <f t="shared" si="18"/>
        <v>-0.53504358625022574</v>
      </c>
      <c r="S29" s="108">
        <f t="shared" si="18"/>
        <v>-0.28110986155280104</v>
      </c>
      <c r="T29" s="108">
        <f t="shared" si="18"/>
        <v>-6.8482857535934166E-2</v>
      </c>
      <c r="U29" s="108">
        <f t="shared" si="18"/>
        <v>0.14573534633675472</v>
      </c>
      <c r="V29" s="108">
        <f t="shared" si="18"/>
        <v>0.1164472630296788</v>
      </c>
      <c r="W29" s="108">
        <f t="shared" si="18"/>
        <v>7.5309478591311521E-3</v>
      </c>
      <c r="X29" s="108">
        <f t="shared" si="18"/>
        <v>-0.2615973002187339</v>
      </c>
      <c r="Y29" s="108">
        <f t="shared" si="18"/>
        <v>-0.28678828334262302</v>
      </c>
      <c r="Z29" s="108">
        <f t="shared" si="18"/>
        <v>-0.11238315049250008</v>
      </c>
      <c r="AA29" s="108">
        <f t="shared" si="18"/>
        <v>0.19925963171258665</v>
      </c>
      <c r="AB29" s="108">
        <f t="shared" si="18"/>
        <v>0.65229596188237327</v>
      </c>
      <c r="AC29" s="108">
        <f t="shared" si="18"/>
        <v>0.6207945052977385</v>
      </c>
      <c r="AD29" s="108">
        <f t="shared" si="18"/>
        <v>0.57885097509873451</v>
      </c>
      <c r="AE29" s="108">
        <f t="shared" si="18"/>
        <v>0.42693625614120723</v>
      </c>
      <c r="AF29" s="108">
        <f t="shared" si="18"/>
        <v>0.88608068805732632</v>
      </c>
      <c r="AG29" s="108">
        <f t="shared" si="18"/>
        <v>1.0752045574366913</v>
      </c>
      <c r="AH29" s="108">
        <f t="shared" si="18"/>
        <v>0.82512960748789033</v>
      </c>
      <c r="AI29" s="108">
        <f t="shared" si="18"/>
        <v>1.1693866018882688</v>
      </c>
      <c r="AJ29" s="108">
        <f t="shared" si="18"/>
        <v>0.5134438091608492</v>
      </c>
      <c r="AK29" s="108">
        <f t="shared" si="18"/>
        <v>0.50145068277872606</v>
      </c>
      <c r="AL29" s="108">
        <f t="shared" si="18"/>
        <v>0.63030799584738839</v>
      </c>
      <c r="AM29" s="108" t="e">
        <f t="shared" si="18"/>
        <v>#DIV/0!</v>
      </c>
      <c r="AN29" s="108" t="e">
        <f t="shared" si="18"/>
        <v>#DIV/0!</v>
      </c>
      <c r="AO29" s="108" t="e">
        <f t="shared" si="18"/>
        <v>#DIV/0!</v>
      </c>
      <c r="AP29" s="108" t="e">
        <f t="shared" si="18"/>
        <v>#DIV/0!</v>
      </c>
      <c r="AQ29" s="108" t="e">
        <f t="shared" si="18"/>
        <v>#DIV/0!</v>
      </c>
      <c r="AR29" s="108" t="e">
        <f t="shared" si="18"/>
        <v>#DIV/0!</v>
      </c>
      <c r="AS29" s="108" t="e">
        <f t="shared" si="18"/>
        <v>#DIV/0!</v>
      </c>
      <c r="AT29" s="108" t="e">
        <f t="shared" si="18"/>
        <v>#DIV/0!</v>
      </c>
      <c r="AU29" s="108" t="e">
        <f t="shared" si="18"/>
        <v>#DIV/0!</v>
      </c>
      <c r="AV29" s="108" t="e">
        <f t="shared" si="18"/>
        <v>#DIV/0!</v>
      </c>
      <c r="AW29" s="108" t="e">
        <f t="shared" si="18"/>
        <v>#DIV/0!</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2" t="s">
        <v>556</v>
      </c>
      <c r="E30" s="108">
        <f>(E5-I5)/I5</f>
        <v>1.5100315166552314</v>
      </c>
      <c r="F30" s="108">
        <f t="shared" ref="F30:BQ30" si="20">(F5-J5)/J5</f>
        <v>1.3079370382572626</v>
      </c>
      <c r="G30" s="108">
        <f t="shared" si="20"/>
        <v>1.5581119184587182</v>
      </c>
      <c r="H30" s="108">
        <f t="shared" si="20"/>
        <v>0.92114565509969082</v>
      </c>
      <c r="I30" s="108">
        <f t="shared" si="20"/>
        <v>-0.13440704652435242</v>
      </c>
      <c r="J30" s="108">
        <f t="shared" si="20"/>
        <v>1.7586484145305237</v>
      </c>
      <c r="K30" s="108">
        <f t="shared" si="20"/>
        <v>1.3091715301553781</v>
      </c>
      <c r="L30" s="108">
        <f t="shared" si="20"/>
        <v>1.4295209353899461</v>
      </c>
      <c r="M30" s="108">
        <f t="shared" si="20"/>
        <v>5.4106304577961808</v>
      </c>
      <c r="N30" s="108">
        <f t="shared" si="20"/>
        <v>-0.11513197657717995</v>
      </c>
      <c r="O30" s="108">
        <f t="shared" si="20"/>
        <v>-0.33284225174189835</v>
      </c>
      <c r="P30" s="108">
        <f t="shared" si="20"/>
        <v>-0.36914595412572687</v>
      </c>
      <c r="Q30" s="108">
        <f t="shared" si="20"/>
        <v>-0.75236234339146746</v>
      </c>
      <c r="R30" s="108">
        <f t="shared" si="20"/>
        <v>-0.48324855682347873</v>
      </c>
      <c r="S30" s="108">
        <f t="shared" si="20"/>
        <v>-0.24382368091500556</v>
      </c>
      <c r="T30" s="108">
        <f t="shared" si="20"/>
        <v>-8.8568687151711303E-2</v>
      </c>
      <c r="U30" s="108">
        <f t="shared" si="20"/>
        <v>7.0394564651854619E-2</v>
      </c>
      <c r="V30" s="108">
        <f t="shared" si="20"/>
        <v>-3.9850723328932941E-2</v>
      </c>
      <c r="W30" s="108">
        <f t="shared" si="20"/>
        <v>1.6224160217439765E-2</v>
      </c>
      <c r="X30" s="108">
        <f t="shared" si="20"/>
        <v>-0.20255356670609864</v>
      </c>
      <c r="Y30" s="108">
        <f t="shared" si="20"/>
        <v>-0.23990706216487448</v>
      </c>
      <c r="Z30" s="108">
        <f t="shared" si="20"/>
        <v>-3.7184691288646626E-2</v>
      </c>
      <c r="AA30" s="108">
        <f t="shared" si="20"/>
        <v>0.13211480817809301</v>
      </c>
      <c r="AB30" s="108">
        <f t="shared" si="20"/>
        <v>0.43154234193236807</v>
      </c>
      <c r="AC30" s="108">
        <f t="shared" si="20"/>
        <v>0.59208698899082635</v>
      </c>
      <c r="AD30" s="108">
        <f t="shared" si="20"/>
        <v>0.60656324116510307</v>
      </c>
      <c r="AE30" s="108">
        <f t="shared" si="20"/>
        <v>0.52240961751432247</v>
      </c>
      <c r="AF30" s="108">
        <f t="shared" si="20"/>
        <v>0.84335042177744546</v>
      </c>
      <c r="AG30" s="108">
        <f t="shared" si="20"/>
        <v>1.0396915809434333</v>
      </c>
      <c r="AH30" s="108">
        <f t="shared" si="20"/>
        <v>1.1303016271340467</v>
      </c>
      <c r="AI30" s="108">
        <f t="shared" si="20"/>
        <v>1.0276736372909638</v>
      </c>
      <c r="AJ30" s="108">
        <f t="shared" si="20"/>
        <v>0.33506136152925825</v>
      </c>
      <c r="AK30" s="108">
        <f t="shared" si="20"/>
        <v>0.19880229544863076</v>
      </c>
      <c r="AL30" s="108">
        <f t="shared" si="20"/>
        <v>0.39666134467496716</v>
      </c>
      <c r="AM30" s="108" t="e">
        <f t="shared" si="20"/>
        <v>#DIV/0!</v>
      </c>
      <c r="AN30" s="108" t="e">
        <f t="shared" si="20"/>
        <v>#DIV/0!</v>
      </c>
      <c r="AO30" s="108" t="e">
        <f t="shared" si="20"/>
        <v>#DIV/0!</v>
      </c>
      <c r="AP30" s="108" t="e">
        <f t="shared" si="20"/>
        <v>#DIV/0!</v>
      </c>
      <c r="AQ30" s="108" t="e">
        <f t="shared" si="20"/>
        <v>#DIV/0!</v>
      </c>
      <c r="AR30" s="108" t="e">
        <f t="shared" si="20"/>
        <v>#DIV/0!</v>
      </c>
      <c r="AS30" s="108" t="e">
        <f t="shared" si="20"/>
        <v>#DIV/0!</v>
      </c>
      <c r="AT30" s="108" t="e">
        <f t="shared" si="20"/>
        <v>#DIV/0!</v>
      </c>
      <c r="AU30" s="108" t="e">
        <f t="shared" si="20"/>
        <v>#DIV/0!</v>
      </c>
      <c r="AV30" s="108" t="e">
        <f t="shared" si="20"/>
        <v>#DIV/0!</v>
      </c>
      <c r="AW30" s="108" t="e">
        <f t="shared" si="20"/>
        <v>#DIV/0!</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2" t="s">
        <v>557</v>
      </c>
      <c r="E31" s="108">
        <f>(E6-I6)/I6</f>
        <v>1.7720245981163536</v>
      </c>
      <c r="F31" s="108">
        <f t="shared" ref="F31:BQ31" si="22">(F6-J6)/J6</f>
        <v>4.1432712552944944</v>
      </c>
      <c r="G31" s="108">
        <f t="shared" si="22"/>
        <v>4.1983526380055949</v>
      </c>
      <c r="H31" s="108">
        <f t="shared" si="22"/>
        <v>7.4998136946574192</v>
      </c>
      <c r="I31" s="108">
        <f t="shared" si="22"/>
        <v>0.32457298325171757</v>
      </c>
      <c r="J31" s="108">
        <f t="shared" si="22"/>
        <v>0.79640626814042814</v>
      </c>
      <c r="K31" s="108">
        <f t="shared" si="22"/>
        <v>1.5785748349594946</v>
      </c>
      <c r="L31" s="108">
        <f t="shared" si="22"/>
        <v>1.1792029259177068</v>
      </c>
      <c r="M31" s="108">
        <f t="shared" si="22"/>
        <v>11.209855998831101</v>
      </c>
      <c r="N31" s="108">
        <f t="shared" si="22"/>
        <v>3.2987214828401905</v>
      </c>
      <c r="O31" s="108">
        <f t="shared" si="22"/>
        <v>1.1331550762293732</v>
      </c>
      <c r="P31" s="108">
        <f t="shared" si="22"/>
        <v>2.7929356102188185</v>
      </c>
      <c r="Q31" s="108">
        <f t="shared" si="22"/>
        <v>-0.33619690945143227</v>
      </c>
      <c r="R31" s="108">
        <f t="shared" si="22"/>
        <v>-0.27252295583141894</v>
      </c>
      <c r="S31" s="108">
        <f t="shared" si="22"/>
        <v>-0.1277354110364825</v>
      </c>
      <c r="T31" s="108">
        <f t="shared" si="22"/>
        <v>-0.17055024400486982</v>
      </c>
      <c r="U31" s="108">
        <f t="shared" si="22"/>
        <v>-0.16245081755387827</v>
      </c>
      <c r="V31" s="108">
        <f t="shared" si="22"/>
        <v>-0.38827101770035355</v>
      </c>
      <c r="W31" s="108">
        <f t="shared" si="22"/>
        <v>4.4277080627858373E-2</v>
      </c>
      <c r="X31" s="108">
        <f t="shared" si="22"/>
        <v>0.18380043893785677</v>
      </c>
      <c r="Y31" s="108">
        <f t="shared" si="22"/>
        <v>-4.6127325159174198E-2</v>
      </c>
      <c r="Z31" s="108">
        <f t="shared" si="22"/>
        <v>0.18698614658624263</v>
      </c>
      <c r="AA31" s="108">
        <f t="shared" si="22"/>
        <v>-4.1128856373647396E-2</v>
      </c>
      <c r="AB31" s="108">
        <f t="shared" si="22"/>
        <v>-0.23620191829647666</v>
      </c>
      <c r="AC31" s="108">
        <f t="shared" si="22"/>
        <v>0.48347975931022275</v>
      </c>
      <c r="AD31" s="108">
        <f t="shared" si="22"/>
        <v>0.69526638746910929</v>
      </c>
      <c r="AE31" s="108">
        <f t="shared" si="22"/>
        <v>0.84006447956825858</v>
      </c>
      <c r="AF31" s="108">
        <f t="shared" si="22"/>
        <v>0.72512822083957684</v>
      </c>
      <c r="AG31" s="108">
        <f t="shared" si="22"/>
        <v>0.91566659047925469</v>
      </c>
      <c r="AH31" s="108">
        <f t="shared" si="22"/>
        <v>3.5832879799780346</v>
      </c>
      <c r="AI31" s="108">
        <f t="shared" si="22"/>
        <v>0.66565496766894439</v>
      </c>
      <c r="AJ31" s="108">
        <f t="shared" si="22"/>
        <v>6.7585595455433257E-3</v>
      </c>
      <c r="AK31" s="108">
        <f t="shared" si="22"/>
        <v>-0.2964619736339687</v>
      </c>
      <c r="AL31" s="108">
        <f t="shared" si="22"/>
        <v>-0.35098407384804953</v>
      </c>
      <c r="AM31" s="108" t="e">
        <f t="shared" si="22"/>
        <v>#DIV/0!</v>
      </c>
      <c r="AN31" s="108" t="e">
        <f t="shared" si="22"/>
        <v>#DIV/0!</v>
      </c>
      <c r="AO31" s="108" t="e">
        <f t="shared" si="22"/>
        <v>#DIV/0!</v>
      </c>
      <c r="AP31" s="108" t="e">
        <f t="shared" si="22"/>
        <v>#DIV/0!</v>
      </c>
      <c r="AQ31" s="108" t="e">
        <f t="shared" si="22"/>
        <v>#DIV/0!</v>
      </c>
      <c r="AR31" s="108" t="e">
        <f t="shared" si="22"/>
        <v>#DIV/0!</v>
      </c>
      <c r="AS31" s="108" t="e">
        <f t="shared" si="22"/>
        <v>#DIV/0!</v>
      </c>
      <c r="AT31" s="108" t="e">
        <f t="shared" si="22"/>
        <v>#DIV/0!</v>
      </c>
      <c r="AU31" s="108" t="e">
        <f t="shared" si="22"/>
        <v>#DIV/0!</v>
      </c>
      <c r="AV31" s="108" t="e">
        <f t="shared" si="22"/>
        <v>#DIV/0!</v>
      </c>
      <c r="AW31" s="108" t="e">
        <f t="shared" si="22"/>
        <v>#DIV/0!</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3" t="s">
        <v>559</v>
      </c>
      <c r="E32" s="109">
        <f>(E7-I7)/I7</f>
        <v>0.55568665418805219</v>
      </c>
      <c r="F32" s="109">
        <f t="shared" ref="F32:BQ32" si="24">(F7-J7)/J7</f>
        <v>0.79128032318055785</v>
      </c>
      <c r="G32" s="109">
        <f t="shared" si="24"/>
        <v>1.2197466310562723</v>
      </c>
      <c r="H32" s="109">
        <f t="shared" si="24"/>
        <v>1.4072099821982829</v>
      </c>
      <c r="I32" s="109">
        <f t="shared" si="24"/>
        <v>0.24438244970752143</v>
      </c>
      <c r="J32" s="109">
        <f t="shared" si="24"/>
        <v>6.9405353634631206</v>
      </c>
      <c r="K32" s="109">
        <f t="shared" si="24"/>
        <v>6.9419785105214729</v>
      </c>
      <c r="L32" s="109">
        <f t="shared" si="24"/>
        <v>6.4045170333300998</v>
      </c>
      <c r="M32" s="109">
        <f t="shared" si="24"/>
        <v>204.07728355160859</v>
      </c>
      <c r="N32" s="109">
        <f t="shared" si="24"/>
        <v>-47.199853817942646</v>
      </c>
      <c r="O32" s="109">
        <f t="shared" si="24"/>
        <v>1.0685593920168402E-2</v>
      </c>
      <c r="P32" s="109">
        <f t="shared" si="24"/>
        <v>6.3835365009051416E-3</v>
      </c>
      <c r="Q32" s="109">
        <f t="shared" si="24"/>
        <v>-0.96425348827272739</v>
      </c>
      <c r="R32" s="109">
        <f t="shared" si="24"/>
        <v>-1.0214310991348732</v>
      </c>
      <c r="S32" s="109">
        <f t="shared" si="24"/>
        <v>-5.7689207152665631E-4</v>
      </c>
      <c r="T32" s="109">
        <f t="shared" si="24"/>
        <v>8.3326251984992036E-2</v>
      </c>
      <c r="U32" s="109">
        <f t="shared" si="24"/>
        <v>9.3974445974632892E-2</v>
      </c>
      <c r="V32" s="109">
        <f t="shared" si="24"/>
        <v>0.22710221628278499</v>
      </c>
      <c r="W32" s="109">
        <f t="shared" si="24"/>
        <v>0.21259948471757892</v>
      </c>
      <c r="X32" s="109">
        <f t="shared" si="24"/>
        <v>0.6354281435038811</v>
      </c>
      <c r="Y32" s="109">
        <f t="shared" si="24"/>
        <v>0.72704014507245251</v>
      </c>
      <c r="Z32" s="109">
        <f t="shared" si="24"/>
        <v>1.1090352064249807</v>
      </c>
      <c r="AA32" s="109">
        <f t="shared" si="24"/>
        <v>1.0774854349919951</v>
      </c>
      <c r="AB32" s="109">
        <f t="shared" si="24"/>
        <v>0.61253064591445794</v>
      </c>
      <c r="AC32" s="109">
        <f t="shared" si="24"/>
        <v>0.52860370774233079</v>
      </c>
      <c r="AD32" s="109">
        <f t="shared" si="24"/>
        <v>0.27480811182944687</v>
      </c>
      <c r="AE32" s="109">
        <f t="shared" si="24"/>
        <v>0.4289185216304528</v>
      </c>
      <c r="AF32" s="109">
        <f t="shared" si="24"/>
        <v>0.31266812434225966</v>
      </c>
      <c r="AG32" s="109">
        <f t="shared" si="24"/>
        <v>0.29490070499271998</v>
      </c>
      <c r="AH32" s="109">
        <f t="shared" si="24"/>
        <v>0.15098571173569006</v>
      </c>
      <c r="AI32" s="109">
        <f t="shared" si="24"/>
        <v>2.2870137726501826E-2</v>
      </c>
      <c r="AJ32" s="109">
        <f t="shared" si="24"/>
        <v>9.4604039404754411E-2</v>
      </c>
      <c r="AK32" s="109">
        <f t="shared" si="24"/>
        <v>0.58989294035222906</v>
      </c>
      <c r="AL32" s="109">
        <f t="shared" si="24"/>
        <v>1.8275935259473022</v>
      </c>
      <c r="AM32" s="109" t="e">
        <f t="shared" si="24"/>
        <v>#DIV/0!</v>
      </c>
      <c r="AN32" s="109" t="e">
        <f t="shared" si="24"/>
        <v>#DIV/0!</v>
      </c>
      <c r="AO32" s="109" t="e">
        <f t="shared" si="24"/>
        <v>#DIV/0!</v>
      </c>
      <c r="AP32" s="109" t="e">
        <f t="shared" si="24"/>
        <v>#DIV/0!</v>
      </c>
      <c r="AQ32" s="109" t="e">
        <f t="shared" si="24"/>
        <v>#DIV/0!</v>
      </c>
      <c r="AR32" s="109" t="e">
        <f t="shared" si="24"/>
        <v>#DIV/0!</v>
      </c>
      <c r="AS32" s="109" t="e">
        <f t="shared" si="24"/>
        <v>#DIV/0!</v>
      </c>
      <c r="AT32" s="109" t="e">
        <f t="shared" si="24"/>
        <v>#DIV/0!</v>
      </c>
      <c r="AU32" s="109" t="e">
        <f t="shared" si="24"/>
        <v>#DIV/0!</v>
      </c>
      <c r="AV32" s="109" t="e">
        <f t="shared" si="24"/>
        <v>#DIV/0!</v>
      </c>
      <c r="AW32" s="109" t="e">
        <f t="shared" si="24"/>
        <v>#DIV/0!</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3" t="s">
        <v>566</v>
      </c>
      <c r="E33" s="109">
        <f>E7/E9</f>
        <v>0.59853929441487264</v>
      </c>
      <c r="F33" s="109">
        <f t="shared" ref="F33:BQ33" si="26">F7/F9</f>
        <v>0.67506399078121149</v>
      </c>
      <c r="G33" s="109">
        <f t="shared" si="26"/>
        <v>0.85613175945006981</v>
      </c>
      <c r="H33" s="109">
        <f t="shared" si="26"/>
        <v>1.1709520970647718</v>
      </c>
      <c r="I33" s="109">
        <f t="shared" si="26"/>
        <v>0.71731192360149021</v>
      </c>
      <c r="J33" s="109">
        <f t="shared" si="26"/>
        <v>0.71896843496215934</v>
      </c>
      <c r="K33" s="109">
        <f t="shared" si="26"/>
        <v>0.75485693339527793</v>
      </c>
      <c r="L33" s="109">
        <f t="shared" si="26"/>
        <v>0.58483618417366046</v>
      </c>
      <c r="M33" s="109">
        <f t="shared" si="26"/>
        <v>0.56061075932530902</v>
      </c>
      <c r="N33" s="109">
        <f t="shared" si="26"/>
        <v>0.41988619849226738</v>
      </c>
      <c r="O33" s="109">
        <f t="shared" si="26"/>
        <v>0.44223382286872992</v>
      </c>
      <c r="P33" s="109">
        <f t="shared" si="26"/>
        <v>0.47220380802003642</v>
      </c>
      <c r="Q33" s="109">
        <f t="shared" si="26"/>
        <v>2.6966883186620993E-2</v>
      </c>
      <c r="R33" s="109">
        <f t="shared" si="26"/>
        <v>-1.9247275088214881E-2</v>
      </c>
      <c r="S33" s="109">
        <f t="shared" si="26"/>
        <v>0.64359571685821892</v>
      </c>
      <c r="T33" s="109">
        <f t="shared" si="26"/>
        <v>0.59378612443436418</v>
      </c>
      <c r="U33" s="109">
        <f t="shared" si="26"/>
        <v>0.5633600005811954</v>
      </c>
      <c r="V33" s="109">
        <f t="shared" si="26"/>
        <v>0.5621287719826733</v>
      </c>
      <c r="W33" s="109">
        <f t="shared" si="26"/>
        <v>0.55302113075881654</v>
      </c>
      <c r="X33" s="109">
        <f t="shared" si="26"/>
        <v>0.55034854965427671</v>
      </c>
      <c r="Y33" s="109">
        <f t="shared" si="26"/>
        <v>0.56260400065012628</v>
      </c>
      <c r="Z33" s="109">
        <f t="shared" si="26"/>
        <v>0.52032404313481218</v>
      </c>
      <c r="AA33" s="109">
        <f t="shared" si="26"/>
        <v>0.4877561928218539</v>
      </c>
      <c r="AB33" s="109">
        <f t="shared" si="26"/>
        <v>0.3510618446777477</v>
      </c>
      <c r="AC33" s="109">
        <f t="shared" si="26"/>
        <v>0.33910487640786402</v>
      </c>
      <c r="AD33" s="109">
        <f t="shared" si="26"/>
        <v>0.25685697379628181</v>
      </c>
      <c r="AE33" s="109">
        <f t="shared" si="26"/>
        <v>0.28563705035904552</v>
      </c>
      <c r="AF33" s="109">
        <f t="shared" si="26"/>
        <v>0.27064849399611313</v>
      </c>
      <c r="AG33" s="109">
        <f t="shared" si="26"/>
        <v>0.27082886516922972</v>
      </c>
      <c r="AH33" s="109">
        <f t="shared" si="26"/>
        <v>0.25052161691840064</v>
      </c>
      <c r="AI33" s="109">
        <f t="shared" si="26"/>
        <v>0.2342212125829751</v>
      </c>
      <c r="AJ33" s="109">
        <f t="shared" si="26"/>
        <v>0.24237820968867327</v>
      </c>
      <c r="AK33" s="109">
        <f t="shared" si="26"/>
        <v>0.46805984430980579</v>
      </c>
      <c r="AL33" s="109">
        <f t="shared" si="26"/>
        <v>0.49352012854722788</v>
      </c>
      <c r="AM33" s="109">
        <f t="shared" si="26"/>
        <v>0.53694031823779254</v>
      </c>
      <c r="AN33" s="109">
        <f t="shared" si="26"/>
        <v>0.5230239601433101</v>
      </c>
      <c r="AO33" s="109">
        <f t="shared" si="26"/>
        <v>0.44934986134972993</v>
      </c>
      <c r="AP33" s="109">
        <f t="shared" si="26"/>
        <v>0.35877077985464362</v>
      </c>
      <c r="AQ33" s="109" t="e">
        <f t="shared" si="26"/>
        <v>#DIV/0!</v>
      </c>
      <c r="AR33" s="109" t="e">
        <f t="shared" si="26"/>
        <v>#DIV/0!</v>
      </c>
      <c r="AS33" s="109" t="e">
        <f t="shared" si="26"/>
        <v>#DIV/0!</v>
      </c>
      <c r="AT33" s="109" t="e">
        <f t="shared" si="26"/>
        <v>#DIV/0!</v>
      </c>
      <c r="AU33" s="109" t="e">
        <f t="shared" si="26"/>
        <v>#DIV/0!</v>
      </c>
      <c r="AV33" s="109" t="e">
        <f t="shared" si="26"/>
        <v>#DIV/0!</v>
      </c>
      <c r="AW33" s="109" t="e">
        <f t="shared" si="26"/>
        <v>#DIV/0!</v>
      </c>
      <c r="AX33" s="109" t="e">
        <f t="shared" si="26"/>
        <v>#DIV/0!</v>
      </c>
      <c r="AY33" s="109" t="e">
        <f t="shared" si="26"/>
        <v>#DIV/0!</v>
      </c>
      <c r="AZ33" s="109" t="e">
        <f t="shared" si="26"/>
        <v>#DIV/0!</v>
      </c>
      <c r="BA33" s="109" t="e">
        <f t="shared" si="26"/>
        <v>#DIV/0!</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2" t="s">
        <v>560</v>
      </c>
      <c r="E34" s="108">
        <f>(E10-I10)/I10</f>
        <v>12.107427268437226</v>
      </c>
      <c r="F34" s="108">
        <f t="shared" ref="F34:BQ34" si="28">(F10-J10)/J10</f>
        <v>1.9424112834582967</v>
      </c>
      <c r="G34" s="108">
        <f t="shared" si="28"/>
        <v>1.0939798199262525</v>
      </c>
      <c r="H34" s="108">
        <f t="shared" si="28"/>
        <v>2.2451493520414414</v>
      </c>
      <c r="I34" s="108">
        <f t="shared" si="28"/>
        <v>-0.80754222055605474</v>
      </c>
      <c r="J34" s="108">
        <f t="shared" si="28"/>
        <v>-0.31314495104643558</v>
      </c>
      <c r="K34" s="108">
        <f t="shared" si="28"/>
        <v>-0.37478275099473374</v>
      </c>
      <c r="L34" s="108">
        <f t="shared" si="28"/>
        <v>-0.86688192365657812</v>
      </c>
      <c r="M34" s="108" t="e">
        <f t="shared" si="28"/>
        <v>#DIV/0!</v>
      </c>
      <c r="N34" s="108" t="e">
        <f t="shared" si="28"/>
        <v>#DIV/0!</v>
      </c>
      <c r="O34" s="108">
        <f t="shared" si="28"/>
        <v>0.14216728141897483</v>
      </c>
      <c r="P34" s="108">
        <f t="shared" si="28"/>
        <v>-0.11590228465845452</v>
      </c>
      <c r="Q34" s="108">
        <f t="shared" si="28"/>
        <v>-1</v>
      </c>
      <c r="R34" s="108">
        <f t="shared" si="28"/>
        <v>-1</v>
      </c>
      <c r="S34" s="108">
        <f t="shared" si="28"/>
        <v>-0.2779391376571661</v>
      </c>
      <c r="T34" s="108">
        <f t="shared" si="28"/>
        <v>-1.3589160030743062E-2</v>
      </c>
      <c r="U34" s="108">
        <f t="shared" si="28"/>
        <v>0.18498967922832624</v>
      </c>
      <c r="V34" s="108">
        <f t="shared" si="28"/>
        <v>0.29366891774094528</v>
      </c>
      <c r="W34" s="108">
        <f t="shared" si="28"/>
        <v>0.25232491746473507</v>
      </c>
      <c r="X34" s="108">
        <f t="shared" si="28"/>
        <v>0.19464186422136415</v>
      </c>
      <c r="Y34" s="108">
        <f t="shared" si="28"/>
        <v>0.18601861907957556</v>
      </c>
      <c r="Z34" s="108">
        <f t="shared" si="28"/>
        <v>0.14005933347470348</v>
      </c>
      <c r="AA34" s="108">
        <f t="shared" si="28"/>
        <v>0.50788162698553729</v>
      </c>
      <c r="AB34" s="108">
        <f t="shared" si="28"/>
        <v>0.67161599740530442</v>
      </c>
      <c r="AC34" s="108">
        <f t="shared" si="28"/>
        <v>0.59327139065129197</v>
      </c>
      <c r="AD34" s="108">
        <f t="shared" si="28"/>
        <v>0.79958816120906806</v>
      </c>
      <c r="AE34" s="108">
        <f t="shared" si="28"/>
        <v>0.56902412240919764</v>
      </c>
      <c r="AF34" s="108">
        <f t="shared" si="28"/>
        <v>0.69210413089553346</v>
      </c>
      <c r="AG34" s="108">
        <f t="shared" si="28"/>
        <v>0.69146049224635087</v>
      </c>
      <c r="AH34" s="108">
        <f t="shared" si="28"/>
        <v>0.59225446859202868</v>
      </c>
      <c r="AI34" s="108">
        <f t="shared" si="28"/>
        <v>0.5943829612239645</v>
      </c>
      <c r="AJ34" s="108">
        <f t="shared" si="28"/>
        <v>0.38771178199475426</v>
      </c>
      <c r="AK34" s="108">
        <f t="shared" si="28"/>
        <v>0.48637945945945948</v>
      </c>
      <c r="AL34" s="108">
        <f t="shared" si="28"/>
        <v>1.3916739141486811</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2" t="s">
        <v>564</v>
      </c>
      <c r="E35" s="108">
        <f>E10/E12</f>
        <v>0.35134212223232258</v>
      </c>
      <c r="F35" s="108">
        <f t="shared" ref="F35:BQ35" si="30">F10/F12</f>
        <v>0.294227761747617</v>
      </c>
      <c r="G35" s="108">
        <f t="shared" si="30"/>
        <v>0.23200977571296588</v>
      </c>
      <c r="H35" s="108">
        <f t="shared" si="30"/>
        <v>8.6349909917066633E-2</v>
      </c>
      <c r="I35" s="108">
        <f t="shared" si="30"/>
        <v>9.4044133135657806E-2</v>
      </c>
      <c r="J35" s="108">
        <f t="shared" si="30"/>
        <v>0.6676854588832416</v>
      </c>
      <c r="K35" s="108">
        <f t="shared" si="30"/>
        <v>0.67150627956629128</v>
      </c>
      <c r="L35" s="108">
        <f t="shared" si="30"/>
        <v>3.0981464041708227E-2</v>
      </c>
      <c r="M35" s="108">
        <f t="shared" si="30"/>
        <v>0.20272414216558546</v>
      </c>
      <c r="N35" s="108">
        <f t="shared" si="30"/>
        <v>1</v>
      </c>
      <c r="O35" s="108">
        <f t="shared" si="30"/>
        <v>1</v>
      </c>
      <c r="P35" s="108">
        <f t="shared" si="30"/>
        <v>1</v>
      </c>
      <c r="Q35" s="108" t="e">
        <f t="shared" si="30"/>
        <v>#DIV/0!</v>
      </c>
      <c r="R35" s="108" t="e">
        <f t="shared" si="30"/>
        <v>#DIV/0!</v>
      </c>
      <c r="S35" s="108">
        <f t="shared" si="30"/>
        <v>1</v>
      </c>
      <c r="T35" s="108">
        <f t="shared" si="30"/>
        <v>1</v>
      </c>
      <c r="U35" s="108">
        <f t="shared" si="30"/>
        <v>1</v>
      </c>
      <c r="V35" s="108">
        <f t="shared" si="30"/>
        <v>1</v>
      </c>
      <c r="W35" s="108">
        <f t="shared" si="30"/>
        <v>1</v>
      </c>
      <c r="X35" s="108">
        <f t="shared" si="30"/>
        <v>1</v>
      </c>
      <c r="Y35" s="108">
        <f t="shared" si="30"/>
        <v>1</v>
      </c>
      <c r="Z35" s="108">
        <f t="shared" si="30"/>
        <v>1</v>
      </c>
      <c r="AA35" s="108">
        <f t="shared" si="30"/>
        <v>1</v>
      </c>
      <c r="AB35" s="108">
        <f t="shared" si="30"/>
        <v>1</v>
      </c>
      <c r="AC35" s="108">
        <f t="shared" si="30"/>
        <v>1</v>
      </c>
      <c r="AD35" s="108">
        <f t="shared" si="30"/>
        <v>1</v>
      </c>
      <c r="AE35" s="108">
        <f t="shared" si="30"/>
        <v>1</v>
      </c>
      <c r="AF35" s="108">
        <f t="shared" si="30"/>
        <v>1</v>
      </c>
      <c r="AG35" s="108">
        <f t="shared" si="30"/>
        <v>1</v>
      </c>
      <c r="AH35" s="108">
        <f t="shared" si="30"/>
        <v>1</v>
      </c>
      <c r="AI35" s="108">
        <f t="shared" si="30"/>
        <v>1</v>
      </c>
      <c r="AJ35" s="108">
        <f t="shared" si="30"/>
        <v>1</v>
      </c>
      <c r="AK35" s="108">
        <f t="shared" si="30"/>
        <v>1</v>
      </c>
      <c r="AL35" s="108">
        <f t="shared" si="30"/>
        <v>0.94325318279642589</v>
      </c>
      <c r="AM35" s="108">
        <f t="shared" si="30"/>
        <v>0.9359882574947731</v>
      </c>
      <c r="AN35" s="108">
        <f t="shared" si="30"/>
        <v>0.92956132672649883</v>
      </c>
      <c r="AO35" s="108">
        <f t="shared" si="30"/>
        <v>1</v>
      </c>
      <c r="AP35" s="108">
        <f t="shared" si="30"/>
        <v>1</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2" t="s">
        <v>561</v>
      </c>
      <c r="E36" s="108">
        <f>(E11-I11)/I11</f>
        <v>1.5120460644381812</v>
      </c>
      <c r="F36" s="108">
        <f t="shared" ref="F36:BQ36" si="32">(F11-J11)/J11</f>
        <v>13.18100053836161</v>
      </c>
      <c r="G36" s="108">
        <f t="shared" si="32"/>
        <v>13.169186155459089</v>
      </c>
      <c r="H36" s="108">
        <f t="shared" si="32"/>
        <v>9.7798299816752504E-2</v>
      </c>
      <c r="I36" s="108">
        <f t="shared" si="32"/>
        <v>-0.52858037001628844</v>
      </c>
      <c r="J36" s="108" t="e">
        <f t="shared" si="32"/>
        <v>#DIV/0!</v>
      </c>
      <c r="K36" s="108" t="e">
        <f t="shared" si="32"/>
        <v>#DIV/0!</v>
      </c>
      <c r="L36" s="108" t="e">
        <f t="shared" si="32"/>
        <v>#DIV/0!</v>
      </c>
      <c r="M36" s="108" t="e">
        <f t="shared" si="32"/>
        <v>#DIV/0!</v>
      </c>
      <c r="N36" s="108" t="e">
        <f t="shared" si="32"/>
        <v>#DIV/0!</v>
      </c>
      <c r="O36" s="108" t="e">
        <f t="shared" si="32"/>
        <v>#DIV/0!</v>
      </c>
      <c r="P36" s="108" t="e">
        <f t="shared" si="32"/>
        <v>#DIV/0!</v>
      </c>
      <c r="Q36" s="108" t="e">
        <f t="shared" si="32"/>
        <v>#DIV/0!</v>
      </c>
      <c r="R36" s="108" t="e">
        <f t="shared" si="32"/>
        <v>#DIV/0!</v>
      </c>
      <c r="S36" s="108" t="e">
        <f t="shared" si="32"/>
        <v>#DIV/0!</v>
      </c>
      <c r="T36" s="108" t="e">
        <f t="shared" si="32"/>
        <v>#DIV/0!</v>
      </c>
      <c r="U36" s="108" t="e">
        <f t="shared" si="32"/>
        <v>#DIV/0!</v>
      </c>
      <c r="V36" s="108" t="e">
        <f t="shared" si="32"/>
        <v>#DIV/0!</v>
      </c>
      <c r="W36" s="108" t="e">
        <f t="shared" si="32"/>
        <v>#DIV/0!</v>
      </c>
      <c r="X36" s="108" t="e">
        <f t="shared" si="32"/>
        <v>#DIV/0!</v>
      </c>
      <c r="Y36" s="108" t="e">
        <f t="shared" si="32"/>
        <v>#DIV/0!</v>
      </c>
      <c r="Z36" s="108" t="e">
        <f t="shared" si="32"/>
        <v>#DIV/0!</v>
      </c>
      <c r="AA36" s="108" t="e">
        <f t="shared" si="32"/>
        <v>#DIV/0!</v>
      </c>
      <c r="AB36" s="108" t="e">
        <f t="shared" si="32"/>
        <v>#DIV/0!</v>
      </c>
      <c r="AC36" s="108" t="e">
        <f t="shared" si="32"/>
        <v>#DIV/0!</v>
      </c>
      <c r="AD36" s="108" t="e">
        <f t="shared" si="32"/>
        <v>#DIV/0!</v>
      </c>
      <c r="AE36" s="108" t="e">
        <f t="shared" si="32"/>
        <v>#DIV/0!</v>
      </c>
      <c r="AF36" s="108" t="e">
        <f t="shared" si="32"/>
        <v>#DIV/0!</v>
      </c>
      <c r="AG36" s="108" t="e">
        <f t="shared" si="32"/>
        <v>#DIV/0!</v>
      </c>
      <c r="AH36" s="108">
        <f t="shared" si="32"/>
        <v>-1</v>
      </c>
      <c r="AI36" s="108">
        <f t="shared" si="32"/>
        <v>-1</v>
      </c>
      <c r="AJ36" s="108">
        <f t="shared" si="32"/>
        <v>-1</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2" t="s">
        <v>565</v>
      </c>
      <c r="B37" s="108"/>
      <c r="C37" s="108"/>
      <c r="D37" s="108"/>
      <c r="E37" s="108">
        <f>E11/E12</f>
        <v>0.64865787776767736</v>
      </c>
      <c r="F37" s="108">
        <f t="shared" ref="F37:BQ37" si="34">F11/F12</f>
        <v>0.705772238252383</v>
      </c>
      <c r="G37" s="108">
        <f t="shared" si="34"/>
        <v>0.76799022428703412</v>
      </c>
      <c r="H37" s="108">
        <f t="shared" si="34"/>
        <v>0.91365009008293341</v>
      </c>
      <c r="I37" s="108">
        <f t="shared" si="34"/>
        <v>0.90595586686434215</v>
      </c>
      <c r="J37" s="108">
        <f t="shared" si="34"/>
        <v>0.33231454111675829</v>
      </c>
      <c r="K37" s="108">
        <f t="shared" si="34"/>
        <v>0.32849372043370861</v>
      </c>
      <c r="L37" s="108">
        <f t="shared" si="34"/>
        <v>0.9690185359582919</v>
      </c>
      <c r="M37" s="108">
        <f t="shared" si="34"/>
        <v>0.79727585783441446</v>
      </c>
      <c r="N37" s="108">
        <f t="shared" si="34"/>
        <v>0</v>
      </c>
      <c r="O37" s="110">
        <f t="shared" si="34"/>
        <v>0</v>
      </c>
      <c r="P37" s="110">
        <f t="shared" si="34"/>
        <v>0</v>
      </c>
      <c r="Q37" s="110" t="e">
        <f t="shared" si="34"/>
        <v>#DIV/0!</v>
      </c>
      <c r="R37" s="110" t="e">
        <f t="shared" si="34"/>
        <v>#DIV/0!</v>
      </c>
      <c r="S37" s="110">
        <f t="shared" si="34"/>
        <v>0</v>
      </c>
      <c r="T37" s="110">
        <f t="shared" si="34"/>
        <v>0</v>
      </c>
      <c r="U37" s="110">
        <f t="shared" si="34"/>
        <v>0</v>
      </c>
      <c r="V37" s="110">
        <f t="shared" si="34"/>
        <v>0</v>
      </c>
      <c r="W37" s="110">
        <f t="shared" si="34"/>
        <v>0</v>
      </c>
      <c r="X37" s="110">
        <f t="shared" si="34"/>
        <v>0</v>
      </c>
      <c r="Y37" s="110">
        <f t="shared" si="34"/>
        <v>0</v>
      </c>
      <c r="Z37" s="110">
        <f t="shared" si="34"/>
        <v>0</v>
      </c>
      <c r="AA37" s="110">
        <f t="shared" si="34"/>
        <v>0</v>
      </c>
      <c r="AB37" s="110">
        <f t="shared" si="34"/>
        <v>0</v>
      </c>
      <c r="AC37" s="110">
        <f t="shared" si="34"/>
        <v>0</v>
      </c>
      <c r="AD37" s="110">
        <f t="shared" si="34"/>
        <v>0</v>
      </c>
      <c r="AE37" s="110">
        <f t="shared" si="34"/>
        <v>0</v>
      </c>
      <c r="AF37" s="110">
        <f t="shared" si="34"/>
        <v>0</v>
      </c>
      <c r="AG37" s="110">
        <f t="shared" si="34"/>
        <v>0</v>
      </c>
      <c r="AH37" s="110">
        <f t="shared" si="34"/>
        <v>0</v>
      </c>
      <c r="AI37" s="110">
        <f t="shared" si="34"/>
        <v>0</v>
      </c>
      <c r="AJ37" s="110">
        <f t="shared" si="34"/>
        <v>0</v>
      </c>
      <c r="AK37" s="110">
        <f t="shared" si="34"/>
        <v>0</v>
      </c>
      <c r="AL37" s="110">
        <f t="shared" si="34"/>
        <v>5.6746817203574162E-2</v>
      </c>
      <c r="AM37" s="110">
        <f t="shared" si="34"/>
        <v>6.4011742505226898E-2</v>
      </c>
      <c r="AN37" s="110">
        <f t="shared" si="34"/>
        <v>7.0438673273501159E-2</v>
      </c>
      <c r="AO37" s="110">
        <f t="shared" si="34"/>
        <v>0</v>
      </c>
      <c r="AP37" s="110">
        <f t="shared" si="34"/>
        <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8" customFormat="1" x14ac:dyDescent="0.25">
      <c r="A38" s="185" t="s">
        <v>635</v>
      </c>
      <c r="B38" s="186"/>
      <c r="C38" s="186"/>
      <c r="D38" s="186"/>
      <c r="E38" s="187">
        <f>E1</f>
        <v>43100</v>
      </c>
      <c r="F38" s="187">
        <f t="shared" ref="F38:U38" si="36">F1</f>
        <v>43008</v>
      </c>
      <c r="G38" s="187">
        <f t="shared" si="36"/>
        <v>42916</v>
      </c>
      <c r="H38" s="187">
        <f t="shared" si="36"/>
        <v>42825</v>
      </c>
      <c r="I38" s="187">
        <f t="shared" si="36"/>
        <v>42735</v>
      </c>
      <c r="J38" s="187">
        <f t="shared" si="36"/>
        <v>42643</v>
      </c>
      <c r="K38" s="187">
        <f t="shared" si="36"/>
        <v>42551</v>
      </c>
      <c r="L38" s="187">
        <f t="shared" si="36"/>
        <v>42460</v>
      </c>
      <c r="M38" s="187">
        <f t="shared" si="36"/>
        <v>42369</v>
      </c>
      <c r="N38" s="187">
        <f t="shared" si="36"/>
        <v>42277</v>
      </c>
      <c r="O38" s="187">
        <f t="shared" si="36"/>
        <v>42185</v>
      </c>
      <c r="P38" s="187">
        <f t="shared" si="36"/>
        <v>42094</v>
      </c>
      <c r="Q38" s="187">
        <f t="shared" si="36"/>
        <v>42004</v>
      </c>
      <c r="R38" s="187">
        <f t="shared" si="36"/>
        <v>41912</v>
      </c>
      <c r="S38" s="187">
        <f t="shared" si="36"/>
        <v>41820</v>
      </c>
      <c r="T38" s="187">
        <f t="shared" si="36"/>
        <v>41729</v>
      </c>
      <c r="U38" s="187">
        <f t="shared" si="36"/>
        <v>41639</v>
      </c>
    </row>
    <row r="39" spans="1:89" s="224" customFormat="1" x14ac:dyDescent="0.25">
      <c r="A39" s="221" t="s">
        <v>552</v>
      </c>
      <c r="B39" s="222"/>
      <c r="C39" s="222"/>
      <c r="D39" s="222"/>
      <c r="E39" s="223">
        <f>E2/E9</f>
        <v>0.28661608876016198</v>
      </c>
      <c r="F39" s="223">
        <f t="shared" ref="F39:U39" si="37">F2/F9</f>
        <v>0.22606835564947933</v>
      </c>
      <c r="G39" s="223">
        <f t="shared" si="37"/>
        <v>0.27780437402118624</v>
      </c>
      <c r="H39" s="223">
        <f t="shared" si="37"/>
        <v>0.32610643871451928</v>
      </c>
      <c r="I39" s="223">
        <f t="shared" si="37"/>
        <v>0.31765189315813708</v>
      </c>
      <c r="J39" s="223">
        <f t="shared" si="37"/>
        <v>0.25484679232043111</v>
      </c>
      <c r="K39" s="223">
        <f t="shared" si="37"/>
        <v>0.23080821630419637</v>
      </c>
      <c r="L39" s="223">
        <f t="shared" si="37"/>
        <v>0.18764614868484777</v>
      </c>
      <c r="M39" s="223">
        <f t="shared" si="37"/>
        <v>0.22364277944854496</v>
      </c>
      <c r="N39" s="223">
        <f t="shared" si="37"/>
        <v>0.61230183981807418</v>
      </c>
      <c r="O39" s="223">
        <f t="shared" si="37"/>
        <v>0.52099520745965733</v>
      </c>
      <c r="P39" s="223">
        <f t="shared" si="37"/>
        <v>0.52918905843295638</v>
      </c>
      <c r="Q39" s="223">
        <f t="shared" si="37"/>
        <v>0.87045475384038584</v>
      </c>
      <c r="R39" s="223">
        <f t="shared" si="37"/>
        <v>0.68916923675917185</v>
      </c>
      <c r="S39" s="223">
        <f t="shared" si="37"/>
        <v>1.9164853956749661E-2</v>
      </c>
      <c r="T39" s="223">
        <f t="shared" si="37"/>
        <v>1.282064823630045E-2</v>
      </c>
      <c r="U39" s="223">
        <f t="shared" si="37"/>
        <v>4.777689390727962E-2</v>
      </c>
    </row>
    <row r="40" spans="1:89" s="224" customFormat="1" x14ac:dyDescent="0.25">
      <c r="A40" s="221" t="s">
        <v>553</v>
      </c>
      <c r="B40" s="222"/>
      <c r="C40" s="222"/>
      <c r="D40" s="222"/>
      <c r="E40" s="223">
        <f>E3/E9</f>
        <v>0.19560326079641799</v>
      </c>
      <c r="F40" s="223">
        <f t="shared" ref="F40:U40" si="38">F3/F9</f>
        <v>0.22438734257307369</v>
      </c>
      <c r="G40" s="223">
        <f t="shared" si="38"/>
        <v>8.7325736928644971E-3</v>
      </c>
      <c r="H40" s="223">
        <f t="shared" si="38"/>
        <v>1.0671559224189161E-2</v>
      </c>
      <c r="I40" s="223">
        <f t="shared" si="38"/>
        <v>1.0635881316599064E-2</v>
      </c>
      <c r="J40" s="223">
        <f t="shared" si="38"/>
        <v>1.304735730970082E-2</v>
      </c>
      <c r="K40" s="223">
        <f t="shared" si="38"/>
        <v>1.4465500199825216E-2</v>
      </c>
      <c r="L40" s="223">
        <f t="shared" si="38"/>
        <v>0.22419872222750886</v>
      </c>
      <c r="M40" s="223">
        <f t="shared" si="38"/>
        <v>0.21332153786121721</v>
      </c>
      <c r="N40" s="223">
        <f t="shared" si="38"/>
        <v>3.1405232126671456E-2</v>
      </c>
      <c r="O40" s="223">
        <f t="shared" si="38"/>
        <v>1.4797255119601414E-2</v>
      </c>
      <c r="P40" s="223">
        <f t="shared" si="38"/>
        <v>1.6942206224953182E-2</v>
      </c>
      <c r="Q40" s="223">
        <f t="shared" si="38"/>
        <v>2.488550430148995E-2</v>
      </c>
      <c r="R40" s="223">
        <f t="shared" si="38"/>
        <v>1.5418702371357269E-2</v>
      </c>
      <c r="S40" s="223">
        <f t="shared" si="38"/>
        <v>0</v>
      </c>
      <c r="T40" s="223">
        <f t="shared" si="38"/>
        <v>0</v>
      </c>
      <c r="U40" s="223">
        <f t="shared" si="38"/>
        <v>0</v>
      </c>
    </row>
    <row r="41" spans="1:89" x14ac:dyDescent="0.25">
      <c r="A41" s="183" t="s">
        <v>558</v>
      </c>
      <c r="B41" s="64"/>
      <c r="C41" s="64"/>
      <c r="D41" s="64"/>
      <c r="E41" s="90">
        <f>E4/E9</f>
        <v>-8.0758643971452604E-2</v>
      </c>
      <c r="F41" s="90">
        <f t="shared" ref="F41:U41" si="39">F4/F9</f>
        <v>-0.12551968900376451</v>
      </c>
      <c r="G41" s="90">
        <f t="shared" si="39"/>
        <v>-0.1426687071641205</v>
      </c>
      <c r="H41" s="90">
        <f t="shared" si="39"/>
        <v>-0.5077300950034801</v>
      </c>
      <c r="I41" s="90">
        <f t="shared" si="39"/>
        <v>-4.5599698076226464E-2</v>
      </c>
      <c r="J41" s="90">
        <f t="shared" si="39"/>
        <v>1.3137415407708779E-2</v>
      </c>
      <c r="K41" s="90">
        <f t="shared" si="39"/>
        <v>-1.3064989929944057E-4</v>
      </c>
      <c r="L41" s="90">
        <f t="shared" si="39"/>
        <v>3.318944913982881E-3</v>
      </c>
      <c r="M41" s="90">
        <f t="shared" si="39"/>
        <v>2.4249233649288348E-3</v>
      </c>
      <c r="N41" s="213">
        <f t="shared" si="39"/>
        <v>-6.3593270437012975E-2</v>
      </c>
      <c r="O41" s="213">
        <f t="shared" si="39"/>
        <v>2.1973714552011185E-2</v>
      </c>
      <c r="P41" s="213">
        <f t="shared" si="39"/>
        <v>-1.8335072677945905E-2</v>
      </c>
      <c r="Q41" s="213">
        <f t="shared" si="39"/>
        <v>7.7692858671503315E-2</v>
      </c>
      <c r="R41" s="213">
        <f t="shared" si="39"/>
        <v>0.31465933595768569</v>
      </c>
      <c r="S41" s="213">
        <f t="shared" si="39"/>
        <v>0.33723942918503158</v>
      </c>
      <c r="T41" s="213">
        <f t="shared" si="39"/>
        <v>0.39339322732933546</v>
      </c>
      <c r="U41" s="213">
        <f t="shared" si="39"/>
        <v>0.38886310551152498</v>
      </c>
    </row>
    <row r="42" spans="1:89" x14ac:dyDescent="0.25">
      <c r="A42" s="183" t="s">
        <v>334</v>
      </c>
      <c r="B42" s="64"/>
      <c r="C42" s="64"/>
      <c r="D42" s="64"/>
      <c r="E42" s="90">
        <f>E5/E9</f>
        <v>0.12416282295978412</v>
      </c>
      <c r="F42" s="90">
        <f t="shared" ref="F42:U42" si="40">F5/F9</f>
        <v>0.13100165266788766</v>
      </c>
      <c r="G42" s="90">
        <f t="shared" si="40"/>
        <v>0.13789455487066288</v>
      </c>
      <c r="H42" s="90">
        <f t="shared" si="40"/>
        <v>0.15512274628074116</v>
      </c>
      <c r="I42" s="90">
        <f t="shared" si="40"/>
        <v>9.2225265082362257E-2</v>
      </c>
      <c r="J42" s="90">
        <f t="shared" si="40"/>
        <v>0.10828822982097445</v>
      </c>
      <c r="K42" s="90">
        <f t="shared" si="40"/>
        <v>0.10550062244467895</v>
      </c>
      <c r="L42" s="90">
        <f t="shared" si="40"/>
        <v>9.7078771921790596E-2</v>
      </c>
      <c r="M42" s="90">
        <f t="shared" si="40"/>
        <v>0.10361996846229023</v>
      </c>
      <c r="N42" s="213">
        <f t="shared" si="40"/>
        <v>0.18203565494903023</v>
      </c>
      <c r="O42" s="213">
        <f t="shared" si="40"/>
        <v>0.21257629912283663</v>
      </c>
      <c r="P42" s="213">
        <f t="shared" si="40"/>
        <v>0.23888870418294605</v>
      </c>
      <c r="Q42" s="213">
        <f t="shared" si="40"/>
        <v>0.15945186184858737</v>
      </c>
      <c r="R42" s="213">
        <f t="shared" si="40"/>
        <v>0.43566855426194789</v>
      </c>
      <c r="S42" s="213">
        <f t="shared" si="40"/>
        <v>0.46866613479716668</v>
      </c>
      <c r="T42" s="213">
        <f t="shared" si="40"/>
        <v>0.47921544328008048</v>
      </c>
      <c r="U42" s="213">
        <f t="shared" si="40"/>
        <v>0.48084137624044371</v>
      </c>
    </row>
    <row r="43" spans="1:89" x14ac:dyDescent="0.25">
      <c r="A43" s="183" t="s">
        <v>335</v>
      </c>
      <c r="B43" s="64"/>
      <c r="C43" s="64"/>
      <c r="D43" s="64"/>
      <c r="E43" s="90">
        <f>E6/E9</f>
        <v>0.20492146693123672</v>
      </c>
      <c r="F43" s="90">
        <f t="shared" ref="F43:U43" si="41">F6/F9</f>
        <v>0.25652134167165214</v>
      </c>
      <c r="G43" s="90">
        <f t="shared" si="41"/>
        <v>0.28056326203478338</v>
      </c>
      <c r="H43" s="90">
        <f t="shared" si="41"/>
        <v>0.66285284128422128</v>
      </c>
      <c r="I43" s="90">
        <f t="shared" si="41"/>
        <v>0.13782496315858872</v>
      </c>
      <c r="J43" s="90">
        <f t="shared" si="41"/>
        <v>9.5150814413265672E-2</v>
      </c>
      <c r="K43" s="90">
        <f t="shared" si="41"/>
        <v>0.10563127234397839</v>
      </c>
      <c r="L43" s="90">
        <f t="shared" si="41"/>
        <v>9.3759827007807717E-2</v>
      </c>
      <c r="M43" s="90">
        <f t="shared" si="41"/>
        <v>0.10119504509736139</v>
      </c>
      <c r="N43" s="213">
        <f t="shared" si="41"/>
        <v>0.24562892538604322</v>
      </c>
      <c r="O43" s="213">
        <f t="shared" si="41"/>
        <v>0.19060258457082546</v>
      </c>
      <c r="P43" s="213">
        <f t="shared" si="41"/>
        <v>0.25722377686089193</v>
      </c>
      <c r="Q43" s="213">
        <f t="shared" si="41"/>
        <v>8.1759003177084053E-2</v>
      </c>
      <c r="R43" s="213">
        <f t="shared" si="41"/>
        <v>0.12100921830426219</v>
      </c>
      <c r="S43" s="213">
        <f t="shared" si="41"/>
        <v>0.13142670561213504</v>
      </c>
      <c r="T43" s="213">
        <f t="shared" si="41"/>
        <v>8.5822215950745018E-2</v>
      </c>
      <c r="U43" s="213">
        <f t="shared" si="41"/>
        <v>9.1978270728918732E-2</v>
      </c>
    </row>
    <row r="44" spans="1:89" x14ac:dyDescent="0.25">
      <c r="A44" s="183" t="s">
        <v>336</v>
      </c>
      <c r="B44" s="64"/>
      <c r="C44" s="64"/>
      <c r="D44" s="64"/>
      <c r="E44" s="90">
        <f>E7/E9</f>
        <v>0.59853929441487264</v>
      </c>
      <c r="F44" s="90">
        <f t="shared" ref="F44:U44" si="42">F7/F9</f>
        <v>0.67506399078121149</v>
      </c>
      <c r="G44" s="90">
        <f t="shared" si="42"/>
        <v>0.85613175945006981</v>
      </c>
      <c r="H44" s="90">
        <f t="shared" si="42"/>
        <v>1.1709520970647718</v>
      </c>
      <c r="I44" s="90">
        <f t="shared" si="42"/>
        <v>0.71731192360149021</v>
      </c>
      <c r="J44" s="90">
        <f t="shared" si="42"/>
        <v>0.71896843496215934</v>
      </c>
      <c r="K44" s="90">
        <f t="shared" si="42"/>
        <v>0.75485693339527793</v>
      </c>
      <c r="L44" s="90">
        <f t="shared" si="42"/>
        <v>0.58483618417366046</v>
      </c>
      <c r="M44" s="90">
        <f t="shared" si="42"/>
        <v>0.56061075932530902</v>
      </c>
      <c r="N44" s="213">
        <f t="shared" si="42"/>
        <v>0.41988619849226738</v>
      </c>
      <c r="O44" s="213">
        <f t="shared" si="42"/>
        <v>0.44223382286872992</v>
      </c>
      <c r="P44" s="213">
        <f t="shared" si="42"/>
        <v>0.47220380802003642</v>
      </c>
      <c r="Q44" s="213">
        <f t="shared" si="42"/>
        <v>2.6966883186620993E-2</v>
      </c>
      <c r="R44" s="213">
        <f t="shared" si="42"/>
        <v>-1.9247275088214881E-2</v>
      </c>
      <c r="S44" s="213">
        <f t="shared" si="42"/>
        <v>0.64359571685821892</v>
      </c>
      <c r="T44" s="213">
        <f t="shared" si="42"/>
        <v>0.59378612443436418</v>
      </c>
      <c r="U44" s="213">
        <f t="shared" si="42"/>
        <v>0.5633600005811954</v>
      </c>
    </row>
    <row r="45" spans="1:89" s="224" customFormat="1" x14ac:dyDescent="0.25">
      <c r="A45" s="221" t="s">
        <v>337</v>
      </c>
      <c r="B45" s="222"/>
      <c r="C45" s="222"/>
      <c r="D45" s="222"/>
      <c r="E45" s="223">
        <f>E8/E9</f>
        <v>0.51778065044342003</v>
      </c>
      <c r="F45" s="223">
        <f t="shared" ref="F45:U45" si="43">F8/F9</f>
        <v>0.54954430177744695</v>
      </c>
      <c r="G45" s="223">
        <f t="shared" si="43"/>
        <v>0.7134630522859492</v>
      </c>
      <c r="H45" s="223">
        <f t="shared" si="43"/>
        <v>0.66322200206129167</v>
      </c>
      <c r="I45" s="223">
        <f t="shared" si="43"/>
        <v>0.67171222552526377</v>
      </c>
      <c r="J45" s="223">
        <f t="shared" si="43"/>
        <v>0.73210585036986808</v>
      </c>
      <c r="K45" s="223">
        <f t="shared" si="43"/>
        <v>0.75472628349597848</v>
      </c>
      <c r="L45" s="223">
        <f t="shared" si="43"/>
        <v>0.58815512908764345</v>
      </c>
      <c r="M45" s="223">
        <f t="shared" si="43"/>
        <v>0.56303568269023785</v>
      </c>
      <c r="N45" s="223">
        <f t="shared" si="43"/>
        <v>0.35629292805525442</v>
      </c>
      <c r="O45" s="223">
        <f t="shared" si="43"/>
        <v>0.46420753742074106</v>
      </c>
      <c r="P45" s="223">
        <f t="shared" si="43"/>
        <v>0.45386873534209049</v>
      </c>
      <c r="Q45" s="223">
        <f t="shared" si="43"/>
        <v>0.10465974185812431</v>
      </c>
      <c r="R45" s="223">
        <f t="shared" si="43"/>
        <v>0.29541206086947081</v>
      </c>
      <c r="S45" s="223">
        <f t="shared" si="43"/>
        <v>0.98083514604325039</v>
      </c>
      <c r="T45" s="223">
        <f t="shared" si="43"/>
        <v>0.98717935176369953</v>
      </c>
      <c r="U45" s="223">
        <f t="shared" si="43"/>
        <v>0.95222310609272043</v>
      </c>
    </row>
    <row r="46" spans="1:89" x14ac:dyDescent="0.25">
      <c r="A46" s="184"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3">
        <f t="shared" si="44"/>
        <v>1</v>
      </c>
      <c r="O46" s="213">
        <f t="shared" si="44"/>
        <v>1</v>
      </c>
      <c r="P46" s="213">
        <f t="shared" si="44"/>
        <v>1</v>
      </c>
      <c r="Q46" s="213">
        <f t="shared" si="44"/>
        <v>1</v>
      </c>
      <c r="R46" s="213">
        <f t="shared" si="44"/>
        <v>1</v>
      </c>
      <c r="S46" s="213">
        <f t="shared" si="44"/>
        <v>1</v>
      </c>
      <c r="T46" s="213">
        <f t="shared" si="44"/>
        <v>1</v>
      </c>
      <c r="U46" s="213">
        <f t="shared" si="44"/>
        <v>1</v>
      </c>
    </row>
    <row r="47" spans="1:89" x14ac:dyDescent="0.25">
      <c r="A47" s="183" t="s">
        <v>339</v>
      </c>
      <c r="B47" s="64"/>
      <c r="C47" s="64"/>
      <c r="D47" s="64"/>
      <c r="E47" s="90">
        <f>E10/E14</f>
        <v>6.776522280154236E-2</v>
      </c>
      <c r="F47" s="90">
        <f t="shared" ref="F47:U47" si="45">F10/F14</f>
        <v>5.9003948723417493E-2</v>
      </c>
      <c r="G47" s="90">
        <f t="shared" si="45"/>
        <v>4.3846099615449316E-2</v>
      </c>
      <c r="H47" s="90">
        <f t="shared" si="45"/>
        <v>1.8399151023142327E-2</v>
      </c>
      <c r="I47" s="90">
        <f t="shared" si="45"/>
        <v>9.6388877502063437E-3</v>
      </c>
      <c r="J47" s="90">
        <f t="shared" si="45"/>
        <v>3.8256579401484844E-2</v>
      </c>
      <c r="K47" s="90">
        <f t="shared" si="45"/>
        <v>4.0981317849315003E-2</v>
      </c>
      <c r="L47" s="90">
        <f t="shared" si="45"/>
        <v>6.8166685368603094E-3</v>
      </c>
      <c r="M47" s="90">
        <f t="shared" si="45"/>
        <v>4.8707821743010728E-2</v>
      </c>
      <c r="N47" s="213">
        <f t="shared" si="45"/>
        <v>0.25829297910979265</v>
      </c>
      <c r="O47" s="213">
        <f t="shared" si="45"/>
        <v>0.30497973534264899</v>
      </c>
      <c r="P47" s="213">
        <f t="shared" si="45"/>
        <v>0.30614497146150438</v>
      </c>
      <c r="Q47" s="213">
        <f t="shared" si="45"/>
        <v>0</v>
      </c>
      <c r="R47" s="213">
        <f t="shared" si="45"/>
        <v>0</v>
      </c>
      <c r="S47" s="213">
        <f t="shared" si="45"/>
        <v>0.39275211594297971</v>
      </c>
      <c r="T47" s="213">
        <f t="shared" si="45"/>
        <v>0.43821873955082224</v>
      </c>
      <c r="U47" s="213">
        <f t="shared" si="45"/>
        <v>0.46922752385697541</v>
      </c>
    </row>
    <row r="48" spans="1:89" x14ac:dyDescent="0.25">
      <c r="A48" s="183" t="s">
        <v>340</v>
      </c>
      <c r="B48" s="64"/>
      <c r="C48" s="64"/>
      <c r="D48" s="64"/>
      <c r="E48" s="90">
        <f>E11/E14</f>
        <v>0.1251100930614758</v>
      </c>
      <c r="F48" s="90">
        <f t="shared" ref="F48:U48" si="46">F11/F14</f>
        <v>0.14153439739644988</v>
      </c>
      <c r="G48" s="90">
        <f t="shared" si="46"/>
        <v>0.14513774591739634</v>
      </c>
      <c r="H48" s="90">
        <f t="shared" si="46"/>
        <v>0.19467751623468682</v>
      </c>
      <c r="I48" s="90">
        <f t="shared" si="46"/>
        <v>9.2854350571235103E-2</v>
      </c>
      <c r="J48" s="90">
        <f t="shared" si="46"/>
        <v>1.9040728623572482E-2</v>
      </c>
      <c r="K48" s="90">
        <f t="shared" si="46"/>
        <v>2.004762424156728E-2</v>
      </c>
      <c r="L48" s="90">
        <f t="shared" si="46"/>
        <v>0.21320742482694896</v>
      </c>
      <c r="M48" s="90">
        <f t="shared" si="46"/>
        <v>0.1915586863437572</v>
      </c>
      <c r="N48" s="213">
        <f t="shared" si="46"/>
        <v>0</v>
      </c>
      <c r="O48" s="213">
        <f t="shared" si="46"/>
        <v>0</v>
      </c>
      <c r="P48" s="213">
        <f t="shared" si="46"/>
        <v>0</v>
      </c>
      <c r="Q48" s="213">
        <f t="shared" si="46"/>
        <v>0</v>
      </c>
      <c r="R48" s="213">
        <f t="shared" si="46"/>
        <v>0</v>
      </c>
      <c r="S48" s="213">
        <f t="shared" si="46"/>
        <v>0</v>
      </c>
      <c r="T48" s="213">
        <f t="shared" si="46"/>
        <v>0</v>
      </c>
      <c r="U48" s="213">
        <f t="shared" si="46"/>
        <v>0</v>
      </c>
    </row>
    <row r="49" spans="1:21" x14ac:dyDescent="0.25">
      <c r="A49" s="183" t="s">
        <v>341</v>
      </c>
      <c r="B49" s="64"/>
      <c r="C49" s="64"/>
      <c r="D49" s="64"/>
      <c r="E49" s="90">
        <f>E12/E14</f>
        <v>0.19287531586301818</v>
      </c>
      <c r="F49" s="90">
        <f t="shared" ref="F49:U49" si="47">F12/F14</f>
        <v>0.2005383461198674</v>
      </c>
      <c r="G49" s="90">
        <f t="shared" si="47"/>
        <v>0.18898384553284567</v>
      </c>
      <c r="H49" s="90">
        <f t="shared" si="47"/>
        <v>0.21307666725782912</v>
      </c>
      <c r="I49" s="90">
        <f t="shared" si="47"/>
        <v>0.10249323832144146</v>
      </c>
      <c r="J49" s="90">
        <f t="shared" si="47"/>
        <v>5.7297308025057336E-2</v>
      </c>
      <c r="K49" s="90">
        <f t="shared" si="47"/>
        <v>6.102894209088229E-2</v>
      </c>
      <c r="L49" s="90">
        <f t="shared" si="47"/>
        <v>0.22002409336380924</v>
      </c>
      <c r="M49" s="90">
        <f t="shared" si="47"/>
        <v>0.24026650808676794</v>
      </c>
      <c r="N49" s="213">
        <f t="shared" si="47"/>
        <v>0.25829297910979265</v>
      </c>
      <c r="O49" s="213">
        <f t="shared" si="47"/>
        <v>0.30497973534264899</v>
      </c>
      <c r="P49" s="213">
        <f t="shared" si="47"/>
        <v>0.30614497146150438</v>
      </c>
      <c r="Q49" s="213">
        <f t="shared" si="47"/>
        <v>0</v>
      </c>
      <c r="R49" s="213">
        <f t="shared" si="47"/>
        <v>0</v>
      </c>
      <c r="S49" s="213">
        <f t="shared" si="47"/>
        <v>0.39275211594297971</v>
      </c>
      <c r="T49" s="213">
        <f t="shared" si="47"/>
        <v>0.43821873955082224</v>
      </c>
      <c r="U49" s="213">
        <f t="shared" si="47"/>
        <v>0.46922752385697541</v>
      </c>
    </row>
    <row r="50" spans="1:21" x14ac:dyDescent="0.25">
      <c r="A50" s="183" t="s">
        <v>345</v>
      </c>
      <c r="B50" s="64"/>
      <c r="C50" s="64"/>
      <c r="D50" s="64"/>
      <c r="E50" s="90">
        <f>E13/E14</f>
        <v>0.8071246841369818</v>
      </c>
      <c r="F50" s="90">
        <f t="shared" ref="F50:U50" si="48">F13/F14</f>
        <v>0.79946165388013257</v>
      </c>
      <c r="G50" s="90">
        <f t="shared" si="48"/>
        <v>0.81101615446715436</v>
      </c>
      <c r="H50" s="90">
        <f t="shared" si="48"/>
        <v>0.78692333274217086</v>
      </c>
      <c r="I50" s="90">
        <f t="shared" si="48"/>
        <v>0.89750676167855847</v>
      </c>
      <c r="J50" s="90">
        <f t="shared" si="48"/>
        <v>0.94270269197494261</v>
      </c>
      <c r="K50" s="90">
        <f t="shared" si="48"/>
        <v>0.93897105790911772</v>
      </c>
      <c r="L50" s="90">
        <f t="shared" si="48"/>
        <v>0.77997590663619087</v>
      </c>
      <c r="M50" s="90">
        <f t="shared" si="48"/>
        <v>0.75973349191323214</v>
      </c>
      <c r="N50" s="213">
        <f t="shared" si="48"/>
        <v>0.74170702089020735</v>
      </c>
      <c r="O50" s="213">
        <f t="shared" si="48"/>
        <v>0.69502026465735101</v>
      </c>
      <c r="P50" s="213">
        <f t="shared" si="48"/>
        <v>0.69385502853849557</v>
      </c>
      <c r="Q50" s="213">
        <f t="shared" si="48"/>
        <v>1</v>
      </c>
      <c r="R50" s="213">
        <f t="shared" si="48"/>
        <v>1</v>
      </c>
      <c r="S50" s="213">
        <f t="shared" si="48"/>
        <v>0.60724788405702024</v>
      </c>
      <c r="T50" s="213">
        <f t="shared" si="48"/>
        <v>0.56178126044917776</v>
      </c>
      <c r="U50" s="213">
        <f t="shared" si="48"/>
        <v>0.53077247614302459</v>
      </c>
    </row>
    <row r="51" spans="1:21" x14ac:dyDescent="0.25">
      <c r="A51" s="184"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3">
        <f t="shared" si="49"/>
        <v>1</v>
      </c>
      <c r="O51" s="213">
        <f t="shared" si="49"/>
        <v>1</v>
      </c>
      <c r="P51" s="213">
        <f t="shared" si="49"/>
        <v>1</v>
      </c>
      <c r="Q51" s="213">
        <f t="shared" si="49"/>
        <v>1</v>
      </c>
      <c r="R51" s="213">
        <f t="shared" si="49"/>
        <v>1</v>
      </c>
      <c r="S51" s="213">
        <f t="shared" si="49"/>
        <v>1</v>
      </c>
      <c r="T51" s="213">
        <f t="shared" si="49"/>
        <v>1</v>
      </c>
      <c r="U51" s="213">
        <f t="shared" si="49"/>
        <v>1</v>
      </c>
    </row>
    <row r="54" spans="1:21" s="9" customFormat="1" x14ac:dyDescent="0.25">
      <c r="A54" s="228" t="s">
        <v>641</v>
      </c>
      <c r="B54" s="229"/>
      <c r="C54" s="229"/>
      <c r="D54" s="229"/>
      <c r="E54" s="230">
        <f>E1</f>
        <v>43100</v>
      </c>
      <c r="F54" s="230">
        <f t="shared" ref="F54:U54" si="50">F1</f>
        <v>43008</v>
      </c>
      <c r="G54" s="230">
        <f t="shared" si="50"/>
        <v>42916</v>
      </c>
      <c r="H54" s="230">
        <f t="shared" si="50"/>
        <v>42825</v>
      </c>
      <c r="I54" s="230">
        <f t="shared" si="50"/>
        <v>42735</v>
      </c>
      <c r="J54" s="230">
        <f t="shared" si="50"/>
        <v>42643</v>
      </c>
      <c r="K54" s="230">
        <f t="shared" si="50"/>
        <v>42551</v>
      </c>
      <c r="L54" s="230">
        <f t="shared" si="50"/>
        <v>42460</v>
      </c>
      <c r="M54" s="230">
        <f t="shared" si="50"/>
        <v>42369</v>
      </c>
      <c r="N54" s="230">
        <f t="shared" si="50"/>
        <v>42277</v>
      </c>
      <c r="O54" s="230">
        <f t="shared" si="50"/>
        <v>42185</v>
      </c>
      <c r="P54" s="230">
        <f t="shared" si="50"/>
        <v>42094</v>
      </c>
      <c r="Q54" s="230">
        <f t="shared" si="50"/>
        <v>42004</v>
      </c>
      <c r="R54" s="230">
        <f t="shared" si="50"/>
        <v>41912</v>
      </c>
      <c r="S54" s="230">
        <f t="shared" si="50"/>
        <v>41820</v>
      </c>
      <c r="T54" s="230">
        <f t="shared" si="50"/>
        <v>41729</v>
      </c>
      <c r="U54" s="230">
        <f t="shared" si="50"/>
        <v>41639</v>
      </c>
    </row>
    <row r="55" spans="1:21" x14ac:dyDescent="0.25">
      <c r="A55" s="183" t="s">
        <v>645</v>
      </c>
      <c r="B55" s="64"/>
      <c r="C55" s="64"/>
      <c r="D55" s="64"/>
      <c r="E55" s="213">
        <f>E2/E9</f>
        <v>0.28661608876016198</v>
      </c>
      <c r="F55" s="213">
        <f t="shared" ref="F55:U55" si="51">F2/F9</f>
        <v>0.22606835564947933</v>
      </c>
      <c r="G55" s="213">
        <f t="shared" si="51"/>
        <v>0.27780437402118624</v>
      </c>
      <c r="H55" s="213">
        <f t="shared" si="51"/>
        <v>0.32610643871451928</v>
      </c>
      <c r="I55" s="213">
        <f t="shared" si="51"/>
        <v>0.31765189315813708</v>
      </c>
      <c r="J55" s="213">
        <f t="shared" si="51"/>
        <v>0.25484679232043111</v>
      </c>
      <c r="K55" s="213">
        <f t="shared" si="51"/>
        <v>0.23080821630419637</v>
      </c>
      <c r="L55" s="213">
        <f t="shared" si="51"/>
        <v>0.18764614868484777</v>
      </c>
      <c r="M55" s="213">
        <f t="shared" si="51"/>
        <v>0.22364277944854496</v>
      </c>
      <c r="N55" s="213">
        <f t="shared" si="51"/>
        <v>0.61230183981807418</v>
      </c>
      <c r="O55" s="213">
        <f t="shared" si="51"/>
        <v>0.52099520745965733</v>
      </c>
      <c r="P55" s="213">
        <f t="shared" si="51"/>
        <v>0.52918905843295638</v>
      </c>
      <c r="Q55" s="213">
        <f t="shared" si="51"/>
        <v>0.87045475384038584</v>
      </c>
      <c r="R55" s="213">
        <f t="shared" si="51"/>
        <v>0.68916923675917185</v>
      </c>
      <c r="S55" s="213">
        <f t="shared" si="51"/>
        <v>1.9164853956749661E-2</v>
      </c>
      <c r="T55" s="213">
        <f t="shared" si="51"/>
        <v>1.282064823630045E-2</v>
      </c>
      <c r="U55" s="213">
        <f t="shared" si="51"/>
        <v>4.777689390727962E-2</v>
      </c>
    </row>
    <row r="56" spans="1:21" x14ac:dyDescent="0.25">
      <c r="A56" s="183" t="s">
        <v>646</v>
      </c>
      <c r="B56" s="64"/>
      <c r="C56" s="64"/>
      <c r="D56" s="64"/>
      <c r="E56" s="213">
        <f>E4/E9</f>
        <v>-8.0758643971452604E-2</v>
      </c>
      <c r="F56" s="213">
        <f t="shared" ref="F56:U56" si="52">F4/F9</f>
        <v>-0.12551968900376451</v>
      </c>
      <c r="G56" s="213">
        <f t="shared" si="52"/>
        <v>-0.1426687071641205</v>
      </c>
      <c r="H56" s="213">
        <f t="shared" si="52"/>
        <v>-0.5077300950034801</v>
      </c>
      <c r="I56" s="213">
        <f t="shared" si="52"/>
        <v>-4.5599698076226464E-2</v>
      </c>
      <c r="J56" s="213">
        <f t="shared" si="52"/>
        <v>1.3137415407708779E-2</v>
      </c>
      <c r="K56" s="213">
        <f t="shared" si="52"/>
        <v>-1.3064989929944057E-4</v>
      </c>
      <c r="L56" s="213">
        <f t="shared" si="52"/>
        <v>3.318944913982881E-3</v>
      </c>
      <c r="M56" s="213">
        <f t="shared" si="52"/>
        <v>2.4249233649288348E-3</v>
      </c>
      <c r="N56" s="213">
        <f t="shared" si="52"/>
        <v>-6.3593270437012975E-2</v>
      </c>
      <c r="O56" s="213">
        <f t="shared" si="52"/>
        <v>2.1973714552011185E-2</v>
      </c>
      <c r="P56" s="213">
        <f t="shared" si="52"/>
        <v>-1.8335072677945905E-2</v>
      </c>
      <c r="Q56" s="213">
        <f t="shared" si="52"/>
        <v>7.7692858671503315E-2</v>
      </c>
      <c r="R56" s="213">
        <f t="shared" si="52"/>
        <v>0.31465933595768569</v>
      </c>
      <c r="S56" s="213">
        <f t="shared" si="52"/>
        <v>0.33723942918503158</v>
      </c>
      <c r="T56" s="213">
        <f t="shared" si="52"/>
        <v>0.39339322732933546</v>
      </c>
      <c r="U56" s="213">
        <f t="shared" si="52"/>
        <v>0.38886310551152498</v>
      </c>
    </row>
    <row r="57" spans="1:21" x14ac:dyDescent="0.25">
      <c r="A57" s="183" t="s">
        <v>647</v>
      </c>
      <c r="B57" s="64"/>
      <c r="C57" s="64"/>
      <c r="D57" s="64"/>
      <c r="E57" s="213">
        <f>E5/E9</f>
        <v>0.12416282295978412</v>
      </c>
      <c r="F57" s="213">
        <f t="shared" ref="F57:U57" si="53">F5/F9</f>
        <v>0.13100165266788766</v>
      </c>
      <c r="G57" s="213">
        <f t="shared" si="53"/>
        <v>0.13789455487066288</v>
      </c>
      <c r="H57" s="213">
        <f t="shared" si="53"/>
        <v>0.15512274628074116</v>
      </c>
      <c r="I57" s="213">
        <f t="shared" si="53"/>
        <v>9.2225265082362257E-2</v>
      </c>
      <c r="J57" s="213">
        <f t="shared" si="53"/>
        <v>0.10828822982097445</v>
      </c>
      <c r="K57" s="213">
        <f t="shared" si="53"/>
        <v>0.10550062244467895</v>
      </c>
      <c r="L57" s="213">
        <f t="shared" si="53"/>
        <v>9.7078771921790596E-2</v>
      </c>
      <c r="M57" s="213">
        <f t="shared" si="53"/>
        <v>0.10361996846229023</v>
      </c>
      <c r="N57" s="213">
        <f t="shared" si="53"/>
        <v>0.18203565494903023</v>
      </c>
      <c r="O57" s="213">
        <f t="shared" si="53"/>
        <v>0.21257629912283663</v>
      </c>
      <c r="P57" s="213">
        <f t="shared" si="53"/>
        <v>0.23888870418294605</v>
      </c>
      <c r="Q57" s="213">
        <f t="shared" si="53"/>
        <v>0.15945186184858737</v>
      </c>
      <c r="R57" s="213">
        <f t="shared" si="53"/>
        <v>0.43566855426194789</v>
      </c>
      <c r="S57" s="213">
        <f t="shared" si="53"/>
        <v>0.46866613479716668</v>
      </c>
      <c r="T57" s="213">
        <f t="shared" si="53"/>
        <v>0.47921544328008048</v>
      </c>
      <c r="U57" s="213">
        <f t="shared" si="53"/>
        <v>0.48084137624044371</v>
      </c>
    </row>
    <row r="58" spans="1:21" x14ac:dyDescent="0.25">
      <c r="A58" s="183" t="s">
        <v>648</v>
      </c>
      <c r="B58" s="64"/>
      <c r="C58" s="64"/>
      <c r="D58" s="64"/>
      <c r="E58" s="213">
        <f>E6/E9</f>
        <v>0.20492146693123672</v>
      </c>
      <c r="F58" s="213">
        <f t="shared" ref="F58:U58" si="54">F6/F9</f>
        <v>0.25652134167165214</v>
      </c>
      <c r="G58" s="213">
        <f t="shared" si="54"/>
        <v>0.28056326203478338</v>
      </c>
      <c r="H58" s="213">
        <f t="shared" si="54"/>
        <v>0.66285284128422128</v>
      </c>
      <c r="I58" s="213">
        <f t="shared" si="54"/>
        <v>0.13782496315858872</v>
      </c>
      <c r="J58" s="213">
        <f t="shared" si="54"/>
        <v>9.5150814413265672E-2</v>
      </c>
      <c r="K58" s="213">
        <f t="shared" si="54"/>
        <v>0.10563127234397839</v>
      </c>
      <c r="L58" s="213">
        <f t="shared" si="54"/>
        <v>9.3759827007807717E-2</v>
      </c>
      <c r="M58" s="213">
        <f t="shared" si="54"/>
        <v>0.10119504509736139</v>
      </c>
      <c r="N58" s="213">
        <f t="shared" si="54"/>
        <v>0.24562892538604322</v>
      </c>
      <c r="O58" s="213">
        <f t="shared" si="54"/>
        <v>0.19060258457082546</v>
      </c>
      <c r="P58" s="213">
        <f t="shared" si="54"/>
        <v>0.25722377686089193</v>
      </c>
      <c r="Q58" s="213">
        <f t="shared" si="54"/>
        <v>8.1759003177084053E-2</v>
      </c>
      <c r="R58" s="213">
        <f t="shared" si="54"/>
        <v>0.12100921830426219</v>
      </c>
      <c r="S58" s="213">
        <f t="shared" si="54"/>
        <v>0.13142670561213504</v>
      </c>
      <c r="T58" s="213">
        <f t="shared" si="54"/>
        <v>8.5822215950745018E-2</v>
      </c>
      <c r="U58" s="213">
        <f t="shared" si="54"/>
        <v>9.1978270728918732E-2</v>
      </c>
    </row>
    <row r="59" spans="1:21" s="224" customFormat="1" x14ac:dyDescent="0.25">
      <c r="A59" s="226" t="s">
        <v>642</v>
      </c>
      <c r="B59" s="222"/>
      <c r="C59" s="222"/>
      <c r="D59" s="222"/>
      <c r="E59" s="223">
        <f>E55+E56</f>
        <v>0.20585744478870938</v>
      </c>
      <c r="F59" s="223">
        <f t="shared" ref="F59:U59" si="55">F55+F56</f>
        <v>0.10054866664571482</v>
      </c>
      <c r="G59" s="223">
        <f t="shared" si="55"/>
        <v>0.13513566685706574</v>
      </c>
      <c r="H59" s="223">
        <f t="shared" si="55"/>
        <v>-0.18162365628896082</v>
      </c>
      <c r="I59" s="223">
        <f t="shared" si="55"/>
        <v>0.27205219508191059</v>
      </c>
      <c r="J59" s="223">
        <f t="shared" si="55"/>
        <v>0.26798420772813991</v>
      </c>
      <c r="K59" s="223">
        <f t="shared" si="55"/>
        <v>0.23067756640489692</v>
      </c>
      <c r="L59" s="223">
        <f t="shared" si="55"/>
        <v>0.19096509359883065</v>
      </c>
      <c r="M59" s="223">
        <f t="shared" si="55"/>
        <v>0.2260677028134738</v>
      </c>
      <c r="N59" s="223">
        <f t="shared" si="55"/>
        <v>0.54870856938106116</v>
      </c>
      <c r="O59" s="223">
        <f t="shared" si="55"/>
        <v>0.54296892201166846</v>
      </c>
      <c r="P59" s="223">
        <f t="shared" si="55"/>
        <v>0.51085398575501051</v>
      </c>
      <c r="Q59" s="223">
        <f t="shared" si="55"/>
        <v>0.94814761251188917</v>
      </c>
      <c r="R59" s="223">
        <f t="shared" si="55"/>
        <v>1.0038285727168574</v>
      </c>
      <c r="S59" s="223">
        <f t="shared" si="55"/>
        <v>0.35640428314178124</v>
      </c>
      <c r="T59" s="223">
        <f t="shared" si="55"/>
        <v>0.40621387556563593</v>
      </c>
      <c r="U59" s="223">
        <f t="shared" si="55"/>
        <v>0.4366399994188046</v>
      </c>
    </row>
    <row r="60" spans="1:21" x14ac:dyDescent="0.25">
      <c r="A60" s="183" t="s">
        <v>649</v>
      </c>
      <c r="B60" s="64"/>
      <c r="C60" s="64"/>
      <c r="D60" s="64"/>
      <c r="E60" s="213">
        <f>E3/E9</f>
        <v>0.19560326079641799</v>
      </c>
      <c r="F60" s="213">
        <f t="shared" ref="F60:U60" si="56">F3/F9</f>
        <v>0.22438734257307369</v>
      </c>
      <c r="G60" s="213">
        <f t="shared" si="56"/>
        <v>8.7325736928644971E-3</v>
      </c>
      <c r="H60" s="213">
        <f t="shared" si="56"/>
        <v>1.0671559224189161E-2</v>
      </c>
      <c r="I60" s="213">
        <f t="shared" si="56"/>
        <v>1.0635881316599064E-2</v>
      </c>
      <c r="J60" s="213">
        <f t="shared" si="56"/>
        <v>1.304735730970082E-2</v>
      </c>
      <c r="K60" s="213">
        <f t="shared" si="56"/>
        <v>1.4465500199825216E-2</v>
      </c>
      <c r="L60" s="213">
        <f t="shared" si="56"/>
        <v>0.22419872222750886</v>
      </c>
      <c r="M60" s="213">
        <f t="shared" si="56"/>
        <v>0.21332153786121721</v>
      </c>
      <c r="N60" s="213">
        <f t="shared" si="56"/>
        <v>3.1405232126671456E-2</v>
      </c>
      <c r="O60" s="213">
        <f t="shared" si="56"/>
        <v>1.4797255119601414E-2</v>
      </c>
      <c r="P60" s="213">
        <f t="shared" si="56"/>
        <v>1.6942206224953182E-2</v>
      </c>
      <c r="Q60" s="213">
        <f t="shared" si="56"/>
        <v>2.488550430148995E-2</v>
      </c>
      <c r="R60" s="213">
        <f t="shared" si="56"/>
        <v>1.5418702371357269E-2</v>
      </c>
      <c r="S60" s="213">
        <f t="shared" si="56"/>
        <v>0</v>
      </c>
      <c r="T60" s="213">
        <f t="shared" si="56"/>
        <v>0</v>
      </c>
      <c r="U60" s="213">
        <f t="shared" si="56"/>
        <v>0</v>
      </c>
    </row>
    <row r="61" spans="1:21" x14ac:dyDescent="0.25">
      <c r="A61" s="183" t="s">
        <v>650</v>
      </c>
      <c r="B61" s="64"/>
      <c r="C61" s="64"/>
      <c r="D61" s="64"/>
      <c r="E61" s="213">
        <f>E7/E9</f>
        <v>0.59853929441487264</v>
      </c>
      <c r="F61" s="213">
        <f t="shared" ref="F61:U61" si="57">F7/F9</f>
        <v>0.67506399078121149</v>
      </c>
      <c r="G61" s="213">
        <f t="shared" si="57"/>
        <v>0.85613175945006981</v>
      </c>
      <c r="H61" s="213">
        <f t="shared" si="57"/>
        <v>1.1709520970647718</v>
      </c>
      <c r="I61" s="213">
        <f t="shared" si="57"/>
        <v>0.71731192360149021</v>
      </c>
      <c r="J61" s="213">
        <f t="shared" si="57"/>
        <v>0.71896843496215934</v>
      </c>
      <c r="K61" s="213">
        <f t="shared" si="57"/>
        <v>0.75485693339527793</v>
      </c>
      <c r="L61" s="213">
        <f t="shared" si="57"/>
        <v>0.58483618417366046</v>
      </c>
      <c r="M61" s="213">
        <f t="shared" si="57"/>
        <v>0.56061075932530902</v>
      </c>
      <c r="N61" s="213">
        <f t="shared" si="57"/>
        <v>0.41988619849226738</v>
      </c>
      <c r="O61" s="213">
        <f t="shared" si="57"/>
        <v>0.44223382286872992</v>
      </c>
      <c r="P61" s="213">
        <f t="shared" si="57"/>
        <v>0.47220380802003642</v>
      </c>
      <c r="Q61" s="213">
        <f t="shared" si="57"/>
        <v>2.6966883186620993E-2</v>
      </c>
      <c r="R61" s="213">
        <f t="shared" si="57"/>
        <v>-1.9247275088214881E-2</v>
      </c>
      <c r="S61" s="213">
        <f t="shared" si="57"/>
        <v>0.64359571685821892</v>
      </c>
      <c r="T61" s="213">
        <f t="shared" si="57"/>
        <v>0.59378612443436418</v>
      </c>
      <c r="U61" s="213">
        <f t="shared" si="57"/>
        <v>0.5633600005811954</v>
      </c>
    </row>
    <row r="62" spans="1:21" s="224" customFormat="1" x14ac:dyDescent="0.25">
      <c r="A62" s="226" t="s">
        <v>643</v>
      </c>
      <c r="B62" s="222"/>
      <c r="C62" s="222"/>
      <c r="D62" s="222"/>
      <c r="E62" s="223">
        <f>E60+E61</f>
        <v>0.79414255521129062</v>
      </c>
      <c r="F62" s="223">
        <f t="shared" ref="F62:M62" si="58">F60+F61</f>
        <v>0.89945133335428518</v>
      </c>
      <c r="G62" s="223">
        <f t="shared" si="58"/>
        <v>0.86486433314293432</v>
      </c>
      <c r="H62" s="223">
        <f t="shared" si="58"/>
        <v>1.1816236562889608</v>
      </c>
      <c r="I62" s="223">
        <f t="shared" si="58"/>
        <v>0.7279478049180893</v>
      </c>
      <c r="J62" s="223">
        <f t="shared" si="58"/>
        <v>0.7320157922718602</v>
      </c>
      <c r="K62" s="223">
        <f t="shared" si="58"/>
        <v>0.76932243359510311</v>
      </c>
      <c r="L62" s="223">
        <f t="shared" si="58"/>
        <v>0.80903490640116926</v>
      </c>
      <c r="M62" s="223">
        <f t="shared" si="58"/>
        <v>0.77393229718652623</v>
      </c>
      <c r="N62" s="223">
        <f t="shared" ref="N62" si="59">N60+N61</f>
        <v>0.45129143061893884</v>
      </c>
      <c r="O62" s="223">
        <f t="shared" ref="O62" si="60">O60+O61</f>
        <v>0.45703107798833131</v>
      </c>
      <c r="P62" s="223">
        <f t="shared" ref="P62" si="61">P60+P61</f>
        <v>0.4891460142449896</v>
      </c>
      <c r="Q62" s="223">
        <f t="shared" ref="Q62" si="62">Q60+Q61</f>
        <v>5.185238748811094E-2</v>
      </c>
      <c r="R62" s="223">
        <f t="shared" ref="R62" si="63">R60+R61</f>
        <v>-3.828572716857612E-3</v>
      </c>
      <c r="S62" s="223">
        <f t="shared" ref="S62" si="64">S60+S61</f>
        <v>0.64359571685821892</v>
      </c>
      <c r="T62" s="223">
        <f t="shared" ref="T62" si="65">T60+T61</f>
        <v>0.59378612443436418</v>
      </c>
      <c r="U62" s="223">
        <f t="shared" ref="U62" si="66">U60+U61</f>
        <v>0.5633600005811954</v>
      </c>
    </row>
    <row r="63" spans="1:21" x14ac:dyDescent="0.25">
      <c r="A63" s="225" t="s">
        <v>644</v>
      </c>
      <c r="B63" s="64"/>
      <c r="C63" s="64"/>
      <c r="D63" s="64"/>
      <c r="E63" s="213">
        <v>1</v>
      </c>
      <c r="F63" s="213">
        <v>1</v>
      </c>
      <c r="G63" s="213">
        <v>1</v>
      </c>
      <c r="H63" s="213">
        <v>1</v>
      </c>
      <c r="I63" s="213">
        <v>1</v>
      </c>
      <c r="J63" s="213">
        <v>1</v>
      </c>
      <c r="K63" s="213">
        <v>1</v>
      </c>
      <c r="L63" s="213">
        <v>1</v>
      </c>
      <c r="M63" s="213">
        <v>1</v>
      </c>
      <c r="N63" s="213">
        <v>1</v>
      </c>
      <c r="O63" s="213">
        <v>1</v>
      </c>
      <c r="P63" s="213">
        <v>1</v>
      </c>
      <c r="Q63" s="213">
        <v>1</v>
      </c>
      <c r="R63" s="213">
        <v>1</v>
      </c>
      <c r="S63" s="213">
        <v>1</v>
      </c>
      <c r="T63" s="213">
        <v>1</v>
      </c>
      <c r="U63" s="213">
        <v>1</v>
      </c>
    </row>
    <row r="64" spans="1:21" ht="42.6" customHeight="1" x14ac:dyDescent="0.25">
      <c r="A64" s="281" t="s">
        <v>700</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1" t="s">
        <v>651</v>
      </c>
      <c r="E66" s="232">
        <f>E1</f>
        <v>43100</v>
      </c>
      <c r="F66" s="232">
        <f t="shared" ref="F66:U66" si="67">F1</f>
        <v>43008</v>
      </c>
      <c r="G66" s="232">
        <f t="shared" si="67"/>
        <v>42916</v>
      </c>
      <c r="H66" s="232">
        <f t="shared" si="67"/>
        <v>42825</v>
      </c>
      <c r="I66" s="232">
        <f t="shared" si="67"/>
        <v>42735</v>
      </c>
      <c r="J66" s="232">
        <f t="shared" si="67"/>
        <v>42643</v>
      </c>
      <c r="K66" s="232">
        <f t="shared" si="67"/>
        <v>42551</v>
      </c>
      <c r="L66" s="232">
        <f t="shared" si="67"/>
        <v>42460</v>
      </c>
      <c r="M66" s="232">
        <f t="shared" si="67"/>
        <v>42369</v>
      </c>
      <c r="N66" s="232">
        <f t="shared" si="67"/>
        <v>42277</v>
      </c>
      <c r="O66" s="232">
        <f t="shared" si="67"/>
        <v>42185</v>
      </c>
      <c r="P66" s="232">
        <f t="shared" si="67"/>
        <v>42094</v>
      </c>
      <c r="Q66" s="232">
        <f t="shared" si="67"/>
        <v>42004</v>
      </c>
      <c r="R66" s="232">
        <f t="shared" si="67"/>
        <v>41912</v>
      </c>
      <c r="S66" s="232">
        <f t="shared" si="67"/>
        <v>41820</v>
      </c>
      <c r="T66" s="232">
        <f t="shared" si="67"/>
        <v>41729</v>
      </c>
      <c r="U66" s="232">
        <f t="shared" si="67"/>
        <v>41639</v>
      </c>
    </row>
    <row r="67" spans="1:21" x14ac:dyDescent="0.25">
      <c r="A67" s="17" t="s">
        <v>652</v>
      </c>
      <c r="E67" s="192">
        <f>E10</f>
        <v>803642814.64999998</v>
      </c>
      <c r="F67" s="192">
        <f t="shared" ref="F67:U67" si="68">F10</f>
        <v>618024872.11000001</v>
      </c>
      <c r="G67" s="192">
        <f t="shared" si="68"/>
        <v>447481928.99000001</v>
      </c>
      <c r="H67" s="192">
        <f t="shared" si="68"/>
        <v>139877727.09</v>
      </c>
      <c r="I67" s="192">
        <f t="shared" si="68"/>
        <v>61312017.850000001</v>
      </c>
      <c r="J67" s="192">
        <f t="shared" si="68"/>
        <v>210040273.97</v>
      </c>
      <c r="K67" s="192">
        <f t="shared" si="68"/>
        <v>213699255.71000001</v>
      </c>
      <c r="L67" s="192">
        <f t="shared" si="68"/>
        <v>43103633.119999997</v>
      </c>
      <c r="M67" s="192">
        <f t="shared" si="68"/>
        <v>318573860.86000001</v>
      </c>
      <c r="N67" s="192">
        <f t="shared" si="68"/>
        <v>305800000</v>
      </c>
      <c r="O67" s="192">
        <f t="shared" si="68"/>
        <v>341800000</v>
      </c>
      <c r="P67" s="192">
        <f t="shared" si="68"/>
        <v>323800000</v>
      </c>
      <c r="Q67" s="192">
        <f t="shared" si="68"/>
        <v>0</v>
      </c>
      <c r="R67" s="192">
        <f t="shared" si="68"/>
        <v>0</v>
      </c>
      <c r="S67" s="192">
        <f t="shared" si="68"/>
        <v>299255639.31</v>
      </c>
      <c r="T67" s="192">
        <f t="shared" si="68"/>
        <v>366249108.42000002</v>
      </c>
      <c r="U67" s="192">
        <f t="shared" si="68"/>
        <v>416599846.75999999</v>
      </c>
    </row>
    <row r="68" spans="1:21" x14ac:dyDescent="0.25">
      <c r="A68" s="17" t="s">
        <v>653</v>
      </c>
      <c r="E68" s="192">
        <f>E11</f>
        <v>1483708356.1799998</v>
      </c>
      <c r="F68" s="192">
        <f t="shared" ref="F68:U68" si="69">F11</f>
        <v>1482473287.6799998</v>
      </c>
      <c r="G68" s="192">
        <f t="shared" si="69"/>
        <v>1481238219.1799998</v>
      </c>
      <c r="H68" s="192">
        <f t="shared" si="69"/>
        <v>1480016575.3400002</v>
      </c>
      <c r="I68" s="192">
        <f t="shared" si="69"/>
        <v>590637400</v>
      </c>
      <c r="J68" s="192">
        <f t="shared" si="69"/>
        <v>104539400</v>
      </c>
      <c r="K68" s="192">
        <f t="shared" si="69"/>
        <v>104539400</v>
      </c>
      <c r="L68" s="192">
        <f t="shared" si="69"/>
        <v>1348168033.77</v>
      </c>
      <c r="M68" s="192">
        <f t="shared" si="69"/>
        <v>1252890975.3299999</v>
      </c>
      <c r="N68" s="192">
        <f t="shared" si="69"/>
        <v>0</v>
      </c>
      <c r="O68" s="192">
        <f t="shared" si="69"/>
        <v>0</v>
      </c>
      <c r="P68" s="192">
        <f t="shared" si="69"/>
        <v>0</v>
      </c>
      <c r="Q68" s="192">
        <f t="shared" si="69"/>
        <v>0</v>
      </c>
      <c r="R68" s="192">
        <f t="shared" si="69"/>
        <v>0</v>
      </c>
      <c r="S68" s="192">
        <f t="shared" si="69"/>
        <v>0</v>
      </c>
      <c r="T68" s="192">
        <f t="shared" si="69"/>
        <v>0</v>
      </c>
      <c r="U68" s="192">
        <f t="shared" si="69"/>
        <v>0</v>
      </c>
    </row>
    <row r="69" spans="1:21" x14ac:dyDescent="0.25">
      <c r="A69" s="17" t="s">
        <v>654</v>
      </c>
      <c r="E69" s="192">
        <f>E12</f>
        <v>2287351170.8299999</v>
      </c>
      <c r="F69" s="192">
        <f t="shared" ref="F69:U69" si="70">F12</f>
        <v>2100498159.79</v>
      </c>
      <c r="G69" s="192">
        <f t="shared" si="70"/>
        <v>1928720148.1699998</v>
      </c>
      <c r="H69" s="192">
        <f t="shared" si="70"/>
        <v>1619894302.4300001</v>
      </c>
      <c r="I69" s="192">
        <f t="shared" si="70"/>
        <v>651949417.85000002</v>
      </c>
      <c r="J69" s="192">
        <f t="shared" si="70"/>
        <v>314579673.97000003</v>
      </c>
      <c r="K69" s="192">
        <f t="shared" si="70"/>
        <v>318238655.71000004</v>
      </c>
      <c r="L69" s="192">
        <f t="shared" si="70"/>
        <v>1391271666.8899999</v>
      </c>
      <c r="M69" s="192">
        <f t="shared" si="70"/>
        <v>1571464836.1900001</v>
      </c>
      <c r="N69" s="192">
        <f t="shared" si="70"/>
        <v>305800000</v>
      </c>
      <c r="O69" s="192">
        <f t="shared" si="70"/>
        <v>341800000</v>
      </c>
      <c r="P69" s="192">
        <f t="shared" si="70"/>
        <v>323800000</v>
      </c>
      <c r="Q69" s="192">
        <f t="shared" si="70"/>
        <v>0</v>
      </c>
      <c r="R69" s="192">
        <f t="shared" si="70"/>
        <v>0</v>
      </c>
      <c r="S69" s="192">
        <f t="shared" si="70"/>
        <v>299255639.31</v>
      </c>
      <c r="T69" s="192">
        <f t="shared" si="70"/>
        <v>366249108.42000002</v>
      </c>
      <c r="U69" s="192">
        <f t="shared" si="70"/>
        <v>416599846.75999999</v>
      </c>
    </row>
    <row r="70" spans="1:21" s="233" customFormat="1" x14ac:dyDescent="0.25">
      <c r="A70" s="233" t="s">
        <v>657</v>
      </c>
      <c r="E70" s="233">
        <f>E69/E74</f>
        <v>0.19287531586301818</v>
      </c>
      <c r="F70" s="233">
        <f t="shared" ref="F70:U70" si="71">F69/F74</f>
        <v>0.2005383461198674</v>
      </c>
      <c r="G70" s="233">
        <f t="shared" si="71"/>
        <v>0.18898384553284567</v>
      </c>
      <c r="H70" s="233">
        <f t="shared" si="71"/>
        <v>0.21307666725782912</v>
      </c>
      <c r="I70" s="233">
        <f t="shared" si="71"/>
        <v>0.10249323832144146</v>
      </c>
      <c r="J70" s="233">
        <f t="shared" si="71"/>
        <v>5.7297308025057336E-2</v>
      </c>
      <c r="K70" s="233">
        <f t="shared" si="71"/>
        <v>6.102894209088229E-2</v>
      </c>
      <c r="L70" s="233">
        <f t="shared" si="71"/>
        <v>0.22002409336380924</v>
      </c>
      <c r="M70" s="233">
        <f t="shared" si="71"/>
        <v>0.24026650808676794</v>
      </c>
      <c r="N70" s="233">
        <f t="shared" si="71"/>
        <v>0.25829297910979265</v>
      </c>
      <c r="O70" s="233">
        <f t="shared" si="71"/>
        <v>0.30497973534264899</v>
      </c>
      <c r="P70" s="233">
        <f t="shared" si="71"/>
        <v>0.30614497146150438</v>
      </c>
      <c r="Q70" s="233">
        <f t="shared" si="71"/>
        <v>0</v>
      </c>
      <c r="R70" s="233">
        <f t="shared" si="71"/>
        <v>0</v>
      </c>
      <c r="S70" s="233">
        <f t="shared" si="71"/>
        <v>0.39275211594297971</v>
      </c>
      <c r="T70" s="233">
        <f t="shared" si="71"/>
        <v>0.43821873955082224</v>
      </c>
      <c r="U70" s="233">
        <f t="shared" si="71"/>
        <v>0.46922752385697541</v>
      </c>
    </row>
    <row r="71" spans="1:21" x14ac:dyDescent="0.25">
      <c r="A71" s="17" t="s">
        <v>655</v>
      </c>
      <c r="E71" s="192">
        <f>E13</f>
        <v>9571870734.2399979</v>
      </c>
      <c r="F71" s="192">
        <f t="shared" ref="F71:U71" si="72">F13</f>
        <v>8373798653.9199991</v>
      </c>
      <c r="G71" s="192">
        <f t="shared" si="72"/>
        <v>8277020679.7399998</v>
      </c>
      <c r="H71" s="192">
        <f t="shared" si="72"/>
        <v>5982506858.039999</v>
      </c>
      <c r="I71" s="192">
        <f t="shared" si="72"/>
        <v>5708952320.9099998</v>
      </c>
      <c r="J71" s="192">
        <f t="shared" si="72"/>
        <v>5175724928.6899996</v>
      </c>
      <c r="K71" s="192">
        <f t="shared" si="72"/>
        <v>4896314387.6000004</v>
      </c>
      <c r="L71" s="192">
        <f t="shared" si="72"/>
        <v>4931997960.6300011</v>
      </c>
      <c r="M71" s="192">
        <f t="shared" si="72"/>
        <v>4969042405.9700012</v>
      </c>
      <c r="N71" s="192">
        <f t="shared" si="72"/>
        <v>878126876.57999992</v>
      </c>
      <c r="O71" s="192">
        <f t="shared" si="72"/>
        <v>778930200.70000029</v>
      </c>
      <c r="P71" s="192">
        <f t="shared" si="72"/>
        <v>733868850.32999992</v>
      </c>
      <c r="Q71" s="192">
        <f t="shared" si="72"/>
        <v>663016824.98000002</v>
      </c>
      <c r="R71" s="192">
        <f t="shared" si="72"/>
        <v>559044815.99000001</v>
      </c>
      <c r="S71" s="192">
        <f t="shared" si="72"/>
        <v>462689687.42999989</v>
      </c>
      <c r="T71" s="192">
        <f t="shared" si="72"/>
        <v>469518683.69999999</v>
      </c>
      <c r="U71" s="192">
        <f t="shared" si="72"/>
        <v>471242032.88</v>
      </c>
    </row>
    <row r="72" spans="1:21" s="233" customFormat="1" x14ac:dyDescent="0.25">
      <c r="A72" s="233" t="s">
        <v>658</v>
      </c>
      <c r="E72" s="233">
        <f>E71/E74</f>
        <v>0.8071246841369818</v>
      </c>
      <c r="F72" s="233">
        <f t="shared" ref="F72:U72" si="73">F71/F74</f>
        <v>0.79946165388013257</v>
      </c>
      <c r="G72" s="233">
        <f t="shared" si="73"/>
        <v>0.81101615446715436</v>
      </c>
      <c r="H72" s="233">
        <f t="shared" si="73"/>
        <v>0.78692333274217086</v>
      </c>
      <c r="I72" s="233">
        <f t="shared" si="73"/>
        <v>0.89750676167855847</v>
      </c>
      <c r="J72" s="233">
        <f t="shared" si="73"/>
        <v>0.94270269197494261</v>
      </c>
      <c r="K72" s="233">
        <f t="shared" si="73"/>
        <v>0.93897105790911772</v>
      </c>
      <c r="L72" s="233">
        <f t="shared" si="73"/>
        <v>0.77997590663619087</v>
      </c>
      <c r="M72" s="233">
        <f t="shared" si="73"/>
        <v>0.75973349191323214</v>
      </c>
      <c r="N72" s="233">
        <f t="shared" si="73"/>
        <v>0.74170702089020735</v>
      </c>
      <c r="O72" s="233">
        <f t="shared" si="73"/>
        <v>0.69502026465735101</v>
      </c>
      <c r="P72" s="233">
        <f t="shared" si="73"/>
        <v>0.69385502853849557</v>
      </c>
      <c r="Q72" s="233">
        <f t="shared" si="73"/>
        <v>1</v>
      </c>
      <c r="R72" s="233">
        <f t="shared" si="73"/>
        <v>1</v>
      </c>
      <c r="S72" s="233">
        <f t="shared" si="73"/>
        <v>0.60724788405702024</v>
      </c>
      <c r="T72" s="233">
        <f t="shared" si="73"/>
        <v>0.56178126044917776</v>
      </c>
      <c r="U72" s="233">
        <f t="shared" si="73"/>
        <v>0.53077247614302459</v>
      </c>
    </row>
    <row r="73" spans="1:21" s="235" customFormat="1" x14ac:dyDescent="0.25">
      <c r="A73" s="234" t="s">
        <v>659</v>
      </c>
      <c r="E73" s="236">
        <f>E74/E71</f>
        <v>1.2389659486988063</v>
      </c>
      <c r="F73" s="236">
        <f t="shared" ref="F73:U73" si="74">F74/F71</f>
        <v>1.2508417322414005</v>
      </c>
      <c r="G73" s="236">
        <f t="shared" si="74"/>
        <v>1.2330210619010542</v>
      </c>
      <c r="H73" s="236">
        <f t="shared" si="74"/>
        <v>1.2707718254017537</v>
      </c>
      <c r="I73" s="236">
        <f t="shared" si="74"/>
        <v>1.1141977338752902</v>
      </c>
      <c r="J73" s="236">
        <f t="shared" si="74"/>
        <v>1.0607798285852146</v>
      </c>
      <c r="K73" s="236">
        <f t="shared" si="74"/>
        <v>1.0649955518616094</v>
      </c>
      <c r="L73" s="236">
        <f t="shared" si="74"/>
        <v>1.2820908844642511</v>
      </c>
      <c r="M73" s="236">
        <f t="shared" si="74"/>
        <v>1.3162510415089195</v>
      </c>
      <c r="N73" s="236">
        <f t="shared" si="74"/>
        <v>1.3482412486803559</v>
      </c>
      <c r="O73" s="236">
        <f t="shared" si="74"/>
        <v>1.4388069684457414</v>
      </c>
      <c r="P73" s="236">
        <f t="shared" si="74"/>
        <v>1.4412232510678118</v>
      </c>
      <c r="Q73" s="236">
        <f t="shared" si="74"/>
        <v>1</v>
      </c>
      <c r="R73" s="236">
        <f t="shared" si="74"/>
        <v>1</v>
      </c>
      <c r="S73" s="236">
        <f t="shared" si="74"/>
        <v>1.6467739555039775</v>
      </c>
      <c r="T73" s="236">
        <f t="shared" si="74"/>
        <v>1.780052255926871</v>
      </c>
      <c r="U73" s="236">
        <f t="shared" si="74"/>
        <v>1.8840464510645329</v>
      </c>
    </row>
    <row r="74" spans="1:21" x14ac:dyDescent="0.25">
      <c r="A74" s="17" t="s">
        <v>656</v>
      </c>
      <c r="E74" s="192">
        <f>E14</f>
        <v>11859221905.069998</v>
      </c>
      <c r="F74" s="192">
        <f t="shared" ref="F74:U74" si="75">F14</f>
        <v>10474296813.709999</v>
      </c>
      <c r="G74" s="192">
        <f t="shared" si="75"/>
        <v>10205740827.91</v>
      </c>
      <c r="H74" s="192">
        <f t="shared" si="75"/>
        <v>7602401160.4699993</v>
      </c>
      <c r="I74" s="192">
        <f t="shared" si="75"/>
        <v>6360901738.7600002</v>
      </c>
      <c r="J74" s="192">
        <f t="shared" si="75"/>
        <v>5490304602.6599998</v>
      </c>
      <c r="K74" s="192">
        <f t="shared" si="75"/>
        <v>5214553043.3100004</v>
      </c>
      <c r="L74" s="192">
        <f t="shared" si="75"/>
        <v>6323269627.5200005</v>
      </c>
      <c r="M74" s="192">
        <f t="shared" si="75"/>
        <v>6540507242.1600008</v>
      </c>
      <c r="N74" s="192">
        <f t="shared" si="75"/>
        <v>1183926876.5799999</v>
      </c>
      <c r="O74" s="192">
        <f t="shared" si="75"/>
        <v>1120730200.7000003</v>
      </c>
      <c r="P74" s="192">
        <f t="shared" si="75"/>
        <v>1057668850.3299999</v>
      </c>
      <c r="Q74" s="192">
        <f t="shared" si="75"/>
        <v>663016824.98000002</v>
      </c>
      <c r="R74" s="192">
        <f t="shared" si="75"/>
        <v>559044815.99000001</v>
      </c>
      <c r="S74" s="192">
        <f t="shared" si="75"/>
        <v>761945326.73999989</v>
      </c>
      <c r="T74" s="192">
        <f t="shared" si="75"/>
        <v>835767792.12</v>
      </c>
      <c r="U74" s="192">
        <f t="shared" si="75"/>
        <v>887841879.63999999</v>
      </c>
    </row>
    <row r="75" spans="1:21" ht="83.4" customHeight="1" x14ac:dyDescent="0.25">
      <c r="A75" s="279" t="s">
        <v>701</v>
      </c>
      <c r="B75" s="278"/>
      <c r="C75" s="278"/>
      <c r="D75" s="278"/>
      <c r="E75" s="278"/>
      <c r="F75" s="278"/>
      <c r="G75" s="278"/>
      <c r="H75" s="278"/>
      <c r="I75" s="278"/>
      <c r="J75" s="278"/>
      <c r="K75" s="278"/>
      <c r="L75" s="278"/>
      <c r="M75" s="278"/>
      <c r="N75" s="278"/>
      <c r="O75" s="278"/>
      <c r="P75" s="278"/>
      <c r="Q75" s="278"/>
      <c r="R75" s="278"/>
      <c r="S75" s="278"/>
      <c r="T75" s="278"/>
      <c r="U75" s="278"/>
    </row>
    <row r="77" spans="1:21" s="237" customFormat="1" x14ac:dyDescent="0.25">
      <c r="A77" s="238" t="s">
        <v>660</v>
      </c>
      <c r="B77" s="239"/>
      <c r="C77" s="239"/>
      <c r="D77" s="239"/>
      <c r="E77" s="240">
        <f>E1</f>
        <v>43100</v>
      </c>
      <c r="F77" s="240">
        <f t="shared" ref="F77:U77" si="76">F1</f>
        <v>43008</v>
      </c>
      <c r="G77" s="240">
        <f t="shared" si="76"/>
        <v>42916</v>
      </c>
      <c r="H77" s="240">
        <f t="shared" si="76"/>
        <v>42825</v>
      </c>
      <c r="I77" s="240">
        <f t="shared" si="76"/>
        <v>42735</v>
      </c>
      <c r="J77" s="240">
        <f t="shared" si="76"/>
        <v>42643</v>
      </c>
      <c r="K77" s="240">
        <f t="shared" si="76"/>
        <v>42551</v>
      </c>
      <c r="L77" s="240">
        <f t="shared" si="76"/>
        <v>42460</v>
      </c>
      <c r="M77" s="240">
        <f t="shared" si="76"/>
        <v>42369</v>
      </c>
      <c r="N77" s="240">
        <f t="shared" si="76"/>
        <v>42277</v>
      </c>
      <c r="O77" s="240">
        <f t="shared" si="76"/>
        <v>42185</v>
      </c>
      <c r="P77" s="240">
        <f t="shared" si="76"/>
        <v>42094</v>
      </c>
      <c r="Q77" s="240">
        <f t="shared" si="76"/>
        <v>42004</v>
      </c>
      <c r="R77" s="240">
        <f t="shared" si="76"/>
        <v>41912</v>
      </c>
      <c r="S77" s="240">
        <f t="shared" si="76"/>
        <v>41820</v>
      </c>
      <c r="T77" s="240">
        <f t="shared" si="76"/>
        <v>41729</v>
      </c>
      <c r="U77" s="240">
        <f t="shared" si="76"/>
        <v>41639</v>
      </c>
    </row>
    <row r="78" spans="1:21" x14ac:dyDescent="0.25">
      <c r="A78" s="183" t="s">
        <v>652</v>
      </c>
      <c r="B78" s="64"/>
      <c r="C78" s="64"/>
      <c r="D78" s="64"/>
      <c r="E78" s="89">
        <f>E10</f>
        <v>803642814.64999998</v>
      </c>
      <c r="F78" s="89">
        <f t="shared" ref="F78:U78" si="77">F10</f>
        <v>618024872.11000001</v>
      </c>
      <c r="G78" s="89">
        <f t="shared" si="77"/>
        <v>447481928.99000001</v>
      </c>
      <c r="H78" s="89">
        <f t="shared" si="77"/>
        <v>139877727.09</v>
      </c>
      <c r="I78" s="89">
        <f t="shared" si="77"/>
        <v>61312017.850000001</v>
      </c>
      <c r="J78" s="89">
        <f t="shared" si="77"/>
        <v>210040273.97</v>
      </c>
      <c r="K78" s="89">
        <f t="shared" si="77"/>
        <v>213699255.71000001</v>
      </c>
      <c r="L78" s="89">
        <f t="shared" si="77"/>
        <v>43103633.119999997</v>
      </c>
      <c r="M78" s="89">
        <f t="shared" si="77"/>
        <v>318573860.86000001</v>
      </c>
      <c r="N78" s="89">
        <f t="shared" si="77"/>
        <v>305800000</v>
      </c>
      <c r="O78" s="89">
        <f t="shared" si="77"/>
        <v>341800000</v>
      </c>
      <c r="P78" s="89">
        <f t="shared" si="77"/>
        <v>323800000</v>
      </c>
      <c r="Q78" s="89">
        <f t="shared" si="77"/>
        <v>0</v>
      </c>
      <c r="R78" s="89">
        <f t="shared" si="77"/>
        <v>0</v>
      </c>
      <c r="S78" s="89">
        <f t="shared" si="77"/>
        <v>299255639.31</v>
      </c>
      <c r="T78" s="89">
        <f t="shared" si="77"/>
        <v>366249108.42000002</v>
      </c>
      <c r="U78" s="89">
        <f t="shared" si="77"/>
        <v>416599846.75999999</v>
      </c>
    </row>
    <row r="79" spans="1:21" x14ac:dyDescent="0.25">
      <c r="A79" s="183" t="s">
        <v>661</v>
      </c>
      <c r="B79" s="64"/>
      <c r="C79" s="64"/>
      <c r="D79" s="64"/>
      <c r="E79" s="89">
        <f>E78</f>
        <v>803642814.64999998</v>
      </c>
      <c r="F79" s="89">
        <f t="shared" ref="F79:U79" si="78">F78</f>
        <v>618024872.11000001</v>
      </c>
      <c r="G79" s="89">
        <f t="shared" si="78"/>
        <v>447481928.99000001</v>
      </c>
      <c r="H79" s="89">
        <f t="shared" si="78"/>
        <v>139877727.09</v>
      </c>
      <c r="I79" s="89">
        <f t="shared" si="78"/>
        <v>61312017.850000001</v>
      </c>
      <c r="J79" s="89">
        <f t="shared" si="78"/>
        <v>210040273.97</v>
      </c>
      <c r="K79" s="89">
        <f t="shared" si="78"/>
        <v>213699255.71000001</v>
      </c>
      <c r="L79" s="89">
        <f t="shared" si="78"/>
        <v>43103633.119999997</v>
      </c>
      <c r="M79" s="89">
        <f t="shared" si="78"/>
        <v>318573860.86000001</v>
      </c>
      <c r="N79" s="89">
        <f t="shared" si="78"/>
        <v>305800000</v>
      </c>
      <c r="O79" s="89">
        <f t="shared" si="78"/>
        <v>341800000</v>
      </c>
      <c r="P79" s="89">
        <f t="shared" si="78"/>
        <v>323800000</v>
      </c>
      <c r="Q79" s="89">
        <f t="shared" si="78"/>
        <v>0</v>
      </c>
      <c r="R79" s="89">
        <f t="shared" si="78"/>
        <v>0</v>
      </c>
      <c r="S79" s="89">
        <f t="shared" si="78"/>
        <v>299255639.31</v>
      </c>
      <c r="T79" s="89">
        <f t="shared" si="78"/>
        <v>366249108.42000002</v>
      </c>
      <c r="U79" s="89">
        <f t="shared" si="78"/>
        <v>416599846.75999999</v>
      </c>
    </row>
    <row r="80" spans="1:21" s="219" customFormat="1" x14ac:dyDescent="0.25">
      <c r="A80" s="223" t="s">
        <v>662</v>
      </c>
      <c r="B80" s="223"/>
      <c r="C80" s="223"/>
      <c r="D80" s="223"/>
      <c r="E80" s="223">
        <f>E79/E85</f>
        <v>6.776522280154236E-2</v>
      </c>
      <c r="F80" s="223">
        <f t="shared" ref="F80:U80" si="79">F79/F85</f>
        <v>5.9003948723417493E-2</v>
      </c>
      <c r="G80" s="223">
        <f t="shared" si="79"/>
        <v>4.3846099615449316E-2</v>
      </c>
      <c r="H80" s="223">
        <f t="shared" si="79"/>
        <v>1.8399151023142327E-2</v>
      </c>
      <c r="I80" s="223">
        <f t="shared" si="79"/>
        <v>9.6388877502063437E-3</v>
      </c>
      <c r="J80" s="223">
        <f t="shared" si="79"/>
        <v>3.8256579401484844E-2</v>
      </c>
      <c r="K80" s="223">
        <f t="shared" si="79"/>
        <v>4.0981317849315003E-2</v>
      </c>
      <c r="L80" s="223">
        <f t="shared" si="79"/>
        <v>6.8166685368603094E-3</v>
      </c>
      <c r="M80" s="223">
        <f t="shared" si="79"/>
        <v>4.8707821743010728E-2</v>
      </c>
      <c r="N80" s="223">
        <f t="shared" si="79"/>
        <v>0.25829297910979265</v>
      </c>
      <c r="O80" s="223">
        <f t="shared" si="79"/>
        <v>0.30497973534264899</v>
      </c>
      <c r="P80" s="223">
        <f t="shared" si="79"/>
        <v>0.30614497146150438</v>
      </c>
      <c r="Q80" s="223">
        <f t="shared" si="79"/>
        <v>0</v>
      </c>
      <c r="R80" s="223">
        <f t="shared" si="79"/>
        <v>0</v>
      </c>
      <c r="S80" s="223">
        <f t="shared" si="79"/>
        <v>0.39275211594297971</v>
      </c>
      <c r="T80" s="223">
        <f t="shared" si="79"/>
        <v>0.43821873955082224</v>
      </c>
      <c r="U80" s="223">
        <f t="shared" si="79"/>
        <v>0.46922752385697541</v>
      </c>
    </row>
    <row r="81" spans="1:21" x14ac:dyDescent="0.25">
      <c r="A81" s="183" t="s">
        <v>653</v>
      </c>
      <c r="B81" s="64"/>
      <c r="C81" s="64"/>
      <c r="D81" s="64"/>
      <c r="E81" s="89">
        <f>E11</f>
        <v>1483708356.1799998</v>
      </c>
      <c r="F81" s="89">
        <f t="shared" ref="F81:U81" si="80">F11</f>
        <v>1482473287.6799998</v>
      </c>
      <c r="G81" s="89">
        <f t="shared" si="80"/>
        <v>1481238219.1799998</v>
      </c>
      <c r="H81" s="89">
        <f t="shared" si="80"/>
        <v>1480016575.3400002</v>
      </c>
      <c r="I81" s="89">
        <f t="shared" si="80"/>
        <v>590637400</v>
      </c>
      <c r="J81" s="89">
        <f t="shared" si="80"/>
        <v>104539400</v>
      </c>
      <c r="K81" s="89">
        <f t="shared" si="80"/>
        <v>104539400</v>
      </c>
      <c r="L81" s="89">
        <f t="shared" si="80"/>
        <v>1348168033.77</v>
      </c>
      <c r="M81" s="89">
        <f t="shared" si="80"/>
        <v>1252890975.3299999</v>
      </c>
      <c r="N81" s="89">
        <f t="shared" si="80"/>
        <v>0</v>
      </c>
      <c r="O81" s="89">
        <f t="shared" si="80"/>
        <v>0</v>
      </c>
      <c r="P81" s="89">
        <f t="shared" si="80"/>
        <v>0</v>
      </c>
      <c r="Q81" s="89">
        <f t="shared" si="80"/>
        <v>0</v>
      </c>
      <c r="R81" s="89">
        <f t="shared" si="80"/>
        <v>0</v>
      </c>
      <c r="S81" s="89">
        <f t="shared" si="80"/>
        <v>0</v>
      </c>
      <c r="T81" s="89">
        <f t="shared" si="80"/>
        <v>0</v>
      </c>
      <c r="U81" s="89">
        <f t="shared" si="80"/>
        <v>0</v>
      </c>
    </row>
    <row r="82" spans="1:21" x14ac:dyDescent="0.25">
      <c r="A82" s="183" t="s">
        <v>655</v>
      </c>
      <c r="B82" s="64"/>
      <c r="C82" s="64"/>
      <c r="D82" s="64"/>
      <c r="E82" s="89">
        <f>E13</f>
        <v>9571870734.2399979</v>
      </c>
      <c r="F82" s="89">
        <f t="shared" ref="F82:U82" si="81">F13</f>
        <v>8373798653.9199991</v>
      </c>
      <c r="G82" s="89">
        <f t="shared" si="81"/>
        <v>8277020679.7399998</v>
      </c>
      <c r="H82" s="89">
        <f t="shared" si="81"/>
        <v>5982506858.039999</v>
      </c>
      <c r="I82" s="89">
        <f t="shared" si="81"/>
        <v>5708952320.9099998</v>
      </c>
      <c r="J82" s="89">
        <f t="shared" si="81"/>
        <v>5175724928.6899996</v>
      </c>
      <c r="K82" s="89">
        <f t="shared" si="81"/>
        <v>4896314387.6000004</v>
      </c>
      <c r="L82" s="89">
        <f t="shared" si="81"/>
        <v>4931997960.6300011</v>
      </c>
      <c r="M82" s="89">
        <f t="shared" si="81"/>
        <v>4969042405.9700012</v>
      </c>
      <c r="N82" s="89">
        <f t="shared" si="81"/>
        <v>878126876.57999992</v>
      </c>
      <c r="O82" s="89">
        <f t="shared" si="81"/>
        <v>778930200.70000029</v>
      </c>
      <c r="P82" s="89">
        <f t="shared" si="81"/>
        <v>733868850.32999992</v>
      </c>
      <c r="Q82" s="89">
        <f t="shared" si="81"/>
        <v>663016824.98000002</v>
      </c>
      <c r="R82" s="89">
        <f t="shared" si="81"/>
        <v>559044815.99000001</v>
      </c>
      <c r="S82" s="89">
        <f t="shared" si="81"/>
        <v>462689687.42999989</v>
      </c>
      <c r="T82" s="89">
        <f t="shared" si="81"/>
        <v>469518683.69999999</v>
      </c>
      <c r="U82" s="89">
        <f t="shared" si="81"/>
        <v>471242032.88</v>
      </c>
    </row>
    <row r="83" spans="1:21" x14ac:dyDescent="0.25">
      <c r="A83" s="183" t="s">
        <v>663</v>
      </c>
      <c r="B83" s="64"/>
      <c r="C83" s="64"/>
      <c r="D83" s="64"/>
      <c r="E83" s="89">
        <f>E81+E82</f>
        <v>11055579090.419998</v>
      </c>
      <c r="F83" s="89">
        <f t="shared" ref="F83:U83" si="82">F81+F82</f>
        <v>9856271941.5999985</v>
      </c>
      <c r="G83" s="89">
        <f t="shared" si="82"/>
        <v>9758258898.9200001</v>
      </c>
      <c r="H83" s="89">
        <f t="shared" si="82"/>
        <v>7462523433.3799992</v>
      </c>
      <c r="I83" s="89">
        <f t="shared" si="82"/>
        <v>6299589720.9099998</v>
      </c>
      <c r="J83" s="89">
        <f t="shared" si="82"/>
        <v>5280264328.6899996</v>
      </c>
      <c r="K83" s="89">
        <f t="shared" si="82"/>
        <v>5000853787.6000004</v>
      </c>
      <c r="L83" s="89">
        <f t="shared" si="82"/>
        <v>6280165994.4000015</v>
      </c>
      <c r="M83" s="89">
        <f t="shared" si="82"/>
        <v>6221933381.3000011</v>
      </c>
      <c r="N83" s="89">
        <f t="shared" si="82"/>
        <v>878126876.57999992</v>
      </c>
      <c r="O83" s="89">
        <f t="shared" si="82"/>
        <v>778930200.70000029</v>
      </c>
      <c r="P83" s="89">
        <f t="shared" si="82"/>
        <v>733868850.32999992</v>
      </c>
      <c r="Q83" s="89">
        <f t="shared" si="82"/>
        <v>663016824.98000002</v>
      </c>
      <c r="R83" s="89">
        <f t="shared" si="82"/>
        <v>559044815.99000001</v>
      </c>
      <c r="S83" s="89">
        <f t="shared" si="82"/>
        <v>462689687.42999989</v>
      </c>
      <c r="T83" s="89">
        <f t="shared" si="82"/>
        <v>469518683.69999999</v>
      </c>
      <c r="U83" s="89">
        <f t="shared" si="82"/>
        <v>471242032.88</v>
      </c>
    </row>
    <row r="84" spans="1:21" s="219" customFormat="1" x14ac:dyDescent="0.25">
      <c r="A84" s="223" t="s">
        <v>664</v>
      </c>
      <c r="B84" s="223"/>
      <c r="C84" s="223"/>
      <c r="D84" s="223"/>
      <c r="E84" s="223">
        <f>E83/E85</f>
        <v>0.93223477719845771</v>
      </c>
      <c r="F84" s="223">
        <f t="shared" ref="F84:U84" si="83">F83/F85</f>
        <v>0.94099605127658248</v>
      </c>
      <c r="G84" s="223">
        <f t="shared" si="83"/>
        <v>0.95615390038455073</v>
      </c>
      <c r="H84" s="223">
        <f t="shared" si="83"/>
        <v>0.98160084897685762</v>
      </c>
      <c r="I84" s="223">
        <f t="shared" si="83"/>
        <v>0.99036111224979362</v>
      </c>
      <c r="J84" s="223">
        <f t="shared" si="83"/>
        <v>0.96174342059851514</v>
      </c>
      <c r="K84" s="223">
        <f t="shared" si="83"/>
        <v>0.95901868215068498</v>
      </c>
      <c r="L84" s="223">
        <f t="shared" si="83"/>
        <v>0.99318333146313986</v>
      </c>
      <c r="M84" s="223">
        <f t="shared" si="83"/>
        <v>0.95129217825698931</v>
      </c>
      <c r="N84" s="223">
        <f t="shared" si="83"/>
        <v>0.74170702089020735</v>
      </c>
      <c r="O84" s="223">
        <f t="shared" si="83"/>
        <v>0.69502026465735101</v>
      </c>
      <c r="P84" s="223">
        <f t="shared" si="83"/>
        <v>0.69385502853849557</v>
      </c>
      <c r="Q84" s="223">
        <f t="shared" si="83"/>
        <v>1</v>
      </c>
      <c r="R84" s="223">
        <f t="shared" si="83"/>
        <v>1</v>
      </c>
      <c r="S84" s="223">
        <f t="shared" si="83"/>
        <v>0.60724788405702024</v>
      </c>
      <c r="T84" s="223">
        <f t="shared" si="83"/>
        <v>0.56178126044917776</v>
      </c>
      <c r="U84" s="223">
        <f t="shared" si="83"/>
        <v>0.53077247614302459</v>
      </c>
    </row>
    <row r="85" spans="1:21" x14ac:dyDescent="0.25">
      <c r="A85" s="183" t="s">
        <v>656</v>
      </c>
      <c r="B85" s="64"/>
      <c r="C85" s="64"/>
      <c r="D85" s="64"/>
      <c r="E85" s="89">
        <f>E14</f>
        <v>11859221905.069998</v>
      </c>
      <c r="F85" s="89">
        <f t="shared" ref="F85:U85" si="84">F14</f>
        <v>10474296813.709999</v>
      </c>
      <c r="G85" s="89">
        <f t="shared" si="84"/>
        <v>10205740827.91</v>
      </c>
      <c r="H85" s="89">
        <f t="shared" si="84"/>
        <v>7602401160.4699993</v>
      </c>
      <c r="I85" s="89">
        <f t="shared" si="84"/>
        <v>6360901738.7600002</v>
      </c>
      <c r="J85" s="89">
        <f t="shared" si="84"/>
        <v>5490304602.6599998</v>
      </c>
      <c r="K85" s="89">
        <f t="shared" si="84"/>
        <v>5214553043.3100004</v>
      </c>
      <c r="L85" s="89">
        <f t="shared" si="84"/>
        <v>6323269627.5200005</v>
      </c>
      <c r="M85" s="89">
        <f t="shared" si="84"/>
        <v>6540507242.1600008</v>
      </c>
      <c r="N85" s="89">
        <f t="shared" si="84"/>
        <v>1183926876.5799999</v>
      </c>
      <c r="O85" s="89">
        <f t="shared" si="84"/>
        <v>1120730200.7000003</v>
      </c>
      <c r="P85" s="89">
        <f t="shared" si="84"/>
        <v>1057668850.3299999</v>
      </c>
      <c r="Q85" s="89">
        <f t="shared" si="84"/>
        <v>663016824.98000002</v>
      </c>
      <c r="R85" s="89">
        <f t="shared" si="84"/>
        <v>559044815.99000001</v>
      </c>
      <c r="S85" s="89">
        <f t="shared" si="84"/>
        <v>761945326.73999989</v>
      </c>
      <c r="T85" s="89">
        <f t="shared" si="84"/>
        <v>835767792.12</v>
      </c>
      <c r="U85" s="89">
        <f t="shared" si="84"/>
        <v>887841879.63999999</v>
      </c>
    </row>
    <row r="87" spans="1:21" s="56" customFormat="1" ht="85.8" customHeight="1" x14ac:dyDescent="0.25">
      <c r="A87" s="277" t="s">
        <v>702</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topLeftCell="A71"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7" width="19.33203125" hidden="1" customWidth="1"/>
    <col min="8" max="8" width="18.33203125" hidden="1" customWidth="1"/>
    <col min="9" max="9" width="21.5546875" bestFit="1" customWidth="1"/>
    <col min="10" max="10" width="19.33203125" hidden="1" customWidth="1"/>
    <col min="11" max="12" width="18.33203125" hidden="1" customWidth="1"/>
    <col min="13" max="13" width="21.5546875" bestFit="1" customWidth="1"/>
    <col min="14" max="16" width="17.21875" hidden="1" customWidth="1"/>
    <col min="17" max="17" width="17.21875" bestFit="1" customWidth="1"/>
    <col min="18" max="20" width="17.21875" hidden="1" customWidth="1"/>
    <col min="21" max="21" width="17.2187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6" width="17.21875" hidden="1" customWidth="1"/>
    <col min="37" max="37" width="17.21875" bestFit="1" customWidth="1"/>
    <col min="38" max="38" width="17.21875" hidden="1" customWidth="1"/>
    <col min="39" max="40" width="16.109375" hidden="1" customWidth="1"/>
    <col min="41" max="43" width="17.21875" bestFit="1" customWidth="1"/>
    <col min="44" max="44" width="9.5546875" hidden="1" customWidth="1"/>
    <col min="45" max="51" width="20.44140625" bestFit="1" customWidth="1"/>
    <col min="52"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2354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3101374995.27</v>
      </c>
      <c r="F2" s="26">
        <f>股权价值增加表!F4</f>
        <v>2237152268.6500001</v>
      </c>
      <c r="G2" s="26">
        <f>股权价值增加表!G4</f>
        <v>1589165365.48</v>
      </c>
      <c r="H2" s="26">
        <f>股权价值增加表!H4</f>
        <v>639633152.34000003</v>
      </c>
      <c r="I2" s="26">
        <f>股权价值增加表!I4</f>
        <v>1674860621.6700001</v>
      </c>
      <c r="J2" s="26">
        <f>股权价值增加表!J4</f>
        <v>1309911726.6900001</v>
      </c>
      <c r="K2" s="26">
        <f>股权价值增加表!K4</f>
        <v>858826118.13999999</v>
      </c>
      <c r="L2" s="26">
        <f>股权价值增加表!L4</f>
        <v>447990967.76999998</v>
      </c>
      <c r="M2" s="26">
        <f>股权价值增加表!M4</f>
        <v>940847581.74000001</v>
      </c>
      <c r="N2" s="26">
        <f>股权价值增加表!N4</f>
        <v>528693076.44999999</v>
      </c>
      <c r="O2" s="26">
        <f>股权价值增加表!O4</f>
        <v>319281419.52999997</v>
      </c>
      <c r="P2" s="26">
        <f>股权价值增加表!P4</f>
        <v>153468545.18000001</v>
      </c>
      <c r="Q2" s="26">
        <f>股权价值增加表!Q4</f>
        <v>475541247.29000002</v>
      </c>
      <c r="R2" s="26">
        <f>股权价值增加表!R4</f>
        <v>342647438.50999999</v>
      </c>
      <c r="S2" s="26">
        <f>股权价值增加表!S4</f>
        <v>160980245.72999999</v>
      </c>
      <c r="T2" s="26">
        <f>股权价值增加表!T4</f>
        <v>76490124.170000002</v>
      </c>
      <c r="U2" s="26">
        <f>股权价值增加表!U4</f>
        <v>404860703.92000002</v>
      </c>
      <c r="V2" s="26">
        <f>股权价值增加表!V4</f>
        <v>299333915.07999998</v>
      </c>
      <c r="W2" s="26">
        <f>股权价值增加表!W4</f>
        <v>201629671.28</v>
      </c>
      <c r="X2" s="26">
        <f>股权价值增加表!X4</f>
        <v>88216270.299999997</v>
      </c>
      <c r="Y2" s="26">
        <f>股权价值增加表!Y4</f>
        <v>368978529.88999999</v>
      </c>
      <c r="Z2" s="26">
        <f>股权价值增加表!Z4</f>
        <v>263719499.74000001</v>
      </c>
      <c r="AA2" s="26">
        <f>股权价值增加表!AA4</f>
        <v>167647473.08000001</v>
      </c>
      <c r="AB2" s="26">
        <f>股权价值增加表!AB4</f>
        <v>70386396.640000001</v>
      </c>
      <c r="AC2" s="26">
        <f>股权价值增加表!AC4</f>
        <v>427854958.19</v>
      </c>
      <c r="AD2" s="26">
        <f>股权价值增加表!AD4</f>
        <v>289069924.76999998</v>
      </c>
      <c r="AE2" s="26">
        <f>股权价值增加表!AE4</f>
        <v>176035812.30000001</v>
      </c>
      <c r="AF2" s="26">
        <f>股权价值增加表!AF4</f>
        <v>72551082.439999998</v>
      </c>
      <c r="AG2" s="26">
        <f>股权价值增加表!AG4</f>
        <v>306601155.70999998</v>
      </c>
      <c r="AH2" s="26">
        <f>股权价值增加表!AH4</f>
        <v>228052601.91</v>
      </c>
      <c r="AI2" s="26">
        <f>股权价值增加表!AI4</f>
        <v>138338266.08000001</v>
      </c>
      <c r="AJ2" s="26">
        <f>股权价值增加表!AJ4</f>
        <v>60389382.710000001</v>
      </c>
      <c r="AK2" s="26">
        <f>股权价值增加表!AK4</f>
        <v>236369504.05000001</v>
      </c>
      <c r="AL2" s="26">
        <f>股权价值增加表!AL4</f>
        <v>158647035.88999999</v>
      </c>
      <c r="AM2" s="26">
        <f>股权价值增加表!AM4</f>
        <v>96728958.370000005</v>
      </c>
      <c r="AN2" s="26">
        <f>股权价值增加表!AN4</f>
        <v>45667900.600000001</v>
      </c>
      <c r="AO2" s="26">
        <f>股权价值增加表!AO4</f>
        <v>285772761.35000002</v>
      </c>
      <c r="AP2" s="26">
        <f>股权价值增加表!AP4</f>
        <v>271690739.83999997</v>
      </c>
      <c r="AQ2" s="26">
        <f>股权价值增加表!AQ4</f>
        <v>218629260.31999999</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0.85172124482670408</v>
      </c>
      <c r="F3" s="66">
        <f t="shared" ref="F3:BQ3" si="0">(F2-J2)/J2</f>
        <v>0.70786490651781009</v>
      </c>
      <c r="G3" s="66">
        <f t="shared" si="0"/>
        <v>0.85039245071136171</v>
      </c>
      <c r="H3" s="66">
        <f t="shared" si="0"/>
        <v>0.42778135801253425</v>
      </c>
      <c r="I3" s="66">
        <f t="shared" si="0"/>
        <v>0.7801614779861783</v>
      </c>
      <c r="J3" s="66">
        <f t="shared" si="0"/>
        <v>1.4776411589983856</v>
      </c>
      <c r="K3" s="66">
        <f t="shared" si="0"/>
        <v>1.6898718986035575</v>
      </c>
      <c r="L3" s="66">
        <f t="shared" si="0"/>
        <v>1.919106108972108</v>
      </c>
      <c r="M3" s="66">
        <f t="shared" si="0"/>
        <v>0.97847733945619553</v>
      </c>
      <c r="N3" s="66">
        <f t="shared" si="0"/>
        <v>0.54296520863841313</v>
      </c>
      <c r="O3" s="66">
        <f t="shared" si="0"/>
        <v>0.9833577597185843</v>
      </c>
      <c r="P3" s="66">
        <f t="shared" si="0"/>
        <v>1.0063837893492598</v>
      </c>
      <c r="Q3" s="66">
        <f t="shared" si="0"/>
        <v>0.17457990534928872</v>
      </c>
      <c r="R3" s="66">
        <f t="shared" si="0"/>
        <v>0.14469968569523448</v>
      </c>
      <c r="S3" s="66">
        <f t="shared" si="0"/>
        <v>-0.20160438338239803</v>
      </c>
      <c r="T3" s="66">
        <f t="shared" si="0"/>
        <v>-0.13292498186697874</v>
      </c>
      <c r="U3" s="66">
        <f t="shared" si="0"/>
        <v>9.7247322332541242E-2</v>
      </c>
      <c r="V3" s="66">
        <f t="shared" si="0"/>
        <v>0.13504657552859034</v>
      </c>
      <c r="W3" s="66">
        <f t="shared" si="0"/>
        <v>0.20270033049519309</v>
      </c>
      <c r="X3" s="66">
        <f t="shared" si="0"/>
        <v>0.25331419863973303</v>
      </c>
      <c r="Y3" s="66">
        <f t="shared" si="0"/>
        <v>-0.13760838146897067</v>
      </c>
      <c r="Z3" s="66">
        <f t="shared" si="0"/>
        <v>-8.7696515125778557E-2</v>
      </c>
      <c r="AA3" s="66">
        <f t="shared" si="0"/>
        <v>-4.7651322253136771E-2</v>
      </c>
      <c r="AB3" s="66">
        <f t="shared" si="0"/>
        <v>-2.9836712660906196E-2</v>
      </c>
      <c r="AC3" s="66">
        <f t="shared" si="0"/>
        <v>0.39547731710016271</v>
      </c>
      <c r="AD3" s="66">
        <f t="shared" si="0"/>
        <v>0.26755810873879093</v>
      </c>
      <c r="AE3" s="66">
        <f t="shared" si="0"/>
        <v>0.27250266530158607</v>
      </c>
      <c r="AF3" s="66">
        <f t="shared" si="0"/>
        <v>0.20138804512048963</v>
      </c>
      <c r="AG3" s="66">
        <f t="shared" si="0"/>
        <v>0.29712653475443107</v>
      </c>
      <c r="AH3" s="66">
        <f t="shared" si="0"/>
        <v>0.43748416496179149</v>
      </c>
      <c r="AI3" s="66">
        <f t="shared" si="0"/>
        <v>0.43016391793282172</v>
      </c>
      <c r="AJ3" s="66">
        <f t="shared" si="0"/>
        <v>0.32235951109169225</v>
      </c>
      <c r="AK3" s="66">
        <f t="shared" si="0"/>
        <v>-0.1728760189271272</v>
      </c>
      <c r="AL3" s="66">
        <f t="shared" si="0"/>
        <v>-0.4160749240720239</v>
      </c>
      <c r="AM3" s="66">
        <f t="shared" si="0"/>
        <v>-0.55756627347857635</v>
      </c>
      <c r="AN3" s="66" t="e">
        <f t="shared" si="0"/>
        <v>#DIV/0!</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1073549556.55</v>
      </c>
      <c r="F4" s="26">
        <f>股权价值增加表!F5</f>
        <v>812762965.25</v>
      </c>
      <c r="G4" s="26">
        <f>股权价值增加表!G5</f>
        <v>624870843.95000005</v>
      </c>
      <c r="H4" s="26">
        <f>股权价值增加表!H5</f>
        <v>243581348.91</v>
      </c>
      <c r="I4" s="26">
        <f>股权价值增加表!I5</f>
        <v>681953910.48000002</v>
      </c>
      <c r="J4" s="26">
        <f>股权价值增加表!J5</f>
        <v>586998862.96000004</v>
      </c>
      <c r="K4" s="26">
        <f>股权价值增加表!K5</f>
        <v>399669312.94</v>
      </c>
      <c r="L4" s="26">
        <f>股权价值增加表!L5</f>
        <v>217997762.84</v>
      </c>
      <c r="M4" s="26">
        <f>股权价值增加表!M5</f>
        <v>294534604.23000002</v>
      </c>
      <c r="N4" s="26">
        <f>股权价值增加表!N5</f>
        <v>143239997.56</v>
      </c>
      <c r="O4" s="26">
        <f>股权价值增加表!O5</f>
        <v>82821174.730000004</v>
      </c>
      <c r="P4" s="26">
        <f>股权价值增加表!P5</f>
        <v>36003926.729999997</v>
      </c>
      <c r="Q4" s="26">
        <f>股权价值增加表!Q5</f>
        <v>84075285.200000003</v>
      </c>
      <c r="R4" s="26">
        <f>股权价值增加表!R5</f>
        <v>70051293.879999995</v>
      </c>
      <c r="S4" s="26">
        <f>股权价值增加表!S5</f>
        <v>134933687.97</v>
      </c>
      <c r="T4" s="26">
        <f>股权价值增加表!T5</f>
        <v>61285591.07</v>
      </c>
      <c r="U4" s="26">
        <f>股权价值增加表!U5</f>
        <v>331647428.75999999</v>
      </c>
      <c r="V4" s="26">
        <f>股权价值增加表!V5</f>
        <v>244767894.46000001</v>
      </c>
      <c r="W4" s="26">
        <f>股权价值增加表!W5</f>
        <v>159124525.56</v>
      </c>
      <c r="X4" s="26">
        <f>股权价值增加表!X5</f>
        <v>71075407.579999998</v>
      </c>
      <c r="Y4" s="26">
        <f>股权价值增加表!Y5</f>
        <v>291852976.17000002</v>
      </c>
      <c r="Z4" s="26">
        <f>股权价值增加表!Z5</f>
        <v>210304718.69</v>
      </c>
      <c r="AA4" s="26">
        <f>股权价值增加表!AA5</f>
        <v>134841206.36000001</v>
      </c>
      <c r="AB4" s="26">
        <f>股权价值增加表!AB5</f>
        <v>55432019.719999999</v>
      </c>
      <c r="AC4" s="26">
        <f>股权价值增加表!AC5</f>
        <v>347819373.01999998</v>
      </c>
      <c r="AD4" s="26">
        <f>股权价值增加表!AD5</f>
        <v>236634286.88</v>
      </c>
      <c r="AE4" s="26">
        <f>股权价值增加表!AE5</f>
        <v>144027414.56999999</v>
      </c>
      <c r="AF4" s="26">
        <f>股权价值增加表!AF5</f>
        <v>61399932.880000003</v>
      </c>
      <c r="AG4" s="26">
        <f>股权价值增加表!AG5</f>
        <v>255058285.75</v>
      </c>
      <c r="AH4" s="26">
        <f>股权价值增加表!AH5</f>
        <v>188392182.86000001</v>
      </c>
      <c r="AI4" s="26">
        <f>股权价值增加表!AI5</f>
        <v>114405034.56</v>
      </c>
      <c r="AJ4" s="26">
        <f>股权价值增加表!AJ5</f>
        <v>50105763.420000002</v>
      </c>
      <c r="AK4" s="26">
        <f>股权价值增加表!AK5</f>
        <v>180376688.06</v>
      </c>
      <c r="AL4" s="26">
        <f>股权价值增加表!AL5</f>
        <v>122895640.44</v>
      </c>
      <c r="AM4" s="26">
        <f>股权价值增加表!AM5</f>
        <v>75225794.790000007</v>
      </c>
      <c r="AN4" s="26">
        <f>股权价值增加表!AN5</f>
        <v>37067286.439999998</v>
      </c>
      <c r="AO4" s="26">
        <f>股权价值增加表!AO5</f>
        <v>234097399.05000001</v>
      </c>
      <c r="AP4" s="26">
        <f>股权价值增加表!AP5</f>
        <v>218187982.00999999</v>
      </c>
      <c r="AQ4" s="26">
        <f>股权价值增加表!AQ5</f>
        <v>177908118.96000001</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0.34615277358826413</v>
      </c>
      <c r="F5" s="66">
        <f t="shared" si="2"/>
        <v>0.36330247906659402</v>
      </c>
      <c r="G5" s="66">
        <f t="shared" si="2"/>
        <v>0.39320693586929556</v>
      </c>
      <c r="H5" s="66">
        <f t="shared" si="2"/>
        <v>0.38081414013469267</v>
      </c>
      <c r="I5" s="66">
        <f t="shared" si="2"/>
        <v>0.40717054401817937</v>
      </c>
      <c r="J5" s="66">
        <f t="shared" si="2"/>
        <v>0.44812093135716885</v>
      </c>
      <c r="K5" s="66">
        <f t="shared" si="2"/>
        <v>0.46536697533789795</v>
      </c>
      <c r="L5" s="66">
        <f t="shared" si="2"/>
        <v>0.48661195989094308</v>
      </c>
      <c r="M5" s="66">
        <f t="shared" si="2"/>
        <v>0.31305241140683893</v>
      </c>
      <c r="N5" s="66">
        <f t="shared" si="2"/>
        <v>0.27093223637769087</v>
      </c>
      <c r="O5" s="66">
        <f t="shared" si="2"/>
        <v>0.25939866733215289</v>
      </c>
      <c r="P5" s="66">
        <f t="shared" si="2"/>
        <v>0.23460134249511361</v>
      </c>
      <c r="Q5" s="66">
        <f t="shared" si="2"/>
        <v>0.1767991434583765</v>
      </c>
      <c r="R5" s="66">
        <f t="shared" si="2"/>
        <v>0.20444131782982988</v>
      </c>
      <c r="S5" s="66">
        <f t="shared" si="2"/>
        <v>0.83820028574384264</v>
      </c>
      <c r="T5" s="66">
        <f t="shared" si="2"/>
        <v>0.80122227196013196</v>
      </c>
      <c r="U5" s="66">
        <f t="shared" si="2"/>
        <v>0.81916428428068222</v>
      </c>
      <c r="V5" s="66">
        <f t="shared" si="2"/>
        <v>0.8177085259269179</v>
      </c>
      <c r="W5" s="66">
        <f t="shared" si="2"/>
        <v>0.78919201003420891</v>
      </c>
      <c r="X5" s="66">
        <f t="shared" si="2"/>
        <v>0.80569499637982311</v>
      </c>
      <c r="Y5" s="66">
        <f t="shared" si="2"/>
        <v>0.7909754972925046</v>
      </c>
      <c r="Z5" s="66">
        <f t="shared" si="2"/>
        <v>0.79745608078787711</v>
      </c>
      <c r="AA5" s="66">
        <f t="shared" si="2"/>
        <v>0.80431398029873602</v>
      </c>
      <c r="AB5" s="66">
        <f t="shared" si="2"/>
        <v>0.78753881951812332</v>
      </c>
      <c r="AC5" s="66">
        <f t="shared" si="2"/>
        <v>0.81293757700370473</v>
      </c>
      <c r="AD5" s="66">
        <f t="shared" si="2"/>
        <v>0.81860569572666309</v>
      </c>
      <c r="AE5" s="66">
        <f t="shared" si="2"/>
        <v>0.81817110216498823</v>
      </c>
      <c r="AF5" s="66">
        <f t="shared" si="2"/>
        <v>0.84629933579251504</v>
      </c>
      <c r="AG5" s="66">
        <f t="shared" si="2"/>
        <v>0.8318895118296552</v>
      </c>
      <c r="AH5" s="66">
        <f t="shared" si="2"/>
        <v>0.82609091622795072</v>
      </c>
      <c r="AI5" s="66">
        <f t="shared" si="2"/>
        <v>0.82699485689549124</v>
      </c>
      <c r="AJ5" s="66">
        <f t="shared" si="2"/>
        <v>0.82971146866356171</v>
      </c>
      <c r="AK5" s="66">
        <f t="shared" ref="AK5:BP5" si="3">AK4/AK2</f>
        <v>0.76311319763925356</v>
      </c>
      <c r="AL5" s="66">
        <f t="shared" si="3"/>
        <v>0.77464819780945238</v>
      </c>
      <c r="AM5" s="66">
        <f t="shared" si="3"/>
        <v>0.77769673175071541</v>
      </c>
      <c r="AN5" s="66">
        <f t="shared" si="3"/>
        <v>0.81167047210398802</v>
      </c>
      <c r="AO5" s="66">
        <f t="shared" si="3"/>
        <v>0.81917324080894249</v>
      </c>
      <c r="AP5" s="66">
        <f t="shared" si="3"/>
        <v>0.8030747832572136</v>
      </c>
      <c r="AQ5" s="66">
        <f t="shared" si="3"/>
        <v>0.81374340607292051</v>
      </c>
      <c r="AR5" s="66" t="e">
        <f t="shared" si="3"/>
        <v>#DIV/0!</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0.57422597048291935</v>
      </c>
      <c r="F6" s="66">
        <f t="shared" ref="F6:BQ6" si="5">(F4-J4)/J4</f>
        <v>0.38460739285177159</v>
      </c>
      <c r="G6" s="66">
        <f t="shared" si="5"/>
        <v>0.56346965783637293</v>
      </c>
      <c r="H6" s="66">
        <f t="shared" si="5"/>
        <v>0.11735710374595508</v>
      </c>
      <c r="I6" s="66">
        <f t="shared" si="5"/>
        <v>1.3153609140862341</v>
      </c>
      <c r="J6" s="66">
        <f t="shared" si="5"/>
        <v>3.0980094454003289</v>
      </c>
      <c r="K6" s="66">
        <f t="shared" si="5"/>
        <v>3.8256899789569063</v>
      </c>
      <c r="L6" s="66">
        <f t="shared" si="5"/>
        <v>5.0548329762696422</v>
      </c>
      <c r="M6" s="66">
        <f t="shared" si="5"/>
        <v>2.5032245627160838</v>
      </c>
      <c r="N6" s="66">
        <f t="shared" si="5"/>
        <v>1.0447873212074354</v>
      </c>
      <c r="O6" s="66">
        <f t="shared" si="5"/>
        <v>-0.38620832220628437</v>
      </c>
      <c r="P6" s="66">
        <f t="shared" si="5"/>
        <v>-0.41252215893819888</v>
      </c>
      <c r="Q6" s="66">
        <f t="shared" si="5"/>
        <v>-0.74649197337561168</v>
      </c>
      <c r="R6" s="66">
        <f t="shared" si="5"/>
        <v>-0.71380521928929785</v>
      </c>
      <c r="S6" s="66">
        <f t="shared" si="5"/>
        <v>-0.15202457009606937</v>
      </c>
      <c r="T6" s="66">
        <f t="shared" si="5"/>
        <v>-0.13773845051793648</v>
      </c>
      <c r="U6" s="66">
        <f t="shared" si="5"/>
        <v>0.13635102547941913</v>
      </c>
      <c r="V6" s="66">
        <f t="shared" si="5"/>
        <v>0.16387257492210866</v>
      </c>
      <c r="W6" s="66">
        <f t="shared" si="5"/>
        <v>0.18008826719606921</v>
      </c>
      <c r="X6" s="66">
        <f t="shared" si="5"/>
        <v>0.28220851304026778</v>
      </c>
      <c r="Y6" s="66">
        <f t="shared" si="5"/>
        <v>-0.16090649685226657</v>
      </c>
      <c r="Z6" s="66">
        <f t="shared" si="5"/>
        <v>-0.11126691967234667</v>
      </c>
      <c r="AA6" s="66">
        <f t="shared" si="5"/>
        <v>-6.3780970014811394E-2</v>
      </c>
      <c r="AB6" s="66">
        <f t="shared" si="5"/>
        <v>-9.7197388988416164E-2</v>
      </c>
      <c r="AC6" s="66">
        <f t="shared" si="5"/>
        <v>0.3636858414430082</v>
      </c>
      <c r="AD6" s="66">
        <f t="shared" si="5"/>
        <v>0.25607274828303339</v>
      </c>
      <c r="AE6" s="66">
        <f t="shared" si="5"/>
        <v>0.25892549330479386</v>
      </c>
      <c r="AF6" s="66">
        <f t="shared" si="5"/>
        <v>0.22540659375507827</v>
      </c>
      <c r="AG6" s="66">
        <f t="shared" si="5"/>
        <v>0.41403131686927369</v>
      </c>
      <c r="AH6" s="66">
        <f t="shared" si="5"/>
        <v>0.53294439237636493</v>
      </c>
      <c r="AI6" s="66">
        <f t="shared" si="5"/>
        <v>0.52082187871025609</v>
      </c>
      <c r="AJ6" s="66">
        <f t="shared" si="5"/>
        <v>0.35175159101827164</v>
      </c>
      <c r="AK6" s="66">
        <f t="shared" si="5"/>
        <v>-0.22948017025394629</v>
      </c>
      <c r="AL6" s="66">
        <f t="shared" si="5"/>
        <v>-0.43674422712077954</v>
      </c>
      <c r="AM6" s="66">
        <f t="shared" si="5"/>
        <v>-0.57716491394688174</v>
      </c>
      <c r="AN6" s="66" t="e">
        <f t="shared" si="5"/>
        <v>#DIV/0!</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2027825438.72</v>
      </c>
      <c r="F7" s="27">
        <f>股权价值增加表!F6</f>
        <v>1424389303.4000001</v>
      </c>
      <c r="G7" s="27">
        <f>股权价值增加表!G6</f>
        <v>964294521.52999997</v>
      </c>
      <c r="H7" s="27">
        <f>股权价值增加表!H6</f>
        <v>396051803.43000007</v>
      </c>
      <c r="I7" s="27">
        <f>股权价值增加表!I6</f>
        <v>992906711.19000006</v>
      </c>
      <c r="J7" s="27">
        <f>股权价值增加表!J6</f>
        <v>722912863.73000002</v>
      </c>
      <c r="K7" s="27">
        <f>股权价值增加表!K6</f>
        <v>459156805.19999999</v>
      </c>
      <c r="L7" s="27">
        <f>股权价值增加表!L6</f>
        <v>229993204.92999998</v>
      </c>
      <c r="M7" s="27">
        <f>股权价值增加表!M6</f>
        <v>646312977.50999999</v>
      </c>
      <c r="N7" s="27">
        <f>股权价值增加表!N6</f>
        <v>385453078.88999999</v>
      </c>
      <c r="O7" s="27">
        <f>股权价值增加表!O6</f>
        <v>236460244.79999995</v>
      </c>
      <c r="P7" s="27">
        <f>股权价值增加表!P6</f>
        <v>117464618.45000002</v>
      </c>
      <c r="Q7" s="27">
        <f>股权价值增加表!Q6</f>
        <v>391465962.09000003</v>
      </c>
      <c r="R7" s="27">
        <f>股权价值增加表!R6</f>
        <v>272596144.63</v>
      </c>
      <c r="S7" s="27">
        <f>股权价值增加表!S6</f>
        <v>26046557.75999999</v>
      </c>
      <c r="T7" s="27">
        <f>股权价值增加表!T6</f>
        <v>15204533.100000001</v>
      </c>
      <c r="U7" s="27">
        <f>股权价值增加表!U6</f>
        <v>73213275.160000026</v>
      </c>
      <c r="V7" s="27">
        <f>股权价值增加表!V6</f>
        <v>54566020.619999975</v>
      </c>
      <c r="W7" s="27">
        <f>股权价值增加表!W6</f>
        <v>42505145.719999999</v>
      </c>
      <c r="X7" s="27">
        <f>股权价值增加表!X6</f>
        <v>17140862.719999999</v>
      </c>
      <c r="Y7" s="27">
        <f>股权价值增加表!Y6</f>
        <v>77125553.719999969</v>
      </c>
      <c r="Z7" s="27">
        <f>股权价值增加表!Z6</f>
        <v>53414781.050000012</v>
      </c>
      <c r="AA7" s="27">
        <f>股权价值增加表!AA6</f>
        <v>32806266.719999999</v>
      </c>
      <c r="AB7" s="27">
        <f>股权价值增加表!AB6</f>
        <v>14954376.920000002</v>
      </c>
      <c r="AC7" s="27">
        <f>股权价值增加表!AC6</f>
        <v>80035585.170000017</v>
      </c>
      <c r="AD7" s="27">
        <f>股权价值增加表!AD6</f>
        <v>52435637.889999986</v>
      </c>
      <c r="AE7" s="27">
        <f>股权价值增加表!AE6</f>
        <v>32008397.730000019</v>
      </c>
      <c r="AF7" s="27">
        <f>股权价值增加表!AF6</f>
        <v>11151149.559999995</v>
      </c>
      <c r="AG7" s="27">
        <f>股权价值增加表!AG6</f>
        <v>51542869.959999979</v>
      </c>
      <c r="AH7" s="27">
        <f>股权价值增加表!AH6</f>
        <v>39660419.049999982</v>
      </c>
      <c r="AI7" s="27">
        <f>股权价值增加表!AI6</f>
        <v>23933231.520000011</v>
      </c>
      <c r="AJ7" s="27">
        <f>股权价值增加表!AJ6</f>
        <v>10283619.289999999</v>
      </c>
      <c r="AK7" s="27">
        <f>股权价值增加表!AK6</f>
        <v>55992815.99000001</v>
      </c>
      <c r="AL7" s="27">
        <f>股权价值增加表!AL6</f>
        <v>35751395.449999988</v>
      </c>
      <c r="AM7" s="27">
        <f>股权价值增加表!AM6</f>
        <v>21503163.579999998</v>
      </c>
      <c r="AN7" s="27">
        <f>股权价值增加表!AN6</f>
        <v>8600614.1600000039</v>
      </c>
      <c r="AO7" s="27">
        <f>股权价值增加表!AO6</f>
        <v>51675362.300000012</v>
      </c>
      <c r="AP7" s="27">
        <f>股权价值增加表!AP6</f>
        <v>53502757.829999983</v>
      </c>
      <c r="AQ7" s="27">
        <f>股权价值增加表!AQ6</f>
        <v>40721141.359999985</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0.65384722641173587</v>
      </c>
      <c r="F8" s="66">
        <f t="shared" ref="F8:BQ8" si="7">F7/F2</f>
        <v>0.63669752093340592</v>
      </c>
      <c r="G8" s="66">
        <f t="shared" si="7"/>
        <v>0.60679306413070444</v>
      </c>
      <c r="H8" s="66">
        <f t="shared" si="7"/>
        <v>0.61918585986530739</v>
      </c>
      <c r="I8" s="66">
        <f t="shared" si="7"/>
        <v>0.59282945598182069</v>
      </c>
      <c r="J8" s="66">
        <f t="shared" si="7"/>
        <v>0.55187906864283121</v>
      </c>
      <c r="K8" s="66">
        <f t="shared" si="7"/>
        <v>0.53463302466210205</v>
      </c>
      <c r="L8" s="66">
        <f t="shared" si="7"/>
        <v>0.51338804010905692</v>
      </c>
      <c r="M8" s="66">
        <f t="shared" si="7"/>
        <v>0.68694758859316107</v>
      </c>
      <c r="N8" s="66">
        <f t="shared" si="7"/>
        <v>0.72906776362230907</v>
      </c>
      <c r="O8" s="66">
        <f t="shared" si="7"/>
        <v>0.74060133266784711</v>
      </c>
      <c r="P8" s="66">
        <f t="shared" si="7"/>
        <v>0.76539865750488645</v>
      </c>
      <c r="Q8" s="66">
        <f t="shared" si="7"/>
        <v>0.82320085654162356</v>
      </c>
      <c r="R8" s="66">
        <f t="shared" si="7"/>
        <v>0.79555868217017012</v>
      </c>
      <c r="S8" s="66">
        <f t="shared" si="7"/>
        <v>0.16179971425615733</v>
      </c>
      <c r="T8" s="66">
        <f t="shared" si="7"/>
        <v>0.1987777280398681</v>
      </c>
      <c r="U8" s="66">
        <f t="shared" si="7"/>
        <v>0.18083571571931784</v>
      </c>
      <c r="V8" s="66">
        <f t="shared" si="7"/>
        <v>0.1822914740730821</v>
      </c>
      <c r="W8" s="66">
        <f t="shared" si="7"/>
        <v>0.21080798996579111</v>
      </c>
      <c r="X8" s="66">
        <f t="shared" si="7"/>
        <v>0.19430500362017686</v>
      </c>
      <c r="Y8" s="66">
        <f t="shared" si="7"/>
        <v>0.2090245027074954</v>
      </c>
      <c r="Z8" s="66">
        <f t="shared" si="7"/>
        <v>0.20254391921212284</v>
      </c>
      <c r="AA8" s="66">
        <f t="shared" si="7"/>
        <v>0.19568601970126395</v>
      </c>
      <c r="AB8" s="66">
        <f t="shared" si="7"/>
        <v>0.21246118048187673</v>
      </c>
      <c r="AC8" s="66">
        <f t="shared" si="7"/>
        <v>0.1870624229962953</v>
      </c>
      <c r="AD8" s="66">
        <f t="shared" si="7"/>
        <v>0.18139430427333691</v>
      </c>
      <c r="AE8" s="66">
        <f t="shared" si="7"/>
        <v>0.18182889783501183</v>
      </c>
      <c r="AF8" s="66">
        <f t="shared" si="7"/>
        <v>0.1537006642074849</v>
      </c>
      <c r="AG8" s="66">
        <f t="shared" si="7"/>
        <v>0.16811048817034474</v>
      </c>
      <c r="AH8" s="66">
        <f t="shared" si="7"/>
        <v>0.17390908377204922</v>
      </c>
      <c r="AI8" s="66">
        <f t="shared" si="7"/>
        <v>0.17300514310450874</v>
      </c>
      <c r="AJ8" s="66">
        <f t="shared" si="7"/>
        <v>0.17028853133643829</v>
      </c>
      <c r="AK8" s="66">
        <f t="shared" si="7"/>
        <v>0.23688680236074644</v>
      </c>
      <c r="AL8" s="66">
        <f t="shared" si="7"/>
        <v>0.22535180219054762</v>
      </c>
      <c r="AM8" s="66">
        <f t="shared" si="7"/>
        <v>0.22230326824928465</v>
      </c>
      <c r="AN8" s="66">
        <f t="shared" si="7"/>
        <v>0.18832952789601201</v>
      </c>
      <c r="AO8" s="66">
        <f t="shared" si="7"/>
        <v>0.18082675919105753</v>
      </c>
      <c r="AP8" s="66">
        <f t="shared" si="7"/>
        <v>0.19692521674278637</v>
      </c>
      <c r="AQ8" s="66">
        <f t="shared" si="7"/>
        <v>0.18625659392707947</v>
      </c>
      <c r="AR8" s="66" t="e">
        <f t="shared" si="7"/>
        <v>#DIV/0!</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1.042312148630407</v>
      </c>
      <c r="F9" s="66">
        <f t="shared" ref="F9:BQ9" si="9">(F7-J7)/J7</f>
        <v>0.97034715366746305</v>
      </c>
      <c r="G9" s="66">
        <f t="shared" si="9"/>
        <v>1.1001420660856187</v>
      </c>
      <c r="H9" s="66">
        <f t="shared" si="9"/>
        <v>0.72201523758295894</v>
      </c>
      <c r="I9" s="66">
        <f t="shared" si="9"/>
        <v>0.53626299601053184</v>
      </c>
      <c r="J9" s="66">
        <f t="shared" si="9"/>
        <v>0.87548862188827858</v>
      </c>
      <c r="K9" s="66">
        <f t="shared" si="9"/>
        <v>0.94179281844336515</v>
      </c>
      <c r="L9" s="66">
        <f t="shared" si="9"/>
        <v>0.95797856379960811</v>
      </c>
      <c r="M9" s="66">
        <f t="shared" si="9"/>
        <v>0.65100683098830781</v>
      </c>
      <c r="N9" s="66">
        <f t="shared" si="9"/>
        <v>0.41400781516254709</v>
      </c>
      <c r="O9" s="66">
        <f t="shared" si="9"/>
        <v>8.0783683194842268</v>
      </c>
      <c r="P9" s="66">
        <f t="shared" si="9"/>
        <v>6.7256314072544594</v>
      </c>
      <c r="Q9" s="66">
        <f t="shared" si="9"/>
        <v>4.3469259671076284</v>
      </c>
      <c r="R9" s="66">
        <f t="shared" si="9"/>
        <v>3.9957123780084829</v>
      </c>
      <c r="S9" s="66">
        <f t="shared" si="9"/>
        <v>-0.38721401094399094</v>
      </c>
      <c r="T9" s="66">
        <f t="shared" si="9"/>
        <v>-0.11296570374726141</v>
      </c>
      <c r="U9" s="66">
        <f t="shared" si="9"/>
        <v>-5.072610012244777E-2</v>
      </c>
      <c r="V9" s="66">
        <f t="shared" si="9"/>
        <v>2.1552827651251091E-2</v>
      </c>
      <c r="W9" s="66">
        <f t="shared" si="9"/>
        <v>0.29564104574225081</v>
      </c>
      <c r="X9" s="66">
        <f t="shared" si="9"/>
        <v>0.14621042466007314</v>
      </c>
      <c r="Y9" s="66">
        <f t="shared" si="9"/>
        <v>-3.6359220012185577E-2</v>
      </c>
      <c r="Z9" s="66">
        <f t="shared" si="9"/>
        <v>1.8673238266960396E-2</v>
      </c>
      <c r="AA9" s="66">
        <f t="shared" si="9"/>
        <v>2.4926864403842786E-2</v>
      </c>
      <c r="AB9" s="66">
        <f t="shared" si="9"/>
        <v>0.34106146093156769</v>
      </c>
      <c r="AC9" s="66">
        <f t="shared" si="9"/>
        <v>0.55279644366159486</v>
      </c>
      <c r="AD9" s="66">
        <f t="shared" si="9"/>
        <v>0.32211507457584487</v>
      </c>
      <c r="AE9" s="66">
        <f t="shared" si="9"/>
        <v>0.33740392321245571</v>
      </c>
      <c r="AF9" s="66">
        <f t="shared" si="9"/>
        <v>8.4360403233091283E-2</v>
      </c>
      <c r="AG9" s="66">
        <f t="shared" si="9"/>
        <v>-7.9473517295410995E-2</v>
      </c>
      <c r="AH9" s="66">
        <f t="shared" si="9"/>
        <v>0.10933904958946142</v>
      </c>
      <c r="AI9" s="66">
        <f t="shared" si="9"/>
        <v>0.1130097871859287</v>
      </c>
      <c r="AJ9" s="66">
        <f t="shared" si="9"/>
        <v>0.1956842963409946</v>
      </c>
      <c r="AK9" s="66">
        <f t="shared" si="9"/>
        <v>8.354955820019469E-2</v>
      </c>
      <c r="AL9" s="66">
        <f t="shared" si="9"/>
        <v>-0.33178406310200481</v>
      </c>
      <c r="AM9" s="66">
        <f t="shared" si="9"/>
        <v>-0.47194103942473564</v>
      </c>
      <c r="AN9" s="66" t="e">
        <f t="shared" si="9"/>
        <v>#DIV/0!</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14762897.85</v>
      </c>
      <c r="F10" s="27">
        <f>股权价值增加表!F8</f>
        <v>9954565.4600000009</v>
      </c>
      <c r="G10" s="27">
        <f>股权价值增加表!G8</f>
        <v>7979233.3300000001</v>
      </c>
      <c r="H10" s="27">
        <f>股权价值增加表!H8</f>
        <v>2037316.29</v>
      </c>
      <c r="I10" s="27">
        <f>股权价值增加表!I8</f>
        <v>5334404.04</v>
      </c>
      <c r="J10" s="27">
        <f>股权价值增加表!J8</f>
        <v>3250132.44</v>
      </c>
      <c r="K10" s="27">
        <f>股权价值增加表!K8</f>
        <v>2148225.4300000002</v>
      </c>
      <c r="L10" s="27">
        <f>股权价值增加表!L8</f>
        <v>1117994.8700000001</v>
      </c>
      <c r="M10" s="27">
        <f>股权价值增加表!M8</f>
        <v>3973624.58</v>
      </c>
      <c r="N10" s="27">
        <f>股权价值增加表!N8</f>
        <v>2698035.2000000002</v>
      </c>
      <c r="O10" s="27">
        <f>股权价值增加表!O8</f>
        <v>1528713.33</v>
      </c>
      <c r="P10" s="27">
        <f>股权价值增加表!P8</f>
        <v>673026.7</v>
      </c>
      <c r="Q10" s="27">
        <f>股权价值增加表!Q8</f>
        <v>2135664.39</v>
      </c>
      <c r="R10" s="27">
        <f>股权价值增加表!R8</f>
        <v>1555881.22</v>
      </c>
      <c r="S10" s="27">
        <f>股权价值增加表!S8</f>
        <v>1231802.94</v>
      </c>
      <c r="T10" s="27">
        <f>股权价值增加表!T8</f>
        <v>230951.84</v>
      </c>
      <c r="U10" s="27">
        <f>股权价值增加表!U8</f>
        <v>786637.65</v>
      </c>
      <c r="V10" s="27">
        <f>股权价值增加表!V8</f>
        <v>521075.42</v>
      </c>
      <c r="W10" s="27">
        <f>股权价值增加表!W8</f>
        <v>440141.02</v>
      </c>
      <c r="X10" s="27">
        <f>股权价值增加表!X8</f>
        <v>139746.96</v>
      </c>
      <c r="Y10" s="27">
        <f>股权价值增加表!Y8</f>
        <v>1990295.61</v>
      </c>
      <c r="Z10" s="27">
        <f>股权价值增加表!Z8</f>
        <v>1574985.16</v>
      </c>
      <c r="AA10" s="27">
        <f>股权价值增加表!AA8</f>
        <v>1179884.3400000001</v>
      </c>
      <c r="AB10" s="27">
        <f>股权价值增加表!AB8</f>
        <v>469489.97</v>
      </c>
      <c r="AC10" s="27">
        <f>股权价值增加表!AC8</f>
        <v>2485080.54</v>
      </c>
      <c r="AD10" s="27">
        <f>股权价值增加表!AD8</f>
        <v>967682.29</v>
      </c>
      <c r="AE10" s="27">
        <f>股权价值增加表!AE8</f>
        <v>395512.9</v>
      </c>
      <c r="AF10" s="27">
        <f>股权价值增加表!AF8</f>
        <v>123133.85</v>
      </c>
      <c r="AG10" s="27">
        <f>股权价值增加表!AG8</f>
        <v>677738.84</v>
      </c>
      <c r="AH10" s="27">
        <f>股权价值增加表!AH8</f>
        <v>619502.54</v>
      </c>
      <c r="AI10" s="27">
        <f>股权价值增加表!AI8</f>
        <v>213160.36</v>
      </c>
      <c r="AJ10" s="27">
        <f>股权价值增加表!AJ8</f>
        <v>9770.66</v>
      </c>
      <c r="AK10" s="27">
        <f>股权价值增加表!AK8</f>
        <v>70592.39</v>
      </c>
      <c r="AL10" s="27">
        <f>股权价值增加表!AL8</f>
        <v>54576.77</v>
      </c>
      <c r="AM10" s="27">
        <f>股权价值增加表!AM8</f>
        <v>38531.42</v>
      </c>
      <c r="AN10" s="27">
        <f>股权价值增加表!AN8</f>
        <v>885.29</v>
      </c>
      <c r="AO10" s="27">
        <f>股权价值增加表!AO8</f>
        <v>56266.720000000001</v>
      </c>
      <c r="AP10" s="27">
        <f>股权价值增加表!AP8</f>
        <v>261365.22</v>
      </c>
      <c r="AQ10" s="27">
        <f>股权价值增加表!AQ8</f>
        <v>185792.82</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4.7601137793769985E-3</v>
      </c>
      <c r="F11" s="57">
        <f t="shared" ref="F11:BQ11" si="11">F10/F2</f>
        <v>4.4496593278413902E-3</v>
      </c>
      <c r="G11" s="57">
        <f t="shared" si="11"/>
        <v>5.0210214137091456E-3</v>
      </c>
      <c r="H11" s="57">
        <f t="shared" si="11"/>
        <v>3.1851324193356615E-3</v>
      </c>
      <c r="I11" s="57">
        <f t="shared" si="11"/>
        <v>3.184983855361694E-3</v>
      </c>
      <c r="J11" s="57">
        <f t="shared" si="11"/>
        <v>2.4811843224067623E-3</v>
      </c>
      <c r="K11" s="57">
        <f t="shared" si="11"/>
        <v>2.5013508376439605E-3</v>
      </c>
      <c r="L11" s="57">
        <f t="shared" si="11"/>
        <v>2.4955745772400981E-3</v>
      </c>
      <c r="M11" s="57">
        <f t="shared" si="11"/>
        <v>4.2234519778976245E-3</v>
      </c>
      <c r="N11" s="57">
        <f t="shared" si="11"/>
        <v>5.1032164410330823E-3</v>
      </c>
      <c r="O11" s="57">
        <f t="shared" si="11"/>
        <v>4.7879808735827823E-3</v>
      </c>
      <c r="P11" s="57">
        <f t="shared" si="11"/>
        <v>4.3854374146221377E-3</v>
      </c>
      <c r="Q11" s="57">
        <f t="shared" si="11"/>
        <v>4.4910181864783747E-3</v>
      </c>
      <c r="R11" s="57">
        <f t="shared" si="11"/>
        <v>4.5407641941400132E-3</v>
      </c>
      <c r="S11" s="57">
        <f t="shared" si="11"/>
        <v>7.6518888042077533E-3</v>
      </c>
      <c r="T11" s="57">
        <f t="shared" si="11"/>
        <v>3.0193680884437763E-3</v>
      </c>
      <c r="U11" s="57">
        <f t="shared" si="11"/>
        <v>1.9429834567383419E-3</v>
      </c>
      <c r="V11" s="57">
        <f t="shared" si="11"/>
        <v>1.7407830979016773E-3</v>
      </c>
      <c r="W11" s="57">
        <f t="shared" si="11"/>
        <v>2.1829179069026154E-3</v>
      </c>
      <c r="X11" s="57">
        <f t="shared" si="11"/>
        <v>1.5841404258506722E-3</v>
      </c>
      <c r="Y11" s="57">
        <f t="shared" si="11"/>
        <v>5.3940688922831034E-3</v>
      </c>
      <c r="Z11" s="57">
        <f t="shared" si="11"/>
        <v>5.9721983454115888E-3</v>
      </c>
      <c r="AA11" s="57">
        <f t="shared" si="11"/>
        <v>7.0378891988247799E-3</v>
      </c>
      <c r="AB11" s="57">
        <f t="shared" si="11"/>
        <v>6.670180495263381E-3</v>
      </c>
      <c r="AC11" s="57">
        <f t="shared" si="11"/>
        <v>5.8082312532099631E-3</v>
      </c>
      <c r="AD11" s="57">
        <f t="shared" si="11"/>
        <v>3.3475716672010814E-3</v>
      </c>
      <c r="AE11" s="57">
        <f t="shared" si="11"/>
        <v>2.2467752148407588E-3</v>
      </c>
      <c r="AF11" s="57">
        <f t="shared" si="11"/>
        <v>1.6972021072439842E-3</v>
      </c>
      <c r="AG11" s="57">
        <f t="shared" si="11"/>
        <v>2.2104901673659773E-3</v>
      </c>
      <c r="AH11" s="57">
        <f t="shared" si="11"/>
        <v>2.7164896818168472E-3</v>
      </c>
      <c r="AI11" s="57">
        <f t="shared" si="11"/>
        <v>1.5408633203247675E-3</v>
      </c>
      <c r="AJ11" s="57">
        <f t="shared" si="11"/>
        <v>1.6179433472470413E-4</v>
      </c>
      <c r="AK11" s="57">
        <f t="shared" si="11"/>
        <v>2.9865269753693506E-4</v>
      </c>
      <c r="AL11" s="57">
        <f t="shared" si="11"/>
        <v>3.4401380204696368E-4</v>
      </c>
      <c r="AM11" s="57">
        <f t="shared" si="11"/>
        <v>3.9834420476867578E-4</v>
      </c>
      <c r="AN11" s="57">
        <f t="shared" si="11"/>
        <v>1.9385388607069008E-5</v>
      </c>
      <c r="AO11" s="57">
        <f t="shared" si="11"/>
        <v>1.9689322290268024E-4</v>
      </c>
      <c r="AP11" s="57">
        <f t="shared" si="11"/>
        <v>9.6199531921448362E-4</v>
      </c>
      <c r="AQ11" s="57">
        <f t="shared" si="11"/>
        <v>8.4980765945080522E-4</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235039391.34999999</v>
      </c>
      <c r="F12" s="27">
        <f>股权价值增加表!F9</f>
        <v>160911887.5</v>
      </c>
      <c r="G12" s="27">
        <f>股权价值增加表!G9</f>
        <v>102697946.06999999</v>
      </c>
      <c r="H12" s="27">
        <f>股权价值增加表!H9</f>
        <v>33508005.43</v>
      </c>
      <c r="I12" s="27">
        <f>股权价值增加表!I9</f>
        <v>76143525.890000001</v>
      </c>
      <c r="J12" s="27">
        <f>股权价值增加表!J9</f>
        <v>58604093.039999999</v>
      </c>
      <c r="K12" s="27">
        <f>股权价值增加表!K9</f>
        <v>33786565.460000001</v>
      </c>
      <c r="L12" s="27">
        <f>股权价值增加表!L9</f>
        <v>19579201.640000001</v>
      </c>
      <c r="M12" s="27">
        <f>股权价值增加表!M9</f>
        <v>14814626.029999999</v>
      </c>
      <c r="N12" s="27">
        <f>股权价值增加表!N9</f>
        <v>8446284.1899999995</v>
      </c>
      <c r="O12" s="27">
        <f>股权价值增加表!O9</f>
        <v>6716926.7599999998</v>
      </c>
      <c r="P12" s="27">
        <f>股权价值增加表!P9</f>
        <v>3492623.59</v>
      </c>
      <c r="Q12" s="27">
        <f>股权价值增加表!Q9</f>
        <v>39167018.579999998</v>
      </c>
      <c r="R12" s="27">
        <f>股权价值增加表!R9</f>
        <v>28778010.32</v>
      </c>
      <c r="S12" s="27">
        <f>股权价值增加表!S9</f>
        <v>6491548.3899999997</v>
      </c>
      <c r="T12" s="27">
        <f>股权价值增加表!T9</f>
        <v>2544162.16</v>
      </c>
      <c r="U12" s="27">
        <f>股权价值增加表!U9</f>
        <v>13101319.789999999</v>
      </c>
      <c r="V12" s="27">
        <f>股权价值增加表!V9</f>
        <v>8930356.6999999993</v>
      </c>
      <c r="W12" s="27">
        <f>股权价值增加表!W9</f>
        <v>6592855.2999999998</v>
      </c>
      <c r="X12" s="27">
        <f>股权价值增加表!X9</f>
        <v>3895547.01</v>
      </c>
      <c r="Y12" s="27">
        <f>股权价值增加表!Y9</f>
        <v>11733088.949999999</v>
      </c>
      <c r="Z12" s="27">
        <f>股权价值增加表!Z9</f>
        <v>8997436.8499999996</v>
      </c>
      <c r="AA12" s="27">
        <f>股权价值增加表!AA9</f>
        <v>5526848.1900000004</v>
      </c>
      <c r="AB12" s="27">
        <f>股权价值增加表!AB9</f>
        <v>3593793.33</v>
      </c>
      <c r="AC12" s="27">
        <f>股权价值增加表!AC9</f>
        <v>11182598.359999999</v>
      </c>
      <c r="AD12" s="27">
        <f>股权价值增加表!AD9</f>
        <v>7051016.8899999997</v>
      </c>
      <c r="AE12" s="27">
        <f>股权价值增加表!AE9</f>
        <v>4808581.66</v>
      </c>
      <c r="AF12" s="27">
        <f>股权价值增加表!AF9</f>
        <v>2603706.5699999998</v>
      </c>
      <c r="AG12" s="27">
        <f>股权价值增加表!AG9</f>
        <v>7446312.4199999999</v>
      </c>
      <c r="AH12" s="27">
        <f>股权价值增加表!AH9</f>
        <v>5205512.6100000003</v>
      </c>
      <c r="AI12" s="27">
        <f>股权价值增加表!AI9</f>
        <v>3295356.99</v>
      </c>
      <c r="AJ12" s="27">
        <f>股权价值增加表!AJ9</f>
        <v>1314460.1200000001</v>
      </c>
      <c r="AK12" s="27">
        <f>股权价值增加表!AK9</f>
        <v>4606815.68</v>
      </c>
      <c r="AL12" s="27">
        <f>股权价值增加表!AL9</f>
        <v>2859957.14</v>
      </c>
      <c r="AM12" s="27">
        <f>股权价值增加表!AM9</f>
        <v>2360819.9</v>
      </c>
      <c r="AN12" s="27">
        <f>股权价值增加表!AN9</f>
        <v>956052.64</v>
      </c>
      <c r="AO12" s="27">
        <f>股权价值增加表!AO9</f>
        <v>5688106.25</v>
      </c>
      <c r="AP12" s="27">
        <f>股权价值增加表!AP9</f>
        <v>5667204.29</v>
      </c>
      <c r="AQ12" s="27">
        <f>股权价值增加表!AQ9</f>
        <v>3983624.71</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7.5785544059801091E-2</v>
      </c>
      <c r="F13" s="57">
        <f t="shared" ref="F13:BQ13" si="13">F12/F2</f>
        <v>7.1927105613200648E-2</v>
      </c>
      <c r="G13" s="57">
        <f t="shared" si="13"/>
        <v>6.4623826003771825E-2</v>
      </c>
      <c r="H13" s="57">
        <f t="shared" si="13"/>
        <v>5.2386286275838093E-2</v>
      </c>
      <c r="I13" s="57">
        <f t="shared" si="13"/>
        <v>4.5462604413063011E-2</v>
      </c>
      <c r="J13" s="57">
        <f t="shared" si="13"/>
        <v>4.4738963585039405E-2</v>
      </c>
      <c r="K13" s="57">
        <f t="shared" si="13"/>
        <v>3.9340402843328931E-2</v>
      </c>
      <c r="L13" s="57">
        <f t="shared" si="13"/>
        <v>4.3704456224778233E-2</v>
      </c>
      <c r="M13" s="57">
        <f t="shared" si="13"/>
        <v>1.5746042523276601E-2</v>
      </c>
      <c r="N13" s="57">
        <f t="shared" si="13"/>
        <v>1.5975779835654399E-2</v>
      </c>
      <c r="O13" s="57">
        <f t="shared" si="13"/>
        <v>2.1037637485725572E-2</v>
      </c>
      <c r="P13" s="57">
        <f t="shared" si="13"/>
        <v>2.2757911635270769E-2</v>
      </c>
      <c r="Q13" s="57">
        <f t="shared" si="13"/>
        <v>8.2363031184368996E-2</v>
      </c>
      <c r="R13" s="57">
        <f t="shared" si="13"/>
        <v>8.3987233189721122E-2</v>
      </c>
      <c r="S13" s="57">
        <f t="shared" si="13"/>
        <v>4.0325124120432661E-2</v>
      </c>
      <c r="T13" s="57">
        <f t="shared" si="13"/>
        <v>3.3261315596057557E-2</v>
      </c>
      <c r="U13" s="57">
        <f t="shared" si="13"/>
        <v>3.2360067705135456E-2</v>
      </c>
      <c r="V13" s="57">
        <f t="shared" si="13"/>
        <v>2.9834095804390465E-2</v>
      </c>
      <c r="W13" s="57">
        <f t="shared" si="13"/>
        <v>3.2697842823165665E-2</v>
      </c>
      <c r="X13" s="57">
        <f t="shared" si="13"/>
        <v>4.4159053616212564E-2</v>
      </c>
      <c r="Y13" s="57">
        <f t="shared" si="13"/>
        <v>3.1798839226493403E-2</v>
      </c>
      <c r="Z13" s="57">
        <f t="shared" si="13"/>
        <v>3.4117450013633942E-2</v>
      </c>
      <c r="AA13" s="57">
        <f t="shared" si="13"/>
        <v>3.2967083180327053E-2</v>
      </c>
      <c r="AB13" s="57">
        <f t="shared" si="13"/>
        <v>5.1058066637235375E-2</v>
      </c>
      <c r="AC13" s="57">
        <f t="shared" si="13"/>
        <v>2.6136423444306747E-2</v>
      </c>
      <c r="AD13" s="57">
        <f t="shared" si="13"/>
        <v>2.4392080551479643E-2</v>
      </c>
      <c r="AE13" s="57">
        <f t="shared" si="13"/>
        <v>2.7315928487353591E-2</v>
      </c>
      <c r="AF13" s="57">
        <f t="shared" si="13"/>
        <v>3.5887907973713204E-2</v>
      </c>
      <c r="AG13" s="57">
        <f t="shared" si="13"/>
        <v>2.4286641721087073E-2</v>
      </c>
      <c r="AH13" s="57">
        <f t="shared" si="13"/>
        <v>2.282592948469991E-2</v>
      </c>
      <c r="AI13" s="57">
        <f t="shared" si="13"/>
        <v>2.3821008339762761E-2</v>
      </c>
      <c r="AJ13" s="57">
        <f t="shared" si="13"/>
        <v>2.1766410932071607E-2</v>
      </c>
      <c r="AK13" s="57">
        <f t="shared" si="13"/>
        <v>1.9489890197618324E-2</v>
      </c>
      <c r="AL13" s="57">
        <f t="shared" si="13"/>
        <v>1.8027170340471972E-2</v>
      </c>
      <c r="AM13" s="57">
        <f t="shared" si="13"/>
        <v>2.4406547323393861E-2</v>
      </c>
      <c r="AN13" s="57">
        <f t="shared" si="13"/>
        <v>2.093489360007935E-2</v>
      </c>
      <c r="AO13" s="57">
        <f t="shared" si="13"/>
        <v>1.9904298167289274E-2</v>
      </c>
      <c r="AP13" s="57">
        <f t="shared" si="13"/>
        <v>2.0859026308137865E-2</v>
      </c>
      <c r="AQ13" s="57">
        <f t="shared" si="13"/>
        <v>1.8220912901453848E-2</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645302065.19000006</v>
      </c>
      <c r="F14" s="26">
        <f>股权价值增加表!F10</f>
        <v>376647774.79000002</v>
      </c>
      <c r="G14" s="26">
        <f>股权价值增加表!G10</f>
        <v>230984681.88</v>
      </c>
      <c r="H14" s="26">
        <f>股权价值增加表!H10</f>
        <v>101541708.88</v>
      </c>
      <c r="I14" s="26">
        <f>股权价值增加表!I10</f>
        <v>343751924.87</v>
      </c>
      <c r="J14" s="26">
        <f>股权价值增加表!J10</f>
        <v>295195959.89999998</v>
      </c>
      <c r="K14" s="26">
        <f>股权价值增加表!K10</f>
        <v>196749875.84</v>
      </c>
      <c r="L14" s="26">
        <f>股权价值增加表!L10</f>
        <v>88053884.180000007</v>
      </c>
      <c r="M14" s="26">
        <f>股权价值增加表!M10</f>
        <v>226255739.27000001</v>
      </c>
      <c r="N14" s="26">
        <f>股权价值增加表!N10</f>
        <v>111578771.18000001</v>
      </c>
      <c r="O14" s="26">
        <f>股权价值增加表!O10</f>
        <v>74093674.420000002</v>
      </c>
      <c r="P14" s="26">
        <f>股权价值增加表!P10</f>
        <v>37907618.509999998</v>
      </c>
      <c r="Q14" s="26">
        <f>股权价值增加表!Q10</f>
        <v>139922870.47</v>
      </c>
      <c r="R14" s="26">
        <f>股权价值增加表!R10</f>
        <v>95218737.260000005</v>
      </c>
      <c r="S14" s="26">
        <f>股权价值增加表!S10</f>
        <v>13749416.039999999</v>
      </c>
      <c r="T14" s="26">
        <f>股权价值增加表!T10</f>
        <v>7229190.6799999997</v>
      </c>
      <c r="U14" s="26">
        <f>股权价值增加表!U10</f>
        <v>27247889.48</v>
      </c>
      <c r="V14" s="26">
        <f>股权价值增加表!V10</f>
        <v>20159171.960000001</v>
      </c>
      <c r="W14" s="26">
        <f>股权价值增加表!W10</f>
        <v>13156661.380000001</v>
      </c>
      <c r="X14" s="26">
        <f>股权价值增加表!X10</f>
        <v>5790115.3200000003</v>
      </c>
      <c r="Y14" s="26">
        <f>股权价值增加表!Y10</f>
        <v>25466012.559999999</v>
      </c>
      <c r="Z14" s="26">
        <f>股权价值增加表!Z10</f>
        <v>16706878.949999999</v>
      </c>
      <c r="AA14" s="26">
        <f>股权价值增加表!AA10</f>
        <v>10583610.17</v>
      </c>
      <c r="AB14" s="26">
        <f>股权价值增加表!AB10</f>
        <v>4579572.97</v>
      </c>
      <c r="AC14" s="26">
        <f>股权价值增加表!AC10</f>
        <v>20500322.920000002</v>
      </c>
      <c r="AD14" s="26">
        <f>股权价值增加表!AD10</f>
        <v>15196836.859999999</v>
      </c>
      <c r="AE14" s="26">
        <f>股权价值增加表!AE10</f>
        <v>10240511.060000001</v>
      </c>
      <c r="AF14" s="26">
        <f>股权价值增加表!AF10</f>
        <v>4655559.8099999996</v>
      </c>
      <c r="AG14" s="26">
        <f>股权价值增加表!AG10</f>
        <v>21064727.32</v>
      </c>
      <c r="AH14" s="26">
        <f>股权价值增加表!AH10</f>
        <v>17088875.149999999</v>
      </c>
      <c r="AI14" s="26">
        <f>股权价值增加表!AI10</f>
        <v>13423976.67</v>
      </c>
      <c r="AJ14" s="26">
        <f>股权价值增加表!AJ10</f>
        <v>10065443.91</v>
      </c>
      <c r="AK14" s="26">
        <f>股权价值增加表!AK10</f>
        <v>12385737.359999999</v>
      </c>
      <c r="AL14" s="26">
        <f>股权价值增加表!AL10</f>
        <v>8100878.7400000002</v>
      </c>
      <c r="AM14" s="26">
        <f>股权价值增加表!AM10</f>
        <v>5105867.0199999996</v>
      </c>
      <c r="AN14" s="26">
        <f>股权价值增加表!AN10</f>
        <v>2168814.48</v>
      </c>
      <c r="AO14" s="26">
        <f>股权价值增加表!AO10</f>
        <v>10425117.710000001</v>
      </c>
      <c r="AP14" s="26">
        <f>股权价值增加表!AP10</f>
        <v>7970574.8799999999</v>
      </c>
      <c r="AQ14" s="26">
        <f>股权价值增加表!AQ10</f>
        <v>3966026.1</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0.20806966786479208</v>
      </c>
      <c r="F15" s="57">
        <f t="shared" ref="F15:BQ15" si="15">F14/F2</f>
        <v>0.16836036601893287</v>
      </c>
      <c r="G15" s="57">
        <f t="shared" si="15"/>
        <v>0.1453496828570966</v>
      </c>
      <c r="H15" s="57">
        <f t="shared" si="15"/>
        <v>0.15874991549222423</v>
      </c>
      <c r="I15" s="57">
        <f t="shared" si="15"/>
        <v>0.20524210816255603</v>
      </c>
      <c r="J15" s="57">
        <f t="shared" si="15"/>
        <v>0.2253556128136413</v>
      </c>
      <c r="K15" s="57">
        <f t="shared" si="15"/>
        <v>0.22909163063893589</v>
      </c>
      <c r="L15" s="57">
        <f t="shared" si="15"/>
        <v>0.19655281136205219</v>
      </c>
      <c r="M15" s="57">
        <f t="shared" si="15"/>
        <v>0.24048075762873672</v>
      </c>
      <c r="N15" s="57">
        <f t="shared" si="15"/>
        <v>0.21104640130567764</v>
      </c>
      <c r="O15" s="57">
        <f t="shared" si="15"/>
        <v>0.23206384677526809</v>
      </c>
      <c r="P15" s="57">
        <f t="shared" si="15"/>
        <v>0.24700578522809971</v>
      </c>
      <c r="Q15" s="57">
        <f t="shared" si="15"/>
        <v>0.29423918801447446</v>
      </c>
      <c r="R15" s="57">
        <f t="shared" si="15"/>
        <v>0.27789128578943423</v>
      </c>
      <c r="S15" s="57">
        <f t="shared" si="15"/>
        <v>8.5410579277291301E-2</v>
      </c>
      <c r="T15" s="57">
        <f t="shared" si="15"/>
        <v>9.4511425604867069E-2</v>
      </c>
      <c r="U15" s="57">
        <f t="shared" si="15"/>
        <v>6.7301887331066221E-2</v>
      </c>
      <c r="V15" s="57">
        <f t="shared" si="15"/>
        <v>6.7346768756932407E-2</v>
      </c>
      <c r="W15" s="57">
        <f t="shared" si="15"/>
        <v>6.5251613497546934E-2</v>
      </c>
      <c r="X15" s="57">
        <f t="shared" si="15"/>
        <v>6.5635458179192599E-2</v>
      </c>
      <c r="Y15" s="57">
        <f t="shared" si="15"/>
        <v>6.9017599933502732E-2</v>
      </c>
      <c r="Z15" s="57">
        <f t="shared" si="15"/>
        <v>6.3350942825506809E-2</v>
      </c>
      <c r="AA15" s="57">
        <f t="shared" si="15"/>
        <v>6.3130150282370123E-2</v>
      </c>
      <c r="AB15" s="57">
        <f t="shared" si="15"/>
        <v>6.5063324571405415E-2</v>
      </c>
      <c r="AC15" s="57">
        <f t="shared" si="15"/>
        <v>4.7914188038686481E-2</v>
      </c>
      <c r="AD15" s="57">
        <f t="shared" si="15"/>
        <v>5.2571490694133756E-2</v>
      </c>
      <c r="AE15" s="57">
        <f t="shared" si="15"/>
        <v>5.8172884972678938E-2</v>
      </c>
      <c r="AF15" s="57">
        <f t="shared" si="15"/>
        <v>6.4169405244231384E-2</v>
      </c>
      <c r="AG15" s="57">
        <f t="shared" si="15"/>
        <v>6.8704004951384345E-2</v>
      </c>
      <c r="AH15" s="57">
        <f t="shared" si="15"/>
        <v>7.4933918783983228E-2</v>
      </c>
      <c r="AI15" s="57">
        <f t="shared" si="15"/>
        <v>9.7037335007777323E-2</v>
      </c>
      <c r="AJ15" s="57">
        <f t="shared" si="15"/>
        <v>0.16667572110044507</v>
      </c>
      <c r="AK15" s="57">
        <f t="shared" si="15"/>
        <v>5.2399895704735258E-2</v>
      </c>
      <c r="AL15" s="57">
        <f t="shared" si="15"/>
        <v>5.1062276042880821E-2</v>
      </c>
      <c r="AM15" s="57">
        <f t="shared" si="15"/>
        <v>5.2785299315117593E-2</v>
      </c>
      <c r="AN15" s="57">
        <f t="shared" si="15"/>
        <v>4.7491004655466906E-2</v>
      </c>
      <c r="AO15" s="57">
        <f t="shared" si="15"/>
        <v>3.6480445724607895E-2</v>
      </c>
      <c r="AP15" s="57">
        <f t="shared" si="15"/>
        <v>2.9336939804035688E-2</v>
      </c>
      <c r="AQ15" s="57">
        <f t="shared" si="15"/>
        <v>1.8140417683319546E-2</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94553626.400000006</v>
      </c>
      <c r="F16" s="26">
        <f>股权价值增加表!F11</f>
        <v>13739282.439999999</v>
      </c>
      <c r="G16" s="26">
        <f>股权价值增加表!G11</f>
        <v>10098933.4</v>
      </c>
      <c r="H16" s="26">
        <f>股权价值增加表!H11</f>
        <v>-3710435.92</v>
      </c>
      <c r="I16" s="26">
        <f>股权价值增加表!I11</f>
        <v>29691962.469999999</v>
      </c>
      <c r="J16" s="26">
        <f>股权价值增加表!J11</f>
        <v>2725015.63</v>
      </c>
      <c r="K16" s="26">
        <f>股权价值增加表!K11</f>
        <v>3958780.17</v>
      </c>
      <c r="L16" s="26">
        <f>股权价值增加表!L11</f>
        <v>2072613.08</v>
      </c>
      <c r="M16" s="26">
        <f>股权价值增加表!M11</f>
        <v>25403369.030000001</v>
      </c>
      <c r="N16" s="26">
        <f>股权价值增加表!N11</f>
        <v>518989.3</v>
      </c>
      <c r="O16" s="26">
        <f>股权价值增加表!O11</f>
        <v>2445124.89</v>
      </c>
      <c r="P16" s="26">
        <f>股权价值增加表!P11</f>
        <v>556491.16</v>
      </c>
      <c r="Q16" s="26">
        <f>股权价值增加表!Q11</f>
        <v>1263500.74</v>
      </c>
      <c r="R16" s="26">
        <f>股权价值增加表!R11</f>
        <v>-265855</v>
      </c>
      <c r="S16" s="26">
        <f>股权价值增加表!S11</f>
        <v>-1551647.8</v>
      </c>
      <c r="T16" s="26">
        <f>股权价值增加表!T11</f>
        <v>-926583.99</v>
      </c>
      <c r="U16" s="26">
        <f>股权价值增加表!U11</f>
        <v>808807.22</v>
      </c>
      <c r="V16" s="26">
        <f>股权价值增加表!V11</f>
        <v>718505.48</v>
      </c>
      <c r="W16" s="26">
        <f>股权价值增加表!W11</f>
        <v>718505.48</v>
      </c>
      <c r="X16" s="26">
        <f>股权价值增加表!X11</f>
        <v>0</v>
      </c>
      <c r="Y16" s="26">
        <f>股权价值增加表!Y11</f>
        <v>77412.22</v>
      </c>
      <c r="Z16" s="26">
        <f>股权价值增加表!Z11</f>
        <v>-435229.57</v>
      </c>
      <c r="AA16" s="26">
        <f>股权价值增加表!AA11</f>
        <v>-435229.57</v>
      </c>
      <c r="AB16" s="26">
        <f>股权价值增加表!AB11</f>
        <v>0</v>
      </c>
      <c r="AC16" s="26">
        <f>股权价值增加表!AC11</f>
        <v>1220059.21</v>
      </c>
      <c r="AD16" s="26">
        <f>股权价值增加表!AD11</f>
        <v>0</v>
      </c>
      <c r="AE16" s="26">
        <f>股权价值增加表!AE11</f>
        <v>0</v>
      </c>
      <c r="AF16" s="26">
        <f>股权价值增加表!AF11</f>
        <v>0</v>
      </c>
      <c r="AG16" s="26">
        <f>股权价值增加表!AG11</f>
        <v>-4600</v>
      </c>
      <c r="AH16" s="26">
        <f>股权价值增加表!AH11</f>
        <v>-4600</v>
      </c>
      <c r="AI16" s="26">
        <f>股权价值增加表!AI11</f>
        <v>0</v>
      </c>
      <c r="AJ16" s="26">
        <f>股权价值增加表!AJ11</f>
        <v>0</v>
      </c>
      <c r="AK16" s="26">
        <f>股权价值增加表!AK11</f>
        <v>4600</v>
      </c>
      <c r="AL16" s="26">
        <f>股权价值增加表!AL11</f>
        <v>0</v>
      </c>
      <c r="AM16" s="26">
        <f>股权价值增加表!AM11</f>
        <v>45102.78</v>
      </c>
      <c r="AN16" s="26">
        <f>股权价值增加表!AN11</f>
        <v>0</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3.0487647106269503E-2</v>
      </c>
      <c r="F17" s="57">
        <f t="shared" ref="F17:BQ17" si="17">F16/F2</f>
        <v>6.1414158671867745E-3</v>
      </c>
      <c r="G17" s="57">
        <f t="shared" si="17"/>
        <v>6.3548662835032684E-3</v>
      </c>
      <c r="H17" s="57">
        <f t="shared" si="17"/>
        <v>-5.800881187014678E-3</v>
      </c>
      <c r="I17" s="57">
        <f t="shared" si="17"/>
        <v>1.7728019923469337E-2</v>
      </c>
      <c r="J17" s="57">
        <f t="shared" si="17"/>
        <v>2.0803047827396802E-3</v>
      </c>
      <c r="K17" s="57">
        <f t="shared" si="17"/>
        <v>4.6095246597456958E-3</v>
      </c>
      <c r="L17" s="57">
        <f t="shared" si="17"/>
        <v>4.6264617572916921E-3</v>
      </c>
      <c r="M17" s="57">
        <f t="shared" si="17"/>
        <v>2.7000514773093325E-2</v>
      </c>
      <c r="N17" s="57">
        <f t="shared" si="17"/>
        <v>9.8164572815071134E-4</v>
      </c>
      <c r="O17" s="57">
        <f t="shared" si="17"/>
        <v>7.6582122868263372E-3</v>
      </c>
      <c r="P17" s="57">
        <f t="shared" si="17"/>
        <v>3.6260926259990499E-3</v>
      </c>
      <c r="Q17" s="57">
        <f t="shared" si="17"/>
        <v>2.6569740210768246E-3</v>
      </c>
      <c r="R17" s="57">
        <f t="shared" si="17"/>
        <v>-7.7588497715339304E-4</v>
      </c>
      <c r="S17" s="57">
        <f t="shared" si="17"/>
        <v>-9.6387466236227629E-3</v>
      </c>
      <c r="T17" s="57">
        <f t="shared" si="17"/>
        <v>-1.2113772857011693E-2</v>
      </c>
      <c r="U17" s="57">
        <f t="shared" si="17"/>
        <v>1.9977419694449262E-3</v>
      </c>
      <c r="V17" s="57">
        <f t="shared" si="17"/>
        <v>2.4003477180591856E-3</v>
      </c>
      <c r="W17" s="57">
        <f t="shared" si="17"/>
        <v>3.5634908068774389E-3</v>
      </c>
      <c r="X17" s="57">
        <f t="shared" si="17"/>
        <v>0</v>
      </c>
      <c r="Y17" s="57">
        <f t="shared" si="17"/>
        <v>2.0980142129971128E-4</v>
      </c>
      <c r="Z17" s="57">
        <f t="shared" si="17"/>
        <v>-1.6503503549380727E-3</v>
      </c>
      <c r="AA17" s="57">
        <f t="shared" si="17"/>
        <v>-2.5960997920458483E-3</v>
      </c>
      <c r="AB17" s="57">
        <f t="shared" si="17"/>
        <v>0</v>
      </c>
      <c r="AC17" s="57">
        <f t="shared" si="17"/>
        <v>2.8515719793486684E-3</v>
      </c>
      <c r="AD17" s="57">
        <f t="shared" si="17"/>
        <v>0</v>
      </c>
      <c r="AE17" s="57">
        <f t="shared" si="17"/>
        <v>0</v>
      </c>
      <c r="AF17" s="57">
        <f t="shared" si="17"/>
        <v>0</v>
      </c>
      <c r="AG17" s="57">
        <f t="shared" si="17"/>
        <v>-1.5003205024937772E-5</v>
      </c>
      <c r="AH17" s="57">
        <f t="shared" si="17"/>
        <v>-2.0170784992031665E-5</v>
      </c>
      <c r="AI17" s="57">
        <f t="shared" si="17"/>
        <v>0</v>
      </c>
      <c r="AJ17" s="57">
        <f t="shared" si="17"/>
        <v>0</v>
      </c>
      <c r="AK17" s="57">
        <f t="shared" si="17"/>
        <v>1.9461055344207799E-5</v>
      </c>
      <c r="AL17" s="57">
        <f t="shared" si="17"/>
        <v>0</v>
      </c>
      <c r="AM17" s="57">
        <f t="shared" si="17"/>
        <v>4.6628001334901581E-4</v>
      </c>
      <c r="AN17" s="57">
        <f t="shared" si="17"/>
        <v>0</v>
      </c>
      <c r="AO17" s="57">
        <f t="shared" si="17"/>
        <v>0</v>
      </c>
      <c r="AP17" s="57">
        <f t="shared" si="17"/>
        <v>0</v>
      </c>
      <c r="AQ17" s="57">
        <f t="shared" si="17"/>
        <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4356622.45</v>
      </c>
      <c r="F18" s="26">
        <f>股权价值增加表!F12</f>
        <v>1204</v>
      </c>
      <c r="G18" s="26">
        <f>股权价值增加表!G12</f>
        <v>868</v>
      </c>
      <c r="H18" s="26">
        <f>股权价值增加表!H12</f>
        <v>644</v>
      </c>
      <c r="I18" s="26">
        <f>股权价值增加表!I12</f>
        <v>4634804.4800000004</v>
      </c>
      <c r="J18" s="26">
        <f>股权价值增加表!J12</f>
        <v>0</v>
      </c>
      <c r="K18" s="26">
        <f>股权价值增加表!K12</f>
        <v>0</v>
      </c>
      <c r="L18" s="26">
        <f>股权价值增加表!L12</f>
        <v>0</v>
      </c>
      <c r="M18" s="26">
        <f>股权价值增加表!M12</f>
        <v>3413460.04</v>
      </c>
      <c r="N18" s="26">
        <f>股权价值增加表!N12</f>
        <v>0</v>
      </c>
      <c r="O18" s="26">
        <f>股权价值增加表!O12</f>
        <v>0</v>
      </c>
      <c r="P18" s="26">
        <f>股权价值增加表!P12</f>
        <v>0</v>
      </c>
      <c r="Q18" s="26">
        <f>股权价值增加表!Q12</f>
        <v>0</v>
      </c>
      <c r="R18" s="26">
        <f>股权价值增加表!R12</f>
        <v>0</v>
      </c>
      <c r="S18" s="26">
        <f>股权价值增加表!S12</f>
        <v>0</v>
      </c>
      <c r="T18" s="26">
        <f>股权价值增加表!T12</f>
        <v>0</v>
      </c>
      <c r="U18" s="26">
        <f>股权价值增加表!U12</f>
        <v>0</v>
      </c>
      <c r="V18" s="26">
        <f>股权价值增加表!V12</f>
        <v>0</v>
      </c>
      <c r="W18" s="26">
        <f>股权价值增加表!W12</f>
        <v>0</v>
      </c>
      <c r="X18" s="26">
        <f>股权价值增加表!X12</f>
        <v>0</v>
      </c>
      <c r="Y18" s="26">
        <f>股权价值增加表!Y12</f>
        <v>0</v>
      </c>
      <c r="Z18" s="26">
        <f>股权价值增加表!Z12</f>
        <v>0</v>
      </c>
      <c r="AA18" s="26">
        <f>股权价值增加表!AA12</f>
        <v>0</v>
      </c>
      <c r="AB18" s="26">
        <f>股权价值增加表!AB12</f>
        <v>0</v>
      </c>
      <c r="AC18" s="26">
        <f>股权价值增加表!AC12</f>
        <v>0</v>
      </c>
      <c r="AD18" s="26">
        <f>股权价值增加表!AD12</f>
        <v>0</v>
      </c>
      <c r="AE18" s="26">
        <f>股权价值增加表!AE12</f>
        <v>0</v>
      </c>
      <c r="AF18" s="26">
        <f>股权价值增加表!AF12</f>
        <v>0</v>
      </c>
      <c r="AG18" s="26">
        <f>股权价值增加表!AG12</f>
        <v>0</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1.4047390130649843E-3</v>
      </c>
      <c r="F19" s="57">
        <f t="shared" ref="F19:BQ19" si="19">F18/F2</f>
        <v>5.3818419822024387E-7</v>
      </c>
      <c r="G19" s="57">
        <f t="shared" si="19"/>
        <v>5.4619866431447472E-7</v>
      </c>
      <c r="H19" s="57">
        <f t="shared" si="19"/>
        <v>1.0068271127661607E-6</v>
      </c>
      <c r="I19" s="57">
        <f t="shared" si="19"/>
        <v>2.767277718535556E-3</v>
      </c>
      <c r="J19" s="57">
        <f t="shared" si="19"/>
        <v>0</v>
      </c>
      <c r="K19" s="57">
        <f t="shared" si="19"/>
        <v>0</v>
      </c>
      <c r="L19" s="57">
        <f t="shared" si="19"/>
        <v>0</v>
      </c>
      <c r="M19" s="57">
        <f t="shared" si="19"/>
        <v>3.6280691009346697E-3</v>
      </c>
      <c r="N19" s="57">
        <f t="shared" si="19"/>
        <v>0</v>
      </c>
      <c r="O19" s="57">
        <f t="shared" si="19"/>
        <v>0</v>
      </c>
      <c r="P19" s="57">
        <f t="shared" si="19"/>
        <v>0</v>
      </c>
      <c r="Q19" s="57">
        <f t="shared" si="19"/>
        <v>0</v>
      </c>
      <c r="R19" s="57">
        <f t="shared" si="19"/>
        <v>0</v>
      </c>
      <c r="S19" s="57">
        <f t="shared" si="19"/>
        <v>0</v>
      </c>
      <c r="T19" s="57">
        <f t="shared" si="19"/>
        <v>0</v>
      </c>
      <c r="U19" s="57">
        <f t="shared" si="19"/>
        <v>0</v>
      </c>
      <c r="V19" s="57">
        <f t="shared" si="19"/>
        <v>0</v>
      </c>
      <c r="W19" s="57">
        <f t="shared" si="19"/>
        <v>0</v>
      </c>
      <c r="X19" s="57">
        <f t="shared" si="19"/>
        <v>0</v>
      </c>
      <c r="Y19" s="57">
        <f t="shared" si="19"/>
        <v>0</v>
      </c>
      <c r="Z19" s="57">
        <f t="shared" si="19"/>
        <v>0</v>
      </c>
      <c r="AA19" s="57">
        <f t="shared" si="19"/>
        <v>0</v>
      </c>
      <c r="AB19" s="57">
        <f t="shared" si="19"/>
        <v>0</v>
      </c>
      <c r="AC19" s="57">
        <f t="shared" si="19"/>
        <v>0</v>
      </c>
      <c r="AD19" s="57">
        <f t="shared" si="19"/>
        <v>0</v>
      </c>
      <c r="AE19" s="57">
        <f t="shared" si="19"/>
        <v>0</v>
      </c>
      <c r="AF19" s="57">
        <f t="shared" si="19"/>
        <v>0</v>
      </c>
      <c r="AG19" s="57">
        <f t="shared" si="19"/>
        <v>0</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-25543500.960000001</v>
      </c>
      <c r="F20" s="26">
        <f>股权价值增加表!F13-股权价值增加表!F14</f>
        <v>122922339.97999999</v>
      </c>
      <c r="G20" s="26">
        <f>股权价值增加表!G13-股权价值增加表!G14</f>
        <v>-955763.27</v>
      </c>
      <c r="H20" s="26">
        <f>股权价值增加表!H13-股权价值增加表!H14</f>
        <v>-1976131.25</v>
      </c>
      <c r="I20" s="26">
        <f>股权价值增加表!I13-股权价值增加表!I14</f>
        <v>6970892.6299999999</v>
      </c>
      <c r="J20" s="26">
        <f>股权价值增加表!J13-股权价值增加表!J14</f>
        <v>2808483.85</v>
      </c>
      <c r="K20" s="26">
        <f>股权价值增加表!K13-股权价值增加表!K14</f>
        <v>2012653.02</v>
      </c>
      <c r="L20" s="26">
        <f>股权价值增加表!L13-股权价值增加表!L14</f>
        <v>170464</v>
      </c>
      <c r="M20" s="26">
        <f>股权价值增加表!M13-股权价值增加表!M14</f>
        <v>-5993029.6200000001</v>
      </c>
      <c r="N20" s="26">
        <f>股权价值增加表!N13-股权价值增加表!N14</f>
        <v>-3168.22</v>
      </c>
      <c r="O20" s="26">
        <f>股权价值增加表!O13-股权价值增加表!O14</f>
        <v>-2248.2399999999998</v>
      </c>
      <c r="P20" s="26">
        <f>股权价值增加表!P13-股权价值增加表!P14</f>
        <v>-100</v>
      </c>
      <c r="Q20" s="26">
        <f>股权价值增加表!Q13-股权价值增加表!Q14</f>
        <v>1758.81</v>
      </c>
      <c r="R20" s="26">
        <f>股权价值增加表!R13-股权价值增加表!R14</f>
        <v>1758.81</v>
      </c>
      <c r="S20" s="26">
        <f>股权价值增加表!S13-股权价值增加表!S14</f>
        <v>54545.179999999993</v>
      </c>
      <c r="T20" s="26">
        <f>股权价值增加表!T13-股权价值增加表!T14</f>
        <v>58499.009999999995</v>
      </c>
      <c r="U20" s="26">
        <f>股权价值增加表!U13-股权价值增加表!U14</f>
        <v>16011455.219999999</v>
      </c>
      <c r="V20" s="26">
        <f>股权价值增加表!V13-股权价值增加表!V14</f>
        <v>16018933.859999999</v>
      </c>
      <c r="W20" s="26">
        <f>股权价值增加表!W13-股权价值增加表!W14</f>
        <v>13885881.68</v>
      </c>
      <c r="X20" s="26">
        <f>股权价值增加表!X13-股权价值增加表!X14</f>
        <v>-15566</v>
      </c>
      <c r="Y20" s="26">
        <f>股权价值增加表!Y13-股权价值增加表!Y14</f>
        <v>13178573.35</v>
      </c>
      <c r="Z20" s="26">
        <f>股权价值增加表!Z13-股权价值增加表!Z14</f>
        <v>11492421.130000001</v>
      </c>
      <c r="AA20" s="26">
        <f>股权价值增加表!AA13-股权价值增加表!AA14</f>
        <v>11452062.789999999</v>
      </c>
      <c r="AB20" s="26">
        <f>股权价值增加表!AB13-股权价值增加表!AB14</f>
        <v>190092.79</v>
      </c>
      <c r="AC20" s="26">
        <f>股权价值增加表!AC13-股权价值增加表!AC14</f>
        <v>13749634.630000001</v>
      </c>
      <c r="AD20" s="26">
        <f>股权价值增加表!AD13-股权价值增加表!AD14</f>
        <v>651341.48</v>
      </c>
      <c r="AE20" s="26">
        <f>股权价值增加表!AE13-股权价值增加表!AE14</f>
        <v>636091.5</v>
      </c>
      <c r="AF20" s="26">
        <f>股权价值增加表!AF13-股权价值增加表!AF14</f>
        <v>636091.5</v>
      </c>
      <c r="AG20" s="26">
        <f>股权价值增加表!AG13-股权价值增加表!AG14</f>
        <v>3341805.3</v>
      </c>
      <c r="AH20" s="26">
        <f>股权价值增加表!AH13-股权价值增加表!AH14</f>
        <v>2480614</v>
      </c>
      <c r="AI20" s="26">
        <f>股权价值增加表!AI13-股权价值增加表!AI14</f>
        <v>2203166</v>
      </c>
      <c r="AJ20" s="26">
        <f>股权价值增加表!AJ13-股权价值增加表!AJ14</f>
        <v>68900</v>
      </c>
      <c r="AK20" s="26">
        <f>股权价值增加表!AK13-股权价值增加表!AK14</f>
        <v>5271146.42</v>
      </c>
      <c r="AL20" s="26">
        <f>股权价值增加表!AL13-股权价值增加表!AL14</f>
        <v>160434.91</v>
      </c>
      <c r="AM20" s="26">
        <f>股权价值增加表!AM13-股权价值增加表!AM14</f>
        <v>155902</v>
      </c>
      <c r="AN20" s="26">
        <f>股权价值增加表!AN13-股权价值增加表!AN14</f>
        <v>65902</v>
      </c>
      <c r="AO20" s="26">
        <f>股权价值增加表!AO13-股权价值增加表!AO14</f>
        <v>10726685.65</v>
      </c>
      <c r="AP20" s="26">
        <f>股权价值增加表!AP13-股权价值增加表!AP14</f>
        <v>-75000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-8.2361858849565629E-3</v>
      </c>
      <c r="F21" s="57">
        <f t="shared" ref="F21:BQ21" si="21">F20/F2</f>
        <v>5.4945897828482165E-2</v>
      </c>
      <c r="G21" s="57">
        <f t="shared" si="21"/>
        <v>-6.0142467911847308E-4</v>
      </c>
      <c r="H21" s="57">
        <f t="shared" si="21"/>
        <v>-3.0894759641063416E-3</v>
      </c>
      <c r="I21" s="57">
        <f t="shared" si="21"/>
        <v>4.1620732733266708E-3</v>
      </c>
      <c r="J21" s="57">
        <f t="shared" si="21"/>
        <v>2.1440252749677442E-3</v>
      </c>
      <c r="K21" s="57">
        <f t="shared" si="21"/>
        <v>2.3434930278539933E-3</v>
      </c>
      <c r="L21" s="57">
        <f t="shared" si="21"/>
        <v>3.8050767150179859E-4</v>
      </c>
      <c r="M21" s="57">
        <f t="shared" si="21"/>
        <v>-6.3698198691402421E-3</v>
      </c>
      <c r="N21" s="57">
        <f t="shared" si="21"/>
        <v>-5.9925505763638035E-6</v>
      </c>
      <c r="O21" s="57">
        <f t="shared" si="21"/>
        <v>-7.0415622785363906E-6</v>
      </c>
      <c r="P21" s="57">
        <f t="shared" si="21"/>
        <v>-6.5159932208070468E-7</v>
      </c>
      <c r="Q21" s="57">
        <f t="shared" si="21"/>
        <v>3.6985435228238407E-6</v>
      </c>
      <c r="R21" s="57">
        <f t="shared" si="21"/>
        <v>5.1330020374533459E-6</v>
      </c>
      <c r="S21" s="57">
        <f t="shared" si="21"/>
        <v>3.3883151160971954E-4</v>
      </c>
      <c r="T21" s="57">
        <f t="shared" si="21"/>
        <v>7.6479167258227234E-4</v>
      </c>
      <c r="U21" s="57">
        <f t="shared" si="21"/>
        <v>3.9548059530034908E-2</v>
      </c>
      <c r="V21" s="57">
        <f t="shared" si="21"/>
        <v>5.3515265237214366E-2</v>
      </c>
      <c r="W21" s="57">
        <f t="shared" si="21"/>
        <v>6.8868245391904101E-2</v>
      </c>
      <c r="X21" s="57">
        <f t="shared" si="21"/>
        <v>-1.7645271044745134E-4</v>
      </c>
      <c r="Y21" s="57">
        <f t="shared" si="21"/>
        <v>3.5716369063340352E-2</v>
      </c>
      <c r="Z21" s="57">
        <f t="shared" si="21"/>
        <v>4.3578200100221384E-2</v>
      </c>
      <c r="AA21" s="57">
        <f t="shared" si="21"/>
        <v>6.8310381180247001E-2</v>
      </c>
      <c r="AB21" s="57">
        <f t="shared" si="21"/>
        <v>2.7007035318522311E-3</v>
      </c>
      <c r="AC21" s="57">
        <f t="shared" si="21"/>
        <v>3.2136204961060948E-2</v>
      </c>
      <c r="AD21" s="57">
        <f t="shared" si="21"/>
        <v>2.2532315685149305E-3</v>
      </c>
      <c r="AE21" s="57">
        <f t="shared" si="21"/>
        <v>3.6134209947915239E-3</v>
      </c>
      <c r="AF21" s="57">
        <f t="shared" si="21"/>
        <v>8.767498410875537E-3</v>
      </c>
      <c r="AG21" s="57">
        <f t="shared" si="21"/>
        <v>1.0899519580287755E-2</v>
      </c>
      <c r="AH21" s="57">
        <f t="shared" si="21"/>
        <v>1.087737644396166E-2</v>
      </c>
      <c r="AI21" s="57">
        <f t="shared" si="21"/>
        <v>1.5925933311365381E-2</v>
      </c>
      <c r="AJ21" s="57">
        <f t="shared" si="21"/>
        <v>1.1409290326888986E-3</v>
      </c>
      <c r="AK21" s="57">
        <f t="shared" si="21"/>
        <v>2.2300450479791914E-2</v>
      </c>
      <c r="AL21" s="57">
        <f t="shared" si="21"/>
        <v>1.0112695084403573E-3</v>
      </c>
      <c r="AM21" s="57">
        <f t="shared" si="21"/>
        <v>1.6117407095779521E-3</v>
      </c>
      <c r="AN21" s="57">
        <f t="shared" si="21"/>
        <v>1.4430704966542736E-3</v>
      </c>
      <c r="AO21" s="57">
        <f t="shared" si="21"/>
        <v>3.753571753769247E-2</v>
      </c>
      <c r="AP21" s="57">
        <f t="shared" si="21"/>
        <v>-2.760491581132573E-4</v>
      </c>
      <c r="AQ21" s="57">
        <f t="shared" si="21"/>
        <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0.31227152593834812</v>
      </c>
      <c r="F22" s="66">
        <f t="shared" ref="F22:BQ22" si="23">F11+F13+F15+F17+F19+F21</f>
        <v>0.30582498283984205</v>
      </c>
      <c r="G22" s="66">
        <f t="shared" si="23"/>
        <v>0.22074851807762669</v>
      </c>
      <c r="H22" s="66">
        <f t="shared" si="23"/>
        <v>0.20543198386338973</v>
      </c>
      <c r="I22" s="66">
        <f t="shared" si="23"/>
        <v>0.27854706734631235</v>
      </c>
      <c r="J22" s="66">
        <f t="shared" si="23"/>
        <v>0.27680009077879492</v>
      </c>
      <c r="K22" s="66">
        <f t="shared" si="23"/>
        <v>0.27788640200750842</v>
      </c>
      <c r="L22" s="66">
        <f t="shared" si="23"/>
        <v>0.247759811592864</v>
      </c>
      <c r="M22" s="66">
        <f t="shared" si="23"/>
        <v>0.28470901613479871</v>
      </c>
      <c r="N22" s="66">
        <f t="shared" si="23"/>
        <v>0.23310105075993945</v>
      </c>
      <c r="O22" s="66">
        <f t="shared" si="23"/>
        <v>0.26554063585912424</v>
      </c>
      <c r="P22" s="66">
        <f t="shared" si="23"/>
        <v>0.27777457530466959</v>
      </c>
      <c r="Q22" s="66">
        <f t="shared" si="23"/>
        <v>0.38375390994992153</v>
      </c>
      <c r="R22" s="66">
        <f t="shared" si="23"/>
        <v>0.36564853119817942</v>
      </c>
      <c r="S22" s="66">
        <f t="shared" si="23"/>
        <v>0.12408767708991868</v>
      </c>
      <c r="T22" s="66">
        <f t="shared" si="23"/>
        <v>0.11944312810493898</v>
      </c>
      <c r="U22" s="66">
        <f t="shared" si="23"/>
        <v>0.14315073999241987</v>
      </c>
      <c r="V22" s="66">
        <f t="shared" si="23"/>
        <v>0.1548372606144981</v>
      </c>
      <c r="W22" s="66">
        <f t="shared" si="23"/>
        <v>0.17256411042639674</v>
      </c>
      <c r="X22" s="66">
        <f t="shared" si="23"/>
        <v>0.1112021995108084</v>
      </c>
      <c r="Y22" s="66">
        <f t="shared" si="23"/>
        <v>0.1421366785369193</v>
      </c>
      <c r="Z22" s="66">
        <f t="shared" si="23"/>
        <v>0.14536844092983564</v>
      </c>
      <c r="AA22" s="66">
        <f t="shared" si="23"/>
        <v>0.1688494040497231</v>
      </c>
      <c r="AB22" s="66">
        <f t="shared" si="23"/>
        <v>0.1254922752357564</v>
      </c>
      <c r="AC22" s="66">
        <f t="shared" si="23"/>
        <v>0.1148466196766128</v>
      </c>
      <c r="AD22" s="66">
        <f t="shared" si="23"/>
        <v>8.2564374481329403E-2</v>
      </c>
      <c r="AE22" s="66">
        <f t="shared" si="23"/>
        <v>9.1349009669664805E-2</v>
      </c>
      <c r="AF22" s="66">
        <f t="shared" si="23"/>
        <v>0.11052201373606411</v>
      </c>
      <c r="AG22" s="66">
        <f t="shared" si="23"/>
        <v>0.10608565321510022</v>
      </c>
      <c r="AH22" s="66">
        <f t="shared" si="23"/>
        <v>0.11133354360946962</v>
      </c>
      <c r="AI22" s="66">
        <f t="shared" si="23"/>
        <v>0.13832513997923024</v>
      </c>
      <c r="AJ22" s="66">
        <f t="shared" si="23"/>
        <v>0.18974485539993027</v>
      </c>
      <c r="AK22" s="66">
        <f t="shared" si="23"/>
        <v>9.4508350135026647E-2</v>
      </c>
      <c r="AL22" s="66">
        <f t="shared" si="23"/>
        <v>7.0444729693840108E-2</v>
      </c>
      <c r="AM22" s="66">
        <f t="shared" si="23"/>
        <v>7.9668211566207098E-2</v>
      </c>
      <c r="AN22" s="66">
        <f t="shared" si="23"/>
        <v>6.9888354140807601E-2</v>
      </c>
      <c r="AO22" s="66">
        <f t="shared" si="23"/>
        <v>9.4117354652492324E-2</v>
      </c>
      <c r="AP22" s="66">
        <f t="shared" si="23"/>
        <v>5.0881912273274779E-2</v>
      </c>
      <c r="AQ22" s="66">
        <f t="shared" si="23"/>
        <v>3.7211138244224201E-2</v>
      </c>
      <c r="AR22" s="66" t="e">
        <f t="shared" si="23"/>
        <v>#DIV/0!</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893972471.34526575</v>
      </c>
      <c r="F23" s="27">
        <f>股权价值增加表!F17</f>
        <v>970042026.88784456</v>
      </c>
      <c r="G23" s="27">
        <f>股权价值增加表!G17</f>
        <v>614205755.86990547</v>
      </c>
      <c r="H23" s="27">
        <f>股权价值增加表!H17</f>
        <v>228811837.68213046</v>
      </c>
      <c r="I23" s="27">
        <f>股权价值增加表!I17</f>
        <v>524466049.61863112</v>
      </c>
      <c r="J23" s="27">
        <f>股权价值增加表!J17</f>
        <v>341312590.04703867</v>
      </c>
      <c r="K23" s="27">
        <f>股权价值增加表!K17</f>
        <v>348137742.58094233</v>
      </c>
      <c r="L23" s="27">
        <f>股权价值增加表!L17</f>
        <v>130379622.59921755</v>
      </c>
      <c r="M23" s="27">
        <f>股权价值增加表!M17</f>
        <v>364053531.48613542</v>
      </c>
      <c r="N23" s="27">
        <f>股权价值增加表!N17</f>
        <v>254738187.6645993</v>
      </c>
      <c r="O23" s="27">
        <f>股权价值增加表!O17</f>
        <v>147481739.49270242</v>
      </c>
      <c r="P23" s="27">
        <f>股权价值增加表!P17</f>
        <v>72618930.567707062</v>
      </c>
      <c r="Q23" s="27">
        <f>股权价值增加表!Q17</f>
        <v>198113599.58332843</v>
      </c>
      <c r="R23" s="27">
        <f>股权价值增加表!R17</f>
        <v>139025780.93039817</v>
      </c>
      <c r="S23" s="27">
        <f>股权价值增加表!S17</f>
        <v>7305324.8667988032</v>
      </c>
      <c r="T23" s="27">
        <f>股权价值增加表!T17</f>
        <v>-187632.66881226003</v>
      </c>
      <c r="U23" s="27">
        <f>股权价值增加表!U17</f>
        <v>34469979.068215109</v>
      </c>
      <c r="V23" s="27">
        <f>股权价值增加表!V17</f>
        <v>29807169.253464658</v>
      </c>
      <c r="W23" s="27">
        <f>股权价值增加表!W17</f>
        <v>22778015.608148336</v>
      </c>
      <c r="X23" s="27">
        <f>股权价值增加表!X17</f>
        <v>-158291.00168730319</v>
      </c>
      <c r="Y23" s="27">
        <f>股权价值增加表!Y17</f>
        <v>39421800.902941026</v>
      </c>
      <c r="Z23" s="27">
        <f>股权价值增加表!Z17</f>
        <v>30225036.967283081</v>
      </c>
      <c r="AA23" s="27">
        <f>股权价值增加表!AA17</f>
        <v>21403093.800918438</v>
      </c>
      <c r="AB23" s="27">
        <f>股权价值增加表!AB17</f>
        <v>5091216.4922915418</v>
      </c>
      <c r="AC23" s="27">
        <f>股权价值增加表!AC17</f>
        <v>46481825.233674712</v>
      </c>
      <c r="AD23" s="27">
        <f>股权价值增加表!AD17</f>
        <v>23976558.034958906</v>
      </c>
      <c r="AE23" s="27">
        <f>股权价值增加表!AE17</f>
        <v>13628314.673694924</v>
      </c>
      <c r="AF23" s="27">
        <f>股权价值增加表!AF17</f>
        <v>3412102.9511741707</v>
      </c>
      <c r="AG23" s="27">
        <f>股权价值增加表!AG17</f>
        <v>20913039.063795194</v>
      </c>
      <c r="AH23" s="27">
        <f>股权价值增加表!AH17</f>
        <v>15263969.321372442</v>
      </c>
      <c r="AI23" s="27">
        <f>股权价值增加表!AI17</f>
        <v>7368066.0027763676</v>
      </c>
      <c r="AJ23" s="27">
        <f>股权价值增加表!AJ17</f>
        <v>-1120859.6429304138</v>
      </c>
      <c r="AK23" s="27">
        <f>股权价值增加表!AK17</f>
        <v>35733481.795749448</v>
      </c>
      <c r="AL23" s="27">
        <f>股权价值增加表!AL17</f>
        <v>19919054.695785802</v>
      </c>
      <c r="AM23" s="27">
        <f>股权价值增加表!AM17</f>
        <v>11260129.944566131</v>
      </c>
      <c r="AN23" s="27">
        <f>股权价值增加表!AN17</f>
        <v>4471339.7088936055</v>
      </c>
      <c r="AO23" s="27">
        <f>股权价值增加表!AO17</f>
        <v>41794916.271918319</v>
      </c>
      <c r="AP23" s="27">
        <f>股权价值增加表!AP17</f>
        <v>34646493.76054465</v>
      </c>
      <c r="AQ23" s="27">
        <f>股权价值增加表!AQ17</f>
        <v>28680913.156095941</v>
      </c>
      <c r="AR23" s="27" t="e">
        <f>股权价值增加表!AR17</f>
        <v>#DIV/0!</v>
      </c>
      <c r="AS23" s="27">
        <f>股权价值增加表!AS17</f>
        <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0.28825036401876264</v>
      </c>
      <c r="F24" s="57">
        <f t="shared" ref="F24:BQ24" si="25">F23/F2</f>
        <v>0.4336057229905107</v>
      </c>
      <c r="G24" s="57">
        <f t="shared" si="25"/>
        <v>0.38649581044977499</v>
      </c>
      <c r="H24" s="57">
        <f t="shared" si="25"/>
        <v>0.35772354332332112</v>
      </c>
      <c r="I24" s="57">
        <f t="shared" si="25"/>
        <v>0.31314011615825504</v>
      </c>
      <c r="J24" s="57">
        <f t="shared" si="25"/>
        <v>0.26056151959910862</v>
      </c>
      <c r="K24" s="57">
        <f t="shared" si="25"/>
        <v>0.40536464276950562</v>
      </c>
      <c r="L24" s="57">
        <f t="shared" si="25"/>
        <v>0.29103181086042534</v>
      </c>
      <c r="M24" s="57">
        <f t="shared" si="25"/>
        <v>0.38694209195165935</v>
      </c>
      <c r="N24" s="57">
        <f t="shared" si="25"/>
        <v>0.48182622207781195</v>
      </c>
      <c r="O24" s="57">
        <f t="shared" si="25"/>
        <v>0.4619177016620753</v>
      </c>
      <c r="P24" s="57">
        <f t="shared" si="25"/>
        <v>0.47318445928143682</v>
      </c>
      <c r="Q24" s="57">
        <f t="shared" si="25"/>
        <v>0.41660655245435002</v>
      </c>
      <c r="R24" s="57">
        <f t="shared" si="25"/>
        <v>0.40574002693541444</v>
      </c>
      <c r="S24" s="57">
        <f t="shared" si="25"/>
        <v>4.5380256649946188E-2</v>
      </c>
      <c r="T24" s="57">
        <f t="shared" si="25"/>
        <v>-2.4530313010767859E-3</v>
      </c>
      <c r="U24" s="57">
        <f t="shared" si="25"/>
        <v>8.5140342677036726E-2</v>
      </c>
      <c r="V24" s="57">
        <f t="shared" si="25"/>
        <v>9.9578322909044212E-2</v>
      </c>
      <c r="W24" s="57">
        <f t="shared" si="25"/>
        <v>0.11296956178893362</v>
      </c>
      <c r="X24" s="57">
        <f t="shared" si="25"/>
        <v>-1.7943515538459938E-3</v>
      </c>
      <c r="Y24" s="57">
        <f t="shared" si="25"/>
        <v>0.10684036525023141</v>
      </c>
      <c r="Z24" s="57">
        <f t="shared" si="25"/>
        <v>0.11461055021369987</v>
      </c>
      <c r="AA24" s="57">
        <f t="shared" si="25"/>
        <v>0.12766726159185862</v>
      </c>
      <c r="AB24" s="57">
        <f t="shared" si="25"/>
        <v>7.2332392839076609E-2</v>
      </c>
      <c r="AC24" s="57">
        <f t="shared" si="25"/>
        <v>0.1086392113587083</v>
      </c>
      <c r="AD24" s="57">
        <f t="shared" si="25"/>
        <v>8.2943800030515047E-2</v>
      </c>
      <c r="AE24" s="57">
        <f t="shared" si="25"/>
        <v>7.741785319494858E-2</v>
      </c>
      <c r="AF24" s="57">
        <f t="shared" si="25"/>
        <v>4.7030352083251022E-2</v>
      </c>
      <c r="AG24" s="57">
        <f t="shared" si="25"/>
        <v>6.8209263645359119E-2</v>
      </c>
      <c r="AH24" s="57">
        <f t="shared" si="25"/>
        <v>6.6931792023124131E-2</v>
      </c>
      <c r="AI24" s="57">
        <f t="shared" si="25"/>
        <v>5.3261228520209071E-2</v>
      </c>
      <c r="AJ24" s="57">
        <f t="shared" si="25"/>
        <v>-1.8560541483143997E-2</v>
      </c>
      <c r="AK24" s="57">
        <f t="shared" si="25"/>
        <v>0.15117636236267867</v>
      </c>
      <c r="AL24" s="57">
        <f t="shared" si="25"/>
        <v>0.12555579487534163</v>
      </c>
      <c r="AM24" s="57">
        <f t="shared" si="25"/>
        <v>0.11640908921498738</v>
      </c>
      <c r="AN24" s="57">
        <f t="shared" si="25"/>
        <v>9.7909902801479015E-2</v>
      </c>
      <c r="AO24" s="57">
        <f t="shared" si="25"/>
        <v>0.14625227427021997</v>
      </c>
      <c r="AP24" s="57">
        <f t="shared" si="25"/>
        <v>0.1275218057889943</v>
      </c>
      <c r="AQ24" s="57">
        <f t="shared" si="25"/>
        <v>0.13118515387243543</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3" t="s">
        <v>670</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5" thickBot="1" x14ac:dyDescent="0.3">
      <c r="A26" s="150" t="s">
        <v>600</v>
      </c>
      <c r="B26" s="151"/>
      <c r="C26" s="151"/>
      <c r="D26" s="151"/>
      <c r="E26" s="152">
        <f>POWER(E2/Y2,1/6)-1</f>
        <v>0.42591027160111006</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39447</v>
      </c>
      <c r="AQ27" s="1">
        <v>39082</v>
      </c>
      <c r="AR27" s="1">
        <v>25569</v>
      </c>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1008267334.5199999</v>
      </c>
      <c r="F28" s="26">
        <f>股权价值增加表!F15</f>
        <v>986056929.19000006</v>
      </c>
      <c r="G28" s="26">
        <f>股权价值增加表!G15</f>
        <v>611577095.58000004</v>
      </c>
      <c r="H28" s="26">
        <f>股权价值增加表!H15</f>
        <v>260698433.50000006</v>
      </c>
      <c r="I28" s="26">
        <f>股权价值增加表!I15</f>
        <v>540320982.07000005</v>
      </c>
      <c r="J28" s="26">
        <f>股权价值增加表!J15</f>
        <v>365946146.56999999</v>
      </c>
      <c r="K28" s="26">
        <f>股权价值增加表!K15</f>
        <v>224526011.31999996</v>
      </c>
      <c r="L28" s="26">
        <f>股权价值增加表!L15</f>
        <v>119339975.15999997</v>
      </c>
      <c r="M28" s="26">
        <f>股权价值增加表!M15</f>
        <v>366459128.94</v>
      </c>
      <c r="N28" s="26">
        <f>股权价值增加表!N15</f>
        <v>262207830.79999998</v>
      </c>
      <c r="O28" s="26">
        <f>股权价值增加表!O15</f>
        <v>151673557.15999994</v>
      </c>
      <c r="P28" s="26">
        <f>股权价值增加表!P15</f>
        <v>74834758.490000024</v>
      </c>
      <c r="Q28" s="26">
        <f>股权价值增加表!Q15</f>
        <v>208978666.72000003</v>
      </c>
      <c r="R28" s="26">
        <f>股权价值增加表!R15</f>
        <v>147311129.63999999</v>
      </c>
      <c r="S28" s="26">
        <f>股权价值增加表!S15</f>
        <v>6179983.3699999936</v>
      </c>
      <c r="T28" s="26">
        <f>股权价值增加表!T15</f>
        <v>6185311.4200000018</v>
      </c>
      <c r="U28" s="26">
        <f>股权价值增加表!U15</f>
        <v>47280076.240000024</v>
      </c>
      <c r="V28" s="26">
        <f>股权价值增加表!V15</f>
        <v>40255844.919999972</v>
      </c>
      <c r="W28" s="26">
        <f>股权价值增加表!W15</f>
        <v>35482864.219999991</v>
      </c>
      <c r="X28" s="26">
        <f>股权价值增加表!X15</f>
        <v>7299887.4299999997</v>
      </c>
      <c r="Y28" s="26">
        <f>股权价值增加表!Y15</f>
        <v>51037317.729999974</v>
      </c>
      <c r="Z28" s="26">
        <f>股权价值增加表!Z15</f>
        <v>38063130.790000007</v>
      </c>
      <c r="AA28" s="26">
        <f>股权价值增加表!AA15</f>
        <v>27403216.379999999</v>
      </c>
      <c r="AB28" s="26">
        <f>股权价值增加表!AB15</f>
        <v>6501613.4400000023</v>
      </c>
      <c r="AC28" s="26">
        <f>股权价值增加表!AC15</f>
        <v>58397158.770000018</v>
      </c>
      <c r="AD28" s="26">
        <f>股权价值增加表!AD15</f>
        <v>29871443.329999983</v>
      </c>
      <c r="AE28" s="26">
        <f>股权价值增加表!AE15</f>
        <v>17199883.610000018</v>
      </c>
      <c r="AF28" s="26">
        <f>股权价值增加表!AF15</f>
        <v>4404840.8299999954</v>
      </c>
      <c r="AG28" s="26">
        <f>股权价值增加表!AG15</f>
        <v>25700496.679999981</v>
      </c>
      <c r="AH28" s="26">
        <f>股权价值增加表!AH15</f>
        <v>19231742.749999985</v>
      </c>
      <c r="AI28" s="26">
        <f>股权价值增加表!AI15</f>
        <v>9203903.5000000112</v>
      </c>
      <c r="AJ28" s="26">
        <f>股权价值增加表!AJ15</f>
        <v>-1037155.4000000004</v>
      </c>
      <c r="AK28" s="26">
        <f>股权价值增加表!AK15</f>
        <v>44196216.980000012</v>
      </c>
      <c r="AL28" s="26">
        <f>股权价值增加表!AL15</f>
        <v>24896417.70999999</v>
      </c>
      <c r="AM28" s="26">
        <f>股权价值增加表!AM15</f>
        <v>14108744.459999997</v>
      </c>
      <c r="AN28" s="26">
        <f>股权价值增加表!AN15</f>
        <v>5540763.7500000037</v>
      </c>
      <c r="AO28" s="26">
        <f>股权价值增加表!AO15</f>
        <v>46232557.270000011</v>
      </c>
      <c r="AP28" s="26">
        <f>股权价值增加表!AP15</f>
        <v>39528613.439999983</v>
      </c>
      <c r="AQ28" s="26">
        <f>股权价值增加表!AQ15</f>
        <v>32585697.729999986</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5" t="s">
        <v>378</v>
      </c>
      <c r="E29" s="59">
        <f t="shared" ref="E29:AJ29" si="27">E28/E34</f>
        <v>1.0775294578345354</v>
      </c>
      <c r="F29" s="59">
        <f t="shared" si="27"/>
        <v>1.4081499261256183</v>
      </c>
      <c r="G29" s="59">
        <f t="shared" si="27"/>
        <v>1.3011477295108445</v>
      </c>
      <c r="H29" s="59">
        <f t="shared" si="27"/>
        <v>2.1598302584452935</v>
      </c>
      <c r="I29" s="59">
        <f t="shared" si="27"/>
        <v>0.66456375473836637</v>
      </c>
      <c r="J29" s="59">
        <f t="shared" si="27"/>
        <v>1.4438712186324507</v>
      </c>
      <c r="K29" s="59">
        <f t="shared" si="27"/>
        <v>-13.111529106249142</v>
      </c>
      <c r="L29" s="59">
        <f t="shared" si="27"/>
        <v>-3.97654662302608</v>
      </c>
      <c r="M29" s="59">
        <f t="shared" si="27"/>
        <v>0.49408747638955669</v>
      </c>
      <c r="N29" s="59">
        <f t="shared" si="27"/>
        <v>0.99860046489457088</v>
      </c>
      <c r="O29" s="59">
        <f t="shared" si="27"/>
        <v>0.99295172260927056</v>
      </c>
      <c r="P29" s="59">
        <f t="shared" si="27"/>
        <v>0.99693269310726851</v>
      </c>
      <c r="Q29" s="59">
        <f t="shared" si="27"/>
        <v>0.50762511698638324</v>
      </c>
      <c r="R29" s="59">
        <f t="shared" si="27"/>
        <v>0.48455267703680854</v>
      </c>
      <c r="S29" s="59">
        <f t="shared" si="27"/>
        <v>1</v>
      </c>
      <c r="T29" s="59">
        <f t="shared" si="27"/>
        <v>1</v>
      </c>
      <c r="U29" s="59">
        <f t="shared" si="27"/>
        <v>1.000016717046069</v>
      </c>
      <c r="V29" s="59">
        <f t="shared" si="27"/>
        <v>1</v>
      </c>
      <c r="W29" s="59">
        <f t="shared" si="27"/>
        <v>1</v>
      </c>
      <c r="X29" s="59">
        <f t="shared" si="27"/>
        <v>1</v>
      </c>
      <c r="Y29" s="59">
        <f t="shared" si="27"/>
        <v>1.0000075733393612</v>
      </c>
      <c r="Z29" s="59">
        <f t="shared" si="27"/>
        <v>1</v>
      </c>
      <c r="AA29" s="59">
        <f t="shared" si="27"/>
        <v>1</v>
      </c>
      <c r="AB29" s="59">
        <f t="shared" si="27"/>
        <v>1</v>
      </c>
      <c r="AC29" s="59">
        <f t="shared" si="27"/>
        <v>1</v>
      </c>
      <c r="AD29" s="59">
        <f t="shared" si="27"/>
        <v>1</v>
      </c>
      <c r="AE29" s="59">
        <f t="shared" si="27"/>
        <v>1</v>
      </c>
      <c r="AF29" s="59">
        <f t="shared" si="27"/>
        <v>1</v>
      </c>
      <c r="AG29" s="59">
        <f t="shared" si="27"/>
        <v>1</v>
      </c>
      <c r="AH29" s="59">
        <f t="shared" si="27"/>
        <v>1</v>
      </c>
      <c r="AI29" s="59">
        <f t="shared" si="27"/>
        <v>1</v>
      </c>
      <c r="AJ29" s="59">
        <f t="shared" si="27"/>
        <v>1</v>
      </c>
      <c r="AK29" s="59">
        <f t="shared" ref="AK29:BP29" si="28">AK28/AK34</f>
        <v>1</v>
      </c>
      <c r="AL29" s="59">
        <f t="shared" si="28"/>
        <v>1</v>
      </c>
      <c r="AM29" s="59">
        <f t="shared" si="28"/>
        <v>1</v>
      </c>
      <c r="AN29" s="59">
        <f t="shared" si="28"/>
        <v>1</v>
      </c>
      <c r="AO29" s="59">
        <f t="shared" si="28"/>
        <v>1</v>
      </c>
      <c r="AP29" s="59">
        <f t="shared" si="28"/>
        <v>1</v>
      </c>
      <c r="AQ29" s="59">
        <f t="shared" si="28"/>
        <v>1</v>
      </c>
      <c r="AR29" s="59" t="e">
        <f t="shared" si="28"/>
        <v>#DIV/0!</v>
      </c>
      <c r="AS29" s="59">
        <f t="shared" si="28"/>
        <v>0</v>
      </c>
      <c r="AT29" s="59">
        <f t="shared" si="28"/>
        <v>0</v>
      </c>
      <c r="AU29" s="59">
        <f t="shared" si="28"/>
        <v>0</v>
      </c>
      <c r="AV29" s="59">
        <f t="shared" si="28"/>
        <v>0</v>
      </c>
      <c r="AW29" s="59">
        <f t="shared" si="28"/>
        <v>0</v>
      </c>
      <c r="AX29" s="59">
        <f t="shared" si="28"/>
        <v>0</v>
      </c>
      <c r="AY29" s="59">
        <f t="shared" si="28"/>
        <v>0</v>
      </c>
      <c r="AZ29" s="59">
        <f t="shared" si="28"/>
        <v>0</v>
      </c>
      <c r="BA29" s="59">
        <f t="shared" si="28"/>
        <v>0</v>
      </c>
      <c r="BB29" s="59">
        <f t="shared" si="28"/>
        <v>0</v>
      </c>
      <c r="BC29" s="59">
        <f t="shared" si="28"/>
        <v>0</v>
      </c>
      <c r="BD29" s="59" t="e">
        <f t="shared" si="28"/>
        <v>#DIV/0!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42402449.289999999</v>
      </c>
      <c r="F30" s="26">
        <f>股权价值增加表!F20</f>
        <v>19651361.809999999</v>
      </c>
      <c r="G30" s="26">
        <f>股权价值增加表!G20</f>
        <v>-8626850.9100000001</v>
      </c>
      <c r="H30" s="26">
        <f>股权价值增加表!H20</f>
        <v>0</v>
      </c>
      <c r="I30" s="26">
        <f>股权价值增加表!I20</f>
        <v>-12823244.01</v>
      </c>
      <c r="J30" s="26">
        <f>股权价值增加表!J20</f>
        <v>-10076555.49</v>
      </c>
      <c r="K30" s="26">
        <f>股权价值增加表!K20</f>
        <v>4595156.3</v>
      </c>
      <c r="L30" s="26">
        <f>股权价值增加表!L20</f>
        <v>-5178734.26</v>
      </c>
      <c r="M30" s="26">
        <f>股权价值增加表!M20</f>
        <v>37387981.030000001</v>
      </c>
      <c r="N30" s="26">
        <f>股权价值增加表!N20</f>
        <v>0</v>
      </c>
      <c r="O30" s="26">
        <f>股权价值增加表!O20</f>
        <v>-1915777.35</v>
      </c>
      <c r="P30" s="26">
        <f>股权价值增加表!P20</f>
        <v>-580264.26</v>
      </c>
      <c r="Q30" s="26">
        <f>股权价值增加表!Q20</f>
        <v>-1525873.72</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5" t="s">
        <v>379</v>
      </c>
      <c r="E31" s="59">
        <f>E30/E34</f>
        <v>4.5315251848421133E-2</v>
      </c>
      <c r="F31" s="59">
        <f t="shared" ref="F31:BQ31" si="30">F30/F34</f>
        <v>2.8063352999051088E-2</v>
      </c>
      <c r="G31" s="59">
        <f t="shared" si="30"/>
        <v>-1.835387158135773E-2</v>
      </c>
      <c r="H31" s="59">
        <f t="shared" si="30"/>
        <v>0</v>
      </c>
      <c r="I31" s="59">
        <f t="shared" si="30"/>
        <v>-1.5771853157662191E-2</v>
      </c>
      <c r="J31" s="59">
        <f t="shared" si="30"/>
        <v>-3.9757894956220723E-2</v>
      </c>
      <c r="K31" s="59">
        <f t="shared" si="30"/>
        <v>-0.26834096067980745</v>
      </c>
      <c r="L31" s="59">
        <f t="shared" si="30"/>
        <v>0.17256144226226491</v>
      </c>
      <c r="M31" s="59">
        <f t="shared" si="30"/>
        <v>5.0409259138521484E-2</v>
      </c>
      <c r="N31" s="59">
        <f t="shared" si="30"/>
        <v>0</v>
      </c>
      <c r="O31" s="59">
        <f t="shared" si="30"/>
        <v>-1.2541898900753152E-2</v>
      </c>
      <c r="P31" s="59">
        <f t="shared" si="30"/>
        <v>-7.7301567227346327E-3</v>
      </c>
      <c r="Q31" s="59">
        <f t="shared" si="30"/>
        <v>-3.7064636203237794E-3</v>
      </c>
      <c r="R31" s="59">
        <f t="shared" si="30"/>
        <v>0</v>
      </c>
      <c r="S31" s="59">
        <f t="shared" si="30"/>
        <v>0</v>
      </c>
      <c r="T31" s="59">
        <f t="shared" si="30"/>
        <v>0</v>
      </c>
      <c r="U31" s="59">
        <f t="shared" si="30"/>
        <v>0</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t="e">
        <f t="shared" si="30"/>
        <v>#DIV/0!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t="e">
        <f t="shared" si="30"/>
        <v>#DIV/0!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-114948419.36000007</v>
      </c>
      <c r="F32" s="26">
        <f>股权价值增加表!F27</f>
        <v>-305458331.18000001</v>
      </c>
      <c r="G32" s="26">
        <f>股权价值增加表!G27</f>
        <v>-132921298.91</v>
      </c>
      <c r="H32" s="26">
        <f>股权价值增加表!H27</f>
        <v>-139995228.94</v>
      </c>
      <c r="I32" s="26">
        <f>股权价值增加表!I27</f>
        <v>285548381.62</v>
      </c>
      <c r="J32" s="26">
        <f>股权价值增加表!J27</f>
        <v>-102421678.38</v>
      </c>
      <c r="K32" s="26">
        <f>股权价值增加表!K27</f>
        <v>-246245486.94999999</v>
      </c>
      <c r="L32" s="26">
        <f>股权价值增加表!L27</f>
        <v>-144172199.27000001</v>
      </c>
      <c r="M32" s="26">
        <f>股权价值增加表!M27</f>
        <v>337841652.55000001</v>
      </c>
      <c r="N32" s="26">
        <f>股权价值增加表!N27</f>
        <v>367483.37000000011</v>
      </c>
      <c r="O32" s="26">
        <f>股权价值增加表!O27</f>
        <v>2992403.01</v>
      </c>
      <c r="P32" s="26">
        <f>股权价值增加表!P27</f>
        <v>810511.67</v>
      </c>
      <c r="Q32" s="26">
        <f>股权价值增加表!Q27</f>
        <v>204226337.38</v>
      </c>
      <c r="R32" s="26">
        <f>股权价值增加表!R27</f>
        <v>156703555.69999999</v>
      </c>
      <c r="S32" s="26">
        <f>股权价值增加表!S27</f>
        <v>0</v>
      </c>
      <c r="T32" s="26">
        <f>股权价值增加表!T27</f>
        <v>0</v>
      </c>
      <c r="U32" s="26">
        <f>股权价值增加表!U27</f>
        <v>-790.37</v>
      </c>
      <c r="V32" s="26">
        <f>股权价值增加表!V27</f>
        <v>0</v>
      </c>
      <c r="W32" s="26">
        <f>股权价值增加表!W27</f>
        <v>0</v>
      </c>
      <c r="X32" s="26">
        <f>股权价值增加表!X27</f>
        <v>0</v>
      </c>
      <c r="Y32" s="26">
        <f>股权价值增加表!Y27</f>
        <v>-386.52</v>
      </c>
      <c r="Z32" s="26">
        <f>股权价值增加表!Z27</f>
        <v>0</v>
      </c>
      <c r="AA32" s="26">
        <f>股权价值增加表!AA27</f>
        <v>0</v>
      </c>
      <c r="AB32" s="26">
        <f>股权价值增加表!AB27</f>
        <v>0</v>
      </c>
      <c r="AC32" s="26">
        <f>股权价值增加表!AC27</f>
        <v>0</v>
      </c>
      <c r="AD32" s="26">
        <f>股权价值增加表!AD27</f>
        <v>0</v>
      </c>
      <c r="AE32" s="26">
        <f>股权价值增加表!AE27</f>
        <v>0</v>
      </c>
      <c r="AF32" s="26">
        <f>股权价值增加表!AF27</f>
        <v>0</v>
      </c>
      <c r="AG32" s="26">
        <f>股权价值增加表!AG27</f>
        <v>0</v>
      </c>
      <c r="AH32" s="26">
        <f>股权价值增加表!AH27</f>
        <v>0</v>
      </c>
      <c r="AI32" s="26">
        <f>股权价值增加表!AI27</f>
        <v>0</v>
      </c>
      <c r="AJ32" s="26">
        <f>股权价值增加表!AJ27</f>
        <v>0</v>
      </c>
      <c r="AK32" s="26">
        <f>股权价值增加表!AK27</f>
        <v>0</v>
      </c>
      <c r="AL32" s="26">
        <f>股权价值增加表!AL27</f>
        <v>0</v>
      </c>
      <c r="AM32" s="26">
        <f>股权价值增加表!AM27</f>
        <v>0</v>
      </c>
      <c r="AN32" s="26">
        <f>股权价值增加表!AN27</f>
        <v>0</v>
      </c>
      <c r="AO32" s="26">
        <f>股权价值增加表!AO27</f>
        <v>0</v>
      </c>
      <c r="AP32" s="26">
        <f>股权价值增加表!AP27</f>
        <v>0</v>
      </c>
      <c r="AQ32" s="26">
        <f>股权价值增加表!AQ27</f>
        <v>0</v>
      </c>
      <c r="AR32" s="26">
        <f>股权价值增加表!AR27</f>
        <v>0</v>
      </c>
      <c r="AS32" s="26">
        <f>股权价值增加表!AS27</f>
        <v>3199582.46</v>
      </c>
      <c r="AT32" s="26">
        <f>股权价值增加表!AT27</f>
        <v>556604.28</v>
      </c>
      <c r="AU32" s="26">
        <f>股权价值增加表!AU27</f>
        <v>47918.79</v>
      </c>
      <c r="AV32" s="26">
        <f>股权价值增加表!AV27</f>
        <v>665864.48</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5" t="s">
        <v>380</v>
      </c>
      <c r="E33" s="59">
        <f>E32/E34</f>
        <v>-0.12284470968295641</v>
      </c>
      <c r="F33" s="59">
        <f t="shared" ref="F33:BQ33" si="32">F32/F34</f>
        <v>-0.43621327912466917</v>
      </c>
      <c r="G33" s="59">
        <f t="shared" si="32"/>
        <v>-0.28279385792948697</v>
      </c>
      <c r="H33" s="59">
        <f t="shared" si="32"/>
        <v>-1.1598302584452935</v>
      </c>
      <c r="I33" s="59">
        <f t="shared" si="32"/>
        <v>0.35120809841929579</v>
      </c>
      <c r="J33" s="59">
        <f t="shared" si="32"/>
        <v>-0.40411332367623004</v>
      </c>
      <c r="K33" s="59">
        <f t="shared" si="32"/>
        <v>14.37987006692895</v>
      </c>
      <c r="L33" s="59">
        <f t="shared" si="32"/>
        <v>4.8039851807638145</v>
      </c>
      <c r="M33" s="59">
        <f t="shared" si="32"/>
        <v>0.45550326447192185</v>
      </c>
      <c r="N33" s="59">
        <f t="shared" si="32"/>
        <v>1.3995351054291387E-3</v>
      </c>
      <c r="O33" s="59">
        <f t="shared" si="32"/>
        <v>1.9590176291482627E-2</v>
      </c>
      <c r="P33" s="59">
        <f t="shared" si="32"/>
        <v>1.0797463615466123E-2</v>
      </c>
      <c r="Q33" s="59">
        <f t="shared" si="32"/>
        <v>0.4960813466339406</v>
      </c>
      <c r="R33" s="59">
        <f t="shared" si="32"/>
        <v>0.5154473229631914</v>
      </c>
      <c r="S33" s="59">
        <f t="shared" si="32"/>
        <v>0</v>
      </c>
      <c r="T33" s="59">
        <f t="shared" si="32"/>
        <v>0</v>
      </c>
      <c r="U33" s="59">
        <f t="shared" si="32"/>
        <v>-1.6717046069037836E-5</v>
      </c>
      <c r="V33" s="59">
        <f t="shared" si="32"/>
        <v>0</v>
      </c>
      <c r="W33" s="59">
        <f t="shared" si="32"/>
        <v>0</v>
      </c>
      <c r="X33" s="59">
        <f t="shared" si="32"/>
        <v>0</v>
      </c>
      <c r="Y33" s="59">
        <f t="shared" si="32"/>
        <v>-7.5733393610520772E-6</v>
      </c>
      <c r="Z33" s="59">
        <f t="shared" si="32"/>
        <v>0</v>
      </c>
      <c r="AA33" s="59">
        <f t="shared" si="32"/>
        <v>0</v>
      </c>
      <c r="AB33" s="59">
        <f t="shared" si="32"/>
        <v>0</v>
      </c>
      <c r="AC33" s="59">
        <f t="shared" si="32"/>
        <v>0</v>
      </c>
      <c r="AD33" s="59">
        <f t="shared" si="32"/>
        <v>0</v>
      </c>
      <c r="AE33" s="59">
        <f t="shared" si="32"/>
        <v>0</v>
      </c>
      <c r="AF33" s="59">
        <f t="shared" si="32"/>
        <v>0</v>
      </c>
      <c r="AG33" s="59">
        <f t="shared" si="32"/>
        <v>0</v>
      </c>
      <c r="AH33" s="59">
        <f t="shared" si="32"/>
        <v>0</v>
      </c>
      <c r="AI33" s="59">
        <f t="shared" si="32"/>
        <v>0</v>
      </c>
      <c r="AJ33" s="59">
        <f t="shared" si="32"/>
        <v>0</v>
      </c>
      <c r="AK33" s="59">
        <f t="shared" si="32"/>
        <v>0</v>
      </c>
      <c r="AL33" s="59">
        <f t="shared" si="32"/>
        <v>0</v>
      </c>
      <c r="AM33" s="59">
        <f t="shared" si="32"/>
        <v>0</v>
      </c>
      <c r="AN33" s="59">
        <f t="shared" si="32"/>
        <v>0</v>
      </c>
      <c r="AO33" s="59">
        <f t="shared" si="32"/>
        <v>0</v>
      </c>
      <c r="AP33" s="59">
        <f t="shared" si="32"/>
        <v>0</v>
      </c>
      <c r="AQ33" s="59">
        <f t="shared" si="32"/>
        <v>0</v>
      </c>
      <c r="AR33" s="59" t="e">
        <f t="shared" si="32"/>
        <v>#DIV/0!</v>
      </c>
      <c r="AS33" s="59">
        <f t="shared" si="32"/>
        <v>1</v>
      </c>
      <c r="AT33" s="59">
        <f t="shared" si="32"/>
        <v>1</v>
      </c>
      <c r="AU33" s="59">
        <f t="shared" si="32"/>
        <v>1</v>
      </c>
      <c r="AV33" s="59">
        <f t="shared" si="32"/>
        <v>1</v>
      </c>
      <c r="AW33" s="59">
        <f t="shared" si="32"/>
        <v>1</v>
      </c>
      <c r="AX33" s="59">
        <f t="shared" si="32"/>
        <v>1</v>
      </c>
      <c r="AY33" s="59">
        <f t="shared" si="32"/>
        <v>1</v>
      </c>
      <c r="AZ33" s="59">
        <f t="shared" si="32"/>
        <v>1</v>
      </c>
      <c r="BA33" s="59">
        <f t="shared" si="32"/>
        <v>1</v>
      </c>
      <c r="BB33" s="59">
        <f t="shared" si="32"/>
        <v>1</v>
      </c>
      <c r="BC33" s="59">
        <f t="shared" si="32"/>
        <v>1</v>
      </c>
      <c r="BD33" s="59" t="e">
        <f t="shared" si="32"/>
        <v>#DIV/0!</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5" t="s">
        <v>376</v>
      </c>
      <c r="E34" s="58">
        <f>股权价值增加表!E31</f>
        <v>935721364.44999981</v>
      </c>
      <c r="F34" s="58">
        <f>股权价值增加表!F31</f>
        <v>700249959.81999993</v>
      </c>
      <c r="G34" s="58">
        <f>股权价值增加表!G31</f>
        <v>470028945.76000011</v>
      </c>
      <c r="H34" s="58">
        <f>股权价值增加表!H31</f>
        <v>120703204.56000006</v>
      </c>
      <c r="I34" s="58">
        <f>股权价值增加表!I31</f>
        <v>813046119.68000007</v>
      </c>
      <c r="J34" s="58">
        <f>股权价值增加表!J31</f>
        <v>253447912.69999999</v>
      </c>
      <c r="K34" s="58">
        <f>股权价值增加表!K31</f>
        <v>-17124319.330000013</v>
      </c>
      <c r="L34" s="58">
        <f>股权价值增加表!L31</f>
        <v>-30010958.370000049</v>
      </c>
      <c r="M34" s="58">
        <f>股权价值增加表!M31</f>
        <v>741688762.51999998</v>
      </c>
      <c r="N34" s="58">
        <f>股权价值增加表!N31</f>
        <v>262575314.16999999</v>
      </c>
      <c r="O34" s="58">
        <f>股权价值增加表!O31</f>
        <v>152750182.81999993</v>
      </c>
      <c r="P34" s="58">
        <f>股权价值增加表!P31</f>
        <v>75065005.900000021</v>
      </c>
      <c r="Q34" s="58">
        <f>股权价值增加表!Q31</f>
        <v>411679130.38</v>
      </c>
      <c r="R34" s="58">
        <f>股权价值增加表!R31</f>
        <v>304014685.33999997</v>
      </c>
      <c r="S34" s="58">
        <f>股权价值增加表!S31</f>
        <v>6179983.3699999936</v>
      </c>
      <c r="T34" s="58">
        <f>股权价值增加表!T31</f>
        <v>6185311.4200000018</v>
      </c>
      <c r="U34" s="58">
        <f>股权价值增加表!U31</f>
        <v>47279285.870000027</v>
      </c>
      <c r="V34" s="58">
        <f>股权价值增加表!V31</f>
        <v>40255844.919999972</v>
      </c>
      <c r="W34" s="58">
        <f>股权价值增加表!W31</f>
        <v>35482864.219999991</v>
      </c>
      <c r="X34" s="58">
        <f>股权价值增加表!X31</f>
        <v>7299887.4299999997</v>
      </c>
      <c r="Y34" s="58">
        <f>股权价值增加表!Y31</f>
        <v>51036931.209999971</v>
      </c>
      <c r="Z34" s="58">
        <f>股权价值增加表!Z31</f>
        <v>38063130.790000007</v>
      </c>
      <c r="AA34" s="58">
        <f>股权价值增加表!AA31</f>
        <v>27403216.379999999</v>
      </c>
      <c r="AB34" s="58">
        <f>股权价值增加表!AB31</f>
        <v>6501613.4400000023</v>
      </c>
      <c r="AC34" s="58">
        <f>股权价值增加表!AC31</f>
        <v>58397158.770000018</v>
      </c>
      <c r="AD34" s="58">
        <f>股权价值增加表!AD31</f>
        <v>29871443.329999983</v>
      </c>
      <c r="AE34" s="58">
        <f>股权价值增加表!AE31</f>
        <v>17199883.610000018</v>
      </c>
      <c r="AF34" s="58">
        <f>股权价值增加表!AF31</f>
        <v>4404840.8299999954</v>
      </c>
      <c r="AG34" s="58">
        <f>股权价值增加表!AG31</f>
        <v>25700496.679999981</v>
      </c>
      <c r="AH34" s="58">
        <f>股权价值增加表!AH31</f>
        <v>19231742.749999985</v>
      </c>
      <c r="AI34" s="58">
        <f>股权价值增加表!AI31</f>
        <v>9203903.5000000112</v>
      </c>
      <c r="AJ34" s="58">
        <f>股权价值增加表!AJ31</f>
        <v>-1037155.4000000004</v>
      </c>
      <c r="AK34" s="58">
        <f>股权价值增加表!AK31</f>
        <v>44196216.980000012</v>
      </c>
      <c r="AL34" s="58">
        <f>股权价值增加表!AL31</f>
        <v>24896417.70999999</v>
      </c>
      <c r="AM34" s="58">
        <f>股权价值增加表!AM31</f>
        <v>14108744.459999997</v>
      </c>
      <c r="AN34" s="58">
        <f>股权价值增加表!AN31</f>
        <v>5540763.7500000037</v>
      </c>
      <c r="AO34" s="58">
        <f>股权价值增加表!AO31</f>
        <v>46232557.270000011</v>
      </c>
      <c r="AP34" s="58">
        <f>股权价值增加表!AP31</f>
        <v>39528613.439999983</v>
      </c>
      <c r="AQ34" s="58">
        <f>股权价值增加表!AQ31</f>
        <v>32585697.729999986</v>
      </c>
      <c r="AR34" s="58">
        <f>股权价值增加表!AR31</f>
        <v>0</v>
      </c>
      <c r="AS34" s="58">
        <f>股权价值增加表!AS31</f>
        <v>3199582.46</v>
      </c>
      <c r="AT34" s="58">
        <f>股权价值增加表!AT31</f>
        <v>556604.28</v>
      </c>
      <c r="AU34" s="58">
        <f>股权价值增加表!AU31</f>
        <v>47918.79</v>
      </c>
      <c r="AV34" s="58">
        <f>股权价值增加表!AV31</f>
        <v>665864.48</v>
      </c>
      <c r="AW34" s="58">
        <f>股权价值增加表!AW31</f>
        <v>5051692.58</v>
      </c>
      <c r="AX34" s="58">
        <f>股权价值增加表!AX31</f>
        <v>2496157.7200000002</v>
      </c>
      <c r="AY34" s="58">
        <f>股权价值增加表!AY31</f>
        <v>1832311.81</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3" t="s">
        <v>677</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39447</v>
      </c>
      <c r="AQ38" s="1">
        <v>39082</v>
      </c>
      <c r="AR38" s="1">
        <v>25569</v>
      </c>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935721364.44999981</v>
      </c>
      <c r="F39" s="26">
        <f>股权价值增加表!F31</f>
        <v>700249959.81999993</v>
      </c>
      <c r="G39" s="26">
        <f>股权价值增加表!G31</f>
        <v>470028945.76000011</v>
      </c>
      <c r="H39" s="26">
        <f>股权价值增加表!H31</f>
        <v>120703204.56000006</v>
      </c>
      <c r="I39" s="26">
        <f>股权价值增加表!I31</f>
        <v>813046119.68000007</v>
      </c>
      <c r="J39" s="26">
        <f>股权价值增加表!J31</f>
        <v>253447912.69999999</v>
      </c>
      <c r="K39" s="26">
        <f>股权价值增加表!K31</f>
        <v>-17124319.330000013</v>
      </c>
      <c r="L39" s="26">
        <f>股权价值增加表!L31</f>
        <v>-30010958.370000049</v>
      </c>
      <c r="M39" s="26">
        <f>股权价值增加表!M31</f>
        <v>741688762.51999998</v>
      </c>
      <c r="N39" s="26">
        <f>股权价值增加表!N31</f>
        <v>262575314.16999999</v>
      </c>
      <c r="O39" s="26">
        <f>股权价值增加表!O31</f>
        <v>152750182.81999993</v>
      </c>
      <c r="P39" s="26">
        <f>股权价值增加表!P31</f>
        <v>75065005.900000021</v>
      </c>
      <c r="Q39" s="26">
        <f>股权价值增加表!Q31</f>
        <v>411679130.38</v>
      </c>
      <c r="R39" s="26">
        <f>股权价值增加表!R31</f>
        <v>304014685.33999997</v>
      </c>
      <c r="S39" s="26">
        <f>股权价值增加表!S31</f>
        <v>6179983.3699999936</v>
      </c>
      <c r="T39" s="26">
        <f>股权价值增加表!T31</f>
        <v>6185311.4200000018</v>
      </c>
      <c r="U39" s="26">
        <f>股权价值增加表!U31</f>
        <v>47279285.870000027</v>
      </c>
      <c r="V39" s="26">
        <f>股权价值增加表!V31</f>
        <v>40255844.919999972</v>
      </c>
      <c r="W39" s="26">
        <f>股权价值增加表!W31</f>
        <v>35482864.219999991</v>
      </c>
      <c r="X39" s="26">
        <f>股权价值增加表!X31</f>
        <v>7299887.4299999997</v>
      </c>
      <c r="Y39" s="26">
        <f>股权价值增加表!Y31</f>
        <v>51036931.209999971</v>
      </c>
      <c r="Z39" s="26">
        <f>股权价值增加表!Z31</f>
        <v>38063130.790000007</v>
      </c>
      <c r="AA39" s="26">
        <f>股权价值增加表!AA31</f>
        <v>27403216.379999999</v>
      </c>
      <c r="AB39" s="26">
        <f>股权价值增加表!AB31</f>
        <v>6501613.4400000023</v>
      </c>
      <c r="AC39" s="26">
        <f>股权价值增加表!AC31</f>
        <v>58397158.770000018</v>
      </c>
      <c r="AD39" s="26">
        <f>股权价值增加表!AD31</f>
        <v>29871443.329999983</v>
      </c>
      <c r="AE39" s="26">
        <f>股权价值增加表!AE31</f>
        <v>17199883.610000018</v>
      </c>
      <c r="AF39" s="26">
        <f>股权价值增加表!AF31</f>
        <v>4404840.8299999954</v>
      </c>
      <c r="AG39" s="26">
        <f>股权价值增加表!AG31</f>
        <v>25700496.679999981</v>
      </c>
      <c r="AH39" s="26">
        <f>股权价值增加表!AH31</f>
        <v>19231742.749999985</v>
      </c>
      <c r="AI39" s="26">
        <f>股权价值增加表!AI31</f>
        <v>9203903.5000000112</v>
      </c>
      <c r="AJ39" s="26">
        <f>股权价值增加表!AJ31</f>
        <v>-1037155.4000000004</v>
      </c>
      <c r="AK39" s="26">
        <f>股权价值增加表!AK31</f>
        <v>44196216.980000012</v>
      </c>
      <c r="AL39" s="26">
        <f>股权价值增加表!AL31</f>
        <v>24896417.70999999</v>
      </c>
      <c r="AM39" s="26">
        <f>股权价值增加表!AM31</f>
        <v>14108744.459999997</v>
      </c>
      <c r="AN39" s="26">
        <f>股权价值增加表!AN31</f>
        <v>5540763.7500000037</v>
      </c>
      <c r="AO39" s="26">
        <f>股权价值增加表!AO31</f>
        <v>46232557.270000011</v>
      </c>
      <c r="AP39" s="26">
        <f>股权价值增加表!AP31</f>
        <v>39528613.439999983</v>
      </c>
      <c r="AQ39" s="26">
        <f>股权价值增加表!AQ31</f>
        <v>32585697.729999986</v>
      </c>
      <c r="AR39" s="26">
        <f>股权价值增加表!AR31</f>
        <v>0</v>
      </c>
      <c r="AS39" s="26">
        <f>股权价值增加表!AS31</f>
        <v>3199582.46</v>
      </c>
      <c r="AT39" s="26">
        <f>股权价值增加表!AT31</f>
        <v>556604.28</v>
      </c>
      <c r="AU39" s="26">
        <f>股权价值增加表!AU31</f>
        <v>47918.79</v>
      </c>
      <c r="AV39" s="26">
        <f>股权价值增加表!AV31</f>
        <v>665864.48</v>
      </c>
      <c r="AW39" s="26">
        <f>股权价值增加表!AW31</f>
        <v>5051692.58</v>
      </c>
      <c r="AX39" s="26">
        <f>股权价值增加表!AX31</f>
        <v>2496157.7200000002</v>
      </c>
      <c r="AY39" s="26">
        <f>股权价值增加表!AY31</f>
        <v>1832311.81</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812140343.23999977</v>
      </c>
      <c r="F40" s="26">
        <f>股权价值增加表!F38</f>
        <v>624646685.89999998</v>
      </c>
      <c r="G40" s="26">
        <f>股权价值增加表!G38</f>
        <v>423449556.2100001</v>
      </c>
      <c r="H40" s="26">
        <f>股权价值增加表!H38</f>
        <v>89709756.620000064</v>
      </c>
      <c r="I40" s="26">
        <f>股权价值增加表!I38</f>
        <v>792773058.6400001</v>
      </c>
      <c r="J40" s="26">
        <f>股权价值增加表!J38</f>
        <v>237352183.38999999</v>
      </c>
      <c r="K40" s="26">
        <f>股权价值增加表!K38</f>
        <v>-25013847.530000012</v>
      </c>
      <c r="L40" s="26">
        <f>股权价值增加表!L38</f>
        <v>-33907777.140000053</v>
      </c>
      <c r="M40" s="26">
        <f>股权价值增加表!M38</f>
        <v>687441008.46000004</v>
      </c>
      <c r="N40" s="26">
        <f>股权价值增加表!N38</f>
        <v>245282108.88</v>
      </c>
      <c r="O40" s="26">
        <f>股权价值增加表!O38</f>
        <v>143051489.91999993</v>
      </c>
      <c r="P40" s="26">
        <f>股权价值增加表!P38</f>
        <v>73837190.690000027</v>
      </c>
      <c r="Q40" s="26">
        <f>股权价值增加表!Q38</f>
        <v>413256756.31999999</v>
      </c>
      <c r="R40" s="26">
        <f>股权价值增加表!R38</f>
        <v>304950605.69</v>
      </c>
      <c r="S40" s="26">
        <f>股权价值增加表!S38</f>
        <v>-5530021.5500000063</v>
      </c>
      <c r="T40" s="26">
        <f>股权价值增加表!T38</f>
        <v>769705.78000000212</v>
      </c>
      <c r="U40" s="26">
        <f>股权价值增加表!U38</f>
        <v>15190447.170000028</v>
      </c>
      <c r="V40" s="26">
        <f>股权价值增加表!V38</f>
        <v>15543323.859999973</v>
      </c>
      <c r="W40" s="26">
        <f>股权价值增加表!W38</f>
        <v>18231053.109999992</v>
      </c>
      <c r="X40" s="26">
        <f>股权价值增加表!X38</f>
        <v>995777.84999999963</v>
      </c>
      <c r="Y40" s="26">
        <f>股权价值增加表!Y38</f>
        <v>28963379.029999971</v>
      </c>
      <c r="Z40" s="26">
        <f>股权价值增加表!Z38</f>
        <v>23288063.800000004</v>
      </c>
      <c r="AA40" s="26">
        <f>股权价值增加表!AA38</f>
        <v>18424860.419999998</v>
      </c>
      <c r="AB40" s="26">
        <f>股权价值增加表!AB38</f>
        <v>3603453.6600000025</v>
      </c>
      <c r="AC40" s="26">
        <f>股权价值增加表!AC38</f>
        <v>38744925.44000002</v>
      </c>
      <c r="AD40" s="26">
        <f>股权价值增加表!AD38</f>
        <v>20049379.229999982</v>
      </c>
      <c r="AE40" s="26">
        <f>股权价值增加表!AE38</f>
        <v>11352279.560000017</v>
      </c>
      <c r="AF40" s="26">
        <f>股权价值增加表!AF38</f>
        <v>3180443.5499999952</v>
      </c>
      <c r="AG40" s="26">
        <f>股权价值增加表!AG38</f>
        <v>16710567.28999998</v>
      </c>
      <c r="AH40" s="26">
        <f>股权价值增加表!AH38</f>
        <v>13488322.689999986</v>
      </c>
      <c r="AI40" s="26">
        <f>股权价值增加表!AI38</f>
        <v>5164282.1800000109</v>
      </c>
      <c r="AJ40" s="26">
        <f>股权价值增加表!AJ38</f>
        <v>-2672525.0200000005</v>
      </c>
      <c r="AK40" s="26">
        <f>股权价值增加表!AK38</f>
        <v>36844405.100000009</v>
      </c>
      <c r="AL40" s="26">
        <f>股权价值增加表!AL38</f>
        <v>19636008.629999988</v>
      </c>
      <c r="AM40" s="26">
        <f>股权价值增加表!AM38</f>
        <v>10637577.359999998</v>
      </c>
      <c r="AN40" s="26">
        <f>股权价值增加表!AN38</f>
        <v>4161524.9800000037</v>
      </c>
      <c r="AO40" s="26">
        <f>股权价值增加表!AO38</f>
        <v>36232052.360000014</v>
      </c>
      <c r="AP40" s="26">
        <f>股权价值增加表!AP38</f>
        <v>32517121.659999982</v>
      </c>
      <c r="AQ40" s="26">
        <f>股权价值增加表!AQ38</f>
        <v>30072021.719999984</v>
      </c>
      <c r="AR40" s="26">
        <f>股权价值增加表!AR38</f>
        <v>0</v>
      </c>
      <c r="AS40" s="26">
        <f>股权价值增加表!AS38</f>
        <v>95427195.469999999</v>
      </c>
      <c r="AT40" s="26">
        <f>股权价值增加表!AT38</f>
        <v>41574884.270000003</v>
      </c>
      <c r="AU40" s="26">
        <f>股权价值增加表!AU38</f>
        <v>36535126.310000002</v>
      </c>
      <c r="AV40" s="26">
        <f>股权价值增加表!AV38</f>
        <v>4042843.62</v>
      </c>
      <c r="AW40" s="26">
        <f>股权价值增加表!AW38</f>
        <v>55549045.109999999</v>
      </c>
      <c r="AX40" s="26">
        <f>股权价值增加表!AX38</f>
        <v>28863876.779999997</v>
      </c>
      <c r="AY40" s="26">
        <f>股权价值增加表!AY38</f>
        <v>26228829.809999999</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0.13207032125705365</v>
      </c>
      <c r="F41" s="59">
        <f t="shared" ref="F41:BQ41" si="34">1-F40/F39</f>
        <v>0.10796612389586413</v>
      </c>
      <c r="G41" s="59">
        <f t="shared" si="34"/>
        <v>9.9098980967405659E-2</v>
      </c>
      <c r="H41" s="59">
        <f t="shared" si="34"/>
        <v>0.25677402727608234</v>
      </c>
      <c r="I41" s="59">
        <f t="shared" si="34"/>
        <v>2.493469995032882E-2</v>
      </c>
      <c r="J41" s="59">
        <f t="shared" si="34"/>
        <v>6.3507050180571456E-2</v>
      </c>
      <c r="K41" s="59">
        <f t="shared" si="34"/>
        <v>-0.46072068897818164</v>
      </c>
      <c r="L41" s="59">
        <f t="shared" si="34"/>
        <v>-0.12984652878981007</v>
      </c>
      <c r="M41" s="59">
        <f t="shared" si="34"/>
        <v>7.3140860157682508E-2</v>
      </c>
      <c r="N41" s="59">
        <f t="shared" si="34"/>
        <v>6.5859981333979412E-2</v>
      </c>
      <c r="O41" s="59">
        <f t="shared" si="34"/>
        <v>6.3493821879276546E-2</v>
      </c>
      <c r="P41" s="59">
        <f t="shared" si="34"/>
        <v>1.635669237987758E-2</v>
      </c>
      <c r="Q41" s="59">
        <f t="shared" si="34"/>
        <v>-3.8321737090334373E-3</v>
      </c>
      <c r="R41" s="59">
        <f t="shared" si="34"/>
        <v>-3.0785366468508713E-3</v>
      </c>
      <c r="S41" s="59">
        <f t="shared" si="34"/>
        <v>1.894827901454371</v>
      </c>
      <c r="T41" s="59">
        <f t="shared" si="34"/>
        <v>0.87555909028101908</v>
      </c>
      <c r="U41" s="59">
        <f t="shared" si="34"/>
        <v>0.67870819344082411</v>
      </c>
      <c r="V41" s="59">
        <f t="shared" si="34"/>
        <v>0.61388653272862459</v>
      </c>
      <c r="W41" s="59">
        <f t="shared" si="34"/>
        <v>0.4862011985006548</v>
      </c>
      <c r="X41" s="59">
        <f t="shared" si="34"/>
        <v>0.86358997182508612</v>
      </c>
      <c r="Y41" s="59">
        <f t="shared" si="34"/>
        <v>0.43250155635680143</v>
      </c>
      <c r="Z41" s="59">
        <f t="shared" si="34"/>
        <v>0.38817266691792274</v>
      </c>
      <c r="AA41" s="59">
        <f t="shared" si="34"/>
        <v>0.32763876457045304</v>
      </c>
      <c r="AB41" s="59">
        <f t="shared" si="34"/>
        <v>0.44576008812975487</v>
      </c>
      <c r="AC41" s="59">
        <f t="shared" si="34"/>
        <v>0.33652721714426637</v>
      </c>
      <c r="AD41" s="59">
        <f t="shared" si="34"/>
        <v>0.32881116561701829</v>
      </c>
      <c r="AE41" s="59">
        <f t="shared" si="34"/>
        <v>0.33997928024351287</v>
      </c>
      <c r="AF41" s="59">
        <f t="shared" si="34"/>
        <v>0.27796629373325199</v>
      </c>
      <c r="AG41" s="59">
        <f t="shared" si="34"/>
        <v>0.34979593981916801</v>
      </c>
      <c r="AH41" s="59">
        <f t="shared" si="34"/>
        <v>0.29864272492933608</v>
      </c>
      <c r="AI41" s="59">
        <f t="shared" si="34"/>
        <v>0.43890305021124953</v>
      </c>
      <c r="AJ41" s="59">
        <f t="shared" si="34"/>
        <v>-1.5767835948209878</v>
      </c>
      <c r="AK41" s="59">
        <f t="shared" si="34"/>
        <v>0.16634482275546114</v>
      </c>
      <c r="AL41" s="59">
        <f t="shared" si="34"/>
        <v>0.21129180676813142</v>
      </c>
      <c r="AM41" s="59">
        <f t="shared" si="34"/>
        <v>0.24602948262626623</v>
      </c>
      <c r="AN41" s="59">
        <f t="shared" si="34"/>
        <v>0.24892574963153757</v>
      </c>
      <c r="AO41" s="59">
        <f t="shared" si="34"/>
        <v>0.21630871188017231</v>
      </c>
      <c r="AP41" s="59">
        <f t="shared" si="34"/>
        <v>0.17737763027389419</v>
      </c>
      <c r="AQ41" s="59">
        <f t="shared" si="34"/>
        <v>7.7140469135506318E-2</v>
      </c>
      <c r="AR41" s="59" t="e">
        <f t="shared" si="34"/>
        <v>#DIV/0!</v>
      </c>
      <c r="AS41" s="59">
        <f t="shared" si="34"/>
        <v>-28.82489017332593</v>
      </c>
      <c r="AT41" s="59">
        <f t="shared" si="34"/>
        <v>-73.693791916224583</v>
      </c>
      <c r="AU41" s="59">
        <f t="shared" si="34"/>
        <v>-761.43841528552787</v>
      </c>
      <c r="AV41" s="59">
        <f t="shared" si="34"/>
        <v>-5.0715712302299112</v>
      </c>
      <c r="AW41" s="59">
        <f t="shared" si="34"/>
        <v>-9.9961254035771105</v>
      </c>
      <c r="AX41" s="59">
        <f t="shared" si="34"/>
        <v>-10.563322521142613</v>
      </c>
      <c r="AY41" s="59">
        <f t="shared" si="34"/>
        <v>-13.314610464689412</v>
      </c>
      <c r="AZ41" s="59">
        <f t="shared" si="34"/>
        <v>-29.177087999999998</v>
      </c>
      <c r="BA41" s="59">
        <f t="shared" si="34"/>
        <v>6.4302495344527406</v>
      </c>
      <c r="BB41" s="59">
        <f t="shared" si="34"/>
        <v>14.954913103035617</v>
      </c>
      <c r="BC41" s="59">
        <f t="shared" si="34"/>
        <v>10.994273003585963</v>
      </c>
      <c r="BD41" s="59" t="e">
        <f t="shared" si="34"/>
        <v>#DIV/0!</v>
      </c>
      <c r="BE41" s="59">
        <f t="shared" si="34"/>
        <v>208.72438969261265</v>
      </c>
      <c r="BF41" s="59">
        <f t="shared" si="34"/>
        <v>-37.123657821263173</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49">
        <f>E39/(E39-E40)</f>
        <v>7.5717238398599855</v>
      </c>
      <c r="F42" s="29">
        <f t="shared" ref="F42:BQ42" si="36">F39/(F39-F40)</f>
        <v>9.2621645004550128</v>
      </c>
      <c r="G42" s="29">
        <f t="shared" si="36"/>
        <v>10.090921119853963</v>
      </c>
      <c r="H42" s="29">
        <f t="shared" si="36"/>
        <v>3.8944748836485878</v>
      </c>
      <c r="I42" s="29">
        <f t="shared" si="36"/>
        <v>40.1047536963368</v>
      </c>
      <c r="J42" s="29">
        <f t="shared" si="36"/>
        <v>15.746283241886848</v>
      </c>
      <c r="K42" s="29">
        <f t="shared" si="36"/>
        <v>-2.1705124686670128</v>
      </c>
      <c r="L42" s="29">
        <f t="shared" si="36"/>
        <v>-7.7013995623922806</v>
      </c>
      <c r="M42" s="29">
        <f t="shared" si="36"/>
        <v>13.672248286992046</v>
      </c>
      <c r="N42" s="29">
        <f t="shared" si="36"/>
        <v>15.183727352258831</v>
      </c>
      <c r="O42" s="29">
        <f t="shared" si="36"/>
        <v>15.74956382215173</v>
      </c>
      <c r="P42" s="29">
        <f t="shared" si="36"/>
        <v>61.137054899328398</v>
      </c>
      <c r="Q42" s="29">
        <f t="shared" si="36"/>
        <v>-260.94850492886837</v>
      </c>
      <c r="R42" s="29">
        <f t="shared" si="36"/>
        <v>-324.82965600650977</v>
      </c>
      <c r="S42" s="29">
        <f t="shared" si="36"/>
        <v>0.527752414471231</v>
      </c>
      <c r="T42" s="29">
        <f t="shared" si="36"/>
        <v>1.1421273687867719</v>
      </c>
      <c r="U42" s="29">
        <f t="shared" si="36"/>
        <v>1.4733872519356717</v>
      </c>
      <c r="V42" s="29">
        <f t="shared" si="36"/>
        <v>1.6289655281329671</v>
      </c>
      <c r="W42" s="29">
        <f t="shared" si="36"/>
        <v>2.0567616926568584</v>
      </c>
      <c r="X42" s="29">
        <f t="shared" si="36"/>
        <v>1.1579569386228847</v>
      </c>
      <c r="Y42" s="29">
        <f t="shared" si="36"/>
        <v>2.3121304080927483</v>
      </c>
      <c r="Z42" s="29">
        <f t="shared" si="36"/>
        <v>2.5761731446471092</v>
      </c>
      <c r="AA42" s="29">
        <f t="shared" si="36"/>
        <v>3.0521418956973494</v>
      </c>
      <c r="AB42" s="29">
        <f t="shared" si="36"/>
        <v>2.2433592118927281</v>
      </c>
      <c r="AC42" s="29">
        <f t="shared" si="36"/>
        <v>2.9715278558622744</v>
      </c>
      <c r="AD42" s="29">
        <f t="shared" si="36"/>
        <v>3.0412592532357814</v>
      </c>
      <c r="AE42" s="29">
        <f t="shared" si="36"/>
        <v>2.9413557181594769</v>
      </c>
      <c r="AF42" s="29">
        <f t="shared" si="36"/>
        <v>3.5975584901658673</v>
      </c>
      <c r="AG42" s="29">
        <f t="shared" si="36"/>
        <v>2.8588096263123131</v>
      </c>
      <c r="AH42" s="29">
        <f t="shared" si="36"/>
        <v>3.3484827070092433</v>
      </c>
      <c r="AI42" s="29">
        <f t="shared" si="36"/>
        <v>2.2784074968690406</v>
      </c>
      <c r="AJ42" s="29">
        <f t="shared" si="36"/>
        <v>-0.63420243797851661</v>
      </c>
      <c r="AK42" s="29">
        <f t="shared" si="36"/>
        <v>6.011608798129366</v>
      </c>
      <c r="AL42" s="29">
        <f t="shared" si="36"/>
        <v>4.7327911824682616</v>
      </c>
      <c r="AM42" s="29">
        <f t="shared" si="36"/>
        <v>4.0645535214942541</v>
      </c>
      <c r="AN42" s="29">
        <f t="shared" si="36"/>
        <v>4.01726218151481</v>
      </c>
      <c r="AO42" s="29">
        <f t="shared" si="36"/>
        <v>4.6230223059807516</v>
      </c>
      <c r="AP42" s="29">
        <f t="shared" si="36"/>
        <v>5.6376894789713319</v>
      </c>
      <c r="AQ42" s="29">
        <f t="shared" si="36"/>
        <v>12.963364252340526</v>
      </c>
      <c r="AR42" s="29" t="e">
        <f t="shared" si="36"/>
        <v>#DIV/0!</v>
      </c>
      <c r="AS42" s="29">
        <f t="shared" si="36"/>
        <v>-3.4692239727087779E-2</v>
      </c>
      <c r="AT42" s="29">
        <f t="shared" si="36"/>
        <v>-1.3569664065282519E-2</v>
      </c>
      <c r="AU42" s="29">
        <f t="shared" si="36"/>
        <v>-1.3133038469368729E-3</v>
      </c>
      <c r="AV42" s="29">
        <f t="shared" si="36"/>
        <v>-0.19717755200584389</v>
      </c>
      <c r="AW42" s="29">
        <f t="shared" si="36"/>
        <v>-0.10003876098254531</v>
      </c>
      <c r="AX42" s="29">
        <f t="shared" si="36"/>
        <v>-9.4667184306688384E-2</v>
      </c>
      <c r="AY42" s="29">
        <f t="shared" si="36"/>
        <v>-7.510546423059225E-2</v>
      </c>
      <c r="AZ42" s="29">
        <f t="shared" si="36"/>
        <v>-3.4273468277574513E-2</v>
      </c>
      <c r="BA42" s="29">
        <f t="shared" si="36"/>
        <v>0.15551496013367497</v>
      </c>
      <c r="BB42" s="29">
        <f t="shared" si="36"/>
        <v>6.6867657010793016E-2</v>
      </c>
      <c r="BC42" s="29">
        <f t="shared" si="36"/>
        <v>9.0956446112792869E-2</v>
      </c>
      <c r="BD42" s="29">
        <f t="shared" si="36"/>
        <v>0</v>
      </c>
      <c r="BE42" s="29">
        <f t="shared" si="36"/>
        <v>4.7910069420861404E-3</v>
      </c>
      <c r="BF42" s="29">
        <f t="shared" si="36"/>
        <v>-2.6937000788409216E-2</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3" t="s">
        <v>699</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39447</v>
      </c>
      <c r="AQ46" s="1">
        <v>39082</v>
      </c>
      <c r="AR46" s="1">
        <v>25569</v>
      </c>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720077984.14999974</v>
      </c>
      <c r="F47" s="26">
        <f>股权价值增加表!F42</f>
        <v>614501576.26999998</v>
      </c>
      <c r="G47" s="26">
        <f>股权价值增加表!G42</f>
        <v>425269612.98000008</v>
      </c>
      <c r="H47" s="26">
        <f>股权价值增加表!H42</f>
        <v>78737160.00000006</v>
      </c>
      <c r="I47" s="26">
        <f>股权价值增加表!I42</f>
        <v>769510287.60000014</v>
      </c>
      <c r="J47" s="26">
        <f>股权价值增加表!J42</f>
        <v>221374891.42999998</v>
      </c>
      <c r="K47" s="26">
        <f>股权价值增加表!K42</f>
        <v>-38785102.720000014</v>
      </c>
      <c r="L47" s="26">
        <f>股权价值增加表!L42</f>
        <v>-37044445.340000056</v>
      </c>
      <c r="M47" s="26">
        <f>股权价值增加表!M42</f>
        <v>682928346.04000008</v>
      </c>
      <c r="N47" s="26">
        <f>股权价值增加表!N42</f>
        <v>238294637.09</v>
      </c>
      <c r="O47" s="26">
        <f>股权价值增加表!O42</f>
        <v>139097961.20999992</v>
      </c>
      <c r="P47" s="26">
        <f>股权价值增加表!P42</f>
        <v>71650900.360000029</v>
      </c>
      <c r="Q47" s="26">
        <f>股权价值增加表!Q42</f>
        <v>391771011.03999996</v>
      </c>
      <c r="R47" s="26">
        <f>股权价值增加表!R42</f>
        <v>287799002.05000001</v>
      </c>
      <c r="S47" s="26">
        <f>股权价值增加表!S42</f>
        <v>-6537008.5200000061</v>
      </c>
      <c r="T47" s="26">
        <f>股权价值增加表!T42</f>
        <v>-23349.179999997839</v>
      </c>
      <c r="U47" s="26">
        <f>股权价值增加表!U42</f>
        <v>11074736.710000027</v>
      </c>
      <c r="V47" s="26">
        <f>股权价值增加表!V42</f>
        <v>11508949.469999973</v>
      </c>
      <c r="W47" s="26">
        <f>股权价值增加表!W42</f>
        <v>11703317.119999992</v>
      </c>
      <c r="X47" s="26">
        <f>股权价值增加表!X42</f>
        <v>-21592.480000000331</v>
      </c>
      <c r="Y47" s="26">
        <f>股权价值增加表!Y42</f>
        <v>22371641.229999971</v>
      </c>
      <c r="Z47" s="26">
        <f>股权价值增加表!Z42</f>
        <v>18492503.760000005</v>
      </c>
      <c r="AA47" s="26">
        <f>股权价值增加表!AA42</f>
        <v>14390610.589999998</v>
      </c>
      <c r="AB47" s="26">
        <f>股权价值增加表!AB42</f>
        <v>2821755.3800000027</v>
      </c>
      <c r="AC47" s="26">
        <f>股权价值增加表!AC42</f>
        <v>30839425.94000002</v>
      </c>
      <c r="AD47" s="26">
        <f>股权价值增加表!AD42</f>
        <v>16092798.039999982</v>
      </c>
      <c r="AE47" s="26">
        <f>股权价值增加表!AE42</f>
        <v>8994970.0600000173</v>
      </c>
      <c r="AF47" s="26">
        <f>股权价值增加表!AF42</f>
        <v>2463653.3399999952</v>
      </c>
      <c r="AG47" s="26">
        <f>股权价值增加表!AG42</f>
        <v>13597742.909999982</v>
      </c>
      <c r="AH47" s="26">
        <f>股权价值增加表!AH42</f>
        <v>10705495.929999987</v>
      </c>
      <c r="AI47" s="26">
        <f>股权价值增加表!AI42</f>
        <v>4134199.360000011</v>
      </c>
      <c r="AJ47" s="26">
        <f>股权价值增加表!AJ42</f>
        <v>-2888212.7400000007</v>
      </c>
      <c r="AK47" s="26">
        <f>股权价值增加表!AK42</f>
        <v>29789402.100000009</v>
      </c>
      <c r="AL47" s="26">
        <f>股权价值增加表!AL42</f>
        <v>15710321.639999988</v>
      </c>
      <c r="AM47" s="26">
        <f>股权价值增加表!AM42</f>
        <v>8489805.9999999981</v>
      </c>
      <c r="AN47" s="26">
        <f>股权价值增加表!AN42</f>
        <v>3358308.1200000038</v>
      </c>
      <c r="AO47" s="26">
        <f>股权价值增加表!AO42</f>
        <v>32754311.770000014</v>
      </c>
      <c r="AP47" s="26">
        <f>股权价值增加表!AP42</f>
        <v>28500980.799999982</v>
      </c>
      <c r="AQ47" s="26">
        <f>股权价值增加表!AQ42</f>
        <v>26468454.059999984</v>
      </c>
      <c r="AR47" s="26">
        <f>股权价值增加表!AR42</f>
        <v>0</v>
      </c>
      <c r="AS47" s="26">
        <f>股权价值增加表!AS42</f>
        <v>-610135253.33999991</v>
      </c>
      <c r="AT47" s="26">
        <f>股权价值增加表!AT42</f>
        <v>-606675948.97000003</v>
      </c>
      <c r="AU47" s="26">
        <f>股权价值增加表!AU42</f>
        <v>-525244177.46999997</v>
      </c>
      <c r="AV47" s="26">
        <f>股权价值增加表!AV42</f>
        <v>-370504198.70999998</v>
      </c>
      <c r="AW47" s="26">
        <f>股权价值增加表!AW42</f>
        <v>-550836582.15999997</v>
      </c>
      <c r="AX47" s="26">
        <f>股权价值增加表!AX42</f>
        <v>-497364124.85000002</v>
      </c>
      <c r="AY47" s="26">
        <f>股权价值增加表!AY42</f>
        <v>-393993423.18000001</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0.23218023787778397</v>
      </c>
      <c r="F48" s="63">
        <f>股权价值增加表!F43</f>
        <v>0.27468026422752989</v>
      </c>
      <c r="G48" s="63">
        <f>股权价值增加表!G43</f>
        <v>0.2676056389207484</v>
      </c>
      <c r="H48" s="63">
        <f>股权价值增加表!H43</f>
        <v>0.12309737184814797</v>
      </c>
      <c r="I48" s="63">
        <f>股权价值增加表!I43</f>
        <v>0.45944735797341929</v>
      </c>
      <c r="J48" s="63">
        <f>股权价值增加表!J43</f>
        <v>0.16899985466149653</v>
      </c>
      <c r="K48" s="63">
        <f>股权价值增加表!K43</f>
        <v>-4.5160599917476577E-2</v>
      </c>
      <c r="L48" s="63">
        <f>股权价值增加表!L43</f>
        <v>-8.2690161197666812E-2</v>
      </c>
      <c r="M48" s="63">
        <f>股权价值增加表!M43</f>
        <v>0.72586501713380069</v>
      </c>
      <c r="N48" s="63">
        <f>股权价值增加表!N43</f>
        <v>0.45072396009055021</v>
      </c>
      <c r="O48" s="63">
        <f>股权价值增加表!O43</f>
        <v>0.43565942989967865</v>
      </c>
      <c r="P48" s="63">
        <f>股权价值增加表!P43</f>
        <v>0.46687678101048136</v>
      </c>
      <c r="Q48" s="63">
        <f>股权价值增加表!Q43</f>
        <v>0.82384233391448725</v>
      </c>
      <c r="R48" s="63">
        <f>股权价值增加表!R43</f>
        <v>0.83992748727815381</v>
      </c>
      <c r="S48" s="63">
        <f>股权价值增加表!S43</f>
        <v>-4.0607519825532117E-2</v>
      </c>
      <c r="T48" s="63">
        <f>股权价值增加表!T43</f>
        <v>-3.052574466751299E-4</v>
      </c>
      <c r="U48" s="63">
        <f>股权价值增加表!U43</f>
        <v>2.7354437224385159E-2</v>
      </c>
      <c r="V48" s="63">
        <f>股权价值增加表!V43</f>
        <v>3.8448531523479691E-2</v>
      </c>
      <c r="W48" s="63">
        <f>股权价值增加表!W43</f>
        <v>5.8043625453060313E-2</v>
      </c>
      <c r="X48" s="63">
        <f>股权价值增加表!X43</f>
        <v>-2.4476754601583206E-4</v>
      </c>
      <c r="Y48" s="63">
        <f>股权价值增加表!Y43</f>
        <v>6.0631281816504103E-2</v>
      </c>
      <c r="Z48" s="63">
        <f>股权价值增加表!Z43</f>
        <v>7.0121867280317496E-2</v>
      </c>
      <c r="AA48" s="63">
        <f>股权价值增加表!AA43</f>
        <v>8.5838517727809205E-2</v>
      </c>
      <c r="AB48" s="63">
        <f>股权价值增加表!AB43</f>
        <v>4.0089499032493772E-2</v>
      </c>
      <c r="AC48" s="63">
        <f>股权价值增加表!AC43</f>
        <v>7.207915988741441E-2</v>
      </c>
      <c r="AD48" s="63">
        <f>股权价值增加表!AD43</f>
        <v>5.5670952461776516E-2</v>
      </c>
      <c r="AE48" s="63">
        <f>股权价值增加表!AE43</f>
        <v>5.1097387187732012E-2</v>
      </c>
      <c r="AF48" s="63">
        <f>股权价值增加表!AF43</f>
        <v>3.3957499421699809E-2</v>
      </c>
      <c r="AG48" s="63">
        <f>股权价值增加表!AG43</f>
        <v>4.4349940164157324E-2</v>
      </c>
      <c r="AH48" s="63">
        <f>股权价值增加表!AH43</f>
        <v>4.6943099268934745E-2</v>
      </c>
      <c r="AI48" s="63">
        <f>股权价值增加表!AI43</f>
        <v>2.9884712864690913E-2</v>
      </c>
      <c r="AJ48" s="63">
        <f>股权价值增加表!AJ43</f>
        <v>-4.7826498804759858E-2</v>
      </c>
      <c r="AK48" s="63">
        <f>股权价值增加表!AK43</f>
        <v>0.12602895716064352</v>
      </c>
      <c r="AL48" s="63">
        <f>股权价值增加表!AL43</f>
        <v>9.902688412592181E-2</v>
      </c>
      <c r="AM48" s="63">
        <f>股权价值增加表!AM43</f>
        <v>8.7769021222429175E-2</v>
      </c>
      <c r="AN48" s="63">
        <f>股权价值增加表!AN43</f>
        <v>7.3537606850269874E-2</v>
      </c>
      <c r="AO48" s="63">
        <f>股权价值增加表!AO43</f>
        <v>0.11461663321328301</v>
      </c>
      <c r="AP48" s="63">
        <f>股权价值增加表!AP43</f>
        <v>0.10490229006989474</v>
      </c>
      <c r="AQ48" s="63">
        <f>股权价值增加表!AQ43</f>
        <v>0.12106546955910218</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-6.4238651836836594E-2</v>
      </c>
      <c r="F49" s="59">
        <f t="shared" ref="F49:BQ49" si="38">(F47-J47)/J47</f>
        <v>1.775841344519909</v>
      </c>
      <c r="G49" s="59">
        <f t="shared" si="38"/>
        <v>-11.964766963494585</v>
      </c>
      <c r="H49" s="59">
        <f t="shared" si="38"/>
        <v>-3.1254781729713423</v>
      </c>
      <c r="I49" s="59">
        <f t="shared" si="38"/>
        <v>0.12678041856374905</v>
      </c>
      <c r="J49" s="59">
        <f t="shared" si="38"/>
        <v>-7.1003468087322982E-2</v>
      </c>
      <c r="K49" s="59">
        <f t="shared" si="38"/>
        <v>-1.2788330064841504</v>
      </c>
      <c r="L49" s="59">
        <f t="shared" si="38"/>
        <v>-1.517012977560301</v>
      </c>
      <c r="M49" s="59">
        <f t="shared" si="38"/>
        <v>0.74318243768749104</v>
      </c>
      <c r="N49" s="59">
        <f t="shared" si="38"/>
        <v>-0.17201020367471426</v>
      </c>
      <c r="O49" s="59">
        <f t="shared" si="38"/>
        <v>-22.278534483231756</v>
      </c>
      <c r="P49" s="59">
        <f t="shared" si="38"/>
        <v>-3069.6688080697759</v>
      </c>
      <c r="Q49" s="59">
        <f t="shared" si="38"/>
        <v>34.375198643435652</v>
      </c>
      <c r="R49" s="59">
        <f t="shared" si="38"/>
        <v>24.006539719389409</v>
      </c>
      <c r="S49" s="59">
        <f t="shared" si="38"/>
        <v>-1.5585603169573867</v>
      </c>
      <c r="T49" s="59">
        <f t="shared" si="38"/>
        <v>8.1357028002224926E-2</v>
      </c>
      <c r="U49" s="59">
        <f t="shared" si="38"/>
        <v>-0.50496538916648626</v>
      </c>
      <c r="V49" s="59">
        <f t="shared" si="38"/>
        <v>-0.37764244261535468</v>
      </c>
      <c r="W49" s="59">
        <f t="shared" si="38"/>
        <v>-0.18673936405918734</v>
      </c>
      <c r="X49" s="59">
        <f t="shared" si="38"/>
        <v>-1.0076521445313946</v>
      </c>
      <c r="Y49" s="59">
        <f t="shared" si="38"/>
        <v>-0.27457659965767972</v>
      </c>
      <c r="Z49" s="59">
        <f t="shared" si="38"/>
        <v>0.14911674862477958</v>
      </c>
      <c r="AA49" s="59">
        <f t="shared" si="38"/>
        <v>0.59985086042631808</v>
      </c>
      <c r="AB49" s="59">
        <f t="shared" si="38"/>
        <v>0.14535406998454101</v>
      </c>
      <c r="AC49" s="59">
        <f t="shared" si="38"/>
        <v>1.2679812483673485</v>
      </c>
      <c r="AD49" s="59">
        <f t="shared" si="38"/>
        <v>0.50322770147463891</v>
      </c>
      <c r="AE49" s="59">
        <f t="shared" si="38"/>
        <v>1.1757465658356625</v>
      </c>
      <c r="AF49" s="59">
        <f t="shared" si="38"/>
        <v>-1.8530027258310602</v>
      </c>
      <c r="AG49" s="59">
        <f t="shared" si="38"/>
        <v>-0.5435375686845364</v>
      </c>
      <c r="AH49" s="59">
        <f t="shared" si="38"/>
        <v>-0.31856927087076525</v>
      </c>
      <c r="AI49" s="59">
        <f t="shared" si="38"/>
        <v>-0.51303959595778614</v>
      </c>
      <c r="AJ49" s="59">
        <f t="shared" si="38"/>
        <v>-1.8600201758735579</v>
      </c>
      <c r="AK49" s="59">
        <f t="shared" si="38"/>
        <v>-9.0519675419209827E-2</v>
      </c>
      <c r="AL49" s="59">
        <f t="shared" si="38"/>
        <v>-0.44877961392823373</v>
      </c>
      <c r="AM49" s="59">
        <f t="shared" si="38"/>
        <v>-0.67924813512890136</v>
      </c>
      <c r="AN49" s="59" t="e">
        <f t="shared" si="38"/>
        <v>#DIV/0!</v>
      </c>
      <c r="AO49" s="59">
        <f t="shared" si="38"/>
        <v>-1.0536836899534923</v>
      </c>
      <c r="AP49" s="59">
        <f t="shared" si="38"/>
        <v>-1.046978919880355</v>
      </c>
      <c r="AQ49" s="59">
        <f t="shared" si="38"/>
        <v>-1.0503926653456559</v>
      </c>
      <c r="AR49" s="59">
        <f t="shared" si="38"/>
        <v>-1</v>
      </c>
      <c r="AS49" s="59">
        <f t="shared" si="38"/>
        <v>0.10765202076352952</v>
      </c>
      <c r="AT49" s="59">
        <f t="shared" si="38"/>
        <v>0.21978228556988774</v>
      </c>
      <c r="AU49" s="59">
        <f t="shared" si="38"/>
        <v>0.33312930259253765</v>
      </c>
      <c r="AV49" s="59">
        <f t="shared" si="38"/>
        <v>0.33310416407447341</v>
      </c>
      <c r="AW49" s="59">
        <f t="shared" si="38"/>
        <v>0.46655447920322857</v>
      </c>
      <c r="AX49" s="59">
        <f t="shared" si="38"/>
        <v>0.31958621199061016</v>
      </c>
      <c r="AY49" s="59">
        <f t="shared" si="38"/>
        <v>0.18985908728139914</v>
      </c>
      <c r="AZ49" s="59">
        <f t="shared" si="38"/>
        <v>0.19558408831860988</v>
      </c>
      <c r="BA49" s="59">
        <f t="shared" si="38"/>
        <v>-9.5097801316947256E-2</v>
      </c>
      <c r="BB49" s="59">
        <f t="shared" si="38"/>
        <v>0.10244235163337981</v>
      </c>
      <c r="BC49" s="59">
        <f t="shared" si="38"/>
        <v>0.24078340355986305</v>
      </c>
      <c r="BD49" s="59">
        <f t="shared" si="38"/>
        <v>0.21966974111021106</v>
      </c>
      <c r="BE49" s="59">
        <f t="shared" si="38"/>
        <v>0.16709944793157067</v>
      </c>
      <c r="BF49" s="59">
        <f t="shared" si="38"/>
        <v>0.17286298999041566</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-43649199.004400253</v>
      </c>
      <c r="F50" s="26">
        <f>股权价值增加表!F47</f>
        <v>-55402316.043600082</v>
      </c>
      <c r="G50" s="26">
        <f>股权价值增加表!G47</f>
        <v>-236892041.3991999</v>
      </c>
      <c r="H50" s="26">
        <f>股权价值增加表!H47</f>
        <v>-399863388.64319992</v>
      </c>
      <c r="I50" s="26">
        <f>股权价值增加表!I47</f>
        <v>312794101.92720014</v>
      </c>
      <c r="J50" s="26">
        <f>股权价值增加表!J47</f>
        <v>-192683102.86520001</v>
      </c>
      <c r="K50" s="26">
        <f>股权价值增加表!K47</f>
        <v>-430490253.72800004</v>
      </c>
      <c r="L50" s="26">
        <f>股权价值增加表!L47</f>
        <v>-425809285.81200004</v>
      </c>
      <c r="M50" s="26">
        <f>股权价值增加表!M47</f>
        <v>285404953.56240004</v>
      </c>
      <c r="N50" s="26">
        <f>股权价值增加表!N47</f>
        <v>168044486.96359998</v>
      </c>
      <c r="O50" s="26">
        <f>股权价值增加表!O47</f>
        <v>76783545.153999925</v>
      </c>
      <c r="P50" s="26">
        <f>股权价值增加表!P47</f>
        <v>12941392.333600022</v>
      </c>
      <c r="Q50" s="26">
        <f>股权价值增加表!Q47</f>
        <v>338729665.04159999</v>
      </c>
      <c r="R50" s="26">
        <f>股权价值增加表!R47</f>
        <v>243075416.77079999</v>
      </c>
      <c r="S50" s="26">
        <f>股权价值增加表!S47</f>
        <v>-43380910.468800008</v>
      </c>
      <c r="T50" s="26">
        <f>股权价值增加表!T47</f>
        <v>-37463143.876000002</v>
      </c>
      <c r="U50" s="26">
        <f>股权价值增加表!U47</f>
        <v>-26366925.920399975</v>
      </c>
      <c r="V50" s="26">
        <f>股权价值增加表!V47</f>
        <v>-26193409.101200026</v>
      </c>
      <c r="W50" s="26">
        <f>股权价值增加表!W47</f>
        <v>-26012931.14320001</v>
      </c>
      <c r="X50" s="26">
        <f>股权价值增加表!X47</f>
        <v>-36799948.775199994</v>
      </c>
      <c r="Y50" s="26">
        <f>股权价值增加表!Y47</f>
        <v>-14408442.463600028</v>
      </c>
      <c r="Z50" s="26">
        <f>股权价值增加表!Z47</f>
        <v>-17980104.553599998</v>
      </c>
      <c r="AA50" s="26">
        <f>股权价值增加表!AA47</f>
        <v>-24753846.270000003</v>
      </c>
      <c r="AB50" s="26">
        <f>股权价值增加表!AB47</f>
        <v>-36145193.063199997</v>
      </c>
      <c r="AC50" s="26">
        <f>股权价值增加表!AC47</f>
        <v>-7901782.0727999806</v>
      </c>
      <c r="AD50" s="26">
        <f>股权价值增加表!AD47</f>
        <v>-21468679.740800016</v>
      </c>
      <c r="AE50" s="26">
        <f>股权价值增加表!AE47</f>
        <v>-27998681.482399978</v>
      </c>
      <c r="AF50" s="26">
        <f>股权价值增加表!AF47</f>
        <v>-34007492.864800006</v>
      </c>
      <c r="AG50" s="26">
        <f>股权价值增加表!AG47</f>
        <v>-22676311.02760002</v>
      </c>
      <c r="AH50" s="26">
        <f>股权价值增加表!AH47</f>
        <v>-25187209.249200016</v>
      </c>
      <c r="AI50" s="26">
        <f>股权价值增加表!AI47</f>
        <v>-31232802.093599994</v>
      </c>
      <c r="AJ50" s="26">
        <f>股权价值增加表!AJ47</f>
        <v>-37775404.916000001</v>
      </c>
      <c r="AK50" s="26">
        <f>股权价值增加表!AK47</f>
        <v>15729135.595200008</v>
      </c>
      <c r="AL50" s="26">
        <f>股权价值增加表!AL47</f>
        <v>2736228.8551999871</v>
      </c>
      <c r="AM50" s="26">
        <f>股权价值增加表!AM47</f>
        <v>-3866492.816800002</v>
      </c>
      <c r="AN50" s="26">
        <f>股权价值增加表!AN47</f>
        <v>-8318806.2167999977</v>
      </c>
      <c r="AO50" s="26">
        <f>股权价值增加表!AO47</f>
        <v>23697542.374800015</v>
      </c>
      <c r="AP50" s="26">
        <f>股权价值增加表!AP47</f>
        <v>21724289.868799981</v>
      </c>
      <c r="AQ50" s="26">
        <f>股权价值增加表!AQ47</f>
        <v>26468454.059999984</v>
      </c>
      <c r="AR50" s="26">
        <f>股权价值增加表!AR47</f>
        <v>0</v>
      </c>
      <c r="AS50" s="26">
        <f>股权价值增加表!AS47</f>
        <v>-1380234212.0735998</v>
      </c>
      <c r="AT50" s="26">
        <f>股权价值增加表!AT47</f>
        <v>-1365523001.1691999</v>
      </c>
      <c r="AU50" s="26">
        <f>股权价值增加表!AU47</f>
        <v>-1269565389.4956</v>
      </c>
      <c r="AV50" s="26">
        <f>股权价值增加表!AV47</f>
        <v>-1094636149.8116</v>
      </c>
      <c r="AW50" s="26">
        <f>股权价值增加表!AW47</f>
        <v>-1214450063.3312001</v>
      </c>
      <c r="AX50" s="26">
        <f>股权价值增加表!AX47</f>
        <v>-1148538939.4868002</v>
      </c>
      <c r="AY50" s="26">
        <f>股权价值增加表!AY47</f>
        <v>-1029093452.312</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3" t="s">
        <v>684</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2">
        <f>E39</f>
        <v>935721364.44999981</v>
      </c>
      <c r="F54" s="192">
        <f t="shared" ref="F54:AC54" si="41">F39</f>
        <v>700249959.81999993</v>
      </c>
      <c r="G54" s="192">
        <f t="shared" si="41"/>
        <v>470028945.76000011</v>
      </c>
      <c r="H54" s="192">
        <f t="shared" si="41"/>
        <v>120703204.56000006</v>
      </c>
      <c r="I54" s="192">
        <f t="shared" si="41"/>
        <v>813046119.68000007</v>
      </c>
      <c r="J54" s="192">
        <f t="shared" si="41"/>
        <v>253447912.69999999</v>
      </c>
      <c r="K54" s="192">
        <f t="shared" si="41"/>
        <v>-17124319.330000013</v>
      </c>
      <c r="L54" s="192">
        <f t="shared" si="41"/>
        <v>-30010958.370000049</v>
      </c>
      <c r="M54" s="192">
        <f t="shared" si="41"/>
        <v>741688762.51999998</v>
      </c>
      <c r="N54" s="192">
        <f t="shared" si="41"/>
        <v>262575314.16999999</v>
      </c>
      <c r="O54" s="192">
        <f t="shared" si="41"/>
        <v>152750182.81999993</v>
      </c>
      <c r="P54" s="192">
        <f t="shared" si="41"/>
        <v>75065005.900000021</v>
      </c>
      <c r="Q54" s="192">
        <f t="shared" si="41"/>
        <v>411679130.38</v>
      </c>
      <c r="R54" s="192">
        <f t="shared" si="41"/>
        <v>304014685.33999997</v>
      </c>
      <c r="S54" s="192">
        <f t="shared" si="41"/>
        <v>6179983.3699999936</v>
      </c>
      <c r="T54" s="192">
        <f t="shared" si="41"/>
        <v>6185311.4200000018</v>
      </c>
      <c r="U54" s="192">
        <f t="shared" si="41"/>
        <v>47279285.870000027</v>
      </c>
      <c r="V54" s="192">
        <f t="shared" si="41"/>
        <v>40255844.919999972</v>
      </c>
      <c r="W54" s="192">
        <f t="shared" si="41"/>
        <v>35482864.219999991</v>
      </c>
      <c r="X54" s="192">
        <f t="shared" si="41"/>
        <v>7299887.4299999997</v>
      </c>
      <c r="Y54" s="192">
        <f t="shared" si="41"/>
        <v>51036931.209999971</v>
      </c>
      <c r="Z54" s="192">
        <f t="shared" si="41"/>
        <v>38063130.790000007</v>
      </c>
      <c r="AA54" s="192">
        <f t="shared" si="41"/>
        <v>27403216.379999999</v>
      </c>
      <c r="AB54" s="192">
        <f t="shared" si="41"/>
        <v>6501613.4400000023</v>
      </c>
      <c r="AC54" s="192">
        <f t="shared" si="41"/>
        <v>58397158.770000018</v>
      </c>
    </row>
    <row r="55" spans="1:88" s="63" customFormat="1" x14ac:dyDescent="0.25">
      <c r="A55" s="63" t="s">
        <v>673</v>
      </c>
      <c r="E55" s="63">
        <f>E54/E2</f>
        <v>0.30171177812328293</v>
      </c>
      <c r="F55" s="63">
        <f t="shared" ref="F55:AC55" si="42">F54/F2</f>
        <v>0.31300952091319323</v>
      </c>
      <c r="G55" s="63">
        <f t="shared" si="42"/>
        <v>0.29577094742310223</v>
      </c>
      <c r="H55" s="63">
        <f t="shared" si="42"/>
        <v>0.18870692383349089</v>
      </c>
      <c r="I55" s="63">
        <f t="shared" si="42"/>
        <v>0.48544106247438873</v>
      </c>
      <c r="J55" s="63">
        <f t="shared" si="42"/>
        <v>0.19348472689868532</v>
      </c>
      <c r="K55" s="63">
        <f t="shared" si="42"/>
        <v>-1.9939215829959799E-2</v>
      </c>
      <c r="L55" s="63">
        <f t="shared" si="42"/>
        <v>-6.6990096964204354E-2</v>
      </c>
      <c r="M55" s="63">
        <f t="shared" si="42"/>
        <v>0.78831978411245263</v>
      </c>
      <c r="N55" s="63">
        <f t="shared" si="42"/>
        <v>0.49664980660065911</v>
      </c>
      <c r="O55" s="63">
        <f t="shared" si="42"/>
        <v>0.47841864097465087</v>
      </c>
      <c r="P55" s="63">
        <f t="shared" si="42"/>
        <v>0.48912306956424112</v>
      </c>
      <c r="Q55" s="63">
        <f t="shared" si="42"/>
        <v>0.8657064612713713</v>
      </c>
      <c r="R55" s="63">
        <f t="shared" si="42"/>
        <v>0.88725217576995674</v>
      </c>
      <c r="S55" s="63">
        <f t="shared" si="42"/>
        <v>3.8389700189458108E-2</v>
      </c>
      <c r="T55" s="63">
        <f t="shared" si="42"/>
        <v>8.0864183280093663E-2</v>
      </c>
      <c r="U55" s="63">
        <f t="shared" si="42"/>
        <v>0.11677914258466131</v>
      </c>
      <c r="V55" s="63">
        <f t="shared" si="42"/>
        <v>0.13448474393301271</v>
      </c>
      <c r="W55" s="63">
        <f t="shared" si="42"/>
        <v>0.17598037032320252</v>
      </c>
      <c r="X55" s="63">
        <f t="shared" si="42"/>
        <v>8.2749898688473572E-2</v>
      </c>
      <c r="Y55" s="63">
        <f t="shared" si="42"/>
        <v>0.13831951475663129</v>
      </c>
      <c r="Z55" s="63">
        <f t="shared" si="42"/>
        <v>0.14433187848272991</v>
      </c>
      <c r="AA55" s="63">
        <f t="shared" si="42"/>
        <v>0.16345737801203486</v>
      </c>
      <c r="AB55" s="63">
        <f t="shared" si="42"/>
        <v>9.2370312309824787E-2</v>
      </c>
      <c r="AC55" s="63">
        <f t="shared" si="42"/>
        <v>0.13648821324180438</v>
      </c>
    </row>
    <row r="56" spans="1:88" x14ac:dyDescent="0.25">
      <c r="A56" s="17" t="s">
        <v>674</v>
      </c>
      <c r="E56" s="192">
        <f>E23</f>
        <v>893972471.34526575</v>
      </c>
      <c r="F56" s="192">
        <f t="shared" ref="F56:AC56" si="43">F23</f>
        <v>970042026.88784456</v>
      </c>
      <c r="G56" s="192">
        <f t="shared" si="43"/>
        <v>614205755.86990547</v>
      </c>
      <c r="H56" s="192">
        <f t="shared" si="43"/>
        <v>228811837.68213046</v>
      </c>
      <c r="I56" s="192">
        <f t="shared" si="43"/>
        <v>524466049.61863112</v>
      </c>
      <c r="J56" s="192">
        <f t="shared" si="43"/>
        <v>341312590.04703867</v>
      </c>
      <c r="K56" s="192">
        <f t="shared" si="43"/>
        <v>348137742.58094233</v>
      </c>
      <c r="L56" s="192">
        <f t="shared" si="43"/>
        <v>130379622.59921755</v>
      </c>
      <c r="M56" s="192">
        <f t="shared" si="43"/>
        <v>364053531.48613542</v>
      </c>
      <c r="N56" s="192">
        <f t="shared" si="43"/>
        <v>254738187.6645993</v>
      </c>
      <c r="O56" s="192">
        <f t="shared" si="43"/>
        <v>147481739.49270242</v>
      </c>
      <c r="P56" s="192">
        <f t="shared" si="43"/>
        <v>72618930.567707062</v>
      </c>
      <c r="Q56" s="192">
        <f t="shared" si="43"/>
        <v>198113599.58332843</v>
      </c>
      <c r="R56" s="192">
        <f t="shared" si="43"/>
        <v>139025780.93039817</v>
      </c>
      <c r="S56" s="192">
        <f t="shared" si="43"/>
        <v>7305324.8667988032</v>
      </c>
      <c r="T56" s="192">
        <f t="shared" si="43"/>
        <v>-187632.66881226003</v>
      </c>
      <c r="U56" s="192">
        <f t="shared" si="43"/>
        <v>34469979.068215109</v>
      </c>
      <c r="V56" s="192">
        <f t="shared" si="43"/>
        <v>29807169.253464658</v>
      </c>
      <c r="W56" s="192">
        <f t="shared" si="43"/>
        <v>22778015.608148336</v>
      </c>
      <c r="X56" s="192">
        <f t="shared" si="43"/>
        <v>-158291.00168730319</v>
      </c>
      <c r="Y56" s="192">
        <f t="shared" si="43"/>
        <v>39421800.902941026</v>
      </c>
      <c r="Z56" s="192">
        <f t="shared" si="43"/>
        <v>30225036.967283081</v>
      </c>
      <c r="AA56" s="192">
        <f t="shared" si="43"/>
        <v>21403093.800918438</v>
      </c>
      <c r="AB56" s="192">
        <f t="shared" si="43"/>
        <v>5091216.4922915418</v>
      </c>
      <c r="AC56" s="192">
        <f t="shared" si="43"/>
        <v>46481825.233674712</v>
      </c>
    </row>
    <row r="57" spans="1:88" s="63" customFormat="1" x14ac:dyDescent="0.25">
      <c r="A57" s="63" t="s">
        <v>675</v>
      </c>
      <c r="E57" s="63">
        <f>E56/E2</f>
        <v>0.28825036401876264</v>
      </c>
      <c r="F57" s="63">
        <f t="shared" ref="F57:AC57" si="44">F56/F2</f>
        <v>0.4336057229905107</v>
      </c>
      <c r="G57" s="63">
        <f t="shared" si="44"/>
        <v>0.38649581044977499</v>
      </c>
      <c r="H57" s="63">
        <f t="shared" si="44"/>
        <v>0.35772354332332112</v>
      </c>
      <c r="I57" s="63">
        <f t="shared" si="44"/>
        <v>0.31314011615825504</v>
      </c>
      <c r="J57" s="63">
        <f t="shared" si="44"/>
        <v>0.26056151959910862</v>
      </c>
      <c r="K57" s="63">
        <f t="shared" si="44"/>
        <v>0.40536464276950562</v>
      </c>
      <c r="L57" s="63">
        <f t="shared" si="44"/>
        <v>0.29103181086042534</v>
      </c>
      <c r="M57" s="63">
        <f t="shared" si="44"/>
        <v>0.38694209195165935</v>
      </c>
      <c r="N57" s="63">
        <f t="shared" si="44"/>
        <v>0.48182622207781195</v>
      </c>
      <c r="O57" s="63">
        <f t="shared" si="44"/>
        <v>0.4619177016620753</v>
      </c>
      <c r="P57" s="63">
        <f t="shared" si="44"/>
        <v>0.47318445928143682</v>
      </c>
      <c r="Q57" s="63">
        <f t="shared" si="44"/>
        <v>0.41660655245435002</v>
      </c>
      <c r="R57" s="63">
        <f t="shared" si="44"/>
        <v>0.40574002693541444</v>
      </c>
      <c r="S57" s="63">
        <f t="shared" si="44"/>
        <v>4.5380256649946188E-2</v>
      </c>
      <c r="T57" s="63">
        <f t="shared" si="44"/>
        <v>-2.4530313010767859E-3</v>
      </c>
      <c r="U57" s="63">
        <f t="shared" si="44"/>
        <v>8.5140342677036726E-2</v>
      </c>
      <c r="V57" s="63">
        <f t="shared" si="44"/>
        <v>9.9578322909044212E-2</v>
      </c>
      <c r="W57" s="63">
        <f t="shared" si="44"/>
        <v>0.11296956178893362</v>
      </c>
      <c r="X57" s="63">
        <f t="shared" si="44"/>
        <v>-1.7943515538459938E-3</v>
      </c>
      <c r="Y57" s="63">
        <f t="shared" si="44"/>
        <v>0.10684036525023141</v>
      </c>
      <c r="Z57" s="63">
        <f t="shared" si="44"/>
        <v>0.11461055021369987</v>
      </c>
      <c r="AA57" s="63">
        <f t="shared" si="44"/>
        <v>0.12766726159185862</v>
      </c>
      <c r="AB57" s="63">
        <f t="shared" si="44"/>
        <v>7.2332392839076609E-2</v>
      </c>
      <c r="AC57" s="63">
        <f t="shared" si="44"/>
        <v>0.1086392113587083</v>
      </c>
    </row>
    <row r="58" spans="1:88" ht="93" customHeight="1" x14ac:dyDescent="0.25">
      <c r="A58" s="279" t="s">
        <v>676</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24" customFormat="1" x14ac:dyDescent="0.25">
      <c r="A60" s="226" t="s">
        <v>678</v>
      </c>
      <c r="B60" s="222"/>
      <c r="C60" s="222"/>
      <c r="D60" s="222"/>
      <c r="E60" s="227">
        <f>E53</f>
        <v>43100</v>
      </c>
      <c r="F60" s="227">
        <f t="shared" ref="F60:AC60" si="45">F53</f>
        <v>43008</v>
      </c>
      <c r="G60" s="227">
        <f t="shared" si="45"/>
        <v>42916</v>
      </c>
      <c r="H60" s="227">
        <f t="shared" si="45"/>
        <v>42825</v>
      </c>
      <c r="I60" s="227">
        <f t="shared" si="45"/>
        <v>42735</v>
      </c>
      <c r="J60" s="227">
        <f t="shared" si="45"/>
        <v>42643</v>
      </c>
      <c r="K60" s="227">
        <f t="shared" si="45"/>
        <v>42551</v>
      </c>
      <c r="L60" s="227">
        <f t="shared" si="45"/>
        <v>42460</v>
      </c>
      <c r="M60" s="227">
        <f t="shared" si="45"/>
        <v>42369</v>
      </c>
      <c r="N60" s="227">
        <f t="shared" si="45"/>
        <v>42277</v>
      </c>
      <c r="O60" s="227">
        <f t="shared" si="45"/>
        <v>42185</v>
      </c>
      <c r="P60" s="227">
        <f t="shared" si="45"/>
        <v>42094</v>
      </c>
      <c r="Q60" s="227">
        <f t="shared" si="45"/>
        <v>42004</v>
      </c>
      <c r="R60" s="227">
        <f t="shared" si="45"/>
        <v>41912</v>
      </c>
      <c r="S60" s="227">
        <f t="shared" si="45"/>
        <v>41820</v>
      </c>
      <c r="T60" s="227">
        <f t="shared" si="45"/>
        <v>41729</v>
      </c>
      <c r="U60" s="227">
        <f t="shared" si="45"/>
        <v>41639</v>
      </c>
      <c r="V60" s="227">
        <f t="shared" si="45"/>
        <v>41547</v>
      </c>
      <c r="W60" s="227">
        <f t="shared" si="45"/>
        <v>41455</v>
      </c>
      <c r="X60" s="227">
        <f t="shared" si="45"/>
        <v>41364</v>
      </c>
      <c r="Y60" s="227">
        <f t="shared" si="45"/>
        <v>41274</v>
      </c>
      <c r="Z60" s="227">
        <f t="shared" si="45"/>
        <v>41182</v>
      </c>
      <c r="AA60" s="227">
        <f t="shared" si="45"/>
        <v>41090</v>
      </c>
      <c r="AB60" s="227">
        <f t="shared" si="45"/>
        <v>40999</v>
      </c>
      <c r="AC60" s="227">
        <f t="shared" si="45"/>
        <v>40908</v>
      </c>
    </row>
    <row r="61" spans="1:88" s="192" customFormat="1" x14ac:dyDescent="0.25">
      <c r="A61" s="89" t="s">
        <v>679</v>
      </c>
      <c r="B61" s="89"/>
      <c r="C61" s="89"/>
      <c r="D61" s="89"/>
      <c r="E61" s="89">
        <f>股权价值增加表!E38</f>
        <v>812140343.23999977</v>
      </c>
      <c r="F61" s="89">
        <f>股权价值增加表!F38</f>
        <v>624646685.89999998</v>
      </c>
      <c r="G61" s="89">
        <f>股权价值增加表!G38</f>
        <v>423449556.2100001</v>
      </c>
      <c r="H61" s="89">
        <f>股权价值增加表!H38</f>
        <v>89709756.620000064</v>
      </c>
      <c r="I61" s="89">
        <f>股权价值增加表!I38</f>
        <v>792773058.6400001</v>
      </c>
      <c r="J61" s="89">
        <f>股权价值增加表!J38</f>
        <v>237352183.38999999</v>
      </c>
      <c r="K61" s="89">
        <f>股权价值增加表!K38</f>
        <v>-25013847.530000012</v>
      </c>
      <c r="L61" s="89">
        <f>股权价值增加表!L38</f>
        <v>-33907777.140000053</v>
      </c>
      <c r="M61" s="89">
        <f>股权价值增加表!M38</f>
        <v>687441008.46000004</v>
      </c>
      <c r="N61" s="89">
        <f>股权价值增加表!N38</f>
        <v>245282108.88</v>
      </c>
      <c r="O61" s="89">
        <f>股权价值增加表!O38</f>
        <v>143051489.91999993</v>
      </c>
      <c r="P61" s="89">
        <f>股权价值增加表!P38</f>
        <v>73837190.690000027</v>
      </c>
      <c r="Q61" s="89">
        <f>股权价值增加表!Q38</f>
        <v>413256756.31999999</v>
      </c>
      <c r="R61" s="89">
        <f>股权价值增加表!R38</f>
        <v>304950605.69</v>
      </c>
      <c r="S61" s="89">
        <f>股权价值增加表!S38</f>
        <v>-5530021.5500000063</v>
      </c>
      <c r="T61" s="89">
        <f>股权价值增加表!T38</f>
        <v>769705.78000000212</v>
      </c>
      <c r="U61" s="89">
        <f>股权价值增加表!U38</f>
        <v>15190447.170000028</v>
      </c>
      <c r="V61" s="89">
        <f>股权价值增加表!V38</f>
        <v>15543323.859999973</v>
      </c>
      <c r="W61" s="89">
        <f>股权价值增加表!W38</f>
        <v>18231053.109999992</v>
      </c>
      <c r="X61" s="89">
        <f>股权价值增加表!X38</f>
        <v>995777.84999999963</v>
      </c>
      <c r="Y61" s="89">
        <f>股权价值增加表!Y38</f>
        <v>28963379.029999971</v>
      </c>
      <c r="Z61" s="89">
        <f>股权价值增加表!Z38</f>
        <v>23288063.800000004</v>
      </c>
      <c r="AA61" s="89">
        <f>股权价值增加表!AA38</f>
        <v>18424860.419999998</v>
      </c>
      <c r="AB61" s="89">
        <f>股权价值增加表!AB38</f>
        <v>3603453.6600000025</v>
      </c>
      <c r="AC61" s="89">
        <f>股权价值增加表!AC38</f>
        <v>38744925.44000002</v>
      </c>
    </row>
    <row r="62" spans="1:88" s="192" customFormat="1" x14ac:dyDescent="0.25">
      <c r="A62" s="89" t="s">
        <v>680</v>
      </c>
      <c r="B62" s="89"/>
      <c r="C62" s="89"/>
      <c r="D62" s="89"/>
      <c r="E62" s="89">
        <f>股权价值增加表!E40</f>
        <v>92062359.090000004</v>
      </c>
      <c r="F62" s="89">
        <f>股权价值增加表!F40</f>
        <v>10145109.630000001</v>
      </c>
      <c r="G62" s="89">
        <f>股权价值增加表!G40</f>
        <v>-1820056.77</v>
      </c>
      <c r="H62" s="89">
        <f>股权价值增加表!H40</f>
        <v>10972596.619999999</v>
      </c>
      <c r="I62" s="89">
        <f>股权价值增加表!I40</f>
        <v>23262771.039999999</v>
      </c>
      <c r="J62" s="89">
        <f>股权价值增加表!J40</f>
        <v>15977291.960000001</v>
      </c>
      <c r="K62" s="89">
        <f>股权价值增加表!K40</f>
        <v>13771255.189999999</v>
      </c>
      <c r="L62" s="89">
        <f>股权价值增加表!L40</f>
        <v>3136668.2</v>
      </c>
      <c r="M62" s="89">
        <f>股权价值增加表!M40</f>
        <v>4512662.42</v>
      </c>
      <c r="N62" s="89">
        <f>股权价值增加表!N40</f>
        <v>6987471.79</v>
      </c>
      <c r="O62" s="89">
        <f>股权价值增加表!O40</f>
        <v>3953528.71</v>
      </c>
      <c r="P62" s="89">
        <f>股权价值增加表!P40</f>
        <v>2186290.33</v>
      </c>
      <c r="Q62" s="89">
        <f>股权价值增加表!Q40</f>
        <v>21485745.280000001</v>
      </c>
      <c r="R62" s="89">
        <f>股权价值增加表!R40</f>
        <v>17151603.640000001</v>
      </c>
      <c r="S62" s="89">
        <f>股权价值增加表!S40</f>
        <v>1006986.97</v>
      </c>
      <c r="T62" s="89">
        <f>股权价值增加表!T40</f>
        <v>793054.96</v>
      </c>
      <c r="U62" s="89">
        <f>股权价值增加表!U40</f>
        <v>4115710.46</v>
      </c>
      <c r="V62" s="89">
        <f>股权价值增加表!V40</f>
        <v>4034374.39</v>
      </c>
      <c r="W62" s="89">
        <f>股权价值增加表!W40</f>
        <v>6527735.9900000002</v>
      </c>
      <c r="X62" s="89">
        <f>股权价值增加表!X40</f>
        <v>1017370.33</v>
      </c>
      <c r="Y62" s="89">
        <f>股权价值增加表!Y40</f>
        <v>6591737.7999999998</v>
      </c>
      <c r="Z62" s="89">
        <f>股权价值增加表!Z40</f>
        <v>4795560.04</v>
      </c>
      <c r="AA62" s="89">
        <f>股权价值增加表!AA40</f>
        <v>4034249.83</v>
      </c>
      <c r="AB62" s="89">
        <f>股权价值增加表!AB40</f>
        <v>781698.28</v>
      </c>
      <c r="AC62" s="89">
        <f>股权价值增加表!AC40</f>
        <v>7905499.5</v>
      </c>
    </row>
    <row r="63" spans="1:88" x14ac:dyDescent="0.25">
      <c r="A63" s="183" t="s">
        <v>681</v>
      </c>
      <c r="B63" s="64"/>
      <c r="C63" s="64"/>
      <c r="D63" s="64"/>
      <c r="E63" s="64">
        <f>股权价值增加表!E42</f>
        <v>720077984.14999974</v>
      </c>
      <c r="F63" s="64">
        <f>股权价值增加表!F42</f>
        <v>614501576.26999998</v>
      </c>
      <c r="G63" s="64">
        <f>股权价值增加表!G42</f>
        <v>425269612.98000008</v>
      </c>
      <c r="H63" s="64">
        <f>股权价值增加表!H42</f>
        <v>78737160.00000006</v>
      </c>
      <c r="I63" s="64">
        <f>股权价值增加表!I42</f>
        <v>769510287.60000014</v>
      </c>
      <c r="J63" s="64">
        <f>股权价值增加表!J42</f>
        <v>221374891.42999998</v>
      </c>
      <c r="K63" s="64">
        <f>股权价值增加表!K42</f>
        <v>-38785102.720000014</v>
      </c>
      <c r="L63" s="64">
        <f>股权价值增加表!L42</f>
        <v>-37044445.340000056</v>
      </c>
      <c r="M63" s="64">
        <f>股权价值增加表!M42</f>
        <v>682928346.04000008</v>
      </c>
      <c r="N63" s="64">
        <f>股权价值增加表!N42</f>
        <v>238294637.09</v>
      </c>
      <c r="O63" s="64">
        <f>股权价值增加表!O42</f>
        <v>139097961.20999992</v>
      </c>
      <c r="P63" s="64">
        <f>股权价值增加表!P42</f>
        <v>71650900.360000029</v>
      </c>
      <c r="Q63" s="64">
        <f>股权价值增加表!Q42</f>
        <v>391771011.03999996</v>
      </c>
      <c r="R63" s="64">
        <f>股权价值增加表!R42</f>
        <v>287799002.05000001</v>
      </c>
      <c r="S63" s="64">
        <f>股权价值增加表!S42</f>
        <v>-6537008.5200000061</v>
      </c>
      <c r="T63" s="64">
        <f>股权价值增加表!T42</f>
        <v>-23349.179999997839</v>
      </c>
      <c r="U63" s="64">
        <f>股权价值增加表!U42</f>
        <v>11074736.710000027</v>
      </c>
      <c r="V63" s="64">
        <f>股权价值增加表!V42</f>
        <v>11508949.469999973</v>
      </c>
      <c r="W63" s="64">
        <f>股权价值增加表!W42</f>
        <v>11703317.119999992</v>
      </c>
      <c r="X63" s="64">
        <f>股权价值增加表!X42</f>
        <v>-21592.480000000331</v>
      </c>
      <c r="Y63" s="64">
        <f>股权价值增加表!Y42</f>
        <v>22371641.229999971</v>
      </c>
      <c r="Z63" s="64">
        <f>股权价值增加表!Z42</f>
        <v>18492503.760000005</v>
      </c>
      <c r="AA63" s="64">
        <f>股权价值增加表!AA42</f>
        <v>14390610.589999998</v>
      </c>
      <c r="AB63" s="64">
        <f>股权价值增加表!AB42</f>
        <v>2821755.3800000027</v>
      </c>
      <c r="AC63" s="64">
        <f>股权价值增加表!AC42</f>
        <v>30839425.94000002</v>
      </c>
    </row>
    <row r="64" spans="1:88" s="63" customFormat="1" x14ac:dyDescent="0.25">
      <c r="A64" s="213" t="s">
        <v>682</v>
      </c>
      <c r="B64" s="213"/>
      <c r="C64" s="213"/>
      <c r="D64" s="213"/>
      <c r="E64" s="213">
        <f>1-E63/E61</f>
        <v>0.11335769717179811</v>
      </c>
      <c r="F64" s="213">
        <f t="shared" ref="F64:AC64" si="46">1-F63/F61</f>
        <v>1.6241356688513897E-2</v>
      </c>
      <c r="G64" s="213">
        <f t="shared" si="46"/>
        <v>-4.2981666725312451E-3</v>
      </c>
      <c r="H64" s="213">
        <f t="shared" si="46"/>
        <v>0.12231218803188404</v>
      </c>
      <c r="I64" s="213">
        <f t="shared" si="46"/>
        <v>2.9343543888722956E-2</v>
      </c>
      <c r="J64" s="213">
        <f t="shared" si="46"/>
        <v>6.731470396354966E-2</v>
      </c>
      <c r="K64" s="213">
        <f t="shared" si="46"/>
        <v>-0.55054525991987591</v>
      </c>
      <c r="L64" s="213">
        <f t="shared" si="46"/>
        <v>-9.2505863390843324E-2</v>
      </c>
      <c r="M64" s="213">
        <f t="shared" si="46"/>
        <v>6.5644358780824197E-3</v>
      </c>
      <c r="N64" s="213">
        <f t="shared" si="46"/>
        <v>2.8487490677187921E-2</v>
      </c>
      <c r="O64" s="213">
        <f t="shared" si="46"/>
        <v>2.7637102641929645E-2</v>
      </c>
      <c r="P64" s="213">
        <f t="shared" si="46"/>
        <v>2.9609608783451313E-2</v>
      </c>
      <c r="Q64" s="213">
        <f t="shared" si="46"/>
        <v>5.1991274072148097E-2</v>
      </c>
      <c r="R64" s="213">
        <f t="shared" si="46"/>
        <v>5.6243874647147196E-2</v>
      </c>
      <c r="S64" s="213">
        <f t="shared" si="46"/>
        <v>-0.18209458333846795</v>
      </c>
      <c r="T64" s="213">
        <f t="shared" si="46"/>
        <v>1.0303352015883236</v>
      </c>
      <c r="U64" s="213">
        <f t="shared" si="46"/>
        <v>0.27094070463759712</v>
      </c>
      <c r="V64" s="213">
        <f t="shared" si="46"/>
        <v>0.25955673486172903</v>
      </c>
      <c r="W64" s="213">
        <f t="shared" si="46"/>
        <v>0.35805589236199653</v>
      </c>
      <c r="X64" s="213">
        <f t="shared" si="46"/>
        <v>1.0216840332409487</v>
      </c>
      <c r="Y64" s="213">
        <f t="shared" si="46"/>
        <v>0.22758870065444869</v>
      </c>
      <c r="Z64" s="213">
        <f t="shared" si="46"/>
        <v>0.20592351863962166</v>
      </c>
      <c r="AA64" s="213">
        <f t="shared" si="46"/>
        <v>0.21895687337858272</v>
      </c>
      <c r="AB64" s="213">
        <f t="shared" si="46"/>
        <v>0.21693029902873773</v>
      </c>
      <c r="AC64" s="213">
        <f t="shared" si="46"/>
        <v>0.20403961061281106</v>
      </c>
    </row>
    <row r="65" spans="1:29" ht="42.6" customHeight="1" x14ac:dyDescent="0.25">
      <c r="A65" s="281" t="s">
        <v>683</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735</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6" t="s">
        <v>703</v>
      </c>
      <c r="B69" s="286"/>
      <c r="C69" s="286"/>
      <c r="D69" s="286"/>
      <c r="E69" s="286"/>
      <c r="F69" s="256"/>
      <c r="G69" s="256"/>
      <c r="H69" s="256"/>
      <c r="I69" s="256" t="s">
        <v>707</v>
      </c>
      <c r="J69" s="256"/>
      <c r="K69" s="256"/>
      <c r="L69" s="256"/>
      <c r="M69" s="256" t="s">
        <v>708</v>
      </c>
    </row>
    <row r="70" spans="1:29" ht="57.6" x14ac:dyDescent="0.25">
      <c r="A70" s="287" t="s">
        <v>704</v>
      </c>
      <c r="B70" s="65"/>
      <c r="C70" s="65"/>
      <c r="D70" s="65"/>
      <c r="E70" s="65" t="s">
        <v>705</v>
      </c>
      <c r="F70" s="65"/>
      <c r="G70" s="65"/>
      <c r="H70" s="65"/>
      <c r="I70" s="257" t="s">
        <v>709</v>
      </c>
      <c r="J70" s="258"/>
      <c r="K70" s="258"/>
      <c r="L70" s="258"/>
      <c r="M70" s="257" t="s">
        <v>710</v>
      </c>
    </row>
    <row r="71" spans="1:29" ht="54.6" customHeight="1" x14ac:dyDescent="0.25">
      <c r="A71" s="287"/>
      <c r="B71" s="65"/>
      <c r="C71" s="65"/>
      <c r="D71" s="65"/>
      <c r="E71" s="65" t="s">
        <v>706</v>
      </c>
      <c r="F71" s="65"/>
      <c r="G71" s="65"/>
      <c r="H71" s="65"/>
      <c r="I71" s="257" t="s">
        <v>711</v>
      </c>
      <c r="J71" s="258"/>
      <c r="K71" s="258"/>
      <c r="L71" s="258"/>
      <c r="M71" s="257" t="s">
        <v>712</v>
      </c>
    </row>
    <row r="72" spans="1:29" ht="57.6" x14ac:dyDescent="0.25">
      <c r="A72" s="287" t="s">
        <v>720</v>
      </c>
      <c r="B72" s="65"/>
      <c r="C72" s="65"/>
      <c r="D72" s="65"/>
      <c r="E72" s="65" t="s">
        <v>713</v>
      </c>
      <c r="F72" s="65"/>
      <c r="G72" s="65"/>
      <c r="H72" s="65"/>
      <c r="I72" s="257" t="s">
        <v>721</v>
      </c>
      <c r="J72" s="258"/>
      <c r="K72" s="258"/>
      <c r="L72" s="258"/>
      <c r="M72" s="257" t="s">
        <v>722</v>
      </c>
    </row>
    <row r="73" spans="1:29" ht="43.2" x14ac:dyDescent="0.25">
      <c r="A73" s="287"/>
      <c r="B73" s="65"/>
      <c r="C73" s="65"/>
      <c r="D73" s="65"/>
      <c r="E73" s="65" t="s">
        <v>714</v>
      </c>
      <c r="F73" s="65"/>
      <c r="G73" s="65"/>
      <c r="H73" s="65"/>
      <c r="I73" s="257" t="s">
        <v>723</v>
      </c>
      <c r="J73" s="258"/>
      <c r="K73" s="258"/>
      <c r="L73" s="258"/>
      <c r="M73" s="257" t="s">
        <v>724</v>
      </c>
    </row>
    <row r="74" spans="1:29" ht="72" x14ac:dyDescent="0.25">
      <c r="A74" s="287"/>
      <c r="B74" s="65"/>
      <c r="C74" s="65"/>
      <c r="D74" s="65"/>
      <c r="E74" s="65" t="s">
        <v>715</v>
      </c>
      <c r="F74" s="65"/>
      <c r="G74" s="65"/>
      <c r="H74" s="65"/>
      <c r="I74" s="257" t="s">
        <v>725</v>
      </c>
      <c r="J74" s="258"/>
      <c r="K74" s="258"/>
      <c r="L74" s="258"/>
      <c r="M74" s="257" t="s">
        <v>726</v>
      </c>
    </row>
    <row r="75" spans="1:29" ht="72" x14ac:dyDescent="0.25">
      <c r="A75" s="287"/>
      <c r="B75" s="65"/>
      <c r="C75" s="65"/>
      <c r="D75" s="65"/>
      <c r="E75" s="65" t="s">
        <v>716</v>
      </c>
      <c r="F75" s="65"/>
      <c r="G75" s="65"/>
      <c r="H75" s="65"/>
      <c r="I75" s="257" t="s">
        <v>727</v>
      </c>
      <c r="J75" s="258"/>
      <c r="K75" s="258"/>
      <c r="L75" s="258"/>
      <c r="M75" s="257" t="s">
        <v>728</v>
      </c>
    </row>
    <row r="76" spans="1:29" x14ac:dyDescent="0.25">
      <c r="A76" s="287"/>
      <c r="B76" s="65"/>
      <c r="C76" s="65"/>
      <c r="D76" s="65"/>
      <c r="E76" s="65" t="s">
        <v>717</v>
      </c>
      <c r="F76" s="65"/>
      <c r="G76" s="65"/>
      <c r="H76" s="65"/>
      <c r="I76" s="257" t="s">
        <v>729</v>
      </c>
      <c r="J76" s="258"/>
      <c r="K76" s="258"/>
      <c r="L76" s="258"/>
      <c r="M76" s="257" t="s">
        <v>730</v>
      </c>
    </row>
    <row r="77" spans="1:29" ht="57.6" x14ac:dyDescent="0.25">
      <c r="A77" s="287"/>
      <c r="B77" s="65"/>
      <c r="C77" s="65"/>
      <c r="D77" s="65"/>
      <c r="E77" s="65" t="s">
        <v>718</v>
      </c>
      <c r="F77" s="65"/>
      <c r="G77" s="65"/>
      <c r="H77" s="65"/>
      <c r="I77" s="257" t="s">
        <v>731</v>
      </c>
      <c r="J77" s="258"/>
      <c r="K77" s="258"/>
      <c r="L77" s="258"/>
      <c r="M77" s="257" t="s">
        <v>732</v>
      </c>
    </row>
    <row r="78" spans="1:29" ht="57.6" x14ac:dyDescent="0.25">
      <c r="A78" s="287"/>
      <c r="B78" s="65"/>
      <c r="C78" s="65"/>
      <c r="D78" s="65"/>
      <c r="E78" s="65" t="s">
        <v>719</v>
      </c>
      <c r="F78" s="65"/>
      <c r="G78" s="65"/>
      <c r="H78" s="65"/>
      <c r="I78" s="257" t="s">
        <v>733</v>
      </c>
      <c r="J78" s="258"/>
      <c r="K78" s="258"/>
      <c r="L78" s="258"/>
      <c r="M78" s="257" t="s">
        <v>734</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80" workbookViewId="0">
      <selection activeCell="E94" sqref="E94"/>
    </sheetView>
  </sheetViews>
  <sheetFormatPr defaultRowHeight="14.4" x14ac:dyDescent="0.25"/>
  <cols>
    <col min="1" max="1" width="50.6640625" style="17" bestFit="1" customWidth="1"/>
    <col min="2" max="4" width="11.6640625" hidden="1" customWidth="1"/>
    <col min="5" max="5" width="20.77734375" customWidth="1"/>
    <col min="6" max="8" width="20.44140625" hidden="1" customWidth="1"/>
    <col min="9" max="9" width="22.5546875" customWidth="1"/>
    <col min="10" max="12" width="19.33203125" hidden="1" customWidth="1"/>
    <col min="13" max="13" width="20.88671875" customWidth="1"/>
    <col min="14" max="14" width="18.33203125" hidden="1" customWidth="1"/>
    <col min="15" max="15" width="17.21875" hidden="1" customWidth="1"/>
    <col min="16" max="16" width="18.33203125" hidden="1" customWidth="1"/>
    <col min="17" max="17" width="17.21875" bestFit="1" customWidth="1"/>
    <col min="18" max="18" width="17.21875" hidden="1" customWidth="1"/>
    <col min="19" max="20" width="18.33203125" hidden="1" customWidth="1"/>
    <col min="21" max="21" width="18.33203125" bestFit="1" customWidth="1"/>
    <col min="22" max="24" width="18.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3" width="17.21875" bestFit="1" customWidth="1"/>
    <col min="44" max="44" width="20.44140625" hidden="1" customWidth="1"/>
    <col min="45" max="51" width="20.44140625" bestFit="1" customWidth="1"/>
    <col min="52"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2354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720077984.14999974</v>
      </c>
      <c r="F2" s="26">
        <f>股权价值增加表!F42</f>
        <v>614501576.26999998</v>
      </c>
      <c r="G2" s="26">
        <f>股权价值增加表!G42</f>
        <v>425269612.98000008</v>
      </c>
      <c r="H2" s="26">
        <f>股权价值增加表!H42</f>
        <v>78737160.00000006</v>
      </c>
      <c r="I2" s="26">
        <f>股权价值增加表!I42</f>
        <v>769510287.60000014</v>
      </c>
      <c r="J2" s="26">
        <f>股权价值增加表!J42</f>
        <v>221374891.42999998</v>
      </c>
      <c r="K2" s="26">
        <f>股权价值增加表!K42</f>
        <v>-38785102.720000014</v>
      </c>
      <c r="L2" s="26">
        <f>股权价值增加表!L42</f>
        <v>-37044445.340000056</v>
      </c>
      <c r="M2" s="26">
        <f>股权价值增加表!M42</f>
        <v>682928346.04000008</v>
      </c>
      <c r="N2" s="26">
        <f>股权价值增加表!N42</f>
        <v>238294637.09</v>
      </c>
      <c r="O2" s="26">
        <f>股权价值增加表!O42</f>
        <v>139097961.20999992</v>
      </c>
      <c r="P2" s="26">
        <f>股权价值增加表!P42</f>
        <v>71650900.360000029</v>
      </c>
      <c r="Q2" s="26">
        <f>股权价值增加表!Q42</f>
        <v>391771011.03999996</v>
      </c>
      <c r="R2" s="26">
        <f>股权价值增加表!R42</f>
        <v>287799002.05000001</v>
      </c>
      <c r="S2" s="26">
        <f>股权价值增加表!S42</f>
        <v>-6537008.5200000061</v>
      </c>
      <c r="T2" s="26">
        <f>股权价值增加表!T42</f>
        <v>-23349.179999997839</v>
      </c>
      <c r="U2" s="26">
        <f>股权价值增加表!U42</f>
        <v>11074736.710000027</v>
      </c>
      <c r="V2" s="26">
        <f>股权价值增加表!V42</f>
        <v>11508949.469999973</v>
      </c>
      <c r="W2" s="26">
        <f>股权价值增加表!W42</f>
        <v>11703317.119999992</v>
      </c>
      <c r="X2" s="26">
        <f>股权价值增加表!X42</f>
        <v>-21592.480000000331</v>
      </c>
      <c r="Y2" s="26">
        <f>股权价值增加表!Y42</f>
        <v>22371641.229999971</v>
      </c>
      <c r="Z2" s="26">
        <f>股权价值增加表!Z42</f>
        <v>18492503.760000005</v>
      </c>
      <c r="AA2" s="26">
        <f>股权价值增加表!AA42</f>
        <v>14390610.589999998</v>
      </c>
      <c r="AB2" s="26">
        <f>股权价值增加表!AB42</f>
        <v>2821755.3800000027</v>
      </c>
      <c r="AC2" s="26">
        <f>股权价值增加表!AC42</f>
        <v>30839425.94000002</v>
      </c>
      <c r="AD2" s="26">
        <f>股权价值增加表!AD42</f>
        <v>16092798.039999982</v>
      </c>
      <c r="AE2" s="26">
        <f>股权价值增加表!AE42</f>
        <v>8994970.0600000173</v>
      </c>
      <c r="AF2" s="26">
        <f>股权价值增加表!AF42</f>
        <v>2463653.3399999952</v>
      </c>
      <c r="AG2" s="26">
        <f>股权价值增加表!AG42</f>
        <v>13597742.909999982</v>
      </c>
      <c r="AH2" s="26">
        <f>股权价值增加表!AH42</f>
        <v>10705495.929999987</v>
      </c>
      <c r="AI2" s="26">
        <f>股权价值增加表!AI42</f>
        <v>4134199.360000011</v>
      </c>
      <c r="AJ2" s="26">
        <f>股权价值增加表!AJ42</f>
        <v>-2888212.7400000007</v>
      </c>
      <c r="AK2" s="26">
        <f>股权价值增加表!AK42</f>
        <v>29789402.100000009</v>
      </c>
      <c r="AL2" s="26">
        <f>股权价值增加表!AL42</f>
        <v>15710321.639999988</v>
      </c>
      <c r="AM2" s="26">
        <f>股权价值增加表!AM42</f>
        <v>8489805.9999999981</v>
      </c>
      <c r="AN2" s="26">
        <f>股权价值增加表!AN42</f>
        <v>3358308.1200000038</v>
      </c>
      <c r="AO2" s="26">
        <f>股权价值增加表!AO42</f>
        <v>32754311.770000014</v>
      </c>
      <c r="AP2" s="26">
        <f>股权价值增加表!AP42</f>
        <v>28500980.799999982</v>
      </c>
      <c r="AQ2" s="26">
        <f>股权价值增加表!AQ42</f>
        <v>26468454.059999984</v>
      </c>
      <c r="AR2" s="26">
        <f>股权价值增加表!AR42</f>
        <v>0</v>
      </c>
      <c r="AS2" s="26">
        <f>股权价值增加表!AS42</f>
        <v>-610135253.33999991</v>
      </c>
      <c r="AT2" s="26">
        <f>股权价值增加表!AT42</f>
        <v>-606675948.97000003</v>
      </c>
      <c r="AU2" s="26">
        <f>股权价值增加表!AU42</f>
        <v>-525244177.46999997</v>
      </c>
      <c r="AV2" s="26">
        <f>股权价值增加表!AV42</f>
        <v>-370504198.70999998</v>
      </c>
      <c r="AW2" s="26">
        <f>股权价值增加表!AW42</f>
        <v>-550836582.15999997</v>
      </c>
      <c r="AX2" s="26">
        <f>股权价值增加表!AX42</f>
        <v>-497364124.85000002</v>
      </c>
      <c r="AY2" s="26">
        <f>股权价值增加表!AY42</f>
        <v>-393993423.18000001</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9546589789.4300003</v>
      </c>
      <c r="F3" s="26">
        <f>资产资本表!F107</f>
        <v>8373798653.9199991</v>
      </c>
      <c r="G3" s="26">
        <f>资产资本表!G107</f>
        <v>8277020679.7399998</v>
      </c>
      <c r="H3" s="26">
        <f>资产资本表!H107</f>
        <v>5982506858.04</v>
      </c>
      <c r="I3" s="26">
        <f>资产资本表!I107</f>
        <v>5708952320.9099998</v>
      </c>
      <c r="J3" s="26">
        <f>资产资本表!J107</f>
        <v>5175724928.6900005</v>
      </c>
      <c r="K3" s="26">
        <f>资产资本表!K107</f>
        <v>4896314387.5999994</v>
      </c>
      <c r="L3" s="26">
        <f>资产资本表!L107</f>
        <v>4859560505.9000006</v>
      </c>
      <c r="M3" s="26">
        <f>资产资本表!M107</f>
        <v>4969042405.9700003</v>
      </c>
      <c r="N3" s="26">
        <f>资产资本表!N107</f>
        <v>878126876.58000004</v>
      </c>
      <c r="O3" s="26">
        <f>资产资本表!O107</f>
        <v>778930200.69999993</v>
      </c>
      <c r="P3" s="26">
        <f>资产资本表!P107</f>
        <v>733868850.33000004</v>
      </c>
      <c r="Q3" s="26">
        <f>资产资本表!Q107</f>
        <v>663016824.98000002</v>
      </c>
      <c r="R3" s="26">
        <f>资产资本表!R107</f>
        <v>559044815.99000001</v>
      </c>
      <c r="S3" s="26">
        <f>资产资本表!S107</f>
        <v>460548774.36000001</v>
      </c>
      <c r="T3" s="26">
        <f>资产资本表!T107</f>
        <v>467997433.69999999</v>
      </c>
      <c r="U3" s="26">
        <f>资产资本表!U107</f>
        <v>468020782.88</v>
      </c>
      <c r="V3" s="26">
        <f>资产资本表!V107</f>
        <v>471279482.13999999</v>
      </c>
      <c r="W3" s="26">
        <f>资产资本表!W107</f>
        <v>471453103.29000002</v>
      </c>
      <c r="X3" s="26">
        <f>资产资本表!X107</f>
        <v>459729453.69</v>
      </c>
      <c r="Y3" s="26">
        <f>资产资本表!Y107</f>
        <v>459751046.17000002</v>
      </c>
      <c r="Z3" s="26">
        <f>资产资本表!Z107</f>
        <v>455907603.92000002</v>
      </c>
      <c r="AA3" s="26">
        <f>资产资本表!AA107</f>
        <v>489305710.75</v>
      </c>
      <c r="AB3" s="26">
        <f>资产资本表!AB107</f>
        <v>487086855.54000002</v>
      </c>
      <c r="AC3" s="26">
        <f>资产资本表!AC107</f>
        <v>484265100.16000003</v>
      </c>
      <c r="AD3" s="26">
        <f>资产资本表!AD107</f>
        <v>469518472.25999999</v>
      </c>
      <c r="AE3" s="26">
        <f>资产资本表!AE107</f>
        <v>462420644.27999997</v>
      </c>
      <c r="AF3" s="26">
        <f>资产资本表!AF107</f>
        <v>455889327.56</v>
      </c>
      <c r="AG3" s="26">
        <f>资产资本表!AG107</f>
        <v>453425674.21999997</v>
      </c>
      <c r="AH3" s="26">
        <f>资产资本表!AH107</f>
        <v>448658814.74000001</v>
      </c>
      <c r="AI3" s="26">
        <f>资产资本表!AI107</f>
        <v>442087518.17000002</v>
      </c>
      <c r="AJ3" s="26">
        <f>资产资本表!AJ107</f>
        <v>436089902.19999999</v>
      </c>
      <c r="AK3" s="26">
        <f>资产资本表!AK107</f>
        <v>175753331.31</v>
      </c>
      <c r="AL3" s="26">
        <f>资产资本表!AL107</f>
        <v>162176159.81</v>
      </c>
      <c r="AM3" s="26">
        <f>资产资本表!AM107</f>
        <v>154453735.21000001</v>
      </c>
      <c r="AN3" s="26">
        <f>资产资本表!AN107</f>
        <v>145963929.21000001</v>
      </c>
      <c r="AO3" s="26">
        <f>资产资本表!AO107</f>
        <v>113209617.44000001</v>
      </c>
      <c r="AP3" s="26">
        <f>资产资本表!AP107</f>
        <v>84708636.640000001</v>
      </c>
      <c r="AQ3" s="26">
        <f>资产资本表!AQ107</f>
        <v>0</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5" t="s">
        <v>430</v>
      </c>
      <c r="E4" s="59">
        <f>E2/E3</f>
        <v>7.5427770547685125E-2</v>
      </c>
      <c r="F4" s="59">
        <f t="shared" ref="F4:BQ4" si="0">F2/F3</f>
        <v>7.3383849035149107E-2</v>
      </c>
      <c r="G4" s="59">
        <f t="shared" si="0"/>
        <v>5.1379551826051348E-2</v>
      </c>
      <c r="H4" s="59">
        <f t="shared" si="0"/>
        <v>1.3161231882949495E-2</v>
      </c>
      <c r="I4" s="59">
        <f t="shared" si="0"/>
        <v>0.13479010584508458</v>
      </c>
      <c r="J4" s="59">
        <f t="shared" si="0"/>
        <v>4.2771765207783363E-2</v>
      </c>
      <c r="K4" s="59">
        <f t="shared" si="0"/>
        <v>-7.9212852055055849E-3</v>
      </c>
      <c r="L4" s="59">
        <f t="shared" si="0"/>
        <v>-7.6230032108920822E-3</v>
      </c>
      <c r="M4" s="59">
        <f t="shared" si="0"/>
        <v>0.13743661056695822</v>
      </c>
      <c r="N4" s="59">
        <f t="shared" si="0"/>
        <v>0.27136697833241941</v>
      </c>
      <c r="O4" s="59">
        <f t="shared" si="0"/>
        <v>0.17857564270199947</v>
      </c>
      <c r="P4" s="59">
        <f t="shared" si="0"/>
        <v>9.7634475598440573E-2</v>
      </c>
      <c r="Q4" s="59">
        <f t="shared" si="0"/>
        <v>0.59089150724314998</v>
      </c>
      <c r="R4" s="59">
        <f t="shared" si="0"/>
        <v>0.51480488472170727</v>
      </c>
      <c r="S4" s="59">
        <f t="shared" si="0"/>
        <v>-1.4193954872823485E-2</v>
      </c>
      <c r="T4" s="59">
        <f t="shared" si="0"/>
        <v>-4.9891683839799315E-5</v>
      </c>
      <c r="U4" s="59">
        <f t="shared" si="0"/>
        <v>2.3662916509499487E-2</v>
      </c>
      <c r="V4" s="59">
        <f t="shared" si="0"/>
        <v>2.4420646147673968E-2</v>
      </c>
      <c r="W4" s="59">
        <f t="shared" si="0"/>
        <v>2.4823926363681293E-2</v>
      </c>
      <c r="X4" s="59">
        <f t="shared" si="0"/>
        <v>-4.6967797748630541E-5</v>
      </c>
      <c r="Y4" s="59">
        <f t="shared" si="0"/>
        <v>4.8660337842336768E-2</v>
      </c>
      <c r="Z4" s="59">
        <f t="shared" si="0"/>
        <v>4.0561955100106122E-2</v>
      </c>
      <c r="AA4" s="59">
        <f t="shared" si="0"/>
        <v>2.941026494038318E-2</v>
      </c>
      <c r="AB4" s="59">
        <f t="shared" si="0"/>
        <v>5.7931256980271306E-3</v>
      </c>
      <c r="AC4" s="59">
        <f t="shared" si="0"/>
        <v>6.3682941285281028E-2</v>
      </c>
      <c r="AD4" s="59">
        <f t="shared" si="0"/>
        <v>3.427511161070667E-2</v>
      </c>
      <c r="AE4" s="59">
        <f t="shared" si="0"/>
        <v>1.9451921472938134E-2</v>
      </c>
      <c r="AF4" s="59">
        <f t="shared" si="0"/>
        <v>5.4040601327210308E-3</v>
      </c>
      <c r="AG4" s="59">
        <f t="shared" si="0"/>
        <v>2.9988912589458756E-2</v>
      </c>
      <c r="AH4" s="59">
        <f t="shared" si="0"/>
        <v>2.3861106877402765E-2</v>
      </c>
      <c r="AI4" s="59">
        <f t="shared" si="0"/>
        <v>9.3515405662510671E-3</v>
      </c>
      <c r="AJ4" s="59">
        <f t="shared" si="0"/>
        <v>-6.6229755044302898E-3</v>
      </c>
      <c r="AK4" s="59">
        <f t="shared" si="0"/>
        <v>0.16949551896377085</v>
      </c>
      <c r="AL4" s="59">
        <f t="shared" si="0"/>
        <v>9.6871954906354044E-2</v>
      </c>
      <c r="AM4" s="59">
        <f t="shared" si="0"/>
        <v>5.496666033007877E-2</v>
      </c>
      <c r="AN4" s="59">
        <f t="shared" si="0"/>
        <v>2.3007794721450439E-2</v>
      </c>
      <c r="AO4" s="59">
        <f t="shared" si="0"/>
        <v>0.2893244629800068</v>
      </c>
      <c r="AP4" s="59">
        <f t="shared" si="0"/>
        <v>0.33645897195967411</v>
      </c>
      <c r="AQ4" s="59" t="e">
        <f t="shared" si="0"/>
        <v>#DIV/0!</v>
      </c>
      <c r="AR4" s="59">
        <f t="shared" si="0"/>
        <v>0</v>
      </c>
      <c r="AS4" s="59">
        <f t="shared" si="0"/>
        <v>-6.3382529886117006E-2</v>
      </c>
      <c r="AT4" s="59">
        <f t="shared" si="0"/>
        <v>-6.3957652305486765E-2</v>
      </c>
      <c r="AU4" s="59">
        <f t="shared" si="0"/>
        <v>-5.6453495505317926E-2</v>
      </c>
      <c r="AV4" s="59">
        <f t="shared" si="0"/>
        <v>-4.0932230447377788E-2</v>
      </c>
      <c r="AW4" s="59">
        <f t="shared" si="0"/>
        <v>-6.6404507779177488E-2</v>
      </c>
      <c r="AX4" s="59">
        <f t="shared" si="0"/>
        <v>-6.1103607040135344E-2</v>
      </c>
      <c r="AY4" s="59">
        <f t="shared" si="0"/>
        <v>-4.9629148809012189E-2</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-43649199.004400253</v>
      </c>
      <c r="F5" s="26">
        <f>股权价值增加表!F47</f>
        <v>-55402316.043600082</v>
      </c>
      <c r="G5" s="26">
        <f>股权价值增加表!G47</f>
        <v>-236892041.3991999</v>
      </c>
      <c r="H5" s="26">
        <f>股权价值增加表!H47</f>
        <v>-399863388.64319992</v>
      </c>
      <c r="I5" s="26">
        <f>股权价值增加表!I47</f>
        <v>312794101.92720014</v>
      </c>
      <c r="J5" s="26">
        <f>股权价值增加表!J47</f>
        <v>-192683102.86520001</v>
      </c>
      <c r="K5" s="26">
        <f>股权价值增加表!K47</f>
        <v>-430490253.72800004</v>
      </c>
      <c r="L5" s="26">
        <f>股权价值增加表!L47</f>
        <v>-425809285.81200004</v>
      </c>
      <c r="M5" s="26">
        <f>股权价值增加表!M47</f>
        <v>285404953.56240004</v>
      </c>
      <c r="N5" s="26">
        <f>股权价值增加表!N47</f>
        <v>168044486.96359998</v>
      </c>
      <c r="O5" s="26">
        <f>股权价值增加表!O47</f>
        <v>76783545.153999925</v>
      </c>
      <c r="P5" s="26">
        <f>股权价值增加表!P47</f>
        <v>12941392.333600022</v>
      </c>
      <c r="Q5" s="26">
        <f>股权价值增加表!Q47</f>
        <v>338729665.04159999</v>
      </c>
      <c r="R5" s="26">
        <f>股权价值增加表!R47</f>
        <v>243075416.77079999</v>
      </c>
      <c r="S5" s="26">
        <f>股权价值增加表!S47</f>
        <v>-43380910.468800008</v>
      </c>
      <c r="T5" s="26">
        <f>股权价值增加表!T47</f>
        <v>-37463143.876000002</v>
      </c>
      <c r="U5" s="26">
        <f>股权价值增加表!U47</f>
        <v>-26366925.920399975</v>
      </c>
      <c r="V5" s="26">
        <f>股权价值增加表!V47</f>
        <v>-26193409.101200026</v>
      </c>
      <c r="W5" s="26">
        <f>股权价值增加表!W47</f>
        <v>-26012931.14320001</v>
      </c>
      <c r="X5" s="26">
        <f>股权价值增加表!X47</f>
        <v>-36799948.775199994</v>
      </c>
      <c r="Y5" s="26">
        <f>股权价值增加表!Y47</f>
        <v>-14408442.463600028</v>
      </c>
      <c r="Z5" s="26">
        <f>股权价值增加表!Z47</f>
        <v>-17980104.553599998</v>
      </c>
      <c r="AA5" s="26">
        <f>股权价值增加表!AA47</f>
        <v>-24753846.270000003</v>
      </c>
      <c r="AB5" s="26">
        <f>股权价值增加表!AB47</f>
        <v>-36145193.063199997</v>
      </c>
      <c r="AC5" s="26">
        <f>股权价值增加表!AC47</f>
        <v>-7901782.0727999806</v>
      </c>
      <c r="AD5" s="26">
        <f>股权价值增加表!AD47</f>
        <v>-21468679.740800016</v>
      </c>
      <c r="AE5" s="26">
        <f>股权价值增加表!AE47</f>
        <v>-27998681.482399978</v>
      </c>
      <c r="AF5" s="26">
        <f>股权价值增加表!AF47</f>
        <v>-34007492.864800006</v>
      </c>
      <c r="AG5" s="26">
        <f>股权价值增加表!AG47</f>
        <v>-22676311.02760002</v>
      </c>
      <c r="AH5" s="26">
        <f>股权价值增加表!AH47</f>
        <v>-25187209.249200016</v>
      </c>
      <c r="AI5" s="26">
        <f>股权价值增加表!AI47</f>
        <v>-31232802.093599994</v>
      </c>
      <c r="AJ5" s="26">
        <f>股权价值增加表!AJ47</f>
        <v>-37775404.916000001</v>
      </c>
      <c r="AK5" s="26">
        <f>股权价值增加表!AK47</f>
        <v>15729135.595200008</v>
      </c>
      <c r="AL5" s="26">
        <f>股权价值增加表!AL47</f>
        <v>2736228.8551999871</v>
      </c>
      <c r="AM5" s="26">
        <f>股权价值增加表!AM47</f>
        <v>-3866492.816800002</v>
      </c>
      <c r="AN5" s="26">
        <f>股权价值增加表!AN47</f>
        <v>-8318806.2167999977</v>
      </c>
      <c r="AO5" s="26">
        <f>股权价值增加表!AO47</f>
        <v>23697542.374800015</v>
      </c>
      <c r="AP5" s="26">
        <f>股权价值增加表!AP47</f>
        <v>21724289.868799981</v>
      </c>
      <c r="AQ5" s="26">
        <f>股权价值增加表!AQ47</f>
        <v>26468454.059999984</v>
      </c>
      <c r="AR5" s="26">
        <f>股权价值增加表!AR47</f>
        <v>0</v>
      </c>
      <c r="AS5" s="26">
        <f>股权价值增加表!AS47</f>
        <v>-1380234212.0735998</v>
      </c>
      <c r="AT5" s="26">
        <f>股权价值增加表!AT47</f>
        <v>-1365523001.1691999</v>
      </c>
      <c r="AU5" s="26">
        <f>股权价值增加表!AU47</f>
        <v>-1269565389.4956</v>
      </c>
      <c r="AV5" s="26">
        <f>股权价值增加表!AV47</f>
        <v>-1094636149.8116</v>
      </c>
      <c r="AW5" s="26">
        <f>股权价值增加表!AW47</f>
        <v>-1214450063.3312001</v>
      </c>
      <c r="AX5" s="26">
        <f>股权价值增加表!AX47</f>
        <v>-1148538939.4868002</v>
      </c>
      <c r="AY5" s="26">
        <f>股权价值增加表!AY47</f>
        <v>-1029093452.312</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7" customFormat="1" x14ac:dyDescent="0.25">
      <c r="A6" s="157" t="s">
        <v>437</v>
      </c>
      <c r="E6" s="157">
        <f>股权价值增加表!E31/股权价值增加表!E4</f>
        <v>0.30171177812328293</v>
      </c>
      <c r="F6" s="157">
        <f>股权价值增加表!F31/股权价值增加表!F4</f>
        <v>0.31300952091319323</v>
      </c>
      <c r="G6" s="157">
        <f>股权价值增加表!G31/股权价值增加表!G4</f>
        <v>0.29577094742310223</v>
      </c>
      <c r="H6" s="157">
        <f>股权价值增加表!H31/股权价值增加表!H4</f>
        <v>0.18870692383349089</v>
      </c>
      <c r="I6" s="157">
        <f>股权价值增加表!I31/股权价值增加表!I4</f>
        <v>0.48544106247438873</v>
      </c>
      <c r="J6" s="157">
        <f>股权价值增加表!J31/股权价值增加表!J4</f>
        <v>0.19348472689868532</v>
      </c>
      <c r="K6" s="157">
        <f>股权价值增加表!K31/股权价值增加表!K4</f>
        <v>-1.9939215829959799E-2</v>
      </c>
      <c r="L6" s="157">
        <f>股权价值增加表!L31/股权价值增加表!L4</f>
        <v>-6.6990096964204354E-2</v>
      </c>
      <c r="M6" s="157">
        <f>股权价值增加表!M31/股权价值增加表!M4</f>
        <v>0.78831978411245263</v>
      </c>
      <c r="N6" s="157">
        <f>股权价值增加表!N31/股权价值增加表!N4</f>
        <v>0.49664980660065911</v>
      </c>
      <c r="O6" s="157">
        <f>股权价值增加表!O31/股权价值增加表!O4</f>
        <v>0.47841864097465087</v>
      </c>
      <c r="P6" s="157">
        <f>股权价值增加表!P31/股权价值增加表!P4</f>
        <v>0.48912306956424112</v>
      </c>
      <c r="Q6" s="157">
        <f>股权价值增加表!Q31/股权价值增加表!Q4</f>
        <v>0.8657064612713713</v>
      </c>
      <c r="R6" s="157">
        <f>股权价值增加表!R31/股权价值增加表!R4</f>
        <v>0.88725217576995674</v>
      </c>
      <c r="S6" s="157">
        <f>股权价值增加表!S31/股权价值增加表!S4</f>
        <v>3.8389700189458108E-2</v>
      </c>
      <c r="T6" s="157">
        <f>股权价值增加表!T31/股权价值增加表!T4</f>
        <v>8.0864183280093663E-2</v>
      </c>
      <c r="U6" s="157">
        <f>股权价值增加表!U31/股权价值增加表!U4</f>
        <v>0.11677914258466131</v>
      </c>
      <c r="V6" s="157">
        <f>股权价值增加表!V31/股权价值增加表!V4</f>
        <v>0.13448474393301271</v>
      </c>
      <c r="W6" s="157">
        <f>股权价值增加表!W31/股权价值增加表!W4</f>
        <v>0.17598037032320252</v>
      </c>
      <c r="X6" s="157">
        <f>股权价值增加表!X31/股权价值增加表!X4</f>
        <v>8.2749898688473572E-2</v>
      </c>
      <c r="Y6" s="157">
        <f>股权价值增加表!Y31/股权价值增加表!Y4</f>
        <v>0.13831951475663129</v>
      </c>
      <c r="Z6" s="157">
        <f>股权价值增加表!Z31/股权价值增加表!Z4</f>
        <v>0.14433187848272991</v>
      </c>
      <c r="AA6" s="157">
        <f>股权价值增加表!AA31/股权价值增加表!AA4</f>
        <v>0.16345737801203486</v>
      </c>
      <c r="AB6" s="157">
        <f>股权价值增加表!AB31/股权价值增加表!AB4</f>
        <v>9.2370312309824787E-2</v>
      </c>
      <c r="AC6" s="157">
        <f>股权价值增加表!AC31/股权价值增加表!AC4</f>
        <v>0.13648821324180438</v>
      </c>
      <c r="AD6" s="157">
        <f>股权价值增加表!AD31/股权价值增加表!AD4</f>
        <v>0.10333639292903735</v>
      </c>
      <c r="AE6" s="157">
        <f>股权价值增加表!AE31/股权价值增加表!AE4</f>
        <v>9.770673015493006E-2</v>
      </c>
      <c r="AF6" s="157">
        <f>股权价值增加表!AF31/股权价值增加表!AF4</f>
        <v>6.0713647293171878E-2</v>
      </c>
      <c r="AG6" s="157">
        <f>股权价值增加表!AG31/股权价值增加表!AG4</f>
        <v>8.3823874115820055E-2</v>
      </c>
      <c r="AH6" s="157">
        <f>股权价值增加表!AH31/股权价值增加表!AH4</f>
        <v>8.4330293050502936E-2</v>
      </c>
      <c r="AI6" s="157">
        <f>股权价值增加表!AI31/股权价值增加表!AI4</f>
        <v>6.6531869748009273E-2</v>
      </c>
      <c r="AJ6" s="157">
        <f>股权价值增加表!AJ31/股权价值增加表!AJ4</f>
        <v>-1.7174465998114195E-2</v>
      </c>
      <c r="AK6" s="157">
        <f>股权价值增加表!AK31/股权价值增加表!AK4</f>
        <v>0.18697935318530365</v>
      </c>
      <c r="AL6" s="157">
        <f>股权价值增加表!AL31/股权价值增加表!AL4</f>
        <v>0.15692961151358825</v>
      </c>
      <c r="AM6" s="157">
        <f>股权价值增加表!AM31/股权价值增加表!AM4</f>
        <v>0.14585853810223343</v>
      </c>
      <c r="AN6" s="157">
        <f>股权价值增加表!AN31/股权价值增加表!AN4</f>
        <v>0.12132731474851295</v>
      </c>
      <c r="AO6" s="157">
        <f>股权价值增加表!AO31/股权价值增加表!AO4</f>
        <v>0.16178083961395018</v>
      </c>
      <c r="AP6" s="157">
        <f>股权价值增加表!AP31/股权价值增加表!AP4</f>
        <v>0.14549120615328509</v>
      </c>
      <c r="AQ6" s="157">
        <f>股权价值增加表!AQ31/股权价值增加表!AQ4</f>
        <v>0.14904545568285527</v>
      </c>
      <c r="AR6" s="157" t="e">
        <f>股权价值增加表!AR31/股权价值增加表!AR4</f>
        <v>#DIV/0!</v>
      </c>
      <c r="AS6" s="157" t="e">
        <f>股权价值增加表!AS31/股权价值增加表!AS4</f>
        <v>#DIV/0!</v>
      </c>
      <c r="AT6" s="157" t="e">
        <f>股权价值增加表!AT31/股权价值增加表!AT4</f>
        <v>#DIV/0!</v>
      </c>
      <c r="AU6" s="157" t="e">
        <f>股权价值增加表!AU31/股权价值增加表!AU4</f>
        <v>#DIV/0!</v>
      </c>
      <c r="AV6" s="157" t="e">
        <f>股权价值增加表!AV31/股权价值增加表!AV4</f>
        <v>#DIV/0!</v>
      </c>
      <c r="AW6" s="157" t="e">
        <f>股权价值增加表!AW31/股权价值增加表!AW4</f>
        <v>#DIV/0!</v>
      </c>
      <c r="AX6" s="157" t="e">
        <f>股权价值增加表!AX31/股权价值增加表!AX4</f>
        <v>#DIV/0!</v>
      </c>
      <c r="AY6" s="157" t="e">
        <f>股权价值增加表!AY31/股权价值增加表!AY4</f>
        <v>#DIV/0!</v>
      </c>
      <c r="AZ6" s="157" t="e">
        <f>股权价值增加表!AZ31/股权价值增加表!AZ4</f>
        <v>#DIV/0!</v>
      </c>
      <c r="BA6" s="157" t="e">
        <f>股权价值增加表!BA31/股权价值增加表!BA4</f>
        <v>#DIV/0!</v>
      </c>
      <c r="BB6" s="157" t="e">
        <f>股权价值增加表!BB31/股权价值增加表!BB4</f>
        <v>#DIV/0!</v>
      </c>
      <c r="BC6" s="157" t="e">
        <f>股权价值增加表!BC31/股权价值增加表!BC4</f>
        <v>#DIV/0!</v>
      </c>
      <c r="BD6" s="157" t="e">
        <f>股权价值增加表!BD31/股权价值增加表!BD4</f>
        <v>#DIV/0!</v>
      </c>
      <c r="BE6" s="157" t="e">
        <f>股权价值增加表!BE31/股权价值增加表!BE4</f>
        <v>#DIV/0!</v>
      </c>
      <c r="BF6" s="157" t="e">
        <f>股权价值增加表!BF31/股权价值增加表!BF4</f>
        <v>#DIV/0!</v>
      </c>
      <c r="BG6" s="157" t="e">
        <f>股权价值增加表!BG31/股权价值增加表!BG4</f>
        <v>#DIV/0!</v>
      </c>
      <c r="BH6" s="157" t="e">
        <f>股权价值增加表!BH31/股权价值增加表!BH4</f>
        <v>#DIV/0!</v>
      </c>
      <c r="BI6" s="157" t="e">
        <f>股权价值增加表!BI31/股权价值增加表!BI4</f>
        <v>#DIV/0!</v>
      </c>
      <c r="BJ6" s="157" t="e">
        <f>股权价值增加表!BJ31/股权价值增加表!BJ4</f>
        <v>#DIV/0!</v>
      </c>
      <c r="BK6" s="157" t="e">
        <f>股权价值增加表!BK31/股权价值增加表!BK4</f>
        <v>#DIV/0!</v>
      </c>
      <c r="BL6" s="157" t="e">
        <f>股权价值增加表!BL31/股权价值增加表!BL4</f>
        <v>#DIV/0!</v>
      </c>
      <c r="BM6" s="157" t="e">
        <f>股权价值增加表!BM31/股权价值增加表!BM4</f>
        <v>#DIV/0!</v>
      </c>
      <c r="BN6" s="157" t="e">
        <f>股权价值增加表!BN31/股权价值增加表!BN4</f>
        <v>#DIV/0!</v>
      </c>
      <c r="BO6" s="157" t="e">
        <f>股权价值增加表!BO31/股权价值增加表!BO4</f>
        <v>#DIV/0!</v>
      </c>
      <c r="BP6" s="157" t="e">
        <f>股权价值增加表!BP31/股权价值增加表!BP4</f>
        <v>#DIV/0!</v>
      </c>
      <c r="BQ6" s="157" t="e">
        <f>股权价值增加表!BQ31/股权价值增加表!BQ4</f>
        <v>#DIV/0!</v>
      </c>
      <c r="BR6" s="157" t="e">
        <f>股权价值增加表!BR31/股权价值增加表!BR4</f>
        <v>#DIV/0!</v>
      </c>
      <c r="BS6" s="157" t="e">
        <f>股权价值增加表!BS31/股权价值增加表!BS4</f>
        <v>#DIV/0!</v>
      </c>
      <c r="BT6" s="157" t="e">
        <f>股权价值增加表!BT31/股权价值增加表!BT4</f>
        <v>#DIV/0!</v>
      </c>
      <c r="BU6" s="157" t="e">
        <f>股权价值增加表!BU31/股权价值增加表!BU4</f>
        <v>#DIV/0!</v>
      </c>
      <c r="BV6" s="157" t="e">
        <f>股权价值增加表!BV31/股权价值增加表!BV4</f>
        <v>#DIV/0!</v>
      </c>
      <c r="BW6" s="157" t="e">
        <f>股权价值增加表!BW31/股权价值增加表!BW4</f>
        <v>#DIV/0!</v>
      </c>
      <c r="BX6" s="157" t="e">
        <f>股权价值增加表!BX31/股权价值增加表!BX4</f>
        <v>#DIV/0!</v>
      </c>
      <c r="BY6" s="157" t="e">
        <f>股权价值增加表!BY31/股权价值增加表!BY4</f>
        <v>#DIV/0!</v>
      </c>
      <c r="BZ6" s="157" t="e">
        <f>股权价值增加表!BZ31/股权价值增加表!BZ4</f>
        <v>#DIV/0!</v>
      </c>
      <c r="CA6" s="157" t="e">
        <f>股权价值增加表!CA31/股权价值增加表!CA4</f>
        <v>#DIV/0!</v>
      </c>
      <c r="CB6" s="157" t="e">
        <f>股权价值增加表!CB31/股权价值增加表!CB4</f>
        <v>#DIV/0!</v>
      </c>
      <c r="CC6" s="157" t="e">
        <f>股权价值增加表!CC31/股权价值增加表!CC4</f>
        <v>#DIV/0!</v>
      </c>
      <c r="CD6" s="157" t="e">
        <f>股权价值增加表!CD31/股权价值增加表!CD4</f>
        <v>#DIV/0!</v>
      </c>
      <c r="CE6" s="157" t="e">
        <f>股权价值增加表!CE31/股权价值增加表!CE4</f>
        <v>#DIV/0!</v>
      </c>
      <c r="CF6" s="157" t="e">
        <f>股权价值增加表!CF31/股权价值增加表!CF4</f>
        <v>#DIV/0!</v>
      </c>
      <c r="CG6" s="157" t="e">
        <f>股权价值增加表!CG31/股权价值增加表!CG4</f>
        <v>#DIV/0!</v>
      </c>
      <c r="CH6" s="157" t="e">
        <f>股权价值增加表!CH31/股权价值增加表!CH4</f>
        <v>#DIV/0!</v>
      </c>
      <c r="CI6" s="157" t="e">
        <f>股权价值增加表!CI31/股权价值增加表!CI4</f>
        <v>#DIV/0!</v>
      </c>
      <c r="CJ6" s="157" t="e">
        <f>股权价值增加表!CJ31/股权价值增加表!CJ4</f>
        <v>#DIV/0!</v>
      </c>
    </row>
    <row r="7" spans="1:89" s="61" customFormat="1" x14ac:dyDescent="0.25">
      <c r="A7" s="242" t="s">
        <v>431</v>
      </c>
      <c r="E7" s="61">
        <f>股权价值增加表!E4/资产资本表!E70</f>
        <v>0.26151589202864273</v>
      </c>
      <c r="F7" s="61">
        <f>股权价值增加表!F4/资产资本表!F70</f>
        <v>0.21358496025449178</v>
      </c>
      <c r="G7" s="61">
        <f>股权价值增加表!G4/资产资本表!G70</f>
        <v>0.15571288672489639</v>
      </c>
      <c r="H7" s="61">
        <f>股权价值增加表!H4/资产资本表!H70</f>
        <v>8.413567487938986E-2</v>
      </c>
      <c r="I7" s="61">
        <f>股权价值增加表!I4/资产资本表!I70</f>
        <v>0.26330553284045838</v>
      </c>
      <c r="J7" s="61">
        <f>股权价值增加表!J4/资产资本表!J70</f>
        <v>0.2385863483886414</v>
      </c>
      <c r="K7" s="61">
        <f>股权价值增加表!K4/资产资本表!K70</f>
        <v>0.16469793499211388</v>
      </c>
      <c r="L7" s="61">
        <f>股权价值增加表!L4/资产资本表!L70</f>
        <v>7.0847993863849032E-2</v>
      </c>
      <c r="M7" s="61">
        <f>股权价值增加表!M4/资产资本表!M70</f>
        <v>0.14384932955586566</v>
      </c>
      <c r="N7" s="61">
        <f>股权价值增加表!N4/资产资本表!N70</f>
        <v>0.44655889388813558</v>
      </c>
      <c r="O7" s="61">
        <f>股权价值增加表!O4/资产资本表!O70</f>
        <v>0.28488695970767897</v>
      </c>
      <c r="P7" s="61">
        <f>股权价值增加表!P4/资产资本表!P70</f>
        <v>0.14510075165030792</v>
      </c>
      <c r="Q7" s="61">
        <f>股权价值增加表!Q4/资产资本表!Q70</f>
        <v>0.71723858184797162</v>
      </c>
      <c r="R7" s="61">
        <f>股权价值增加表!R4/资产资本表!R70</f>
        <v>0.61291586776135876</v>
      </c>
      <c r="S7" s="61">
        <f>股权价值增加表!S4/资产资本表!S70</f>
        <v>0.21127532393794915</v>
      </c>
      <c r="T7" s="61">
        <f>股权价值增加表!T4/资产资本表!T70</f>
        <v>9.1520784709800712E-2</v>
      </c>
      <c r="U7" s="61">
        <f>股权价值增加表!U4/资产资本表!U70</f>
        <v>0.45600541403178907</v>
      </c>
      <c r="V7" s="61">
        <f>股权价值增加表!V4/资产资本表!V70</f>
        <v>0.33513540278896209</v>
      </c>
      <c r="W7" s="61">
        <f>股权价值增加表!W4/资产资本表!W70</f>
        <v>0.22725246342678618</v>
      </c>
      <c r="X7" s="61">
        <f>股权价值增加表!X4/资产资本表!X70</f>
        <v>0.10598151182418293</v>
      </c>
      <c r="Y7" s="61">
        <f>股权价值增加表!Y4/资产资本表!Y70</f>
        <v>0.45403512780224459</v>
      </c>
      <c r="Z7" s="61">
        <f>股权价值增加表!Z4/资产资本表!Z70</f>
        <v>0.33537095313432247</v>
      </c>
      <c r="AA7" s="61">
        <f>股权价值增加表!AA4/资产资本表!AA70</f>
        <v>0.20208292297727154</v>
      </c>
      <c r="AB7" s="61">
        <f>股权价值增加表!AB4/资产资本表!AB70</f>
        <v>8.8216012272019889E-2</v>
      </c>
      <c r="AC7" s="61">
        <f>股权价值增加表!AC4/资产资本表!AC70</f>
        <v>0.54804797766224356</v>
      </c>
      <c r="AD7" s="61">
        <f>股权价值增加表!AD4/资产资本表!AD70</f>
        <v>0.38272550800054389</v>
      </c>
      <c r="AE7" s="61">
        <f>股权价值增加表!AE4/资产资本表!AE70</f>
        <v>0.25815667989571162</v>
      </c>
      <c r="AF7" s="61">
        <f>股权价值增加表!AF4/资产资本表!AF70</f>
        <v>0.11304010369509007</v>
      </c>
      <c r="AG7" s="61">
        <f>股权价值增加表!AG4/资产资本表!AG70</f>
        <v>0.47945916139262013</v>
      </c>
      <c r="AH7" s="61">
        <f>股权价值增加表!AH4/资产资本表!AH70</f>
        <v>0.37542068100140974</v>
      </c>
      <c r="AI7" s="61">
        <f>股权价值增加表!AI4/资产资本表!AI70</f>
        <v>0.23770801056565669</v>
      </c>
      <c r="AJ7" s="61">
        <f>股权价值增加表!AJ4/资产资本表!AJ70</f>
        <v>0.1106094261032128</v>
      </c>
      <c r="AK7" s="61">
        <f>股权价值增加表!AK4/资产资本表!AK70</f>
        <v>0.82720314900723668</v>
      </c>
      <c r="AL7" s="61">
        <f>股权价值增加表!AL4/资产资本表!AL70</f>
        <v>0.59216770759701187</v>
      </c>
      <c r="AM7" s="61">
        <f>股权价值增加表!AM4/资产资本表!AM70</f>
        <v>0.38974297063668095</v>
      </c>
      <c r="AN7" s="61">
        <f>股权价值增加表!AN4/资产资本表!AN70</f>
        <v>0.19757302699244464</v>
      </c>
      <c r="AO7" s="61">
        <f>股权价值增加表!AO4/资产资本表!AO70</f>
        <v>1.5264854725831014</v>
      </c>
      <c r="AP7" s="61">
        <f>股权价值增加表!AP4/资产资本表!AP70</f>
        <v>2.0845713641125623</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7.8902424791458259E-2</v>
      </c>
      <c r="F8" s="63">
        <f>股权价值增加表!F31/资产资本表!F70</f>
        <v>6.6854126083521898E-2</v>
      </c>
      <c r="G8" s="63">
        <f>股权价值增加表!G31/资产资本表!G70</f>
        <v>4.6055348032608801E-2</v>
      </c>
      <c r="H8" s="63">
        <f>股权价值增加表!H31/资产资本表!H70</f>
        <v>1.5876984391144374E-2</v>
      </c>
      <c r="I8" s="63">
        <f>股权价值增加表!I31/资产资本表!I70</f>
        <v>0.12781931761745718</v>
      </c>
      <c r="J8" s="63">
        <f>股权价值增加表!J31/资产资本表!J70</f>
        <v>4.6162814459730868E-2</v>
      </c>
      <c r="K8" s="63">
        <f>股权价值增加表!K31/资产资本表!K70</f>
        <v>-3.2839476725564469E-3</v>
      </c>
      <c r="L8" s="63">
        <f>股权价值增加表!L31/资产资本表!L70</f>
        <v>-4.7461139786586027E-3</v>
      </c>
      <c r="M8" s="63">
        <f>股权价值增加表!M31/资产资本表!M70</f>
        <v>0.11339927242020108</v>
      </c>
      <c r="N8" s="63">
        <f>股权价值增加表!N31/资产资本表!N70</f>
        <v>0.2217833882853468</v>
      </c>
      <c r="O8" s="63">
        <f>股权价值增加表!O31/资产资本表!O70</f>
        <v>0.13629523209474789</v>
      </c>
      <c r="P8" s="63">
        <f>股权价值增加表!P31/资产资本表!P70</f>
        <v>7.0972125043277226E-2</v>
      </c>
      <c r="Q8" s="63">
        <f>股权价值增加表!Q31/资产资本表!Q70</f>
        <v>0.62091807457890436</v>
      </c>
      <c r="R8" s="63">
        <f>股权价值增加表!R31/资产资本表!R70</f>
        <v>0.54381093723519669</v>
      </c>
      <c r="S8" s="63">
        <f>股权价值增加表!S31/资产资本表!S70</f>
        <v>8.1107963434085099E-3</v>
      </c>
      <c r="T8" s="63">
        <f>股权价值增加表!T31/资产资本表!T70</f>
        <v>7.4007535087113182E-3</v>
      </c>
      <c r="U8" s="63">
        <f>股权价值增加表!U31/资产资本表!U70</f>
        <v>5.3251921264595811E-2</v>
      </c>
      <c r="V8" s="63">
        <f>股权价值增加表!V31/资产资本表!V70</f>
        <v>4.5070598826960649E-2</v>
      </c>
      <c r="W8" s="63">
        <f>股权价值增加表!W31/资产资本表!W70</f>
        <v>3.9991972670705866E-2</v>
      </c>
      <c r="X8" s="63">
        <f>股权价值增加表!X31/资产资本表!X70</f>
        <v>8.7699593663024007E-3</v>
      </c>
      <c r="Y8" s="63">
        <f>股权价值增加表!Y31/资产资本表!Y70</f>
        <v>6.2801918560071543E-2</v>
      </c>
      <c r="Z8" s="63">
        <f>股权价值增加表!Z31/资产资本表!Z70</f>
        <v>4.8404719654420343E-2</v>
      </c>
      <c r="AA8" s="63">
        <f>股权价值增加表!AA31/资产资本表!AA70</f>
        <v>3.30319447308728E-2</v>
      </c>
      <c r="AB8" s="63">
        <f>股权价值增加表!AB31/资产资本表!AB70</f>
        <v>8.1485406042938139E-3</v>
      </c>
      <c r="AC8" s="63">
        <f>股权价值增加表!AC31/资产资本表!AC70</f>
        <v>7.4802089241903943E-2</v>
      </c>
      <c r="AD8" s="63">
        <f>股权价值增加表!AD31/资产资本表!AD70</f>
        <v>3.9549473478709629E-2</v>
      </c>
      <c r="AE8" s="63">
        <f>股权价值增加表!AE31/资产资本表!AE70</f>
        <v>2.522364506026295E-2</v>
      </c>
      <c r="AF8" s="63">
        <f>股权价值增加表!AF31/资产资本表!AF70</f>
        <v>6.8630769857272733E-3</v>
      </c>
      <c r="AG8" s="63">
        <f>股权价值增加表!AG31/资产资本表!AG70</f>
        <v>4.019012438825164E-2</v>
      </c>
      <c r="AH8" s="63">
        <f>股权价值增加表!AH31/资产资本表!AH70</f>
        <v>3.1659336046068264E-2</v>
      </c>
      <c r="AI8" s="63">
        <f>股权价值增加表!AI31/资产资本表!AI70</f>
        <v>1.5815158397012682E-2</v>
      </c>
      <c r="AJ8" s="63">
        <f>股权价值增加表!AJ31/资产资本表!AJ70</f>
        <v>-1.8996578276805531E-3</v>
      </c>
      <c r="AK8" s="63">
        <f>股权价值增加表!AK31/资产资本表!AK70</f>
        <v>0.15466990975421946</v>
      </c>
      <c r="AL8" s="63">
        <f>股权价值增加表!AL31/资产资本表!AL70</f>
        <v>9.2928648304091185E-2</v>
      </c>
      <c r="AM8" s="63">
        <f>股权价值增加表!AM31/资产资本表!AM70</f>
        <v>5.6847339932687972E-2</v>
      </c>
      <c r="AN8" s="63">
        <f>股权价值增加表!AN31/资产资本表!AN70</f>
        <v>2.3971004831728777E-2</v>
      </c>
      <c r="AO8" s="63">
        <f>股权价值增加表!AO31/资产资本表!AO70</f>
        <v>0.24695610141299165</v>
      </c>
      <c r="AP8" s="63">
        <f>股权价值增加表!AP31/资产资本表!AP70</f>
        <v>0.30328680207733549</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7" customFormat="1" x14ac:dyDescent="0.25">
      <c r="A9" s="157" t="s">
        <v>432</v>
      </c>
      <c r="E9" s="157">
        <f>股权价值增加表!E38/股权价值增加表!E31</f>
        <v>0.86792967874294635</v>
      </c>
      <c r="F9" s="157">
        <f>股权价值增加表!F38/股权价值增加表!F31</f>
        <v>0.89203387610413587</v>
      </c>
      <c r="G9" s="157">
        <f>股权价值增加表!G38/股权价值增加表!G31</f>
        <v>0.90090101903259434</v>
      </c>
      <c r="H9" s="157">
        <f>股权价值增加表!H38/股权价值增加表!H31</f>
        <v>0.74322597272391766</v>
      </c>
      <c r="I9" s="157">
        <f>股权价值增加表!I38/股权价值增加表!I31</f>
        <v>0.97506530004967118</v>
      </c>
      <c r="J9" s="157">
        <f>股权价值增加表!J38/股权价值增加表!J31</f>
        <v>0.93649294981942854</v>
      </c>
      <c r="K9" s="157">
        <f>股权价值增加表!K38/股权价值增加表!K31</f>
        <v>1.4607206889781816</v>
      </c>
      <c r="L9" s="157">
        <f>股权价值增加表!L38/股权价值增加表!L31</f>
        <v>1.1298465287898101</v>
      </c>
      <c r="M9" s="157">
        <f>股权价值增加表!M38/股权价值增加表!M31</f>
        <v>0.92685913984231749</v>
      </c>
      <c r="N9" s="157">
        <f>股权价值增加表!N38/股权价值增加表!N31</f>
        <v>0.93414001866602059</v>
      </c>
      <c r="O9" s="157">
        <f>股权价值增加表!O38/股权价值增加表!O31</f>
        <v>0.93650617812072345</v>
      </c>
      <c r="P9" s="157">
        <f>股权价值增加表!P38/股权价值增加表!P31</f>
        <v>0.98364330762012242</v>
      </c>
      <c r="Q9" s="157">
        <f>股权价值增加表!Q38/股权价值增加表!Q31</f>
        <v>1.0038321737090334</v>
      </c>
      <c r="R9" s="157">
        <f>股权价值增加表!R38/股权价值增加表!R31</f>
        <v>1.0030785366468509</v>
      </c>
      <c r="S9" s="157">
        <f>股权价值增加表!S38/股权价值增加表!S31</f>
        <v>-0.89482790145437108</v>
      </c>
      <c r="T9" s="157">
        <f>股权价值增加表!T38/股权价值增加表!T31</f>
        <v>0.12444090971898096</v>
      </c>
      <c r="U9" s="157">
        <f>股权价值增加表!U38/股权价值增加表!U31</f>
        <v>0.32129180655917594</v>
      </c>
      <c r="V9" s="157">
        <f>股权价值增加表!V38/股权价值增加表!V31</f>
        <v>0.38611346727137541</v>
      </c>
      <c r="W9" s="157">
        <f>股权价值增加表!W38/股权价值增加表!W31</f>
        <v>0.5137988014993452</v>
      </c>
      <c r="X9" s="157">
        <f>股权价值增加表!X38/股权价值增加表!X31</f>
        <v>0.13641002817491388</v>
      </c>
      <c r="Y9" s="157">
        <f>股权价值增加表!Y38/股权价值增加表!Y31</f>
        <v>0.56749844364319857</v>
      </c>
      <c r="Z9" s="157">
        <f>股权价值增加表!Z38/股权价值增加表!Z31</f>
        <v>0.61182733308207726</v>
      </c>
      <c r="AA9" s="157">
        <f>股权价值增加表!AA38/股权价值增加表!AA31</f>
        <v>0.67236123542954696</v>
      </c>
      <c r="AB9" s="157">
        <f>股权价值增加表!AB38/股权价值增加表!AB31</f>
        <v>0.55423991187024513</v>
      </c>
      <c r="AC9" s="157">
        <f>股权价值增加表!AC38/股权价值增加表!AC31</f>
        <v>0.66347278285573363</v>
      </c>
      <c r="AD9" s="157">
        <f>股权价值增加表!AD38/股权价值增加表!AD31</f>
        <v>0.67118883438298171</v>
      </c>
      <c r="AE9" s="157">
        <f>股权价值增加表!AE38/股权价值增加表!AE31</f>
        <v>0.66002071975648713</v>
      </c>
      <c r="AF9" s="157">
        <f>股权价值增加表!AF38/股权价值增加表!AF31</f>
        <v>0.72203370626674801</v>
      </c>
      <c r="AG9" s="157">
        <f>股权价值增加表!AG38/股权价值增加表!AG31</f>
        <v>0.65020406018083199</v>
      </c>
      <c r="AH9" s="157">
        <f>股权价值增加表!AH38/股权价值增加表!AH31</f>
        <v>0.70135727507066392</v>
      </c>
      <c r="AI9" s="157">
        <f>股权价值增加表!AI38/股权价值增加表!AI31</f>
        <v>0.56109694978875047</v>
      </c>
      <c r="AJ9" s="157">
        <f>股权价值增加表!AJ38/股权价值增加表!AJ31</f>
        <v>2.5767835948209878</v>
      </c>
      <c r="AK9" s="157">
        <f>股权价值增加表!AK38/股权价值增加表!AK31</f>
        <v>0.83365517724453886</v>
      </c>
      <c r="AL9" s="157">
        <f>股权价值增加表!AL38/股权价值增加表!AL31</f>
        <v>0.78870819323186858</v>
      </c>
      <c r="AM9" s="157">
        <f>股权价值增加表!AM38/股权价值增加表!AM31</f>
        <v>0.75397051737373377</v>
      </c>
      <c r="AN9" s="157">
        <f>股权价值增加表!AN38/股权价值增加表!AN31</f>
        <v>0.75107425036846243</v>
      </c>
      <c r="AO9" s="157">
        <f>股权价值增加表!AO38/股权价值增加表!AO31</f>
        <v>0.78369128811982769</v>
      </c>
      <c r="AP9" s="157">
        <f>股权价值增加表!AP38/股权价值增加表!AP31</f>
        <v>0.82262236972610581</v>
      </c>
      <c r="AQ9" s="157">
        <f>股权价值增加表!AQ38/股权价值增加表!AQ31</f>
        <v>0.92285953086449368</v>
      </c>
      <c r="AR9" s="157" t="e">
        <f>股权价值增加表!AR38/股权价值增加表!AR31</f>
        <v>#DIV/0!</v>
      </c>
      <c r="AS9" s="157">
        <f>股权价值增加表!AS38/股权价值增加表!AS31</f>
        <v>29.82489017332593</v>
      </c>
      <c r="AT9" s="157">
        <f>股权价值增加表!AT38/股权价值增加表!AT31</f>
        <v>74.693791916224583</v>
      </c>
      <c r="AU9" s="157">
        <f>股权价值增加表!AU38/股权价值增加表!AU31</f>
        <v>762.43841528552787</v>
      </c>
      <c r="AV9" s="157">
        <f>股权价值增加表!AV38/股权价值增加表!AV31</f>
        <v>6.0715712302299112</v>
      </c>
      <c r="AW9" s="157">
        <f>股权价值增加表!AW38/股权价值增加表!AW31</f>
        <v>10.996125403577111</v>
      </c>
      <c r="AX9" s="157">
        <f>股权价值增加表!AX38/股权价值增加表!AX31</f>
        <v>11.563322521142613</v>
      </c>
      <c r="AY9" s="157">
        <f>股权价值增加表!AY38/股权价值增加表!AY31</f>
        <v>14.314610464689412</v>
      </c>
      <c r="AZ9" s="157">
        <f>股权价值增加表!AZ38/股权价值增加表!AZ31</f>
        <v>30.177087999999998</v>
      </c>
      <c r="BA9" s="157">
        <f>股权价值增加表!BA38/股权价值增加表!BA31</f>
        <v>-5.4302495344527406</v>
      </c>
      <c r="BB9" s="157">
        <f>股权价值增加表!BB38/股权价值增加表!BB31</f>
        <v>-13.954913103035617</v>
      </c>
      <c r="BC9" s="157">
        <f>股权价值增加表!BC38/股权价值增加表!BC31</f>
        <v>-9.9942730035859633</v>
      </c>
      <c r="BD9" s="157" t="e">
        <f>股权价值增加表!BD38/股权价值增加表!BD31</f>
        <v>#DIV/0!</v>
      </c>
      <c r="BE9" s="157">
        <f>股权价值增加表!BE38/股权价值增加表!BE31</f>
        <v>-207.72438969261265</v>
      </c>
      <c r="BF9" s="157">
        <f>股权价值增加表!BF38/股权价值增加表!BF31</f>
        <v>38.123657821263173</v>
      </c>
      <c r="BG9" s="157">
        <f>股权价值增加表!BG38/股权价值增加表!BG31</f>
        <v>33.265097832398752</v>
      </c>
      <c r="BH9" s="157">
        <f>股权价值增加表!BH38/股权价值增加表!BH31</f>
        <v>2.6912248525255302</v>
      </c>
      <c r="BI9" s="157">
        <f>股权价值增加表!BI38/股权价值增加表!BI31</f>
        <v>-50.149746229058351</v>
      </c>
      <c r="BJ9" s="157">
        <f>股权价值增加表!BJ38/股权价值增加表!BJ31</f>
        <v>69.171187698585072</v>
      </c>
      <c r="BK9" s="157">
        <f>股权价值增加表!BK38/股权价值增加表!BK31</f>
        <v>232.32435186984958</v>
      </c>
      <c r="BL9" s="157">
        <f>股权价值增加表!BL38/股权价值增加表!BL31</f>
        <v>10.213152951199438</v>
      </c>
      <c r="BM9" s="157">
        <f>股权价值增加表!BM38/股权价值增加表!BM31</f>
        <v>150.18376358893079</v>
      </c>
      <c r="BN9" s="157">
        <f>股权价值增加表!BN38/股权价值增加表!BN31</f>
        <v>12.619124030745919</v>
      </c>
      <c r="BO9" s="157">
        <f>股权价值增加表!BO38/股权价值增加表!BO31</f>
        <v>8.7036936464919741</v>
      </c>
      <c r="BP9" s="157">
        <f>股权价值增加表!BP38/股权价值增加表!BP31</f>
        <v>-42.249783743212781</v>
      </c>
      <c r="BQ9" s="157">
        <f>股权价值增加表!BQ38/股权价值增加表!BQ31</f>
        <v>3.0583806324776739</v>
      </c>
      <c r="BR9" s="157">
        <f>股权价值增加表!BR38/股权价值增加表!BR31</f>
        <v>1</v>
      </c>
      <c r="BS9" s="157">
        <f>股权价值增加表!BS38/股权价值增加表!BS31</f>
        <v>2.6875461769888385</v>
      </c>
      <c r="BT9" s="157">
        <f>股权价值增加表!BT38/股权价值增加表!BT31</f>
        <v>2.0192338281291593</v>
      </c>
      <c r="BU9" s="157">
        <f>股权价值增加表!BU38/股权价值增加表!BU31</f>
        <v>7.0450850452289444</v>
      </c>
      <c r="BV9" s="157" t="e">
        <f>股权价值增加表!BV38/股权价值增加表!BV31</f>
        <v>#DIV/0!</v>
      </c>
      <c r="BW9" s="157" t="e">
        <f>股权价值增加表!BW38/股权价值增加表!BW31</f>
        <v>#DIV/0!</v>
      </c>
      <c r="BX9" s="157" t="e">
        <f>股权价值增加表!BX38/股权价值增加表!BX31</f>
        <v>#DIV/0!</v>
      </c>
      <c r="BY9" s="157" t="e">
        <f>股权价值增加表!BY38/股权价值增加表!BY31</f>
        <v>#DIV/0!</v>
      </c>
      <c r="BZ9" s="157" t="e">
        <f>股权价值增加表!BZ38/股权价值增加表!BZ31</f>
        <v>#DIV/0!</v>
      </c>
      <c r="CA9" s="157" t="e">
        <f>股权价值增加表!CA38/股权价值增加表!CA31</f>
        <v>#DIV/0!</v>
      </c>
      <c r="CB9" s="157" t="e">
        <f>股权价值增加表!CB38/股权价值增加表!CB31</f>
        <v>#DIV/0!</v>
      </c>
      <c r="CC9" s="157" t="e">
        <f>股权价值增加表!CC38/股权价值增加表!CC31</f>
        <v>#DIV/0!</v>
      </c>
      <c r="CD9" s="157" t="e">
        <f>股权价值增加表!CD38/股权价值增加表!CD31</f>
        <v>#DIV/0!</v>
      </c>
      <c r="CE9" s="157">
        <f>股权价值增加表!CE38/股权价值增加表!CE31</f>
        <v>1</v>
      </c>
      <c r="CF9" s="157">
        <f>股权价值增加表!CF38/股权价值增加表!CF31</f>
        <v>1</v>
      </c>
      <c r="CG9" s="157" t="e">
        <f>股权价值增加表!CG38/股权价值增加表!CG31</f>
        <v>#DIV/0!</v>
      </c>
      <c r="CH9" s="157" t="e">
        <f>股权价值增加表!CH38/股权价值增加表!CH31</f>
        <v>#DIV/0!</v>
      </c>
      <c r="CI9" s="157" t="e">
        <f>股权价值增加表!CI38/股权价值增加表!CI31</f>
        <v>#DIV/0!</v>
      </c>
      <c r="CJ9" s="157" t="e">
        <f>股权价值增加表!CJ38/股权价值增加表!CJ31</f>
        <v>#DIV/0!</v>
      </c>
    </row>
    <row r="10" spans="1:89" s="61" customFormat="1" x14ac:dyDescent="0.25">
      <c r="A10" s="242" t="s">
        <v>433</v>
      </c>
      <c r="E10" s="61">
        <f>资产资本表!E70/资产资本表!E107</f>
        <v>1.2422469349422081</v>
      </c>
      <c r="F10" s="61">
        <f>资产资本表!F70/资产资本表!F107</f>
        <v>1.2508417322414005</v>
      </c>
      <c r="G10" s="61">
        <f>资产资本表!G70/资产资本表!G107</f>
        <v>1.2330210619010542</v>
      </c>
      <c r="H10" s="61">
        <f>资产资本表!H70/资产资本表!H107</f>
        <v>1.2707718254017535</v>
      </c>
      <c r="I10" s="61">
        <f>资产资本表!I70/资产资本表!I107</f>
        <v>1.1141977338752902</v>
      </c>
      <c r="J10" s="61">
        <f>资产资本表!J70/资产资本表!J107</f>
        <v>1.0607798285852144</v>
      </c>
      <c r="K10" s="61">
        <f>资产资本表!K70/资产资本表!K107</f>
        <v>1.0649955518616097</v>
      </c>
      <c r="L10" s="61">
        <f>资产资本表!L70/资产资本表!L107</f>
        <v>1.3012019543419426</v>
      </c>
      <c r="M10" s="61">
        <f>资产资本表!M70/资产资本表!M107</f>
        <v>1.3162510415089197</v>
      </c>
      <c r="N10" s="61">
        <f>资产资本表!N70/资产资本表!N107</f>
        <v>1.3482412486803559</v>
      </c>
      <c r="O10" s="61">
        <f>资产资本表!O70/资产资本表!O107</f>
        <v>1.4388069684457421</v>
      </c>
      <c r="P10" s="61">
        <f>资产资本表!P70/资产资本表!P107</f>
        <v>1.4412232510678116</v>
      </c>
      <c r="Q10" s="61">
        <f>资产资本表!Q70/资产资本表!Q107</f>
        <v>1</v>
      </c>
      <c r="R10" s="61">
        <f>资产资本表!R70/资产资本表!R107</f>
        <v>1</v>
      </c>
      <c r="S10" s="61">
        <f>资产资本表!S70/资产资本表!S107</f>
        <v>1.6544291705017227</v>
      </c>
      <c r="T10" s="61">
        <f>资产资本表!T70/资产资本表!T107</f>
        <v>1.7858384083698877</v>
      </c>
      <c r="U10" s="61">
        <f>资产资本表!U70/资产资本表!U107</f>
        <v>1.8970137910897893</v>
      </c>
      <c r="V10" s="61">
        <f>资产资本表!V70/资产资本表!V107</f>
        <v>1.8952088927874668</v>
      </c>
      <c r="W10" s="61">
        <f>资产资本表!W70/资产资本表!W107</f>
        <v>1.88194680539463</v>
      </c>
      <c r="X10" s="61">
        <f>资产资本表!X70/资产资本表!X107</f>
        <v>1.8105738895104118</v>
      </c>
      <c r="Y10" s="61">
        <f>资产资本表!Y70/资产资本表!Y107</f>
        <v>1.7676200348209856</v>
      </c>
      <c r="Z10" s="61">
        <f>资产资本表!Z70/资产资本表!Z107</f>
        <v>1.7248048407808185</v>
      </c>
      <c r="AA10" s="61">
        <f>资产资本表!AA70/资产资本表!AA107</f>
        <v>1.695458298265937</v>
      </c>
      <c r="AB10" s="61">
        <f>资产资本表!AB70/资产资本表!AB107</f>
        <v>1.638079218244223</v>
      </c>
      <c r="AC10" s="61">
        <f>资产资本表!AC70/资产资本表!AC107</f>
        <v>1.6121105424117126</v>
      </c>
      <c r="AD10" s="61">
        <f>资产资本表!AD70/资产资本表!AD107</f>
        <v>1.6086546470140792</v>
      </c>
      <c r="AE10" s="61">
        <f>资产资本表!AE70/资产资本表!AE107</f>
        <v>1.4746211111351379</v>
      </c>
      <c r="AF10" s="61">
        <f>资产资本表!AF70/资产资本表!AF107</f>
        <v>1.4078355373772813</v>
      </c>
      <c r="AG10" s="61">
        <f>资产资本表!AG70/资产资本表!AG107</f>
        <v>1.4103147844463055</v>
      </c>
      <c r="AH10" s="61">
        <f>资产资本表!AH70/资产资本表!AH107</f>
        <v>1.3539437870891389</v>
      </c>
      <c r="AI10" s="61">
        <f>资产资本表!AI70/资产资本表!AI107</f>
        <v>1.3164072253815833</v>
      </c>
      <c r="AJ10" s="61">
        <f>资产资本表!AJ70/资产资本表!AJ107</f>
        <v>1.2519656714032488</v>
      </c>
      <c r="AK10" s="61">
        <f>资产资本表!AK70/资产资本表!AK107</f>
        <v>1.6258321203937351</v>
      </c>
      <c r="AL10" s="61">
        <f>资产资本表!AL70/资产资本表!AL107</f>
        <v>1.6519626703695101</v>
      </c>
      <c r="AM10" s="61">
        <f>资产资本表!AM70/资产资本表!AM107</f>
        <v>1.6068665292720699</v>
      </c>
      <c r="AN10" s="61">
        <f>资产资本表!AN70/资产资本表!AN107</f>
        <v>1.5835721226540145</v>
      </c>
      <c r="AO10" s="61">
        <f>资产资本表!AO70/资产资本表!AO107</f>
        <v>1.6536547130301829</v>
      </c>
      <c r="AP10" s="61">
        <f>资产资本表!AP70/资产资本表!AP107</f>
        <v>1.5386164696983839</v>
      </c>
      <c r="AQ10" s="61" t="e">
        <f>资产资本表!AQ70/资产资本表!AQ107</f>
        <v>#DIV/0!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1.0781829831638003</v>
      </c>
      <c r="F11" s="28">
        <f t="shared" ref="F11:BQ11" si="2">F9*F10</f>
        <v>1.1157931988041081</v>
      </c>
      <c r="G11" s="28">
        <f t="shared" si="2"/>
        <v>1.1108299311553114</v>
      </c>
      <c r="H11" s="28">
        <f t="shared" si="2"/>
        <v>0.94447062604436671</v>
      </c>
      <c r="I11" s="28">
        <f t="shared" si="2"/>
        <v>1.0864155476957735</v>
      </c>
      <c r="J11" s="28">
        <f t="shared" si="2"/>
        <v>0.99341283078071518</v>
      </c>
      <c r="K11" s="28">
        <f t="shared" si="2"/>
        <v>1.5556610362739893</v>
      </c>
      <c r="L11" s="28">
        <f t="shared" si="2"/>
        <v>1.4701585113677609</v>
      </c>
      <c r="M11" s="28">
        <f t="shared" si="2"/>
        <v>1.2199793081495118</v>
      </c>
      <c r="N11" s="28">
        <f t="shared" si="2"/>
        <v>1.2594461052085666</v>
      </c>
      <c r="O11" s="28">
        <f t="shared" si="2"/>
        <v>1.3474516150725862</v>
      </c>
      <c r="P11" s="28">
        <f t="shared" si="2"/>
        <v>1.4176496056993684</v>
      </c>
      <c r="Q11" s="28">
        <f t="shared" si="2"/>
        <v>1.0038321737090334</v>
      </c>
      <c r="R11" s="28">
        <f t="shared" si="2"/>
        <v>1.0030785366468509</v>
      </c>
      <c r="S11" s="28">
        <f t="shared" si="2"/>
        <v>-1.4804293827449524</v>
      </c>
      <c r="T11" s="28">
        <f t="shared" si="2"/>
        <v>0.22223135614864584</v>
      </c>
      <c r="U11" s="28">
        <f t="shared" si="2"/>
        <v>0.6094949880069096</v>
      </c>
      <c r="V11" s="28">
        <f t="shared" si="2"/>
        <v>0.7317656767977132</v>
      </c>
      <c r="W11" s="28">
        <f t="shared" si="2"/>
        <v>0.96694201309728234</v>
      </c>
      <c r="X11" s="28">
        <f t="shared" si="2"/>
        <v>0.24698043528087868</v>
      </c>
      <c r="Y11" s="28">
        <f t="shared" si="2"/>
        <v>1.0031216187134457</v>
      </c>
      <c r="Z11" s="28">
        <f t="shared" si="2"/>
        <v>1.0552827458219851</v>
      </c>
      <c r="AA11" s="28">
        <f t="shared" si="2"/>
        <v>1.1399604360413627</v>
      </c>
      <c r="AB11" s="28">
        <f t="shared" si="2"/>
        <v>0.90788888155615821</v>
      </c>
      <c r="AC11" s="28">
        <f t="shared" si="2"/>
        <v>1.0695914678449652</v>
      </c>
      <c r="AD11" s="28">
        <f t="shared" si="2"/>
        <v>1.0797110374541468</v>
      </c>
      <c r="AE11" s="28">
        <f t="shared" si="2"/>
        <v>0.97328048713952453</v>
      </c>
      <c r="AF11" s="28">
        <f t="shared" si="2"/>
        <v>1.0165047108665572</v>
      </c>
      <c r="AG11" s="28">
        <f t="shared" si="2"/>
        <v>0.9169923989800427</v>
      </c>
      <c r="AH11" s="28">
        <f t="shared" si="2"/>
        <v>0.94959832511169362</v>
      </c>
      <c r="AI11" s="28">
        <f t="shared" si="2"/>
        <v>0.73863207884147852</v>
      </c>
      <c r="AJ11" s="28">
        <f t="shared" si="2"/>
        <v>3.2260446033509349</v>
      </c>
      <c r="AK11" s="28">
        <f t="shared" si="2"/>
        <v>1.3553833644967037</v>
      </c>
      <c r="AL11" s="28">
        <f t="shared" si="2"/>
        <v>1.3029164930336292</v>
      </c>
      <c r="AM11" s="28">
        <f t="shared" si="2"/>
        <v>1.2115299884257984</v>
      </c>
      <c r="AN11" s="28">
        <f t="shared" si="2"/>
        <v>1.1893802449267588</v>
      </c>
      <c r="AO11" s="28">
        <f t="shared" si="2"/>
        <v>1.2959547921600481</v>
      </c>
      <c r="AP11" s="28">
        <f t="shared" si="2"/>
        <v>1.2657003264028996</v>
      </c>
      <c r="AQ11" s="28" t="e">
        <f t="shared" si="2"/>
        <v>#DIV/0!</v>
      </c>
      <c r="AR11" s="28" t="e">
        <f t="shared" si="2"/>
        <v>#DIV/0!</v>
      </c>
      <c r="AS11" s="28">
        <f t="shared" si="2"/>
        <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7" customFormat="1" x14ac:dyDescent="0.25">
      <c r="A12" s="157" t="s">
        <v>434</v>
      </c>
      <c r="E12" s="157">
        <f>E2/股权价值增加表!E38</f>
        <v>0.88664230282820189</v>
      </c>
      <c r="F12" s="157">
        <f>F2/股权价值增加表!F38</f>
        <v>0.9837586433114861</v>
      </c>
      <c r="G12" s="157">
        <f>G2/股权价值增加表!G38</f>
        <v>1.0042981666725312</v>
      </c>
      <c r="H12" s="157">
        <f>H2/股权价值增加表!H38</f>
        <v>0.87768781196811596</v>
      </c>
      <c r="I12" s="157">
        <f>I2/股权价值增加表!I38</f>
        <v>0.97065645611127704</v>
      </c>
      <c r="J12" s="157">
        <f>J2/股权价值增加表!J38</f>
        <v>0.93268529603645034</v>
      </c>
      <c r="K12" s="157">
        <f>K2/股权价值增加表!K38</f>
        <v>1.5505452599198759</v>
      </c>
      <c r="L12" s="157">
        <f>L2/股权价值增加表!L38</f>
        <v>1.0925058633908433</v>
      </c>
      <c r="M12" s="157">
        <f>M2/股权价值增加表!M38</f>
        <v>0.99343556412191758</v>
      </c>
      <c r="N12" s="157">
        <f>N2/股权价值增加表!N38</f>
        <v>0.97151250932281208</v>
      </c>
      <c r="O12" s="157">
        <f>O2/股权价值增加表!O38</f>
        <v>0.97236289735807035</v>
      </c>
      <c r="P12" s="157">
        <f>P2/股权价值增加表!P38</f>
        <v>0.97039039121654869</v>
      </c>
      <c r="Q12" s="157">
        <f>Q2/股权价值增加表!Q38</f>
        <v>0.9480087259278519</v>
      </c>
      <c r="R12" s="157">
        <f>R2/股权价值增加表!R38</f>
        <v>0.9437561253528528</v>
      </c>
      <c r="S12" s="157">
        <f>S2/股权价值增加表!S38</f>
        <v>1.182094583338468</v>
      </c>
      <c r="T12" s="157">
        <f>T2/股权价值增加表!T38</f>
        <v>-3.0335201588323497E-2</v>
      </c>
      <c r="U12" s="157">
        <f>U2/股权价值增加表!U38</f>
        <v>0.72905929536240288</v>
      </c>
      <c r="V12" s="157">
        <f>V2/股权价值增加表!V38</f>
        <v>0.74044326513827097</v>
      </c>
      <c r="W12" s="157">
        <f>W2/股权价值增加表!W38</f>
        <v>0.64194410763800347</v>
      </c>
      <c r="X12" s="157">
        <f>X2/股权价值增加表!X38</f>
        <v>-2.168403324094861E-2</v>
      </c>
      <c r="Y12" s="157">
        <f>Y2/股权价值增加表!Y38</f>
        <v>0.77241129934555131</v>
      </c>
      <c r="Z12" s="157">
        <f>Z2/股权价值增加表!Z38</f>
        <v>0.79407648136037834</v>
      </c>
      <c r="AA12" s="157">
        <f>AA2/股权价值增加表!AA38</f>
        <v>0.78104312662141728</v>
      </c>
      <c r="AB12" s="157">
        <f>AB2/股权价值增加表!AB38</f>
        <v>0.78306970097126227</v>
      </c>
      <c r="AC12" s="157">
        <f>AC2/股权价值增加表!AC38</f>
        <v>0.79596038938718894</v>
      </c>
      <c r="AD12" s="157">
        <f>AD2/股权价值增加表!AD38</f>
        <v>0.80265816988090344</v>
      </c>
      <c r="AE12" s="157">
        <f>AE2/股权价值增加表!AE38</f>
        <v>0.79234923809434477</v>
      </c>
      <c r="AF12" s="157">
        <f>AF2/股权价值增加表!AF38</f>
        <v>0.77462570904614825</v>
      </c>
      <c r="AG12" s="157">
        <f>AG2/股权价值增加表!AG38</f>
        <v>0.81372120251939084</v>
      </c>
      <c r="AH12" s="157">
        <f>AH2/股权价值增加表!AH38</f>
        <v>0.79368622593355209</v>
      </c>
      <c r="AI12" s="157">
        <f>AI2/股权价值增加表!AI38</f>
        <v>0.80053707677143282</v>
      </c>
      <c r="AJ12" s="157">
        <f>AJ2/股权价值增加表!AJ38</f>
        <v>1.0807055942922472</v>
      </c>
      <c r="AK12" s="157">
        <f>AK2/股权价值增加表!AK38</f>
        <v>0.80851901446496699</v>
      </c>
      <c r="AL12" s="157">
        <f>AL2/股权价值增加表!AL38</f>
        <v>0.80007714072796254</v>
      </c>
      <c r="AM12" s="157">
        <f>AM2/股权价值增加表!AM38</f>
        <v>0.79809581756122716</v>
      </c>
      <c r="AN12" s="157">
        <f>AN2/股权价值增加表!AN38</f>
        <v>0.80698977805967675</v>
      </c>
      <c r="AO12" s="157">
        <f>AO2/股权价值增加表!AO38</f>
        <v>0.90401480558028213</v>
      </c>
      <c r="AP12" s="157">
        <f>AP2/股权价值增加表!AP38</f>
        <v>0.87649150186191471</v>
      </c>
      <c r="AQ12" s="157">
        <f>AQ2/股权价值增加表!AQ38</f>
        <v>0.88016875973445519</v>
      </c>
      <c r="AR12" s="157" t="e">
        <f>AR2/股权价值增加表!AR38</f>
        <v>#DIV/0!</v>
      </c>
      <c r="AS12" s="157">
        <f>AS2/股权价值增加表!AS38</f>
        <v>-6.3937250836614146</v>
      </c>
      <c r="AT12" s="157">
        <f>AT2/股权价值增加表!AT38</f>
        <v>-14.592366512196667</v>
      </c>
      <c r="AU12" s="157">
        <f>AU2/股权价值增加表!AU38</f>
        <v>-14.376416082794156</v>
      </c>
      <c r="AV12" s="157">
        <f>AV2/股权价值增加表!AV38</f>
        <v>-91.644454630179325</v>
      </c>
      <c r="AW12" s="157">
        <f>AW2/股权价值增加表!AW38</f>
        <v>-9.9162205411310982</v>
      </c>
      <c r="AX12" s="157">
        <f>AX2/股权价值增加表!AX38</f>
        <v>-17.231369460204579</v>
      </c>
      <c r="AY12" s="157">
        <f>AY2/股权价值增加表!AY38</f>
        <v>-15.021387764306059</v>
      </c>
      <c r="AZ12" s="157">
        <f>AZ2/股权价值增加表!AZ38</f>
        <v>-92.098322439196252</v>
      </c>
      <c r="BA12" s="157">
        <f>BA2/股权价值增加表!BA38</f>
        <v>-17.631308838172572</v>
      </c>
      <c r="BB12" s="157">
        <f>BB2/股权价值增加表!BB38</f>
        <v>-54.304324722487436</v>
      </c>
      <c r="BC12" s="157">
        <f>BC2/股权价值增加表!BC38</f>
        <v>-66.277250227328935</v>
      </c>
      <c r="BD12" s="157">
        <f>BD2/股权价值增加表!BD38</f>
        <v>-38.372760490940244</v>
      </c>
      <c r="BE12" s="157">
        <f>BE2/股权价值增加表!BE38</f>
        <v>-15.764297507062913</v>
      </c>
      <c r="BF12" s="157">
        <f>BF2/股权价值增加表!BF38</f>
        <v>-26.049077122304052</v>
      </c>
      <c r="BG12" s="157">
        <f>BG2/股权价值增加表!BG38</f>
        <v>-23.303157252166656</v>
      </c>
      <c r="BH12" s="157">
        <f>BH2/股权价值增加表!BH38</f>
        <v>-69.000749015543192</v>
      </c>
      <c r="BI12" s="157">
        <f>BI2/股权价值增加表!BI38</f>
        <v>-12.790967082937895</v>
      </c>
      <c r="BJ12" s="157">
        <f>BJ2/股权价值增加表!BJ38</f>
        <v>-14.670402589550692</v>
      </c>
      <c r="BK12" s="157">
        <f>BK2/股权价值增加表!BK38</f>
        <v>-19.530470057823827</v>
      </c>
      <c r="BL12" s="157">
        <f>BL2/股权价值增加表!BL38</f>
        <v>-75.496332781702776</v>
      </c>
      <c r="BM12" s="157">
        <f>BM2/股权价值增加表!BM38</f>
        <v>-8.3062959249435355</v>
      </c>
      <c r="BN12" s="157">
        <f>BN2/股权价值增加表!BN38</f>
        <v>-7.0800067537645504</v>
      </c>
      <c r="BO12" s="157">
        <f>BO2/股权价值增加表!BO38</f>
        <v>-8.6301249443167141</v>
      </c>
      <c r="BP12" s="157">
        <f>BP2/股权价值增加表!BP38</f>
        <v>-15.511200920697274</v>
      </c>
      <c r="BQ12" s="157">
        <f>BQ2/股权价值增加表!BQ38</f>
        <v>-2.0916829946917983</v>
      </c>
      <c r="BR12" s="157">
        <f>BR2/股权价值增加表!BR38</f>
        <v>-11.625</v>
      </c>
      <c r="BS12" s="157">
        <f>BS2/股权价值增加表!BS38</f>
        <v>-5.8283566880658215</v>
      </c>
      <c r="BT12" s="157">
        <f>BT2/股权价值增加表!BT38</f>
        <v>-11.853075776272602</v>
      </c>
      <c r="BU12" s="157">
        <f>BU2/股权价值增加表!BU38</f>
        <v>-13.285141378045161</v>
      </c>
      <c r="BV12" s="157">
        <f>BV2/股权价值增加表!BV38</f>
        <v>-38.705149385866775</v>
      </c>
      <c r="BW12" s="157">
        <f>BW2/股权价值增加表!BW38</f>
        <v>-19.112527092609866</v>
      </c>
      <c r="BX12" s="157">
        <f>BX2/股权价值增加表!BX38</f>
        <v>-5.948062846312304</v>
      </c>
      <c r="BY12" s="157">
        <f>BY2/股权价值增加表!BY38</f>
        <v>-5.0894858138564683</v>
      </c>
      <c r="BZ12" s="157">
        <f>BZ2/股权价值增加表!BZ38</f>
        <v>-10.640426755835241</v>
      </c>
      <c r="CA12" s="157">
        <f>CA2/股权价值增加表!CA38</f>
        <v>15.20372750495731</v>
      </c>
      <c r="CB12" s="157">
        <f>CB2/股权价值增加表!CB38</f>
        <v>8.8774211764848925</v>
      </c>
      <c r="CC12" s="157">
        <f>CC2/股权价值增加表!CC38</f>
        <v>9.6111449985966146</v>
      </c>
      <c r="CD12" s="157" t="e">
        <f>CD2/股权价值增加表!CD38</f>
        <v>#DIV/0!</v>
      </c>
      <c r="CE12" s="157">
        <f>CE2/股权价值增加表!CE38</f>
        <v>-2.5981368870487773</v>
      </c>
      <c r="CF12" s="157">
        <f>CF2/股权价值增加表!CF38</f>
        <v>-6.859739633359264</v>
      </c>
      <c r="CG12" s="157" t="e">
        <f>CG2/股权价值增加表!CG38</f>
        <v>#DIV/0!</v>
      </c>
      <c r="CH12" s="157" t="e">
        <f>CH2/股权价值增加表!CH38</f>
        <v>#DIV/0!</v>
      </c>
      <c r="CI12" s="157" t="e">
        <f>CI2/股权价值增加表!CI38</f>
        <v>#DIV/0!</v>
      </c>
      <c r="CJ12" s="157" t="e">
        <f>CJ2/股权价值增加表!CJ38</f>
        <v>#DIV/0!</v>
      </c>
    </row>
    <row r="13" spans="1:89" s="63" customFormat="1" x14ac:dyDescent="0.25">
      <c r="A13" s="17" t="s">
        <v>435</v>
      </c>
      <c r="E13" s="63">
        <f>1-E2/股权价值增加表!E38</f>
        <v>0.11335769717179811</v>
      </c>
      <c r="F13" s="63">
        <f>1-F2/股权价值增加表!F38</f>
        <v>1.6241356688513897E-2</v>
      </c>
      <c r="G13" s="63">
        <f>1-G2/股权价值增加表!G38</f>
        <v>-4.2981666725312451E-3</v>
      </c>
      <c r="H13" s="63">
        <f>1-H2/股权价值增加表!H38</f>
        <v>0.12231218803188404</v>
      </c>
      <c r="I13" s="63">
        <f>1-I2/股权价值增加表!I38</f>
        <v>2.9343543888722956E-2</v>
      </c>
      <c r="J13" s="63">
        <f>1-J2/股权价值增加表!J38</f>
        <v>6.731470396354966E-2</v>
      </c>
      <c r="K13" s="63">
        <f>1-K2/股权价值增加表!K38</f>
        <v>-0.55054525991987591</v>
      </c>
      <c r="L13" s="63">
        <f>1-L2/股权价值增加表!L38</f>
        <v>-9.2505863390843324E-2</v>
      </c>
      <c r="M13" s="63">
        <f>1-M2/股权价值增加表!M38</f>
        <v>6.5644358780824197E-3</v>
      </c>
      <c r="N13" s="63">
        <f>1-N2/股权价值增加表!N38</f>
        <v>2.8487490677187921E-2</v>
      </c>
      <c r="O13" s="63">
        <f>1-O2/股权价值增加表!O38</f>
        <v>2.7637102641929645E-2</v>
      </c>
      <c r="P13" s="63">
        <f>1-P2/股权价值增加表!P38</f>
        <v>2.9609608783451313E-2</v>
      </c>
      <c r="Q13" s="63">
        <f>1-Q2/股权价值增加表!Q38</f>
        <v>5.1991274072148097E-2</v>
      </c>
      <c r="R13" s="63">
        <f>1-R2/股权价值增加表!R38</f>
        <v>5.6243874647147196E-2</v>
      </c>
      <c r="S13" s="63">
        <f>1-S2/股权价值增加表!S38</f>
        <v>-0.18209458333846795</v>
      </c>
      <c r="T13" s="63">
        <f>1-T2/股权价值增加表!T38</f>
        <v>1.0303352015883236</v>
      </c>
      <c r="U13" s="63">
        <f>1-U2/股权价值增加表!U38</f>
        <v>0.27094070463759712</v>
      </c>
      <c r="V13" s="63">
        <f>1-V2/股权价值增加表!V38</f>
        <v>0.25955673486172903</v>
      </c>
      <c r="W13" s="63">
        <f>1-W2/股权价值增加表!W38</f>
        <v>0.35805589236199653</v>
      </c>
      <c r="X13" s="63">
        <f>1-X2/股权价值增加表!X38</f>
        <v>1.0216840332409487</v>
      </c>
      <c r="Y13" s="63">
        <f>1-Y2/股权价值增加表!Y38</f>
        <v>0.22758870065444869</v>
      </c>
      <c r="Z13" s="63">
        <f>1-Z2/股权价值增加表!Z38</f>
        <v>0.20592351863962166</v>
      </c>
      <c r="AA13" s="63">
        <f>1-AA2/股权价值增加表!AA38</f>
        <v>0.21895687337858272</v>
      </c>
      <c r="AB13" s="63">
        <f>1-AB2/股权价值增加表!AB38</f>
        <v>0.21693029902873773</v>
      </c>
      <c r="AC13" s="63">
        <f>1-AC2/股权价值增加表!AC38</f>
        <v>0.20403961061281106</v>
      </c>
      <c r="AD13" s="63">
        <f>1-AD2/股权价值增加表!AD38</f>
        <v>0.19734183011909656</v>
      </c>
      <c r="AE13" s="63">
        <f>1-AE2/股权价值增加表!AE38</f>
        <v>0.20765076190565523</v>
      </c>
      <c r="AF13" s="63">
        <f>1-AF2/股权价值增加表!AF38</f>
        <v>0.22537429095385175</v>
      </c>
      <c r="AG13" s="63">
        <f>1-AG2/股权价值增加表!AG38</f>
        <v>0.18627879748060916</v>
      </c>
      <c r="AH13" s="63">
        <f>1-AH2/股权价值增加表!AH38</f>
        <v>0.20631377406644791</v>
      </c>
      <c r="AI13" s="63">
        <f>1-AI2/股权价值增加表!AI38</f>
        <v>0.19946292322856718</v>
      </c>
      <c r="AJ13" s="63">
        <f>1-AJ2/股权价值增加表!AJ38</f>
        <v>-8.0705594292247218E-2</v>
      </c>
      <c r="AK13" s="63">
        <f>1-AK2/股权价值增加表!AK38</f>
        <v>0.19148098553503301</v>
      </c>
      <c r="AL13" s="63">
        <f>1-AL2/股权价值增加表!AL38</f>
        <v>0.19992285927203746</v>
      </c>
      <c r="AM13" s="63">
        <f>1-AM2/股权价值增加表!AM38</f>
        <v>0.20190418243877284</v>
      </c>
      <c r="AN13" s="63">
        <f>1-AN2/股权价值增加表!AN38</f>
        <v>0.19301022194032325</v>
      </c>
      <c r="AO13" s="63">
        <f>1-AO2/股权价值增加表!AO38</f>
        <v>9.5985194419717867E-2</v>
      </c>
      <c r="AP13" s="63">
        <f>1-AP2/股权价值增加表!AP38</f>
        <v>0.12350849813808529</v>
      </c>
      <c r="AQ13" s="63">
        <f>1-AQ2/股权价值增加表!AQ38</f>
        <v>0.11983124026554481</v>
      </c>
      <c r="AR13" s="63" t="e">
        <f>1-AR2/股权价值增加表!AR38</f>
        <v>#DIV/0!</v>
      </c>
      <c r="AS13" s="63">
        <f>1-AS2/股权价值增加表!AS38</f>
        <v>7.3937250836614146</v>
      </c>
      <c r="AT13" s="63">
        <f>1-AT2/股权价值增加表!AT38</f>
        <v>15.592366512196667</v>
      </c>
      <c r="AU13" s="63">
        <f>1-AU2/股权价值增加表!AU38</f>
        <v>15.376416082794156</v>
      </c>
      <c r="AV13" s="63">
        <f>1-AV2/股权价值增加表!AV38</f>
        <v>92.644454630179325</v>
      </c>
      <c r="AW13" s="63">
        <f>1-AW2/股权价值增加表!AW38</f>
        <v>10.916220541131098</v>
      </c>
      <c r="AX13" s="63">
        <f>1-AX2/股权价值增加表!AX38</f>
        <v>18.231369460204579</v>
      </c>
      <c r="AY13" s="63">
        <f>1-AY2/股权价值增加表!AY38</f>
        <v>16.021387764306059</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5" t="s">
        <v>436</v>
      </c>
      <c r="E14" s="59">
        <f>E6*E7*E9*E10*E12</f>
        <v>7.5427770547685138E-2</v>
      </c>
      <c r="F14" s="59">
        <f t="shared" ref="F14:BQ14" si="4">F6*F7*F9*F10*F12</f>
        <v>7.3383849035149079E-2</v>
      </c>
      <c r="G14" s="59">
        <f t="shared" si="4"/>
        <v>5.1379551826051348E-2</v>
      </c>
      <c r="H14" s="59">
        <f t="shared" si="4"/>
        <v>1.3161231882949495E-2</v>
      </c>
      <c r="I14" s="59">
        <f t="shared" si="4"/>
        <v>0.13479010584508455</v>
      </c>
      <c r="J14" s="59">
        <f t="shared" si="4"/>
        <v>4.2771765207783356E-2</v>
      </c>
      <c r="K14" s="59">
        <f t="shared" si="4"/>
        <v>-7.9212852055055849E-3</v>
      </c>
      <c r="L14" s="59">
        <f t="shared" si="4"/>
        <v>-7.6230032108920813E-3</v>
      </c>
      <c r="M14" s="59">
        <f t="shared" si="4"/>
        <v>0.13743661056695822</v>
      </c>
      <c r="N14" s="59">
        <f t="shared" si="4"/>
        <v>0.27136697833241946</v>
      </c>
      <c r="O14" s="59">
        <f t="shared" si="4"/>
        <v>0.17857564270199947</v>
      </c>
      <c r="P14" s="59">
        <f t="shared" si="4"/>
        <v>9.7634475598440587E-2</v>
      </c>
      <c r="Q14" s="59">
        <f t="shared" si="4"/>
        <v>0.59089150724314998</v>
      </c>
      <c r="R14" s="59">
        <f t="shared" si="4"/>
        <v>0.51480488472170727</v>
      </c>
      <c r="S14" s="59">
        <f t="shared" si="4"/>
        <v>-1.4193954872823484E-2</v>
      </c>
      <c r="T14" s="59">
        <f t="shared" si="4"/>
        <v>-4.9891683839799315E-5</v>
      </c>
      <c r="U14" s="59">
        <f t="shared" si="4"/>
        <v>2.3662916509499494E-2</v>
      </c>
      <c r="V14" s="59">
        <f t="shared" si="4"/>
        <v>2.4420646147673968E-2</v>
      </c>
      <c r="W14" s="59">
        <f t="shared" si="4"/>
        <v>2.4823926363681297E-2</v>
      </c>
      <c r="X14" s="59">
        <f t="shared" si="4"/>
        <v>-4.6967797748630534E-5</v>
      </c>
      <c r="Y14" s="59">
        <f t="shared" si="4"/>
        <v>4.8660337842336768E-2</v>
      </c>
      <c r="Z14" s="59">
        <f t="shared" si="4"/>
        <v>4.0561955100106122E-2</v>
      </c>
      <c r="AA14" s="59">
        <f t="shared" si="4"/>
        <v>2.9410264940383176E-2</v>
      </c>
      <c r="AB14" s="59">
        <f t="shared" si="4"/>
        <v>5.7931256980271306E-3</v>
      </c>
      <c r="AC14" s="59">
        <f t="shared" si="4"/>
        <v>6.3682941285281028E-2</v>
      </c>
      <c r="AD14" s="59">
        <f t="shared" si="4"/>
        <v>3.4275111610706677E-2</v>
      </c>
      <c r="AE14" s="59">
        <f t="shared" si="4"/>
        <v>1.9451921472938137E-2</v>
      </c>
      <c r="AF14" s="59">
        <f t="shared" si="4"/>
        <v>5.4040601327210317E-3</v>
      </c>
      <c r="AG14" s="59">
        <f t="shared" si="4"/>
        <v>2.9988912589458759E-2</v>
      </c>
      <c r="AH14" s="59">
        <f t="shared" si="4"/>
        <v>2.3861106877402762E-2</v>
      </c>
      <c r="AI14" s="59">
        <f t="shared" si="4"/>
        <v>9.3515405662510671E-3</v>
      </c>
      <c r="AJ14" s="59">
        <f t="shared" si="4"/>
        <v>-6.6229755044302898E-3</v>
      </c>
      <c r="AK14" s="59">
        <f t="shared" si="4"/>
        <v>0.16949551896377085</v>
      </c>
      <c r="AL14" s="59">
        <f t="shared" si="4"/>
        <v>9.6871954906354071E-2</v>
      </c>
      <c r="AM14" s="59">
        <f t="shared" si="4"/>
        <v>5.496666033007877E-2</v>
      </c>
      <c r="AN14" s="59">
        <f t="shared" si="4"/>
        <v>2.3007794721450439E-2</v>
      </c>
      <c r="AO14" s="59">
        <f t="shared" si="4"/>
        <v>0.2893244629800068</v>
      </c>
      <c r="AP14" s="59">
        <f t="shared" si="4"/>
        <v>0.33645897195967411</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698</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49" customFormat="1" x14ac:dyDescent="0.25">
      <c r="A18" s="248"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39447</v>
      </c>
      <c r="AQ18" s="1">
        <v>39082</v>
      </c>
      <c r="AR18" s="1">
        <v>25569</v>
      </c>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8" t="s">
        <v>446</v>
      </c>
      <c r="B19" s="76">
        <v>43373</v>
      </c>
      <c r="C19" s="76">
        <v>43281</v>
      </c>
      <c r="D19" s="76">
        <v>43190</v>
      </c>
      <c r="E19" s="76">
        <f>股权价值增加表!E4</f>
        <v>3101374995.27</v>
      </c>
      <c r="F19" s="76">
        <f>股权价值增加表!F4</f>
        <v>2237152268.6500001</v>
      </c>
      <c r="G19" s="76">
        <f>股权价值增加表!G4</f>
        <v>1589165365.48</v>
      </c>
      <c r="H19" s="76">
        <f>股权价值增加表!H4</f>
        <v>639633152.34000003</v>
      </c>
      <c r="I19" s="76">
        <f>股权价值增加表!I4</f>
        <v>1674860621.6700001</v>
      </c>
      <c r="J19" s="76">
        <f>股权价值增加表!J4</f>
        <v>1309911726.6900001</v>
      </c>
      <c r="K19" s="76">
        <f>股权价值增加表!K4</f>
        <v>858826118.13999999</v>
      </c>
      <c r="L19" s="76">
        <f>股权价值增加表!L4</f>
        <v>447990967.76999998</v>
      </c>
      <c r="M19" s="76">
        <f>股权价值增加表!M4</f>
        <v>940847581.74000001</v>
      </c>
      <c r="N19" s="76">
        <f>股权价值增加表!N4</f>
        <v>528693076.44999999</v>
      </c>
      <c r="O19" s="76">
        <f>股权价值增加表!O4</f>
        <v>319281419.52999997</v>
      </c>
      <c r="P19" s="76">
        <f>股权价值增加表!P4</f>
        <v>153468545.18000001</v>
      </c>
      <c r="Q19" s="76">
        <f>股权价值增加表!Q4</f>
        <v>475541247.29000002</v>
      </c>
      <c r="R19" s="76">
        <f>股权价值增加表!R4</f>
        <v>342647438.50999999</v>
      </c>
      <c r="S19" s="76">
        <f>股权价值增加表!S4</f>
        <v>160980245.72999999</v>
      </c>
      <c r="T19" s="76">
        <f>股权价值增加表!T4</f>
        <v>76490124.170000002</v>
      </c>
      <c r="U19" s="76">
        <f>股权价值增加表!U4</f>
        <v>404860703.92000002</v>
      </c>
      <c r="V19" s="76">
        <f>股权价值增加表!V4</f>
        <v>299333915.07999998</v>
      </c>
      <c r="W19" s="76">
        <f>股权价值增加表!W4</f>
        <v>201629671.28</v>
      </c>
      <c r="X19" s="76">
        <f>股权价值增加表!X4</f>
        <v>88216270.299999997</v>
      </c>
      <c r="Y19" s="76">
        <f>股权价值增加表!Y4</f>
        <v>368978529.88999999</v>
      </c>
      <c r="Z19" s="76">
        <f>股权价值增加表!Z4</f>
        <v>263719499.74000001</v>
      </c>
      <c r="AA19" s="76">
        <f>股权价值增加表!AA4</f>
        <v>167647473.08000001</v>
      </c>
      <c r="AB19" s="76">
        <f>股权价值增加表!AB4</f>
        <v>70386396.640000001</v>
      </c>
      <c r="AC19" s="76">
        <f>股权价值增加表!AC4</f>
        <v>427854958.19</v>
      </c>
      <c r="AD19" s="76">
        <f>股权价值增加表!AD4</f>
        <v>289069924.76999998</v>
      </c>
      <c r="AE19" s="76">
        <f>股权价值增加表!AE4</f>
        <v>176035812.30000001</v>
      </c>
      <c r="AF19" s="76">
        <f>股权价值增加表!AF4</f>
        <v>72551082.439999998</v>
      </c>
      <c r="AG19" s="76">
        <f>股权价值增加表!AG4</f>
        <v>306601155.70999998</v>
      </c>
      <c r="AH19" s="76">
        <f>股权价值增加表!AH4</f>
        <v>228052601.91</v>
      </c>
      <c r="AI19" s="76">
        <f>股权价值增加表!AI4</f>
        <v>138338266.08000001</v>
      </c>
      <c r="AJ19" s="76">
        <f>股权价值增加表!AJ4</f>
        <v>60389382.710000001</v>
      </c>
      <c r="AK19" s="76">
        <f>股权价值增加表!AK4</f>
        <v>236369504.05000001</v>
      </c>
      <c r="AL19" s="76">
        <f>股权价值增加表!AL4</f>
        <v>158647035.88999999</v>
      </c>
      <c r="AM19" s="76">
        <f>股权价值增加表!AM4</f>
        <v>96728958.370000005</v>
      </c>
      <c r="AN19" s="76">
        <f>股权价值增加表!AN4</f>
        <v>45667900.600000001</v>
      </c>
      <c r="AO19" s="76">
        <f>股权价值增加表!AO4</f>
        <v>285772761.35000002</v>
      </c>
      <c r="AP19" s="76">
        <f>股权价值增加表!AP4</f>
        <v>271690739.83999997</v>
      </c>
      <c r="AQ19" s="76">
        <f>股权价值增加表!AQ4</f>
        <v>218629260.31999999</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8" t="s">
        <v>447</v>
      </c>
      <c r="E20" s="76">
        <f>股权价值增加表!E15</f>
        <v>1008267334.5199999</v>
      </c>
      <c r="F20" s="76">
        <f>股权价值增加表!F15</f>
        <v>986056929.19000006</v>
      </c>
      <c r="G20" s="76">
        <f>股权价值增加表!G15</f>
        <v>611577095.58000004</v>
      </c>
      <c r="H20" s="76">
        <f>股权价值增加表!H15</f>
        <v>260698433.50000006</v>
      </c>
      <c r="I20" s="76">
        <f>股权价值增加表!I15</f>
        <v>540320982.07000005</v>
      </c>
      <c r="J20" s="76">
        <f>股权价值增加表!J15</f>
        <v>365946146.56999999</v>
      </c>
      <c r="K20" s="76">
        <f>股权价值增加表!K15</f>
        <v>224526011.31999996</v>
      </c>
      <c r="L20" s="76">
        <f>股权价值增加表!L15</f>
        <v>119339975.15999997</v>
      </c>
      <c r="M20" s="76">
        <f>股权价值增加表!M15</f>
        <v>366459128.94</v>
      </c>
      <c r="N20" s="76">
        <f>股权价值增加表!N15</f>
        <v>262207830.79999998</v>
      </c>
      <c r="O20" s="76">
        <f>股权价值增加表!O15</f>
        <v>151673557.15999994</v>
      </c>
      <c r="P20" s="76">
        <f>股权价值增加表!P15</f>
        <v>74834758.490000024</v>
      </c>
      <c r="Q20" s="76">
        <f>股权价值增加表!Q15</f>
        <v>208978666.72000003</v>
      </c>
      <c r="R20" s="76">
        <f>股权价值增加表!R15</f>
        <v>147311129.63999999</v>
      </c>
      <c r="S20" s="76">
        <f>股权价值增加表!S15</f>
        <v>6179983.3699999936</v>
      </c>
      <c r="T20" s="76">
        <f>股权价值增加表!T15</f>
        <v>6185311.4200000018</v>
      </c>
      <c r="U20" s="76">
        <f>股权价值增加表!U15</f>
        <v>47280076.240000024</v>
      </c>
      <c r="V20" s="76">
        <f>股权价值增加表!V15</f>
        <v>40255844.919999972</v>
      </c>
      <c r="W20" s="76">
        <f>股权价值增加表!W15</f>
        <v>35482864.219999991</v>
      </c>
      <c r="X20" s="76">
        <f>股权价值增加表!X15</f>
        <v>7299887.4299999997</v>
      </c>
      <c r="Y20" s="76">
        <f>股权价值增加表!Y15</f>
        <v>51037317.729999974</v>
      </c>
      <c r="Z20" s="76">
        <f>股权价值增加表!Z15</f>
        <v>38063130.790000007</v>
      </c>
      <c r="AA20" s="76">
        <f>股权价值增加表!AA15</f>
        <v>27403216.379999999</v>
      </c>
      <c r="AB20" s="76">
        <f>股权价值增加表!AB15</f>
        <v>6501613.4400000023</v>
      </c>
      <c r="AC20" s="76">
        <f>股权价值增加表!AC15</f>
        <v>58397158.770000018</v>
      </c>
      <c r="AD20" s="76">
        <f>股权价值增加表!AD15</f>
        <v>29871443.329999983</v>
      </c>
      <c r="AE20" s="76">
        <f>股权价值增加表!AE15</f>
        <v>17199883.610000018</v>
      </c>
      <c r="AF20" s="76">
        <f>股权价值增加表!AF15</f>
        <v>4404840.8299999954</v>
      </c>
      <c r="AG20" s="76">
        <f>股权价值增加表!AG15</f>
        <v>25700496.679999981</v>
      </c>
      <c r="AH20" s="76">
        <f>股权价值增加表!AH15</f>
        <v>19231742.749999985</v>
      </c>
      <c r="AI20" s="76">
        <f>股权价值增加表!AI15</f>
        <v>9203903.5000000112</v>
      </c>
      <c r="AJ20" s="76">
        <f>股权价值增加表!AJ15</f>
        <v>-1037155.4000000004</v>
      </c>
      <c r="AK20" s="76">
        <f>股权价值增加表!AK15</f>
        <v>44196216.980000012</v>
      </c>
      <c r="AL20" s="76">
        <f>股权价值增加表!AL15</f>
        <v>24896417.70999999</v>
      </c>
      <c r="AM20" s="76">
        <f>股权价值增加表!AM15</f>
        <v>14108744.459999997</v>
      </c>
      <c r="AN20" s="76">
        <f>股权价值增加表!AN15</f>
        <v>5540763.7500000037</v>
      </c>
      <c r="AO20" s="76">
        <f>股权价值增加表!AO15</f>
        <v>46232557.270000011</v>
      </c>
      <c r="AP20" s="76">
        <f>股权价值增加表!AP15</f>
        <v>39528613.439999983</v>
      </c>
      <c r="AQ20" s="76">
        <f>股权价值增加表!AQ15</f>
        <v>32585697.729999986</v>
      </c>
      <c r="AR20" s="76">
        <f>股权价值增加表!AR15</f>
        <v>0</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3" customFormat="1" x14ac:dyDescent="0.25">
      <c r="A21" s="233" t="s">
        <v>448</v>
      </c>
      <c r="E21" s="243">
        <f>E20/E19</f>
        <v>0.32510332870347464</v>
      </c>
      <c r="F21" s="243">
        <f t="shared" ref="F21:BQ21" si="6">F20/F19</f>
        <v>0.44076433375052826</v>
      </c>
      <c r="G21" s="243">
        <f t="shared" si="6"/>
        <v>0.38484169669484081</v>
      </c>
      <c r="H21" s="243">
        <f t="shared" si="6"/>
        <v>0.40757492407370494</v>
      </c>
      <c r="I21" s="243">
        <f t="shared" si="6"/>
        <v>0.32260653518216165</v>
      </c>
      <c r="J21" s="243">
        <f t="shared" si="6"/>
        <v>0.27936702841397171</v>
      </c>
      <c r="K21" s="243">
        <f t="shared" si="6"/>
        <v>0.26143360871030152</v>
      </c>
      <c r="L21" s="243">
        <f t="shared" si="6"/>
        <v>0.26638924385919649</v>
      </c>
      <c r="M21" s="243">
        <f t="shared" si="6"/>
        <v>0.3894989327200819</v>
      </c>
      <c r="N21" s="243">
        <f t="shared" si="6"/>
        <v>0.49595472776121691</v>
      </c>
      <c r="O21" s="243">
        <f t="shared" si="6"/>
        <v>0.47504661368416573</v>
      </c>
      <c r="P21" s="243">
        <f t="shared" si="6"/>
        <v>0.48762277900157275</v>
      </c>
      <c r="Q21" s="243">
        <f t="shared" si="6"/>
        <v>0.43945434367874775</v>
      </c>
      <c r="R21" s="243">
        <f t="shared" si="6"/>
        <v>0.42992041697606559</v>
      </c>
      <c r="S21" s="243">
        <f t="shared" si="6"/>
        <v>3.8389700189458108E-2</v>
      </c>
      <c r="T21" s="243">
        <f t="shared" si="6"/>
        <v>8.0864183280093663E-2</v>
      </c>
      <c r="U21" s="243">
        <f t="shared" si="6"/>
        <v>0.11678109478696778</v>
      </c>
      <c r="V21" s="243">
        <f t="shared" si="6"/>
        <v>0.13448474393301271</v>
      </c>
      <c r="W21" s="243">
        <f t="shared" si="6"/>
        <v>0.17598037032320252</v>
      </c>
      <c r="X21" s="243">
        <f t="shared" si="6"/>
        <v>8.2749898688473572E-2</v>
      </c>
      <c r="Y21" s="243">
        <f t="shared" si="6"/>
        <v>0.13832056229725681</v>
      </c>
      <c r="Z21" s="243">
        <f t="shared" si="6"/>
        <v>0.14433187848272991</v>
      </c>
      <c r="AA21" s="243">
        <f t="shared" si="6"/>
        <v>0.16345737801203486</v>
      </c>
      <c r="AB21" s="243">
        <f t="shared" si="6"/>
        <v>9.2370312309824787E-2</v>
      </c>
      <c r="AC21" s="243">
        <f t="shared" si="6"/>
        <v>0.13648821324180438</v>
      </c>
      <c r="AD21" s="243">
        <f t="shared" si="6"/>
        <v>0.10333639292903735</v>
      </c>
      <c r="AE21" s="243">
        <f t="shared" si="6"/>
        <v>9.770673015493006E-2</v>
      </c>
      <c r="AF21" s="243">
        <f t="shared" si="6"/>
        <v>6.0713647293171878E-2</v>
      </c>
      <c r="AG21" s="243">
        <f t="shared" si="6"/>
        <v>8.3823874115820055E-2</v>
      </c>
      <c r="AH21" s="243">
        <f t="shared" si="6"/>
        <v>8.4330293050502936E-2</v>
      </c>
      <c r="AI21" s="243">
        <f t="shared" si="6"/>
        <v>6.6531869748009273E-2</v>
      </c>
      <c r="AJ21" s="243">
        <f t="shared" si="6"/>
        <v>-1.7174465998114195E-2</v>
      </c>
      <c r="AK21" s="243">
        <f t="shared" si="6"/>
        <v>0.18697935318530365</v>
      </c>
      <c r="AL21" s="243">
        <f t="shared" si="6"/>
        <v>0.15692961151358825</v>
      </c>
      <c r="AM21" s="243">
        <f t="shared" si="6"/>
        <v>0.14585853810223343</v>
      </c>
      <c r="AN21" s="243">
        <f t="shared" si="6"/>
        <v>0.12132731474851295</v>
      </c>
      <c r="AO21" s="243">
        <f t="shared" si="6"/>
        <v>0.16178083961395018</v>
      </c>
      <c r="AP21" s="243">
        <f t="shared" si="6"/>
        <v>0.14549120615328509</v>
      </c>
      <c r="AQ21" s="243">
        <f t="shared" si="6"/>
        <v>0.14904545568285527</v>
      </c>
      <c r="AR21" s="243" t="e">
        <f t="shared" si="6"/>
        <v>#DIV/0!</v>
      </c>
      <c r="AS21" s="243" t="e">
        <f t="shared" si="6"/>
        <v>#DIV/0!</v>
      </c>
      <c r="AT21" s="243" t="e">
        <f t="shared" si="6"/>
        <v>#DIV/0!</v>
      </c>
      <c r="AU21" s="243" t="e">
        <f t="shared" si="6"/>
        <v>#DIV/0!</v>
      </c>
      <c r="AV21" s="243" t="e">
        <f t="shared" si="6"/>
        <v>#DIV/0!</v>
      </c>
      <c r="AW21" s="243" t="e">
        <f t="shared" si="6"/>
        <v>#DIV/0!</v>
      </c>
      <c r="AX21" s="243" t="e">
        <f t="shared" si="6"/>
        <v>#DIV/0!</v>
      </c>
      <c r="AY21" s="243" t="e">
        <f t="shared" si="6"/>
        <v>#DIV/0!</v>
      </c>
      <c r="AZ21" s="243" t="e">
        <f t="shared" si="6"/>
        <v>#DIV/0!</v>
      </c>
      <c r="BA21" s="243" t="e">
        <f t="shared" si="6"/>
        <v>#DIV/0!</v>
      </c>
      <c r="BB21" s="243" t="e">
        <f t="shared" si="6"/>
        <v>#DIV/0!</v>
      </c>
      <c r="BC21" s="243" t="e">
        <f t="shared" si="6"/>
        <v>#DIV/0!</v>
      </c>
      <c r="BD21" s="243" t="e">
        <f t="shared" si="6"/>
        <v>#DIV/0!</v>
      </c>
      <c r="BE21" s="243" t="e">
        <f t="shared" si="6"/>
        <v>#DIV/0!</v>
      </c>
      <c r="BF21" s="243" t="e">
        <f t="shared" si="6"/>
        <v>#DIV/0!</v>
      </c>
      <c r="BG21" s="243" t="e">
        <f t="shared" si="6"/>
        <v>#DIV/0!</v>
      </c>
      <c r="BH21" s="243" t="e">
        <f t="shared" si="6"/>
        <v>#DIV/0!</v>
      </c>
      <c r="BI21" s="243" t="e">
        <f t="shared" si="6"/>
        <v>#DIV/0!</v>
      </c>
      <c r="BJ21" s="243" t="e">
        <f t="shared" si="6"/>
        <v>#DIV/0!</v>
      </c>
      <c r="BK21" s="243" t="e">
        <f t="shared" si="6"/>
        <v>#DIV/0!</v>
      </c>
      <c r="BL21" s="243" t="e">
        <f t="shared" si="6"/>
        <v>#DIV/0!</v>
      </c>
      <c r="BM21" s="243" t="e">
        <f t="shared" si="6"/>
        <v>#DIV/0!</v>
      </c>
      <c r="BN21" s="243" t="e">
        <f t="shared" si="6"/>
        <v>#DIV/0!</v>
      </c>
      <c r="BO21" s="243" t="e">
        <f t="shared" si="6"/>
        <v>#DIV/0!</v>
      </c>
      <c r="BP21" s="243" t="e">
        <f t="shared" si="6"/>
        <v>#DIV/0!</v>
      </c>
      <c r="BQ21" s="243" t="e">
        <f t="shared" si="6"/>
        <v>#DIV/0!</v>
      </c>
      <c r="BR21" s="243" t="e">
        <f t="shared" ref="BR21:CK21" si="7">BR20/BR19</f>
        <v>#DIV/0!</v>
      </c>
      <c r="BS21" s="243" t="e">
        <f t="shared" si="7"/>
        <v>#DIV/0!</v>
      </c>
      <c r="BT21" s="243" t="e">
        <f t="shared" si="7"/>
        <v>#DIV/0!</v>
      </c>
      <c r="BU21" s="243" t="e">
        <f t="shared" si="7"/>
        <v>#DIV/0!</v>
      </c>
      <c r="BV21" s="243" t="e">
        <f t="shared" si="7"/>
        <v>#DIV/0!</v>
      </c>
      <c r="BW21" s="243" t="e">
        <f t="shared" si="7"/>
        <v>#DIV/0!</v>
      </c>
      <c r="BX21" s="243" t="e">
        <f t="shared" si="7"/>
        <v>#DIV/0!</v>
      </c>
      <c r="BY21" s="243" t="e">
        <f t="shared" si="7"/>
        <v>#DIV/0!</v>
      </c>
      <c r="BZ21" s="243" t="e">
        <f t="shared" si="7"/>
        <v>#DIV/0!</v>
      </c>
      <c r="CA21" s="243" t="e">
        <f t="shared" si="7"/>
        <v>#DIV/0!</v>
      </c>
      <c r="CB21" s="243" t="e">
        <f t="shared" si="7"/>
        <v>#DIV/0!</v>
      </c>
      <c r="CC21" s="243" t="e">
        <f t="shared" si="7"/>
        <v>#DIV/0!</v>
      </c>
      <c r="CD21" s="243" t="e">
        <f t="shared" si="7"/>
        <v>#DIV/0!</v>
      </c>
      <c r="CE21" s="243" t="e">
        <f t="shared" si="7"/>
        <v>#DIV/0!</v>
      </c>
      <c r="CF21" s="243" t="e">
        <f t="shared" si="7"/>
        <v>#DIV/0!</v>
      </c>
      <c r="CG21" s="243" t="e">
        <f t="shared" si="7"/>
        <v>#DIV/0!</v>
      </c>
      <c r="CH21" s="243" t="e">
        <f t="shared" si="7"/>
        <v>#DIV/0!</v>
      </c>
      <c r="CI21" s="243" t="e">
        <f t="shared" si="7"/>
        <v>#DIV/0!</v>
      </c>
      <c r="CJ21" s="243" t="e">
        <f t="shared" si="7"/>
        <v>#DIV/0!</v>
      </c>
      <c r="CK21" s="243" t="e">
        <f t="shared" si="7"/>
        <v>#DIV/0!</v>
      </c>
    </row>
    <row r="22" spans="1:89" s="26" customFormat="1" x14ac:dyDescent="0.25">
      <c r="A22" s="26" t="s">
        <v>685</v>
      </c>
      <c r="E22" s="26">
        <f>资产资本表!E69</f>
        <v>6140475631.7599983</v>
      </c>
      <c r="F22" s="192">
        <f>资产资本表!F69</f>
        <v>5756090129.0999985</v>
      </c>
      <c r="G22" s="192">
        <f>资产资本表!G69</f>
        <v>7281419001.9199991</v>
      </c>
      <c r="H22" s="192">
        <f>资产资本表!H69</f>
        <v>5042079718.1199999</v>
      </c>
      <c r="I22" s="192">
        <f>资产资本表!I69</f>
        <v>4272695463.29</v>
      </c>
      <c r="J22" s="192">
        <f>资产资本表!J69</f>
        <v>4019484119.9200001</v>
      </c>
      <c r="K22" s="192">
        <f>资产资本表!K69</f>
        <v>3935560238.4700007</v>
      </c>
      <c r="L22" s="192">
        <f>资产资本表!L69</f>
        <v>3719063464.0300007</v>
      </c>
      <c r="M22" s="192">
        <f>资产资本表!M69</f>
        <v>3682538960.2300005</v>
      </c>
      <c r="N22" s="192">
        <f>资产资本表!N69</f>
        <v>421824773.45999998</v>
      </c>
      <c r="O22" s="192">
        <f>资产资本表!O69</f>
        <v>520251406.58000004</v>
      </c>
      <c r="P22" s="192">
        <f>资产资本表!P69</f>
        <v>480042823.50999987</v>
      </c>
      <c r="Q22" s="192">
        <f>资产资本表!Q69</f>
        <v>69391169.749999985</v>
      </c>
      <c r="R22" s="192">
        <f>资产资本表!R69</f>
        <v>165148581.20999998</v>
      </c>
      <c r="S22" s="192">
        <f>资产资本表!S69</f>
        <v>747342755.82999992</v>
      </c>
      <c r="T22" s="192">
        <f>资产资本表!T69</f>
        <v>825052707.25</v>
      </c>
      <c r="U22" s="192">
        <f>资产资本表!U69</f>
        <v>845423552.35000002</v>
      </c>
      <c r="V22" s="192">
        <f>资产资本表!V69</f>
        <v>880411957.46000004</v>
      </c>
      <c r="W22" s="192">
        <f>资产资本表!W69</f>
        <v>848104912.19000006</v>
      </c>
      <c r="X22" s="192">
        <f>资产资本表!X69</f>
        <v>811052788.63999999</v>
      </c>
      <c r="Y22" s="192">
        <f>资产资本表!Y69</f>
        <v>758542614.19000006</v>
      </c>
      <c r="Z22" s="192">
        <f>资产资本表!Z69</f>
        <v>748030527.49000001</v>
      </c>
      <c r="AA22" s="192">
        <f>资产资本表!AA69</f>
        <v>759406664.3599999</v>
      </c>
      <c r="AB22" s="192">
        <f>资产资本表!AB69</f>
        <v>758108165.77999997</v>
      </c>
      <c r="AC22" s="192">
        <f>资产资本表!AC69</f>
        <v>687238199.07999992</v>
      </c>
      <c r="AD22" s="192">
        <f>资产资本表!AD69</f>
        <v>575780603.96000004</v>
      </c>
      <c r="AE22" s="192">
        <f>资产资本表!AE69</f>
        <v>490594877.43999994</v>
      </c>
      <c r="AF22" s="192">
        <f>资产资本表!AF69</f>
        <v>463001599.89999998</v>
      </c>
      <c r="AG22" s="192">
        <f>资产资本表!AG69</f>
        <v>433864078.13999999</v>
      </c>
      <c r="AH22" s="192">
        <f>资产资本表!AH69</f>
        <v>393989256.98000002</v>
      </c>
      <c r="AI22" s="192">
        <f>资产资本表!AI69</f>
        <v>343620588.91999996</v>
      </c>
      <c r="AJ22" s="192">
        <f>资产资本表!AJ69</f>
        <v>285715206.38</v>
      </c>
      <c r="AK22" s="192">
        <f>资产资本表!AK69</f>
        <v>259360725.84999996</v>
      </c>
      <c r="AL22" s="192">
        <f>资产资本表!AL69</f>
        <v>264706422.13</v>
      </c>
      <c r="AM22" s="192">
        <f>资产资本表!AM69</f>
        <v>228823636.10000002</v>
      </c>
      <c r="AN22" s="192">
        <f>资产资本表!AN69</f>
        <v>222241781.55000001</v>
      </c>
      <c r="AO22" s="192">
        <f>资产资本表!AO69</f>
        <v>167784886.11000001</v>
      </c>
      <c r="AP22" s="192">
        <f>资产资本表!AP69</f>
        <v>128025667.49999999</v>
      </c>
      <c r="AQ22" s="192">
        <f>资产资本表!AQ69</f>
        <v>0</v>
      </c>
      <c r="AR22" s="192">
        <f>资产资本表!AR69</f>
        <v>0</v>
      </c>
      <c r="AS22" s="192">
        <f>资产资本表!AS69</f>
        <v>0</v>
      </c>
      <c r="AT22" s="192">
        <f>资产资本表!AT69</f>
        <v>0</v>
      </c>
      <c r="AU22" s="192">
        <f>资产资本表!AU69</f>
        <v>0</v>
      </c>
      <c r="AV22" s="192">
        <f>资产资本表!AV69</f>
        <v>0</v>
      </c>
      <c r="AW22" s="192">
        <f>资产资本表!AW69</f>
        <v>0</v>
      </c>
      <c r="AX22" s="192">
        <f>资产资本表!AX69</f>
        <v>0</v>
      </c>
      <c r="AY22" s="192">
        <f>资产资本表!AY69</f>
        <v>0</v>
      </c>
      <c r="AZ22" s="192">
        <f>资产资本表!AZ69</f>
        <v>0</v>
      </c>
      <c r="BA22" s="192">
        <f>资产资本表!BA69</f>
        <v>0</v>
      </c>
      <c r="BB22" s="192">
        <f>资产资本表!BB69</f>
        <v>0</v>
      </c>
      <c r="BC22" s="192">
        <f>资产资本表!BC69</f>
        <v>0</v>
      </c>
      <c r="BD22" s="192">
        <f>资产资本表!BD69</f>
        <v>0</v>
      </c>
      <c r="BE22" s="192">
        <f>资产资本表!BE69</f>
        <v>0</v>
      </c>
      <c r="BF22" s="192">
        <f>资产资本表!BF69</f>
        <v>0</v>
      </c>
      <c r="BG22" s="192">
        <f>资产资本表!BG69</f>
        <v>0</v>
      </c>
      <c r="BH22" s="192">
        <f>资产资本表!BH69</f>
        <v>0</v>
      </c>
      <c r="BI22" s="192">
        <f>资产资本表!BI69</f>
        <v>0</v>
      </c>
      <c r="BJ22" s="192">
        <f>资产资本表!BJ69</f>
        <v>0</v>
      </c>
      <c r="BK22" s="192">
        <f>资产资本表!BK69</f>
        <v>0</v>
      </c>
      <c r="BL22" s="192">
        <f>资产资本表!BL69</f>
        <v>0</v>
      </c>
      <c r="BM22" s="192">
        <f>资产资本表!BM69</f>
        <v>0</v>
      </c>
      <c r="BN22" s="192">
        <f>资产资本表!BN69</f>
        <v>0</v>
      </c>
      <c r="BO22" s="192">
        <f>资产资本表!BO69</f>
        <v>0</v>
      </c>
      <c r="BP22" s="192">
        <f>资产资本表!BP69</f>
        <v>0</v>
      </c>
      <c r="BQ22" s="192">
        <f>资产资本表!BQ69</f>
        <v>0</v>
      </c>
      <c r="BR22" s="192">
        <f>资产资本表!BR69</f>
        <v>0</v>
      </c>
      <c r="BS22" s="192">
        <f>资产资本表!BS69</f>
        <v>0</v>
      </c>
      <c r="BT22" s="192">
        <f>资产资本表!BT69</f>
        <v>0</v>
      </c>
      <c r="BU22" s="192">
        <f>资产资本表!BU69</f>
        <v>0</v>
      </c>
      <c r="BV22" s="192">
        <f>资产资本表!BV69</f>
        <v>0</v>
      </c>
      <c r="BW22" s="192">
        <f>资产资本表!BW69</f>
        <v>0</v>
      </c>
      <c r="BX22" s="192">
        <f>资产资本表!BX69</f>
        <v>0</v>
      </c>
      <c r="BY22" s="192">
        <f>资产资本表!BY69</f>
        <v>0</v>
      </c>
      <c r="BZ22" s="192">
        <f>资产资本表!BZ69</f>
        <v>0</v>
      </c>
      <c r="CA22" s="192">
        <f>资产资本表!CA69</f>
        <v>0</v>
      </c>
      <c r="CB22" s="192">
        <f>资产资本表!CB69</f>
        <v>0</v>
      </c>
      <c r="CC22" s="192">
        <f>资产资本表!CC69</f>
        <v>0</v>
      </c>
      <c r="CD22" s="192">
        <f>资产资本表!CD69</f>
        <v>0</v>
      </c>
      <c r="CE22" s="192">
        <f>资产资本表!CE69</f>
        <v>0</v>
      </c>
      <c r="CF22" s="192">
        <f>资产资本表!CF69</f>
        <v>0</v>
      </c>
      <c r="CG22" s="192">
        <f>资产资本表!CG69</f>
        <v>0</v>
      </c>
      <c r="CH22" s="192">
        <f>资产资本表!CH69</f>
        <v>0</v>
      </c>
      <c r="CI22" s="192">
        <f>资产资本表!CI69</f>
        <v>0</v>
      </c>
      <c r="CJ22" s="192">
        <f>资产资本表!CJ69</f>
        <v>0</v>
      </c>
      <c r="CK22" s="192">
        <f>资产资本表!CK69</f>
        <v>0</v>
      </c>
    </row>
    <row r="23" spans="1:89" s="245" customFormat="1" x14ac:dyDescent="0.25">
      <c r="A23" s="244" t="s">
        <v>686</v>
      </c>
      <c r="E23" s="245">
        <f>E19/E22</f>
        <v>0.5050708090475845</v>
      </c>
      <c r="F23" s="245">
        <f t="shared" ref="F23:BQ23" si="8">F19/F22</f>
        <v>0.38865831119287791</v>
      </c>
      <c r="G23" s="245">
        <f t="shared" si="8"/>
        <v>0.21824940510372515</v>
      </c>
      <c r="H23" s="245">
        <f t="shared" si="8"/>
        <v>0.12685899234026687</v>
      </c>
      <c r="I23" s="245">
        <f t="shared" si="8"/>
        <v>0.39199157441947613</v>
      </c>
      <c r="J23" s="245">
        <f t="shared" si="8"/>
        <v>0.32589050923183427</v>
      </c>
      <c r="K23" s="245">
        <f t="shared" si="8"/>
        <v>0.21822207413953335</v>
      </c>
      <c r="L23" s="245">
        <f t="shared" si="8"/>
        <v>0.12045800565192671</v>
      </c>
      <c r="M23" s="245">
        <f t="shared" si="8"/>
        <v>0.25548883308521397</v>
      </c>
      <c r="N23" s="245">
        <f t="shared" si="8"/>
        <v>1.2533476213675581</v>
      </c>
      <c r="O23" s="245">
        <f t="shared" si="8"/>
        <v>0.61370601884360976</v>
      </c>
      <c r="P23" s="245">
        <f t="shared" si="8"/>
        <v>0.31969761376258354</v>
      </c>
      <c r="Q23" s="245">
        <f t="shared" si="8"/>
        <v>6.8530513176714409</v>
      </c>
      <c r="R23" s="245">
        <f t="shared" si="8"/>
        <v>2.074782816779368</v>
      </c>
      <c r="S23" s="245">
        <f t="shared" si="8"/>
        <v>0.21540350056810961</v>
      </c>
      <c r="T23" s="245">
        <f t="shared" si="8"/>
        <v>9.2709379046765142E-2</v>
      </c>
      <c r="U23" s="245">
        <f t="shared" si="8"/>
        <v>0.47888505447313379</v>
      </c>
      <c r="V23" s="245">
        <f t="shared" si="8"/>
        <v>0.33999301411532645</v>
      </c>
      <c r="W23" s="245">
        <f t="shared" si="8"/>
        <v>0.23774142606879409</v>
      </c>
      <c r="X23" s="245">
        <f t="shared" si="8"/>
        <v>0.1087676061726191</v>
      </c>
      <c r="Y23" s="245">
        <f t="shared" si="8"/>
        <v>0.48643085172480249</v>
      </c>
      <c r="Z23" s="245">
        <f t="shared" si="8"/>
        <v>0.35255178772570284</v>
      </c>
      <c r="AA23" s="245">
        <f t="shared" si="8"/>
        <v>0.22076112963966041</v>
      </c>
      <c r="AB23" s="245">
        <f t="shared" si="8"/>
        <v>9.284479420899136E-2</v>
      </c>
      <c r="AC23" s="245">
        <f t="shared" si="8"/>
        <v>0.62257156072343744</v>
      </c>
      <c r="AD23" s="245">
        <f t="shared" si="8"/>
        <v>0.50204873658801108</v>
      </c>
      <c r="AE23" s="245">
        <f t="shared" si="8"/>
        <v>0.35882113816308508</v>
      </c>
      <c r="AF23" s="245">
        <f t="shared" si="8"/>
        <v>0.15669726077765114</v>
      </c>
      <c r="AG23" s="245">
        <f t="shared" si="8"/>
        <v>0.70667559532565272</v>
      </c>
      <c r="AH23" s="245">
        <f t="shared" si="8"/>
        <v>0.57882949311375909</v>
      </c>
      <c r="AI23" s="245">
        <f t="shared" si="8"/>
        <v>0.40259015478320842</v>
      </c>
      <c r="AJ23" s="245">
        <f t="shared" si="8"/>
        <v>0.21136215840637612</v>
      </c>
      <c r="AK23" s="245">
        <f t="shared" si="8"/>
        <v>0.91135426643856321</v>
      </c>
      <c r="AL23" s="245">
        <f t="shared" si="8"/>
        <v>0.59933202456299617</v>
      </c>
      <c r="AM23" s="245">
        <f t="shared" si="8"/>
        <v>0.42272275722306818</v>
      </c>
      <c r="AN23" s="245">
        <f t="shared" si="8"/>
        <v>0.20548746631481454</v>
      </c>
      <c r="AO23" s="245">
        <f t="shared" si="8"/>
        <v>1.7032091982507112</v>
      </c>
      <c r="AP23" s="245">
        <f t="shared" si="8"/>
        <v>2.1221583542222109</v>
      </c>
      <c r="AQ23" s="245" t="e">
        <f t="shared" si="8"/>
        <v>#DIV/0!</v>
      </c>
      <c r="AR23" s="245" t="e">
        <f t="shared" si="8"/>
        <v>#DIV/0!</v>
      </c>
      <c r="AS23" s="245" t="e">
        <f t="shared" si="8"/>
        <v>#DIV/0!</v>
      </c>
      <c r="AT23" s="245" t="e">
        <f t="shared" si="8"/>
        <v>#DIV/0!</v>
      </c>
      <c r="AU23" s="245" t="e">
        <f t="shared" si="8"/>
        <v>#DIV/0!</v>
      </c>
      <c r="AV23" s="245" t="e">
        <f t="shared" si="8"/>
        <v>#DIV/0!</v>
      </c>
      <c r="AW23" s="245" t="e">
        <f t="shared" si="8"/>
        <v>#DIV/0!</v>
      </c>
      <c r="AX23" s="245" t="e">
        <f t="shared" si="8"/>
        <v>#DIV/0!</v>
      </c>
      <c r="AY23" s="245" t="e">
        <f t="shared" si="8"/>
        <v>#DIV/0!</v>
      </c>
      <c r="AZ23" s="245" t="e">
        <f t="shared" si="8"/>
        <v>#DIV/0!</v>
      </c>
      <c r="BA23" s="245" t="e">
        <f t="shared" si="8"/>
        <v>#DIV/0!</v>
      </c>
      <c r="BB23" s="245" t="e">
        <f t="shared" si="8"/>
        <v>#DIV/0!</v>
      </c>
      <c r="BC23" s="245" t="e">
        <f t="shared" si="8"/>
        <v>#DIV/0!</v>
      </c>
      <c r="BD23" s="245" t="e">
        <f t="shared" si="8"/>
        <v>#DIV/0!</v>
      </c>
      <c r="BE23" s="245" t="e">
        <f t="shared" si="8"/>
        <v>#DIV/0!</v>
      </c>
      <c r="BF23" s="245" t="e">
        <f t="shared" si="8"/>
        <v>#DIV/0!</v>
      </c>
      <c r="BG23" s="245" t="e">
        <f t="shared" si="8"/>
        <v>#DIV/0!</v>
      </c>
      <c r="BH23" s="245" t="e">
        <f t="shared" si="8"/>
        <v>#DIV/0!</v>
      </c>
      <c r="BI23" s="245" t="e">
        <f t="shared" si="8"/>
        <v>#DIV/0!</v>
      </c>
      <c r="BJ23" s="245" t="e">
        <f t="shared" si="8"/>
        <v>#DIV/0!</v>
      </c>
      <c r="BK23" s="245" t="e">
        <f t="shared" si="8"/>
        <v>#DIV/0!</v>
      </c>
      <c r="BL23" s="245" t="e">
        <f t="shared" si="8"/>
        <v>#DIV/0!</v>
      </c>
      <c r="BM23" s="245" t="e">
        <f t="shared" si="8"/>
        <v>#DIV/0!</v>
      </c>
      <c r="BN23" s="245" t="e">
        <f t="shared" si="8"/>
        <v>#DIV/0!</v>
      </c>
      <c r="BO23" s="245" t="e">
        <f t="shared" si="8"/>
        <v>#DIV/0!</v>
      </c>
      <c r="BP23" s="245" t="e">
        <f t="shared" si="8"/>
        <v>#DIV/0!</v>
      </c>
      <c r="BQ23" s="245" t="e">
        <f t="shared" si="8"/>
        <v>#DIV/0!</v>
      </c>
      <c r="BR23" s="245" t="e">
        <f t="shared" ref="BR23:CK23" si="9">BR19/BR22</f>
        <v>#DIV/0!</v>
      </c>
      <c r="BS23" s="245" t="e">
        <f t="shared" si="9"/>
        <v>#DIV/0!</v>
      </c>
      <c r="BT23" s="245" t="e">
        <f t="shared" si="9"/>
        <v>#DIV/0!</v>
      </c>
      <c r="BU23" s="245" t="e">
        <f t="shared" si="9"/>
        <v>#DIV/0!</v>
      </c>
      <c r="BV23" s="245" t="e">
        <f t="shared" si="9"/>
        <v>#DIV/0!</v>
      </c>
      <c r="BW23" s="245" t="e">
        <f t="shared" si="9"/>
        <v>#DIV/0!</v>
      </c>
      <c r="BX23" s="245" t="e">
        <f t="shared" si="9"/>
        <v>#DIV/0!</v>
      </c>
      <c r="BY23" s="245" t="e">
        <f t="shared" si="9"/>
        <v>#DIV/0!</v>
      </c>
      <c r="BZ23" s="245" t="e">
        <f t="shared" si="9"/>
        <v>#DIV/0!</v>
      </c>
      <c r="CA23" s="245" t="e">
        <f t="shared" si="9"/>
        <v>#DIV/0!</v>
      </c>
      <c r="CB23" s="245" t="e">
        <f t="shared" si="9"/>
        <v>#DIV/0!</v>
      </c>
      <c r="CC23" s="245" t="e">
        <f t="shared" si="9"/>
        <v>#DIV/0!</v>
      </c>
      <c r="CD23" s="245" t="e">
        <f t="shared" si="9"/>
        <v>#DIV/0!</v>
      </c>
      <c r="CE23" s="245" t="e">
        <f t="shared" si="9"/>
        <v>#DIV/0!</v>
      </c>
      <c r="CF23" s="245" t="e">
        <f t="shared" si="9"/>
        <v>#DIV/0!</v>
      </c>
      <c r="CG23" s="245" t="e">
        <f t="shared" si="9"/>
        <v>#DIV/0!</v>
      </c>
      <c r="CH23" s="245" t="e">
        <f t="shared" si="9"/>
        <v>#DIV/0!</v>
      </c>
      <c r="CI23" s="245" t="e">
        <f t="shared" si="9"/>
        <v>#DIV/0!</v>
      </c>
      <c r="CJ23" s="245" t="e">
        <f t="shared" si="9"/>
        <v>#DIV/0!</v>
      </c>
      <c r="CK23" s="245" t="e">
        <f t="shared" si="9"/>
        <v>#DIV/0!</v>
      </c>
    </row>
    <row r="24" spans="1:89" s="160" customFormat="1" ht="15" thickBot="1" x14ac:dyDescent="0.3">
      <c r="A24" s="159" t="s">
        <v>693</v>
      </c>
      <c r="E24" s="160">
        <f>E21*E23</f>
        <v>0.16420020125232673</v>
      </c>
      <c r="F24" s="160">
        <f t="shared" ref="F24:BQ24" si="10">F21*F23</f>
        <v>0.17130672158953431</v>
      </c>
      <c r="G24" s="160">
        <f t="shared" si="10"/>
        <v>8.3991471362757239E-2</v>
      </c>
      <c r="H24" s="160">
        <f t="shared" si="10"/>
        <v>5.1704544171150987E-2</v>
      </c>
      <c r="I24" s="160">
        <f t="shared" si="10"/>
        <v>0.12645904364406765</v>
      </c>
      <c r="J24" s="160">
        <f t="shared" si="10"/>
        <v>9.1043063152413548E-2</v>
      </c>
      <c r="K24" s="160">
        <f t="shared" si="10"/>
        <v>5.7050584342545167E-2</v>
      </c>
      <c r="L24" s="160">
        <f t="shared" si="10"/>
        <v>3.2088717042403576E-2</v>
      </c>
      <c r="M24" s="160">
        <f t="shared" si="10"/>
        <v>9.9512627808589993E-2</v>
      </c>
      <c r="N24" s="160">
        <f t="shared" si="10"/>
        <v>0.621603678345516</v>
      </c>
      <c r="O24" s="160">
        <f t="shared" si="10"/>
        <v>0.29153896604924762</v>
      </c>
      <c r="P24" s="160">
        <f t="shared" si="10"/>
        <v>0.15589183886308244</v>
      </c>
      <c r="Q24" s="160">
        <f t="shared" si="10"/>
        <v>3.0116031690040805</v>
      </c>
      <c r="R24" s="160">
        <f t="shared" si="10"/>
        <v>0.89199149372456177</v>
      </c>
      <c r="S24" s="160">
        <f t="shared" si="10"/>
        <v>8.2692758065694965E-3</v>
      </c>
      <c r="T24" s="160">
        <f t="shared" si="10"/>
        <v>7.4968682190212918E-3</v>
      </c>
      <c r="U24" s="160">
        <f t="shared" si="10"/>
        <v>5.592472093848927E-2</v>
      </c>
      <c r="V24" s="160">
        <f t="shared" si="10"/>
        <v>4.5723873442312858E-2</v>
      </c>
      <c r="W24" s="160">
        <f t="shared" si="10"/>
        <v>4.1837824200752653E-2</v>
      </c>
      <c r="X24" s="160">
        <f t="shared" si="10"/>
        <v>9.0005083913720241E-3</v>
      </c>
      <c r="Y24" s="160">
        <f t="shared" si="10"/>
        <v>6.7283388929308227E-2</v>
      </c>
      <c r="Z24" s="160">
        <f t="shared" si="10"/>
        <v>5.0884461784895328E-2</v>
      </c>
      <c r="AA24" s="160">
        <f t="shared" si="10"/>
        <v>3.6085035417873806E-2</v>
      </c>
      <c r="AB24" s="160">
        <f t="shared" si="10"/>
        <v>8.576102637425944E-3</v>
      </c>
      <c r="AC24" s="160">
        <f t="shared" si="10"/>
        <v>8.4973679938303501E-2</v>
      </c>
      <c r="AD24" s="160">
        <f t="shared" si="10"/>
        <v>5.1879905513585484E-2</v>
      </c>
      <c r="AE24" s="160">
        <f t="shared" si="10"/>
        <v>3.5059240120385429E-2</v>
      </c>
      <c r="AF24" s="160">
        <f t="shared" si="10"/>
        <v>9.5136622226604864E-3</v>
      </c>
      <c r="AG24" s="160">
        <f t="shared" si="10"/>
        <v>5.9236286143299711E-2</v>
      </c>
      <c r="AH24" s="160">
        <f t="shared" si="10"/>
        <v>4.8812860780557375E-2</v>
      </c>
      <c r="AI24" s="160">
        <f t="shared" si="10"/>
        <v>2.6785075739867315E-2</v>
      </c>
      <c r="AJ24" s="160">
        <f t="shared" si="10"/>
        <v>-3.630032202838333E-3</v>
      </c>
      <c r="AK24" s="160">
        <f t="shared" si="10"/>
        <v>0.17040443126134944</v>
      </c>
      <c r="AL24" s="160">
        <f t="shared" si="10"/>
        <v>9.4052941782323318E-2</v>
      </c>
      <c r="AM24" s="160">
        <f t="shared" si="10"/>
        <v>6.1657723391102058E-2</v>
      </c>
      <c r="AN24" s="160">
        <f t="shared" si="10"/>
        <v>2.4931242502451958E-2</v>
      </c>
      <c r="AO24" s="160">
        <f t="shared" si="10"/>
        <v>0.27554661413120296</v>
      </c>
      <c r="AP24" s="160">
        <f t="shared" si="10"/>
        <v>0.30875537860405988</v>
      </c>
      <c r="AQ24" s="160" t="e">
        <f t="shared" si="10"/>
        <v>#DIV/0!</v>
      </c>
      <c r="AR24" s="160" t="e">
        <f t="shared" si="10"/>
        <v>#DIV/0!</v>
      </c>
      <c r="AS24" s="160" t="e">
        <f t="shared" si="10"/>
        <v>#DIV/0!</v>
      </c>
      <c r="AT24" s="160" t="e">
        <f t="shared" si="10"/>
        <v>#DIV/0!</v>
      </c>
      <c r="AU24" s="160" t="e">
        <f t="shared" si="10"/>
        <v>#DIV/0!</v>
      </c>
      <c r="AV24" s="160" t="e">
        <f t="shared" si="10"/>
        <v>#DIV/0!</v>
      </c>
      <c r="AW24" s="160" t="e">
        <f t="shared" si="10"/>
        <v>#DIV/0!</v>
      </c>
      <c r="AX24" s="160" t="e">
        <f t="shared" si="10"/>
        <v>#DIV/0!</v>
      </c>
      <c r="AY24" s="160" t="e">
        <f t="shared" si="10"/>
        <v>#DIV/0!</v>
      </c>
      <c r="AZ24" s="160" t="e">
        <f t="shared" si="10"/>
        <v>#DIV/0!</v>
      </c>
      <c r="BA24" s="160" t="e">
        <f t="shared" si="10"/>
        <v>#DIV/0!</v>
      </c>
      <c r="BB24" s="160" t="e">
        <f t="shared" si="10"/>
        <v>#DIV/0!</v>
      </c>
      <c r="BC24" s="160" t="e">
        <f t="shared" si="10"/>
        <v>#DIV/0!</v>
      </c>
      <c r="BD24" s="160" t="e">
        <f t="shared" si="10"/>
        <v>#DIV/0!</v>
      </c>
      <c r="BE24" s="160" t="e">
        <f t="shared" si="10"/>
        <v>#DIV/0!</v>
      </c>
      <c r="BF24" s="160" t="e">
        <f t="shared" si="10"/>
        <v>#DIV/0!</v>
      </c>
      <c r="BG24" s="160" t="e">
        <f t="shared" si="10"/>
        <v>#DIV/0!</v>
      </c>
      <c r="BH24" s="160" t="e">
        <f t="shared" si="10"/>
        <v>#DIV/0!</v>
      </c>
      <c r="BI24" s="160" t="e">
        <f t="shared" si="10"/>
        <v>#DIV/0!</v>
      </c>
      <c r="BJ24" s="160" t="e">
        <f t="shared" si="10"/>
        <v>#DIV/0!</v>
      </c>
      <c r="BK24" s="160" t="e">
        <f t="shared" si="10"/>
        <v>#DIV/0!</v>
      </c>
      <c r="BL24" s="160" t="e">
        <f t="shared" si="10"/>
        <v>#DIV/0!</v>
      </c>
      <c r="BM24" s="160" t="e">
        <f t="shared" si="10"/>
        <v>#DIV/0!</v>
      </c>
      <c r="BN24" s="160" t="e">
        <f t="shared" si="10"/>
        <v>#DIV/0!</v>
      </c>
      <c r="BO24" s="160" t="e">
        <f t="shared" si="10"/>
        <v>#DIV/0!</v>
      </c>
      <c r="BP24" s="160" t="e">
        <f t="shared" si="10"/>
        <v>#DIV/0!</v>
      </c>
      <c r="BQ24" s="160" t="e">
        <f t="shared" si="10"/>
        <v>#DIV/0!</v>
      </c>
      <c r="BR24" s="160" t="e">
        <f t="shared" ref="BR24:CK24" si="11">BR21*BR23</f>
        <v>#DIV/0!</v>
      </c>
      <c r="BS24" s="160" t="e">
        <f t="shared" si="11"/>
        <v>#DIV/0!</v>
      </c>
      <c r="BT24" s="160" t="e">
        <f t="shared" si="11"/>
        <v>#DIV/0!</v>
      </c>
      <c r="BU24" s="160" t="e">
        <f t="shared" si="11"/>
        <v>#DIV/0!</v>
      </c>
      <c r="BV24" s="160" t="e">
        <f t="shared" si="11"/>
        <v>#DIV/0!</v>
      </c>
      <c r="BW24" s="160" t="e">
        <f t="shared" si="11"/>
        <v>#DIV/0!</v>
      </c>
      <c r="BX24" s="160" t="e">
        <f t="shared" si="11"/>
        <v>#DIV/0!</v>
      </c>
      <c r="BY24" s="160" t="e">
        <f t="shared" si="11"/>
        <v>#DIV/0!</v>
      </c>
      <c r="BZ24" s="160" t="e">
        <f t="shared" si="11"/>
        <v>#DIV/0!</v>
      </c>
      <c r="CA24" s="160" t="e">
        <f t="shared" si="11"/>
        <v>#DIV/0!</v>
      </c>
      <c r="CB24" s="160" t="e">
        <f t="shared" si="11"/>
        <v>#DIV/0!</v>
      </c>
      <c r="CC24" s="160" t="e">
        <f t="shared" si="11"/>
        <v>#DIV/0!</v>
      </c>
      <c r="CD24" s="160" t="e">
        <f t="shared" si="11"/>
        <v>#DIV/0!</v>
      </c>
      <c r="CE24" s="160" t="e">
        <f t="shared" si="11"/>
        <v>#DIV/0!</v>
      </c>
      <c r="CF24" s="160" t="e">
        <f t="shared" si="11"/>
        <v>#DIV/0!</v>
      </c>
      <c r="CG24" s="160" t="e">
        <f t="shared" si="11"/>
        <v>#DIV/0!</v>
      </c>
      <c r="CH24" s="160" t="e">
        <f t="shared" si="11"/>
        <v>#DIV/0!</v>
      </c>
      <c r="CI24" s="160" t="e">
        <f t="shared" si="11"/>
        <v>#DIV/0!</v>
      </c>
      <c r="CJ24" s="160" t="e">
        <f t="shared" si="11"/>
        <v>#DIV/0!</v>
      </c>
      <c r="CK24" s="160" t="e">
        <f t="shared" si="11"/>
        <v>#DIV/0!</v>
      </c>
    </row>
    <row r="25" spans="1:89" s="247" customFormat="1" x14ac:dyDescent="0.25">
      <c r="A25" s="246"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39447</v>
      </c>
      <c r="AQ25" s="1">
        <v>39082</v>
      </c>
      <c r="AR25" s="1">
        <v>25569</v>
      </c>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6" t="s">
        <v>442</v>
      </c>
      <c r="E26" s="76">
        <f>利润表!E14</f>
        <v>42402449.289999999</v>
      </c>
      <c r="F26" s="76">
        <f>利润表!F14</f>
        <v>19651361.809999999</v>
      </c>
      <c r="G26" s="76">
        <f>利润表!G14</f>
        <v>-8626850.9100000001</v>
      </c>
      <c r="H26" s="76">
        <f>利润表!H14</f>
        <v>0</v>
      </c>
      <c r="I26" s="76">
        <f>利润表!I14</f>
        <v>-12823244.01</v>
      </c>
      <c r="J26" s="76">
        <f>利润表!J14</f>
        <v>-10076555.49</v>
      </c>
      <c r="K26" s="76">
        <f>利润表!K14</f>
        <v>4595156.3</v>
      </c>
      <c r="L26" s="76">
        <f>利润表!L14</f>
        <v>-5178734.26</v>
      </c>
      <c r="M26" s="76">
        <f>利润表!M14</f>
        <v>37387981.030000001</v>
      </c>
      <c r="N26" s="76">
        <f>利润表!N14</f>
        <v>0</v>
      </c>
      <c r="O26" s="76">
        <f>利润表!O14</f>
        <v>-1915777.35</v>
      </c>
      <c r="P26" s="76">
        <f>利润表!P14</f>
        <v>-580264.26</v>
      </c>
      <c r="Q26" s="76">
        <f>利润表!Q14</f>
        <v>-1525873.72</v>
      </c>
      <c r="R26" s="76">
        <f>利润表!R14</f>
        <v>0</v>
      </c>
      <c r="S26" s="76">
        <f>利润表!S14</f>
        <v>0</v>
      </c>
      <c r="T26" s="76">
        <f>利润表!T14</f>
        <v>0</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6" t="s">
        <v>443</v>
      </c>
      <c r="E27" s="76">
        <f>资产资本表!E19</f>
        <v>2319702475.1399999</v>
      </c>
      <c r="F27" s="76">
        <f>资产资本表!F19</f>
        <v>2350299627.3499999</v>
      </c>
      <c r="G27" s="76">
        <f>资产资本表!G19</f>
        <v>89122383.870000005</v>
      </c>
      <c r="H27" s="76">
        <f>资产资本表!H19</f>
        <v>81129474.230000004</v>
      </c>
      <c r="I27" s="76">
        <f>资产资本表!I19</f>
        <v>67653795.959999993</v>
      </c>
      <c r="J27" s="76">
        <f>资产资本表!J19</f>
        <v>71633965.890000001</v>
      </c>
      <c r="K27" s="76">
        <f>资产资本表!K19</f>
        <v>75431118.090000004</v>
      </c>
      <c r="L27" s="76">
        <f>资产资本表!L19</f>
        <v>1417668970.79</v>
      </c>
      <c r="M27" s="76">
        <f>资产资本表!M19</f>
        <v>1395231063.29</v>
      </c>
      <c r="N27" s="76">
        <f>资产资本表!N19</f>
        <v>37181498.380000003</v>
      </c>
      <c r="O27" s="76">
        <f>资产资本表!O19</f>
        <v>16583730.699999999</v>
      </c>
      <c r="P27" s="76">
        <f>资产资本表!P19</f>
        <v>17919243.780000001</v>
      </c>
      <c r="Q27" s="76">
        <f>资产资本表!Q19</f>
        <v>16499508.050000001</v>
      </c>
      <c r="R27" s="76">
        <f>资产资本表!R19</f>
        <v>8619745.6300000008</v>
      </c>
      <c r="S27" s="76">
        <f>资产资本表!S19</f>
        <v>0</v>
      </c>
      <c r="T27" s="76">
        <f>资产资本表!T19</f>
        <v>0</v>
      </c>
      <c r="U27" s="76">
        <f>资产资本表!U19</f>
        <v>0</v>
      </c>
      <c r="V27" s="76">
        <f>资产资本表!V19</f>
        <v>0</v>
      </c>
      <c r="W27" s="76">
        <f>资产资本表!W19</f>
        <v>0</v>
      </c>
      <c r="X27" s="76">
        <f>资产资本表!X19</f>
        <v>0</v>
      </c>
      <c r="Y27" s="76">
        <f>资产资本表!Y19</f>
        <v>0</v>
      </c>
      <c r="Z27" s="76">
        <f>资产资本表!Z19</f>
        <v>0</v>
      </c>
      <c r="AA27" s="76">
        <f>资产资本表!AA19</f>
        <v>0</v>
      </c>
      <c r="AB27" s="76">
        <f>资产资本表!AB19</f>
        <v>0</v>
      </c>
      <c r="AC27" s="76">
        <f>资产资本表!AC19</f>
        <v>0</v>
      </c>
      <c r="AD27" s="76">
        <f>资产资本表!AD19</f>
        <v>0</v>
      </c>
      <c r="AE27" s="76">
        <f>资产资本表!AE19</f>
        <v>0</v>
      </c>
      <c r="AF27" s="76">
        <f>资产资本表!AF19</f>
        <v>0</v>
      </c>
      <c r="AG27" s="76">
        <f>资产资本表!AG19</f>
        <v>0</v>
      </c>
      <c r="AH27" s="76">
        <f>资产资本表!AH19</f>
        <v>0</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4" t="s">
        <v>444</v>
      </c>
      <c r="E28" s="110">
        <f>E26/E27</f>
        <v>1.8279261993476514E-2</v>
      </c>
      <c r="F28" s="110">
        <f t="shared" ref="F28:BQ28" si="12">F26/F27</f>
        <v>8.3612155579317442E-3</v>
      </c>
      <c r="G28" s="110">
        <f t="shared" si="12"/>
        <v>-9.6797802475567907E-2</v>
      </c>
      <c r="H28" s="110">
        <f t="shared" si="12"/>
        <v>0</v>
      </c>
      <c r="I28" s="110">
        <f t="shared" si="12"/>
        <v>-0.18954212144403082</v>
      </c>
      <c r="J28" s="110">
        <f t="shared" si="12"/>
        <v>-0.14066728492281722</v>
      </c>
      <c r="K28" s="110">
        <f t="shared" si="12"/>
        <v>6.0918575998268089E-2</v>
      </c>
      <c r="L28" s="110">
        <f t="shared" si="12"/>
        <v>-3.6529926003206065E-3</v>
      </c>
      <c r="M28" s="110">
        <f t="shared" si="12"/>
        <v>2.679698152780367E-2</v>
      </c>
      <c r="N28" s="110">
        <f t="shared" si="12"/>
        <v>0</v>
      </c>
      <c r="O28" s="110">
        <f t="shared" si="12"/>
        <v>-0.11552149420757298</v>
      </c>
      <c r="P28" s="110">
        <f t="shared" si="12"/>
        <v>-3.2382184601319149E-2</v>
      </c>
      <c r="Q28" s="110">
        <f t="shared" si="12"/>
        <v>-9.2479952455309711E-2</v>
      </c>
      <c r="R28" s="110">
        <f t="shared" si="12"/>
        <v>0</v>
      </c>
      <c r="S28" s="110" t="e">
        <f t="shared" si="12"/>
        <v>#DIV/0!</v>
      </c>
      <c r="T28" s="110" t="e">
        <f t="shared" si="12"/>
        <v>#DIV/0!</v>
      </c>
      <c r="U28" s="110" t="e">
        <f t="shared" si="12"/>
        <v>#DIV/0!</v>
      </c>
      <c r="V28" s="110" t="e">
        <f t="shared" si="12"/>
        <v>#DIV/0!</v>
      </c>
      <c r="W28" s="110" t="e">
        <f t="shared" si="12"/>
        <v>#DIV/0!</v>
      </c>
      <c r="X28" s="110" t="e">
        <f t="shared" si="12"/>
        <v>#DIV/0!</v>
      </c>
      <c r="Y28" s="110" t="e">
        <f t="shared" si="12"/>
        <v>#DIV/0!</v>
      </c>
      <c r="Z28" s="110" t="e">
        <f t="shared" si="12"/>
        <v>#DIV/0!</v>
      </c>
      <c r="AA28" s="110" t="e">
        <f t="shared" si="12"/>
        <v>#DIV/0!</v>
      </c>
      <c r="AB28" s="110" t="e">
        <f t="shared" si="12"/>
        <v>#DIV/0!</v>
      </c>
      <c r="AC28" s="110" t="e">
        <f t="shared" si="12"/>
        <v>#DIV/0!</v>
      </c>
      <c r="AD28" s="110" t="e">
        <f t="shared" si="12"/>
        <v>#DIV/0!</v>
      </c>
      <c r="AE28" s="110" t="e">
        <f t="shared" si="12"/>
        <v>#DIV/0!</v>
      </c>
      <c r="AF28" s="110" t="e">
        <f t="shared" si="12"/>
        <v>#DIV/0!</v>
      </c>
      <c r="AG28" s="110" t="e">
        <f t="shared" si="12"/>
        <v>#DIV/0!</v>
      </c>
      <c r="AH28" s="110" t="e">
        <f t="shared" si="12"/>
        <v>#DIV/0!</v>
      </c>
      <c r="AI28" s="110" t="e">
        <f t="shared" si="12"/>
        <v>#DIV/0!</v>
      </c>
      <c r="AJ28" s="110" t="e">
        <f t="shared" si="12"/>
        <v>#DIV/0!</v>
      </c>
      <c r="AK28" s="110" t="e">
        <f t="shared" si="12"/>
        <v>#DIV/0!</v>
      </c>
      <c r="AL28" s="110" t="e">
        <f t="shared" si="12"/>
        <v>#DIV/0!</v>
      </c>
      <c r="AM28" s="110" t="e">
        <f t="shared" si="12"/>
        <v>#DIV/0!</v>
      </c>
      <c r="AN28" s="110" t="e">
        <f t="shared" si="12"/>
        <v>#DIV/0!</v>
      </c>
      <c r="AO28" s="110" t="e">
        <f t="shared" si="12"/>
        <v>#DIV/0!</v>
      </c>
      <c r="AP28" s="110" t="e">
        <f t="shared" si="12"/>
        <v>#DIV/0!</v>
      </c>
      <c r="AQ28" s="110" t="e">
        <f t="shared" si="12"/>
        <v>#DIV/0!</v>
      </c>
      <c r="AR28" s="110" t="e">
        <f t="shared" si="12"/>
        <v>#DIV/0!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695</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39447</v>
      </c>
      <c r="AQ31" s="1">
        <v>39082</v>
      </c>
      <c r="AR31" s="1">
        <v>25569</v>
      </c>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6" t="s">
        <v>449</v>
      </c>
      <c r="E32" s="76">
        <f>股权价值增加表!E29</f>
        <v>-159413136.73183417</v>
      </c>
      <c r="F32" s="76">
        <f>股权价值增加表!F29</f>
        <v>-304999703.98930603</v>
      </c>
      <c r="G32" s="76">
        <f>股权价值增加表!G29</f>
        <v>-132688211.70982511</v>
      </c>
      <c r="H32" s="76">
        <f>股权价值增加表!H29</f>
        <v>-146225465.81875038</v>
      </c>
      <c r="I32" s="76">
        <f>股权价值增加表!I29</f>
        <v>283718824.70262367</v>
      </c>
      <c r="J32" s="76">
        <f>股权价值增加表!J29</f>
        <v>-103322907.134368</v>
      </c>
      <c r="K32" s="76">
        <f>股权价值增加表!K29</f>
        <v>-249985043.71079895</v>
      </c>
      <c r="L32" s="76">
        <f>股权价值增加表!L29</f>
        <v>-144172199.27000001</v>
      </c>
      <c r="M32" s="76">
        <f>股权价值增加表!M29</f>
        <v>337764525.03962052</v>
      </c>
      <c r="N32" s="76">
        <f>股权价值增加表!N29</f>
        <v>339561.51098470361</v>
      </c>
      <c r="O32" s="76">
        <f>股权价值增加表!O29</f>
        <v>2887281.5682128076</v>
      </c>
      <c r="P32" s="76">
        <f>股权价值增加表!P29</f>
        <v>787396.88389659335</v>
      </c>
      <c r="Q32" s="76">
        <f>股权价值增加表!Q29</f>
        <v>201808731.05287302</v>
      </c>
      <c r="R32" s="76">
        <f>股权价值增加表!R29</f>
        <v>156104874.88160712</v>
      </c>
      <c r="S32" s="76">
        <f>股权价值增加表!S29</f>
        <v>0</v>
      </c>
      <c r="T32" s="76">
        <f>股权价值增加表!T29</f>
        <v>0</v>
      </c>
      <c r="U32" s="76">
        <f>股权价值增加表!U29</f>
        <v>-790.37</v>
      </c>
      <c r="V32" s="76">
        <f>股权价值增加表!V29</f>
        <v>0</v>
      </c>
      <c r="W32" s="76">
        <f>股权价值增加表!W29</f>
        <v>0</v>
      </c>
      <c r="X32" s="76">
        <f>股权价值增加表!X29</f>
        <v>0</v>
      </c>
      <c r="Y32" s="76">
        <f>股权价值增加表!Y29</f>
        <v>-386.52</v>
      </c>
      <c r="Z32" s="76">
        <f>股权价值增加表!Z29</f>
        <v>0</v>
      </c>
      <c r="AA32" s="76">
        <f>股权价值增加表!AA29</f>
        <v>0</v>
      </c>
      <c r="AB32" s="76">
        <f>股权价值增加表!AB29</f>
        <v>0</v>
      </c>
      <c r="AC32" s="76">
        <f>股权价值增加表!AC29</f>
        <v>0</v>
      </c>
      <c r="AD32" s="76">
        <f>股权价值增加表!AD29</f>
        <v>0</v>
      </c>
      <c r="AE32" s="76">
        <f>股权价值增加表!AE29</f>
        <v>0</v>
      </c>
      <c r="AF32" s="76">
        <f>股权价值增加表!AF29</f>
        <v>0</v>
      </c>
      <c r="AG32" s="76">
        <f>股权价值增加表!AG29</f>
        <v>0</v>
      </c>
      <c r="AH32" s="76">
        <f>股权价值增加表!AH29</f>
        <v>0</v>
      </c>
      <c r="AI32" s="76">
        <f>股权价值增加表!AI29</f>
        <v>0</v>
      </c>
      <c r="AJ32" s="76">
        <f>股权价值增加表!AJ29</f>
        <v>0</v>
      </c>
      <c r="AK32" s="76">
        <f>股权价值增加表!AK29</f>
        <v>0</v>
      </c>
      <c r="AL32" s="76">
        <f>股权价值增加表!AL29</f>
        <v>0</v>
      </c>
      <c r="AM32" s="76">
        <f>股权价值增加表!AM29</f>
        <v>0</v>
      </c>
      <c r="AN32" s="76">
        <f>股权价值增加表!AN29</f>
        <v>0</v>
      </c>
      <c r="AO32" s="76">
        <f>股权价值增加表!AO29</f>
        <v>0</v>
      </c>
      <c r="AP32" s="76">
        <f>股权价值增加表!AP29</f>
        <v>0</v>
      </c>
      <c r="AQ32" s="76">
        <f>股权价值增加表!AQ29</f>
        <v>0</v>
      </c>
      <c r="AR32" s="76" t="e">
        <f>股权价值增加表!AR29</f>
        <v>#DIV/0!</v>
      </c>
      <c r="AS32" s="76">
        <f>股权价值增加表!AS29</f>
        <v>-20457250.631745093</v>
      </c>
      <c r="AT32" s="76">
        <f>股权价值增加表!AT29</f>
        <v>-8122173.6560173379</v>
      </c>
      <c r="AU32" s="76">
        <f>股权价值增加表!AU29</f>
        <v>-688900.4632240358</v>
      </c>
      <c r="AV32" s="76">
        <f>股权价值增加表!AV29</f>
        <v>-61022787.12720795</v>
      </c>
      <c r="AW32" s="76">
        <f>股权价值增加表!AW29</f>
        <v>-50093697.729275554</v>
      </c>
      <c r="AX32" s="76">
        <f>股权价值增加表!AX29</f>
        <v>-43012215.904261902</v>
      </c>
      <c r="AY32" s="76">
        <f>股权价值增加表!AY29</f>
        <v>-27523866.203127492</v>
      </c>
      <c r="AZ32" s="76">
        <f>股权价值增加表!AZ29</f>
        <v>-9209832.2439196259</v>
      </c>
      <c r="BA32" s="76">
        <f>股权价值增加表!BA29</f>
        <v>69167931.356924787</v>
      </c>
      <c r="BB32" s="76">
        <f>股权价值增加表!BB29</f>
        <v>27009065.035167493</v>
      </c>
      <c r="BC32" s="76">
        <f>股权价值增加表!BC29</f>
        <v>33131586.469690327</v>
      </c>
      <c r="BD32" s="76">
        <f>股权价值增加表!BD29</f>
        <v>0</v>
      </c>
      <c r="BE32" s="76">
        <f>股权价值增加表!BE29</f>
        <v>1998183.825135876</v>
      </c>
      <c r="BF32" s="76">
        <f>股权价值增加表!BF29</f>
        <v>-8967806.6352624726</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7" t="s">
        <v>450</v>
      </c>
    </row>
    <row r="34" spans="1:89" s="76" customFormat="1" x14ac:dyDescent="0.25">
      <c r="A34" s="146" t="s">
        <v>451</v>
      </c>
      <c r="E34" s="76">
        <f>资产资本表!E4</f>
        <v>1821935167.8199999</v>
      </c>
      <c r="F34" s="76">
        <f>资产资本表!F4</f>
        <v>1016691198.55</v>
      </c>
      <c r="G34" s="76">
        <f>资产资本表!G4</f>
        <v>1418456569.29</v>
      </c>
      <c r="H34" s="76">
        <f>资产资本表!H4</f>
        <v>1343853656.22</v>
      </c>
      <c r="I34" s="76">
        <f>资产资本表!I4</f>
        <v>557389179.04999995</v>
      </c>
      <c r="J34" s="76">
        <f>资产资本表!J4</f>
        <v>570936467.61000001</v>
      </c>
      <c r="K34" s="76">
        <f>资产资本表!K4</f>
        <v>529553629.87</v>
      </c>
      <c r="L34" s="76">
        <f>资产资本表!L4</f>
        <v>479391067.43000001</v>
      </c>
      <c r="M34" s="76">
        <f>资产资本表!M4</f>
        <v>723548741.70000005</v>
      </c>
      <c r="N34" s="76">
        <f>资产资本表!N4</f>
        <v>117825869.54000001</v>
      </c>
      <c r="O34" s="76">
        <f>资产资本表!O4</f>
        <v>228271748.52000001</v>
      </c>
      <c r="P34" s="76">
        <f>资产资本表!P4</f>
        <v>205762227.22999999</v>
      </c>
      <c r="Q34" s="76">
        <f>资产资本表!Q4</f>
        <v>228364950.08000001</v>
      </c>
      <c r="R34" s="76">
        <f>资产资本表!R4</f>
        <v>153746705.91</v>
      </c>
      <c r="S34" s="76">
        <f>资产资本表!S4</f>
        <v>14602570.91</v>
      </c>
      <c r="T34" s="76">
        <f>资产资本表!T4</f>
        <v>10715084.869999999</v>
      </c>
      <c r="U34" s="76">
        <f>资产资本表!U4</f>
        <v>42418327.289999999</v>
      </c>
      <c r="V34" s="76">
        <f>资产资本表!V4</f>
        <v>12761108.08</v>
      </c>
      <c r="W34" s="76">
        <f>资产资本表!W4</f>
        <v>39144749.439999998</v>
      </c>
      <c r="X34" s="76">
        <f>资产资本表!X4</f>
        <v>21321356.449999999</v>
      </c>
      <c r="Y34" s="76">
        <f>资产资本表!Y4</f>
        <v>54122546.049999997</v>
      </c>
      <c r="Z34" s="76">
        <f>资产资本表!Z4</f>
        <v>38321114.700000003</v>
      </c>
      <c r="AA34" s="76">
        <f>资产资本表!AA4</f>
        <v>70190763.319999993</v>
      </c>
      <c r="AB34" s="76">
        <f>资产资本表!AB4</f>
        <v>39778689.759999998</v>
      </c>
      <c r="AC34" s="76">
        <f>资产资本表!AC4</f>
        <v>93450674.209999993</v>
      </c>
      <c r="AD34" s="76">
        <f>资产资本表!AD4</f>
        <v>179512468.30000001</v>
      </c>
      <c r="AE34" s="76">
        <f>资产资本表!AE4</f>
        <v>191300366.84</v>
      </c>
      <c r="AF34" s="76">
        <f>资产资本表!AF4</f>
        <v>178815596.55000001</v>
      </c>
      <c r="AG34" s="76">
        <f>资产资本表!AG4</f>
        <v>205608853.86000001</v>
      </c>
      <c r="AH34" s="76">
        <f>资产资本表!AH4</f>
        <v>213469557.75999999</v>
      </c>
      <c r="AI34" s="76">
        <f>资产资本表!AI4</f>
        <v>238346614.25</v>
      </c>
      <c r="AJ34" s="76">
        <f>资产资本表!AJ4</f>
        <v>260254380.81999999</v>
      </c>
      <c r="AK34" s="76">
        <f>资产资本表!AK4</f>
        <v>26384685.460000001</v>
      </c>
      <c r="AL34" s="76">
        <f>资产资本表!AL4</f>
        <v>3202539.9</v>
      </c>
      <c r="AM34" s="76">
        <f>资产资本表!AM4</f>
        <v>19362901.329999998</v>
      </c>
      <c r="AN34" s="76">
        <f>资产资本表!AN4</f>
        <v>8902627.6600000001</v>
      </c>
      <c r="AO34" s="76">
        <f>资产资本表!AO4</f>
        <v>19424731.329999998</v>
      </c>
      <c r="AP34" s="76">
        <f>资产资本表!AP4</f>
        <v>2308435.96</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6" t="s">
        <v>452</v>
      </c>
      <c r="E35" s="76">
        <f>利润表!E12</f>
        <v>-4656798.32</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6" t="s">
        <v>453</v>
      </c>
      <c r="E36" s="76">
        <f>资产资本表!E13</f>
        <v>780063.25</v>
      </c>
      <c r="F36" s="76">
        <f>资产资本表!F13</f>
        <v>812784.01</v>
      </c>
      <c r="G36" s="76">
        <f>资产资本表!G13</f>
        <v>230968.65</v>
      </c>
      <c r="H36" s="76">
        <f>资产资本表!H13</f>
        <v>0</v>
      </c>
      <c r="I36" s="76">
        <f>资产资本表!I13</f>
        <v>0</v>
      </c>
      <c r="J36" s="76">
        <f>资产资本表!J13</f>
        <v>1466500.68</v>
      </c>
      <c r="K36" s="76">
        <f>资产资本表!K13</f>
        <v>920550</v>
      </c>
      <c r="L36" s="76">
        <f>资产资本表!L13</f>
        <v>0</v>
      </c>
      <c r="M36" s="76">
        <f>资产资本表!M13</f>
        <v>59933.32</v>
      </c>
      <c r="N36" s="76">
        <f>资产资本表!N13</f>
        <v>91683.76</v>
      </c>
      <c r="O36" s="76">
        <f>资产资本表!O13</f>
        <v>133125.46</v>
      </c>
      <c r="P36" s="76">
        <f>资产资本表!P13</f>
        <v>212628.57</v>
      </c>
      <c r="Q36" s="76">
        <f>资产资本表!Q13</f>
        <v>29269.86</v>
      </c>
      <c r="R36" s="76">
        <f>资产资本表!R13</f>
        <v>407671.24</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6" t="s">
        <v>454</v>
      </c>
      <c r="E37" s="76">
        <f>资产资本表!E11</f>
        <v>1017275.6</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6" t="s">
        <v>455</v>
      </c>
      <c r="E38" s="76">
        <f>资产资本表!E8</f>
        <v>1575311291.5</v>
      </c>
      <c r="F38" s="76">
        <f>资产资本表!F8</f>
        <v>1350403074.7</v>
      </c>
      <c r="G38" s="76">
        <f>资产资本表!G8</f>
        <v>1416511904.1800001</v>
      </c>
      <c r="H38" s="76">
        <f>资产资本表!H8</f>
        <v>1135338311.9000001</v>
      </c>
      <c r="I38" s="76">
        <f>资产资本表!I8</f>
        <v>1463163300.46</v>
      </c>
      <c r="J38" s="76">
        <f>资产资本表!J8</f>
        <v>706735981.98000002</v>
      </c>
      <c r="K38" s="76">
        <f>资产资本表!K8</f>
        <v>553039940.29999995</v>
      </c>
      <c r="L38" s="76">
        <f>资产资本表!L8</f>
        <v>707146125.26999998</v>
      </c>
      <c r="M38" s="76">
        <f>资产资本表!M8</f>
        <v>739128543.62</v>
      </c>
      <c r="N38" s="76">
        <f>资产资本表!N8</f>
        <v>607003051.44000006</v>
      </c>
      <c r="O38" s="76">
        <f>资产资本表!O8</f>
        <v>355490189.44</v>
      </c>
      <c r="P38" s="76">
        <f>资产资本表!P8</f>
        <v>353731927.24000001</v>
      </c>
      <c r="Q38" s="76">
        <f>资产资本表!Q8</f>
        <v>348731927.24000001</v>
      </c>
      <c r="R38" s="76">
        <f>资产资本表!R8</f>
        <v>231122112</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6"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6"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6"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6" t="s">
        <v>459</v>
      </c>
      <c r="E42" s="76">
        <f>资产资本表!E6</f>
        <v>0</v>
      </c>
      <c r="F42" s="76">
        <f>资产资本表!F6</f>
        <v>0</v>
      </c>
      <c r="G42" s="76">
        <f>资产资本表!G6</f>
        <v>0</v>
      </c>
      <c r="H42" s="76">
        <f>资产资本表!H6</f>
        <v>0</v>
      </c>
      <c r="I42" s="76">
        <f>资产资本表!I6</f>
        <v>0</v>
      </c>
      <c r="J42" s="76">
        <f>资产资本表!J6</f>
        <v>120047566.58</v>
      </c>
      <c r="K42" s="76">
        <f>资产资本表!K6</f>
        <v>120047566.58</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7" t="s">
        <v>460</v>
      </c>
      <c r="E43" s="76">
        <f>SUM(E34:E42)</f>
        <v>3394386999.8499999</v>
      </c>
      <c r="F43" s="76">
        <f t="shared" ref="F43:BQ43" si="14">SUM(F34:F42)</f>
        <v>2367907057.2600002</v>
      </c>
      <c r="G43" s="76">
        <f t="shared" si="14"/>
        <v>2835199442.1199999</v>
      </c>
      <c r="H43" s="76">
        <f t="shared" si="14"/>
        <v>2479191968.1199999</v>
      </c>
      <c r="I43" s="76">
        <f t="shared" si="14"/>
        <v>2020552479.51</v>
      </c>
      <c r="J43" s="76">
        <f t="shared" si="14"/>
        <v>1399186516.8499999</v>
      </c>
      <c r="K43" s="76">
        <f t="shared" si="14"/>
        <v>1203561686.75</v>
      </c>
      <c r="L43" s="76">
        <f t="shared" si="14"/>
        <v>1186537192.7</v>
      </c>
      <c r="M43" s="76">
        <f t="shared" si="14"/>
        <v>1462737218.6400001</v>
      </c>
      <c r="N43" s="76">
        <f t="shared" si="14"/>
        <v>724920604.74000001</v>
      </c>
      <c r="O43" s="76">
        <f t="shared" si="14"/>
        <v>583895063.42000008</v>
      </c>
      <c r="P43" s="76">
        <f t="shared" si="14"/>
        <v>559706783.03999996</v>
      </c>
      <c r="Q43" s="76">
        <f t="shared" si="14"/>
        <v>577126147.18000007</v>
      </c>
      <c r="R43" s="76">
        <f t="shared" si="14"/>
        <v>385276489.14999998</v>
      </c>
      <c r="S43" s="76">
        <f t="shared" si="14"/>
        <v>14602570.91</v>
      </c>
      <c r="T43" s="76">
        <f t="shared" si="14"/>
        <v>10715084.869999999</v>
      </c>
      <c r="U43" s="76">
        <f t="shared" si="14"/>
        <v>42418327.289999999</v>
      </c>
      <c r="V43" s="76">
        <f t="shared" si="14"/>
        <v>12761108.08</v>
      </c>
      <c r="W43" s="76">
        <f t="shared" si="14"/>
        <v>39144749.439999998</v>
      </c>
      <c r="X43" s="76">
        <f t="shared" si="14"/>
        <v>21321356.449999999</v>
      </c>
      <c r="Y43" s="76">
        <f t="shared" si="14"/>
        <v>54122546.049999997</v>
      </c>
      <c r="Z43" s="76">
        <f t="shared" si="14"/>
        <v>38321114.700000003</v>
      </c>
      <c r="AA43" s="76">
        <f t="shared" si="14"/>
        <v>70190763.319999993</v>
      </c>
      <c r="AB43" s="76">
        <f t="shared" si="14"/>
        <v>39778689.759999998</v>
      </c>
      <c r="AC43" s="76">
        <f t="shared" si="14"/>
        <v>93450674.209999993</v>
      </c>
      <c r="AD43" s="76">
        <f t="shared" si="14"/>
        <v>179512468.30000001</v>
      </c>
      <c r="AE43" s="76">
        <f t="shared" si="14"/>
        <v>191300366.84</v>
      </c>
      <c r="AF43" s="76">
        <f t="shared" si="14"/>
        <v>178815596.55000001</v>
      </c>
      <c r="AG43" s="76">
        <f t="shared" si="14"/>
        <v>205608853.86000001</v>
      </c>
      <c r="AH43" s="76">
        <f t="shared" si="14"/>
        <v>213469557.75999999</v>
      </c>
      <c r="AI43" s="76">
        <f t="shared" si="14"/>
        <v>238346614.25</v>
      </c>
      <c r="AJ43" s="76">
        <f t="shared" si="14"/>
        <v>260254380.81999999</v>
      </c>
      <c r="AK43" s="76">
        <f t="shared" si="14"/>
        <v>26384685.460000001</v>
      </c>
      <c r="AL43" s="76">
        <f t="shared" si="14"/>
        <v>3202539.9</v>
      </c>
      <c r="AM43" s="76">
        <f t="shared" si="14"/>
        <v>19362901.329999998</v>
      </c>
      <c r="AN43" s="76">
        <f t="shared" si="14"/>
        <v>8902627.6600000001</v>
      </c>
      <c r="AO43" s="76">
        <f t="shared" si="14"/>
        <v>19424731.329999998</v>
      </c>
      <c r="AP43" s="76">
        <f t="shared" si="14"/>
        <v>2308435.96</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4" t="s">
        <v>461</v>
      </c>
      <c r="E44" s="110">
        <f>E32/E43</f>
        <v>-4.696374831122048E-2</v>
      </c>
      <c r="F44" s="110">
        <f t="shared" ref="F44:BQ44" si="16">F32/F43</f>
        <v>-0.1288056062226671</v>
      </c>
      <c r="G44" s="110">
        <f t="shared" si="16"/>
        <v>-4.6800309614412332E-2</v>
      </c>
      <c r="H44" s="110">
        <f t="shared" si="16"/>
        <v>-5.8981098559154684E-2</v>
      </c>
      <c r="I44" s="110">
        <f t="shared" si="16"/>
        <v>0.14041645915152262</v>
      </c>
      <c r="J44" s="110">
        <f t="shared" si="16"/>
        <v>-7.3844984846609091E-2</v>
      </c>
      <c r="K44" s="110">
        <f t="shared" si="16"/>
        <v>-0.20770438811976327</v>
      </c>
      <c r="L44" s="110">
        <f t="shared" si="16"/>
        <v>-0.12150668361430117</v>
      </c>
      <c r="M44" s="110">
        <f t="shared" si="16"/>
        <v>0.23091264837963288</v>
      </c>
      <c r="N44" s="110">
        <f t="shared" si="16"/>
        <v>4.6841200093421367E-4</v>
      </c>
      <c r="O44" s="110">
        <f t="shared" si="16"/>
        <v>4.9448638104617176E-3</v>
      </c>
      <c r="P44" s="110">
        <f t="shared" si="16"/>
        <v>1.4068024682851151E-3</v>
      </c>
      <c r="Q44" s="110">
        <f t="shared" si="16"/>
        <v>0.34967871762346409</v>
      </c>
      <c r="R44" s="110">
        <f t="shared" si="16"/>
        <v>0.40517622870268288</v>
      </c>
      <c r="S44" s="110">
        <f t="shared" si="16"/>
        <v>0</v>
      </c>
      <c r="T44" s="110">
        <f t="shared" si="16"/>
        <v>0</v>
      </c>
      <c r="U44" s="110">
        <f t="shared" si="16"/>
        <v>-1.8632747929839458E-5</v>
      </c>
      <c r="V44" s="110">
        <f t="shared" si="16"/>
        <v>0</v>
      </c>
      <c r="W44" s="110">
        <f t="shared" si="16"/>
        <v>0</v>
      </c>
      <c r="X44" s="110">
        <f t="shared" si="16"/>
        <v>0</v>
      </c>
      <c r="Y44" s="110">
        <f t="shared" si="16"/>
        <v>-7.141570901762852E-6</v>
      </c>
      <c r="Z44" s="110">
        <f t="shared" si="16"/>
        <v>0</v>
      </c>
      <c r="AA44" s="110">
        <f t="shared" si="16"/>
        <v>0</v>
      </c>
      <c r="AB44" s="110">
        <f t="shared" si="16"/>
        <v>0</v>
      </c>
      <c r="AC44" s="110">
        <f t="shared" si="16"/>
        <v>0</v>
      </c>
      <c r="AD44" s="110">
        <f t="shared" si="16"/>
        <v>0</v>
      </c>
      <c r="AE44" s="110">
        <f t="shared" si="16"/>
        <v>0</v>
      </c>
      <c r="AF44" s="110">
        <f t="shared" si="16"/>
        <v>0</v>
      </c>
      <c r="AG44" s="110">
        <f t="shared" si="16"/>
        <v>0</v>
      </c>
      <c r="AH44" s="110">
        <f t="shared" si="16"/>
        <v>0</v>
      </c>
      <c r="AI44" s="110">
        <f t="shared" si="16"/>
        <v>0</v>
      </c>
      <c r="AJ44" s="110">
        <f t="shared" si="16"/>
        <v>0</v>
      </c>
      <c r="AK44" s="110">
        <f t="shared" si="16"/>
        <v>0</v>
      </c>
      <c r="AL44" s="110">
        <f t="shared" si="16"/>
        <v>0</v>
      </c>
      <c r="AM44" s="110">
        <f t="shared" si="16"/>
        <v>0</v>
      </c>
      <c r="AN44" s="110">
        <f t="shared" si="16"/>
        <v>0</v>
      </c>
      <c r="AO44" s="110">
        <f t="shared" si="16"/>
        <v>0</v>
      </c>
      <c r="AP44" s="110">
        <f t="shared" si="16"/>
        <v>0</v>
      </c>
      <c r="AQ44" s="110" t="e">
        <f t="shared" si="16"/>
        <v>#DIV/0!</v>
      </c>
      <c r="AR44" s="110" t="e">
        <f t="shared" si="16"/>
        <v>#DIV/0!</v>
      </c>
      <c r="AS44" s="110" t="e">
        <f t="shared" si="16"/>
        <v>#DIV/0!</v>
      </c>
      <c r="AT44" s="110" t="e">
        <f t="shared" si="16"/>
        <v>#DIV/0!</v>
      </c>
      <c r="AU44" s="110" t="e">
        <f t="shared" si="16"/>
        <v>#DIV/0!</v>
      </c>
      <c r="AV44" s="110" t="e">
        <f t="shared" si="16"/>
        <v>#DIV/0!</v>
      </c>
      <c r="AW44" s="110" t="e">
        <f t="shared" si="16"/>
        <v>#DIV/0!</v>
      </c>
      <c r="AX44" s="110" t="e">
        <f t="shared" si="16"/>
        <v>#DIV/0!</v>
      </c>
      <c r="AY44" s="110" t="e">
        <f t="shared" si="16"/>
        <v>#DIV/0!</v>
      </c>
      <c r="AZ44" s="110" t="e">
        <f t="shared" si="16"/>
        <v>#DIV/0!</v>
      </c>
      <c r="BA44" s="110" t="e">
        <f t="shared" si="16"/>
        <v>#DIV/0!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696</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697</v>
      </c>
      <c r="E46" s="57">
        <f>E43/资产资本表!E70</f>
        <v>0.28622341558503495</v>
      </c>
      <c r="F46" s="57">
        <f>F43/资产资本表!F70</f>
        <v>0.22606835564947933</v>
      </c>
      <c r="G46" s="57">
        <f>G43/资产资本表!G70</f>
        <v>0.27780437402118618</v>
      </c>
      <c r="H46" s="57">
        <f>H43/资产资本表!H70</f>
        <v>0.32610643871451928</v>
      </c>
      <c r="I46" s="57">
        <f>I43/资产资本表!I70</f>
        <v>0.31765189315813708</v>
      </c>
      <c r="J46" s="57">
        <f>J43/资产资本表!J70</f>
        <v>0.25484679232043111</v>
      </c>
      <c r="K46" s="57">
        <f>K43/资产资本表!K70</f>
        <v>0.23080821630419637</v>
      </c>
      <c r="L46" s="57">
        <f>L43/资产资本表!L70</f>
        <v>0.18764614868484777</v>
      </c>
      <c r="M46" s="57">
        <f>M43/资产资本表!M70</f>
        <v>0.22364277944854496</v>
      </c>
      <c r="N46" s="57">
        <f>N43/资产资本表!N70</f>
        <v>0.61230183981807418</v>
      </c>
      <c r="O46" s="57">
        <f>O43/资产资本表!O70</f>
        <v>0.52099520745965733</v>
      </c>
      <c r="P46" s="57">
        <f>P43/资产资本表!P70</f>
        <v>0.52918905843295627</v>
      </c>
      <c r="Q46" s="57">
        <f>Q43/资产资本表!Q70</f>
        <v>0.87045475384038584</v>
      </c>
      <c r="R46" s="57">
        <f>R43/资产资本表!R70</f>
        <v>0.68916923675917185</v>
      </c>
      <c r="S46" s="57">
        <f>S43/资产资本表!S70</f>
        <v>1.9164853956749661E-2</v>
      </c>
      <c r="T46" s="57">
        <f>T43/资产资本表!T70</f>
        <v>1.282064823630045E-2</v>
      </c>
      <c r="U46" s="57">
        <f>U43/资产资本表!U70</f>
        <v>4.777689390727962E-2</v>
      </c>
      <c r="V46" s="57">
        <f>V43/资产资本表!V70</f>
        <v>1.428738569527375E-2</v>
      </c>
      <c r="W46" s="57">
        <f>W43/资产资本表!W70</f>
        <v>4.4119204698354786E-2</v>
      </c>
      <c r="X46" s="57">
        <f>X43/资产资本表!X70</f>
        <v>2.561511139644377E-2</v>
      </c>
      <c r="Y46" s="57">
        <f>Y43/资产资本表!Y70</f>
        <v>6.659882654993636E-2</v>
      </c>
      <c r="Z46" s="57">
        <f>Z43/资产资本表!Z70</f>
        <v>4.8732796682760371E-2</v>
      </c>
      <c r="AA46" s="57">
        <f>AA43/资产资本表!AA70</f>
        <v>8.4608221985802298E-2</v>
      </c>
      <c r="AB46" s="57">
        <f>AB43/资产资本表!AB70</f>
        <v>4.9855050855648286E-2</v>
      </c>
      <c r="AC46" s="57">
        <f>AC43/资产资本表!AC70</f>
        <v>0.11970283861761429</v>
      </c>
      <c r="AD46" s="57">
        <f>AD43/资产资本表!AD70</f>
        <v>0.23767260007146621</v>
      </c>
      <c r="AE46" s="57">
        <f>AE43/资产资本表!AE70</f>
        <v>0.28054216310305896</v>
      </c>
      <c r="AF46" s="57">
        <f>AF43/资产资本表!AF70</f>
        <v>0.27860829771944323</v>
      </c>
      <c r="AG46" s="57">
        <f>AG43/资产资本表!AG70</f>
        <v>0.32152862704750107</v>
      </c>
      <c r="AH46" s="57">
        <f>AH43/资产资本表!AH70</f>
        <v>0.35141404253285491</v>
      </c>
      <c r="AI46" s="57">
        <f>AI43/资产资本表!AI70</f>
        <v>0.40955334416048861</v>
      </c>
      <c r="AJ46" s="57">
        <f>AJ43/资产资本表!AJ70</f>
        <v>0.47668292689106029</v>
      </c>
      <c r="AK46" s="57">
        <f>AK43/资产资本表!AK70</f>
        <v>9.2336340027437014E-2</v>
      </c>
      <c r="AL46" s="57">
        <f>AL43/资产资本表!AL70</f>
        <v>1.1953836391786642E-2</v>
      </c>
      <c r="AM46" s="57">
        <f>AM43/资产资本表!AM70</f>
        <v>7.8017532822308E-2</v>
      </c>
      <c r="AN46" s="57">
        <f>AN43/资产资本表!AN70</f>
        <v>3.8515435828308346E-2</v>
      </c>
      <c r="AO46" s="57">
        <f>AO43/资产资本表!AO70</f>
        <v>0.103759259783892</v>
      </c>
      <c r="AP46" s="57">
        <f>AP43/资产资本表!AP70</f>
        <v>1.771168020278336E-2</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39447</v>
      </c>
      <c r="AQ48" s="1">
        <v>39082</v>
      </c>
      <c r="AR48" s="1">
        <v>25569</v>
      </c>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6" t="s">
        <v>463</v>
      </c>
      <c r="E49" s="76">
        <f>利润表!E4</f>
        <v>3101374995.27</v>
      </c>
      <c r="F49" s="76">
        <f>利润表!F4</f>
        <v>2237152268.6500001</v>
      </c>
      <c r="G49" s="76">
        <f>利润表!G4</f>
        <v>1589165365.48</v>
      </c>
      <c r="H49" s="76">
        <f>利润表!H4</f>
        <v>639633152.34000003</v>
      </c>
      <c r="I49" s="76">
        <f>利润表!I4</f>
        <v>1674860621.6700001</v>
      </c>
      <c r="J49" s="76">
        <f>利润表!J4</f>
        <v>1309911726.6900001</v>
      </c>
      <c r="K49" s="76">
        <f>利润表!K4</f>
        <v>858826118.13999999</v>
      </c>
      <c r="L49" s="76">
        <f>利润表!L4</f>
        <v>447990967.76999998</v>
      </c>
      <c r="M49" s="76">
        <f>利润表!M4</f>
        <v>940847581.74000001</v>
      </c>
      <c r="N49" s="76">
        <f>利润表!N4</f>
        <v>528693076.44999999</v>
      </c>
      <c r="O49" s="76">
        <f>利润表!O4</f>
        <v>319281419.52999997</v>
      </c>
      <c r="P49" s="76">
        <f>利润表!P4</f>
        <v>153468545.18000001</v>
      </c>
      <c r="Q49" s="76">
        <f>利润表!Q4</f>
        <v>475541247.29000002</v>
      </c>
      <c r="R49" s="76">
        <f>利润表!R4</f>
        <v>342647438.50999999</v>
      </c>
      <c r="S49" s="76">
        <f>利润表!S4</f>
        <v>160980245.72999999</v>
      </c>
      <c r="T49" s="76">
        <f>利润表!T4</f>
        <v>76490124.170000002</v>
      </c>
      <c r="U49" s="76">
        <f>利润表!U4</f>
        <v>404860703.92000002</v>
      </c>
      <c r="V49" s="76">
        <f>利润表!V4</f>
        <v>299333915.07999998</v>
      </c>
      <c r="W49" s="76">
        <f>利润表!W4</f>
        <v>201629671.28</v>
      </c>
      <c r="X49" s="76">
        <f>利润表!X4</f>
        <v>88216270.299999997</v>
      </c>
      <c r="Y49" s="76">
        <f>利润表!Y4</f>
        <v>368978529.88999999</v>
      </c>
      <c r="Z49" s="76">
        <f>利润表!Z4</f>
        <v>263719499.74000001</v>
      </c>
      <c r="AA49" s="76">
        <f>利润表!AA4</f>
        <v>167647473.08000001</v>
      </c>
      <c r="AB49" s="76">
        <f>利润表!AB4</f>
        <v>70386396.640000001</v>
      </c>
      <c r="AC49" s="76">
        <f>利润表!AC4</f>
        <v>427854958.19</v>
      </c>
      <c r="AD49" s="76">
        <f>利润表!AD4</f>
        <v>289069924.76999998</v>
      </c>
      <c r="AE49" s="76">
        <f>利润表!AE4</f>
        <v>176035812.30000001</v>
      </c>
      <c r="AF49" s="76">
        <f>利润表!AF4</f>
        <v>72551082.439999998</v>
      </c>
      <c r="AG49" s="76">
        <f>利润表!AG4</f>
        <v>306601155.70999998</v>
      </c>
      <c r="AH49" s="76">
        <f>利润表!AH4</f>
        <v>228052601.91</v>
      </c>
      <c r="AI49" s="76">
        <f>利润表!AI4</f>
        <v>138338266.08000001</v>
      </c>
      <c r="AJ49" s="76">
        <f>利润表!AJ4</f>
        <v>60389382.710000001</v>
      </c>
      <c r="AK49" s="76">
        <f>利润表!AK4</f>
        <v>236369504.05000001</v>
      </c>
      <c r="AL49" s="76">
        <f>利润表!AL4</f>
        <v>158647035.88999999</v>
      </c>
      <c r="AM49" s="76">
        <f>利润表!AM4</f>
        <v>96728958.370000005</v>
      </c>
      <c r="AN49" s="76">
        <f>利润表!AN4</f>
        <v>45667900.600000001</v>
      </c>
      <c r="AO49" s="76">
        <f>利润表!AO4</f>
        <v>285772761.35000002</v>
      </c>
      <c r="AP49" s="76">
        <f>利润表!AP4</f>
        <v>271690739.83999997</v>
      </c>
      <c r="AQ49" s="76">
        <f>利润表!AQ4</f>
        <v>218629260.31999999</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6" t="s">
        <v>464</v>
      </c>
      <c r="E50" s="76">
        <f>资产资本表!E50</f>
        <v>-957734679.6099999</v>
      </c>
      <c r="F50" s="76">
        <f>资产资本表!F50</f>
        <v>-1314730478.5900006</v>
      </c>
      <c r="G50" s="76">
        <f>资产资本表!G50</f>
        <v>-1456039849.5700004</v>
      </c>
      <c r="H50" s="76">
        <f>资产资本表!H50</f>
        <v>-3859967863.46</v>
      </c>
      <c r="I50" s="76">
        <f>资产资本表!I50</f>
        <v>-290055198.77999997</v>
      </c>
      <c r="J50" s="76">
        <f>资产资本表!J50</f>
        <v>72128412.279999912</v>
      </c>
      <c r="K50" s="76">
        <f>资产资本表!K50</f>
        <v>-681280.83000004292</v>
      </c>
      <c r="L50" s="76">
        <f>资产资本表!L50</f>
        <v>20986583.569999933</v>
      </c>
      <c r="M50" s="76">
        <f>资产资本表!M50</f>
        <v>15860228.830000043</v>
      </c>
      <c r="N50" s="76">
        <f>资产资本表!N50</f>
        <v>-75289782.040000021</v>
      </c>
      <c r="O50" s="76">
        <f>资产资本表!O50</f>
        <v>24626605.520000011</v>
      </c>
      <c r="P50" s="76">
        <f>资产资本表!P50</f>
        <v>-19392435.240000039</v>
      </c>
      <c r="Q50" s="76">
        <f>资产资本表!Q50</f>
        <v>51511672.479999989</v>
      </c>
      <c r="R50" s="76">
        <f>资产资本表!R50</f>
        <v>175908670.56999999</v>
      </c>
      <c r="S50" s="76">
        <f>资产资本表!S50</f>
        <v>256958007.05999994</v>
      </c>
      <c r="T50" s="76">
        <f>资产资本表!T50</f>
        <v>328785389.03999996</v>
      </c>
      <c r="U50" s="76">
        <f>资产资本表!U50</f>
        <v>345248950.51999998</v>
      </c>
      <c r="V50" s="76">
        <f>资产资本表!V50</f>
        <v>378333678.95999992</v>
      </c>
      <c r="W50" s="76">
        <f>资产资本表!W50</f>
        <v>357437101.05000001</v>
      </c>
      <c r="X50" s="76">
        <f>资产资本表!X50</f>
        <v>352956885.12</v>
      </c>
      <c r="Y50" s="76">
        <f>资产资本表!Y50</f>
        <v>301333943.85000002</v>
      </c>
      <c r="Z50" s="76">
        <f>资产资本表!Z50</f>
        <v>338872861.70000005</v>
      </c>
      <c r="AA50" s="76">
        <f>资产资本表!AA50</f>
        <v>354765381.45999998</v>
      </c>
      <c r="AB50" s="76">
        <f>资产资本表!AB50</f>
        <v>478000534.42999995</v>
      </c>
      <c r="AC50" s="76">
        <f>资产资本表!AC50</f>
        <v>422502795.18999994</v>
      </c>
      <c r="AD50" s="76">
        <f>资产资本表!AD50</f>
        <v>381778311.09000003</v>
      </c>
      <c r="AE50" s="76">
        <f>资产资本表!AE50</f>
        <v>295820331.20999998</v>
      </c>
      <c r="AF50" s="76">
        <f>资产资本表!AF50</f>
        <v>289294742.25999999</v>
      </c>
      <c r="AG50" s="76">
        <f>资产资本表!AG50</f>
        <v>260676349.65999997</v>
      </c>
      <c r="AH50" s="76">
        <f>资产资本表!AH50</f>
        <v>241807692.50000006</v>
      </c>
      <c r="AI50" s="76">
        <f>资产资本表!AI50</f>
        <v>207311524.90999997</v>
      </c>
      <c r="AJ50" s="76">
        <f>资产资本表!AJ50</f>
        <v>153384075.29000002</v>
      </c>
      <c r="AK50" s="76">
        <f>资产资本表!AK50</f>
        <v>125614773.11999999</v>
      </c>
      <c r="AL50" s="76">
        <f>资产资本表!AL50</f>
        <v>132487956.74999999</v>
      </c>
      <c r="AM50" s="76">
        <f>资产资本表!AM50</f>
        <v>95562277.710000008</v>
      </c>
      <c r="AN50" s="76">
        <f>资产资本表!AN50</f>
        <v>101347717.28</v>
      </c>
      <c r="AO50" s="76">
        <f>资产资本表!AO50</f>
        <v>83662270.470000029</v>
      </c>
      <c r="AP50" s="76">
        <f>资产资本表!AP50</f>
        <v>81265599.559999987</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2" t="s">
        <v>465</v>
      </c>
      <c r="E51" s="44">
        <f>E49/E50</f>
        <v>-3.2382402572421354</v>
      </c>
      <c r="F51" s="44">
        <f t="shared" ref="F51:BQ51" si="18">F49/F50</f>
        <v>-1.7016052377893167</v>
      </c>
      <c r="G51" s="44">
        <f t="shared" si="18"/>
        <v>-1.0914298574653121</v>
      </c>
      <c r="H51" s="44">
        <f t="shared" si="18"/>
        <v>-0.16570945017315386</v>
      </c>
      <c r="I51" s="44">
        <f t="shared" si="18"/>
        <v>-5.7742823735434659</v>
      </c>
      <c r="J51" s="44">
        <f t="shared" si="18"/>
        <v>18.160828517962791</v>
      </c>
      <c r="K51" s="44">
        <f t="shared" si="18"/>
        <v>-1260.6051430214848</v>
      </c>
      <c r="L51" s="44">
        <f t="shared" si="18"/>
        <v>21.346541054466705</v>
      </c>
      <c r="M51" s="44">
        <f t="shared" si="18"/>
        <v>59.321185830582841</v>
      </c>
      <c r="N51" s="44">
        <f t="shared" si="18"/>
        <v>-7.0221092706725523</v>
      </c>
      <c r="O51" s="44">
        <f t="shared" si="18"/>
        <v>12.964897629545488</v>
      </c>
      <c r="P51" s="44">
        <f t="shared" si="18"/>
        <v>-7.9138356416138116</v>
      </c>
      <c r="Q51" s="44">
        <f t="shared" si="18"/>
        <v>9.2317182571510266</v>
      </c>
      <c r="R51" s="44">
        <f t="shared" si="18"/>
        <v>1.9478712299951639</v>
      </c>
      <c r="S51" s="44">
        <f t="shared" si="18"/>
        <v>0.62648464459957831</v>
      </c>
      <c r="T51" s="44">
        <f t="shared" si="18"/>
        <v>0.23264453567519763</v>
      </c>
      <c r="U51" s="44">
        <f t="shared" si="18"/>
        <v>1.1726630980636299</v>
      </c>
      <c r="V51" s="44">
        <f t="shared" si="18"/>
        <v>0.79119024217679457</v>
      </c>
      <c r="W51" s="44">
        <f t="shared" si="18"/>
        <v>0.56409832859458842</v>
      </c>
      <c r="X51" s="44">
        <f t="shared" si="18"/>
        <v>0.24993497511745039</v>
      </c>
      <c r="Y51" s="44">
        <f t="shared" si="18"/>
        <v>1.2244837908923814</v>
      </c>
      <c r="Z51" s="44">
        <f t="shared" si="18"/>
        <v>0.77822549264351426</v>
      </c>
      <c r="AA51" s="44">
        <f t="shared" si="18"/>
        <v>0.47255871581963355</v>
      </c>
      <c r="AB51" s="44">
        <f t="shared" si="18"/>
        <v>0.147251711180477</v>
      </c>
      <c r="AC51" s="44">
        <f t="shared" si="18"/>
        <v>1.0126677576123329</v>
      </c>
      <c r="AD51" s="44">
        <f t="shared" si="18"/>
        <v>0.7571669641072275</v>
      </c>
      <c r="AE51" s="44">
        <f t="shared" si="18"/>
        <v>0.59507678725108959</v>
      </c>
      <c r="AF51" s="44">
        <f t="shared" si="18"/>
        <v>0.25078603874105543</v>
      </c>
      <c r="AG51" s="44">
        <f t="shared" si="18"/>
        <v>1.1761755759964405</v>
      </c>
      <c r="AH51" s="44">
        <f t="shared" si="18"/>
        <v>0.94311557896364251</v>
      </c>
      <c r="AI51" s="44">
        <f t="shared" si="18"/>
        <v>0.66729655353245187</v>
      </c>
      <c r="AJ51" s="44">
        <f t="shared" si="18"/>
        <v>0.39371351032252255</v>
      </c>
      <c r="AK51" s="44">
        <f t="shared" si="18"/>
        <v>1.8817014764990727</v>
      </c>
      <c r="AL51" s="44">
        <f t="shared" si="18"/>
        <v>1.1974449586339477</v>
      </c>
      <c r="AM51" s="44">
        <f t="shared" si="18"/>
        <v>1.0122085899159969</v>
      </c>
      <c r="AN51" s="44">
        <f t="shared" si="18"/>
        <v>0.45060610959623582</v>
      </c>
      <c r="AO51" s="44">
        <f t="shared" si="18"/>
        <v>3.4157901733311626</v>
      </c>
      <c r="AP51" s="44">
        <f t="shared" si="18"/>
        <v>3.3432441440292995</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6" t="s">
        <v>466</v>
      </c>
      <c r="E52" s="76">
        <f>资产资本表!E68</f>
        <v>7098210311.369998</v>
      </c>
      <c r="F52" s="76">
        <f>资产资本表!F68</f>
        <v>7070820607.6899996</v>
      </c>
      <c r="G52" s="76">
        <f>资产资本表!G68</f>
        <v>8737458851.4899998</v>
      </c>
      <c r="H52" s="76">
        <f>资产资本表!H68</f>
        <v>8902047581.5799999</v>
      </c>
      <c r="I52" s="76">
        <f>资产资本表!I68</f>
        <v>4562750662.0699997</v>
      </c>
      <c r="J52" s="76">
        <f>资产资本表!J68</f>
        <v>3947355707.6400003</v>
      </c>
      <c r="K52" s="76">
        <f>资产资本表!K68</f>
        <v>3936241519.3000007</v>
      </c>
      <c r="L52" s="76">
        <f>资产资本表!L68</f>
        <v>3698076880.4600005</v>
      </c>
      <c r="M52" s="76">
        <f>资产资本表!M68</f>
        <v>3666678731.4000006</v>
      </c>
      <c r="N52" s="76">
        <f>资产资本表!N68</f>
        <v>497114555.5</v>
      </c>
      <c r="O52" s="76">
        <f>资产资本表!O68</f>
        <v>495624801.06000006</v>
      </c>
      <c r="P52" s="76">
        <f>资产资本表!P68</f>
        <v>499435258.74999994</v>
      </c>
      <c r="Q52" s="76">
        <f>资产资本表!Q68</f>
        <v>17879497.269999996</v>
      </c>
      <c r="R52" s="76">
        <f>资产资本表!R68</f>
        <v>-10760089.359999999</v>
      </c>
      <c r="S52" s="76">
        <f>资产资本表!S68</f>
        <v>490384748.77000004</v>
      </c>
      <c r="T52" s="76">
        <f>资产资本表!T68</f>
        <v>496267318.2100001</v>
      </c>
      <c r="U52" s="76">
        <f>资产资本表!U68</f>
        <v>500174601.83000004</v>
      </c>
      <c r="V52" s="76">
        <f>资产资本表!V68</f>
        <v>502078278.50000006</v>
      </c>
      <c r="W52" s="76">
        <f>资产资本表!W68</f>
        <v>490667811.14000005</v>
      </c>
      <c r="X52" s="76">
        <f>资产资本表!X68</f>
        <v>458095903.51999998</v>
      </c>
      <c r="Y52" s="76">
        <f>资产资本表!Y68</f>
        <v>457208670.33999997</v>
      </c>
      <c r="Z52" s="76">
        <f>资产资本表!Z68</f>
        <v>409157665.79000002</v>
      </c>
      <c r="AA52" s="76">
        <f>资产资本表!AA68</f>
        <v>404641282.89999998</v>
      </c>
      <c r="AB52" s="76">
        <f>资产资本表!AB68</f>
        <v>280107631.34999996</v>
      </c>
      <c r="AC52" s="76">
        <f>资产资本表!AC68</f>
        <v>264735403.89000005</v>
      </c>
      <c r="AD52" s="76">
        <f>资产资本表!AD68</f>
        <v>194002292.87</v>
      </c>
      <c r="AE52" s="76">
        <f>资产资本表!AE68</f>
        <v>194774546.22999999</v>
      </c>
      <c r="AF52" s="76">
        <f>资产资本表!AF68</f>
        <v>173706857.63999999</v>
      </c>
      <c r="AG52" s="76">
        <f>资产资本表!AG68</f>
        <v>173187728.47999999</v>
      </c>
      <c r="AH52" s="76">
        <f>资产资本表!AH68</f>
        <v>152181564.47999999</v>
      </c>
      <c r="AI52" s="76">
        <f>资产资本表!AI68</f>
        <v>136309064.01000002</v>
      </c>
      <c r="AJ52" s="76">
        <f>资产资本表!AJ68</f>
        <v>132331131.09</v>
      </c>
      <c r="AK52" s="76">
        <f>资产资本表!AK68</f>
        <v>133745952.72999999</v>
      </c>
      <c r="AL52" s="76">
        <f>资产资本表!AL68</f>
        <v>132218465.38</v>
      </c>
      <c r="AM52" s="76">
        <f>资产资本表!AM68</f>
        <v>133261358.39</v>
      </c>
      <c r="AN52" s="76">
        <f>资产资本表!AN68</f>
        <v>120894064.27000001</v>
      </c>
      <c r="AO52" s="76">
        <f>资产资本表!AO68</f>
        <v>84122615.639999986</v>
      </c>
      <c r="AP52" s="76">
        <f>资产资本表!AP68</f>
        <v>46760067.939999998</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2" t="s">
        <v>467</v>
      </c>
      <c r="E53" s="44">
        <f>E49/E52</f>
        <v>0.43692351441069316</v>
      </c>
      <c r="F53" s="44">
        <f t="shared" ref="F53:BQ53" si="20">F49/F52</f>
        <v>0.31639216899619038</v>
      </c>
      <c r="G53" s="44">
        <f t="shared" si="20"/>
        <v>0.18187958220930556</v>
      </c>
      <c r="H53" s="44">
        <f t="shared" si="20"/>
        <v>7.185236278263897E-2</v>
      </c>
      <c r="I53" s="44">
        <f t="shared" si="20"/>
        <v>0.36707257216421291</v>
      </c>
      <c r="J53" s="44">
        <f t="shared" si="20"/>
        <v>0.33184537287954602</v>
      </c>
      <c r="K53" s="44">
        <f t="shared" si="20"/>
        <v>0.21818430447650194</v>
      </c>
      <c r="L53" s="44">
        <f t="shared" si="20"/>
        <v>0.12114160474518712</v>
      </c>
      <c r="M53" s="44">
        <f t="shared" si="20"/>
        <v>0.25659395072792984</v>
      </c>
      <c r="N53" s="44">
        <f t="shared" si="20"/>
        <v>1.063523629715968</v>
      </c>
      <c r="O53" s="44">
        <f t="shared" si="20"/>
        <v>0.64419984400931529</v>
      </c>
      <c r="P53" s="44">
        <f t="shared" si="20"/>
        <v>0.30728416244400769</v>
      </c>
      <c r="Q53" s="44">
        <f t="shared" si="20"/>
        <v>26.597014452297302</v>
      </c>
      <c r="R53" s="44">
        <f t="shared" si="20"/>
        <v>-31.844293020815584</v>
      </c>
      <c r="S53" s="44">
        <f t="shared" si="20"/>
        <v>0.32827335298207416</v>
      </c>
      <c r="T53" s="44">
        <f t="shared" si="20"/>
        <v>0.15413089148383632</v>
      </c>
      <c r="U53" s="44">
        <f t="shared" si="20"/>
        <v>0.80943874886635003</v>
      </c>
      <c r="V53" s="44">
        <f t="shared" si="20"/>
        <v>0.59618973354968585</v>
      </c>
      <c r="W53" s="44">
        <f t="shared" si="20"/>
        <v>0.41092907808959556</v>
      </c>
      <c r="X53" s="44">
        <f t="shared" si="20"/>
        <v>0.19257162009559112</v>
      </c>
      <c r="Y53" s="44">
        <f t="shared" si="20"/>
        <v>0.80702434976924586</v>
      </c>
      <c r="Z53" s="44">
        <f t="shared" si="20"/>
        <v>0.64454248762713862</v>
      </c>
      <c r="AA53" s="44">
        <f t="shared" si="20"/>
        <v>0.41431134232893174</v>
      </c>
      <c r="AB53" s="44">
        <f t="shared" si="20"/>
        <v>0.25128339524620386</v>
      </c>
      <c r="AC53" s="44">
        <f t="shared" si="20"/>
        <v>1.616160709535388</v>
      </c>
      <c r="AD53" s="44">
        <f t="shared" si="20"/>
        <v>1.4900335480246325</v>
      </c>
      <c r="AE53" s="44">
        <f t="shared" si="20"/>
        <v>0.90379269625984748</v>
      </c>
      <c r="AF53" s="44">
        <f t="shared" si="20"/>
        <v>0.41766389321461911</v>
      </c>
      <c r="AG53" s="44">
        <f t="shared" si="20"/>
        <v>1.7703399565368558</v>
      </c>
      <c r="AH53" s="44">
        <f t="shared" si="20"/>
        <v>1.4985560352809433</v>
      </c>
      <c r="AI53" s="44">
        <f t="shared" si="20"/>
        <v>1.0148867728256949</v>
      </c>
      <c r="AJ53" s="44">
        <f t="shared" si="20"/>
        <v>0.4563505368130531</v>
      </c>
      <c r="AK53" s="44">
        <f t="shared" si="20"/>
        <v>1.7673021069069028</v>
      </c>
      <c r="AL53" s="44">
        <f t="shared" si="20"/>
        <v>1.1998856244023364</v>
      </c>
      <c r="AM53" s="44">
        <f t="shared" si="20"/>
        <v>0.72585901523617213</v>
      </c>
      <c r="AN53" s="44">
        <f t="shared" si="20"/>
        <v>0.37775138817408871</v>
      </c>
      <c r="AO53" s="44">
        <f t="shared" si="20"/>
        <v>3.3970979049552539</v>
      </c>
      <c r="AP53" s="44">
        <f t="shared" si="20"/>
        <v>5.8103153354828079</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6" t="s">
        <v>468</v>
      </c>
      <c r="E54" s="76">
        <f>资产资本表!E17</f>
        <v>3399043798.1699996</v>
      </c>
      <c r="F54" s="76">
        <f>资产资本表!F17</f>
        <v>2367907057.2600002</v>
      </c>
      <c r="G54" s="76">
        <f>资产资本表!G17</f>
        <v>2835199442.1200004</v>
      </c>
      <c r="H54" s="76">
        <f>资产资本表!H17</f>
        <v>2479191968.1199999</v>
      </c>
      <c r="I54" s="76">
        <f>资产资本表!I17</f>
        <v>2020552479.51</v>
      </c>
      <c r="J54" s="76">
        <f>资产资本表!J17</f>
        <v>1399186516.8500001</v>
      </c>
      <c r="K54" s="76">
        <f>资产资本表!K17</f>
        <v>1203561686.75</v>
      </c>
      <c r="L54" s="76">
        <f>资产资本表!L17</f>
        <v>1186537192.7</v>
      </c>
      <c r="M54" s="76">
        <f>资产资本表!M17</f>
        <v>1462737218.6400001</v>
      </c>
      <c r="N54" s="76">
        <f>资产资本表!N17</f>
        <v>724920604.74000001</v>
      </c>
      <c r="O54" s="76">
        <f>资产资本表!O17</f>
        <v>583895063.42000008</v>
      </c>
      <c r="P54" s="76">
        <f>资产资本表!P17</f>
        <v>559706783.04000008</v>
      </c>
      <c r="Q54" s="76">
        <f>资产资本表!Q17</f>
        <v>577126147.18000007</v>
      </c>
      <c r="R54" s="76">
        <f>资产资本表!R17</f>
        <v>385276489.14999998</v>
      </c>
      <c r="S54" s="76">
        <f>资产资本表!S17</f>
        <v>14602570.91</v>
      </c>
      <c r="T54" s="76">
        <f>资产资本表!T17</f>
        <v>10715084.869999999</v>
      </c>
      <c r="U54" s="76">
        <f>资产资本表!U17</f>
        <v>42418327.289999999</v>
      </c>
      <c r="V54" s="76">
        <f>资产资本表!V17</f>
        <v>12761108.08</v>
      </c>
      <c r="W54" s="76">
        <f>资产资本表!W17</f>
        <v>39144749.439999998</v>
      </c>
      <c r="X54" s="76">
        <f>资产资本表!X17</f>
        <v>21321356.449999999</v>
      </c>
      <c r="Y54" s="76">
        <f>资产资本表!Y17</f>
        <v>54122546.049999997</v>
      </c>
      <c r="Z54" s="76">
        <f>资产资本表!Z17</f>
        <v>38321114.700000003</v>
      </c>
      <c r="AA54" s="76">
        <f>资产资本表!AA17</f>
        <v>70190763.319999993</v>
      </c>
      <c r="AB54" s="76">
        <f>资产资本表!AB17</f>
        <v>39778689.759999998</v>
      </c>
      <c r="AC54" s="76">
        <f>资产资本表!AC17</f>
        <v>93450674.209999993</v>
      </c>
      <c r="AD54" s="76">
        <f>资产资本表!AD17</f>
        <v>179512468.30000001</v>
      </c>
      <c r="AE54" s="76">
        <f>资产资本表!AE17</f>
        <v>191300366.84</v>
      </c>
      <c r="AF54" s="76">
        <f>资产资本表!AF17</f>
        <v>178815596.55000001</v>
      </c>
      <c r="AG54" s="76">
        <f>资产资本表!AG17</f>
        <v>205608853.86000001</v>
      </c>
      <c r="AH54" s="76">
        <f>资产资本表!AH17</f>
        <v>213469557.75999999</v>
      </c>
      <c r="AI54" s="76">
        <f>资产资本表!AI17</f>
        <v>238346614.25</v>
      </c>
      <c r="AJ54" s="76">
        <f>资产资本表!AJ17</f>
        <v>260254380.81999999</v>
      </c>
      <c r="AK54" s="76">
        <f>资产资本表!AK17</f>
        <v>26384685.460000001</v>
      </c>
      <c r="AL54" s="76">
        <f>资产资本表!AL17</f>
        <v>3202539.9</v>
      </c>
      <c r="AM54" s="76">
        <f>资产资本表!AM17</f>
        <v>19362901.329999998</v>
      </c>
      <c r="AN54" s="76">
        <f>资产资本表!AN17</f>
        <v>8902627.6600000001</v>
      </c>
      <c r="AO54" s="76">
        <f>资产资本表!AO17</f>
        <v>19424731.329999998</v>
      </c>
      <c r="AP54" s="76">
        <f>资产资本表!AP17</f>
        <v>2308435.96</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2" t="s">
        <v>469</v>
      </c>
      <c r="E55" s="44">
        <f>E49/E54</f>
        <v>0.91242572306356851</v>
      </c>
      <c r="F55" s="44">
        <f t="shared" ref="F55:BQ55" si="22">F49/F54</f>
        <v>0.9447804388229234</v>
      </c>
      <c r="G55" s="44">
        <f t="shared" si="22"/>
        <v>0.56051272509129479</v>
      </c>
      <c r="H55" s="44">
        <f t="shared" si="22"/>
        <v>0.25800065528005128</v>
      </c>
      <c r="I55" s="44">
        <f t="shared" si="22"/>
        <v>0.8289122102268619</v>
      </c>
      <c r="J55" s="44">
        <f t="shared" si="22"/>
        <v>0.93619521837518482</v>
      </c>
      <c r="K55" s="44">
        <f t="shared" si="22"/>
        <v>0.71357050294539048</v>
      </c>
      <c r="L55" s="44">
        <f t="shared" si="22"/>
        <v>0.37756167318327666</v>
      </c>
      <c r="M55" s="44">
        <f t="shared" si="22"/>
        <v>0.64321025660013342</v>
      </c>
      <c r="N55" s="44">
        <f t="shared" si="22"/>
        <v>0.72931169702318088</v>
      </c>
      <c r="O55" s="44">
        <f t="shared" si="22"/>
        <v>0.54681301407122618</v>
      </c>
      <c r="P55" s="44">
        <f t="shared" si="22"/>
        <v>0.27419454226809364</v>
      </c>
      <c r="Q55" s="44">
        <f t="shared" si="22"/>
        <v>0.82398146334839917</v>
      </c>
      <c r="R55" s="44">
        <f t="shared" si="22"/>
        <v>0.88935465350079235</v>
      </c>
      <c r="S55" s="44">
        <f t="shared" si="22"/>
        <v>11.024102996805786</v>
      </c>
      <c r="T55" s="44">
        <f t="shared" si="22"/>
        <v>7.1385458069638235</v>
      </c>
      <c r="U55" s="44">
        <f t="shared" si="22"/>
        <v>9.5444759325869217</v>
      </c>
      <c r="V55" s="44">
        <f t="shared" si="22"/>
        <v>23.456733788591183</v>
      </c>
      <c r="W55" s="44">
        <f t="shared" si="22"/>
        <v>5.1508739783620907</v>
      </c>
      <c r="X55" s="44">
        <f t="shared" si="22"/>
        <v>4.1374605085221958</v>
      </c>
      <c r="Y55" s="44">
        <f t="shared" si="22"/>
        <v>6.817464380724565</v>
      </c>
      <c r="Z55" s="44">
        <f t="shared" si="22"/>
        <v>6.8818326868764075</v>
      </c>
      <c r="AA55" s="44">
        <f t="shared" si="22"/>
        <v>2.3884549070323464</v>
      </c>
      <c r="AB55" s="44">
        <f t="shared" si="22"/>
        <v>1.7694498502758127</v>
      </c>
      <c r="AC55" s="44">
        <f t="shared" si="22"/>
        <v>4.5784041881659956</v>
      </c>
      <c r="AD55" s="44">
        <f t="shared" si="22"/>
        <v>1.6103055543022688</v>
      </c>
      <c r="AE55" s="44">
        <f t="shared" si="22"/>
        <v>0.92020634987716998</v>
      </c>
      <c r="AF55" s="44">
        <f t="shared" si="22"/>
        <v>0.40573128876771902</v>
      </c>
      <c r="AG55" s="44">
        <f t="shared" si="22"/>
        <v>1.491186541600811</v>
      </c>
      <c r="AH55" s="44">
        <f t="shared" si="22"/>
        <v>1.0683143971581908</v>
      </c>
      <c r="AI55" s="44">
        <f t="shared" si="22"/>
        <v>0.58040793453393902</v>
      </c>
      <c r="AJ55" s="44">
        <f t="shared" si="22"/>
        <v>0.23203983164366856</v>
      </c>
      <c r="AK55" s="44">
        <f t="shared" si="22"/>
        <v>8.9585871473944039</v>
      </c>
      <c r="AL55" s="44">
        <f t="shared" si="22"/>
        <v>49.537879571773637</v>
      </c>
      <c r="AM55" s="44">
        <f t="shared" si="22"/>
        <v>4.9955818459980765</v>
      </c>
      <c r="AN55" s="44">
        <f t="shared" si="22"/>
        <v>5.1297102770217391</v>
      </c>
      <c r="AO55" s="44">
        <f t="shared" si="22"/>
        <v>14.711799946939088</v>
      </c>
      <c r="AP55" s="44">
        <f t="shared" si="22"/>
        <v>117.69472688339164</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6" t="s">
        <v>443</v>
      </c>
      <c r="E56" s="76">
        <f>资产资本表!E19</f>
        <v>2319702475.1399999</v>
      </c>
      <c r="F56" s="76">
        <f>资产资本表!F19</f>
        <v>2350299627.3499999</v>
      </c>
      <c r="G56" s="76">
        <f>资产资本表!G19</f>
        <v>89122383.870000005</v>
      </c>
      <c r="H56" s="76">
        <f>资产资本表!H19</f>
        <v>81129474.230000004</v>
      </c>
      <c r="I56" s="76">
        <f>资产资本表!I19</f>
        <v>67653795.959999993</v>
      </c>
      <c r="J56" s="76">
        <f>资产资本表!J19</f>
        <v>71633965.890000001</v>
      </c>
      <c r="K56" s="76">
        <f>资产资本表!K19</f>
        <v>75431118.090000004</v>
      </c>
      <c r="L56" s="76">
        <f>资产资本表!L19</f>
        <v>1417668970.79</v>
      </c>
      <c r="M56" s="76">
        <f>资产资本表!M19</f>
        <v>1395231063.29</v>
      </c>
      <c r="N56" s="76">
        <f>资产资本表!N19</f>
        <v>37181498.380000003</v>
      </c>
      <c r="O56" s="76">
        <f>资产资本表!O19</f>
        <v>16583730.699999999</v>
      </c>
      <c r="P56" s="76">
        <f>资产资本表!P19</f>
        <v>17919243.780000001</v>
      </c>
      <c r="Q56" s="76">
        <f>资产资本表!Q19</f>
        <v>16499508.050000001</v>
      </c>
      <c r="R56" s="76">
        <f>资产资本表!R19</f>
        <v>8619745.6300000008</v>
      </c>
      <c r="S56" s="76">
        <f>资产资本表!S19</f>
        <v>0</v>
      </c>
      <c r="T56" s="76">
        <f>资产资本表!T19</f>
        <v>0</v>
      </c>
      <c r="U56" s="76">
        <f>资产资本表!U19</f>
        <v>0</v>
      </c>
      <c r="V56" s="76">
        <f>资产资本表!V19</f>
        <v>0</v>
      </c>
      <c r="W56" s="76">
        <f>资产资本表!W19</f>
        <v>0</v>
      </c>
      <c r="X56" s="76">
        <f>资产资本表!X19</f>
        <v>0</v>
      </c>
      <c r="Y56" s="76">
        <f>资产资本表!Y19</f>
        <v>0</v>
      </c>
      <c r="Z56" s="76">
        <f>资产资本表!Z19</f>
        <v>0</v>
      </c>
      <c r="AA56" s="76">
        <f>资产资本表!AA19</f>
        <v>0</v>
      </c>
      <c r="AB56" s="76">
        <f>资产资本表!AB19</f>
        <v>0</v>
      </c>
      <c r="AC56" s="76">
        <f>资产资本表!AC19</f>
        <v>0</v>
      </c>
      <c r="AD56" s="76">
        <f>资产资本表!AD19</f>
        <v>0</v>
      </c>
      <c r="AE56" s="76">
        <f>资产资本表!AE19</f>
        <v>0</v>
      </c>
      <c r="AF56" s="76">
        <f>资产资本表!AF19</f>
        <v>0</v>
      </c>
      <c r="AG56" s="76">
        <f>资产资本表!AG19</f>
        <v>0</v>
      </c>
      <c r="AH56" s="76">
        <f>资产资本表!AH19</f>
        <v>0</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4" t="s">
        <v>470</v>
      </c>
      <c r="E57" s="117">
        <f>E49/E56</f>
        <v>1.336971024735758</v>
      </c>
      <c r="F57" s="117">
        <f t="shared" ref="F57:BQ57" si="24">F49/F56</f>
        <v>0.95185832589882369</v>
      </c>
      <c r="G57" s="117">
        <f t="shared" si="24"/>
        <v>17.831270848837089</v>
      </c>
      <c r="H57" s="117">
        <f t="shared" si="24"/>
        <v>7.8841032610005124</v>
      </c>
      <c r="I57" s="117">
        <f t="shared" si="24"/>
        <v>24.756343644933892</v>
      </c>
      <c r="J57" s="117">
        <f t="shared" si="24"/>
        <v>18.286181847051161</v>
      </c>
      <c r="K57" s="117">
        <f t="shared" si="24"/>
        <v>11.385567917942019</v>
      </c>
      <c r="L57" s="117">
        <f t="shared" si="24"/>
        <v>0.31600534186789442</v>
      </c>
      <c r="M57" s="117">
        <f t="shared" si="24"/>
        <v>0.6743310169151846</v>
      </c>
      <c r="N57" s="117">
        <f t="shared" si="24"/>
        <v>14.219251495641311</v>
      </c>
      <c r="O57" s="117">
        <f t="shared" si="24"/>
        <v>19.252689597160426</v>
      </c>
      <c r="P57" s="117">
        <f t="shared" si="24"/>
        <v>8.5644543410525547</v>
      </c>
      <c r="Q57" s="117">
        <f t="shared" si="24"/>
        <v>28.821540972550391</v>
      </c>
      <c r="R57" s="117">
        <f t="shared" si="24"/>
        <v>39.751455926664043</v>
      </c>
      <c r="S57" s="117" t="e">
        <f t="shared" si="24"/>
        <v>#DIV/0!</v>
      </c>
      <c r="T57" s="117" t="e">
        <f t="shared" si="24"/>
        <v>#DIV/0!</v>
      </c>
      <c r="U57" s="117" t="e">
        <f t="shared" si="24"/>
        <v>#DIV/0!</v>
      </c>
      <c r="V57" s="117" t="e">
        <f t="shared" si="24"/>
        <v>#DIV/0!</v>
      </c>
      <c r="W57" s="117" t="e">
        <f t="shared" si="24"/>
        <v>#DIV/0!</v>
      </c>
      <c r="X57" s="117" t="e">
        <f t="shared" si="24"/>
        <v>#DIV/0!</v>
      </c>
      <c r="Y57" s="117" t="e">
        <f t="shared" si="24"/>
        <v>#DIV/0!</v>
      </c>
      <c r="Z57" s="117" t="e">
        <f t="shared" si="24"/>
        <v>#DIV/0!</v>
      </c>
      <c r="AA57" s="117" t="e">
        <f t="shared" si="24"/>
        <v>#DIV/0!</v>
      </c>
      <c r="AB57" s="117" t="e">
        <f t="shared" si="24"/>
        <v>#DIV/0!</v>
      </c>
      <c r="AC57" s="117" t="e">
        <f t="shared" si="24"/>
        <v>#DIV/0!</v>
      </c>
      <c r="AD57" s="117" t="e">
        <f t="shared" si="24"/>
        <v>#DIV/0!</v>
      </c>
      <c r="AE57" s="117" t="e">
        <f t="shared" si="24"/>
        <v>#DIV/0!</v>
      </c>
      <c r="AF57" s="117" t="e">
        <f t="shared" si="24"/>
        <v>#DIV/0!</v>
      </c>
      <c r="AG57" s="117" t="e">
        <f t="shared" si="24"/>
        <v>#DIV/0!</v>
      </c>
      <c r="AH57" s="117" t="e">
        <f t="shared" si="24"/>
        <v>#DIV/0!</v>
      </c>
      <c r="AI57" s="117" t="e">
        <f t="shared" si="24"/>
        <v>#DIV/0!</v>
      </c>
      <c r="AJ57" s="117" t="e">
        <f t="shared" si="24"/>
        <v>#DIV/0!</v>
      </c>
      <c r="AK57" s="117" t="e">
        <f t="shared" si="24"/>
        <v>#DIV/0!</v>
      </c>
      <c r="AL57" s="117" t="e">
        <f t="shared" si="24"/>
        <v>#DIV/0!</v>
      </c>
      <c r="AM57" s="117" t="e">
        <f t="shared" si="24"/>
        <v>#DIV/0!</v>
      </c>
      <c r="AN57" s="117" t="e">
        <f t="shared" si="24"/>
        <v>#DIV/0!</v>
      </c>
      <c r="AO57" s="117" t="e">
        <f t="shared" si="24"/>
        <v>#DIV/0!</v>
      </c>
      <c r="AP57" s="117" t="e">
        <f t="shared" si="24"/>
        <v>#DIV/0!</v>
      </c>
      <c r="AQ57" s="117" t="e">
        <f t="shared" si="24"/>
        <v>#DIV/0!</v>
      </c>
      <c r="AR57" s="117" t="e">
        <f t="shared" si="24"/>
        <v>#DIV/0!</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694</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39447</v>
      </c>
      <c r="AQ61" s="1">
        <v>39082</v>
      </c>
      <c r="AR61" s="1">
        <v>25569</v>
      </c>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6"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6" t="s">
        <v>463</v>
      </c>
      <c r="E63" s="76">
        <f>E49</f>
        <v>3101374995.27</v>
      </c>
      <c r="F63" s="76">
        <f t="shared" ref="F63:BQ63" si="26">F49</f>
        <v>2237152268.6500001</v>
      </c>
      <c r="G63" s="76">
        <f t="shared" si="26"/>
        <v>1589165365.48</v>
      </c>
      <c r="H63" s="76">
        <f t="shared" si="26"/>
        <v>639633152.34000003</v>
      </c>
      <c r="I63" s="76">
        <f t="shared" si="26"/>
        <v>1674860621.6700001</v>
      </c>
      <c r="J63" s="76">
        <f t="shared" si="26"/>
        <v>1309911726.6900001</v>
      </c>
      <c r="K63" s="76">
        <f t="shared" si="26"/>
        <v>858826118.13999999</v>
      </c>
      <c r="L63" s="76">
        <f t="shared" si="26"/>
        <v>447990967.76999998</v>
      </c>
      <c r="M63" s="76">
        <f t="shared" si="26"/>
        <v>940847581.74000001</v>
      </c>
      <c r="N63" s="76">
        <f t="shared" si="26"/>
        <v>528693076.44999999</v>
      </c>
      <c r="O63" s="76">
        <f t="shared" si="26"/>
        <v>319281419.52999997</v>
      </c>
      <c r="P63" s="76">
        <f t="shared" si="26"/>
        <v>153468545.18000001</v>
      </c>
      <c r="Q63" s="76">
        <f t="shared" si="26"/>
        <v>475541247.29000002</v>
      </c>
      <c r="R63" s="76">
        <f t="shared" si="26"/>
        <v>342647438.50999999</v>
      </c>
      <c r="S63" s="76">
        <f t="shared" si="26"/>
        <v>160980245.72999999</v>
      </c>
      <c r="T63" s="76">
        <f t="shared" si="26"/>
        <v>76490124.170000002</v>
      </c>
      <c r="U63" s="76">
        <f t="shared" si="26"/>
        <v>404860703.92000002</v>
      </c>
      <c r="V63" s="76">
        <f t="shared" si="26"/>
        <v>299333915.07999998</v>
      </c>
      <c r="W63" s="76">
        <f t="shared" si="26"/>
        <v>201629671.28</v>
      </c>
      <c r="X63" s="76">
        <f t="shared" si="26"/>
        <v>88216270.299999997</v>
      </c>
      <c r="Y63" s="76">
        <f t="shared" si="26"/>
        <v>368978529.88999999</v>
      </c>
      <c r="Z63" s="76">
        <f t="shared" si="26"/>
        <v>263719499.74000001</v>
      </c>
      <c r="AA63" s="76">
        <f t="shared" si="26"/>
        <v>167647473.08000001</v>
      </c>
      <c r="AB63" s="76">
        <f t="shared" si="26"/>
        <v>70386396.640000001</v>
      </c>
      <c r="AC63" s="76">
        <f t="shared" si="26"/>
        <v>427854958.19</v>
      </c>
      <c r="AD63" s="76">
        <f t="shared" si="26"/>
        <v>289069924.76999998</v>
      </c>
      <c r="AE63" s="76">
        <f t="shared" si="26"/>
        <v>176035812.30000001</v>
      </c>
      <c r="AF63" s="76">
        <f t="shared" si="26"/>
        <v>72551082.439999998</v>
      </c>
      <c r="AG63" s="76">
        <f t="shared" si="26"/>
        <v>306601155.70999998</v>
      </c>
      <c r="AH63" s="76">
        <f t="shared" si="26"/>
        <v>228052601.91</v>
      </c>
      <c r="AI63" s="76">
        <f t="shared" si="26"/>
        <v>138338266.08000001</v>
      </c>
      <c r="AJ63" s="76">
        <f t="shared" si="26"/>
        <v>60389382.710000001</v>
      </c>
      <c r="AK63" s="76">
        <f t="shared" si="26"/>
        <v>236369504.05000001</v>
      </c>
      <c r="AL63" s="76">
        <f t="shared" si="26"/>
        <v>158647035.88999999</v>
      </c>
      <c r="AM63" s="76">
        <f t="shared" si="26"/>
        <v>96728958.370000005</v>
      </c>
      <c r="AN63" s="76">
        <f t="shared" si="26"/>
        <v>45667900.600000001</v>
      </c>
      <c r="AO63" s="76">
        <f t="shared" si="26"/>
        <v>285772761.35000002</v>
      </c>
      <c r="AP63" s="76">
        <f t="shared" si="26"/>
        <v>271690739.83999997</v>
      </c>
      <c r="AQ63" s="76">
        <f t="shared" si="26"/>
        <v>218629260.31999999</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6" t="s">
        <v>473</v>
      </c>
      <c r="E64" s="76">
        <f>资产资本表!E22+资产资本表!E23-资产资本表!E37</f>
        <v>563261376.90999997</v>
      </c>
      <c r="F64" s="76">
        <f>资产资本表!F22+资产资本表!F23-资产资本表!F37</f>
        <v>554435349.84000003</v>
      </c>
      <c r="G64" s="76">
        <f>资产资本表!G22+资产资本表!G23-资产资本表!G37</f>
        <v>777019116.12</v>
      </c>
      <c r="H64" s="76">
        <f>资产资本表!H22+资产资本表!H23-资产资本表!H37</f>
        <v>654252553.22000003</v>
      </c>
      <c r="I64" s="76">
        <f>资产资本表!I22+资产资本表!I23-资产资本表!I37</f>
        <v>393288417.62</v>
      </c>
      <c r="J64" s="76">
        <f>资产资本表!J22+资产资本表!J23-资产资本表!J37</f>
        <v>429157591.63</v>
      </c>
      <c r="K64" s="76">
        <f>资产资本表!K22+资产资本表!K23-资产资本表!K37</f>
        <v>378828684.66999996</v>
      </c>
      <c r="L64" s="76">
        <f>资产资本表!L22+资产资本表!L23-资产资本表!L37</f>
        <v>429517736.11000001</v>
      </c>
      <c r="M64" s="76">
        <f>资产资本表!M22+资产资本表!M23-资产资本表!M37</f>
        <v>392815320.97000003</v>
      </c>
      <c r="N64" s="76">
        <f>资产资本表!N22+资产资本表!N23-资产资本表!N37</f>
        <v>121802587.04000001</v>
      </c>
      <c r="O64" s="76">
        <f>资产资本表!O22+资产资本表!O23-资产资本表!O37</f>
        <v>121174237.72</v>
      </c>
      <c r="P64" s="76">
        <f>资产资本表!P22+资产资本表!P23-资产资本表!P37</f>
        <v>123666614.25</v>
      </c>
      <c r="Q64" s="76">
        <f>资产资本表!Q22+资产资本表!Q23-资产资本表!Q37</f>
        <v>85213161.230000004</v>
      </c>
      <c r="R64" s="76">
        <f>资产资本表!R22+资产资本表!R23-资产资本表!R37</f>
        <v>80341579.390000001</v>
      </c>
      <c r="S64" s="76">
        <f>资产资本表!S22+资产资本表!S23-资产资本表!S37</f>
        <v>32937935.020000003</v>
      </c>
      <c r="T64" s="76">
        <f>资产资本表!T22+资产资本表!T23-资产资本表!T37</f>
        <v>66554318.400000006</v>
      </c>
      <c r="U64" s="76">
        <f>资产资本表!U22+资产资本表!U23-资产资本表!U37</f>
        <v>102337525.69999999</v>
      </c>
      <c r="V64" s="76">
        <f>资产资本表!V22+资产资本表!V23-资产资本表!V37</f>
        <v>108782254.56</v>
      </c>
      <c r="W64" s="76">
        <f>资产资本表!W22+资产资本表!W23-资产资本表!W37</f>
        <v>126088520.75</v>
      </c>
      <c r="X64" s="76">
        <f>资产资本表!X22+资产资本表!X23-资产资本表!X37</f>
        <v>101992245.54000001</v>
      </c>
      <c r="Y64" s="76">
        <f>资产资本表!Y22+资产资本表!Y23-资产资本表!Y37</f>
        <v>86784435.939999998</v>
      </c>
      <c r="Z64" s="76">
        <f>资产资本表!Z22+资产资本表!Z23-资产资本表!Z37</f>
        <v>145227136.49000001</v>
      </c>
      <c r="AA64" s="76">
        <f>资产资本表!AA22+资产资本表!AA23-资产资本表!AA37</f>
        <v>138038838.28</v>
      </c>
      <c r="AB64" s="76">
        <f>资产资本表!AB22+资产资本表!AB23-资产资本表!AB37</f>
        <v>152893727.36000001</v>
      </c>
      <c r="AC64" s="76">
        <f>资产资本表!AC22+资产资本表!AC23-资产资本表!AC37</f>
        <v>156256888.74000001</v>
      </c>
      <c r="AD64" s="76">
        <f>资产资本表!AD22+资产资本表!AD23-资产资本表!AD37</f>
        <v>126652021.91</v>
      </c>
      <c r="AE64" s="76">
        <f>资产资本表!AE22+资产资本表!AE23-资产资本表!AE37</f>
        <v>113244148.41000001</v>
      </c>
      <c r="AF64" s="76">
        <f>资产资本表!AF22+资产资本表!AF23-资产资本表!AF37</f>
        <v>88754112.040000007</v>
      </c>
      <c r="AG64" s="76">
        <f>资产资本表!AG22+资产资本表!AG23-资产资本表!AG37</f>
        <v>77329129.590000004</v>
      </c>
      <c r="AH64" s="76">
        <f>资产资本表!AH22+资产资本表!AH23-资产资本表!AH37</f>
        <v>69654212.460000008</v>
      </c>
      <c r="AI64" s="76">
        <f>资产资本表!AI22+资产资本表!AI23-资产资本表!AI37</f>
        <v>70030683.060000002</v>
      </c>
      <c r="AJ64" s="76">
        <f>资产资本表!AJ22+资产资本表!AJ23-资产资本表!AJ37</f>
        <v>65728535.019999996</v>
      </c>
      <c r="AK64" s="76">
        <f>资产资本表!AK22+资产资本表!AK23-资产资本表!AK37</f>
        <v>58026284.599999994</v>
      </c>
      <c r="AL64" s="76">
        <f>资产资本表!AL22+资产资本表!AL23-资产资本表!AL37</f>
        <v>58923383.810000002</v>
      </c>
      <c r="AM64" s="76">
        <f>资产资本表!AM22+资产资本表!AM23-资产资本表!AM37</f>
        <v>51729027.740000002</v>
      </c>
      <c r="AN64" s="76">
        <f>资产资本表!AN22+资产资本表!AN23-资产资本表!AN37</f>
        <v>55940848.009999998</v>
      </c>
      <c r="AO64" s="76">
        <f>资产资本表!AO22+资产资本表!AO23-资产资本表!AO37</f>
        <v>34639732.359999999</v>
      </c>
      <c r="AP64" s="76">
        <f>资产资本表!AP22+资产资本表!AP23-资产资本表!AP37</f>
        <v>23562597.77</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4" customFormat="1" x14ac:dyDescent="0.25">
      <c r="A65" s="153" t="s">
        <v>692</v>
      </c>
      <c r="E65" s="154">
        <f>E63/(E64+I64)*2</f>
        <v>6.4845029772733538</v>
      </c>
      <c r="F65" s="154">
        <f t="shared" ref="F65:BQ65" si="28">F63/(F64+J64)*2</f>
        <v>4.5489392498212311</v>
      </c>
      <c r="G65" s="154">
        <f t="shared" si="28"/>
        <v>2.7497830845788447</v>
      </c>
      <c r="H65" s="154">
        <f t="shared" si="28"/>
        <v>1.1803851030746175</v>
      </c>
      <c r="I65" s="154">
        <f t="shared" si="28"/>
        <v>4.2611694600870988</v>
      </c>
      <c r="J65" s="154">
        <f t="shared" si="28"/>
        <v>4.7550141640075863</v>
      </c>
      <c r="K65" s="154">
        <f t="shared" si="28"/>
        <v>3.4352843940784794</v>
      </c>
      <c r="L65" s="154">
        <f t="shared" si="28"/>
        <v>1.6196805548763535</v>
      </c>
      <c r="M65" s="154">
        <f t="shared" si="28"/>
        <v>3.9363662073439518</v>
      </c>
      <c r="N65" s="154">
        <f t="shared" si="28"/>
        <v>5.2308516816198081</v>
      </c>
      <c r="O65" s="154">
        <f t="shared" si="28"/>
        <v>4.1434938441709486</v>
      </c>
      <c r="P65" s="154">
        <f t="shared" si="28"/>
        <v>1.613582091539598</v>
      </c>
      <c r="Q65" s="154">
        <f t="shared" si="28"/>
        <v>5.0710691074939911</v>
      </c>
      <c r="R65" s="154">
        <f t="shared" si="28"/>
        <v>3.6235246648033597</v>
      </c>
      <c r="S65" s="154">
        <f t="shared" si="28"/>
        <v>2.0245718858606239</v>
      </c>
      <c r="T65" s="154">
        <f t="shared" si="28"/>
        <v>0.90764382710559821</v>
      </c>
      <c r="U65" s="154">
        <f t="shared" si="28"/>
        <v>4.2814774171036358</v>
      </c>
      <c r="V65" s="154">
        <f t="shared" si="28"/>
        <v>2.3568728214546852</v>
      </c>
      <c r="W65" s="154">
        <f t="shared" si="28"/>
        <v>1.526760968802922</v>
      </c>
      <c r="X65" s="154">
        <f t="shared" si="28"/>
        <v>0.69220184458412759</v>
      </c>
      <c r="Y65" s="154">
        <f t="shared" si="28"/>
        <v>3.0363439664083054</v>
      </c>
      <c r="Z65" s="154">
        <f t="shared" si="28"/>
        <v>1.9399758428853517</v>
      </c>
      <c r="AA65" s="154">
        <f t="shared" si="28"/>
        <v>1.3343320635298042</v>
      </c>
      <c r="AB65" s="154">
        <f t="shared" si="28"/>
        <v>0.58255349449650395</v>
      </c>
      <c r="AC65" s="154">
        <f t="shared" si="28"/>
        <v>3.6633610286172642</v>
      </c>
      <c r="AD65" s="154">
        <f t="shared" si="28"/>
        <v>2.9450916390679476</v>
      </c>
      <c r="AE65" s="154">
        <f t="shared" si="28"/>
        <v>1.9210036739694401</v>
      </c>
      <c r="AF65" s="154">
        <f t="shared" si="28"/>
        <v>0.93927808489482512</v>
      </c>
      <c r="AG65" s="154">
        <f t="shared" si="28"/>
        <v>4.5303124007972126</v>
      </c>
      <c r="AH65" s="154">
        <f t="shared" si="28"/>
        <v>3.5473147504035225</v>
      </c>
      <c r="AI65" s="154">
        <f t="shared" si="28"/>
        <v>2.2723159437727576</v>
      </c>
      <c r="AJ65" s="154">
        <f t="shared" si="28"/>
        <v>0.99268001868818223</v>
      </c>
      <c r="AK65" s="154">
        <f t="shared" si="28"/>
        <v>5.1015358554157073</v>
      </c>
      <c r="AL65" s="154">
        <f t="shared" si="28"/>
        <v>3.8466423712527273</v>
      </c>
      <c r="AM65" s="154">
        <f t="shared" si="28"/>
        <v>3.7398328403223919</v>
      </c>
      <c r="AN65" s="154">
        <f t="shared" si="28"/>
        <v>1.6327210696497272</v>
      </c>
      <c r="AO65" s="154">
        <f t="shared" si="28"/>
        <v>16.499709546254707</v>
      </c>
      <c r="AP65" s="154">
        <f t="shared" si="28"/>
        <v>23.061187267383378</v>
      </c>
      <c r="AQ65" s="154" t="e">
        <f t="shared" si="28"/>
        <v>#DIV/0!</v>
      </c>
      <c r="AR65" s="154" t="e">
        <f t="shared" si="28"/>
        <v>#DIV/0!</v>
      </c>
      <c r="AS65" s="154" t="e">
        <f t="shared" si="28"/>
        <v>#DIV/0!</v>
      </c>
      <c r="AT65" s="154" t="e">
        <f t="shared" si="28"/>
        <v>#DIV/0!</v>
      </c>
      <c r="AU65" s="154" t="e">
        <f t="shared" si="28"/>
        <v>#DIV/0!</v>
      </c>
      <c r="AV65" s="154" t="e">
        <f t="shared" si="28"/>
        <v>#DIV/0!</v>
      </c>
      <c r="AW65" s="154" t="e">
        <f t="shared" si="28"/>
        <v>#DIV/0!</v>
      </c>
      <c r="AX65" s="154" t="e">
        <f t="shared" si="28"/>
        <v>#DIV/0!</v>
      </c>
      <c r="AY65" s="154" t="e">
        <f t="shared" si="28"/>
        <v>#DIV/0!</v>
      </c>
      <c r="AZ65" s="154" t="e">
        <f t="shared" si="28"/>
        <v>#DIV/0!</v>
      </c>
      <c r="BA65" s="154" t="e">
        <f t="shared" si="28"/>
        <v>#DIV/0!</v>
      </c>
      <c r="BB65" s="154" t="e">
        <f t="shared" si="28"/>
        <v>#DIV/0!</v>
      </c>
      <c r="BC65" s="154" t="e">
        <f t="shared" si="28"/>
        <v>#DIV/0!</v>
      </c>
      <c r="BD65" s="154" t="e">
        <f t="shared" si="28"/>
        <v>#DIV/0!</v>
      </c>
      <c r="BE65" s="154" t="e">
        <f t="shared" si="28"/>
        <v>#DIV/0!</v>
      </c>
      <c r="BF65" s="154" t="e">
        <f t="shared" si="28"/>
        <v>#DIV/0!</v>
      </c>
      <c r="BG65" s="154" t="e">
        <f t="shared" si="28"/>
        <v>#DIV/0!</v>
      </c>
      <c r="BH65" s="154" t="e">
        <f t="shared" si="28"/>
        <v>#DIV/0!</v>
      </c>
      <c r="BI65" s="154" t="e">
        <f t="shared" si="28"/>
        <v>#DIV/0!</v>
      </c>
      <c r="BJ65" s="154" t="e">
        <f t="shared" si="28"/>
        <v>#DIV/0!</v>
      </c>
      <c r="BK65" s="154" t="e">
        <f t="shared" si="28"/>
        <v>#DIV/0!</v>
      </c>
      <c r="BL65" s="154" t="e">
        <f t="shared" si="28"/>
        <v>#DIV/0!</v>
      </c>
      <c r="BM65" s="154" t="e">
        <f t="shared" si="28"/>
        <v>#DIV/0!</v>
      </c>
      <c r="BN65" s="154" t="e">
        <f t="shared" si="28"/>
        <v>#DIV/0!</v>
      </c>
      <c r="BO65" s="154" t="e">
        <f t="shared" si="28"/>
        <v>#DIV/0!</v>
      </c>
      <c r="BP65" s="154" t="e">
        <f t="shared" si="28"/>
        <v>#DIV/0!</v>
      </c>
      <c r="BQ65" s="154" t="e">
        <f t="shared" si="28"/>
        <v>#DIV/0!</v>
      </c>
      <c r="BR65" s="154" t="e">
        <f t="shared" ref="BR65:CK65" si="29">BR63/(BR64+BV64)*2</f>
        <v>#DIV/0!</v>
      </c>
      <c r="BS65" s="154" t="e">
        <f t="shared" si="29"/>
        <v>#DIV/0!</v>
      </c>
      <c r="BT65" s="154" t="e">
        <f t="shared" si="29"/>
        <v>#DIV/0!</v>
      </c>
      <c r="BU65" s="154" t="e">
        <f t="shared" si="29"/>
        <v>#DIV/0!</v>
      </c>
      <c r="BV65" s="154" t="e">
        <f t="shared" si="29"/>
        <v>#DIV/0!</v>
      </c>
      <c r="BW65" s="154" t="e">
        <f t="shared" si="29"/>
        <v>#DIV/0!</v>
      </c>
      <c r="BX65" s="154" t="e">
        <f t="shared" si="29"/>
        <v>#DIV/0!</v>
      </c>
      <c r="BY65" s="154" t="e">
        <f t="shared" si="29"/>
        <v>#DIV/0!</v>
      </c>
      <c r="BZ65" s="154" t="e">
        <f t="shared" si="29"/>
        <v>#DIV/0!</v>
      </c>
      <c r="CA65" s="154" t="e">
        <f t="shared" si="29"/>
        <v>#DIV/0!</v>
      </c>
      <c r="CB65" s="154" t="e">
        <f t="shared" si="29"/>
        <v>#DIV/0!</v>
      </c>
      <c r="CC65" s="154" t="e">
        <f t="shared" si="29"/>
        <v>#DIV/0!</v>
      </c>
      <c r="CD65" s="154" t="e">
        <f t="shared" si="29"/>
        <v>#DIV/0!</v>
      </c>
      <c r="CE65" s="154" t="e">
        <f t="shared" si="29"/>
        <v>#DIV/0!</v>
      </c>
      <c r="CF65" s="154" t="e">
        <f t="shared" si="29"/>
        <v>#DIV/0!</v>
      </c>
      <c r="CG65" s="154" t="e">
        <f t="shared" si="29"/>
        <v>#DIV/0!</v>
      </c>
      <c r="CH65" s="154" t="e">
        <f t="shared" si="29"/>
        <v>#DIV/0!</v>
      </c>
      <c r="CI65" s="154" t="e">
        <f t="shared" si="29"/>
        <v>#DIV/0!</v>
      </c>
      <c r="CJ65" s="154" t="e">
        <f t="shared" si="29"/>
        <v>#DIV/0!</v>
      </c>
      <c r="CK65" s="154" t="e">
        <f t="shared" si="29"/>
        <v>#DIV/0!</v>
      </c>
    </row>
    <row r="66" spans="1:89" s="83" customFormat="1" x14ac:dyDescent="0.25">
      <c r="A66" s="147" t="s">
        <v>474</v>
      </c>
      <c r="E66" s="83">
        <f>E62/E65</f>
        <v>56.288045711327221</v>
      </c>
      <c r="F66" s="83">
        <f t="shared" ref="F66:BQ66" si="30">F62/F65</f>
        <v>80.238486371156554</v>
      </c>
      <c r="G66" s="83">
        <f t="shared" si="30"/>
        <v>132.73774285941656</v>
      </c>
      <c r="H66" s="83">
        <f t="shared" si="30"/>
        <v>309.22111694671793</v>
      </c>
      <c r="I66" s="83">
        <f t="shared" si="30"/>
        <v>85.657236450891901</v>
      </c>
      <c r="J66" s="83">
        <f t="shared" si="30"/>
        <v>76.761075237759826</v>
      </c>
      <c r="K66" s="83">
        <f t="shared" si="30"/>
        <v>106.25030074050444</v>
      </c>
      <c r="L66" s="83">
        <f t="shared" si="30"/>
        <v>225.35307897665297</v>
      </c>
      <c r="M66" s="83">
        <f t="shared" si="30"/>
        <v>92.725112648063899</v>
      </c>
      <c r="N66" s="83">
        <f t="shared" si="30"/>
        <v>69.778311872718305</v>
      </c>
      <c r="O66" s="83">
        <f t="shared" si="30"/>
        <v>88.08991004378602</v>
      </c>
      <c r="P66" s="83">
        <f t="shared" si="30"/>
        <v>226.20479113754638</v>
      </c>
      <c r="Q66" s="83">
        <f t="shared" si="30"/>
        <v>71.976932726198797</v>
      </c>
      <c r="R66" s="83">
        <f t="shared" si="30"/>
        <v>100.73065144150405</v>
      </c>
      <c r="S66" s="83">
        <f t="shared" si="30"/>
        <v>180.2850284295252</v>
      </c>
      <c r="T66" s="83">
        <f t="shared" si="30"/>
        <v>402.14012269984261</v>
      </c>
      <c r="U66" s="83">
        <f t="shared" si="30"/>
        <v>85.250945979978511</v>
      </c>
      <c r="V66" s="83">
        <f t="shared" si="30"/>
        <v>154.86622641552563</v>
      </c>
      <c r="W66" s="83">
        <f t="shared" si="30"/>
        <v>239.06820219944663</v>
      </c>
      <c r="X66" s="83">
        <f t="shared" si="30"/>
        <v>527.3028421634599</v>
      </c>
      <c r="Y66" s="83">
        <f t="shared" si="30"/>
        <v>120.21035957653997</v>
      </c>
      <c r="Z66" s="83">
        <f t="shared" si="30"/>
        <v>188.1466727220328</v>
      </c>
      <c r="AA66" s="83">
        <f t="shared" si="30"/>
        <v>273.54510168513775</v>
      </c>
      <c r="AB66" s="83">
        <f t="shared" si="30"/>
        <v>626.5519020111044</v>
      </c>
      <c r="AC66" s="83">
        <f t="shared" si="30"/>
        <v>99.635279501176896</v>
      </c>
      <c r="AD66" s="83">
        <f t="shared" si="30"/>
        <v>123.93502299151341</v>
      </c>
      <c r="AE66" s="83">
        <f t="shared" si="30"/>
        <v>190.00484223217916</v>
      </c>
      <c r="AF66" s="83">
        <f t="shared" si="30"/>
        <v>388.59631228473791</v>
      </c>
      <c r="AG66" s="83">
        <f t="shared" si="30"/>
        <v>80.568395224967233</v>
      </c>
      <c r="AH66" s="83">
        <f t="shared" si="30"/>
        <v>102.89473184145265</v>
      </c>
      <c r="AI66" s="83">
        <f t="shared" si="30"/>
        <v>160.62907141072358</v>
      </c>
      <c r="AJ66" s="83">
        <f t="shared" si="30"/>
        <v>367.69149487096985</v>
      </c>
      <c r="AK66" s="83">
        <f t="shared" si="30"/>
        <v>71.54708118193895</v>
      </c>
      <c r="AL66" s="83">
        <f t="shared" si="30"/>
        <v>94.887947662556229</v>
      </c>
      <c r="AM66" s="83">
        <f t="shared" si="30"/>
        <v>97.597945037707944</v>
      </c>
      <c r="AN66" s="83">
        <f t="shared" si="30"/>
        <v>223.55318785608898</v>
      </c>
      <c r="AO66" s="83">
        <f t="shared" si="30"/>
        <v>22.121601533455593</v>
      </c>
      <c r="AP66" s="83">
        <f t="shared" si="30"/>
        <v>15.827459174933212</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6" t="s">
        <v>475</v>
      </c>
      <c r="E67" s="76">
        <f>股权价值增加表!E5</f>
        <v>1073549556.55</v>
      </c>
      <c r="F67" s="76">
        <f>股权价值增加表!F5</f>
        <v>812762965.25</v>
      </c>
      <c r="G67" s="76">
        <f>股权价值增加表!G5</f>
        <v>624870843.95000005</v>
      </c>
      <c r="H67" s="76">
        <f>股权价值增加表!H5</f>
        <v>243581348.91</v>
      </c>
      <c r="I67" s="76">
        <f>股权价值增加表!I5</f>
        <v>681953910.48000002</v>
      </c>
      <c r="J67" s="76">
        <f>股权价值增加表!J5</f>
        <v>586998862.96000004</v>
      </c>
      <c r="K67" s="76">
        <f>股权价值增加表!K5</f>
        <v>399669312.94</v>
      </c>
      <c r="L67" s="76">
        <f>股权价值增加表!L5</f>
        <v>217997762.84</v>
      </c>
      <c r="M67" s="76">
        <f>股权价值增加表!M5</f>
        <v>294534604.23000002</v>
      </c>
      <c r="N67" s="76">
        <f>股权价值增加表!N5</f>
        <v>143239997.56</v>
      </c>
      <c r="O67" s="76">
        <f>股权价值增加表!O5</f>
        <v>82821174.730000004</v>
      </c>
      <c r="P67" s="76">
        <f>股权价值增加表!P5</f>
        <v>36003926.729999997</v>
      </c>
      <c r="Q67" s="76">
        <f>股权价值增加表!Q5</f>
        <v>84075285.200000003</v>
      </c>
      <c r="R67" s="76">
        <f>股权价值增加表!R5</f>
        <v>70051293.879999995</v>
      </c>
      <c r="S67" s="76">
        <f>股权价值增加表!S5</f>
        <v>134933687.97</v>
      </c>
      <c r="T67" s="76">
        <f>股权价值增加表!T5</f>
        <v>61285591.07</v>
      </c>
      <c r="U67" s="76">
        <f>股权价值增加表!U5</f>
        <v>331647428.75999999</v>
      </c>
      <c r="V67" s="76">
        <f>股权价值增加表!V5</f>
        <v>244767894.46000001</v>
      </c>
      <c r="W67" s="76">
        <f>股权价值增加表!W5</f>
        <v>159124525.56</v>
      </c>
      <c r="X67" s="76">
        <f>股权价值增加表!X5</f>
        <v>71075407.579999998</v>
      </c>
      <c r="Y67" s="76">
        <f>股权价值增加表!Y5</f>
        <v>291852976.17000002</v>
      </c>
      <c r="Z67" s="76">
        <f>股权价值增加表!Z5</f>
        <v>210304718.69</v>
      </c>
      <c r="AA67" s="76">
        <f>股权价值增加表!AA5</f>
        <v>134841206.36000001</v>
      </c>
      <c r="AB67" s="76">
        <f>股权价值增加表!AB5</f>
        <v>55432019.719999999</v>
      </c>
      <c r="AC67" s="76">
        <f>股权价值增加表!AC5</f>
        <v>347819373.01999998</v>
      </c>
      <c r="AD67" s="76">
        <f>股权价值增加表!AD5</f>
        <v>236634286.88</v>
      </c>
      <c r="AE67" s="76">
        <f>股权价值增加表!AE5</f>
        <v>144027414.56999999</v>
      </c>
      <c r="AF67" s="76">
        <f>股权价值增加表!AF5</f>
        <v>61399932.880000003</v>
      </c>
      <c r="AG67" s="76">
        <f>股权价值增加表!AG5</f>
        <v>255058285.75</v>
      </c>
      <c r="AH67" s="76">
        <f>股权价值增加表!AH5</f>
        <v>188392182.86000001</v>
      </c>
      <c r="AI67" s="76">
        <f>股权价值增加表!AI5</f>
        <v>114405034.56</v>
      </c>
      <c r="AJ67" s="76">
        <f>股权价值增加表!AJ5</f>
        <v>50105763.420000002</v>
      </c>
      <c r="AK67" s="76">
        <f>股权价值增加表!AK5</f>
        <v>180376688.06</v>
      </c>
      <c r="AL67" s="76">
        <f>股权价值增加表!AL5</f>
        <v>122895640.44</v>
      </c>
      <c r="AM67" s="76">
        <f>股权价值增加表!AM5</f>
        <v>75225794.790000007</v>
      </c>
      <c r="AN67" s="76">
        <f>股权价值增加表!AN5</f>
        <v>37067286.439999998</v>
      </c>
      <c r="AO67" s="76">
        <f>股权价值增加表!AO5</f>
        <v>234097399.05000001</v>
      </c>
      <c r="AP67" s="76">
        <f>股权价值增加表!AP5</f>
        <v>218187982.00999999</v>
      </c>
      <c r="AQ67" s="76">
        <f>股权价值增加表!AQ5</f>
        <v>177908118.96000001</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6" t="s">
        <v>476</v>
      </c>
      <c r="E68" s="76">
        <f>资产资本表!E26</f>
        <v>48631804.280000001</v>
      </c>
      <c r="F68" s="76">
        <f>资产资本表!F26</f>
        <v>60359811.289999999</v>
      </c>
      <c r="G68" s="76">
        <f>资产资本表!G26</f>
        <v>28474288.190000001</v>
      </c>
      <c r="H68" s="76">
        <f>资产资本表!H26</f>
        <v>46400580.659999996</v>
      </c>
      <c r="I68" s="76">
        <f>资产资本表!I26</f>
        <v>0</v>
      </c>
      <c r="J68" s="76">
        <f>资产资本表!J26</f>
        <v>0</v>
      </c>
      <c r="K68" s="76">
        <f>资产资本表!K26</f>
        <v>0</v>
      </c>
      <c r="L68" s="76">
        <f>资产资本表!L26</f>
        <v>0</v>
      </c>
      <c r="M68" s="76">
        <f>资产资本表!M26</f>
        <v>0</v>
      </c>
      <c r="N68" s="76">
        <f>资产资本表!N26</f>
        <v>0</v>
      </c>
      <c r="O68" s="76">
        <f>资产资本表!O26</f>
        <v>0</v>
      </c>
      <c r="P68" s="76">
        <f>资产资本表!P26</f>
        <v>0</v>
      </c>
      <c r="Q68" s="76">
        <f>资产资本表!Q26</f>
        <v>0</v>
      </c>
      <c r="R68" s="76">
        <f>资产资本表!R26</f>
        <v>0</v>
      </c>
      <c r="S68" s="76">
        <f>资产资本表!S26</f>
        <v>261959175.13</v>
      </c>
      <c r="T68" s="76">
        <f>资产资本表!T26</f>
        <v>243002467.81999999</v>
      </c>
      <c r="U68" s="76">
        <f>资产资本表!U26</f>
        <v>244241616.62</v>
      </c>
      <c r="V68" s="76">
        <f>资产资本表!V26</f>
        <v>231657013.03</v>
      </c>
      <c r="W68" s="76">
        <f>资产资本表!W26</f>
        <v>226678671.16</v>
      </c>
      <c r="X68" s="76">
        <f>资产资本表!X26</f>
        <v>221384254.38999999</v>
      </c>
      <c r="Y68" s="76">
        <f>资产资本表!Y26</f>
        <v>205923931.38999999</v>
      </c>
      <c r="Z68" s="76">
        <f>资产资本表!Z26</f>
        <v>202053770.15000001</v>
      </c>
      <c r="AA68" s="76">
        <f>资产资本表!AA26</f>
        <v>186275276.88999999</v>
      </c>
      <c r="AB68" s="76">
        <f>资产资本表!AB26</f>
        <v>190051251.41999999</v>
      </c>
      <c r="AC68" s="76">
        <f>资产资本表!AC26</f>
        <v>171648898.09</v>
      </c>
      <c r="AD68" s="76">
        <f>资产资本表!AD26</f>
        <v>185907408.28</v>
      </c>
      <c r="AE68" s="76">
        <f>资产资本表!AE26</f>
        <v>176435410.56</v>
      </c>
      <c r="AF68" s="76">
        <f>资产资本表!AF26</f>
        <v>157275477.65000001</v>
      </c>
      <c r="AG68" s="76">
        <f>资产资本表!AG26</f>
        <v>156983240.11000001</v>
      </c>
      <c r="AH68" s="76">
        <f>资产资本表!AH26</f>
        <v>141244157.72999999</v>
      </c>
      <c r="AI68" s="76">
        <f>资产资本表!AI26</f>
        <v>124363796.44</v>
      </c>
      <c r="AJ68" s="76">
        <f>资产资本表!AJ26</f>
        <v>100684649.66</v>
      </c>
      <c r="AK68" s="76">
        <f>资产资本表!AK26</f>
        <v>85575879.829999998</v>
      </c>
      <c r="AL68" s="76">
        <f>资产资本表!AL26</f>
        <v>76244122.519999996</v>
      </c>
      <c r="AM68" s="76">
        <f>资产资本表!AM26</f>
        <v>66186789.520000003</v>
      </c>
      <c r="AN68" s="76">
        <f>资产资本表!AN26</f>
        <v>79815453.790000007</v>
      </c>
      <c r="AO68" s="76">
        <f>资产资本表!AO26</f>
        <v>76524736.989999995</v>
      </c>
      <c r="AP68" s="76">
        <f>资产资本表!AP26</f>
        <v>60159439.409999996</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4" customFormat="1" x14ac:dyDescent="0.25">
      <c r="A69" s="153" t="s">
        <v>477</v>
      </c>
      <c r="E69" s="154">
        <f>E67/(E68+I68)*2</f>
        <v>44.150101870331014</v>
      </c>
      <c r="F69" s="154">
        <f t="shared" ref="F69:BQ69" si="32">F67/(F68+J68)*2</f>
        <v>26.930599943232526</v>
      </c>
      <c r="G69" s="154">
        <f t="shared" si="32"/>
        <v>43.890181891848023</v>
      </c>
      <c r="H69" s="154">
        <f t="shared" si="32"/>
        <v>10.499064686058178</v>
      </c>
      <c r="I69" s="154" t="e">
        <f t="shared" si="32"/>
        <v>#DIV/0!</v>
      </c>
      <c r="J69" s="154" t="e">
        <f t="shared" si="32"/>
        <v>#DIV/0!</v>
      </c>
      <c r="K69" s="154" t="e">
        <f t="shared" si="32"/>
        <v>#DIV/0!</v>
      </c>
      <c r="L69" s="154" t="e">
        <f t="shared" si="32"/>
        <v>#DIV/0!</v>
      </c>
      <c r="M69" s="154" t="e">
        <f t="shared" si="32"/>
        <v>#DIV/0!</v>
      </c>
      <c r="N69" s="154" t="e">
        <f t="shared" si="32"/>
        <v>#DIV/0!</v>
      </c>
      <c r="O69" s="154">
        <f t="shared" si="32"/>
        <v>0.63232123623002801</v>
      </c>
      <c r="P69" s="154">
        <f t="shared" si="32"/>
        <v>0.29632560568618838</v>
      </c>
      <c r="Q69" s="154">
        <f t="shared" si="32"/>
        <v>0.68845994686325218</v>
      </c>
      <c r="R69" s="154">
        <f t="shared" si="32"/>
        <v>0.60478457322531587</v>
      </c>
      <c r="S69" s="154">
        <f t="shared" si="32"/>
        <v>0.55228504707315973</v>
      </c>
      <c r="T69" s="154">
        <f t="shared" si="32"/>
        <v>0.26394204717285646</v>
      </c>
      <c r="U69" s="154">
        <f t="shared" si="32"/>
        <v>1.4734465141816351</v>
      </c>
      <c r="V69" s="154">
        <f t="shared" si="32"/>
        <v>1.1287148208091273</v>
      </c>
      <c r="W69" s="154">
        <f t="shared" si="32"/>
        <v>0.77066474996254741</v>
      </c>
      <c r="X69" s="154">
        <f t="shared" si="32"/>
        <v>0.34549963032515951</v>
      </c>
      <c r="Y69" s="154">
        <f t="shared" si="32"/>
        <v>1.5459426811613808</v>
      </c>
      <c r="Z69" s="154">
        <f t="shared" si="32"/>
        <v>1.0841534173138685</v>
      </c>
      <c r="AA69" s="154">
        <f t="shared" si="32"/>
        <v>0.74351934489709792</v>
      </c>
      <c r="AB69" s="154">
        <f t="shared" si="32"/>
        <v>0.31919236315859967</v>
      </c>
      <c r="AC69" s="154">
        <f t="shared" si="32"/>
        <v>2.116770288658274</v>
      </c>
      <c r="AD69" s="154">
        <f t="shared" si="32"/>
        <v>1.4466339853789165</v>
      </c>
      <c r="AE69" s="154">
        <f t="shared" si="32"/>
        <v>0.95763161084397397</v>
      </c>
      <c r="AF69" s="154">
        <f t="shared" si="32"/>
        <v>0.47604204200297578</v>
      </c>
      <c r="AG69" s="154">
        <f t="shared" si="32"/>
        <v>2.1030607780329333</v>
      </c>
      <c r="AH69" s="154">
        <f t="shared" si="32"/>
        <v>1.7324352617386611</v>
      </c>
      <c r="AI69" s="154">
        <f t="shared" si="32"/>
        <v>1.2007838651728489</v>
      </c>
      <c r="AJ69" s="154">
        <f t="shared" si="32"/>
        <v>0.55518819615391202</v>
      </c>
      <c r="AK69" s="154">
        <f t="shared" si="32"/>
        <v>2.2254904589326041</v>
      </c>
      <c r="AL69" s="154">
        <f t="shared" si="32"/>
        <v>1.8019418071071773</v>
      </c>
      <c r="AM69" s="154">
        <f t="shared" si="32"/>
        <v>2.2731362356613065</v>
      </c>
      <c r="AN69" s="154">
        <f t="shared" si="32"/>
        <v>0.92882479970674847</v>
      </c>
      <c r="AO69" s="154">
        <f t="shared" si="32"/>
        <v>6.118215057193626</v>
      </c>
      <c r="AP69" s="154">
        <f t="shared" si="32"/>
        <v>7.2536574193452914</v>
      </c>
      <c r="AQ69" s="154" t="e">
        <f t="shared" si="32"/>
        <v>#DIV/0!</v>
      </c>
      <c r="AR69" s="154" t="e">
        <f t="shared" si="32"/>
        <v>#DIV/0!</v>
      </c>
      <c r="AS69" s="154" t="e">
        <f t="shared" si="32"/>
        <v>#DIV/0!</v>
      </c>
      <c r="AT69" s="154" t="e">
        <f t="shared" si="32"/>
        <v>#DIV/0!</v>
      </c>
      <c r="AU69" s="154" t="e">
        <f t="shared" si="32"/>
        <v>#DIV/0!</v>
      </c>
      <c r="AV69" s="154" t="e">
        <f t="shared" si="32"/>
        <v>#DIV/0!</v>
      </c>
      <c r="AW69" s="154" t="e">
        <f t="shared" si="32"/>
        <v>#DIV/0!</v>
      </c>
      <c r="AX69" s="154" t="e">
        <f t="shared" si="32"/>
        <v>#DIV/0!</v>
      </c>
      <c r="AY69" s="154" t="e">
        <f t="shared" si="32"/>
        <v>#DIV/0!</v>
      </c>
      <c r="AZ69" s="154" t="e">
        <f t="shared" si="32"/>
        <v>#DIV/0!</v>
      </c>
      <c r="BA69" s="154" t="e">
        <f t="shared" si="32"/>
        <v>#DIV/0!</v>
      </c>
      <c r="BB69" s="154" t="e">
        <f t="shared" si="32"/>
        <v>#DIV/0!</v>
      </c>
      <c r="BC69" s="154" t="e">
        <f t="shared" si="32"/>
        <v>#DIV/0!</v>
      </c>
      <c r="BD69" s="154" t="e">
        <f t="shared" si="32"/>
        <v>#DIV/0!</v>
      </c>
      <c r="BE69" s="154" t="e">
        <f t="shared" si="32"/>
        <v>#DIV/0!</v>
      </c>
      <c r="BF69" s="154" t="e">
        <f t="shared" si="32"/>
        <v>#DIV/0!</v>
      </c>
      <c r="BG69" s="154" t="e">
        <f t="shared" si="32"/>
        <v>#DIV/0!</v>
      </c>
      <c r="BH69" s="154" t="e">
        <f t="shared" si="32"/>
        <v>#DIV/0!</v>
      </c>
      <c r="BI69" s="154" t="e">
        <f t="shared" si="32"/>
        <v>#DIV/0!</v>
      </c>
      <c r="BJ69" s="154" t="e">
        <f t="shared" si="32"/>
        <v>#DIV/0!</v>
      </c>
      <c r="BK69" s="154" t="e">
        <f t="shared" si="32"/>
        <v>#DIV/0!</v>
      </c>
      <c r="BL69" s="154" t="e">
        <f t="shared" si="32"/>
        <v>#DIV/0!</v>
      </c>
      <c r="BM69" s="154" t="e">
        <f t="shared" si="32"/>
        <v>#DIV/0!</v>
      </c>
      <c r="BN69" s="154" t="e">
        <f t="shared" si="32"/>
        <v>#DIV/0!</v>
      </c>
      <c r="BO69" s="154" t="e">
        <f t="shared" si="32"/>
        <v>#DIV/0!</v>
      </c>
      <c r="BP69" s="154" t="e">
        <f t="shared" si="32"/>
        <v>#DIV/0!</v>
      </c>
      <c r="BQ69" s="154" t="e">
        <f t="shared" si="32"/>
        <v>#DIV/0!</v>
      </c>
      <c r="BR69" s="154" t="e">
        <f t="shared" ref="BR69:CJ69" si="33">BR67/(BR68+BV68)*2</f>
        <v>#DIV/0!</v>
      </c>
      <c r="BS69" s="154" t="e">
        <f t="shared" si="33"/>
        <v>#DIV/0!</v>
      </c>
      <c r="BT69" s="154" t="e">
        <f t="shared" si="33"/>
        <v>#DIV/0!</v>
      </c>
      <c r="BU69" s="154" t="e">
        <f t="shared" si="33"/>
        <v>#DIV/0!</v>
      </c>
      <c r="BV69" s="154" t="e">
        <f t="shared" si="33"/>
        <v>#DIV/0!</v>
      </c>
      <c r="BW69" s="154" t="e">
        <f t="shared" si="33"/>
        <v>#DIV/0!</v>
      </c>
      <c r="BX69" s="154" t="e">
        <f t="shared" si="33"/>
        <v>#DIV/0!</v>
      </c>
      <c r="BY69" s="154" t="e">
        <f t="shared" si="33"/>
        <v>#DIV/0!</v>
      </c>
      <c r="BZ69" s="154" t="e">
        <f t="shared" si="33"/>
        <v>#DIV/0!</v>
      </c>
      <c r="CA69" s="154" t="e">
        <f t="shared" si="33"/>
        <v>#DIV/0!</v>
      </c>
      <c r="CB69" s="154" t="e">
        <f t="shared" si="33"/>
        <v>#DIV/0!</v>
      </c>
      <c r="CC69" s="154" t="e">
        <f t="shared" si="33"/>
        <v>#DIV/0!</v>
      </c>
      <c r="CD69" s="154" t="e">
        <f t="shared" si="33"/>
        <v>#DIV/0!</v>
      </c>
      <c r="CE69" s="154" t="e">
        <f t="shared" si="33"/>
        <v>#DIV/0!</v>
      </c>
      <c r="CF69" s="154" t="e">
        <f t="shared" si="33"/>
        <v>#DIV/0!</v>
      </c>
      <c r="CG69" s="154" t="e">
        <f t="shared" si="33"/>
        <v>#DIV/0!</v>
      </c>
      <c r="CH69" s="154" t="e">
        <f t="shared" si="33"/>
        <v>#DIV/0!</v>
      </c>
      <c r="CI69" s="154" t="e">
        <f t="shared" si="33"/>
        <v>#DIV/0!</v>
      </c>
      <c r="CJ69" s="154" t="e">
        <f t="shared" si="33"/>
        <v>#DIV/0!</v>
      </c>
    </row>
    <row r="70" spans="1:89" s="83" customFormat="1" x14ac:dyDescent="0.25">
      <c r="A70" s="147" t="s">
        <v>478</v>
      </c>
      <c r="E70" s="83">
        <f>E62/E69</f>
        <v>8.2672515925785657</v>
      </c>
      <c r="F70" s="83">
        <f t="shared" ref="F70:BQ70" si="34">F62/F69</f>
        <v>13.553355690901419</v>
      </c>
      <c r="G70" s="83">
        <f t="shared" si="34"/>
        <v>8.3162106937586771</v>
      </c>
      <c r="H70" s="83">
        <f t="shared" si="34"/>
        <v>34.765001541964729</v>
      </c>
      <c r="I70" s="83" t="e">
        <f t="shared" si="34"/>
        <v>#DIV/0!</v>
      </c>
      <c r="J70" s="83" t="e">
        <f t="shared" si="34"/>
        <v>#DIV/0!</v>
      </c>
      <c r="K70" s="83" t="e">
        <f t="shared" si="34"/>
        <v>#DIV/0!</v>
      </c>
      <c r="L70" s="83" t="e">
        <f t="shared" si="34"/>
        <v>#DIV/0!</v>
      </c>
      <c r="M70" s="83" t="e">
        <f t="shared" si="34"/>
        <v>#DIV/0!</v>
      </c>
      <c r="N70" s="83" t="e">
        <f t="shared" si="34"/>
        <v>#DIV/0!</v>
      </c>
      <c r="O70" s="83">
        <f t="shared" si="34"/>
        <v>577.23824392831091</v>
      </c>
      <c r="P70" s="83">
        <f t="shared" si="34"/>
        <v>1231.75315597444</v>
      </c>
      <c r="Q70" s="83">
        <f t="shared" si="34"/>
        <v>530.16882341958444</v>
      </c>
      <c r="R70" s="83">
        <f t="shared" si="34"/>
        <v>603.5206851481928</v>
      </c>
      <c r="S70" s="83">
        <f t="shared" si="34"/>
        <v>660.89060700506241</v>
      </c>
      <c r="T70" s="83">
        <f t="shared" si="34"/>
        <v>1382.8793248730103</v>
      </c>
      <c r="U70" s="83">
        <f t="shared" si="34"/>
        <v>247.71852692781601</v>
      </c>
      <c r="V70" s="83">
        <f t="shared" si="34"/>
        <v>323.37663444371816</v>
      </c>
      <c r="W70" s="83">
        <f t="shared" si="34"/>
        <v>473.61709487522063</v>
      </c>
      <c r="X70" s="83">
        <f t="shared" si="34"/>
        <v>1056.4410724737625</v>
      </c>
      <c r="Y70" s="83">
        <f t="shared" si="34"/>
        <v>236.10189720992489</v>
      </c>
      <c r="Z70" s="83">
        <f t="shared" si="34"/>
        <v>336.66821888025322</v>
      </c>
      <c r="AA70" s="83">
        <f t="shared" si="34"/>
        <v>490.90854529214101</v>
      </c>
      <c r="AB70" s="83">
        <f t="shared" si="34"/>
        <v>1143.511067708846</v>
      </c>
      <c r="AC70" s="83">
        <f t="shared" si="34"/>
        <v>172.43250340184866</v>
      </c>
      <c r="AD70" s="83">
        <f t="shared" si="34"/>
        <v>252.3098473346011</v>
      </c>
      <c r="AE70" s="83">
        <f t="shared" si="34"/>
        <v>381.14865452104328</v>
      </c>
      <c r="AF70" s="83">
        <f t="shared" si="34"/>
        <v>766.73900158952426</v>
      </c>
      <c r="AG70" s="83">
        <f t="shared" si="34"/>
        <v>173.55656280242997</v>
      </c>
      <c r="AH70" s="83">
        <f t="shared" si="34"/>
        <v>210.68608337704251</v>
      </c>
      <c r="AI70" s="83">
        <f t="shared" si="34"/>
        <v>303.9681083218581</v>
      </c>
      <c r="AJ70" s="83">
        <f t="shared" si="34"/>
        <v>657.43472669006974</v>
      </c>
      <c r="AK70" s="83">
        <f t="shared" si="34"/>
        <v>164.00879120149645</v>
      </c>
      <c r="AL70" s="83">
        <f t="shared" si="34"/>
        <v>202.55926054902295</v>
      </c>
      <c r="AM70" s="83">
        <f t="shared" si="34"/>
        <v>160.57110624247881</v>
      </c>
      <c r="AN70" s="83">
        <f t="shared" si="34"/>
        <v>392.9696968849658</v>
      </c>
      <c r="AO70" s="83">
        <f t="shared" si="34"/>
        <v>59.657922545701169</v>
      </c>
      <c r="AP70" s="83">
        <f t="shared" si="34"/>
        <v>50.31944285465643</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6" t="s">
        <v>479</v>
      </c>
      <c r="E71" s="76">
        <f>资产资本表!E35+资产资本表!E36-资产资本表!E24</f>
        <v>171150715.40000001</v>
      </c>
      <c r="F71" s="76">
        <f>资产资本表!F35+资产资本表!F36-资产资本表!F24</f>
        <v>-31471843.829999983</v>
      </c>
      <c r="G71" s="76">
        <f>资产资本表!G35+资产资本表!G36-资产资本表!G24</f>
        <v>109235357.16</v>
      </c>
      <c r="H71" s="76">
        <f>资产资本表!H35+资产资本表!H36-资产资本表!H24</f>
        <v>65903993.269999981</v>
      </c>
      <c r="I71" s="76">
        <f>资产资本表!I35+资产资本表!I36-资产资本表!I24</f>
        <v>66264847.639999993</v>
      </c>
      <c r="J71" s="76">
        <f>资产资本表!J35+资产资本表!J36-资产资本表!J24</f>
        <v>61050199.159999996</v>
      </c>
      <c r="K71" s="76">
        <f>资产资本表!K35+资产资本表!K36-资产资本表!K24</f>
        <v>56571404.460000001</v>
      </c>
      <c r="L71" s="76">
        <f>资产资本表!L35+资产资本表!L36-资产资本表!L24</f>
        <v>63653756.999999985</v>
      </c>
      <c r="M71" s="76">
        <f>资产资本表!M35+资产资本表!M36-资产资本表!M24</f>
        <v>9462320.7199999988</v>
      </c>
      <c r="N71" s="76">
        <f>资产资本表!N35+资产资本表!N36-资产资本表!N24</f>
        <v>7059218.8000000045</v>
      </c>
      <c r="O71" s="76">
        <f>资产资本表!O35+资产资本表!O36-资产资本表!O24</f>
        <v>24043395.950000003</v>
      </c>
      <c r="P71" s="76">
        <f>资产资本表!P35+资产资本表!P36-资产资本表!P24</f>
        <v>11913153.349999998</v>
      </c>
      <c r="Q71" s="76">
        <f>资产资本表!Q35+资产资本表!Q36-资产资本表!Q24</f>
        <v>5072767.2799999993</v>
      </c>
      <c r="R71" s="76">
        <f>资产资本表!R35+资产资本表!R36-资产资本表!R24</f>
        <v>28300816.73</v>
      </c>
      <c r="S71" s="76">
        <f>资产资本表!S35+资产资本表!S36-资产资本表!S24</f>
        <v>66487982.74000001</v>
      </c>
      <c r="T71" s="76">
        <f>资产资本表!T35+资产资本表!T36-资产资本表!T24</f>
        <v>10129069.49000001</v>
      </c>
      <c r="U71" s="76">
        <f>资产资本表!U35+资产资本表!U36-资产资本表!U24</f>
        <v>27231220.180000007</v>
      </c>
      <c r="V71" s="76">
        <f>资产资本表!V35+资产资本表!V36-资产资本表!V24</f>
        <v>-5980997.9399999976</v>
      </c>
      <c r="W71" s="76">
        <f>资产资本表!W35+资产资本表!W36-资产资本表!W24</f>
        <v>19203536.329999998</v>
      </c>
      <c r="X71" s="76">
        <f>资产资本表!X35+资产资本表!X36-资产资本表!X24</f>
        <v>-423491.07999999821</v>
      </c>
      <c r="Y71" s="76">
        <f>资产资本表!Y35+资产资本表!Y36-资产资本表!Y24</f>
        <v>8790725.549999997</v>
      </c>
      <c r="Z71" s="76">
        <f>资产资本表!Z35+资产资本表!Z36-资产资本表!Z24</f>
        <v>19509322.070000008</v>
      </c>
      <c r="AA71" s="76">
        <f>资产资本表!AA35+资产资本表!AA36-资产资本表!AA24</f>
        <v>-4616285.8800000101</v>
      </c>
      <c r="AB71" s="76">
        <f>资产资本表!AB35+资产资本表!AB36-资产资本表!AB24</f>
        <v>-103635456.76000001</v>
      </c>
      <c r="AC71" s="76">
        <f>资产资本表!AC35+资产资本表!AC36-资产资本表!AC24</f>
        <v>-73132047.829999983</v>
      </c>
      <c r="AD71" s="76">
        <f>资产资本表!AD35+资产资本表!AD36-资产资本表!AD24</f>
        <v>-84660296.850000009</v>
      </c>
      <c r="AE71" s="76">
        <f>资产资本表!AE35+资产资本表!AE36-资产资本表!AE24</f>
        <v>-14004515.269999996</v>
      </c>
      <c r="AF71" s="76">
        <f>资产资本表!AF35+资产资本表!AF36-资产资本表!AF24</f>
        <v>-58401048.329999998</v>
      </c>
      <c r="AG71" s="76">
        <f>资产资本表!AG35+资产资本表!AG36-资产资本表!AG24</f>
        <v>-23349949.430000007</v>
      </c>
      <c r="AH71" s="76">
        <f>资产资本表!AH35+资产资本表!AH36-资产资本表!AH24</f>
        <v>-29563238.429999992</v>
      </c>
      <c r="AI71" s="76">
        <f>资产资本表!AI35+资产资本表!AI36-资产资本表!AI24</f>
        <v>-13487777.109999999</v>
      </c>
      <c r="AJ71" s="76">
        <f>资产资本表!AJ35+资产资本表!AJ36-资产资本表!AJ24</f>
        <v>10973781.479999997</v>
      </c>
      <c r="AK71" s="76">
        <f>资产资本表!AK35+资产资本表!AK36-资产资本表!AK24</f>
        <v>16806175.780000001</v>
      </c>
      <c r="AL71" s="76">
        <f>资产资本表!AL35+资产资本表!AL36-资产资本表!AL24</f>
        <v>10798530.450000001</v>
      </c>
      <c r="AM71" s="76">
        <f>资产资本表!AM35+资产资本表!AM36-资产资本表!AM24</f>
        <v>24519660.740000002</v>
      </c>
      <c r="AN71" s="76">
        <f>资产资本表!AN35+资产资本表!AN36-资产资本表!AN24</f>
        <v>38723370.469999999</v>
      </c>
      <c r="AO71" s="76">
        <f>资产资本表!AO35+资产资本表!AO36-资产资本表!AO24</f>
        <v>26080121.659999996</v>
      </c>
      <c r="AP71" s="76">
        <f>资产资本表!AP35+资产资本表!AP36-资产资本表!AP24</f>
        <v>11198711.809999999</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4" customFormat="1" x14ac:dyDescent="0.25">
      <c r="A72" s="153" t="s">
        <v>480</v>
      </c>
      <c r="E72" s="154">
        <f>E67/(E71+I71)*2</f>
        <v>9.0436325471142549</v>
      </c>
      <c r="F72" s="154">
        <f t="shared" ref="F72:BQ72" si="36">F67/(F71+J71)*2</f>
        <v>54.956602974178935</v>
      </c>
      <c r="G72" s="154">
        <f t="shared" si="36"/>
        <v>7.5373384998869266</v>
      </c>
      <c r="H72" s="154">
        <f t="shared" si="36"/>
        <v>3.7601972618754713</v>
      </c>
      <c r="I72" s="154">
        <f t="shared" si="36"/>
        <v>18.010812374181324</v>
      </c>
      <c r="J72" s="154">
        <f t="shared" si="36"/>
        <v>17.236936698085973</v>
      </c>
      <c r="K72" s="154">
        <f t="shared" si="36"/>
        <v>9.9155319099548951</v>
      </c>
      <c r="L72" s="154">
        <f t="shared" si="36"/>
        <v>5.7696619282251778</v>
      </c>
      <c r="M72" s="154">
        <f t="shared" si="36"/>
        <v>40.527391953870534</v>
      </c>
      <c r="N72" s="154">
        <f t="shared" si="36"/>
        <v>8.1018016759894351</v>
      </c>
      <c r="O72" s="154">
        <f t="shared" si="36"/>
        <v>1.8296678108393445</v>
      </c>
      <c r="P72" s="154">
        <f t="shared" si="36"/>
        <v>3.2668145124332648</v>
      </c>
      <c r="Q72" s="154">
        <f t="shared" si="36"/>
        <v>5.2052574193266468</v>
      </c>
      <c r="R72" s="154">
        <f t="shared" si="36"/>
        <v>6.2770486211460845</v>
      </c>
      <c r="S72" s="154">
        <f t="shared" si="36"/>
        <v>3.1492892046825514</v>
      </c>
      <c r="T72" s="154">
        <f t="shared" si="36"/>
        <v>12.628941518179941</v>
      </c>
      <c r="U72" s="154">
        <f t="shared" si="36"/>
        <v>18.413632136689134</v>
      </c>
      <c r="V72" s="154">
        <f t="shared" si="36"/>
        <v>36.185989056428653</v>
      </c>
      <c r="W72" s="154">
        <f t="shared" si="36"/>
        <v>21.816931998997813</v>
      </c>
      <c r="X72" s="154">
        <f t="shared" si="36"/>
        <v>-1.3660604696731093</v>
      </c>
      <c r="Y72" s="154">
        <f t="shared" si="36"/>
        <v>-9.0720229497279163</v>
      </c>
      <c r="Z72" s="154">
        <f t="shared" si="36"/>
        <v>-6.455919328917215</v>
      </c>
      <c r="AA72" s="154">
        <f t="shared" si="36"/>
        <v>-14.482857668022513</v>
      </c>
      <c r="AB72" s="154">
        <f t="shared" si="36"/>
        <v>-0.68419174665870963</v>
      </c>
      <c r="AC72" s="154">
        <f t="shared" si="36"/>
        <v>-7.2100367508499072</v>
      </c>
      <c r="AD72" s="154">
        <f t="shared" si="36"/>
        <v>-4.1433542798326179</v>
      </c>
      <c r="AE72" s="154">
        <f t="shared" si="36"/>
        <v>-10.477657707058041</v>
      </c>
      <c r="AF72" s="154">
        <f t="shared" si="36"/>
        <v>-2.5892250158201979</v>
      </c>
      <c r="AG72" s="154">
        <f t="shared" si="36"/>
        <v>-77.954495186428019</v>
      </c>
      <c r="AH72" s="154">
        <f t="shared" si="36"/>
        <v>-20.079415364288565</v>
      </c>
      <c r="AI72" s="154">
        <f t="shared" si="36"/>
        <v>20.740797926636574</v>
      </c>
      <c r="AJ72" s="154">
        <f t="shared" si="36"/>
        <v>2.0164440598290665</v>
      </c>
      <c r="AK72" s="154">
        <f t="shared" si="36"/>
        <v>8.4118564122890636</v>
      </c>
      <c r="AL72" s="154">
        <f t="shared" si="36"/>
        <v>11.173731596662428</v>
      </c>
      <c r="AM72" s="154">
        <f t="shared" si="36"/>
        <v>6.1359572293984357</v>
      </c>
      <c r="AN72" s="154">
        <f t="shared" si="36"/>
        <v>1.9144659150327312</v>
      </c>
      <c r="AO72" s="154">
        <f t="shared" si="36"/>
        <v>17.95217078370025</v>
      </c>
      <c r="AP72" s="154">
        <f t="shared" si="36"/>
        <v>38.966621467152486</v>
      </c>
      <c r="AQ72" s="154" t="e">
        <f t="shared" si="36"/>
        <v>#DIV/0!</v>
      </c>
      <c r="AR72" s="154" t="e">
        <f t="shared" si="36"/>
        <v>#DIV/0!</v>
      </c>
      <c r="AS72" s="154" t="e">
        <f t="shared" si="36"/>
        <v>#DIV/0!</v>
      </c>
      <c r="AT72" s="154" t="e">
        <f t="shared" si="36"/>
        <v>#DIV/0!</v>
      </c>
      <c r="AU72" s="154" t="e">
        <f t="shared" si="36"/>
        <v>#DIV/0!</v>
      </c>
      <c r="AV72" s="154" t="e">
        <f t="shared" si="36"/>
        <v>#DIV/0!</v>
      </c>
      <c r="AW72" s="154" t="e">
        <f t="shared" si="36"/>
        <v>#DIV/0!</v>
      </c>
      <c r="AX72" s="154" t="e">
        <f t="shared" si="36"/>
        <v>#DIV/0!</v>
      </c>
      <c r="AY72" s="154" t="e">
        <f t="shared" si="36"/>
        <v>#DIV/0!</v>
      </c>
      <c r="AZ72" s="154" t="e">
        <f t="shared" si="36"/>
        <v>#DIV/0!</v>
      </c>
      <c r="BA72" s="154" t="e">
        <f t="shared" si="36"/>
        <v>#DIV/0!</v>
      </c>
      <c r="BB72" s="154" t="e">
        <f t="shared" si="36"/>
        <v>#DIV/0!</v>
      </c>
      <c r="BC72" s="154" t="e">
        <f t="shared" si="36"/>
        <v>#DIV/0!</v>
      </c>
      <c r="BD72" s="154" t="e">
        <f t="shared" si="36"/>
        <v>#DIV/0!</v>
      </c>
      <c r="BE72" s="154" t="e">
        <f t="shared" si="36"/>
        <v>#DIV/0!</v>
      </c>
      <c r="BF72" s="154" t="e">
        <f t="shared" si="36"/>
        <v>#DIV/0!</v>
      </c>
      <c r="BG72" s="154" t="e">
        <f t="shared" si="36"/>
        <v>#DIV/0!</v>
      </c>
      <c r="BH72" s="154" t="e">
        <f t="shared" si="36"/>
        <v>#DIV/0!</v>
      </c>
      <c r="BI72" s="154" t="e">
        <f t="shared" si="36"/>
        <v>#DIV/0!</v>
      </c>
      <c r="BJ72" s="154" t="e">
        <f t="shared" si="36"/>
        <v>#DIV/0!</v>
      </c>
      <c r="BK72" s="154" t="e">
        <f t="shared" si="36"/>
        <v>#DIV/0!</v>
      </c>
      <c r="BL72" s="154" t="e">
        <f t="shared" si="36"/>
        <v>#DIV/0!</v>
      </c>
      <c r="BM72" s="154" t="e">
        <f t="shared" si="36"/>
        <v>#DIV/0!</v>
      </c>
      <c r="BN72" s="154" t="e">
        <f t="shared" si="36"/>
        <v>#DIV/0!</v>
      </c>
      <c r="BO72" s="154" t="e">
        <f t="shared" si="36"/>
        <v>#DIV/0!</v>
      </c>
      <c r="BP72" s="154" t="e">
        <f t="shared" si="36"/>
        <v>#DIV/0!</v>
      </c>
      <c r="BQ72" s="154" t="e">
        <f t="shared" si="36"/>
        <v>#DIV/0!</v>
      </c>
      <c r="BR72" s="154" t="e">
        <f t="shared" ref="BR72:CJ72" si="37">BR67/(BR71+BV71)*2</f>
        <v>#DIV/0!</v>
      </c>
      <c r="BS72" s="154" t="e">
        <f t="shared" si="37"/>
        <v>#DIV/0!</v>
      </c>
      <c r="BT72" s="154" t="e">
        <f t="shared" si="37"/>
        <v>#DIV/0!</v>
      </c>
      <c r="BU72" s="154" t="e">
        <f t="shared" si="37"/>
        <v>#DIV/0!</v>
      </c>
      <c r="BV72" s="154" t="e">
        <f t="shared" si="37"/>
        <v>#DIV/0!</v>
      </c>
      <c r="BW72" s="154" t="e">
        <f t="shared" si="37"/>
        <v>#DIV/0!</v>
      </c>
      <c r="BX72" s="154" t="e">
        <f t="shared" si="37"/>
        <v>#DIV/0!</v>
      </c>
      <c r="BY72" s="154" t="e">
        <f t="shared" si="37"/>
        <v>#DIV/0!</v>
      </c>
      <c r="BZ72" s="154" t="e">
        <f t="shared" si="37"/>
        <v>#DIV/0!</v>
      </c>
      <c r="CA72" s="154" t="e">
        <f t="shared" si="37"/>
        <v>#DIV/0!</v>
      </c>
      <c r="CB72" s="154" t="e">
        <f t="shared" si="37"/>
        <v>#DIV/0!</v>
      </c>
      <c r="CC72" s="154" t="e">
        <f t="shared" si="37"/>
        <v>#DIV/0!</v>
      </c>
      <c r="CD72" s="154" t="e">
        <f t="shared" si="37"/>
        <v>#DIV/0!</v>
      </c>
      <c r="CE72" s="154" t="e">
        <f t="shared" si="37"/>
        <v>#DIV/0!</v>
      </c>
      <c r="CF72" s="154" t="e">
        <f t="shared" si="37"/>
        <v>#DIV/0!</v>
      </c>
      <c r="CG72" s="154" t="e">
        <f t="shared" si="37"/>
        <v>#DIV/0!</v>
      </c>
      <c r="CH72" s="154" t="e">
        <f t="shared" si="37"/>
        <v>#DIV/0!</v>
      </c>
      <c r="CI72" s="154" t="e">
        <f t="shared" si="37"/>
        <v>#DIV/0!</v>
      </c>
      <c r="CJ72" s="154" t="e">
        <f t="shared" si="37"/>
        <v>#DIV/0!</v>
      </c>
    </row>
    <row r="73" spans="1:89" s="83" customFormat="1" x14ac:dyDescent="0.25">
      <c r="A73" s="147" t="s">
        <v>481</v>
      </c>
      <c r="E73" s="83">
        <f>E62/E72</f>
        <v>40.359888363273711</v>
      </c>
      <c r="F73" s="83">
        <f t="shared" ref="F73:BQ73" si="38">F62/F72</f>
        <v>6.6416041066347073</v>
      </c>
      <c r="G73" s="83">
        <f t="shared" si="38"/>
        <v>48.425581523965739</v>
      </c>
      <c r="H73" s="83">
        <f t="shared" si="38"/>
        <v>97.069375508759663</v>
      </c>
      <c r="I73" s="83">
        <f t="shared" si="38"/>
        <v>20.265604483406371</v>
      </c>
      <c r="J73" s="83">
        <f t="shared" si="38"/>
        <v>21.17545631182427</v>
      </c>
      <c r="K73" s="83">
        <f t="shared" si="38"/>
        <v>36.810934936687666</v>
      </c>
      <c r="L73" s="83">
        <f t="shared" si="38"/>
        <v>63.261938834651737</v>
      </c>
      <c r="M73" s="83">
        <f t="shared" si="38"/>
        <v>9.0062543480580661</v>
      </c>
      <c r="N73" s="83">
        <f t="shared" si="38"/>
        <v>45.051707582736434</v>
      </c>
      <c r="O73" s="83">
        <f t="shared" si="38"/>
        <v>199.48976411874423</v>
      </c>
      <c r="P73" s="83">
        <f t="shared" si="38"/>
        <v>111.72963711616801</v>
      </c>
      <c r="Q73" s="83">
        <f t="shared" si="38"/>
        <v>70.121411987193611</v>
      </c>
      <c r="R73" s="83">
        <f t="shared" si="38"/>
        <v>58.148346783612624</v>
      </c>
      <c r="S73" s="83">
        <f t="shared" si="38"/>
        <v>115.89916844007092</v>
      </c>
      <c r="T73" s="83">
        <f t="shared" si="38"/>
        <v>28.901867941550424</v>
      </c>
      <c r="U73" s="83">
        <f t="shared" si="38"/>
        <v>19.822270657440693</v>
      </c>
      <c r="V73" s="83">
        <f t="shared" si="38"/>
        <v>10.086776940954046</v>
      </c>
      <c r="W73" s="83">
        <f t="shared" si="38"/>
        <v>16.730125024763645</v>
      </c>
      <c r="X73" s="83">
        <f t="shared" si="38"/>
        <v>-267.19168594882365</v>
      </c>
      <c r="Y73" s="83">
        <f t="shared" si="38"/>
        <v>-40.23358428683725</v>
      </c>
      <c r="Z73" s="83">
        <f t="shared" si="38"/>
        <v>-56.537261605035837</v>
      </c>
      <c r="AA73" s="83">
        <f t="shared" si="38"/>
        <v>-25.202208594917238</v>
      </c>
      <c r="AB73" s="83">
        <f t="shared" si="38"/>
        <v>-533.47618088423144</v>
      </c>
      <c r="AC73" s="83">
        <f t="shared" si="38"/>
        <v>-50.623875108122633</v>
      </c>
      <c r="AD73" s="83">
        <f t="shared" si="38"/>
        <v>-88.092877255657982</v>
      </c>
      <c r="AE73" s="83">
        <f t="shared" si="38"/>
        <v>-34.836030170571981</v>
      </c>
      <c r="AF73" s="83">
        <f t="shared" si="38"/>
        <v>-140.96882185590104</v>
      </c>
      <c r="AG73" s="83">
        <f t="shared" si="38"/>
        <v>-4.6822187627166754</v>
      </c>
      <c r="AH73" s="83">
        <f t="shared" si="38"/>
        <v>-18.177820089779907</v>
      </c>
      <c r="AI73" s="83">
        <f t="shared" si="38"/>
        <v>17.598165764454276</v>
      </c>
      <c r="AJ73" s="83">
        <f t="shared" si="38"/>
        <v>181.01171625407795</v>
      </c>
      <c r="AK73" s="83">
        <f t="shared" si="38"/>
        <v>43.391135334498053</v>
      </c>
      <c r="AL73" s="83">
        <f t="shared" si="38"/>
        <v>32.665900092769796</v>
      </c>
      <c r="AM73" s="83">
        <f t="shared" si="38"/>
        <v>59.485421158286712</v>
      </c>
      <c r="AN73" s="83">
        <f t="shared" si="38"/>
        <v>190.65369465914972</v>
      </c>
      <c r="AO73" s="83">
        <f t="shared" si="38"/>
        <v>20.331803011332941</v>
      </c>
      <c r="AP73" s="83">
        <f t="shared" si="38"/>
        <v>9.3669911903366412</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5" customFormat="1" x14ac:dyDescent="0.25">
      <c r="A74" s="254" t="s">
        <v>482</v>
      </c>
      <c r="E74" s="255">
        <f>E66+E70</f>
        <v>64.555297303905789</v>
      </c>
      <c r="F74" s="255">
        <f t="shared" ref="F74:BQ74" si="40">F66+F70</f>
        <v>93.791842062057981</v>
      </c>
      <c r="G74" s="255">
        <f t="shared" si="40"/>
        <v>141.05395355317523</v>
      </c>
      <c r="H74" s="255">
        <f t="shared" si="40"/>
        <v>343.98611848868268</v>
      </c>
      <c r="I74" s="255" t="e">
        <f t="shared" si="40"/>
        <v>#DIV/0!</v>
      </c>
      <c r="J74" s="255" t="e">
        <f t="shared" si="40"/>
        <v>#DIV/0!</v>
      </c>
      <c r="K74" s="255" t="e">
        <f t="shared" si="40"/>
        <v>#DIV/0!</v>
      </c>
      <c r="L74" s="255" t="e">
        <f t="shared" si="40"/>
        <v>#DIV/0!</v>
      </c>
      <c r="M74" s="255" t="e">
        <f t="shared" si="40"/>
        <v>#DIV/0!</v>
      </c>
      <c r="N74" s="255" t="e">
        <f t="shared" si="40"/>
        <v>#DIV/0!</v>
      </c>
      <c r="O74" s="255">
        <f t="shared" si="40"/>
        <v>665.32815397209697</v>
      </c>
      <c r="P74" s="255">
        <f t="shared" si="40"/>
        <v>1457.9579471119864</v>
      </c>
      <c r="Q74" s="255">
        <f t="shared" si="40"/>
        <v>602.14575614578325</v>
      </c>
      <c r="R74" s="255">
        <f t="shared" si="40"/>
        <v>704.25133658969685</v>
      </c>
      <c r="S74" s="255">
        <f t="shared" si="40"/>
        <v>841.17563543458755</v>
      </c>
      <c r="T74" s="255">
        <f t="shared" si="40"/>
        <v>1785.0194475728529</v>
      </c>
      <c r="U74" s="255">
        <f t="shared" si="40"/>
        <v>332.96947290779451</v>
      </c>
      <c r="V74" s="255">
        <f t="shared" si="40"/>
        <v>478.24286085924382</v>
      </c>
      <c r="W74" s="255">
        <f t="shared" si="40"/>
        <v>712.68529707466723</v>
      </c>
      <c r="X74" s="255">
        <f t="shared" si="40"/>
        <v>1583.7439146372224</v>
      </c>
      <c r="Y74" s="255">
        <f t="shared" si="40"/>
        <v>356.31225678646484</v>
      </c>
      <c r="Z74" s="255">
        <f t="shared" si="40"/>
        <v>524.81489160228602</v>
      </c>
      <c r="AA74" s="255">
        <f t="shared" si="40"/>
        <v>764.45364697727882</v>
      </c>
      <c r="AB74" s="255">
        <f t="shared" si="40"/>
        <v>1770.0629697199504</v>
      </c>
      <c r="AC74" s="255">
        <f t="shared" si="40"/>
        <v>272.06778290302555</v>
      </c>
      <c r="AD74" s="255">
        <f t="shared" si="40"/>
        <v>376.24487032611449</v>
      </c>
      <c r="AE74" s="255">
        <f t="shared" si="40"/>
        <v>571.1534967532225</v>
      </c>
      <c r="AF74" s="255">
        <f t="shared" si="40"/>
        <v>1155.3353138742623</v>
      </c>
      <c r="AG74" s="255">
        <f t="shared" si="40"/>
        <v>254.12495802739721</v>
      </c>
      <c r="AH74" s="255">
        <f t="shared" si="40"/>
        <v>313.58081521849516</v>
      </c>
      <c r="AI74" s="255">
        <f t="shared" si="40"/>
        <v>464.59717973258171</v>
      </c>
      <c r="AJ74" s="255">
        <f t="shared" si="40"/>
        <v>1025.1262215610395</v>
      </c>
      <c r="AK74" s="255">
        <f t="shared" si="40"/>
        <v>235.5558723834354</v>
      </c>
      <c r="AL74" s="255">
        <f t="shared" si="40"/>
        <v>297.44720821157921</v>
      </c>
      <c r="AM74" s="255">
        <f t="shared" si="40"/>
        <v>258.16905128018675</v>
      </c>
      <c r="AN74" s="255">
        <f t="shared" si="40"/>
        <v>616.52288474105478</v>
      </c>
      <c r="AO74" s="255">
        <f t="shared" si="40"/>
        <v>81.779524079156758</v>
      </c>
      <c r="AP74" s="255">
        <f t="shared" si="40"/>
        <v>66.14690202958964</v>
      </c>
      <c r="AQ74" s="255" t="e">
        <f t="shared" si="40"/>
        <v>#DIV/0!</v>
      </c>
      <c r="AR74" s="255" t="e">
        <f t="shared" si="40"/>
        <v>#DIV/0!</v>
      </c>
      <c r="AS74" s="255" t="e">
        <f t="shared" si="40"/>
        <v>#DIV/0!</v>
      </c>
      <c r="AT74" s="255" t="e">
        <f t="shared" si="40"/>
        <v>#DIV/0!</v>
      </c>
      <c r="AU74" s="255" t="e">
        <f t="shared" si="40"/>
        <v>#DIV/0!</v>
      </c>
      <c r="AV74" s="255" t="e">
        <f t="shared" si="40"/>
        <v>#DIV/0!</v>
      </c>
      <c r="AW74" s="255" t="e">
        <f t="shared" si="40"/>
        <v>#DIV/0!</v>
      </c>
      <c r="AX74" s="255" t="e">
        <f t="shared" si="40"/>
        <v>#DIV/0!</v>
      </c>
      <c r="AY74" s="255" t="e">
        <f t="shared" si="40"/>
        <v>#DIV/0!</v>
      </c>
      <c r="AZ74" s="255" t="e">
        <f t="shared" si="40"/>
        <v>#DIV/0!</v>
      </c>
      <c r="BA74" s="255" t="e">
        <f t="shared" si="40"/>
        <v>#DIV/0!</v>
      </c>
      <c r="BB74" s="255" t="e">
        <f t="shared" si="40"/>
        <v>#DIV/0!</v>
      </c>
      <c r="BC74" s="255" t="e">
        <f t="shared" si="40"/>
        <v>#DIV/0!</v>
      </c>
      <c r="BD74" s="255" t="e">
        <f t="shared" si="40"/>
        <v>#DIV/0!</v>
      </c>
      <c r="BE74" s="255" t="e">
        <f t="shared" si="40"/>
        <v>#DIV/0!</v>
      </c>
      <c r="BF74" s="255" t="e">
        <f t="shared" si="40"/>
        <v>#DIV/0!</v>
      </c>
      <c r="BG74" s="255" t="e">
        <f t="shared" si="40"/>
        <v>#DIV/0!</v>
      </c>
      <c r="BH74" s="255" t="e">
        <f t="shared" si="40"/>
        <v>#DIV/0!</v>
      </c>
      <c r="BI74" s="255" t="e">
        <f t="shared" si="40"/>
        <v>#DIV/0!</v>
      </c>
      <c r="BJ74" s="255" t="e">
        <f t="shared" si="40"/>
        <v>#DIV/0!</v>
      </c>
      <c r="BK74" s="255" t="e">
        <f t="shared" si="40"/>
        <v>#DIV/0!</v>
      </c>
      <c r="BL74" s="255" t="e">
        <f t="shared" si="40"/>
        <v>#DIV/0!</v>
      </c>
      <c r="BM74" s="255" t="e">
        <f t="shared" si="40"/>
        <v>#DIV/0!</v>
      </c>
      <c r="BN74" s="255" t="e">
        <f t="shared" si="40"/>
        <v>#DIV/0!</v>
      </c>
      <c r="BO74" s="255" t="e">
        <f t="shared" si="40"/>
        <v>#DIV/0!</v>
      </c>
      <c r="BP74" s="255" t="e">
        <f t="shared" si="40"/>
        <v>#DIV/0!</v>
      </c>
      <c r="BQ74" s="255" t="e">
        <f t="shared" si="40"/>
        <v>#DIV/0!</v>
      </c>
      <c r="BR74" s="255" t="e">
        <f t="shared" ref="BR74:CK74" si="41">BR66+BR70</f>
        <v>#DIV/0!</v>
      </c>
      <c r="BS74" s="255" t="e">
        <f t="shared" si="41"/>
        <v>#DIV/0!</v>
      </c>
      <c r="BT74" s="255" t="e">
        <f t="shared" si="41"/>
        <v>#DIV/0!</v>
      </c>
      <c r="BU74" s="255" t="e">
        <f t="shared" si="41"/>
        <v>#DIV/0!</v>
      </c>
      <c r="BV74" s="255" t="e">
        <f t="shared" si="41"/>
        <v>#DIV/0!</v>
      </c>
      <c r="BW74" s="255" t="e">
        <f t="shared" si="41"/>
        <v>#DIV/0!</v>
      </c>
      <c r="BX74" s="255" t="e">
        <f t="shared" si="41"/>
        <v>#DIV/0!</v>
      </c>
      <c r="BY74" s="255" t="e">
        <f t="shared" si="41"/>
        <v>#DIV/0!</v>
      </c>
      <c r="BZ74" s="255" t="e">
        <f t="shared" si="41"/>
        <v>#DIV/0!</v>
      </c>
      <c r="CA74" s="255" t="e">
        <f t="shared" si="41"/>
        <v>#DIV/0!</v>
      </c>
      <c r="CB74" s="255" t="e">
        <f t="shared" si="41"/>
        <v>#DIV/0!</v>
      </c>
      <c r="CC74" s="255" t="e">
        <f t="shared" si="41"/>
        <v>#DIV/0!</v>
      </c>
      <c r="CD74" s="255" t="e">
        <f t="shared" si="41"/>
        <v>#DIV/0!</v>
      </c>
      <c r="CE74" s="255" t="e">
        <f t="shared" si="41"/>
        <v>#DIV/0!</v>
      </c>
      <c r="CF74" s="255" t="e">
        <f t="shared" si="41"/>
        <v>#DIV/0!</v>
      </c>
      <c r="CG74" s="255" t="e">
        <f t="shared" si="41"/>
        <v>#DIV/0!</v>
      </c>
      <c r="CH74" s="255" t="e">
        <f t="shared" si="41"/>
        <v>#DIV/0!</v>
      </c>
      <c r="CI74" s="255" t="e">
        <f t="shared" si="41"/>
        <v>#DIV/0!</v>
      </c>
      <c r="CJ74" s="255" t="e">
        <f t="shared" si="41"/>
        <v>#DIV/0!</v>
      </c>
      <c r="CK74" s="255">
        <f t="shared" si="41"/>
        <v>0</v>
      </c>
    </row>
    <row r="75" spans="1:89" s="255" customFormat="1" x14ac:dyDescent="0.25">
      <c r="A75" s="254" t="s">
        <v>483</v>
      </c>
      <c r="E75" s="255">
        <f>E74-E73</f>
        <v>24.195408940632078</v>
      </c>
      <c r="F75" s="255">
        <f t="shared" ref="F75:BQ75" si="42">F74-F73</f>
        <v>87.150237955423279</v>
      </c>
      <c r="G75" s="255">
        <f t="shared" si="42"/>
        <v>92.628372029209487</v>
      </c>
      <c r="H75" s="255">
        <f t="shared" si="42"/>
        <v>246.91674297992301</v>
      </c>
      <c r="I75" s="255" t="e">
        <f t="shared" si="42"/>
        <v>#DIV/0!</v>
      </c>
      <c r="J75" s="255" t="e">
        <f t="shared" si="42"/>
        <v>#DIV/0!</v>
      </c>
      <c r="K75" s="255" t="e">
        <f t="shared" si="42"/>
        <v>#DIV/0!</v>
      </c>
      <c r="L75" s="255" t="e">
        <f t="shared" si="42"/>
        <v>#DIV/0!</v>
      </c>
      <c r="M75" s="255" t="e">
        <f t="shared" si="42"/>
        <v>#DIV/0!</v>
      </c>
      <c r="N75" s="255" t="e">
        <f t="shared" si="42"/>
        <v>#DIV/0!</v>
      </c>
      <c r="O75" s="255">
        <f t="shared" si="42"/>
        <v>465.83838985335274</v>
      </c>
      <c r="P75" s="255">
        <f t="shared" si="42"/>
        <v>1346.2283099958183</v>
      </c>
      <c r="Q75" s="255">
        <f t="shared" si="42"/>
        <v>532.02434415858966</v>
      </c>
      <c r="R75" s="255">
        <f t="shared" si="42"/>
        <v>646.10298980608422</v>
      </c>
      <c r="S75" s="255">
        <f t="shared" si="42"/>
        <v>725.27646699451657</v>
      </c>
      <c r="T75" s="255">
        <f t="shared" si="42"/>
        <v>1756.1175796313025</v>
      </c>
      <c r="U75" s="255">
        <f t="shared" si="42"/>
        <v>313.14720225035381</v>
      </c>
      <c r="V75" s="255">
        <f t="shared" si="42"/>
        <v>468.15608391828977</v>
      </c>
      <c r="W75" s="255">
        <f t="shared" si="42"/>
        <v>695.95517204990358</v>
      </c>
      <c r="X75" s="255">
        <f t="shared" si="42"/>
        <v>1850.9356005860459</v>
      </c>
      <c r="Y75" s="255">
        <f t="shared" si="42"/>
        <v>396.54584107330209</v>
      </c>
      <c r="Z75" s="255">
        <f t="shared" si="42"/>
        <v>581.35215320732186</v>
      </c>
      <c r="AA75" s="255">
        <f t="shared" si="42"/>
        <v>789.65585557219606</v>
      </c>
      <c r="AB75" s="255">
        <f t="shared" si="42"/>
        <v>2303.5391506041819</v>
      </c>
      <c r="AC75" s="255">
        <f t="shared" si="42"/>
        <v>322.69165801114821</v>
      </c>
      <c r="AD75" s="255">
        <f t="shared" si="42"/>
        <v>464.33774758177248</v>
      </c>
      <c r="AE75" s="255">
        <f t="shared" si="42"/>
        <v>605.98952692379453</v>
      </c>
      <c r="AF75" s="255">
        <f t="shared" si="42"/>
        <v>1296.3041357301634</v>
      </c>
      <c r="AG75" s="255">
        <f t="shared" si="42"/>
        <v>258.80717679011389</v>
      </c>
      <c r="AH75" s="255">
        <f t="shared" si="42"/>
        <v>331.75863530827507</v>
      </c>
      <c r="AI75" s="255">
        <f t="shared" si="42"/>
        <v>446.99901396812743</v>
      </c>
      <c r="AJ75" s="255">
        <f t="shared" si="42"/>
        <v>844.11450530696152</v>
      </c>
      <c r="AK75" s="255">
        <f t="shared" si="42"/>
        <v>192.16473704893735</v>
      </c>
      <c r="AL75" s="255">
        <f t="shared" si="42"/>
        <v>264.78130811880942</v>
      </c>
      <c r="AM75" s="255">
        <f t="shared" si="42"/>
        <v>198.68363012190002</v>
      </c>
      <c r="AN75" s="255">
        <f t="shared" si="42"/>
        <v>425.86919008190506</v>
      </c>
      <c r="AO75" s="255">
        <f t="shared" si="42"/>
        <v>61.447721067823821</v>
      </c>
      <c r="AP75" s="255">
        <f t="shared" si="42"/>
        <v>56.779910839252999</v>
      </c>
      <c r="AQ75" s="255" t="e">
        <f t="shared" si="42"/>
        <v>#DIV/0!</v>
      </c>
      <c r="AR75" s="255" t="e">
        <f t="shared" si="42"/>
        <v>#DIV/0!</v>
      </c>
      <c r="AS75" s="255" t="e">
        <f t="shared" si="42"/>
        <v>#DIV/0!</v>
      </c>
      <c r="AT75" s="255" t="e">
        <f t="shared" si="42"/>
        <v>#DIV/0!</v>
      </c>
      <c r="AU75" s="255" t="e">
        <f t="shared" si="42"/>
        <v>#DIV/0!</v>
      </c>
      <c r="AV75" s="255" t="e">
        <f t="shared" si="42"/>
        <v>#DIV/0!</v>
      </c>
      <c r="AW75" s="255" t="e">
        <f t="shared" si="42"/>
        <v>#DIV/0!</v>
      </c>
      <c r="AX75" s="255" t="e">
        <f t="shared" si="42"/>
        <v>#DIV/0!</v>
      </c>
      <c r="AY75" s="255" t="e">
        <f t="shared" si="42"/>
        <v>#DIV/0!</v>
      </c>
      <c r="AZ75" s="255" t="e">
        <f t="shared" si="42"/>
        <v>#DIV/0!</v>
      </c>
      <c r="BA75" s="255" t="e">
        <f t="shared" si="42"/>
        <v>#DIV/0!</v>
      </c>
      <c r="BB75" s="255" t="e">
        <f t="shared" si="42"/>
        <v>#DIV/0!</v>
      </c>
      <c r="BC75" s="255" t="e">
        <f t="shared" si="42"/>
        <v>#DIV/0!</v>
      </c>
      <c r="BD75" s="255" t="e">
        <f t="shared" si="42"/>
        <v>#DIV/0!</v>
      </c>
      <c r="BE75" s="255" t="e">
        <f t="shared" si="42"/>
        <v>#DIV/0!</v>
      </c>
      <c r="BF75" s="255" t="e">
        <f t="shared" si="42"/>
        <v>#DIV/0!</v>
      </c>
      <c r="BG75" s="255" t="e">
        <f t="shared" si="42"/>
        <v>#DIV/0!</v>
      </c>
      <c r="BH75" s="255" t="e">
        <f t="shared" si="42"/>
        <v>#DIV/0!</v>
      </c>
      <c r="BI75" s="255" t="e">
        <f t="shared" si="42"/>
        <v>#DIV/0!</v>
      </c>
      <c r="BJ75" s="255" t="e">
        <f t="shared" si="42"/>
        <v>#DIV/0!</v>
      </c>
      <c r="BK75" s="255" t="e">
        <f t="shared" si="42"/>
        <v>#DIV/0!</v>
      </c>
      <c r="BL75" s="255" t="e">
        <f t="shared" si="42"/>
        <v>#DIV/0!</v>
      </c>
      <c r="BM75" s="255" t="e">
        <f t="shared" si="42"/>
        <v>#DIV/0!</v>
      </c>
      <c r="BN75" s="255" t="e">
        <f t="shared" si="42"/>
        <v>#DIV/0!</v>
      </c>
      <c r="BO75" s="255" t="e">
        <f t="shared" si="42"/>
        <v>#DIV/0!</v>
      </c>
      <c r="BP75" s="255" t="e">
        <f t="shared" si="42"/>
        <v>#DIV/0!</v>
      </c>
      <c r="BQ75" s="255" t="e">
        <f t="shared" si="42"/>
        <v>#DIV/0!</v>
      </c>
      <c r="BR75" s="255" t="e">
        <f t="shared" ref="BR75:CJ75" si="43">BR74-BR73</f>
        <v>#DIV/0!</v>
      </c>
      <c r="BS75" s="255" t="e">
        <f t="shared" si="43"/>
        <v>#DIV/0!</v>
      </c>
      <c r="BT75" s="255" t="e">
        <f t="shared" si="43"/>
        <v>#DIV/0!</v>
      </c>
      <c r="BU75" s="255" t="e">
        <f t="shared" si="43"/>
        <v>#DIV/0!</v>
      </c>
      <c r="BV75" s="255" t="e">
        <f t="shared" si="43"/>
        <v>#DIV/0!</v>
      </c>
      <c r="BW75" s="255" t="e">
        <f t="shared" si="43"/>
        <v>#DIV/0!</v>
      </c>
      <c r="BX75" s="255" t="e">
        <f t="shared" si="43"/>
        <v>#DIV/0!</v>
      </c>
      <c r="BY75" s="255" t="e">
        <f t="shared" si="43"/>
        <v>#DIV/0!</v>
      </c>
      <c r="BZ75" s="255" t="e">
        <f t="shared" si="43"/>
        <v>#DIV/0!</v>
      </c>
      <c r="CA75" s="255" t="e">
        <f t="shared" si="43"/>
        <v>#DIV/0!</v>
      </c>
      <c r="CB75" s="255" t="e">
        <f t="shared" si="43"/>
        <v>#DIV/0!</v>
      </c>
      <c r="CC75" s="255" t="e">
        <f t="shared" si="43"/>
        <v>#DIV/0!</v>
      </c>
      <c r="CD75" s="255" t="e">
        <f t="shared" si="43"/>
        <v>#DIV/0!</v>
      </c>
      <c r="CE75" s="255" t="e">
        <f t="shared" si="43"/>
        <v>#DIV/0!</v>
      </c>
      <c r="CF75" s="255" t="e">
        <f t="shared" si="43"/>
        <v>#DIV/0!</v>
      </c>
      <c r="CG75" s="255" t="e">
        <f t="shared" si="43"/>
        <v>#DIV/0!</v>
      </c>
      <c r="CH75" s="255" t="e">
        <f t="shared" si="43"/>
        <v>#DIV/0!</v>
      </c>
      <c r="CI75" s="255" t="e">
        <f t="shared" si="43"/>
        <v>#DIV/0!</v>
      </c>
      <c r="CJ75" s="255" t="e">
        <f t="shared" si="43"/>
        <v>#DIV/0!</v>
      </c>
    </row>
    <row r="76" spans="1:89" s="120" customFormat="1" x14ac:dyDescent="0.25">
      <c r="A76" s="148" t="s">
        <v>484</v>
      </c>
      <c r="E76" s="120">
        <f>E71-E64-E68</f>
        <v>-440742465.78999996</v>
      </c>
      <c r="F76" s="120">
        <f t="shared" ref="F76:BQ76" si="44">F71-F64-F68</f>
        <v>-646267004.96000004</v>
      </c>
      <c r="G76" s="120">
        <f t="shared" si="44"/>
        <v>-696258047.1500001</v>
      </c>
      <c r="H76" s="120">
        <f t="shared" si="44"/>
        <v>-634749140.61000001</v>
      </c>
      <c r="I76" s="120">
        <f t="shared" si="44"/>
        <v>-327023569.98000002</v>
      </c>
      <c r="J76" s="120">
        <f t="shared" si="44"/>
        <v>-368107392.47000003</v>
      </c>
      <c r="K76" s="120">
        <f t="shared" si="44"/>
        <v>-322257280.20999998</v>
      </c>
      <c r="L76" s="120">
        <f t="shared" si="44"/>
        <v>-365863979.11000001</v>
      </c>
      <c r="M76" s="120">
        <f t="shared" si="44"/>
        <v>-383353000.25</v>
      </c>
      <c r="N76" s="120">
        <f t="shared" si="44"/>
        <v>-114743368.24000001</v>
      </c>
      <c r="O76" s="120">
        <f t="shared" si="44"/>
        <v>-97130841.769999996</v>
      </c>
      <c r="P76" s="120">
        <f t="shared" si="44"/>
        <v>-111753460.90000001</v>
      </c>
      <c r="Q76" s="120">
        <f t="shared" si="44"/>
        <v>-80140393.950000003</v>
      </c>
      <c r="R76" s="120">
        <f t="shared" si="44"/>
        <v>-52040762.659999996</v>
      </c>
      <c r="S76" s="120">
        <f t="shared" si="44"/>
        <v>-228409127.41</v>
      </c>
      <c r="T76" s="120">
        <f t="shared" si="44"/>
        <v>-299427716.73000002</v>
      </c>
      <c r="U76" s="120">
        <f t="shared" si="44"/>
        <v>-319347922.13999999</v>
      </c>
      <c r="V76" s="120">
        <f t="shared" si="44"/>
        <v>-346420265.52999997</v>
      </c>
      <c r="W76" s="120">
        <f t="shared" si="44"/>
        <v>-333563655.57999998</v>
      </c>
      <c r="X76" s="120">
        <f t="shared" si="44"/>
        <v>-323799991.00999999</v>
      </c>
      <c r="Y76" s="120">
        <f t="shared" si="44"/>
        <v>-283917641.77999997</v>
      </c>
      <c r="Z76" s="120">
        <f t="shared" si="44"/>
        <v>-327771584.56999999</v>
      </c>
      <c r="AA76" s="120">
        <f t="shared" si="44"/>
        <v>-328930401.05000001</v>
      </c>
      <c r="AB76" s="120">
        <f t="shared" si="44"/>
        <v>-446580435.53999996</v>
      </c>
      <c r="AC76" s="120">
        <f t="shared" si="44"/>
        <v>-401037834.65999997</v>
      </c>
      <c r="AD76" s="120">
        <f t="shared" si="44"/>
        <v>-397219727.03999996</v>
      </c>
      <c r="AE76" s="120">
        <f t="shared" si="44"/>
        <v>-303684074.24000001</v>
      </c>
      <c r="AF76" s="120">
        <f t="shared" si="44"/>
        <v>-304430638.01999998</v>
      </c>
      <c r="AG76" s="120">
        <f t="shared" si="44"/>
        <v>-257662319.13000003</v>
      </c>
      <c r="AH76" s="120">
        <f t="shared" si="44"/>
        <v>-240461608.62</v>
      </c>
      <c r="AI76" s="120">
        <f t="shared" si="44"/>
        <v>-207882256.61000001</v>
      </c>
      <c r="AJ76" s="120">
        <f t="shared" si="44"/>
        <v>-155439403.19999999</v>
      </c>
      <c r="AK76" s="120">
        <f t="shared" si="44"/>
        <v>-126795988.64999999</v>
      </c>
      <c r="AL76" s="120">
        <f t="shared" si="44"/>
        <v>-124368975.88</v>
      </c>
      <c r="AM76" s="120">
        <f t="shared" si="44"/>
        <v>-93396156.520000011</v>
      </c>
      <c r="AN76" s="120">
        <f t="shared" si="44"/>
        <v>-97032931.330000013</v>
      </c>
      <c r="AO76" s="120">
        <f t="shared" si="44"/>
        <v>-85084347.689999998</v>
      </c>
      <c r="AP76" s="120">
        <f t="shared" si="44"/>
        <v>-72523325.370000005</v>
      </c>
      <c r="AQ76" s="120">
        <f t="shared" si="44"/>
        <v>0</v>
      </c>
      <c r="AR76" s="120">
        <f t="shared" si="44"/>
        <v>0</v>
      </c>
      <c r="AS76" s="120">
        <f t="shared" si="44"/>
        <v>0</v>
      </c>
      <c r="AT76" s="120">
        <f t="shared" si="44"/>
        <v>0</v>
      </c>
      <c r="AU76" s="120">
        <f t="shared" si="44"/>
        <v>0</v>
      </c>
      <c r="AV76" s="120">
        <f t="shared" si="44"/>
        <v>0</v>
      </c>
      <c r="AW76" s="120">
        <f t="shared" si="44"/>
        <v>0</v>
      </c>
      <c r="AX76" s="120">
        <f t="shared" si="44"/>
        <v>0</v>
      </c>
      <c r="AY76" s="120">
        <f t="shared" si="44"/>
        <v>0</v>
      </c>
      <c r="AZ76" s="120">
        <f t="shared" si="44"/>
        <v>0</v>
      </c>
      <c r="BA76" s="120">
        <f t="shared" si="44"/>
        <v>0</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691</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9" customFormat="1" x14ac:dyDescent="0.25">
      <c r="A80" s="248"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39447</v>
      </c>
      <c r="AQ80" s="1">
        <v>39082</v>
      </c>
      <c r="AR80" s="1">
        <v>25569</v>
      </c>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580</v>
      </c>
      <c r="E81" s="76">
        <f>股权价值增加表!E4</f>
        <v>3101374995.27</v>
      </c>
      <c r="F81" s="76">
        <f>股权价值增加表!F4</f>
        <v>2237152268.6500001</v>
      </c>
      <c r="G81" s="76">
        <f>股权价值增加表!G4</f>
        <v>1589165365.48</v>
      </c>
      <c r="H81" s="76">
        <f>股权价值增加表!H4</f>
        <v>639633152.34000003</v>
      </c>
      <c r="I81" s="76">
        <f>股权价值增加表!I4</f>
        <v>1674860621.6700001</v>
      </c>
      <c r="J81" s="76">
        <f>股权价值增加表!J4</f>
        <v>1309911726.6900001</v>
      </c>
      <c r="K81" s="76">
        <f>股权价值增加表!K4</f>
        <v>858826118.13999999</v>
      </c>
      <c r="L81" s="76">
        <f>股权价值增加表!L4</f>
        <v>447990967.76999998</v>
      </c>
      <c r="M81" s="76">
        <f>股权价值增加表!M4</f>
        <v>940847581.74000001</v>
      </c>
      <c r="N81" s="76">
        <f>股权价值增加表!N4</f>
        <v>528693076.44999999</v>
      </c>
      <c r="O81" s="76">
        <f>股权价值增加表!O4</f>
        <v>319281419.52999997</v>
      </c>
      <c r="P81" s="76">
        <f>股权价值增加表!P4</f>
        <v>153468545.18000001</v>
      </c>
      <c r="Q81" s="76">
        <f>股权价值增加表!Q4</f>
        <v>475541247.29000002</v>
      </c>
      <c r="R81" s="76">
        <f>股权价值增加表!R4</f>
        <v>342647438.50999999</v>
      </c>
      <c r="S81" s="76">
        <f>股权价值增加表!S4</f>
        <v>160980245.72999999</v>
      </c>
      <c r="T81" s="76">
        <f>股权价值增加表!T4</f>
        <v>76490124.170000002</v>
      </c>
      <c r="U81" s="76">
        <f>股权价值增加表!U4</f>
        <v>404860703.92000002</v>
      </c>
      <c r="V81" s="76">
        <f>股权价值增加表!V4</f>
        <v>299333915.07999998</v>
      </c>
      <c r="W81" s="76">
        <f>股权价值增加表!W4</f>
        <v>201629671.28</v>
      </c>
      <c r="X81" s="76">
        <f>股权价值增加表!X4</f>
        <v>88216270.299999997</v>
      </c>
      <c r="Y81" s="76">
        <f>股权价值增加表!Y4</f>
        <v>368978529.88999999</v>
      </c>
      <c r="Z81" s="76">
        <f>股权价值增加表!Z4</f>
        <v>263719499.74000001</v>
      </c>
      <c r="AA81" s="76">
        <f>股权价值增加表!AA4</f>
        <v>167647473.08000001</v>
      </c>
      <c r="AB81" s="76">
        <f>股权价值增加表!AB4</f>
        <v>70386396.640000001</v>
      </c>
      <c r="AC81" s="76">
        <f>股权价值增加表!AC4</f>
        <v>427854958.19</v>
      </c>
      <c r="AD81" s="76">
        <f>股权价值增加表!AD4</f>
        <v>289069924.76999998</v>
      </c>
      <c r="AE81" s="76">
        <f>股权价值增加表!AE4</f>
        <v>176035812.30000001</v>
      </c>
      <c r="AF81" s="76">
        <f>股权价值增加表!AF4</f>
        <v>72551082.439999998</v>
      </c>
      <c r="AG81" s="76">
        <f>股权价值增加表!AG4</f>
        <v>306601155.70999998</v>
      </c>
      <c r="AH81" s="76">
        <f>股权价值增加表!AH4</f>
        <v>228052601.91</v>
      </c>
      <c r="AI81" s="76">
        <f>股权价值增加表!AI4</f>
        <v>138338266.08000001</v>
      </c>
      <c r="AJ81" s="76">
        <f>股权价值增加表!AJ4</f>
        <v>60389382.710000001</v>
      </c>
      <c r="AK81" s="76">
        <f>股权价值增加表!AK4</f>
        <v>236369504.05000001</v>
      </c>
      <c r="AL81" s="76">
        <f>股权价值增加表!AL4</f>
        <v>158647035.88999999</v>
      </c>
      <c r="AM81" s="76">
        <f>股权价值增加表!AM4</f>
        <v>96728958.370000005</v>
      </c>
      <c r="AN81" s="76">
        <f>股权价值增加表!AN4</f>
        <v>45667900.600000001</v>
      </c>
      <c r="AO81" s="76">
        <f>股权价值增加表!AO4</f>
        <v>285772761.35000002</v>
      </c>
      <c r="AP81" s="76">
        <f>股权价值增加表!AP4</f>
        <v>271690739.83999997</v>
      </c>
      <c r="AQ81" s="76">
        <f>股权价值增加表!AQ4</f>
        <v>218629260.31999999</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2987487505.6400013</v>
      </c>
      <c r="F82" s="76">
        <f>投资和筹资活动现金流表!F34</f>
        <v>2912660935.7200003</v>
      </c>
      <c r="G82" s="76">
        <f>投资和筹资活动现金流表!G34</f>
        <v>465029918.21000028</v>
      </c>
      <c r="H82" s="76">
        <f>投资和筹资活动现金流表!H34</f>
        <v>583955282.92999887</v>
      </c>
      <c r="I82" s="76">
        <f>投资和筹资活动现金流表!I34</f>
        <v>230297326.35000038</v>
      </c>
      <c r="J82" s="76">
        <f>投资和筹资活动现金流表!J34</f>
        <v>433706080.54000044</v>
      </c>
      <c r="K82" s="76">
        <f>投资和筹资活动现金流表!K34</f>
        <v>406916376.92000031</v>
      </c>
      <c r="L82" s="76">
        <f>投资和筹资活动现金流表!L34</f>
        <v>1531918470.73</v>
      </c>
      <c r="M82" s="76">
        <f>投资和筹资活动现金流表!M34</f>
        <v>1500913882.2799997</v>
      </c>
      <c r="N82" s="76">
        <f>投资和筹资活动现金流表!N34</f>
        <v>78709226.920000076</v>
      </c>
      <c r="O82" s="76">
        <f>投资和筹资活动现金流表!O34</f>
        <v>56621704.800000012</v>
      </c>
      <c r="P82" s="76">
        <f>投资和筹资活动现金流表!P34</f>
        <v>61874112.009999931</v>
      </c>
      <c r="Q82" s="76">
        <f>投资和筹资活动现金流表!Q34</f>
        <v>61316329.610000014</v>
      </c>
      <c r="R82" s="76">
        <f>投资和筹资活动现金流表!R34</f>
        <v>23568173.069999993</v>
      </c>
      <c r="S82" s="76">
        <f>投资和筹资活动现金流表!S34</f>
        <v>490384748.76999998</v>
      </c>
      <c r="T82" s="76">
        <f>投资和筹资活动现金流表!T34</f>
        <v>496267318.20999998</v>
      </c>
      <c r="U82" s="76">
        <f>投资和筹资活动现金流表!U34</f>
        <v>500174601.82999998</v>
      </c>
      <c r="V82" s="76">
        <f>投资和筹资活动现金流表!V34</f>
        <v>502078278.5</v>
      </c>
      <c r="W82" s="76">
        <f>投资和筹资活动现金流表!W34</f>
        <v>490667811.13999999</v>
      </c>
      <c r="X82" s="76">
        <f>投资和筹资活动现金流表!X34</f>
        <v>458095903.51999998</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46760067.939999998</v>
      </c>
      <c r="AQ82" s="76">
        <f>投资和筹资活动现金流表!BR34</f>
        <v>0</v>
      </c>
      <c r="AR82" s="76">
        <f>投资和筹资活动现金流表!BS34</f>
        <v>0</v>
      </c>
      <c r="AS82" s="76">
        <f>投资和筹资活动现金流表!AS34</f>
        <v>5087759145.3900003</v>
      </c>
      <c r="AT82" s="76">
        <f>投资和筹资活动现金流表!AT34</f>
        <v>5119825755.0799999</v>
      </c>
      <c r="AU82" s="76">
        <f>投资和筹资活动现金流表!AU34</f>
        <v>5166324238.8199997</v>
      </c>
      <c r="AV82" s="76">
        <f>投资和筹资活动现金流表!AV34</f>
        <v>5229742144.5900002</v>
      </c>
      <c r="AW82" s="76">
        <f>投资和筹资活动现金流表!AW34</f>
        <v>5303368604.3599997</v>
      </c>
      <c r="AX82" s="76">
        <f>投资和筹资活动现金流表!AX34</f>
        <v>5412891640.3100004</v>
      </c>
      <c r="AY82" s="76">
        <f>投资和筹资活动现金流表!AY34</f>
        <v>5477269087.8599997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4" customFormat="1" x14ac:dyDescent="0.25">
      <c r="A83" s="250" t="s">
        <v>582</v>
      </c>
      <c r="E83" s="154">
        <f>E81/E82</f>
        <v>1.038121494873198</v>
      </c>
      <c r="F83" s="154">
        <f t="shared" ref="F83:BQ83" si="46">F81/F82</f>
        <v>0.76807850897240926</v>
      </c>
      <c r="G83" s="154">
        <f t="shared" si="46"/>
        <v>3.417340053296007</v>
      </c>
      <c r="H83" s="154">
        <f t="shared" si="46"/>
        <v>1.095346118166167</v>
      </c>
      <c r="I83" s="154">
        <f t="shared" si="46"/>
        <v>7.2726012421203139</v>
      </c>
      <c r="J83" s="154">
        <f t="shared" si="46"/>
        <v>3.0202752173984972</v>
      </c>
      <c r="K83" s="154">
        <f t="shared" si="46"/>
        <v>2.1105715248930497</v>
      </c>
      <c r="L83" s="154">
        <f t="shared" si="46"/>
        <v>0.29243786554549495</v>
      </c>
      <c r="M83" s="154">
        <f t="shared" si="46"/>
        <v>0.62684980987102512</v>
      </c>
      <c r="N83" s="154">
        <f t="shared" si="46"/>
        <v>6.7170406461667156</v>
      </c>
      <c r="O83" s="154">
        <f t="shared" si="46"/>
        <v>5.6388521090590675</v>
      </c>
      <c r="P83" s="154">
        <f t="shared" si="46"/>
        <v>2.4803353162498207</v>
      </c>
      <c r="Q83" s="154">
        <f t="shared" si="46"/>
        <v>7.7555400056503787</v>
      </c>
      <c r="R83" s="154">
        <f t="shared" si="46"/>
        <v>14.538565950457869</v>
      </c>
      <c r="S83" s="154">
        <f t="shared" si="46"/>
        <v>0.32827335298207422</v>
      </c>
      <c r="T83" s="154">
        <f t="shared" si="46"/>
        <v>0.15413089148383638</v>
      </c>
      <c r="U83" s="154">
        <f t="shared" si="46"/>
        <v>0.80943874886635014</v>
      </c>
      <c r="V83" s="154">
        <f t="shared" si="46"/>
        <v>0.59618973354968585</v>
      </c>
      <c r="W83" s="154">
        <f t="shared" si="46"/>
        <v>0.41092907808959561</v>
      </c>
      <c r="X83" s="154">
        <f t="shared" si="46"/>
        <v>0.19257162009559112</v>
      </c>
      <c r="Y83" s="154">
        <f t="shared" si="46"/>
        <v>6.8397977315916E-2</v>
      </c>
      <c r="Z83" s="154">
        <f t="shared" si="46"/>
        <v>4.7937470041323163E-2</v>
      </c>
      <c r="AA83" s="154">
        <f t="shared" si="46"/>
        <v>3.0055836566888094E-2</v>
      </c>
      <c r="AB83" s="154">
        <f t="shared" si="46"/>
        <v>1.2356546459470067E-2</v>
      </c>
      <c r="AC83" s="154">
        <f t="shared" si="46"/>
        <v>7.4028430572662618E-2</v>
      </c>
      <c r="AD83" s="154">
        <f t="shared" si="46"/>
        <v>4.9489861112245244E-2</v>
      </c>
      <c r="AE83" s="154">
        <f t="shared" si="46"/>
        <v>3.2393366435657024E-2</v>
      </c>
      <c r="AF83" s="154">
        <f t="shared" si="46"/>
        <v>1.3144140532887958E-2</v>
      </c>
      <c r="AG83" s="154">
        <f t="shared" si="46"/>
        <v>5.486963555714832E-2</v>
      </c>
      <c r="AH83" s="154">
        <f t="shared" si="46"/>
        <v>4.081436806868706E-2</v>
      </c>
      <c r="AI83" s="154">
        <f t="shared" si="46"/>
        <v>2.6730815089879793E-2</v>
      </c>
      <c r="AJ83" s="154">
        <f t="shared" si="46"/>
        <v>1.329127624932269E-2</v>
      </c>
      <c r="AK83" s="154">
        <f t="shared" si="46"/>
        <v>5.2777074744405884E-2</v>
      </c>
      <c r="AL83" s="154">
        <f t="shared" si="46"/>
        <v>3.5092872838390736E-2</v>
      </c>
      <c r="AM83" s="154">
        <f t="shared" si="46"/>
        <v>2.6714246639788459E-2</v>
      </c>
      <c r="AN83" s="154">
        <f t="shared" si="46"/>
        <v>1.2392940868957291E-2</v>
      </c>
      <c r="AO83" s="154">
        <f t="shared" si="46"/>
        <v>8.1101624648729706E-2</v>
      </c>
      <c r="AP83" s="154">
        <f t="shared" si="46"/>
        <v>5.8103153354828079</v>
      </c>
      <c r="AQ83" s="154" t="e">
        <f t="shared" si="46"/>
        <v>#DIV/0!</v>
      </c>
      <c r="AR83" s="154" t="e">
        <f t="shared" si="46"/>
        <v>#DIV/0!</v>
      </c>
      <c r="AS83" s="154">
        <f t="shared" si="46"/>
        <v>0</v>
      </c>
      <c r="AT83" s="154">
        <f t="shared" si="46"/>
        <v>0</v>
      </c>
      <c r="AU83" s="154">
        <f t="shared" si="46"/>
        <v>0</v>
      </c>
      <c r="AV83" s="154">
        <f t="shared" si="46"/>
        <v>0</v>
      </c>
      <c r="AW83" s="154">
        <f t="shared" si="46"/>
        <v>0</v>
      </c>
      <c r="AX83" s="154">
        <f t="shared" si="46"/>
        <v>0</v>
      </c>
      <c r="AY83" s="154">
        <f t="shared" si="46"/>
        <v>0</v>
      </c>
      <c r="AZ83" s="154" t="e">
        <f t="shared" si="46"/>
        <v>#REF!</v>
      </c>
      <c r="BA83" s="154" t="e">
        <f t="shared" si="46"/>
        <v>#REF!</v>
      </c>
      <c r="BB83" s="154" t="e">
        <f t="shared" si="46"/>
        <v>#REF!</v>
      </c>
      <c r="BC83" s="154" t="e">
        <f t="shared" si="46"/>
        <v>#REF!</v>
      </c>
      <c r="BD83" s="154" t="e">
        <f t="shared" si="46"/>
        <v>#REF!</v>
      </c>
      <c r="BE83" s="154" t="e">
        <f t="shared" si="46"/>
        <v>#REF!</v>
      </c>
      <c r="BF83" s="154" t="e">
        <f t="shared" si="46"/>
        <v>#REF!</v>
      </c>
      <c r="BG83" s="154" t="e">
        <f t="shared" si="46"/>
        <v>#REF!</v>
      </c>
      <c r="BH83" s="154" t="e">
        <f t="shared" si="46"/>
        <v>#REF!</v>
      </c>
      <c r="BI83" s="154" t="e">
        <f t="shared" si="46"/>
        <v>#REF!</v>
      </c>
      <c r="BJ83" s="154" t="e">
        <f t="shared" si="46"/>
        <v>#REF!</v>
      </c>
      <c r="BK83" s="154" t="e">
        <f t="shared" si="46"/>
        <v>#REF!</v>
      </c>
      <c r="BL83" s="154" t="e">
        <f t="shared" si="46"/>
        <v>#REF!</v>
      </c>
      <c r="BM83" s="154" t="e">
        <f t="shared" si="46"/>
        <v>#REF!</v>
      </c>
      <c r="BN83" s="154" t="e">
        <f t="shared" si="46"/>
        <v>#REF!</v>
      </c>
      <c r="BO83" s="154" t="e">
        <f t="shared" si="46"/>
        <v>#REF!</v>
      </c>
      <c r="BP83" s="154" t="e">
        <f t="shared" si="46"/>
        <v>#REF!</v>
      </c>
      <c r="BQ83" s="154" t="e">
        <f t="shared" si="46"/>
        <v>#REF!</v>
      </c>
      <c r="BR83" s="154" t="e">
        <f t="shared" ref="BR83:CK83" si="47">BR81/BR82</f>
        <v>#REF!</v>
      </c>
      <c r="BS83" s="154" t="e">
        <f t="shared" si="47"/>
        <v>#REF!</v>
      </c>
      <c r="BT83" s="154" t="e">
        <f t="shared" si="47"/>
        <v>#DIV/0!</v>
      </c>
      <c r="BU83" s="154" t="e">
        <f t="shared" si="47"/>
        <v>#DIV/0!</v>
      </c>
      <c r="BV83" s="154" t="e">
        <f t="shared" si="47"/>
        <v>#DIV/0!</v>
      </c>
      <c r="BW83" s="154" t="e">
        <f t="shared" si="47"/>
        <v>#DIV/0!</v>
      </c>
      <c r="BX83" s="154" t="e">
        <f t="shared" si="47"/>
        <v>#DIV/0!</v>
      </c>
      <c r="BY83" s="154" t="e">
        <f t="shared" si="47"/>
        <v>#DIV/0!</v>
      </c>
      <c r="BZ83" s="154" t="e">
        <f t="shared" si="47"/>
        <v>#DIV/0!</v>
      </c>
      <c r="CA83" s="154" t="e">
        <f t="shared" si="47"/>
        <v>#DIV/0!</v>
      </c>
      <c r="CB83" s="154" t="e">
        <f t="shared" si="47"/>
        <v>#DIV/0!</v>
      </c>
      <c r="CC83" s="154" t="e">
        <f t="shared" si="47"/>
        <v>#DIV/0!</v>
      </c>
      <c r="CD83" s="154" t="e">
        <f t="shared" si="47"/>
        <v>#DIV/0!</v>
      </c>
      <c r="CE83" s="154" t="e">
        <f t="shared" si="47"/>
        <v>#DIV/0!</v>
      </c>
      <c r="CF83" s="154" t="e">
        <f t="shared" si="47"/>
        <v>#DIV/0!</v>
      </c>
      <c r="CG83" s="154" t="e">
        <f t="shared" si="47"/>
        <v>#DIV/0!</v>
      </c>
      <c r="CH83" s="154" t="e">
        <f t="shared" si="47"/>
        <v>#DIV/0!</v>
      </c>
      <c r="CI83" s="154" t="e">
        <f t="shared" si="47"/>
        <v>#DIV/0!</v>
      </c>
      <c r="CJ83" s="154" t="e">
        <f t="shared" si="47"/>
        <v>#DIV/0!</v>
      </c>
      <c r="CK83" s="154" t="e">
        <f t="shared" si="47"/>
        <v>#DIV/0!</v>
      </c>
    </row>
    <row r="84" spans="1:89" s="76" customFormat="1" x14ac:dyDescent="0.25">
      <c r="A84" s="70" t="s">
        <v>583</v>
      </c>
      <c r="E84" s="76">
        <f>资产资本表!E52</f>
        <v>28374938.579999998</v>
      </c>
      <c r="F84" s="76">
        <f>资产资本表!F52</f>
        <v>29072820.510000002</v>
      </c>
      <c r="G84" s="76">
        <f>资产资本表!G52</f>
        <v>29886236.800000001</v>
      </c>
      <c r="H84" s="76">
        <f>资产资本表!H52</f>
        <v>29465636.41</v>
      </c>
      <c r="I84" s="76">
        <f>资产资本表!I52</f>
        <v>11796929.48</v>
      </c>
      <c r="J84" s="76">
        <f>资产资本表!J52</f>
        <v>10329988.65</v>
      </c>
      <c r="K84" s="76">
        <f>资产资本表!K52</f>
        <v>10922030.710000001</v>
      </c>
      <c r="L84" s="76">
        <f>资产资本表!L52</f>
        <v>12228211.23</v>
      </c>
      <c r="M84" s="76">
        <f>资产资本表!M52</f>
        <v>11491406.789999999</v>
      </c>
      <c r="N84" s="76">
        <f>资产资本表!N52</f>
        <v>7776239.1500000004</v>
      </c>
      <c r="O84" s="76">
        <f>资产资本表!O52</f>
        <v>8614631.9499999993</v>
      </c>
      <c r="P84" s="76">
        <f>资产资本表!P52</f>
        <v>9298682.1099999994</v>
      </c>
      <c r="Q84" s="76">
        <f>资产资本表!Q52</f>
        <v>8849658.2200000007</v>
      </c>
      <c r="R84" s="76">
        <f>资产资本表!R52</f>
        <v>7124789.9900000002</v>
      </c>
      <c r="S84" s="76">
        <f>资产资本表!S52</f>
        <v>385469338.10000002</v>
      </c>
      <c r="T84" s="76">
        <f>资产资本表!T52</f>
        <v>390994990.72000003</v>
      </c>
      <c r="U84" s="76">
        <f>资产资本表!U52</f>
        <v>353479757.06999999</v>
      </c>
      <c r="V84" s="76">
        <f>资产资本表!V52</f>
        <v>357793699.98000002</v>
      </c>
      <c r="W84" s="76">
        <f>资产资本表!W52</f>
        <v>349813854.31</v>
      </c>
      <c r="X84" s="76">
        <f>资产资本表!X52</f>
        <v>351916121.23000002</v>
      </c>
      <c r="Y84" s="76">
        <f>资产资本表!Y52</f>
        <v>352309347.75</v>
      </c>
      <c r="Z84" s="76">
        <f>资产资本表!Z52</f>
        <v>125440988.31</v>
      </c>
      <c r="AA84" s="76">
        <f>资产资本表!AA52</f>
        <v>126872128.78</v>
      </c>
      <c r="AB84" s="76">
        <f>资产资本表!AB52</f>
        <v>128541615.31</v>
      </c>
      <c r="AC84" s="76">
        <f>资产资本表!AC52</f>
        <v>130756583.89</v>
      </c>
      <c r="AD84" s="76">
        <f>资产资本表!AD52</f>
        <v>118194609.59999999</v>
      </c>
      <c r="AE84" s="76">
        <f>资产资本表!AE52</f>
        <v>119698489.31999999</v>
      </c>
      <c r="AF84" s="76">
        <f>资产资本表!AF52</f>
        <v>120281295.23999999</v>
      </c>
      <c r="AG84" s="76">
        <f>资产资本表!AG52</f>
        <v>121860199.48999999</v>
      </c>
      <c r="AH84" s="76">
        <f>资产资本表!AH52</f>
        <v>103146330.98999999</v>
      </c>
      <c r="AI84" s="76">
        <f>资产资本表!AI52</f>
        <v>99358962.870000005</v>
      </c>
      <c r="AJ84" s="76">
        <f>资产资本表!AJ52</f>
        <v>92460380.129999995</v>
      </c>
      <c r="AK84" s="76">
        <f>资产资本表!AK52</f>
        <v>93876208.920000002</v>
      </c>
      <c r="AL84" s="76">
        <f>资产资本表!AL52</f>
        <v>94515313.980000004</v>
      </c>
      <c r="AM84" s="76">
        <f>资产资本表!AM52</f>
        <v>96127069.739999995</v>
      </c>
      <c r="AN84" s="76">
        <f>资产资本表!AN52</f>
        <v>61555800</v>
      </c>
      <c r="AO84" s="76">
        <f>资产资本表!AO52</f>
        <v>60059436.32</v>
      </c>
      <c r="AP84" s="76">
        <f>资产资本表!AP52</f>
        <v>37217334.049999997</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4" customFormat="1" x14ac:dyDescent="0.25">
      <c r="A85" s="250" t="s">
        <v>584</v>
      </c>
      <c r="E85" s="154">
        <f>E81/E84</f>
        <v>109.29979589298551</v>
      </c>
      <c r="F85" s="154">
        <f t="shared" ref="F85:BQ85" si="48">F81/F84</f>
        <v>76.949956330535613</v>
      </c>
      <c r="G85" s="154">
        <f t="shared" si="48"/>
        <v>53.173819645302416</v>
      </c>
      <c r="H85" s="154">
        <f t="shared" si="48"/>
        <v>21.70776641100894</v>
      </c>
      <c r="I85" s="154">
        <f t="shared" si="48"/>
        <v>141.97428445338133</v>
      </c>
      <c r="J85" s="154">
        <f t="shared" si="48"/>
        <v>126.80669563852813</v>
      </c>
      <c r="K85" s="154">
        <f t="shared" si="48"/>
        <v>78.632457730930511</v>
      </c>
      <c r="L85" s="154">
        <f t="shared" si="48"/>
        <v>36.635854528823018</v>
      </c>
      <c r="M85" s="154">
        <f t="shared" si="48"/>
        <v>81.874012375816349</v>
      </c>
      <c r="N85" s="154">
        <f t="shared" si="48"/>
        <v>67.98827379813801</v>
      </c>
      <c r="O85" s="154">
        <f t="shared" si="48"/>
        <v>37.062688386820753</v>
      </c>
      <c r="P85" s="154">
        <f t="shared" si="48"/>
        <v>16.504332911322635</v>
      </c>
      <c r="Q85" s="154">
        <f t="shared" si="48"/>
        <v>53.735549494475279</v>
      </c>
      <c r="R85" s="154">
        <f t="shared" si="48"/>
        <v>48.092286087158058</v>
      </c>
      <c r="S85" s="154">
        <f t="shared" si="48"/>
        <v>0.41762140284226146</v>
      </c>
      <c r="T85" s="154">
        <f t="shared" si="48"/>
        <v>0.19562942233389438</v>
      </c>
      <c r="U85" s="154">
        <f t="shared" si="48"/>
        <v>1.1453575369517552</v>
      </c>
      <c r="V85" s="154">
        <f t="shared" si="48"/>
        <v>0.83661035702063002</v>
      </c>
      <c r="W85" s="154">
        <f t="shared" si="48"/>
        <v>0.57639132583159125</v>
      </c>
      <c r="X85" s="154">
        <f t="shared" si="48"/>
        <v>0.25067413789306042</v>
      </c>
      <c r="Y85" s="154">
        <f t="shared" si="48"/>
        <v>1.0473140501279816</v>
      </c>
      <c r="Z85" s="154">
        <f t="shared" si="48"/>
        <v>2.1023391420376476</v>
      </c>
      <c r="AA85" s="154">
        <f t="shared" si="48"/>
        <v>1.3213892971773624</v>
      </c>
      <c r="AB85" s="154">
        <f t="shared" si="48"/>
        <v>0.54757672424024872</v>
      </c>
      <c r="AC85" s="154">
        <f t="shared" si="48"/>
        <v>3.2721484873751088</v>
      </c>
      <c r="AD85" s="154">
        <f t="shared" si="48"/>
        <v>2.4457115747349616</v>
      </c>
      <c r="AE85" s="154">
        <f t="shared" si="48"/>
        <v>1.4706602673103812</v>
      </c>
      <c r="AF85" s="154">
        <f t="shared" si="48"/>
        <v>0.6031784268305157</v>
      </c>
      <c r="AG85" s="154">
        <f t="shared" si="48"/>
        <v>2.5160073345781782</v>
      </c>
      <c r="AH85" s="154">
        <f t="shared" si="48"/>
        <v>2.2109618415036945</v>
      </c>
      <c r="AI85" s="154">
        <f t="shared" si="48"/>
        <v>1.3923078712184227</v>
      </c>
      <c r="AJ85" s="154">
        <f t="shared" si="48"/>
        <v>0.65313794541069448</v>
      </c>
      <c r="AK85" s="154">
        <f t="shared" si="48"/>
        <v>2.5178850612877945</v>
      </c>
      <c r="AL85" s="154">
        <f t="shared" si="48"/>
        <v>1.6785326018550881</v>
      </c>
      <c r="AM85" s="154">
        <f t="shared" si="48"/>
        <v>1.0062613853894431</v>
      </c>
      <c r="AN85" s="154">
        <f t="shared" si="48"/>
        <v>0.74189435601519271</v>
      </c>
      <c r="AO85" s="154">
        <f t="shared" si="48"/>
        <v>4.7581658913245031</v>
      </c>
      <c r="AP85" s="154">
        <f t="shared" si="48"/>
        <v>7.3001128848991268</v>
      </c>
      <c r="AQ85" s="154" t="e">
        <f t="shared" si="48"/>
        <v>#DIV/0!</v>
      </c>
      <c r="AR85" s="154" t="e">
        <f t="shared" si="48"/>
        <v>#DIV/0!</v>
      </c>
      <c r="AS85" s="154" t="e">
        <f t="shared" si="48"/>
        <v>#DIV/0!</v>
      </c>
      <c r="AT85" s="154" t="e">
        <f t="shared" si="48"/>
        <v>#DIV/0!</v>
      </c>
      <c r="AU85" s="154" t="e">
        <f t="shared" si="48"/>
        <v>#DIV/0!</v>
      </c>
      <c r="AV85" s="154" t="e">
        <f t="shared" si="48"/>
        <v>#DIV/0!</v>
      </c>
      <c r="AW85" s="154" t="e">
        <f t="shared" si="48"/>
        <v>#DIV/0!</v>
      </c>
      <c r="AX85" s="154" t="e">
        <f t="shared" si="48"/>
        <v>#DIV/0!</v>
      </c>
      <c r="AY85" s="154" t="e">
        <f t="shared" si="48"/>
        <v>#DIV/0!</v>
      </c>
      <c r="AZ85" s="154" t="e">
        <f t="shared" si="48"/>
        <v>#DIV/0!</v>
      </c>
      <c r="BA85" s="154" t="e">
        <f t="shared" si="48"/>
        <v>#DIV/0!</v>
      </c>
      <c r="BB85" s="154" t="e">
        <f t="shared" si="48"/>
        <v>#DIV/0!</v>
      </c>
      <c r="BC85" s="154" t="e">
        <f t="shared" si="48"/>
        <v>#DIV/0!</v>
      </c>
      <c r="BD85" s="154" t="e">
        <f t="shared" si="48"/>
        <v>#DIV/0!</v>
      </c>
      <c r="BE85" s="154" t="e">
        <f t="shared" si="48"/>
        <v>#DIV/0!</v>
      </c>
      <c r="BF85" s="154" t="e">
        <f t="shared" si="48"/>
        <v>#DIV/0!</v>
      </c>
      <c r="BG85" s="154" t="e">
        <f t="shared" si="48"/>
        <v>#DIV/0!</v>
      </c>
      <c r="BH85" s="154" t="e">
        <f t="shared" si="48"/>
        <v>#DIV/0!</v>
      </c>
      <c r="BI85" s="154" t="e">
        <f t="shared" si="48"/>
        <v>#DIV/0!</v>
      </c>
      <c r="BJ85" s="154" t="e">
        <f t="shared" si="48"/>
        <v>#DIV/0!</v>
      </c>
      <c r="BK85" s="154" t="e">
        <f t="shared" si="48"/>
        <v>#DIV/0!</v>
      </c>
      <c r="BL85" s="154" t="e">
        <f t="shared" si="48"/>
        <v>#DIV/0!</v>
      </c>
      <c r="BM85" s="154" t="e">
        <f t="shared" si="48"/>
        <v>#DIV/0!</v>
      </c>
      <c r="BN85" s="154" t="e">
        <f t="shared" si="48"/>
        <v>#DIV/0!</v>
      </c>
      <c r="BO85" s="154" t="e">
        <f t="shared" si="48"/>
        <v>#DIV/0!</v>
      </c>
      <c r="BP85" s="154" t="e">
        <f t="shared" si="48"/>
        <v>#DIV/0!</v>
      </c>
      <c r="BQ85" s="154" t="e">
        <f t="shared" si="48"/>
        <v>#DIV/0!</v>
      </c>
      <c r="BR85" s="154" t="e">
        <f t="shared" ref="BR85:CK85" si="49">BR81/BR84</f>
        <v>#DIV/0!</v>
      </c>
      <c r="BS85" s="154" t="e">
        <f t="shared" si="49"/>
        <v>#DIV/0!</v>
      </c>
      <c r="BT85" s="154" t="e">
        <f t="shared" si="49"/>
        <v>#DIV/0!</v>
      </c>
      <c r="BU85" s="154" t="e">
        <f t="shared" si="49"/>
        <v>#DIV/0!</v>
      </c>
      <c r="BV85" s="154" t="e">
        <f t="shared" si="49"/>
        <v>#DIV/0!</v>
      </c>
      <c r="BW85" s="154" t="e">
        <f t="shared" si="49"/>
        <v>#DIV/0!</v>
      </c>
      <c r="BX85" s="154" t="e">
        <f t="shared" si="49"/>
        <v>#DIV/0!</v>
      </c>
      <c r="BY85" s="154" t="e">
        <f t="shared" si="49"/>
        <v>#DIV/0!</v>
      </c>
      <c r="BZ85" s="154" t="e">
        <f t="shared" si="49"/>
        <v>#DIV/0!</v>
      </c>
      <c r="CA85" s="154" t="e">
        <f t="shared" si="49"/>
        <v>#DIV/0!</v>
      </c>
      <c r="CB85" s="154" t="e">
        <f t="shared" si="49"/>
        <v>#DIV/0!</v>
      </c>
      <c r="CC85" s="154" t="e">
        <f t="shared" si="49"/>
        <v>#DIV/0!</v>
      </c>
      <c r="CD85" s="154" t="e">
        <f t="shared" si="49"/>
        <v>#DIV/0!</v>
      </c>
      <c r="CE85" s="154" t="e">
        <f t="shared" si="49"/>
        <v>#DIV/0!</v>
      </c>
      <c r="CF85" s="154" t="e">
        <f t="shared" si="49"/>
        <v>#DIV/0!</v>
      </c>
      <c r="CG85" s="154" t="e">
        <f t="shared" si="49"/>
        <v>#DIV/0!</v>
      </c>
      <c r="CH85" s="154" t="e">
        <f t="shared" si="49"/>
        <v>#DIV/0!</v>
      </c>
      <c r="CI85" s="154" t="e">
        <f t="shared" si="49"/>
        <v>#DIV/0!</v>
      </c>
      <c r="CJ85" s="154" t="e">
        <f t="shared" si="49"/>
        <v>#DIV/0!</v>
      </c>
      <c r="CK85" s="154" t="e">
        <f t="shared" si="49"/>
        <v>#DIV/0!</v>
      </c>
    </row>
    <row r="86" spans="1:89" s="76" customFormat="1" x14ac:dyDescent="0.25">
      <c r="A86" s="70" t="s">
        <v>585</v>
      </c>
      <c r="E86" s="76">
        <f>资产资本表!E53</f>
        <v>0</v>
      </c>
      <c r="F86" s="76">
        <f>资产资本表!F53</f>
        <v>0</v>
      </c>
      <c r="G86" s="76">
        <f>资产资本表!G53</f>
        <v>0</v>
      </c>
      <c r="H86" s="76">
        <f>资产资本表!H53</f>
        <v>0</v>
      </c>
      <c r="I86" s="76">
        <f>资产资本表!I53</f>
        <v>0</v>
      </c>
      <c r="J86" s="76">
        <f>资产资本表!J53</f>
        <v>0</v>
      </c>
      <c r="K86" s="76">
        <f>资产资本表!K53</f>
        <v>0</v>
      </c>
      <c r="L86" s="76">
        <f>资产资本表!L53</f>
        <v>0</v>
      </c>
      <c r="M86" s="76">
        <f>资产资本表!M53</f>
        <v>0</v>
      </c>
      <c r="N86" s="76">
        <f>资产资本表!N53</f>
        <v>0</v>
      </c>
      <c r="O86" s="76">
        <f>资产资本表!O53</f>
        <v>0</v>
      </c>
      <c r="P86" s="76">
        <f>资产资本表!P53</f>
        <v>0</v>
      </c>
      <c r="Q86" s="76">
        <f>资产资本表!Q53</f>
        <v>0</v>
      </c>
      <c r="R86" s="76">
        <f>资产资本表!R53</f>
        <v>0</v>
      </c>
      <c r="S86" s="76">
        <f>资产资本表!S53</f>
        <v>7661367.7000000002</v>
      </c>
      <c r="T86" s="76">
        <f>资产资本表!T53</f>
        <v>7295580.9800000004</v>
      </c>
      <c r="U86" s="76">
        <f>资产资本表!U53</f>
        <v>48303582.700000003</v>
      </c>
      <c r="V86" s="76">
        <f>资产资本表!V53</f>
        <v>45710716.439999998</v>
      </c>
      <c r="W86" s="76">
        <f>资产资本表!W53</f>
        <v>42316349.049999997</v>
      </c>
      <c r="X86" s="76">
        <f>资产资本表!X53</f>
        <v>7171971.3200000003</v>
      </c>
      <c r="Y86" s="76">
        <f>资产资本表!Y53</f>
        <v>5349759.4400000004</v>
      </c>
      <c r="Z86" s="76">
        <f>资产资本表!Z53</f>
        <v>204524871.66999999</v>
      </c>
      <c r="AA86" s="76">
        <f>资产资本表!AA53</f>
        <v>198819040.16999999</v>
      </c>
      <c r="AB86" s="76">
        <f>资产资本表!AB53</f>
        <v>91474273.670000002</v>
      </c>
      <c r="AC86" s="76">
        <f>资产资本表!AC53</f>
        <v>73450688.650000006</v>
      </c>
      <c r="AD86" s="76">
        <f>资产资本表!AD53</f>
        <v>39636863.840000004</v>
      </c>
      <c r="AE86" s="76">
        <f>资产资本表!AE53</f>
        <v>39530665.630000003</v>
      </c>
      <c r="AF86" s="76">
        <f>资产资本表!AF53</f>
        <v>39483389.149999999</v>
      </c>
      <c r="AG86" s="76">
        <f>资产资本表!AG53</f>
        <v>37288573.07</v>
      </c>
      <c r="AH86" s="76">
        <f>资产资本表!AH53</f>
        <v>34898049.780000001</v>
      </c>
      <c r="AI86" s="76">
        <f>资产资本表!AI53</f>
        <v>22716134.760000002</v>
      </c>
      <c r="AJ86" s="76">
        <f>资产资本表!AJ53</f>
        <v>6262601.2199999997</v>
      </c>
      <c r="AK86" s="76">
        <f>资产资本表!AK53</f>
        <v>6066220.21</v>
      </c>
      <c r="AL86" s="76">
        <f>资产资本表!AL53</f>
        <v>3660829.5</v>
      </c>
      <c r="AM86" s="76">
        <f>资产资本表!AM53</f>
        <v>2725550.99</v>
      </c>
      <c r="AN86" s="76">
        <f>资产资本表!AN53</f>
        <v>25160198.309999999</v>
      </c>
      <c r="AO86" s="76">
        <f>资产资本表!AO53</f>
        <v>13568942.949999999</v>
      </c>
      <c r="AP86" s="76">
        <f>资产资本表!AP53</f>
        <v>3056399.22</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3" t="s">
        <v>586</v>
      </c>
      <c r="E87" s="54" t="e">
        <f>E81/E86</f>
        <v>#DIV/0!</v>
      </c>
      <c r="F87" s="54" t="e">
        <f t="shared" ref="F87:BQ87" si="50">F81/F86</f>
        <v>#DIV/0!</v>
      </c>
      <c r="G87" s="54" t="e">
        <f t="shared" si="50"/>
        <v>#DIV/0!</v>
      </c>
      <c r="H87" s="54" t="e">
        <f t="shared" si="50"/>
        <v>#DIV/0!</v>
      </c>
      <c r="I87" s="54" t="e">
        <f t="shared" si="50"/>
        <v>#DIV/0!</v>
      </c>
      <c r="J87" s="54" t="e">
        <f t="shared" si="50"/>
        <v>#DIV/0!</v>
      </c>
      <c r="K87" s="54" t="e">
        <f t="shared" si="50"/>
        <v>#DIV/0!</v>
      </c>
      <c r="L87" s="54" t="e">
        <f t="shared" si="50"/>
        <v>#DIV/0!</v>
      </c>
      <c r="M87" s="54" t="e">
        <f t="shared" si="50"/>
        <v>#DIV/0!</v>
      </c>
      <c r="N87" s="54" t="e">
        <f t="shared" si="50"/>
        <v>#DIV/0!</v>
      </c>
      <c r="O87" s="54" t="e">
        <f t="shared" si="50"/>
        <v>#DIV/0!</v>
      </c>
      <c r="P87" s="54" t="e">
        <f t="shared" si="50"/>
        <v>#DIV/0!</v>
      </c>
      <c r="Q87" s="54" t="e">
        <f t="shared" si="50"/>
        <v>#DIV/0!</v>
      </c>
      <c r="R87" s="54" t="e">
        <f t="shared" si="50"/>
        <v>#DIV/0!</v>
      </c>
      <c r="S87" s="54">
        <f t="shared" si="50"/>
        <v>21.011946173788264</v>
      </c>
      <c r="T87" s="54">
        <f t="shared" si="50"/>
        <v>10.484445910433852</v>
      </c>
      <c r="U87" s="54">
        <f t="shared" si="50"/>
        <v>8.3815874783962965</v>
      </c>
      <c r="V87" s="54">
        <f t="shared" si="50"/>
        <v>6.5484406807079134</v>
      </c>
      <c r="W87" s="54">
        <f t="shared" si="50"/>
        <v>4.7648172823642971</v>
      </c>
      <c r="X87" s="54">
        <f t="shared" si="50"/>
        <v>12.300142647530832</v>
      </c>
      <c r="Y87" s="54">
        <f t="shared" si="50"/>
        <v>68.97105075999454</v>
      </c>
      <c r="Z87" s="54">
        <f t="shared" si="50"/>
        <v>1.2894250835444125</v>
      </c>
      <c r="AA87" s="54">
        <f t="shared" si="50"/>
        <v>0.84321638881594663</v>
      </c>
      <c r="AB87" s="54">
        <f t="shared" si="50"/>
        <v>0.76946658132453694</v>
      </c>
      <c r="AC87" s="54">
        <f t="shared" si="50"/>
        <v>5.8250639449927055</v>
      </c>
      <c r="AD87" s="54">
        <f t="shared" si="50"/>
        <v>7.2929565249378205</v>
      </c>
      <c r="AE87" s="54">
        <f t="shared" si="50"/>
        <v>4.4531456653845369</v>
      </c>
      <c r="AF87" s="54">
        <f t="shared" si="50"/>
        <v>1.8375089880043898</v>
      </c>
      <c r="AG87" s="54">
        <f t="shared" si="50"/>
        <v>8.222389071698526</v>
      </c>
      <c r="AH87" s="54">
        <f t="shared" si="50"/>
        <v>6.5348236748947635</v>
      </c>
      <c r="AI87" s="54">
        <f t="shared" si="50"/>
        <v>6.0898681726256854</v>
      </c>
      <c r="AJ87" s="54">
        <f t="shared" si="50"/>
        <v>9.6428593468705657</v>
      </c>
      <c r="AK87" s="54">
        <f t="shared" si="50"/>
        <v>38.964873655649903</v>
      </c>
      <c r="AL87" s="54">
        <f t="shared" si="50"/>
        <v>43.336362944518442</v>
      </c>
      <c r="AM87" s="54">
        <f t="shared" si="50"/>
        <v>35.489689506781161</v>
      </c>
      <c r="AN87" s="54">
        <f t="shared" si="50"/>
        <v>1.8150850814975157</v>
      </c>
      <c r="AO87" s="54">
        <f t="shared" si="50"/>
        <v>21.060797617252863</v>
      </c>
      <c r="AP87" s="54">
        <f t="shared" si="50"/>
        <v>88.892425460048358</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141687875.24000001</v>
      </c>
      <c r="F92" s="76">
        <f>资产资本表!F58</f>
        <v>60121685.960000001</v>
      </c>
      <c r="G92" s="76">
        <f>资产资本表!G58</f>
        <v>65332264.780000001</v>
      </c>
      <c r="H92" s="76">
        <f>资产资本表!H58</f>
        <v>40404138.159999996</v>
      </c>
      <c r="I92" s="76">
        <f>资产资本表!I58</f>
        <v>41253832.450000003</v>
      </c>
      <c r="J92" s="76">
        <f>资产资本表!J58</f>
        <v>9818727.7300000004</v>
      </c>
      <c r="K92" s="76">
        <f>资产资本表!K58</f>
        <v>11536841.65</v>
      </c>
      <c r="L92" s="76">
        <f>资产资本表!L58</f>
        <v>13377627.23</v>
      </c>
      <c r="M92" s="76">
        <f>资产资本表!M58</f>
        <v>15227362.76</v>
      </c>
      <c r="N92" s="76">
        <f>资产资本表!N58</f>
        <v>4015959.21</v>
      </c>
      <c r="O92" s="76">
        <f>资产资本表!O58</f>
        <v>4148317.59</v>
      </c>
      <c r="P92" s="76">
        <f>资产资本表!P58</f>
        <v>4171805.23</v>
      </c>
      <c r="Q92" s="76">
        <f>资产资本表!Q58</f>
        <v>4260135.5199999996</v>
      </c>
      <c r="R92" s="76">
        <f>资产资本表!R58</f>
        <v>4328892.49</v>
      </c>
      <c r="S92" s="76">
        <f>资产资本表!S58</f>
        <v>96727473.310000002</v>
      </c>
      <c r="T92" s="76">
        <f>资产资本表!T58</f>
        <v>97257086.290000007</v>
      </c>
      <c r="U92" s="76">
        <f>资产资本表!U58</f>
        <v>97671601.840000004</v>
      </c>
      <c r="V92" s="76">
        <f>资产资本表!V58</f>
        <v>98217303.280000001</v>
      </c>
      <c r="W92" s="76">
        <f>资产资本表!W58</f>
        <v>98181048.980000004</v>
      </c>
      <c r="X92" s="76">
        <f>资产资本表!X58</f>
        <v>98717398.579999998</v>
      </c>
      <c r="Y92" s="76">
        <f>资产资本表!Y58</f>
        <v>99259150.760000005</v>
      </c>
      <c r="Z92" s="76">
        <f>资产资本表!Z58</f>
        <v>79000902.939999998</v>
      </c>
      <c r="AA92" s="76">
        <f>资产资本表!AA58</f>
        <v>78759211.079999998</v>
      </c>
      <c r="AB92" s="76">
        <f>资产资本表!AB58</f>
        <v>59960382.909999996</v>
      </c>
      <c r="AC92" s="76">
        <f>资产资本表!AC58</f>
        <v>60298748.740000002</v>
      </c>
      <c r="AD92" s="76">
        <f>资产资本表!AD58</f>
        <v>36170819.43</v>
      </c>
      <c r="AE92" s="76">
        <f>资产资本表!AE58</f>
        <v>35545391.280000001</v>
      </c>
      <c r="AF92" s="76">
        <f>资产资本表!AF58</f>
        <v>13942173.25</v>
      </c>
      <c r="AG92" s="76">
        <f>资产资本表!AG58</f>
        <v>14038955.92</v>
      </c>
      <c r="AH92" s="76">
        <f>资产资本表!AH58</f>
        <v>14136033.710000001</v>
      </c>
      <c r="AI92" s="76">
        <f>资产资本表!AI58</f>
        <v>14232816.380000001</v>
      </c>
      <c r="AJ92" s="76">
        <f>资产资本表!AJ58</f>
        <v>33606999.740000002</v>
      </c>
      <c r="AK92" s="76">
        <f>资产资本表!AK58</f>
        <v>33802373.600000001</v>
      </c>
      <c r="AL92" s="76">
        <f>资产资本表!AL58</f>
        <v>34042321.899999999</v>
      </c>
      <c r="AM92" s="76">
        <f>资产资本表!AM58</f>
        <v>34197018.490000002</v>
      </c>
      <c r="AN92" s="76">
        <f>资产资本表!AN58</f>
        <v>34178065.960000001</v>
      </c>
      <c r="AO92" s="76">
        <f>资产资本表!AO58</f>
        <v>7849084.1299999999</v>
      </c>
      <c r="AP92" s="76">
        <f>资产资本表!AP58</f>
        <v>5804629.3200000003</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4" customFormat="1" x14ac:dyDescent="0.25">
      <c r="A93" s="250" t="s">
        <v>690</v>
      </c>
      <c r="E93" s="154">
        <f>E81/E92</f>
        <v>21.888781873654978</v>
      </c>
      <c r="F93" s="154">
        <f t="shared" ref="F93:BQ93" si="52">F81/F92</f>
        <v>37.210404747105997</v>
      </c>
      <c r="G93" s="154">
        <f t="shared" si="52"/>
        <v>24.324357510509678</v>
      </c>
      <c r="H93" s="154">
        <f t="shared" si="52"/>
        <v>15.830882218228711</v>
      </c>
      <c r="I93" s="154">
        <f t="shared" si="52"/>
        <v>40.598909778865888</v>
      </c>
      <c r="J93" s="154">
        <f t="shared" si="52"/>
        <v>133.40951727256012</v>
      </c>
      <c r="K93" s="154">
        <f t="shared" si="52"/>
        <v>74.442047849378255</v>
      </c>
      <c r="L93" s="154">
        <f t="shared" si="52"/>
        <v>33.488073786759266</v>
      </c>
      <c r="M93" s="154">
        <f t="shared" si="52"/>
        <v>61.786640048496487</v>
      </c>
      <c r="N93" s="154">
        <f t="shared" si="52"/>
        <v>131.64801951511853</v>
      </c>
      <c r="O93" s="154">
        <f t="shared" si="52"/>
        <v>76.966484027082402</v>
      </c>
      <c r="P93" s="154">
        <f t="shared" si="52"/>
        <v>36.787082981819843</v>
      </c>
      <c r="Q93" s="154">
        <f t="shared" si="52"/>
        <v>111.62584970771073</v>
      </c>
      <c r="R93" s="154">
        <f t="shared" si="52"/>
        <v>79.15360321410985</v>
      </c>
      <c r="S93" s="154">
        <f t="shared" si="52"/>
        <v>1.6642660065571808</v>
      </c>
      <c r="T93" s="154">
        <f t="shared" si="52"/>
        <v>0.78647353203572923</v>
      </c>
      <c r="U93" s="154">
        <f t="shared" si="52"/>
        <v>4.1451219831862645</v>
      </c>
      <c r="V93" s="154">
        <f t="shared" si="52"/>
        <v>3.0476698614566153</v>
      </c>
      <c r="W93" s="154">
        <f t="shared" si="52"/>
        <v>2.0536516300724492</v>
      </c>
      <c r="X93" s="154">
        <f t="shared" si="52"/>
        <v>0.89362434149346082</v>
      </c>
      <c r="Y93" s="154">
        <f t="shared" si="52"/>
        <v>3.7173250734550205</v>
      </c>
      <c r="Z93" s="154">
        <f t="shared" si="52"/>
        <v>3.3381833615280452</v>
      </c>
      <c r="AA93" s="154">
        <f t="shared" si="52"/>
        <v>2.1286078260701644</v>
      </c>
      <c r="AB93" s="154">
        <f t="shared" si="52"/>
        <v>1.1738817069538958</v>
      </c>
      <c r="AC93" s="154">
        <f t="shared" si="52"/>
        <v>7.095586013481844</v>
      </c>
      <c r="AD93" s="154">
        <f t="shared" si="52"/>
        <v>7.9917991719658419</v>
      </c>
      <c r="AE93" s="154">
        <f t="shared" si="52"/>
        <v>4.95242297133042</v>
      </c>
      <c r="AF93" s="154">
        <f t="shared" si="52"/>
        <v>5.2037140221306597</v>
      </c>
      <c r="AG93" s="154">
        <f t="shared" si="52"/>
        <v>21.839313226506661</v>
      </c>
      <c r="AH93" s="154">
        <f t="shared" si="52"/>
        <v>16.132714917669787</v>
      </c>
      <c r="AI93" s="154">
        <f t="shared" si="52"/>
        <v>9.7196691355052813</v>
      </c>
      <c r="AJ93" s="154">
        <f t="shared" si="52"/>
        <v>1.7969287106020013</v>
      </c>
      <c r="AK93" s="154">
        <f t="shared" si="52"/>
        <v>6.9926895326072609</v>
      </c>
      <c r="AL93" s="154">
        <f t="shared" si="52"/>
        <v>4.6602883421415502</v>
      </c>
      <c r="AM93" s="154">
        <f t="shared" si="52"/>
        <v>2.8285787077690934</v>
      </c>
      <c r="AN93" s="154">
        <f t="shared" si="52"/>
        <v>1.3361756821888935</v>
      </c>
      <c r="AO93" s="154">
        <f t="shared" si="52"/>
        <v>36.408421239587355</v>
      </c>
      <c r="AP93" s="154">
        <f t="shared" si="52"/>
        <v>46.805872496264747</v>
      </c>
      <c r="AQ93" s="154" t="e">
        <f t="shared" si="52"/>
        <v>#DIV/0!</v>
      </c>
      <c r="AR93" s="154" t="e">
        <f t="shared" si="52"/>
        <v>#DIV/0!</v>
      </c>
      <c r="AS93" s="154" t="e">
        <f t="shared" si="52"/>
        <v>#DIV/0!</v>
      </c>
      <c r="AT93" s="154" t="e">
        <f t="shared" si="52"/>
        <v>#DIV/0!</v>
      </c>
      <c r="AU93" s="154" t="e">
        <f t="shared" si="52"/>
        <v>#DIV/0!</v>
      </c>
      <c r="AV93" s="154" t="e">
        <f t="shared" si="52"/>
        <v>#DIV/0!</v>
      </c>
      <c r="AW93" s="154" t="e">
        <f t="shared" si="52"/>
        <v>#DIV/0!</v>
      </c>
      <c r="AX93" s="154" t="e">
        <f t="shared" si="52"/>
        <v>#DIV/0!</v>
      </c>
      <c r="AY93" s="154" t="e">
        <f t="shared" si="52"/>
        <v>#DIV/0!</v>
      </c>
      <c r="AZ93" s="154" t="e">
        <f t="shared" si="52"/>
        <v>#DIV/0!</v>
      </c>
      <c r="BA93" s="154" t="e">
        <f t="shared" si="52"/>
        <v>#DIV/0!</v>
      </c>
      <c r="BB93" s="154" t="e">
        <f t="shared" si="52"/>
        <v>#DIV/0!</v>
      </c>
      <c r="BC93" s="154" t="e">
        <f t="shared" si="52"/>
        <v>#DIV/0!</v>
      </c>
      <c r="BD93" s="154" t="e">
        <f t="shared" si="52"/>
        <v>#DIV/0!</v>
      </c>
      <c r="BE93" s="154" t="e">
        <f t="shared" si="52"/>
        <v>#DIV/0!</v>
      </c>
      <c r="BF93" s="154" t="e">
        <f t="shared" si="52"/>
        <v>#DIV/0!</v>
      </c>
      <c r="BG93" s="154" t="e">
        <f t="shared" si="52"/>
        <v>#DIV/0!</v>
      </c>
      <c r="BH93" s="154" t="e">
        <f t="shared" si="52"/>
        <v>#DIV/0!</v>
      </c>
      <c r="BI93" s="154" t="e">
        <f t="shared" si="52"/>
        <v>#DIV/0!</v>
      </c>
      <c r="BJ93" s="154" t="e">
        <f t="shared" si="52"/>
        <v>#DIV/0!</v>
      </c>
      <c r="BK93" s="154" t="e">
        <f t="shared" si="52"/>
        <v>#DIV/0!</v>
      </c>
      <c r="BL93" s="154" t="e">
        <f t="shared" si="52"/>
        <v>#DIV/0!</v>
      </c>
      <c r="BM93" s="154" t="e">
        <f t="shared" si="52"/>
        <v>#DIV/0!</v>
      </c>
      <c r="BN93" s="154" t="e">
        <f t="shared" si="52"/>
        <v>#DIV/0!</v>
      </c>
      <c r="BO93" s="154" t="e">
        <f t="shared" si="52"/>
        <v>#DIV/0!</v>
      </c>
      <c r="BP93" s="154" t="e">
        <f t="shared" si="52"/>
        <v>#DIV/0!</v>
      </c>
      <c r="BQ93" s="154" t="e">
        <f t="shared" si="52"/>
        <v>#DIV/0!</v>
      </c>
      <c r="BR93" s="154" t="e">
        <f t="shared" ref="BR93:CK93" si="53">BR81/BR92</f>
        <v>#DIV/0!</v>
      </c>
      <c r="BS93" s="154" t="e">
        <f t="shared" si="53"/>
        <v>#DIV/0!</v>
      </c>
      <c r="BT93" s="154" t="e">
        <f t="shared" si="53"/>
        <v>#DIV/0!</v>
      </c>
      <c r="BU93" s="154" t="e">
        <f t="shared" si="53"/>
        <v>#DIV/0!</v>
      </c>
      <c r="BV93" s="154" t="e">
        <f t="shared" si="53"/>
        <v>#DIV/0!</v>
      </c>
      <c r="BW93" s="154" t="e">
        <f t="shared" si="53"/>
        <v>#DIV/0!</v>
      </c>
      <c r="BX93" s="154" t="e">
        <f t="shared" si="53"/>
        <v>#DIV/0!</v>
      </c>
      <c r="BY93" s="154" t="e">
        <f t="shared" si="53"/>
        <v>#DIV/0!</v>
      </c>
      <c r="BZ93" s="154" t="e">
        <f t="shared" si="53"/>
        <v>#DIV/0!</v>
      </c>
      <c r="CA93" s="154" t="e">
        <f t="shared" si="53"/>
        <v>#DIV/0!</v>
      </c>
      <c r="CB93" s="154" t="e">
        <f t="shared" si="53"/>
        <v>#DIV/0!</v>
      </c>
      <c r="CC93" s="154" t="e">
        <f t="shared" si="53"/>
        <v>#DIV/0!</v>
      </c>
      <c r="CD93" s="154" t="e">
        <f t="shared" si="53"/>
        <v>#DIV/0!</v>
      </c>
      <c r="CE93" s="154" t="e">
        <f t="shared" si="53"/>
        <v>#DIV/0!</v>
      </c>
      <c r="CF93" s="154" t="e">
        <f t="shared" si="53"/>
        <v>#DIV/0!</v>
      </c>
      <c r="CG93" s="154" t="e">
        <f t="shared" si="53"/>
        <v>#DIV/0!</v>
      </c>
      <c r="CH93" s="154" t="e">
        <f t="shared" si="53"/>
        <v>#DIV/0!</v>
      </c>
      <c r="CI93" s="154" t="e">
        <f t="shared" si="53"/>
        <v>#DIV/0!</v>
      </c>
      <c r="CJ93" s="154" t="e">
        <f t="shared" si="53"/>
        <v>#DIV/0!</v>
      </c>
      <c r="CK93" s="154" t="e">
        <f t="shared" si="53"/>
        <v>#DIV/0!</v>
      </c>
    </row>
    <row r="94" spans="1:89" s="76" customFormat="1" x14ac:dyDescent="0.25">
      <c r="A94" s="70" t="s">
        <v>592</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100" customFormat="1" x14ac:dyDescent="0.25">
      <c r="A95" s="211" t="s">
        <v>593</v>
      </c>
      <c r="E95" s="100">
        <f>资产资本表!E60</f>
        <v>6541432761.1499996</v>
      </c>
      <c r="F95" s="100">
        <f>资产资本表!F60</f>
        <v>6595862826.2399998</v>
      </c>
      <c r="G95" s="100">
        <f>资产资本表!G60</f>
        <v>8483595465.3000002</v>
      </c>
      <c r="H95" s="100">
        <f>资产资本表!H60</f>
        <v>8507148669.3000002</v>
      </c>
      <c r="I95" s="100">
        <f>资产资本表!I60</f>
        <v>4552774567.4399996</v>
      </c>
      <c r="J95" s="100">
        <f>资产资本表!J60</f>
        <v>3664466682</v>
      </c>
      <c r="K95" s="100">
        <f>资产资本表!K60</f>
        <v>3664466682</v>
      </c>
      <c r="L95" s="100">
        <f>资产资本表!L60</f>
        <v>3664466682</v>
      </c>
      <c r="M95" s="100">
        <f>资产资本表!M60</f>
        <v>3664466682</v>
      </c>
      <c r="N95" s="100">
        <f>资产资本表!N60</f>
        <v>482408071.51999998</v>
      </c>
      <c r="O95" s="100">
        <f>资产资本表!O60</f>
        <v>482408071.51999998</v>
      </c>
      <c r="P95" s="100">
        <f>资产资本表!P60</f>
        <v>482417714.81</v>
      </c>
      <c r="Q95" s="100">
        <f>资产资本表!Q60</f>
        <v>0</v>
      </c>
      <c r="R95" s="100">
        <f>资产资本表!R60</f>
        <v>0</v>
      </c>
      <c r="S95" s="100">
        <f>资产资本表!S60</f>
        <v>0</v>
      </c>
      <c r="T95" s="100">
        <f>资产资本表!T60</f>
        <v>0</v>
      </c>
      <c r="U95" s="100">
        <f>资产资本表!U60</f>
        <v>0</v>
      </c>
      <c r="V95" s="100">
        <f>资产资本表!V60</f>
        <v>0</v>
      </c>
      <c r="W95" s="100">
        <f>资产资本表!W60</f>
        <v>0</v>
      </c>
      <c r="X95" s="100">
        <f>资产资本表!X60</f>
        <v>0</v>
      </c>
      <c r="Y95" s="100">
        <f>资产资本表!Y60</f>
        <v>0</v>
      </c>
      <c r="Z95" s="100">
        <f>资产资本表!Z60</f>
        <v>0</v>
      </c>
      <c r="AA95" s="100">
        <f>资产资本表!AA60</f>
        <v>0</v>
      </c>
      <c r="AB95" s="100">
        <f>资产资本表!AB60</f>
        <v>0</v>
      </c>
      <c r="AC95" s="100">
        <f>资产资本表!AC60</f>
        <v>0</v>
      </c>
      <c r="AD95" s="100">
        <f>资产资本表!AD60</f>
        <v>0</v>
      </c>
      <c r="AE95" s="100">
        <f>资产资本表!AE60</f>
        <v>0</v>
      </c>
      <c r="AF95" s="100">
        <f>资产资本表!AF60</f>
        <v>0</v>
      </c>
      <c r="AG95" s="100">
        <f>资产资本表!AG60</f>
        <v>0</v>
      </c>
      <c r="AH95" s="100">
        <f>资产资本表!AH60</f>
        <v>0</v>
      </c>
      <c r="AI95" s="100">
        <f>资产资本表!AI60</f>
        <v>0</v>
      </c>
      <c r="AJ95" s="100">
        <f>资产资本表!AJ60</f>
        <v>0</v>
      </c>
      <c r="AK95" s="100">
        <f>资产资本表!AK60</f>
        <v>0</v>
      </c>
      <c r="AL95" s="100">
        <f>资产资本表!AL60</f>
        <v>0</v>
      </c>
      <c r="AM95" s="100">
        <f>资产资本表!AM60</f>
        <v>0</v>
      </c>
      <c r="AN95" s="100">
        <f>资产资本表!AN60</f>
        <v>0</v>
      </c>
      <c r="AO95" s="100">
        <f>资产资本表!AO60</f>
        <v>0</v>
      </c>
      <c r="AP95" s="100">
        <f>资产资本表!AP60</f>
        <v>0</v>
      </c>
      <c r="AQ95" s="100">
        <f>资产资本表!AQ60</f>
        <v>0</v>
      </c>
      <c r="AR95" s="100">
        <f>资产资本表!AR60</f>
        <v>0</v>
      </c>
      <c r="AS95" s="100">
        <f>资产资本表!AS60</f>
        <v>0</v>
      </c>
      <c r="AT95" s="100">
        <f>资产资本表!AT60</f>
        <v>0</v>
      </c>
      <c r="AU95" s="100">
        <f>资产资本表!AU60</f>
        <v>0</v>
      </c>
      <c r="AV95" s="100">
        <f>资产资本表!AV60</f>
        <v>0</v>
      </c>
      <c r="AW95" s="100">
        <f>资产资本表!AW60</f>
        <v>0</v>
      </c>
      <c r="AX95" s="100">
        <f>资产资本表!AX60</f>
        <v>0</v>
      </c>
      <c r="AY95" s="100">
        <f>资产资本表!AY60</f>
        <v>0</v>
      </c>
      <c r="AZ95" s="100">
        <f>资产资本表!AZ60</f>
        <v>0</v>
      </c>
      <c r="BA95" s="100">
        <f>资产资本表!BA60</f>
        <v>0</v>
      </c>
      <c r="BB95" s="100">
        <f>资产资本表!BB60</f>
        <v>0</v>
      </c>
      <c r="BC95" s="100">
        <f>资产资本表!BC60</f>
        <v>0</v>
      </c>
      <c r="BD95" s="100">
        <f>资产资本表!BD60</f>
        <v>0</v>
      </c>
      <c r="BE95" s="100">
        <f>资产资本表!BE60</f>
        <v>0</v>
      </c>
      <c r="BF95" s="100">
        <f>资产资本表!BF60</f>
        <v>0</v>
      </c>
      <c r="BG95" s="100">
        <f>资产资本表!BG60</f>
        <v>0</v>
      </c>
      <c r="BH95" s="100">
        <f>资产资本表!BH60</f>
        <v>0</v>
      </c>
      <c r="BI95" s="100">
        <f>资产资本表!BI60</f>
        <v>0</v>
      </c>
      <c r="BJ95" s="100">
        <f>资产资本表!BJ60</f>
        <v>0</v>
      </c>
      <c r="BK95" s="100">
        <f>资产资本表!BK60</f>
        <v>0</v>
      </c>
      <c r="BL95" s="100">
        <f>资产资本表!BL60</f>
        <v>0</v>
      </c>
      <c r="BM95" s="100">
        <f>资产资本表!BM60</f>
        <v>0</v>
      </c>
      <c r="BN95" s="100">
        <f>资产资本表!BN60</f>
        <v>0</v>
      </c>
      <c r="BO95" s="100">
        <f>资产资本表!BO60</f>
        <v>0</v>
      </c>
      <c r="BP95" s="100">
        <f>资产资本表!BP60</f>
        <v>0</v>
      </c>
      <c r="BQ95" s="100">
        <f>资产资本表!BQ60</f>
        <v>0</v>
      </c>
      <c r="BR95" s="100">
        <f>资产资本表!BR60</f>
        <v>0</v>
      </c>
      <c r="BS95" s="100">
        <f>资产资本表!BS60</f>
        <v>0</v>
      </c>
      <c r="BT95" s="100">
        <f>资产资本表!BT60</f>
        <v>0</v>
      </c>
      <c r="BU95" s="100">
        <f>资产资本表!BU60</f>
        <v>0</v>
      </c>
      <c r="BV95" s="100">
        <f>资产资本表!BV60</f>
        <v>0</v>
      </c>
      <c r="BW95" s="100">
        <f>资产资本表!BW60</f>
        <v>0</v>
      </c>
      <c r="BX95" s="100">
        <f>资产资本表!BX60</f>
        <v>0</v>
      </c>
      <c r="BY95" s="100">
        <f>资产资本表!BY60</f>
        <v>0</v>
      </c>
      <c r="BZ95" s="100">
        <f>资产资本表!BZ60</f>
        <v>0</v>
      </c>
      <c r="CA95" s="100">
        <f>资产资本表!CA60</f>
        <v>0</v>
      </c>
      <c r="CB95" s="100">
        <f>资产资本表!CB60</f>
        <v>0</v>
      </c>
      <c r="CC95" s="100">
        <f>资产资本表!CC60</f>
        <v>0</v>
      </c>
      <c r="CD95" s="100">
        <f>资产资本表!CD60</f>
        <v>0</v>
      </c>
      <c r="CE95" s="100">
        <f>资产资本表!CE60</f>
        <v>0</v>
      </c>
      <c r="CF95" s="100">
        <f>资产资本表!CF60</f>
        <v>0</v>
      </c>
      <c r="CG95" s="100">
        <f>资产资本表!CG60</f>
        <v>0</v>
      </c>
      <c r="CH95" s="100">
        <f>资产资本表!CH60</f>
        <v>0</v>
      </c>
      <c r="CI95" s="100">
        <f>资产资本表!CI60</f>
        <v>0</v>
      </c>
      <c r="CJ95" s="100">
        <f>资产资本表!CJ60</f>
        <v>0</v>
      </c>
      <c r="CK95" s="100">
        <f>资产资本表!CK60</f>
        <v>0</v>
      </c>
    </row>
    <row r="96" spans="1:89" s="76" customFormat="1" x14ac:dyDescent="0.25">
      <c r="A96" s="70" t="s">
        <v>594</v>
      </c>
      <c r="E96" s="76">
        <f>资产资本表!E61</f>
        <v>59931135.990000002</v>
      </c>
      <c r="F96" s="76">
        <f>资产资本表!F61</f>
        <v>58128446.740000002</v>
      </c>
      <c r="G96" s="76">
        <f>资产资本表!G61</f>
        <v>58748214.729999997</v>
      </c>
      <c r="H96" s="76">
        <f>资产资本表!H61</f>
        <v>57331762.280000001</v>
      </c>
      <c r="I96" s="76">
        <f>资产资本表!I61</f>
        <v>8984312.2300000004</v>
      </c>
      <c r="J96" s="76">
        <f>资产资本表!J61</f>
        <v>4960149.7699999996</v>
      </c>
      <c r="K96" s="76">
        <f>资产资本表!K61</f>
        <v>2228893.5699999998</v>
      </c>
      <c r="L96" s="76">
        <f>资产资本表!L61</f>
        <v>5951059.5700000003</v>
      </c>
      <c r="M96" s="76">
        <f>资产资本表!M61</f>
        <v>4119243.64</v>
      </c>
      <c r="N96" s="76">
        <f>资产资本表!N61</f>
        <v>3413855.27</v>
      </c>
      <c r="O96" s="76">
        <f>资产资本表!O61</f>
        <v>875500</v>
      </c>
      <c r="P96" s="76">
        <f>资产资本表!P61</f>
        <v>1167333.3400000001</v>
      </c>
      <c r="Q96" s="76">
        <f>资产资本表!Q61</f>
        <v>1459166.67</v>
      </c>
      <c r="R96" s="76">
        <f>资产资本表!R61</f>
        <v>0</v>
      </c>
      <c r="S96" s="76">
        <f>资产资本表!S61</f>
        <v>0</v>
      </c>
      <c r="T96" s="76">
        <f>资产资本表!T61</f>
        <v>0</v>
      </c>
      <c r="U96" s="76">
        <f>资产资本表!U61</f>
        <v>0</v>
      </c>
      <c r="V96" s="76">
        <f>资产资本表!V61</f>
        <v>0</v>
      </c>
      <c r="W96" s="76">
        <f>资产资本表!W61</f>
        <v>0</v>
      </c>
      <c r="X96" s="76">
        <f>资产资本表!X61</f>
        <v>0</v>
      </c>
      <c r="Y96" s="76">
        <f>资产资本表!Y61</f>
        <v>0</v>
      </c>
      <c r="Z96" s="76">
        <f>资产资本表!Z61</f>
        <v>0</v>
      </c>
      <c r="AA96" s="76">
        <f>资产资本表!AA61</f>
        <v>0</v>
      </c>
      <c r="AB96" s="76">
        <f>资产资本表!AB61</f>
        <v>0</v>
      </c>
      <c r="AC96" s="76">
        <f>资产资本表!AC61</f>
        <v>0</v>
      </c>
      <c r="AD96" s="76">
        <f>资产资本表!AD61</f>
        <v>0</v>
      </c>
      <c r="AE96" s="76">
        <f>资产资本表!AE61</f>
        <v>0</v>
      </c>
      <c r="AF96" s="76">
        <f>资产资本表!AF61</f>
        <v>0</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681705.35</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25557925.960000001</v>
      </c>
      <c r="F97" s="76">
        <f>资产资本表!F62</f>
        <v>100673248.61</v>
      </c>
      <c r="G97" s="76">
        <f>资产资本表!G62</f>
        <v>52803082.630000003</v>
      </c>
      <c r="H97" s="76">
        <f>资产资本表!H62</f>
        <v>36086536.450000003</v>
      </c>
      <c r="I97" s="76">
        <f>资产资本表!I62</f>
        <v>33470720.829999998</v>
      </c>
      <c r="J97" s="76">
        <f>资产资本表!J62</f>
        <v>22595324.5</v>
      </c>
      <c r="K97" s="76">
        <f>资产资本表!K62</f>
        <v>22929568.899999999</v>
      </c>
      <c r="L97" s="76">
        <f>资产资本表!L62</f>
        <v>17854866.510000002</v>
      </c>
      <c r="M97" s="76">
        <f>资产资本表!M62</f>
        <v>17554240</v>
      </c>
      <c r="N97" s="76">
        <f>资产资本表!N62</f>
        <v>8521674.9100000001</v>
      </c>
      <c r="O97" s="76">
        <f>资产资本表!O62</f>
        <v>8599524.5600000005</v>
      </c>
      <c r="P97" s="76">
        <f>资产资本表!P62</f>
        <v>8517047.5500000007</v>
      </c>
      <c r="Q97" s="76">
        <f>资产资本表!Q62</f>
        <v>8447861.1500000004</v>
      </c>
      <c r="R97" s="76">
        <f>资产资本表!R62</f>
        <v>3494744.96</v>
      </c>
      <c r="S97" s="76">
        <f>资产资本表!S62</f>
        <v>526569.66</v>
      </c>
      <c r="T97" s="76">
        <f>资产资本表!T62</f>
        <v>719660.22</v>
      </c>
      <c r="U97" s="76">
        <f>资产资本表!U62</f>
        <v>719660.22</v>
      </c>
      <c r="V97" s="76">
        <f>资产资本表!V62</f>
        <v>356558.8</v>
      </c>
      <c r="W97" s="76">
        <f>资产资本表!W62</f>
        <v>356558.8</v>
      </c>
      <c r="X97" s="76">
        <f>资产资本表!X62</f>
        <v>290412.39</v>
      </c>
      <c r="Y97" s="76">
        <f>资产资本表!Y62</f>
        <v>290412.39</v>
      </c>
      <c r="Z97" s="76">
        <f>资产资本表!Z62</f>
        <v>190902.87</v>
      </c>
      <c r="AA97" s="76">
        <f>资产资本表!AA62</f>
        <v>190902.87</v>
      </c>
      <c r="AB97" s="76">
        <f>资产资本表!AB62</f>
        <v>131359.46</v>
      </c>
      <c r="AC97" s="76">
        <f>资产资本表!AC62</f>
        <v>229382.61</v>
      </c>
      <c r="AD97" s="76">
        <f>资产资本表!AD62</f>
        <v>0</v>
      </c>
      <c r="AE97" s="76">
        <f>资产资本表!AE62</f>
        <v>0</v>
      </c>
      <c r="AF97" s="76">
        <f>资产资本表!AF62</f>
        <v>0</v>
      </c>
      <c r="AG97" s="76">
        <f>资产资本表!AG62</f>
        <v>0</v>
      </c>
      <c r="AH97" s="76">
        <f>资产资本表!AH62</f>
        <v>1150</v>
      </c>
      <c r="AI97" s="76">
        <f>资产资本表!AI62</f>
        <v>1150</v>
      </c>
      <c r="AJ97" s="76">
        <f>资产资本表!AJ62</f>
        <v>1150</v>
      </c>
      <c r="AK97" s="76">
        <f>资产资本表!AK62</f>
        <v>1150</v>
      </c>
      <c r="AL97" s="76">
        <f>资产资本表!AL62</f>
        <v>0</v>
      </c>
      <c r="AM97" s="76">
        <f>资产资本表!AM62</f>
        <v>211719.17</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111007480.28</v>
      </c>
      <c r="F98" s="76">
        <f>资产资本表!F63</f>
        <v>87403526.920000002</v>
      </c>
      <c r="G98" s="76">
        <f>资产资本表!G63</f>
        <v>122044148.15000001</v>
      </c>
      <c r="H98" s="76">
        <f>资产资本表!H63</f>
        <v>107926896.42</v>
      </c>
      <c r="I98" s="76">
        <f>资产资本表!I63</f>
        <v>152667435.75999999</v>
      </c>
      <c r="J98" s="76">
        <f>资产资本表!J63</f>
        <v>79183089.010000005</v>
      </c>
      <c r="K98" s="76">
        <f>资产资本表!K63</f>
        <v>59710421.530000001</v>
      </c>
      <c r="L98" s="76">
        <f>资产资本表!L63</f>
        <v>80639301.480000004</v>
      </c>
      <c r="M98" s="76">
        <f>资产资本表!M63</f>
        <v>103470769.59</v>
      </c>
      <c r="N98" s="76">
        <f>资产资本表!N63</f>
        <v>26821244.559999999</v>
      </c>
      <c r="O98" s="76">
        <f>资产资本表!O63</f>
        <v>26821244.559999999</v>
      </c>
      <c r="P98" s="76">
        <f>资产资本表!P63</f>
        <v>26937324.289999999</v>
      </c>
      <c r="Q98" s="76">
        <f>资产资本表!Q63</f>
        <v>26937324.289999999</v>
      </c>
      <c r="R98" s="76">
        <f>资产资本表!R63</f>
        <v>25708516.800000001</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412233154.73000002</v>
      </c>
      <c r="F99" s="93">
        <f>资产资本表!F64</f>
        <v>314365106.55000001</v>
      </c>
      <c r="G99" s="93">
        <f>资产资本表!G64</f>
        <v>169137735.40000001</v>
      </c>
      <c r="H99" s="93">
        <f>资产资本表!H64</f>
        <v>339537735.39999998</v>
      </c>
      <c r="I99" s="93">
        <f>资产资本表!I64</f>
        <v>67137735.400000006</v>
      </c>
      <c r="J99" s="93">
        <f>资产资本表!J64</f>
        <v>314367924</v>
      </c>
      <c r="K99" s="93">
        <f>资产资本表!K64</f>
        <v>283867924</v>
      </c>
      <c r="L99" s="93">
        <f>资产资本表!L64</f>
        <v>64837735.399999999</v>
      </c>
      <c r="M99" s="93">
        <f>资产资本表!M64</f>
        <v>57290565.799999997</v>
      </c>
      <c r="N99" s="93">
        <f>资产资本表!N64</f>
        <v>17800000</v>
      </c>
      <c r="O99" s="93">
        <f>资产资本表!O64</f>
        <v>17800000</v>
      </c>
      <c r="P99" s="93">
        <f>资产资本表!P64</f>
        <v>20800000</v>
      </c>
      <c r="Q99" s="93">
        <f>资产资本表!Q64</f>
        <v>21800000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2645152.2400000002</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6" customFormat="1" x14ac:dyDescent="0.25">
      <c r="A100" s="88" t="s">
        <v>687</v>
      </c>
      <c r="E100" s="196">
        <f>(E84+I84)/2</f>
        <v>20085934.030000001</v>
      </c>
      <c r="F100" s="196">
        <f t="shared" ref="F100:BQ100" si="54">(F84+J84)/2</f>
        <v>19701404.580000002</v>
      </c>
      <c r="G100" s="196">
        <f t="shared" si="54"/>
        <v>20404133.755000003</v>
      </c>
      <c r="H100" s="196">
        <f t="shared" si="54"/>
        <v>20846923.82</v>
      </c>
      <c r="I100" s="196">
        <f t="shared" si="54"/>
        <v>11644168.135</v>
      </c>
      <c r="J100" s="196">
        <f t="shared" si="54"/>
        <v>9053113.9000000004</v>
      </c>
      <c r="K100" s="196">
        <f t="shared" si="54"/>
        <v>9768331.3300000001</v>
      </c>
      <c r="L100" s="196">
        <f t="shared" si="54"/>
        <v>10763446.67</v>
      </c>
      <c r="M100" s="196">
        <f t="shared" si="54"/>
        <v>10170532.504999999</v>
      </c>
      <c r="N100" s="196">
        <f t="shared" si="54"/>
        <v>7450514.5700000003</v>
      </c>
      <c r="O100" s="196">
        <f t="shared" si="54"/>
        <v>197041985.02500001</v>
      </c>
      <c r="P100" s="196">
        <f t="shared" si="54"/>
        <v>200146836.41500002</v>
      </c>
      <c r="Q100" s="196">
        <f t="shared" si="54"/>
        <v>181164707.64500001</v>
      </c>
      <c r="R100" s="196">
        <f t="shared" si="54"/>
        <v>182459244.98500001</v>
      </c>
      <c r="S100" s="196">
        <f t="shared" si="54"/>
        <v>367641596.20500004</v>
      </c>
      <c r="T100" s="196">
        <f t="shared" si="54"/>
        <v>371455555.97500002</v>
      </c>
      <c r="U100" s="196">
        <f t="shared" si="54"/>
        <v>352894552.40999997</v>
      </c>
      <c r="V100" s="196">
        <f t="shared" si="54"/>
        <v>241617344.14500001</v>
      </c>
      <c r="W100" s="196">
        <f t="shared" si="54"/>
        <v>238342991.54500002</v>
      </c>
      <c r="X100" s="196">
        <f t="shared" si="54"/>
        <v>240228868.27000001</v>
      </c>
      <c r="Y100" s="196">
        <f t="shared" si="54"/>
        <v>241532965.81999999</v>
      </c>
      <c r="Z100" s="196">
        <f t="shared" si="54"/>
        <v>121817798.955</v>
      </c>
      <c r="AA100" s="196">
        <f t="shared" si="54"/>
        <v>123285309.05</v>
      </c>
      <c r="AB100" s="196">
        <f t="shared" si="54"/>
        <v>124411455.27500001</v>
      </c>
      <c r="AC100" s="196">
        <f t="shared" si="54"/>
        <v>126308391.69</v>
      </c>
      <c r="AD100" s="196">
        <f t="shared" si="54"/>
        <v>110670470.29499999</v>
      </c>
      <c r="AE100" s="196">
        <f t="shared" si="54"/>
        <v>109528726.095</v>
      </c>
      <c r="AF100" s="196">
        <f t="shared" si="54"/>
        <v>106370837.685</v>
      </c>
      <c r="AG100" s="196">
        <f t="shared" si="54"/>
        <v>107868204.205</v>
      </c>
      <c r="AH100" s="196">
        <f t="shared" si="54"/>
        <v>98830822.484999999</v>
      </c>
      <c r="AI100" s="196">
        <f t="shared" si="54"/>
        <v>97743016.305000007</v>
      </c>
      <c r="AJ100" s="196">
        <f t="shared" si="54"/>
        <v>77008090.064999998</v>
      </c>
      <c r="AK100" s="196">
        <f t="shared" si="54"/>
        <v>76967822.620000005</v>
      </c>
      <c r="AL100" s="196">
        <f t="shared" si="54"/>
        <v>65866324.015000001</v>
      </c>
      <c r="AM100" s="196">
        <f t="shared" si="54"/>
        <v>48063534.869999997</v>
      </c>
      <c r="AN100" s="196">
        <f t="shared" si="54"/>
        <v>30777900</v>
      </c>
      <c r="AO100" s="196">
        <f t="shared" si="54"/>
        <v>30029718.16</v>
      </c>
      <c r="AP100" s="196">
        <f t="shared" si="54"/>
        <v>18608667.024999999</v>
      </c>
      <c r="AQ100" s="196">
        <f t="shared" si="54"/>
        <v>0</v>
      </c>
      <c r="AR100" s="196">
        <f t="shared" si="54"/>
        <v>0</v>
      </c>
      <c r="AS100" s="196">
        <f t="shared" si="54"/>
        <v>0</v>
      </c>
      <c r="AT100" s="196">
        <f t="shared" si="54"/>
        <v>0</v>
      </c>
      <c r="AU100" s="196">
        <f t="shared" si="54"/>
        <v>0</v>
      </c>
      <c r="AV100" s="196">
        <f t="shared" si="54"/>
        <v>0</v>
      </c>
      <c r="AW100" s="196">
        <f t="shared" si="54"/>
        <v>0</v>
      </c>
      <c r="AX100" s="196">
        <f t="shared" si="54"/>
        <v>0</v>
      </c>
      <c r="AY100" s="196">
        <f t="shared" si="54"/>
        <v>0</v>
      </c>
      <c r="AZ100" s="196">
        <f t="shared" si="54"/>
        <v>0</v>
      </c>
      <c r="BA100" s="196">
        <f t="shared" si="54"/>
        <v>0</v>
      </c>
      <c r="BB100" s="196">
        <f t="shared" si="54"/>
        <v>0</v>
      </c>
      <c r="BC100" s="196">
        <f t="shared" si="54"/>
        <v>0</v>
      </c>
      <c r="BD100" s="196">
        <f t="shared" si="54"/>
        <v>0</v>
      </c>
      <c r="BE100" s="196">
        <f t="shared" si="54"/>
        <v>0</v>
      </c>
      <c r="BF100" s="196">
        <f t="shared" si="54"/>
        <v>0</v>
      </c>
      <c r="BG100" s="196">
        <f t="shared" si="54"/>
        <v>0</v>
      </c>
      <c r="BH100" s="196">
        <f t="shared" si="54"/>
        <v>0</v>
      </c>
      <c r="BI100" s="196">
        <f t="shared" si="54"/>
        <v>0</v>
      </c>
      <c r="BJ100" s="196">
        <f t="shared" si="54"/>
        <v>0</v>
      </c>
      <c r="BK100" s="196">
        <f t="shared" si="54"/>
        <v>0</v>
      </c>
      <c r="BL100" s="196">
        <f t="shared" si="54"/>
        <v>0</v>
      </c>
      <c r="BM100" s="196">
        <f t="shared" si="54"/>
        <v>0</v>
      </c>
      <c r="BN100" s="196">
        <f t="shared" si="54"/>
        <v>0</v>
      </c>
      <c r="BO100" s="196">
        <f t="shared" si="54"/>
        <v>0</v>
      </c>
      <c r="BP100" s="196">
        <f t="shared" si="54"/>
        <v>0</v>
      </c>
      <c r="BQ100" s="196">
        <f t="shared" si="54"/>
        <v>0</v>
      </c>
      <c r="BR100" s="196">
        <f t="shared" ref="BR100:CK100" si="55">(BR84+BV84)/2</f>
        <v>0</v>
      </c>
      <c r="BS100" s="196">
        <f t="shared" si="55"/>
        <v>0</v>
      </c>
      <c r="BT100" s="196">
        <f t="shared" si="55"/>
        <v>0</v>
      </c>
      <c r="BU100" s="196">
        <f t="shared" si="55"/>
        <v>0</v>
      </c>
      <c r="BV100" s="196">
        <f t="shared" si="55"/>
        <v>0</v>
      </c>
      <c r="BW100" s="196">
        <f t="shared" si="55"/>
        <v>0</v>
      </c>
      <c r="BX100" s="196">
        <f t="shared" si="55"/>
        <v>0</v>
      </c>
      <c r="BY100" s="196">
        <f t="shared" si="55"/>
        <v>0</v>
      </c>
      <c r="BZ100" s="196">
        <f t="shared" si="55"/>
        <v>0</v>
      </c>
      <c r="CA100" s="196">
        <f t="shared" si="55"/>
        <v>0</v>
      </c>
      <c r="CB100" s="196">
        <f t="shared" si="55"/>
        <v>0</v>
      </c>
      <c r="CC100" s="196">
        <f t="shared" si="55"/>
        <v>0</v>
      </c>
      <c r="CD100" s="196">
        <f t="shared" si="55"/>
        <v>0</v>
      </c>
      <c r="CE100" s="196">
        <f t="shared" si="55"/>
        <v>0</v>
      </c>
      <c r="CF100" s="196">
        <f t="shared" si="55"/>
        <v>0</v>
      </c>
      <c r="CG100" s="196">
        <f t="shared" si="55"/>
        <v>0</v>
      </c>
      <c r="CH100" s="196">
        <f t="shared" si="55"/>
        <v>0</v>
      </c>
      <c r="CI100" s="196">
        <f t="shared" si="55"/>
        <v>0</v>
      </c>
      <c r="CJ100" s="196">
        <f t="shared" si="55"/>
        <v>0</v>
      </c>
      <c r="CK100" s="196">
        <f t="shared" si="55"/>
        <v>0</v>
      </c>
    </row>
    <row r="101" spans="1:89" s="251" customFormat="1" ht="15" thickBot="1" x14ac:dyDescent="0.3">
      <c r="A101" s="252" t="s">
        <v>688</v>
      </c>
      <c r="E101" s="251">
        <f>E100/E84</f>
        <v>0.70787585930344599</v>
      </c>
      <c r="F101" s="251">
        <f t="shared" ref="F101:BQ101" si="56">F100/F84</f>
        <v>0.67765714624157047</v>
      </c>
      <c r="G101" s="251">
        <f t="shared" si="56"/>
        <v>0.6827267645486903</v>
      </c>
      <c r="H101" s="251">
        <f t="shared" si="56"/>
        <v>0.70749952690399065</v>
      </c>
      <c r="I101" s="251">
        <f t="shared" si="56"/>
        <v>0.98705075373562368</v>
      </c>
      <c r="J101" s="251">
        <f t="shared" si="56"/>
        <v>0.87639146631588993</v>
      </c>
      <c r="K101" s="251">
        <f t="shared" si="56"/>
        <v>0.89436951693024491</v>
      </c>
      <c r="L101" s="251">
        <f t="shared" si="56"/>
        <v>0.88021432305598135</v>
      </c>
      <c r="M101" s="251">
        <f t="shared" si="56"/>
        <v>0.88505547587529099</v>
      </c>
      <c r="N101" s="251">
        <f t="shared" si="56"/>
        <v>0.95811283916081724</v>
      </c>
      <c r="O101" s="251">
        <f t="shared" si="56"/>
        <v>22.872942938090354</v>
      </c>
      <c r="P101" s="251">
        <f t="shared" si="56"/>
        <v>21.524215372386792</v>
      </c>
      <c r="Q101" s="251">
        <f t="shared" si="56"/>
        <v>20.471379022929092</v>
      </c>
      <c r="R101" s="251">
        <f t="shared" si="56"/>
        <v>25.609069915196198</v>
      </c>
      <c r="S101" s="251">
        <f t="shared" si="56"/>
        <v>0.953750557741184</v>
      </c>
      <c r="T101" s="251">
        <f t="shared" si="56"/>
        <v>0.95002638087761948</v>
      </c>
      <c r="U101" s="251">
        <f t="shared" si="56"/>
        <v>0.99834444646887055</v>
      </c>
      <c r="V101" s="251">
        <f t="shared" si="56"/>
        <v>0.67529792771227093</v>
      </c>
      <c r="W101" s="251">
        <f t="shared" si="56"/>
        <v>0.68134234424513074</v>
      </c>
      <c r="X101" s="251">
        <f t="shared" si="56"/>
        <v>0.68263104125597829</v>
      </c>
      <c r="Y101" s="251">
        <f t="shared" si="56"/>
        <v>0.68557069905335766</v>
      </c>
      <c r="Z101" s="251">
        <f t="shared" si="56"/>
        <v>0.9711163838565583</v>
      </c>
      <c r="AA101" s="251">
        <f t="shared" si="56"/>
        <v>0.97172885988048918</v>
      </c>
      <c r="AB101" s="251">
        <f t="shared" si="56"/>
        <v>0.96786908251433268</v>
      </c>
      <c r="AC101" s="251">
        <f t="shared" si="56"/>
        <v>0.96598112257397239</v>
      </c>
      <c r="AD101" s="251">
        <f t="shared" si="56"/>
        <v>0.93634109600713966</v>
      </c>
      <c r="AE101" s="251">
        <f t="shared" si="56"/>
        <v>0.9150384997941593</v>
      </c>
      <c r="AF101" s="251">
        <f t="shared" si="56"/>
        <v>0.88435061721571806</v>
      </c>
      <c r="AG101" s="251">
        <f t="shared" si="56"/>
        <v>0.88517994108364972</v>
      </c>
      <c r="AH101" s="251">
        <f t="shared" si="56"/>
        <v>0.95816129896643265</v>
      </c>
      <c r="AI101" s="251">
        <f t="shared" si="56"/>
        <v>0.98373627785231332</v>
      </c>
      <c r="AJ101" s="251">
        <f t="shared" si="56"/>
        <v>0.83287663274503132</v>
      </c>
      <c r="AK101" s="251">
        <f t="shared" si="56"/>
        <v>0.81988635358710438</v>
      </c>
      <c r="AL101" s="251">
        <f t="shared" si="56"/>
        <v>0.69688520559681688</v>
      </c>
      <c r="AM101" s="251">
        <f t="shared" si="56"/>
        <v>0.5</v>
      </c>
      <c r="AN101" s="251">
        <f t="shared" si="56"/>
        <v>0.5</v>
      </c>
      <c r="AO101" s="251">
        <f t="shared" si="56"/>
        <v>0.5</v>
      </c>
      <c r="AP101" s="251">
        <f t="shared" si="56"/>
        <v>0.5</v>
      </c>
      <c r="AQ101" s="251" t="e">
        <f t="shared" si="56"/>
        <v>#DIV/0!</v>
      </c>
      <c r="AR101" s="251" t="e">
        <f t="shared" si="56"/>
        <v>#DIV/0!</v>
      </c>
      <c r="AS101" s="251" t="e">
        <f t="shared" si="56"/>
        <v>#DIV/0!</v>
      </c>
      <c r="AT101" s="251" t="e">
        <f t="shared" si="56"/>
        <v>#DIV/0!</v>
      </c>
      <c r="AU101" s="251" t="e">
        <f t="shared" si="56"/>
        <v>#DIV/0!</v>
      </c>
      <c r="AV101" s="251" t="e">
        <f t="shared" si="56"/>
        <v>#DIV/0!</v>
      </c>
      <c r="AW101" s="251" t="e">
        <f t="shared" si="56"/>
        <v>#DIV/0!</v>
      </c>
      <c r="AX101" s="251" t="e">
        <f t="shared" si="56"/>
        <v>#DIV/0!</v>
      </c>
      <c r="AY101" s="251" t="e">
        <f t="shared" si="56"/>
        <v>#DIV/0!</v>
      </c>
      <c r="AZ101" s="251" t="e">
        <f t="shared" si="56"/>
        <v>#DIV/0!</v>
      </c>
      <c r="BA101" s="251" t="e">
        <f t="shared" si="56"/>
        <v>#DIV/0!</v>
      </c>
      <c r="BB101" s="251" t="e">
        <f t="shared" si="56"/>
        <v>#DIV/0!</v>
      </c>
      <c r="BC101" s="251" t="e">
        <f t="shared" si="56"/>
        <v>#DIV/0!</v>
      </c>
      <c r="BD101" s="251" t="e">
        <f t="shared" si="56"/>
        <v>#DIV/0!</v>
      </c>
      <c r="BE101" s="251" t="e">
        <f t="shared" si="56"/>
        <v>#DIV/0!</v>
      </c>
      <c r="BF101" s="251" t="e">
        <f t="shared" si="56"/>
        <v>#DIV/0!</v>
      </c>
      <c r="BG101" s="251" t="e">
        <f t="shared" si="56"/>
        <v>#DIV/0!</v>
      </c>
      <c r="BH101" s="251" t="e">
        <f t="shared" si="56"/>
        <v>#DIV/0!</v>
      </c>
      <c r="BI101" s="251" t="e">
        <f t="shared" si="56"/>
        <v>#DIV/0!</v>
      </c>
      <c r="BJ101" s="251" t="e">
        <f t="shared" si="56"/>
        <v>#DIV/0!</v>
      </c>
      <c r="BK101" s="251" t="e">
        <f t="shared" si="56"/>
        <v>#DIV/0!</v>
      </c>
      <c r="BL101" s="251" t="e">
        <f t="shared" si="56"/>
        <v>#DIV/0!</v>
      </c>
      <c r="BM101" s="251" t="e">
        <f t="shared" si="56"/>
        <v>#DIV/0!</v>
      </c>
      <c r="BN101" s="251" t="e">
        <f t="shared" si="56"/>
        <v>#DIV/0!</v>
      </c>
      <c r="BO101" s="251" t="e">
        <f t="shared" si="56"/>
        <v>#DIV/0!</v>
      </c>
      <c r="BP101" s="251" t="e">
        <f t="shared" si="56"/>
        <v>#DIV/0!</v>
      </c>
      <c r="BQ101" s="251" t="e">
        <f t="shared" si="56"/>
        <v>#DIV/0!</v>
      </c>
      <c r="BR101" s="251" t="e">
        <f t="shared" ref="BR101:CK101" si="57">BR100/BR84</f>
        <v>#DIV/0!</v>
      </c>
      <c r="BS101" s="251" t="e">
        <f t="shared" si="57"/>
        <v>#DIV/0!</v>
      </c>
      <c r="BT101" s="251" t="e">
        <f t="shared" si="57"/>
        <v>#DIV/0!</v>
      </c>
      <c r="BU101" s="251" t="e">
        <f t="shared" si="57"/>
        <v>#DIV/0!</v>
      </c>
      <c r="BV101" s="251" t="e">
        <f t="shared" si="57"/>
        <v>#DIV/0!</v>
      </c>
      <c r="BW101" s="251" t="e">
        <f t="shared" si="57"/>
        <v>#DIV/0!</v>
      </c>
      <c r="BX101" s="251" t="e">
        <f t="shared" si="57"/>
        <v>#DIV/0!</v>
      </c>
      <c r="BY101" s="251" t="e">
        <f t="shared" si="57"/>
        <v>#DIV/0!</v>
      </c>
      <c r="BZ101" s="251" t="e">
        <f t="shared" si="57"/>
        <v>#DIV/0!</v>
      </c>
      <c r="CA101" s="251" t="e">
        <f t="shared" si="57"/>
        <v>#DIV/0!</v>
      </c>
      <c r="CB101" s="251" t="e">
        <f t="shared" si="57"/>
        <v>#DIV/0!</v>
      </c>
      <c r="CC101" s="251" t="e">
        <f t="shared" si="57"/>
        <v>#DIV/0!</v>
      </c>
      <c r="CD101" s="251" t="e">
        <f t="shared" si="57"/>
        <v>#DIV/0!</v>
      </c>
      <c r="CE101" s="251" t="e">
        <f t="shared" si="57"/>
        <v>#DIV/0!</v>
      </c>
      <c r="CF101" s="251" t="e">
        <f t="shared" si="57"/>
        <v>#DIV/0!</v>
      </c>
      <c r="CG101" s="251" t="e">
        <f t="shared" si="57"/>
        <v>#DIV/0!</v>
      </c>
      <c r="CH101" s="251" t="e">
        <f t="shared" si="57"/>
        <v>#DIV/0!</v>
      </c>
      <c r="CI101" s="251" t="e">
        <f t="shared" si="57"/>
        <v>#DIV/0!</v>
      </c>
      <c r="CJ101" s="251" t="e">
        <f t="shared" si="57"/>
        <v>#DIV/0!</v>
      </c>
      <c r="CK101" s="251" t="e">
        <f t="shared" si="57"/>
        <v>#DIV/0!</v>
      </c>
    </row>
    <row r="102" spans="1:89" ht="204.75" customHeight="1" x14ac:dyDescent="0.25">
      <c r="A102" s="288" t="s">
        <v>689</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topLeftCell="A2" workbookViewId="0">
      <selection activeCell="A14" sqref="A14:XFD14"/>
    </sheetView>
  </sheetViews>
  <sheetFormatPr defaultRowHeight="14.4" x14ac:dyDescent="0.25"/>
  <cols>
    <col min="1" max="1" width="63.21875" style="17" bestFit="1" customWidth="1"/>
    <col min="2" max="4" width="9.5546875" hidden="1" customWidth="1"/>
    <col min="5" max="5" width="19.33203125" bestFit="1" customWidth="1"/>
    <col min="6" max="7" width="19.33203125" hidden="1" customWidth="1"/>
    <col min="8" max="8" width="19" hidden="1" customWidth="1"/>
    <col min="9" max="9" width="19.33203125" bestFit="1" customWidth="1"/>
    <col min="10" max="10" width="19.33203125" hidden="1" customWidth="1"/>
    <col min="11" max="11" width="19" hidden="1" customWidth="1"/>
    <col min="12" max="12" width="17.77734375" hidden="1" customWidth="1"/>
    <col min="13" max="13" width="19" bestFit="1" customWidth="1"/>
    <col min="14" max="15" width="19" hidden="1" customWidth="1"/>
    <col min="16" max="16" width="17.77734375" hidden="1" customWidth="1"/>
    <col min="17" max="17" width="19" bestFit="1" customWidth="1"/>
    <col min="18" max="18" width="17.77734375" hidden="1" customWidth="1"/>
    <col min="19" max="19" width="19" hidden="1" customWidth="1"/>
    <col min="20" max="20" width="17.77734375" hidden="1" customWidth="1"/>
    <col min="21" max="21" width="17.77734375" bestFit="1" customWidth="1"/>
    <col min="22" max="24" width="19" hidden="1" customWidth="1"/>
    <col min="25" max="25" width="17.77734375" bestFit="1" customWidth="1"/>
    <col min="26" max="27" width="17.77734375" hidden="1" customWidth="1"/>
    <col min="28" max="28" width="19" hidden="1" customWidth="1"/>
    <col min="29" max="29" width="17.77734375" bestFit="1" customWidth="1"/>
    <col min="30" max="32" width="17.77734375" hidden="1" customWidth="1"/>
    <col min="33" max="33" width="20.21875" bestFit="1" customWidth="1"/>
    <col min="34" max="36" width="19" hidden="1" customWidth="1"/>
    <col min="37" max="37" width="17.21875" bestFit="1" customWidth="1"/>
    <col min="38" max="39" width="17.77734375" hidden="1" customWidth="1"/>
    <col min="40" max="40" width="16.109375" hidden="1" customWidth="1"/>
    <col min="41" max="43" width="17.77734375" bestFit="1" customWidth="1"/>
    <col min="44" max="44" width="9.5546875" hidden="1" customWidth="1"/>
    <col min="45" max="45" width="18.33203125" bestFit="1" customWidth="1"/>
    <col min="46" max="48" width="18.33203125" hidden="1" customWidth="1"/>
    <col min="49" max="49" width="18.33203125" bestFit="1" customWidth="1"/>
    <col min="50" max="52" width="18.33203125" hidden="1" customWidth="1"/>
    <col min="53" max="53" width="18.33203125" bestFit="1" customWidth="1"/>
    <col min="54" max="56" width="18.33203125" hidden="1" customWidth="1"/>
    <col min="57" max="57" width="18.33203125" bestFit="1" customWidth="1"/>
    <col min="58"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2354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2925880010.8200002</v>
      </c>
      <c r="F2" s="26">
        <f>现金流量表!F4</f>
        <v>2124934951.99</v>
      </c>
      <c r="G2" s="26">
        <f>现金流量表!G4</f>
        <v>1478927826.2</v>
      </c>
      <c r="H2" s="26">
        <f>现金流量表!H4</f>
        <v>695390755.95000005</v>
      </c>
      <c r="I2" s="26">
        <f>现金流量表!I4</f>
        <v>1778396181.8599999</v>
      </c>
      <c r="J2" s="26">
        <f>现金流量表!J4</f>
        <v>1350237351.3599999</v>
      </c>
      <c r="K2" s="26">
        <f>现金流量表!K4</f>
        <v>933011636.15999997</v>
      </c>
      <c r="L2" s="26">
        <f>现金流量表!L4</f>
        <v>444248506.51999998</v>
      </c>
      <c r="M2" s="26">
        <f>现金流量表!M4</f>
        <v>928813891.91999996</v>
      </c>
      <c r="N2" s="26">
        <f>现金流量表!N4</f>
        <v>578521287.22000003</v>
      </c>
      <c r="O2" s="26">
        <f>现金流量表!O4</f>
        <v>355408798.24000001</v>
      </c>
      <c r="P2" s="26">
        <f>现金流量表!P4</f>
        <v>149327780.53</v>
      </c>
      <c r="Q2" s="26">
        <f>现金流量表!Q4</f>
        <v>477669007.31999999</v>
      </c>
      <c r="R2" s="26">
        <f>现金流量表!R4</f>
        <v>316821215.14999998</v>
      </c>
      <c r="S2" s="26">
        <f>现金流量表!S4</f>
        <v>240496050.12</v>
      </c>
      <c r="T2" s="26">
        <f>现金流量表!T4</f>
        <v>117216900.39</v>
      </c>
      <c r="U2" s="26">
        <f>现金流量表!U4</f>
        <v>416073602.55000001</v>
      </c>
      <c r="V2" s="26">
        <f>现金流量表!V4</f>
        <v>300031262.20999998</v>
      </c>
      <c r="W2" s="26">
        <f>现金流量表!W4</f>
        <v>178196234.09</v>
      </c>
      <c r="X2" s="26">
        <f>现金流量表!X4</f>
        <v>61711367.289999999</v>
      </c>
      <c r="Y2" s="26">
        <f>现金流量表!Y4</f>
        <v>456168750.51999998</v>
      </c>
      <c r="Z2" s="26">
        <f>现金流量表!Z4</f>
        <v>283475920.38999999</v>
      </c>
      <c r="AA2" s="26">
        <f>现金流量表!AA4</f>
        <v>193116670.78</v>
      </c>
      <c r="AB2" s="26">
        <f>现金流量表!AB4</f>
        <v>76767230.799999997</v>
      </c>
      <c r="AC2" s="26">
        <f>现金流量表!AC4</f>
        <v>385130690.13</v>
      </c>
      <c r="AD2" s="26">
        <f>现金流量表!AD4</f>
        <v>385130690.13</v>
      </c>
      <c r="AE2" s="26">
        <f>现金流量表!AE4</f>
        <v>151453172.05000001</v>
      </c>
      <c r="AF2" s="26">
        <f>现金流量表!AF4</f>
        <v>86893882.209999993</v>
      </c>
      <c r="AG2" s="26">
        <f>现金流量表!AG4</f>
        <v>299891537.72000003</v>
      </c>
      <c r="AH2" s="26">
        <f>现金流量表!AH4</f>
        <v>226374290.97</v>
      </c>
      <c r="AI2" s="26">
        <f>现金流量表!AI4</f>
        <v>132322518.39</v>
      </c>
      <c r="AJ2" s="26">
        <f>现金流量表!AJ4</f>
        <v>54756266.200000003</v>
      </c>
      <c r="AK2" s="26">
        <f>现金流量表!AK4</f>
        <v>245000502.56</v>
      </c>
      <c r="AL2" s="26">
        <f>现金流量表!AL4</f>
        <v>163688507.21000001</v>
      </c>
      <c r="AM2" s="26">
        <f>现金流量表!AM4</f>
        <v>104214938.02</v>
      </c>
      <c r="AN2" s="26">
        <f>现金流量表!AN4</f>
        <v>47212731.299999997</v>
      </c>
      <c r="AO2" s="26">
        <f>现金流量表!AO4</f>
        <v>273501041.04000002</v>
      </c>
      <c r="AP2" s="26">
        <f>现金流量表!AP4</f>
        <v>258824362.58000001</v>
      </c>
      <c r="AQ2" s="26">
        <f>现金流量表!AQ4</f>
        <v>224104606.81</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3101374995.27</v>
      </c>
      <c r="F3" s="26">
        <f>利润表!F3</f>
        <v>2237152268.6500001</v>
      </c>
      <c r="G3" s="26">
        <f>利润表!G3</f>
        <v>1589165365.48</v>
      </c>
      <c r="H3" s="26">
        <f>利润表!H3</f>
        <v>639633152.34000003</v>
      </c>
      <c r="I3" s="26">
        <f>利润表!I3</f>
        <v>1674860621.6700001</v>
      </c>
      <c r="J3" s="26">
        <f>利润表!J3</f>
        <v>1309911726.6900001</v>
      </c>
      <c r="K3" s="26">
        <f>利润表!K3</f>
        <v>858826118.13999999</v>
      </c>
      <c r="L3" s="26">
        <f>利润表!L3</f>
        <v>447990967.76999998</v>
      </c>
      <c r="M3" s="26">
        <f>利润表!M3</f>
        <v>940847581.74000001</v>
      </c>
      <c r="N3" s="26">
        <f>利润表!N3</f>
        <v>528693076.44999999</v>
      </c>
      <c r="O3" s="26">
        <f>利润表!O3</f>
        <v>319281419.52999997</v>
      </c>
      <c r="P3" s="26">
        <f>利润表!P3</f>
        <v>153468545.18000001</v>
      </c>
      <c r="Q3" s="26">
        <f>利润表!Q3</f>
        <v>475541247.29000002</v>
      </c>
      <c r="R3" s="26">
        <f>利润表!R3</f>
        <v>342647438.50999999</v>
      </c>
      <c r="S3" s="26">
        <f>利润表!S3</f>
        <v>160980245.72999999</v>
      </c>
      <c r="T3" s="26">
        <f>利润表!T3</f>
        <v>76490124.170000002</v>
      </c>
      <c r="U3" s="26">
        <f>利润表!U3</f>
        <v>404860703.92000002</v>
      </c>
      <c r="V3" s="26">
        <f>利润表!V3</f>
        <v>299333915.07999998</v>
      </c>
      <c r="W3" s="26">
        <f>利润表!W3</f>
        <v>201629671.28</v>
      </c>
      <c r="X3" s="26">
        <f>利润表!X3</f>
        <v>88216270.299999997</v>
      </c>
      <c r="Y3" s="26">
        <f>利润表!Y3</f>
        <v>368978529.88999999</v>
      </c>
      <c r="Z3" s="26">
        <f>利润表!Z3</f>
        <v>263719499.74000001</v>
      </c>
      <c r="AA3" s="26">
        <f>利润表!AA3</f>
        <v>167647473.08000001</v>
      </c>
      <c r="AB3" s="26">
        <f>利润表!AB3</f>
        <v>70386396.640000001</v>
      </c>
      <c r="AC3" s="26">
        <f>利润表!AC3</f>
        <v>427854958.19</v>
      </c>
      <c r="AD3" s="26">
        <f>利润表!AD3</f>
        <v>289069924.76999998</v>
      </c>
      <c r="AE3" s="26">
        <f>利润表!AE3</f>
        <v>176035812.30000001</v>
      </c>
      <c r="AF3" s="26">
        <f>利润表!AF3</f>
        <v>72551082.439999998</v>
      </c>
      <c r="AG3" s="26">
        <f>利润表!AG3</f>
        <v>306601155.70999998</v>
      </c>
      <c r="AH3" s="26">
        <f>利润表!AH3</f>
        <v>228052601.91</v>
      </c>
      <c r="AI3" s="26">
        <f>利润表!AI3</f>
        <v>138338266.08000001</v>
      </c>
      <c r="AJ3" s="26">
        <f>利润表!AJ3</f>
        <v>60389382.710000001</v>
      </c>
      <c r="AK3" s="26">
        <f>利润表!AK3</f>
        <v>236369504.05000001</v>
      </c>
      <c r="AL3" s="26">
        <f>利润表!AL3</f>
        <v>158647035.88999999</v>
      </c>
      <c r="AM3" s="26">
        <f>利润表!AM3</f>
        <v>96728958.370000005</v>
      </c>
      <c r="AN3" s="26">
        <f>利润表!AN3</f>
        <v>45667900.600000001</v>
      </c>
      <c r="AO3" s="26">
        <f>利润表!AO3</f>
        <v>285772761.35000002</v>
      </c>
      <c r="AP3" s="26">
        <f>利润表!AP3</f>
        <v>271690739.83999997</v>
      </c>
      <c r="AQ3" s="26">
        <f>利润表!AQ3</f>
        <v>218629260.31999999</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0.80633659258037893</v>
      </c>
      <c r="F5" s="28">
        <f t="shared" ref="F5:BQ5" si="2">(F2/(1+F4))/F3</f>
        <v>0.81182838785736344</v>
      </c>
      <c r="G5" s="28">
        <f t="shared" si="2"/>
        <v>0.79541179574613974</v>
      </c>
      <c r="H5" s="28">
        <f t="shared" si="2"/>
        <v>0.92920617276824391</v>
      </c>
      <c r="I5" s="28">
        <f t="shared" si="2"/>
        <v>0.90753625523590919</v>
      </c>
      <c r="J5" s="28">
        <f t="shared" si="2"/>
        <v>0.88101281539983045</v>
      </c>
      <c r="K5" s="28">
        <f t="shared" si="2"/>
        <v>0.92853003189849515</v>
      </c>
      <c r="L5" s="28">
        <f t="shared" si="2"/>
        <v>0.8475607892549325</v>
      </c>
      <c r="M5" s="28">
        <f t="shared" si="2"/>
        <v>0.84376900434169499</v>
      </c>
      <c r="N5" s="28">
        <f t="shared" si="2"/>
        <v>0.93525461307291291</v>
      </c>
      <c r="O5" s="28">
        <f t="shared" si="2"/>
        <v>0.9514120930403509</v>
      </c>
      <c r="P5" s="28">
        <f t="shared" si="2"/>
        <v>0.83164000479627564</v>
      </c>
      <c r="Q5" s="28">
        <f t="shared" si="2"/>
        <v>0.85852512510137846</v>
      </c>
      <c r="R5" s="28">
        <f t="shared" si="2"/>
        <v>0.79027984144164432</v>
      </c>
      <c r="S5" s="28">
        <f t="shared" si="2"/>
        <v>1.2768782819135509</v>
      </c>
      <c r="T5" s="28">
        <f t="shared" si="2"/>
        <v>1.3097819625191747</v>
      </c>
      <c r="U5" s="28">
        <f t="shared" si="2"/>
        <v>0.87837238900868608</v>
      </c>
      <c r="V5" s="28">
        <f t="shared" si="2"/>
        <v>0.85669201961070096</v>
      </c>
      <c r="W5" s="28">
        <f t="shared" si="2"/>
        <v>0.75536736539977667</v>
      </c>
      <c r="X5" s="28">
        <f t="shared" si="2"/>
        <v>0.59790283797025789</v>
      </c>
      <c r="Y5" s="28">
        <f t="shared" si="2"/>
        <v>1.0566680426460002</v>
      </c>
      <c r="Z5" s="28">
        <f t="shared" si="2"/>
        <v>0.91873036193119706</v>
      </c>
      <c r="AA5" s="28">
        <f t="shared" si="2"/>
        <v>0.98454799550653382</v>
      </c>
      <c r="AB5" s="28">
        <f t="shared" si="2"/>
        <v>0.93218321877398747</v>
      </c>
      <c r="AC5" s="28">
        <f t="shared" si="2"/>
        <v>0.76935308034799943</v>
      </c>
      <c r="AD5" s="28">
        <f t="shared" si="2"/>
        <v>1.1387263143599187</v>
      </c>
      <c r="AE5" s="28">
        <f t="shared" si="2"/>
        <v>0.73534557489749264</v>
      </c>
      <c r="AF5" s="28">
        <f t="shared" si="2"/>
        <v>1.0236687433930778</v>
      </c>
      <c r="AG5" s="28">
        <f t="shared" si="2"/>
        <v>0.83599669744649208</v>
      </c>
      <c r="AH5" s="28">
        <f t="shared" si="2"/>
        <v>0.84841084185794979</v>
      </c>
      <c r="AI5" s="28">
        <f t="shared" si="2"/>
        <v>0.81753351960259413</v>
      </c>
      <c r="AJ5" s="28">
        <f t="shared" si="2"/>
        <v>0.77497443128554755</v>
      </c>
      <c r="AK5" s="28">
        <f t="shared" si="2"/>
        <v>0.88591013371959959</v>
      </c>
      <c r="AL5" s="28">
        <f t="shared" si="2"/>
        <v>0.88186146203260185</v>
      </c>
      <c r="AM5" s="28">
        <f t="shared" si="2"/>
        <v>0.92084726331464373</v>
      </c>
      <c r="AN5" s="28">
        <f t="shared" si="2"/>
        <v>0.8836132439788964</v>
      </c>
      <c r="AO5" s="28">
        <f t="shared" si="2"/>
        <v>0.81799809203005958</v>
      </c>
      <c r="AP5" s="28">
        <f t="shared" si="2"/>
        <v>0.81422504147475172</v>
      </c>
      <c r="AQ5" s="28">
        <f t="shared" si="2"/>
        <v>0.87610596451066103</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1007837054.6900001</v>
      </c>
      <c r="F6" s="26">
        <f>现金流量表!F8</f>
        <v>849041815.19000006</v>
      </c>
      <c r="G6" s="26">
        <f>现金流量表!G8</f>
        <v>602671254.92999995</v>
      </c>
      <c r="H6" s="26">
        <f>现金流量表!H8</f>
        <v>247219566.81</v>
      </c>
      <c r="I6" s="26">
        <f>现金流量表!I8</f>
        <v>731140163.59000003</v>
      </c>
      <c r="J6" s="26">
        <f>现金流量表!J8</f>
        <v>667329018.66999996</v>
      </c>
      <c r="K6" s="26">
        <f>现金流量表!K8</f>
        <v>404735762.77999997</v>
      </c>
      <c r="L6" s="26">
        <f>现金流量表!L8</f>
        <v>232065935.28999999</v>
      </c>
      <c r="M6" s="26">
        <f>现金流量表!M8</f>
        <v>285248018.56999999</v>
      </c>
      <c r="N6" s="26">
        <f>现金流量表!N8</f>
        <v>172938007.81</v>
      </c>
      <c r="O6" s="26">
        <f>现金流量表!O8</f>
        <v>95112143.530000001</v>
      </c>
      <c r="P6" s="26">
        <f>现金流量表!P8</f>
        <v>34927148.329999998</v>
      </c>
      <c r="Q6" s="26">
        <f>现金流量表!Q8</f>
        <v>97329895.609999999</v>
      </c>
      <c r="R6" s="26">
        <f>现金流量表!R8</f>
        <v>92285719.310000002</v>
      </c>
      <c r="S6" s="26">
        <f>现金流量表!S8</f>
        <v>78478299.019999996</v>
      </c>
      <c r="T6" s="26">
        <f>现金流量表!T8</f>
        <v>50244745.439999998</v>
      </c>
      <c r="U6" s="26">
        <f>现金流量表!U8</f>
        <v>326253461.87</v>
      </c>
      <c r="V6" s="26">
        <f>现金流量表!V8</f>
        <v>273861130.42000002</v>
      </c>
      <c r="W6" s="26">
        <f>现金流量表!W8</f>
        <v>151742186.5</v>
      </c>
      <c r="X6" s="26">
        <f>现金流量表!X8</f>
        <v>54645504.789999999</v>
      </c>
      <c r="Y6" s="26">
        <f>现金流量表!Y8</f>
        <v>336549161.55000001</v>
      </c>
      <c r="Z6" s="26">
        <f>现金流量表!Z8</f>
        <v>214002417.33000001</v>
      </c>
      <c r="AA6" s="26">
        <f>现金流量表!AA8</f>
        <v>167101972.63</v>
      </c>
      <c r="AB6" s="26">
        <f>现金流量表!AB8</f>
        <v>92875334.200000003</v>
      </c>
      <c r="AC6" s="26">
        <f>现金流量表!AC8</f>
        <v>305139069.27999997</v>
      </c>
      <c r="AD6" s="26">
        <f>现金流量表!AD8</f>
        <v>305139069.27999997</v>
      </c>
      <c r="AE6" s="26">
        <f>现金流量表!AE8</f>
        <v>109024990.06999999</v>
      </c>
      <c r="AF6" s="26">
        <f>现金流量表!AF8</f>
        <v>81675579.469999999</v>
      </c>
      <c r="AG6" s="26">
        <f>现金流量表!AG8</f>
        <v>355555330.18000001</v>
      </c>
      <c r="AH6" s="26">
        <f>现金流量表!AH8</f>
        <v>276143783.63</v>
      </c>
      <c r="AI6" s="26">
        <f>现金流量表!AI8</f>
        <v>174078465.86000001</v>
      </c>
      <c r="AJ6" s="26">
        <f>现金流量表!AJ8</f>
        <v>69686145.489999995</v>
      </c>
      <c r="AK6" s="26">
        <f>现金流量表!AK8</f>
        <v>202446426.69</v>
      </c>
      <c r="AL6" s="26">
        <f>现金流量表!AL8</f>
        <v>147130861.19</v>
      </c>
      <c r="AM6" s="26">
        <f>现金流量表!AM8</f>
        <v>75428819.569999993</v>
      </c>
      <c r="AN6" s="26">
        <f>现金流量表!AN8</f>
        <v>36137683.899999999</v>
      </c>
      <c r="AO6" s="26">
        <f>现金流量表!AO8</f>
        <v>214660131.06</v>
      </c>
      <c r="AP6" s="26">
        <f>现金流量表!AP8</f>
        <v>219146974.56</v>
      </c>
      <c r="AQ6" s="26">
        <f>现金流量表!AQ8</f>
        <v>195725138.28</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397528732.79000002</v>
      </c>
      <c r="F7" s="26">
        <f>现金流量表!F9</f>
        <v>291827416.97000003</v>
      </c>
      <c r="G7" s="26">
        <f>现金流量表!G9</f>
        <v>191923739.69</v>
      </c>
      <c r="H7" s="26">
        <f>现金流量表!H9</f>
        <v>67005571.590000004</v>
      </c>
      <c r="I7" s="26">
        <f>现金流量表!I9</f>
        <v>189974839.69</v>
      </c>
      <c r="J7" s="26">
        <f>现金流量表!J9</f>
        <v>157077360.74000001</v>
      </c>
      <c r="K7" s="26">
        <f>现金流量表!K9</f>
        <v>108772662.13</v>
      </c>
      <c r="L7" s="26">
        <f>现金流量表!L9</f>
        <v>51402125.880000003</v>
      </c>
      <c r="M7" s="26">
        <f>现金流量表!M9</f>
        <v>134493853.13</v>
      </c>
      <c r="N7" s="26">
        <f>现金流量表!N9</f>
        <v>91215259.920000002</v>
      </c>
      <c r="O7" s="26">
        <f>现金流量表!O9</f>
        <v>55944833.560000002</v>
      </c>
      <c r="P7" s="26">
        <f>现金流量表!P9</f>
        <v>36509953.299999997</v>
      </c>
      <c r="Q7" s="26">
        <f>现金流量表!Q9</f>
        <v>113135768.84999999</v>
      </c>
      <c r="R7" s="26">
        <f>现金流量表!R9</f>
        <v>78063007</v>
      </c>
      <c r="S7" s="26">
        <f>现金流量表!S9</f>
        <v>23808608.870000001</v>
      </c>
      <c r="T7" s="26">
        <f>现金流量表!T9</f>
        <v>11270120.5</v>
      </c>
      <c r="U7" s="26">
        <f>现金流量表!U9</f>
        <v>39780977.340000004</v>
      </c>
      <c r="V7" s="26">
        <f>现金流量表!V9</f>
        <v>26618499.34</v>
      </c>
      <c r="W7" s="26">
        <f>现金流量表!W9</f>
        <v>19366326.719999999</v>
      </c>
      <c r="X7" s="26">
        <f>现金流量表!X9</f>
        <v>9647837.9100000001</v>
      </c>
      <c r="Y7" s="26">
        <f>现金流量表!Y9</f>
        <v>35096167.539999999</v>
      </c>
      <c r="Z7" s="26">
        <f>现金流量表!Z9</f>
        <v>24910174.280000001</v>
      </c>
      <c r="AA7" s="26">
        <f>现金流量表!AA9</f>
        <v>16593444.82</v>
      </c>
      <c r="AB7" s="26">
        <f>现金流量表!AB9</f>
        <v>7813992.0899999999</v>
      </c>
      <c r="AC7" s="26">
        <f>现金流量表!AC9</f>
        <v>37118193.289999999</v>
      </c>
      <c r="AD7" s="26">
        <f>现金流量表!AD9</f>
        <v>37118193.289999999</v>
      </c>
      <c r="AE7" s="26">
        <f>现金流量表!AE9</f>
        <v>17697568.390000001</v>
      </c>
      <c r="AF7" s="26">
        <f>现金流量表!AF9</f>
        <v>8883851.9100000001</v>
      </c>
      <c r="AG7" s="26">
        <f>现金流量表!AG9</f>
        <v>30364608.07</v>
      </c>
      <c r="AH7" s="26">
        <f>现金流量表!AH9</f>
        <v>22078612.489999998</v>
      </c>
      <c r="AI7" s="26">
        <f>现金流量表!AI9</f>
        <v>13984496.619999999</v>
      </c>
      <c r="AJ7" s="26">
        <f>现金流量表!AJ9</f>
        <v>6482824.0099999998</v>
      </c>
      <c r="AK7" s="26">
        <f>现金流量表!AK9</f>
        <v>18495010.789999999</v>
      </c>
      <c r="AL7" s="26">
        <f>现金流量表!AL9</f>
        <v>12034064</v>
      </c>
      <c r="AM7" s="26">
        <f>现金流量表!AM9</f>
        <v>8498095.8900000006</v>
      </c>
      <c r="AN7" s="26">
        <f>现金流量表!AN9</f>
        <v>5219329.18</v>
      </c>
      <c r="AO7" s="26">
        <f>现金流量表!AO9</f>
        <v>20219658.66</v>
      </c>
      <c r="AP7" s="26">
        <f>现金流量表!AP9</f>
        <v>17597975.18</v>
      </c>
      <c r="AQ7" s="26">
        <f>现金流量表!AQ9</f>
        <v>12990059.4</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5" t="s">
        <v>490</v>
      </c>
      <c r="E8" s="58">
        <f>利润表!E6</f>
        <v>1073549556.55</v>
      </c>
      <c r="F8" s="58">
        <f>利润表!F6</f>
        <v>812762965.25</v>
      </c>
      <c r="G8" s="58">
        <f>利润表!G6</f>
        <v>624870843.95000005</v>
      </c>
      <c r="H8" s="58">
        <f>利润表!H6</f>
        <v>243581348.91</v>
      </c>
      <c r="I8" s="58">
        <f>利润表!I6</f>
        <v>681953910.48000002</v>
      </c>
      <c r="J8" s="58">
        <f>利润表!J6</f>
        <v>586998862.96000004</v>
      </c>
      <c r="K8" s="58">
        <f>利润表!K6</f>
        <v>399669312.94</v>
      </c>
      <c r="L8" s="58">
        <f>利润表!L6</f>
        <v>217997762.84</v>
      </c>
      <c r="M8" s="58">
        <f>利润表!M6</f>
        <v>294534604.23000002</v>
      </c>
      <c r="N8" s="58">
        <f>利润表!N6</f>
        <v>143239997.56</v>
      </c>
      <c r="O8" s="58">
        <f>利润表!O6</f>
        <v>82821174.730000004</v>
      </c>
      <c r="P8" s="58">
        <f>利润表!P6</f>
        <v>36003926.729999997</v>
      </c>
      <c r="Q8" s="58">
        <f>利润表!Q6</f>
        <v>84075285.200000003</v>
      </c>
      <c r="R8" s="58">
        <f>利润表!R6</f>
        <v>70051293.879999995</v>
      </c>
      <c r="S8" s="58">
        <f>利润表!S6</f>
        <v>134933687.97</v>
      </c>
      <c r="T8" s="58">
        <f>利润表!T6</f>
        <v>61285591.07</v>
      </c>
      <c r="U8" s="58">
        <f>利润表!U6</f>
        <v>331647428.75999999</v>
      </c>
      <c r="V8" s="58">
        <f>利润表!V6</f>
        <v>244767894.46000001</v>
      </c>
      <c r="W8" s="58">
        <f>利润表!W6</f>
        <v>159124525.56</v>
      </c>
      <c r="X8" s="58">
        <f>利润表!X6</f>
        <v>71075407.579999998</v>
      </c>
      <c r="Y8" s="58">
        <f>利润表!Y6</f>
        <v>291852976.17000002</v>
      </c>
      <c r="Z8" s="58">
        <f>利润表!Z6</f>
        <v>210304718.69</v>
      </c>
      <c r="AA8" s="58">
        <f>利润表!AA6</f>
        <v>134841206.36000001</v>
      </c>
      <c r="AB8" s="58">
        <f>利润表!AB6</f>
        <v>55432019.719999999</v>
      </c>
      <c r="AC8" s="58">
        <f>利润表!AC6</f>
        <v>347819373.01999998</v>
      </c>
      <c r="AD8" s="58">
        <f>利润表!AD6</f>
        <v>236634286.88</v>
      </c>
      <c r="AE8" s="58">
        <f>利润表!AE6</f>
        <v>144027414.56999999</v>
      </c>
      <c r="AF8" s="58">
        <f>利润表!AF6</f>
        <v>61399932.880000003</v>
      </c>
      <c r="AG8" s="58">
        <f>利润表!AG6</f>
        <v>255058285.75</v>
      </c>
      <c r="AH8" s="58">
        <f>利润表!AH6</f>
        <v>188392182.86000001</v>
      </c>
      <c r="AI8" s="58">
        <f>利润表!AI6</f>
        <v>114405034.56</v>
      </c>
      <c r="AJ8" s="58">
        <f>利润表!AJ6</f>
        <v>50105763.420000002</v>
      </c>
      <c r="AK8" s="58">
        <f>利润表!AK6</f>
        <v>180376688.06</v>
      </c>
      <c r="AL8" s="58">
        <f>利润表!AL6</f>
        <v>122895640.44</v>
      </c>
      <c r="AM8" s="58">
        <f>利润表!AM6</f>
        <v>75225794.790000007</v>
      </c>
      <c r="AN8" s="58">
        <f>利润表!AN6</f>
        <v>37067286.439999998</v>
      </c>
      <c r="AO8" s="58">
        <f>利润表!AO6</f>
        <v>234097399.05000001</v>
      </c>
      <c r="AP8" s="58">
        <f>利润表!AP6</f>
        <v>218187982.00999999</v>
      </c>
      <c r="AQ8" s="58">
        <f>利润表!AQ6</f>
        <v>177908118.96000001</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5" t="s">
        <v>491</v>
      </c>
      <c r="E9" s="58">
        <f>利润表!E7</f>
        <v>14762897.85</v>
      </c>
      <c r="F9" s="58">
        <f>利润表!F7</f>
        <v>9954565.4600000009</v>
      </c>
      <c r="G9" s="58">
        <f>利润表!G7</f>
        <v>7979233.3300000001</v>
      </c>
      <c r="H9" s="58">
        <f>利润表!H7</f>
        <v>2037316.29</v>
      </c>
      <c r="I9" s="58">
        <f>利润表!I7</f>
        <v>5334404.04</v>
      </c>
      <c r="J9" s="58">
        <f>利润表!J7</f>
        <v>3250132.44</v>
      </c>
      <c r="K9" s="58">
        <f>利润表!K7</f>
        <v>2148225.4300000002</v>
      </c>
      <c r="L9" s="58">
        <f>利润表!L7</f>
        <v>1117994.8700000001</v>
      </c>
      <c r="M9" s="58">
        <f>利润表!M7</f>
        <v>3973624.58</v>
      </c>
      <c r="N9" s="58">
        <f>利润表!N7</f>
        <v>2698035.2000000002</v>
      </c>
      <c r="O9" s="58">
        <f>利润表!O7</f>
        <v>1528713.33</v>
      </c>
      <c r="P9" s="58">
        <f>利润表!P7</f>
        <v>673026.7</v>
      </c>
      <c r="Q9" s="58">
        <f>利润表!Q7</f>
        <v>2135664.39</v>
      </c>
      <c r="R9" s="58">
        <f>利润表!R7</f>
        <v>1555881.22</v>
      </c>
      <c r="S9" s="58">
        <f>利润表!S7</f>
        <v>1231802.94</v>
      </c>
      <c r="T9" s="58">
        <f>利润表!T7</f>
        <v>230951.84</v>
      </c>
      <c r="U9" s="58">
        <f>利润表!U7</f>
        <v>786637.65</v>
      </c>
      <c r="V9" s="58">
        <f>利润表!V7</f>
        <v>521075.42</v>
      </c>
      <c r="W9" s="58">
        <f>利润表!W7</f>
        <v>440141.02</v>
      </c>
      <c r="X9" s="58">
        <f>利润表!X7</f>
        <v>139746.96</v>
      </c>
      <c r="Y9" s="58">
        <f>利润表!Y7</f>
        <v>1990295.61</v>
      </c>
      <c r="Z9" s="58">
        <f>利润表!Z7</f>
        <v>1574985.16</v>
      </c>
      <c r="AA9" s="58">
        <f>利润表!AA7</f>
        <v>1179884.3400000001</v>
      </c>
      <c r="AB9" s="58">
        <f>利润表!AB7</f>
        <v>469489.97</v>
      </c>
      <c r="AC9" s="58">
        <f>利润表!AC7</f>
        <v>2485080.54</v>
      </c>
      <c r="AD9" s="58">
        <f>利润表!AD7</f>
        <v>967682.29</v>
      </c>
      <c r="AE9" s="58">
        <f>利润表!AE7</f>
        <v>395512.9</v>
      </c>
      <c r="AF9" s="58">
        <f>利润表!AF7</f>
        <v>123133.85</v>
      </c>
      <c r="AG9" s="58">
        <f>利润表!AG7</f>
        <v>677738.84</v>
      </c>
      <c r="AH9" s="58">
        <f>利润表!AH7</f>
        <v>619502.54</v>
      </c>
      <c r="AI9" s="58">
        <f>利润表!AI7</f>
        <v>213160.36</v>
      </c>
      <c r="AJ9" s="58">
        <f>利润表!AJ7</f>
        <v>9770.66</v>
      </c>
      <c r="AK9" s="58">
        <f>利润表!AK7</f>
        <v>70592.39</v>
      </c>
      <c r="AL9" s="58">
        <f>利润表!AL7</f>
        <v>54576.77</v>
      </c>
      <c r="AM9" s="58">
        <f>利润表!AM7</f>
        <v>38531.42</v>
      </c>
      <c r="AN9" s="58">
        <f>利润表!AN7</f>
        <v>885.29</v>
      </c>
      <c r="AO9" s="58">
        <f>利润表!AO7</f>
        <v>56266.720000000001</v>
      </c>
      <c r="AP9" s="58">
        <f>利润表!AP7</f>
        <v>261365.22</v>
      </c>
      <c r="AQ9" s="58">
        <f>利润表!AQ7</f>
        <v>185792.82</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5" t="s">
        <v>492</v>
      </c>
      <c r="E10" s="58">
        <f>利润表!E8</f>
        <v>235039391.34999999</v>
      </c>
      <c r="F10" s="58">
        <f>利润表!F8</f>
        <v>160911887.5</v>
      </c>
      <c r="G10" s="58">
        <f>利润表!G8</f>
        <v>102697946.06999999</v>
      </c>
      <c r="H10" s="58">
        <f>利润表!H8</f>
        <v>33508005.43</v>
      </c>
      <c r="I10" s="58">
        <f>利润表!I8</f>
        <v>76143525.890000001</v>
      </c>
      <c r="J10" s="58">
        <f>利润表!J8</f>
        <v>58604093.039999999</v>
      </c>
      <c r="K10" s="58">
        <f>利润表!K8</f>
        <v>33786565.460000001</v>
      </c>
      <c r="L10" s="58">
        <f>利润表!L8</f>
        <v>19579201.640000001</v>
      </c>
      <c r="M10" s="58">
        <f>利润表!M8</f>
        <v>14814626.029999999</v>
      </c>
      <c r="N10" s="58">
        <f>利润表!N8</f>
        <v>8446284.1899999995</v>
      </c>
      <c r="O10" s="58">
        <f>利润表!O8</f>
        <v>6716926.7599999998</v>
      </c>
      <c r="P10" s="58">
        <f>利润表!P8</f>
        <v>3492623.59</v>
      </c>
      <c r="Q10" s="58">
        <f>利润表!Q8</f>
        <v>39167018.579999998</v>
      </c>
      <c r="R10" s="58">
        <f>利润表!R8</f>
        <v>28778010.32</v>
      </c>
      <c r="S10" s="58">
        <f>利润表!S8</f>
        <v>6491548.3899999997</v>
      </c>
      <c r="T10" s="58">
        <f>利润表!T8</f>
        <v>2544162.16</v>
      </c>
      <c r="U10" s="58">
        <f>利润表!U8</f>
        <v>13101319.789999999</v>
      </c>
      <c r="V10" s="58">
        <f>利润表!V8</f>
        <v>8930356.6999999993</v>
      </c>
      <c r="W10" s="58">
        <f>利润表!W8</f>
        <v>6592855.2999999998</v>
      </c>
      <c r="X10" s="58">
        <f>利润表!X8</f>
        <v>3895547.01</v>
      </c>
      <c r="Y10" s="58">
        <f>利润表!Y8</f>
        <v>11733088.949999999</v>
      </c>
      <c r="Z10" s="58">
        <f>利润表!Z8</f>
        <v>8997436.8499999996</v>
      </c>
      <c r="AA10" s="58">
        <f>利润表!AA8</f>
        <v>5526848.1900000004</v>
      </c>
      <c r="AB10" s="58">
        <f>利润表!AB8</f>
        <v>3593793.33</v>
      </c>
      <c r="AC10" s="58">
        <f>利润表!AC8</f>
        <v>11182598.359999999</v>
      </c>
      <c r="AD10" s="58">
        <f>利润表!AD8</f>
        <v>7051016.8899999997</v>
      </c>
      <c r="AE10" s="58">
        <f>利润表!AE8</f>
        <v>4808581.66</v>
      </c>
      <c r="AF10" s="58">
        <f>利润表!AF8</f>
        <v>2603706.5699999998</v>
      </c>
      <c r="AG10" s="58">
        <f>利润表!AG8</f>
        <v>7446312.4199999999</v>
      </c>
      <c r="AH10" s="58">
        <f>利润表!AH8</f>
        <v>5205512.6100000003</v>
      </c>
      <c r="AI10" s="58">
        <f>利润表!AI8</f>
        <v>3295356.99</v>
      </c>
      <c r="AJ10" s="58">
        <f>利润表!AJ8</f>
        <v>1314460.1200000001</v>
      </c>
      <c r="AK10" s="58">
        <f>利润表!AK8</f>
        <v>4606815.68</v>
      </c>
      <c r="AL10" s="58">
        <f>利润表!AL8</f>
        <v>2859957.14</v>
      </c>
      <c r="AM10" s="58">
        <f>利润表!AM8</f>
        <v>2360819.9</v>
      </c>
      <c r="AN10" s="58">
        <f>利润表!AN8</f>
        <v>956052.64</v>
      </c>
      <c r="AO10" s="58">
        <f>利润表!AO8</f>
        <v>5688106.25</v>
      </c>
      <c r="AP10" s="58">
        <f>利润表!AP8</f>
        <v>5667204.29</v>
      </c>
      <c r="AQ10" s="58">
        <f>利润表!AQ8</f>
        <v>3983624.71</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5" t="s">
        <v>493</v>
      </c>
      <c r="E11" s="58">
        <f>利润表!E9</f>
        <v>645302065.19000006</v>
      </c>
      <c r="F11" s="58">
        <f>利润表!F9</f>
        <v>376647774.79000002</v>
      </c>
      <c r="G11" s="58">
        <f>利润表!G9</f>
        <v>230984681.88</v>
      </c>
      <c r="H11" s="58">
        <f>利润表!H9</f>
        <v>101541708.88</v>
      </c>
      <c r="I11" s="58">
        <f>利润表!I9</f>
        <v>343751924.87</v>
      </c>
      <c r="J11" s="58">
        <f>利润表!J9</f>
        <v>295195959.89999998</v>
      </c>
      <c r="K11" s="58">
        <f>利润表!K9</f>
        <v>196749875.84</v>
      </c>
      <c r="L11" s="58">
        <f>利润表!L9</f>
        <v>88053884.180000007</v>
      </c>
      <c r="M11" s="58">
        <f>利润表!M9</f>
        <v>226255739.27000001</v>
      </c>
      <c r="N11" s="58">
        <f>利润表!N9</f>
        <v>111578771.18000001</v>
      </c>
      <c r="O11" s="58">
        <f>利润表!O9</f>
        <v>74093674.420000002</v>
      </c>
      <c r="P11" s="58">
        <f>利润表!P9</f>
        <v>37907618.509999998</v>
      </c>
      <c r="Q11" s="58">
        <f>利润表!Q9</f>
        <v>139922870.47</v>
      </c>
      <c r="R11" s="58">
        <f>利润表!R9</f>
        <v>95218737.260000005</v>
      </c>
      <c r="S11" s="58">
        <f>利润表!S9</f>
        <v>13749416.039999999</v>
      </c>
      <c r="T11" s="58">
        <f>利润表!T9</f>
        <v>7229190.6799999997</v>
      </c>
      <c r="U11" s="58">
        <f>利润表!U9</f>
        <v>27247889.48</v>
      </c>
      <c r="V11" s="58">
        <f>利润表!V9</f>
        <v>20159171.960000001</v>
      </c>
      <c r="W11" s="58">
        <f>利润表!W9</f>
        <v>13156661.380000001</v>
      </c>
      <c r="X11" s="58">
        <f>利润表!X9</f>
        <v>5790115.3200000003</v>
      </c>
      <c r="Y11" s="58">
        <f>利润表!Y9</f>
        <v>25466012.559999999</v>
      </c>
      <c r="Z11" s="58">
        <f>利润表!Z9</f>
        <v>16706878.949999999</v>
      </c>
      <c r="AA11" s="58">
        <f>利润表!AA9</f>
        <v>10583610.17</v>
      </c>
      <c r="AB11" s="58">
        <f>利润表!AB9</f>
        <v>4579572.97</v>
      </c>
      <c r="AC11" s="58">
        <f>利润表!AC9</f>
        <v>20500322.920000002</v>
      </c>
      <c r="AD11" s="58">
        <f>利润表!AD9</f>
        <v>15196836.859999999</v>
      </c>
      <c r="AE11" s="58">
        <f>利润表!AE9</f>
        <v>10240511.060000001</v>
      </c>
      <c r="AF11" s="58">
        <f>利润表!AF9</f>
        <v>4655559.8099999996</v>
      </c>
      <c r="AG11" s="58">
        <f>利润表!AG9</f>
        <v>21064727.32</v>
      </c>
      <c r="AH11" s="58">
        <f>利润表!AH9</f>
        <v>17088875.149999999</v>
      </c>
      <c r="AI11" s="58">
        <f>利润表!AI9</f>
        <v>13423976.67</v>
      </c>
      <c r="AJ11" s="58">
        <f>利润表!AJ9</f>
        <v>10065443.91</v>
      </c>
      <c r="AK11" s="58">
        <f>利润表!AK9</f>
        <v>12385737.359999999</v>
      </c>
      <c r="AL11" s="58">
        <f>利润表!AL9</f>
        <v>8100878.7400000002</v>
      </c>
      <c r="AM11" s="58">
        <f>利润表!AM9</f>
        <v>5105867.0199999996</v>
      </c>
      <c r="AN11" s="58">
        <f>利润表!AN9</f>
        <v>2168814.48</v>
      </c>
      <c r="AO11" s="58">
        <f>利润表!AO9</f>
        <v>10425117.710000001</v>
      </c>
      <c r="AP11" s="58">
        <f>利润表!AP9</f>
        <v>7970574.8799999999</v>
      </c>
      <c r="AQ11" s="58">
        <f>利润表!AQ9</f>
        <v>3966026.1</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5" t="s">
        <v>494</v>
      </c>
      <c r="E12" s="58">
        <f>SUM(E8:E11)</f>
        <v>1968653910.9399998</v>
      </c>
      <c r="F12" s="58">
        <f t="shared" ref="F12:BQ12" si="4">SUM(F8:F11)</f>
        <v>1360277193</v>
      </c>
      <c r="G12" s="58">
        <f t="shared" si="4"/>
        <v>966532705.23000014</v>
      </c>
      <c r="H12" s="58">
        <f t="shared" si="4"/>
        <v>380668379.50999999</v>
      </c>
      <c r="I12" s="58">
        <f t="shared" si="4"/>
        <v>1107183765.28</v>
      </c>
      <c r="J12" s="58">
        <f t="shared" si="4"/>
        <v>944049048.34000003</v>
      </c>
      <c r="K12" s="58">
        <f t="shared" si="4"/>
        <v>632353979.66999996</v>
      </c>
      <c r="L12" s="58">
        <f t="shared" si="4"/>
        <v>326748843.53000003</v>
      </c>
      <c r="M12" s="58">
        <f t="shared" si="4"/>
        <v>539578594.11000001</v>
      </c>
      <c r="N12" s="58">
        <f t="shared" si="4"/>
        <v>265963088.13</v>
      </c>
      <c r="O12" s="58">
        <f t="shared" si="4"/>
        <v>165160489.24000001</v>
      </c>
      <c r="P12" s="58">
        <f t="shared" si="4"/>
        <v>78077195.530000001</v>
      </c>
      <c r="Q12" s="58">
        <f t="shared" si="4"/>
        <v>265300838.63999999</v>
      </c>
      <c r="R12" s="58">
        <f t="shared" si="4"/>
        <v>195603922.68000001</v>
      </c>
      <c r="S12" s="58">
        <f t="shared" si="4"/>
        <v>156406455.33999997</v>
      </c>
      <c r="T12" s="58">
        <f t="shared" si="4"/>
        <v>71289895.75</v>
      </c>
      <c r="U12" s="58">
        <f t="shared" si="4"/>
        <v>372783275.68000001</v>
      </c>
      <c r="V12" s="58">
        <f t="shared" si="4"/>
        <v>274378498.53999996</v>
      </c>
      <c r="W12" s="58">
        <f t="shared" si="4"/>
        <v>179314183.26000002</v>
      </c>
      <c r="X12" s="58">
        <f t="shared" si="4"/>
        <v>80900816.870000005</v>
      </c>
      <c r="Y12" s="58">
        <f t="shared" si="4"/>
        <v>331042373.29000002</v>
      </c>
      <c r="Z12" s="58">
        <f t="shared" si="4"/>
        <v>237584019.64999998</v>
      </c>
      <c r="AA12" s="58">
        <f t="shared" si="4"/>
        <v>152131549.06</v>
      </c>
      <c r="AB12" s="58">
        <f t="shared" si="4"/>
        <v>64074875.989999995</v>
      </c>
      <c r="AC12" s="58">
        <f t="shared" si="4"/>
        <v>381987374.84000003</v>
      </c>
      <c r="AD12" s="58">
        <f t="shared" si="4"/>
        <v>259849822.91999996</v>
      </c>
      <c r="AE12" s="58">
        <f t="shared" si="4"/>
        <v>159472020.19</v>
      </c>
      <c r="AF12" s="58">
        <f t="shared" si="4"/>
        <v>68782333.109999999</v>
      </c>
      <c r="AG12" s="58">
        <f t="shared" si="4"/>
        <v>284247064.32999998</v>
      </c>
      <c r="AH12" s="58">
        <f t="shared" si="4"/>
        <v>211306073.16000003</v>
      </c>
      <c r="AI12" s="58">
        <f t="shared" si="4"/>
        <v>131337528.58</v>
      </c>
      <c r="AJ12" s="58">
        <f t="shared" si="4"/>
        <v>61495438.109999999</v>
      </c>
      <c r="AK12" s="58">
        <f t="shared" si="4"/>
        <v>197439833.49000001</v>
      </c>
      <c r="AL12" s="58">
        <f t="shared" si="4"/>
        <v>133911053.08999999</v>
      </c>
      <c r="AM12" s="58">
        <f t="shared" si="4"/>
        <v>82731013.13000001</v>
      </c>
      <c r="AN12" s="58">
        <f t="shared" si="4"/>
        <v>40193038.849999994</v>
      </c>
      <c r="AO12" s="58">
        <f t="shared" si="4"/>
        <v>250266889.73000002</v>
      </c>
      <c r="AP12" s="58">
        <f t="shared" si="4"/>
        <v>232087126.39999998</v>
      </c>
      <c r="AQ12" s="58">
        <f t="shared" si="4"/>
        <v>186043562.59</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0.63948666539951537</v>
      </c>
      <c r="F13" s="28">
        <f t="shared" ref="F13:BQ13" si="6">(F6/(1+F4)+F7)/F12</f>
        <v>0.74801238109831214</v>
      </c>
      <c r="G13" s="28">
        <f t="shared" si="6"/>
        <v>0.73150900384075512</v>
      </c>
      <c r="H13" s="28">
        <f t="shared" si="6"/>
        <v>0.73109394323615251</v>
      </c>
      <c r="I13" s="28">
        <f t="shared" si="6"/>
        <v>0.73599431997669995</v>
      </c>
      <c r="J13" s="28">
        <f t="shared" si="6"/>
        <v>0.77055746694841443</v>
      </c>
      <c r="K13" s="28">
        <f t="shared" si="6"/>
        <v>0.7190603350727045</v>
      </c>
      <c r="L13" s="28">
        <f t="shared" si="6"/>
        <v>0.76434571709933485</v>
      </c>
      <c r="M13" s="28">
        <f t="shared" si="6"/>
        <v>0.70109448842661803</v>
      </c>
      <c r="N13" s="28">
        <f t="shared" si="6"/>
        <v>0.89871690348488098</v>
      </c>
      <c r="O13" s="28">
        <f t="shared" si="6"/>
        <v>0.83093277671330645</v>
      </c>
      <c r="P13" s="28">
        <f t="shared" si="6"/>
        <v>0.84995646141536718</v>
      </c>
      <c r="Q13" s="28">
        <f t="shared" si="6"/>
        <v>0.74000412068886623</v>
      </c>
      <c r="R13" s="28">
        <f t="shared" si="6"/>
        <v>0.80233406375846084</v>
      </c>
      <c r="S13" s="28">
        <f t="shared" si="6"/>
        <v>0.581076260057792</v>
      </c>
      <c r="T13" s="28">
        <f t="shared" si="6"/>
        <v>0.76047729908196526</v>
      </c>
      <c r="U13" s="28">
        <f t="shared" si="6"/>
        <v>0.85473279204434116</v>
      </c>
      <c r="V13" s="28">
        <f t="shared" si="6"/>
        <v>0.95010302544283431</v>
      </c>
      <c r="W13" s="28">
        <f t="shared" si="6"/>
        <v>0.83128116530298879</v>
      </c>
      <c r="X13" s="28">
        <f t="shared" si="6"/>
        <v>0.69657390048517376</v>
      </c>
      <c r="Y13" s="28">
        <f t="shared" si="6"/>
        <v>0.97493568680680542</v>
      </c>
      <c r="Z13" s="28">
        <f t="shared" si="6"/>
        <v>0.87471465288848205</v>
      </c>
      <c r="AA13" s="28">
        <f t="shared" si="6"/>
        <v>1.0478802367692122</v>
      </c>
      <c r="AB13" s="28">
        <f t="shared" si="6"/>
        <v>1.3608238527839802</v>
      </c>
      <c r="AC13" s="28">
        <f t="shared" si="6"/>
        <v>0.77992320225511902</v>
      </c>
      <c r="AD13" s="28">
        <f t="shared" si="6"/>
        <v>1.1465115244583417</v>
      </c>
      <c r="AE13" s="28">
        <f t="shared" si="6"/>
        <v>0.6953026647212075</v>
      </c>
      <c r="AF13" s="28">
        <f t="shared" si="6"/>
        <v>1.1440734260256702</v>
      </c>
      <c r="AG13" s="28">
        <f t="shared" si="6"/>
        <v>1.17594196955445</v>
      </c>
      <c r="AH13" s="28">
        <f t="shared" si="6"/>
        <v>1.2214459173800345</v>
      </c>
      <c r="AI13" s="28">
        <f t="shared" si="6"/>
        <v>1.2393221643150518</v>
      </c>
      <c r="AJ13" s="28">
        <f t="shared" si="6"/>
        <v>1.0739598602903768</v>
      </c>
      <c r="AK13" s="28">
        <f t="shared" si="6"/>
        <v>0.97004814746654144</v>
      </c>
      <c r="AL13" s="28">
        <f t="shared" si="6"/>
        <v>1.0289437177330008</v>
      </c>
      <c r="AM13" s="28">
        <f t="shared" si="6"/>
        <v>0.88198088824197074</v>
      </c>
      <c r="AN13" s="28">
        <f t="shared" si="6"/>
        <v>0.89832069257035851</v>
      </c>
      <c r="AO13" s="28">
        <f t="shared" si="6"/>
        <v>0.81389054847379094</v>
      </c>
      <c r="AP13" s="28">
        <f t="shared" si="6"/>
        <v>0.88287138032977297</v>
      </c>
      <c r="AQ13" s="28">
        <f t="shared" si="6"/>
        <v>0.96900155998221571</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9" customFormat="1" x14ac:dyDescent="0.25">
      <c r="A14" s="317" t="s">
        <v>496</v>
      </c>
      <c r="E14" s="29">
        <f>现金流量表!E13</f>
        <v>894259231.52999997</v>
      </c>
      <c r="F14" s="29">
        <f>现金流量表!F13</f>
        <v>607769733.25999999</v>
      </c>
      <c r="G14" s="29">
        <f>现金流量表!G13</f>
        <v>535216358.55000001</v>
      </c>
      <c r="H14" s="29">
        <f>现金流量表!H13</f>
        <v>119357705.84</v>
      </c>
      <c r="I14" s="29">
        <f>现金流量表!I13</f>
        <v>502161696.61000001</v>
      </c>
      <c r="J14" s="29">
        <f>现金流量表!J13</f>
        <v>272970470.39999998</v>
      </c>
      <c r="K14" s="29">
        <f>现金流量表!K13</f>
        <v>256359330.97999999</v>
      </c>
      <c r="L14" s="29">
        <f>现金流量表!L13</f>
        <v>59950360.829999998</v>
      </c>
      <c r="M14" s="29">
        <f>现金流量表!M13</f>
        <v>319815463.44999999</v>
      </c>
      <c r="N14" s="29">
        <f>现金流量表!N13</f>
        <v>212158835.91</v>
      </c>
      <c r="O14" s="29">
        <f>现金流量表!O13</f>
        <v>149557629.66</v>
      </c>
      <c r="P14" s="29">
        <f>现金流量表!P13</f>
        <v>53685843.909999996</v>
      </c>
      <c r="Q14" s="29">
        <f>现金流量表!Q13</f>
        <v>130247553.36</v>
      </c>
      <c r="R14" s="29">
        <f>现金流量表!R13</f>
        <v>90884489.090000004</v>
      </c>
      <c r="S14" s="29">
        <f>现金流量表!S13</f>
        <v>123276307.67</v>
      </c>
      <c r="T14" s="29">
        <f>现金流量表!T13</f>
        <v>45104165.799999997</v>
      </c>
      <c r="U14" s="29">
        <f>现金流量表!U13</f>
        <v>33861130.560000002</v>
      </c>
      <c r="V14" s="29">
        <f>现金流量表!V13</f>
        <v>-14335425.93</v>
      </c>
      <c r="W14" s="29">
        <f>现金流量表!W13</f>
        <v>-2057374.86</v>
      </c>
      <c r="X14" s="29">
        <f>现金流量表!X13</f>
        <v>-21348673.190000001</v>
      </c>
      <c r="Y14" s="29">
        <f>现金流量表!Y13</f>
        <v>70474643.549999997</v>
      </c>
      <c r="Z14" s="29">
        <f>现金流量表!Z13</f>
        <v>44595388.979999997</v>
      </c>
      <c r="AA14" s="29">
        <f>现金流量表!AA13</f>
        <v>19630028.210000001</v>
      </c>
      <c r="AB14" s="29">
        <f>现金流量表!AB13</f>
        <v>-27499918.41</v>
      </c>
      <c r="AC14" s="29">
        <f>现金流量表!AC13</f>
        <v>26215696.399999999</v>
      </c>
      <c r="AD14" s="29">
        <f>现金流量表!AD13</f>
        <v>26215696.399999999</v>
      </c>
      <c r="AE14" s="29">
        <f>现金流量表!AE13</f>
        <v>25362999.530000001</v>
      </c>
      <c r="AF14" s="29">
        <f>现金流量表!AF13</f>
        <v>-7341950.5800000001</v>
      </c>
      <c r="AG14" s="29">
        <f>现金流量表!AG13</f>
        <v>-103135762.66</v>
      </c>
      <c r="AH14" s="29">
        <f>现金流量表!AH13</f>
        <v>-92129113.760000005</v>
      </c>
      <c r="AI14" s="29">
        <f>现金流量表!AI13</f>
        <v>-69915547.030000001</v>
      </c>
      <c r="AJ14" s="29">
        <f>现金流量表!AJ13</f>
        <v>-32539203.309999999</v>
      </c>
      <c r="AK14" s="29">
        <f>现金流量表!AK13</f>
        <v>15888489.98</v>
      </c>
      <c r="AL14" s="29">
        <f>现金流量表!AL13</f>
        <v>-8670569.1099999994</v>
      </c>
      <c r="AM14" s="29">
        <f>现金流量表!AM13</f>
        <v>17608446.309999999</v>
      </c>
      <c r="AN14" s="29">
        <f>现金流量表!AN13</f>
        <v>696966.86</v>
      </c>
      <c r="AO14" s="29">
        <f>现金流量表!AO13</f>
        <v>24519272.550000001</v>
      </c>
      <c r="AP14" s="29">
        <f>现金流量表!AP13</f>
        <v>25160612.399999999</v>
      </c>
      <c r="AQ14" s="29">
        <f>现金流量表!AQ13</f>
        <v>16822143.379999999</v>
      </c>
      <c r="AR14" s="29">
        <f>现金流量表!AR13</f>
        <v>0</v>
      </c>
      <c r="AS14" s="29">
        <f>现金流量表!AS13</f>
        <v>0</v>
      </c>
      <c r="AT14" s="29">
        <f>现金流量表!AT13</f>
        <v>0</v>
      </c>
      <c r="AU14" s="29">
        <f>现金流量表!AU13</f>
        <v>0</v>
      </c>
      <c r="AV14" s="29">
        <f>现金流量表!AV13</f>
        <v>0</v>
      </c>
      <c r="AW14" s="29">
        <f>现金流量表!AW13</f>
        <v>0</v>
      </c>
      <c r="AX14" s="29">
        <f>现金流量表!AX13</f>
        <v>0</v>
      </c>
      <c r="AY14" s="29">
        <f>现金流量表!AY13</f>
        <v>0</v>
      </c>
      <c r="AZ14" s="29">
        <f>现金流量表!AZ13</f>
        <v>0</v>
      </c>
      <c r="BA14" s="29">
        <f>现金流量表!BA13</f>
        <v>0</v>
      </c>
      <c r="BB14" s="29">
        <f>现金流量表!BB13</f>
        <v>0</v>
      </c>
      <c r="BC14" s="29">
        <f>现金流量表!BC13</f>
        <v>0</v>
      </c>
      <c r="BD14" s="29">
        <f>现金流量表!BD13</f>
        <v>0</v>
      </c>
      <c r="BE14" s="29">
        <f>现金流量表!BE13</f>
        <v>0</v>
      </c>
      <c r="BF14" s="29">
        <f>现金流量表!BF13</f>
        <v>0</v>
      </c>
      <c r="BG14" s="29">
        <f>现金流量表!BG13</f>
        <v>0</v>
      </c>
      <c r="BH14" s="29">
        <f>现金流量表!BH13</f>
        <v>0</v>
      </c>
      <c r="BI14" s="29">
        <f>现金流量表!BI13</f>
        <v>0</v>
      </c>
      <c r="BJ14" s="29">
        <f>现金流量表!BJ13</f>
        <v>0</v>
      </c>
      <c r="BK14" s="29">
        <f>现金流量表!BK13</f>
        <v>0</v>
      </c>
      <c r="BL14" s="29">
        <f>现金流量表!BL13</f>
        <v>0</v>
      </c>
      <c r="BM14" s="29">
        <f>现金流量表!BM13</f>
        <v>0</v>
      </c>
      <c r="BN14" s="29">
        <f>现金流量表!BN13</f>
        <v>0</v>
      </c>
      <c r="BO14" s="29">
        <f>现金流量表!BO13</f>
        <v>0</v>
      </c>
      <c r="BP14" s="29">
        <f>现金流量表!BP13</f>
        <v>0</v>
      </c>
      <c r="BQ14" s="29">
        <f>现金流量表!BQ13</f>
        <v>0</v>
      </c>
      <c r="BR14" s="29">
        <f>现金流量表!BR13</f>
        <v>0</v>
      </c>
      <c r="BS14" s="29">
        <f>现金流量表!BS13</f>
        <v>0</v>
      </c>
      <c r="BT14" s="29">
        <f>现金流量表!BT13</f>
        <v>0</v>
      </c>
      <c r="BU14" s="29">
        <f>现金流量表!BU13</f>
        <v>0</v>
      </c>
      <c r="BV14" s="29">
        <f>现金流量表!BV13</f>
        <v>0</v>
      </c>
      <c r="BW14" s="29">
        <f>现金流量表!BW13</f>
        <v>0</v>
      </c>
      <c r="BX14" s="29">
        <f>现金流量表!BX13</f>
        <v>0</v>
      </c>
      <c r="BY14" s="29">
        <f>现金流量表!BY13</f>
        <v>0</v>
      </c>
      <c r="BZ14" s="29">
        <f>现金流量表!BZ13</f>
        <v>0</v>
      </c>
      <c r="CA14" s="29">
        <f>现金流量表!CA13</f>
        <v>0</v>
      </c>
      <c r="CB14" s="29">
        <f>现金流量表!CB13</f>
        <v>0</v>
      </c>
      <c r="CC14" s="29">
        <f>现金流量表!CC13</f>
        <v>0</v>
      </c>
      <c r="CD14" s="29">
        <f>现金流量表!CD13</f>
        <v>0</v>
      </c>
      <c r="CE14" s="29">
        <f>现金流量表!CE13</f>
        <v>0</v>
      </c>
      <c r="CF14" s="29">
        <f>现金流量表!CF13</f>
        <v>0</v>
      </c>
      <c r="CG14" s="29">
        <f>现金流量表!CG13</f>
        <v>0</v>
      </c>
      <c r="CH14" s="29">
        <f>现金流量表!CH13</f>
        <v>0</v>
      </c>
      <c r="CI14" s="29">
        <f>现金流量表!CI13</f>
        <v>0</v>
      </c>
      <c r="CJ14" s="29">
        <f>现金流量表!CJ13</f>
        <v>0</v>
      </c>
      <c r="CK14" s="29">
        <f>现金流量表!CK13</f>
        <v>0</v>
      </c>
    </row>
    <row r="15" spans="1:90" s="26" customFormat="1" x14ac:dyDescent="0.25">
      <c r="A15" s="17" t="s">
        <v>497</v>
      </c>
      <c r="E15" s="26">
        <f>股权价值增加表!E17</f>
        <v>893972471.34526575</v>
      </c>
      <c r="F15" s="26">
        <f>股权价值增加表!F17</f>
        <v>970042026.88784456</v>
      </c>
      <c r="G15" s="26">
        <f>股权价值增加表!G17</f>
        <v>614205755.86990547</v>
      </c>
      <c r="H15" s="26">
        <f>股权价值增加表!H17</f>
        <v>228811837.68213046</v>
      </c>
      <c r="I15" s="26">
        <f>股权价值增加表!I17</f>
        <v>524466049.61863112</v>
      </c>
      <c r="J15" s="26">
        <f>股权价值增加表!J17</f>
        <v>341312590.04703867</v>
      </c>
      <c r="K15" s="26">
        <f>股权价值增加表!K17</f>
        <v>348137742.58094233</v>
      </c>
      <c r="L15" s="26">
        <f>股权价值增加表!L17</f>
        <v>130379622.59921755</v>
      </c>
      <c r="M15" s="26">
        <f>股权价值增加表!M17</f>
        <v>364053531.48613542</v>
      </c>
      <c r="N15" s="26">
        <f>股权价值增加表!N17</f>
        <v>254738187.6645993</v>
      </c>
      <c r="O15" s="26">
        <f>股权价值增加表!O17</f>
        <v>147481739.49270242</v>
      </c>
      <c r="P15" s="26">
        <f>股权价值增加表!P17</f>
        <v>72618930.567707062</v>
      </c>
      <c r="Q15" s="26">
        <f>股权价值增加表!Q17</f>
        <v>198113599.58332843</v>
      </c>
      <c r="R15" s="26">
        <f>股权价值增加表!R17</f>
        <v>139025780.93039817</v>
      </c>
      <c r="S15" s="26">
        <f>股权价值增加表!S17</f>
        <v>7305324.8667988032</v>
      </c>
      <c r="T15" s="26">
        <f>股权价值增加表!T17</f>
        <v>-187632.66881226003</v>
      </c>
      <c r="U15" s="26">
        <f>股权价值增加表!U17</f>
        <v>34469979.068215109</v>
      </c>
      <c r="V15" s="26">
        <f>股权价值增加表!V17</f>
        <v>29807169.253464658</v>
      </c>
      <c r="W15" s="26">
        <f>股权价值增加表!W17</f>
        <v>22778015.608148336</v>
      </c>
      <c r="X15" s="26">
        <f>股权价值增加表!X17</f>
        <v>-158291.00168730319</v>
      </c>
      <c r="Y15" s="26">
        <f>股权价值增加表!Y17</f>
        <v>39421800.902941026</v>
      </c>
      <c r="Z15" s="26">
        <f>股权价值增加表!Z17</f>
        <v>30225036.967283081</v>
      </c>
      <c r="AA15" s="26">
        <f>股权价值增加表!AA17</f>
        <v>21403093.800918438</v>
      </c>
      <c r="AB15" s="26">
        <f>股权价值增加表!AB17</f>
        <v>5091216.4922915418</v>
      </c>
      <c r="AC15" s="26">
        <f>股权价值增加表!AC17</f>
        <v>46481825.233674712</v>
      </c>
      <c r="AD15" s="26">
        <f>股权价值增加表!AD17</f>
        <v>23976558.034958906</v>
      </c>
      <c r="AE15" s="26">
        <f>股权价值增加表!AE17</f>
        <v>13628314.673694924</v>
      </c>
      <c r="AF15" s="26">
        <f>股权价值增加表!AF17</f>
        <v>3412102.9511741707</v>
      </c>
      <c r="AG15" s="26">
        <f>股权价值增加表!AG17</f>
        <v>20913039.063795194</v>
      </c>
      <c r="AH15" s="26">
        <f>股权价值增加表!AH17</f>
        <v>15263969.321372442</v>
      </c>
      <c r="AI15" s="26">
        <f>股权价值增加表!AI17</f>
        <v>7368066.0027763676</v>
      </c>
      <c r="AJ15" s="26">
        <f>股权价值增加表!AJ17</f>
        <v>-1120859.6429304138</v>
      </c>
      <c r="AK15" s="26">
        <f>股权价值增加表!AK17</f>
        <v>35733481.795749448</v>
      </c>
      <c r="AL15" s="26">
        <f>股权价值增加表!AL17</f>
        <v>19919054.695785802</v>
      </c>
      <c r="AM15" s="26">
        <f>股权价值增加表!AM17</f>
        <v>11260129.944566131</v>
      </c>
      <c r="AN15" s="26">
        <f>股权价值增加表!AN17</f>
        <v>4471339.7088936055</v>
      </c>
      <c r="AO15" s="26">
        <f>股权价值增加表!AO17</f>
        <v>41794916.271918319</v>
      </c>
      <c r="AP15" s="26">
        <f>股权价值增加表!AP17</f>
        <v>34646493.76054465</v>
      </c>
      <c r="AQ15" s="26">
        <f>股权价值增加表!AQ17</f>
        <v>28680913.156095941</v>
      </c>
      <c r="AR15" s="26" t="e">
        <f>股权价值增加表!AR17</f>
        <v>#DIV/0!</v>
      </c>
      <c r="AS15" s="26">
        <f>股权价值增加表!AS17</f>
        <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1.0003207707104254</v>
      </c>
      <c r="F16" s="28">
        <f t="shared" ref="F16:BQ16" si="8">F14/F15</f>
        <v>0.6265395894339636</v>
      </c>
      <c r="G16" s="28">
        <f t="shared" si="8"/>
        <v>0.87139586927505752</v>
      </c>
      <c r="H16" s="28">
        <f t="shared" si="8"/>
        <v>0.5216413060141315</v>
      </c>
      <c r="I16" s="28">
        <f t="shared" si="8"/>
        <v>0.95747226531660179</v>
      </c>
      <c r="J16" s="28">
        <f t="shared" si="8"/>
        <v>0.79976677790403217</v>
      </c>
      <c r="K16" s="28">
        <f t="shared" si="8"/>
        <v>0.73637327880471393</v>
      </c>
      <c r="L16" s="28">
        <f t="shared" si="8"/>
        <v>0.45981388529007583</v>
      </c>
      <c r="M16" s="28">
        <f t="shared" si="8"/>
        <v>0.87848471664167826</v>
      </c>
      <c r="N16" s="28">
        <f t="shared" si="8"/>
        <v>0.83285053511230378</v>
      </c>
      <c r="O16" s="28">
        <f t="shared" si="8"/>
        <v>1.0140755741994776</v>
      </c>
      <c r="P16" s="28">
        <f t="shared" si="8"/>
        <v>0.73928166512925175</v>
      </c>
      <c r="Q16" s="28">
        <f t="shared" si="8"/>
        <v>0.65743873027362099</v>
      </c>
      <c r="R16" s="28">
        <f t="shared" si="8"/>
        <v>0.65372399623851341</v>
      </c>
      <c r="S16" s="28">
        <f t="shared" si="8"/>
        <v>16.874856343523533</v>
      </c>
      <c r="T16" s="28">
        <f t="shared" si="8"/>
        <v>-240.38546211336981</v>
      </c>
      <c r="U16" s="28">
        <f t="shared" si="8"/>
        <v>0.98233684717329783</v>
      </c>
      <c r="V16" s="28">
        <f t="shared" si="8"/>
        <v>-0.48093885763183336</v>
      </c>
      <c r="W16" s="28">
        <f t="shared" si="8"/>
        <v>-9.0322831250673974E-2</v>
      </c>
      <c r="X16" s="28">
        <f t="shared" si="8"/>
        <v>134.86978389443357</v>
      </c>
      <c r="Y16" s="28">
        <f t="shared" si="8"/>
        <v>1.7877073582587726</v>
      </c>
      <c r="Z16" s="28">
        <f t="shared" si="8"/>
        <v>1.4754453080825682</v>
      </c>
      <c r="AA16" s="28">
        <f t="shared" si="8"/>
        <v>0.91715844412912162</v>
      </c>
      <c r="AB16" s="28">
        <f t="shared" si="8"/>
        <v>-5.4014435354766004</v>
      </c>
      <c r="AC16" s="28">
        <f t="shared" si="8"/>
        <v>0.56399885908541081</v>
      </c>
      <c r="AD16" s="28">
        <f t="shared" si="8"/>
        <v>1.0933886491036924</v>
      </c>
      <c r="AE16" s="28">
        <f t="shared" si="8"/>
        <v>1.8610517982062089</v>
      </c>
      <c r="AF16" s="28">
        <f t="shared" si="8"/>
        <v>-2.1517377069392039</v>
      </c>
      <c r="AG16" s="28">
        <f t="shared" si="8"/>
        <v>-4.9316487357664522</v>
      </c>
      <c r="AH16" s="28">
        <f t="shared" si="8"/>
        <v>-6.0357245104654291</v>
      </c>
      <c r="AI16" s="28">
        <f t="shared" si="8"/>
        <v>-9.4889957559629714</v>
      </c>
      <c r="AJ16" s="28">
        <f t="shared" si="8"/>
        <v>29.030578016823224</v>
      </c>
      <c r="AK16" s="28">
        <f t="shared" si="8"/>
        <v>0.44463873044383712</v>
      </c>
      <c r="AL16" s="28">
        <f t="shared" si="8"/>
        <v>-0.43529019034394228</v>
      </c>
      <c r="AM16" s="28">
        <f t="shared" si="8"/>
        <v>1.5637871318258998</v>
      </c>
      <c r="AN16" s="28">
        <f t="shared" si="8"/>
        <v>0.15587428050114727</v>
      </c>
      <c r="AO16" s="28">
        <f t="shared" si="8"/>
        <v>0.58665681707500661</v>
      </c>
      <c r="AP16" s="28">
        <f t="shared" si="8"/>
        <v>0.72620948526262841</v>
      </c>
      <c r="AQ16" s="28">
        <f t="shared" si="8"/>
        <v>0.58652746823106505</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9" customFormat="1" x14ac:dyDescent="0.25">
      <c r="A17" s="21" t="s">
        <v>499</v>
      </c>
      <c r="E17" s="29">
        <f>股权价值增加表!E42</f>
        <v>720077984.14999974</v>
      </c>
      <c r="F17" s="29">
        <f>股权价值增加表!F42</f>
        <v>614501576.26999998</v>
      </c>
      <c r="G17" s="29">
        <f>股权价值增加表!G42</f>
        <v>425269612.98000008</v>
      </c>
      <c r="H17" s="29">
        <f>股权价值增加表!H42</f>
        <v>78737160.00000006</v>
      </c>
      <c r="I17" s="29">
        <f>股权价值增加表!I42</f>
        <v>769510287.60000014</v>
      </c>
      <c r="J17" s="29">
        <f>股权价值增加表!J42</f>
        <v>221374891.42999998</v>
      </c>
      <c r="K17" s="29">
        <f>股权价值增加表!K42</f>
        <v>-38785102.720000014</v>
      </c>
      <c r="L17" s="29">
        <f>股权价值增加表!L42</f>
        <v>-37044445.340000056</v>
      </c>
      <c r="M17" s="29">
        <f>股权价值增加表!M42</f>
        <v>682928346.04000008</v>
      </c>
      <c r="N17" s="29">
        <f>股权价值增加表!N42</f>
        <v>238294637.09</v>
      </c>
      <c r="O17" s="29">
        <f>股权价值增加表!O42</f>
        <v>139097961.20999992</v>
      </c>
      <c r="P17" s="29">
        <f>股权价值增加表!P42</f>
        <v>71650900.360000029</v>
      </c>
      <c r="Q17" s="29">
        <f>股权价值增加表!Q42</f>
        <v>391771011.03999996</v>
      </c>
      <c r="R17" s="29">
        <f>股权价值增加表!R42</f>
        <v>287799002.05000001</v>
      </c>
      <c r="S17" s="29">
        <f>股权价值增加表!S42</f>
        <v>-6537008.5200000061</v>
      </c>
      <c r="T17" s="29">
        <f>股权价值增加表!T42</f>
        <v>-23349.179999997839</v>
      </c>
      <c r="U17" s="29">
        <f>股权价值增加表!U42</f>
        <v>11074736.710000027</v>
      </c>
      <c r="V17" s="29">
        <f>股权价值增加表!V42</f>
        <v>11508949.469999973</v>
      </c>
      <c r="W17" s="29">
        <f>股权价值增加表!W42</f>
        <v>11703317.119999992</v>
      </c>
      <c r="X17" s="29">
        <f>股权价值增加表!X42</f>
        <v>-21592.480000000331</v>
      </c>
      <c r="Y17" s="29">
        <f>股权价值增加表!Y42</f>
        <v>22371641.229999971</v>
      </c>
      <c r="Z17" s="29">
        <f>股权价值增加表!Z42</f>
        <v>18492503.760000005</v>
      </c>
      <c r="AA17" s="29">
        <f>股权价值增加表!AA42</f>
        <v>14390610.589999998</v>
      </c>
      <c r="AB17" s="29">
        <f>股权价值增加表!AB42</f>
        <v>2821755.3800000027</v>
      </c>
      <c r="AC17" s="29">
        <f>股权价值增加表!AC42</f>
        <v>30839425.94000002</v>
      </c>
      <c r="AD17" s="29">
        <f>股权价值增加表!AD42</f>
        <v>16092798.039999982</v>
      </c>
      <c r="AE17" s="29">
        <f>股权价值增加表!AE42</f>
        <v>8994970.0600000173</v>
      </c>
      <c r="AF17" s="29">
        <f>股权价值增加表!AF42</f>
        <v>2463653.3399999952</v>
      </c>
      <c r="AG17" s="29">
        <f>股权价值增加表!AG42</f>
        <v>13597742.909999982</v>
      </c>
      <c r="AH17" s="29">
        <f>股权价值增加表!AH42</f>
        <v>10705495.929999987</v>
      </c>
      <c r="AI17" s="29">
        <f>股权价值增加表!AI42</f>
        <v>4134199.360000011</v>
      </c>
      <c r="AJ17" s="29">
        <f>股权价值增加表!AJ42</f>
        <v>-2888212.7400000007</v>
      </c>
      <c r="AK17" s="29">
        <f>股权价值增加表!AK42</f>
        <v>29789402.100000009</v>
      </c>
      <c r="AL17" s="29">
        <f>股权价值增加表!AL42</f>
        <v>15710321.639999988</v>
      </c>
      <c r="AM17" s="29">
        <f>股权价值增加表!AM42</f>
        <v>8489805.9999999981</v>
      </c>
      <c r="AN17" s="29">
        <f>股权价值增加表!AN42</f>
        <v>3358308.1200000038</v>
      </c>
      <c r="AO17" s="29">
        <f>股权价值增加表!AO42</f>
        <v>32754311.770000014</v>
      </c>
      <c r="AP17" s="29">
        <f>股权价值增加表!AP42</f>
        <v>28500980.799999982</v>
      </c>
      <c r="AQ17" s="29">
        <f>股权价值增加表!AQ42</f>
        <v>26468454.059999984</v>
      </c>
      <c r="AR17" s="29">
        <f>股权价值增加表!AR42</f>
        <v>0</v>
      </c>
      <c r="AS17" s="29">
        <f>股权价值增加表!AS42</f>
        <v>-610135253.33999991</v>
      </c>
      <c r="AT17" s="29">
        <f>股权价值增加表!AT42</f>
        <v>-606675948.97000003</v>
      </c>
      <c r="AU17" s="29">
        <f>股权价值增加表!AU42</f>
        <v>-525244177.46999997</v>
      </c>
      <c r="AV17" s="29">
        <f>股权价值增加表!AV42</f>
        <v>-370504198.70999998</v>
      </c>
      <c r="AW17" s="29">
        <f>股权价值增加表!AW42</f>
        <v>-550836582.15999997</v>
      </c>
      <c r="AX17" s="29">
        <f>股权价值增加表!AX42</f>
        <v>-497364124.85000002</v>
      </c>
      <c r="AY17" s="29">
        <f>股权价值增加表!AY42</f>
        <v>-393993423.18000001</v>
      </c>
      <c r="AZ17" s="29">
        <f>股权价值增加表!AZ42</f>
        <v>-277925918.08999997</v>
      </c>
      <c r="BA17" s="29">
        <f>股权价值增加表!BA42</f>
        <v>-375599127.04999995</v>
      </c>
      <c r="BB17" s="29">
        <f>股权价值增加表!BB42</f>
        <v>-376909155.56</v>
      </c>
      <c r="BC17" s="29">
        <f>股权价值增加表!BC42</f>
        <v>-331126120.21999997</v>
      </c>
      <c r="BD17" s="29">
        <f>股权价值增加表!BD42</f>
        <v>-232460368.78999999</v>
      </c>
      <c r="BE17" s="29">
        <f>股权价值增加表!BE42</f>
        <v>-415071515.56999999</v>
      </c>
      <c r="BF17" s="29">
        <f>股权价值增加表!BF42</f>
        <v>-341885591.56999999</v>
      </c>
      <c r="BG17" s="29">
        <f>股权价值增加表!BG42</f>
        <v>-266868592.27000001</v>
      </c>
      <c r="BH17" s="29">
        <f>股权价值增加表!BH42</f>
        <v>-190592880.15000001</v>
      </c>
      <c r="BI17" s="29">
        <f>股权价值增加表!BI42</f>
        <v>-355643656.85000002</v>
      </c>
      <c r="BJ17" s="29">
        <f>股权价值增加表!BJ42</f>
        <v>-291496615.11000001</v>
      </c>
      <c r="BK17" s="29">
        <f>股权价值增加表!BK42</f>
        <v>-237870081.79999998</v>
      </c>
      <c r="BL17" s="29">
        <f>股权价值增加表!BL42</f>
        <v>-204685096.5</v>
      </c>
      <c r="BM17" s="29">
        <f>股权价值增加表!BM42</f>
        <v>-223212941.22</v>
      </c>
      <c r="BN17" s="29">
        <f>股权价值增加表!BN42</f>
        <v>-167173236.28999999</v>
      </c>
      <c r="BO17" s="29">
        <f>股权价值增加表!BO42</f>
        <v>-113551397.55</v>
      </c>
      <c r="BP17" s="29">
        <f>股权价值增加表!BP42</f>
        <v>-114049159.08</v>
      </c>
      <c r="BQ17" s="29">
        <f>股权价值增加表!BQ42</f>
        <v>-79004755.060000002</v>
      </c>
      <c r="BR17" s="29">
        <f>股权价值增加表!BR42</f>
        <v>-147870000</v>
      </c>
      <c r="BS17" s="29">
        <f>股权价值增加表!BS42</f>
        <v>-152979249.54999998</v>
      </c>
      <c r="BT17" s="29">
        <f>股权价值增加表!BT42</f>
        <v>-128012163.46000001</v>
      </c>
      <c r="BU17" s="29">
        <f>股权价值增加表!BU42</f>
        <v>-222157134.44</v>
      </c>
      <c r="BV17" s="29">
        <f>股权价值增加表!BV42</f>
        <v>-287911344.69999999</v>
      </c>
      <c r="BW17" s="29">
        <f>股权价值增加表!BW42</f>
        <v>-288342438.87</v>
      </c>
      <c r="BX17" s="29">
        <f>股权价值增加表!BX42</f>
        <v>-57060547.329999998</v>
      </c>
      <c r="BY17" s="29">
        <f>股权价值增加表!BY42</f>
        <v>-217786839.49000001</v>
      </c>
      <c r="BZ17" s="29">
        <f>股权价值增加表!BZ42</f>
        <v>-40798540.960000001</v>
      </c>
      <c r="CA17" s="29">
        <f>股权价值增加表!CA42</f>
        <v>-179937260.47</v>
      </c>
      <c r="CB17" s="29">
        <f>股权价值增加表!CB42</f>
        <v>-144282576.27000001</v>
      </c>
      <c r="CC17" s="29">
        <f>股权价值增加表!CC42</f>
        <v>-119252620.25</v>
      </c>
      <c r="CD17" s="29">
        <f>股权价值增加表!CD42</f>
        <v>0</v>
      </c>
      <c r="CE17" s="29">
        <f>股权价值增加表!CE42</f>
        <v>-20081000</v>
      </c>
      <c r="CF17" s="29">
        <f>股权价值增加表!CF42</f>
        <v>-14354563.84</v>
      </c>
      <c r="CG17" s="29">
        <f>股权价值增加表!CG42</f>
        <v>-4330000</v>
      </c>
      <c r="CH17" s="29">
        <f>股权价值增加表!CH42</f>
        <v>-4220000</v>
      </c>
      <c r="CI17" s="29">
        <f>股权价值增加表!CI42</f>
        <v>-12510000</v>
      </c>
      <c r="CJ17" s="29">
        <f>股权价值增加表!CJ42</f>
        <v>-3630000</v>
      </c>
      <c r="CK17" s="29">
        <f>股权价值增加表!CK42</f>
        <v>0</v>
      </c>
      <c r="CL17" s="29">
        <f>股权价值增加表!CL42</f>
        <v>0</v>
      </c>
    </row>
    <row r="18" spans="1:90" s="28" customFormat="1" x14ac:dyDescent="0.25">
      <c r="A18" s="20" t="s">
        <v>500</v>
      </c>
      <c r="E18" s="28">
        <f>E14/E17</f>
        <v>1.2418921994756007</v>
      </c>
      <c r="F18" s="28">
        <f t="shared" ref="F18:BQ18" si="10">F14/F17</f>
        <v>0.98904503540761923</v>
      </c>
      <c r="G18" s="28">
        <f t="shared" si="10"/>
        <v>1.2585342150349468</v>
      </c>
      <c r="H18" s="28">
        <f t="shared" si="10"/>
        <v>1.5159005714709537</v>
      </c>
      <c r="I18" s="28">
        <f t="shared" si="10"/>
        <v>0.65257307758181549</v>
      </c>
      <c r="J18" s="28">
        <f t="shared" si="10"/>
        <v>1.233068794011424</v>
      </c>
      <c r="K18" s="28">
        <f t="shared" si="10"/>
        <v>-6.6097370640146629</v>
      </c>
      <c r="L18" s="28">
        <f t="shared" si="10"/>
        <v>-1.6183360360714178</v>
      </c>
      <c r="M18" s="28">
        <f t="shared" si="10"/>
        <v>0.46830017424883391</v>
      </c>
      <c r="N18" s="28">
        <f t="shared" si="10"/>
        <v>0.89032148814104894</v>
      </c>
      <c r="O18" s="28">
        <f t="shared" si="10"/>
        <v>1.075196418114345</v>
      </c>
      <c r="P18" s="28">
        <f t="shared" si="10"/>
        <v>0.74926963429995863</v>
      </c>
      <c r="Q18" s="28">
        <f t="shared" si="10"/>
        <v>0.332458374125853</v>
      </c>
      <c r="R18" s="28">
        <f t="shared" si="10"/>
        <v>0.31579153660237647</v>
      </c>
      <c r="S18" s="28">
        <f t="shared" si="10"/>
        <v>-18.858214318190896</v>
      </c>
      <c r="T18" s="28">
        <f t="shared" si="10"/>
        <v>-1931.7237607489501</v>
      </c>
      <c r="U18" s="28">
        <f t="shared" si="10"/>
        <v>3.0575111126050345</v>
      </c>
      <c r="V18" s="28">
        <f t="shared" si="10"/>
        <v>-1.2455894404061567</v>
      </c>
      <c r="W18" s="28">
        <f t="shared" si="10"/>
        <v>-0.17579416492817393</v>
      </c>
      <c r="X18" s="28">
        <f t="shared" si="10"/>
        <v>988.7087166457801</v>
      </c>
      <c r="Y18" s="28">
        <f t="shared" si="10"/>
        <v>3.1501776210989276</v>
      </c>
      <c r="Z18" s="28">
        <f t="shared" si="10"/>
        <v>2.4115387271928821</v>
      </c>
      <c r="AA18" s="28">
        <f t="shared" si="10"/>
        <v>1.3640858452275029</v>
      </c>
      <c r="AB18" s="28">
        <f t="shared" si="10"/>
        <v>-9.745677674582824</v>
      </c>
      <c r="AC18" s="28">
        <f t="shared" si="10"/>
        <v>0.85007082982038096</v>
      </c>
      <c r="AD18" s="28">
        <f t="shared" si="10"/>
        <v>1.6290328341186358</v>
      </c>
      <c r="AE18" s="28">
        <f t="shared" si="10"/>
        <v>2.8196869317872917</v>
      </c>
      <c r="AF18" s="28">
        <f t="shared" si="10"/>
        <v>-2.9801070064508401</v>
      </c>
      <c r="AG18" s="28">
        <f t="shared" si="10"/>
        <v>-7.5847707478093609</v>
      </c>
      <c r="AH18" s="28">
        <f t="shared" si="10"/>
        <v>-8.6057772906929788</v>
      </c>
      <c r="AI18" s="28">
        <f t="shared" si="10"/>
        <v>-16.91150835793265</v>
      </c>
      <c r="AJ18" s="28">
        <f t="shared" si="10"/>
        <v>11.266207249677873</v>
      </c>
      <c r="AK18" s="28">
        <f t="shared" si="10"/>
        <v>0.53336048594275065</v>
      </c>
      <c r="AL18" s="28">
        <f t="shared" si="10"/>
        <v>-0.55190271139477487</v>
      </c>
      <c r="AM18" s="28">
        <f t="shared" si="10"/>
        <v>2.0740693379801614</v>
      </c>
      <c r="AN18" s="28">
        <f t="shared" si="10"/>
        <v>0.20753511443732542</v>
      </c>
      <c r="AO18" s="28">
        <f t="shared" si="10"/>
        <v>0.74858152179089399</v>
      </c>
      <c r="AP18" s="28">
        <f t="shared" si="10"/>
        <v>0.88279812461752238</v>
      </c>
      <c r="AQ18" s="28">
        <f t="shared" si="10"/>
        <v>0.63555443555058955</v>
      </c>
      <c r="AR18" s="28" t="e">
        <f t="shared" si="10"/>
        <v>#DIV/0!</v>
      </c>
      <c r="AS18" s="28">
        <f t="shared" si="10"/>
        <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94553626.400000006</v>
      </c>
      <c r="F19" s="26">
        <f>现金流量表!F48</f>
        <v>0</v>
      </c>
      <c r="G19" s="26">
        <f>现金流量表!G48</f>
        <v>10098933.4</v>
      </c>
      <c r="H19" s="26">
        <f>现金流量表!H48</f>
        <v>0</v>
      </c>
      <c r="I19" s="26">
        <f>现金流量表!I48</f>
        <v>29691962.469999999</v>
      </c>
      <c r="J19" s="26">
        <f>现金流量表!J48</f>
        <v>0</v>
      </c>
      <c r="K19" s="26">
        <f>现金流量表!K48</f>
        <v>3958780.17</v>
      </c>
      <c r="L19" s="26">
        <f>现金流量表!L48</f>
        <v>0</v>
      </c>
      <c r="M19" s="26">
        <f>现金流量表!M48</f>
        <v>25403369.030000001</v>
      </c>
      <c r="N19" s="26">
        <f>现金流量表!N48</f>
        <v>0</v>
      </c>
      <c r="O19" s="26">
        <f>现金流量表!O48</f>
        <v>2445124.89</v>
      </c>
      <c r="P19" s="26">
        <f>现金流量表!P48</f>
        <v>0</v>
      </c>
      <c r="Q19" s="26">
        <f>现金流量表!Q48</f>
        <v>1263500.74</v>
      </c>
      <c r="R19" s="26">
        <f>现金流量表!R48</f>
        <v>0</v>
      </c>
      <c r="S19" s="26">
        <f>现金流量表!S48</f>
        <v>-1551647.8</v>
      </c>
      <c r="T19" s="26">
        <f>现金流量表!T48</f>
        <v>0</v>
      </c>
      <c r="U19" s="26">
        <f>现金流量表!U48</f>
        <v>808807.22</v>
      </c>
      <c r="V19" s="26">
        <f>现金流量表!V48</f>
        <v>0</v>
      </c>
      <c r="W19" s="26">
        <f>现金流量表!W48</f>
        <v>718505.48</v>
      </c>
      <c r="X19" s="26">
        <f>现金流量表!X48</f>
        <v>0</v>
      </c>
      <c r="Y19" s="26">
        <f>现金流量表!Y48</f>
        <v>77412.22</v>
      </c>
      <c r="Z19" s="26">
        <f>现金流量表!Z48</f>
        <v>0</v>
      </c>
      <c r="AA19" s="26">
        <f>现金流量表!AA48</f>
        <v>-435229.57</v>
      </c>
      <c r="AB19" s="26">
        <f>现金流量表!AB48</f>
        <v>0</v>
      </c>
      <c r="AC19" s="26">
        <f>现金流量表!AC48</f>
        <v>1220059.21</v>
      </c>
      <c r="AD19" s="26">
        <f>现金流量表!AD48</f>
        <v>0</v>
      </c>
      <c r="AE19" s="26">
        <f>现金流量表!AE48</f>
        <v>0</v>
      </c>
      <c r="AF19" s="26">
        <f>现金流量表!AF48</f>
        <v>0</v>
      </c>
      <c r="AG19" s="26">
        <f>现金流量表!AG48</f>
        <v>-4600</v>
      </c>
      <c r="AH19" s="26">
        <f>现金流量表!AH48</f>
        <v>0</v>
      </c>
      <c r="AI19" s="26">
        <f>现金流量表!AI48</f>
        <v>0</v>
      </c>
      <c r="AJ19" s="26">
        <f>现金流量表!AJ48</f>
        <v>0</v>
      </c>
      <c r="AK19" s="26">
        <f>现金流量表!AK48</f>
        <v>4600</v>
      </c>
      <c r="AL19" s="26">
        <f>现金流量表!AL48</f>
        <v>0</v>
      </c>
      <c r="AM19" s="26">
        <f>现金流量表!AM48</f>
        <v>45102.78</v>
      </c>
      <c r="AN19" s="26">
        <f>现金流量表!AN48</f>
        <v>0</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10106944.25</v>
      </c>
      <c r="F20" s="26">
        <f>现金流量表!F49</f>
        <v>0</v>
      </c>
      <c r="G20" s="26">
        <f>现金流量表!G49</f>
        <v>4529943.97</v>
      </c>
      <c r="H20" s="26">
        <f>现金流量表!H49</f>
        <v>0</v>
      </c>
      <c r="I20" s="26">
        <f>现金流量表!I49</f>
        <v>4393351.9800000004</v>
      </c>
      <c r="J20" s="26">
        <f>现金流量表!J49</f>
        <v>0</v>
      </c>
      <c r="K20" s="26">
        <f>现金流量表!K49</f>
        <v>2562811.63</v>
      </c>
      <c r="L20" s="26">
        <f>现金流量表!L49</f>
        <v>0</v>
      </c>
      <c r="M20" s="26">
        <f>现金流量表!M49</f>
        <v>4355917.71</v>
      </c>
      <c r="N20" s="26">
        <f>现金流量表!N49</f>
        <v>0</v>
      </c>
      <c r="O20" s="26">
        <f>现金流量表!O49</f>
        <v>881735.42</v>
      </c>
      <c r="P20" s="26">
        <f>现金流量表!P49</f>
        <v>0</v>
      </c>
      <c r="Q20" s="26">
        <f>现金流量表!Q49</f>
        <v>4083043.19</v>
      </c>
      <c r="R20" s="26">
        <f>现金流量表!R49</f>
        <v>0</v>
      </c>
      <c r="S20" s="26">
        <f>现金流量表!S49</f>
        <v>11652838.689999999</v>
      </c>
      <c r="T20" s="26">
        <f>现金流量表!T49</f>
        <v>0</v>
      </c>
      <c r="U20" s="26">
        <f>现金流量表!U49</f>
        <v>23231511.260000002</v>
      </c>
      <c r="V20" s="26">
        <f>现金流量表!V49</f>
        <v>0</v>
      </c>
      <c r="W20" s="26">
        <f>现金流量表!W49</f>
        <v>11179193.16</v>
      </c>
      <c r="X20" s="26">
        <f>现金流量表!X49</f>
        <v>0</v>
      </c>
      <c r="Y20" s="26">
        <f>现金流量表!Y49</f>
        <v>12717169.41</v>
      </c>
      <c r="Z20" s="26">
        <f>现金流量表!Z49</f>
        <v>0</v>
      </c>
      <c r="AA20" s="26">
        <f>现金流量表!AA49</f>
        <v>5894600.79</v>
      </c>
      <c r="AB20" s="26">
        <f>现金流量表!AB49</f>
        <v>0</v>
      </c>
      <c r="AC20" s="26">
        <f>现金流量表!AC49</f>
        <v>11047959.460000001</v>
      </c>
      <c r="AD20" s="26">
        <f>现金流量表!AD49</f>
        <v>0</v>
      </c>
      <c r="AE20" s="26">
        <f>现金流量表!AE49</f>
        <v>5468010.21</v>
      </c>
      <c r="AF20" s="26">
        <f>现金流量表!AF49</f>
        <v>0</v>
      </c>
      <c r="AG20" s="26">
        <f>现金流量表!AG49</f>
        <v>8580931.3399999999</v>
      </c>
      <c r="AH20" s="26">
        <f>现金流量表!AH49</f>
        <v>0</v>
      </c>
      <c r="AI20" s="26">
        <f>现金流量表!AI49</f>
        <v>4170010.03</v>
      </c>
      <c r="AJ20" s="26">
        <f>现金流量表!AJ49</f>
        <v>0</v>
      </c>
      <c r="AK20" s="26">
        <f>现金流量表!AK49</f>
        <v>7211478.79</v>
      </c>
      <c r="AL20" s="26">
        <f>现金流量表!AL49</f>
        <v>0</v>
      </c>
      <c r="AM20" s="26">
        <f>现金流量表!AM49</f>
        <v>3203056.65</v>
      </c>
      <c r="AN20" s="26">
        <f>现金流量表!AN49</f>
        <v>0</v>
      </c>
      <c r="AO20" s="26">
        <f>现金流量表!AO49</f>
        <v>5524485.0800000001</v>
      </c>
      <c r="AP20" s="26">
        <f>现金流量表!AP49</f>
        <v>4111925.34</v>
      </c>
      <c r="AQ20" s="26">
        <f>现金流量表!AQ49</f>
        <v>2798273.21</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25960197.460000001</v>
      </c>
      <c r="F21" s="26">
        <f>现金流量表!F50</f>
        <v>0</v>
      </c>
      <c r="G21" s="26">
        <f>现金流量表!G50</f>
        <v>3813975.67</v>
      </c>
      <c r="H21" s="26">
        <f>现金流量表!H50</f>
        <v>0</v>
      </c>
      <c r="I21" s="26">
        <f>现金流量表!I50</f>
        <v>9214147.1500000004</v>
      </c>
      <c r="J21" s="26">
        <f>现金流量表!J50</f>
        <v>0</v>
      </c>
      <c r="K21" s="26">
        <f>现金流量表!K50</f>
        <v>3770341.35</v>
      </c>
      <c r="L21" s="26">
        <f>现金流量表!L50</f>
        <v>0</v>
      </c>
      <c r="M21" s="26">
        <f>现金流量表!M50</f>
        <v>534578.49</v>
      </c>
      <c r="N21" s="26">
        <f>现金流量表!N50</f>
        <v>0</v>
      </c>
      <c r="O21" s="26">
        <f>现金流量表!O50</f>
        <v>258028.9</v>
      </c>
      <c r="P21" s="26">
        <f>现金流量表!P50</f>
        <v>0</v>
      </c>
      <c r="Q21" s="26">
        <f>现金流量表!Q50</f>
        <v>500747.55</v>
      </c>
      <c r="R21" s="26">
        <f>现金流量表!R50</f>
        <v>0</v>
      </c>
      <c r="S21" s="26">
        <f>现金流量表!S50</f>
        <v>1055513.1399999999</v>
      </c>
      <c r="T21" s="26">
        <f>现金流量表!T50</f>
        <v>0</v>
      </c>
      <c r="U21" s="26">
        <f>现金流量表!U50</f>
        <v>2172978.92</v>
      </c>
      <c r="V21" s="26">
        <f>现金流量表!V50</f>
        <v>0</v>
      </c>
      <c r="W21" s="26">
        <f>现金流量表!W50</f>
        <v>1083531.78</v>
      </c>
      <c r="X21" s="26">
        <f>现金流量表!X50</f>
        <v>0</v>
      </c>
      <c r="Y21" s="26">
        <f>现金流量表!Y50</f>
        <v>1716867.98</v>
      </c>
      <c r="Z21" s="26">
        <f>现金流量表!Z50</f>
        <v>0</v>
      </c>
      <c r="AA21" s="26">
        <f>现金流量表!AA50</f>
        <v>740735.66</v>
      </c>
      <c r="AB21" s="26">
        <f>现金流量表!AB50</f>
        <v>0</v>
      </c>
      <c r="AC21" s="26">
        <f>现金流量表!AC50</f>
        <v>733298.94</v>
      </c>
      <c r="AD21" s="26">
        <f>现金流量表!AD50</f>
        <v>0</v>
      </c>
      <c r="AE21" s="26">
        <f>现金流量表!AE50</f>
        <v>193564.64</v>
      </c>
      <c r="AF21" s="26">
        <f>现金流量表!AF50</f>
        <v>0</v>
      </c>
      <c r="AG21" s="26">
        <f>现金流量表!AG50</f>
        <v>387720.95</v>
      </c>
      <c r="AH21" s="26">
        <f>现金流量表!AH50</f>
        <v>0</v>
      </c>
      <c r="AI21" s="26">
        <f>现金流量表!AI50</f>
        <v>193860.48000000001</v>
      </c>
      <c r="AJ21" s="26">
        <f>现金流量表!AJ50</f>
        <v>0</v>
      </c>
      <c r="AK21" s="26">
        <f>现金流量表!AK50</f>
        <v>799792.36</v>
      </c>
      <c r="AL21" s="26">
        <f>现金流量表!AL50</f>
        <v>0</v>
      </c>
      <c r="AM21" s="26">
        <f>现金流量表!AM50</f>
        <v>394647.47</v>
      </c>
      <c r="AN21" s="26">
        <f>现金流量表!AN50</f>
        <v>0</v>
      </c>
      <c r="AO21" s="26">
        <f>现金流量表!AO50</f>
        <v>204063.48</v>
      </c>
      <c r="AP21" s="26">
        <f>现金流量表!AP50</f>
        <v>124788.43</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23874535.640000001</v>
      </c>
      <c r="F22" s="26">
        <f>现金流量表!F51</f>
        <v>0</v>
      </c>
      <c r="G22" s="26">
        <f>现金流量表!G51</f>
        <v>10369192.199999999</v>
      </c>
      <c r="H22" s="26">
        <f>现金流量表!H51</f>
        <v>0</v>
      </c>
      <c r="I22" s="26">
        <f>现金流量表!I51</f>
        <v>4235312.3099999996</v>
      </c>
      <c r="J22" s="26">
        <f>现金流量表!J51</f>
        <v>0</v>
      </c>
      <c r="K22" s="26">
        <f>现金流量表!K51</f>
        <v>2132814.7000000002</v>
      </c>
      <c r="L22" s="26">
        <f>现金流量表!L51</f>
        <v>0</v>
      </c>
      <c r="M22" s="26">
        <f>现金流量表!M51</f>
        <v>1885843.01</v>
      </c>
      <c r="N22" s="26">
        <f>现金流量表!N51</f>
        <v>0</v>
      </c>
      <c r="O22" s="26">
        <f>现金流量表!O51</f>
        <v>583666.67000000004</v>
      </c>
      <c r="P22" s="26">
        <f>现金流量表!P51</f>
        <v>0</v>
      </c>
      <c r="Q22" s="26">
        <f>现金流量表!Q51</f>
        <v>345839.93</v>
      </c>
      <c r="R22" s="26">
        <f>现金流量表!R51</f>
        <v>0</v>
      </c>
      <c r="S22" s="26">
        <f>现金流量表!S51</f>
        <v>0</v>
      </c>
      <c r="T22" s="26">
        <f>现金流量表!T51</f>
        <v>0</v>
      </c>
      <c r="U22" s="26">
        <f>现金流量表!U51</f>
        <v>0</v>
      </c>
      <c r="V22" s="26">
        <f>现金流量表!V51</f>
        <v>0</v>
      </c>
      <c r="W22" s="26">
        <f>现金流量表!W51</f>
        <v>0</v>
      </c>
      <c r="X22" s="26">
        <f>现金流量表!X51</f>
        <v>0</v>
      </c>
      <c r="Y22" s="26">
        <f>现金流量表!Y51</f>
        <v>0</v>
      </c>
      <c r="Z22" s="26">
        <f>现金流量表!Z51</f>
        <v>0</v>
      </c>
      <c r="AA22" s="26">
        <f>现金流量表!AA51</f>
        <v>0</v>
      </c>
      <c r="AB22" s="26">
        <f>现金流量表!AB51</f>
        <v>0</v>
      </c>
      <c r="AC22" s="26">
        <f>现金流量表!AC51</f>
        <v>0</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388159.98</v>
      </c>
      <c r="AP22" s="26">
        <f>现金流量表!AP51</f>
        <v>717675.11</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-4503.07</v>
      </c>
      <c r="F23" s="26">
        <f>现金流量表!F54</f>
        <v>0</v>
      </c>
      <c r="G23" s="26">
        <f>现金流量表!G54</f>
        <v>23586.54</v>
      </c>
      <c r="H23" s="26">
        <f>现金流量表!H54</f>
        <v>0</v>
      </c>
      <c r="I23" s="26">
        <f>现金流量表!I54</f>
        <v>185418.47</v>
      </c>
      <c r="J23" s="26">
        <f>现金流量表!J54</f>
        <v>0</v>
      </c>
      <c r="K23" s="26">
        <f>现金流量表!K54</f>
        <v>-193390.34</v>
      </c>
      <c r="L23" s="26">
        <f>现金流量表!L54</f>
        <v>0</v>
      </c>
      <c r="M23" s="26">
        <f>现金流量表!M54</f>
        <v>0</v>
      </c>
      <c r="N23" s="26">
        <f>现金流量表!N54</f>
        <v>0</v>
      </c>
      <c r="O23" s="26">
        <f>现金流量表!O54</f>
        <v>0</v>
      </c>
      <c r="P23" s="26">
        <f>现金流量表!P54</f>
        <v>0</v>
      </c>
      <c r="Q23" s="26">
        <f>现金流量表!Q54</f>
        <v>0</v>
      </c>
      <c r="R23" s="26">
        <f>现金流量表!R54</f>
        <v>0</v>
      </c>
      <c r="S23" s="26">
        <f>现金流量表!S54</f>
        <v>0</v>
      </c>
      <c r="T23" s="26">
        <f>现金流量表!T54</f>
        <v>0</v>
      </c>
      <c r="U23" s="26">
        <f>现金流量表!U54</f>
        <v>4790.8999999999996</v>
      </c>
      <c r="V23" s="26">
        <f>现金流量表!V54</f>
        <v>0</v>
      </c>
      <c r="W23" s="26">
        <f>现金流量表!W54</f>
        <v>4790.8999999999996</v>
      </c>
      <c r="X23" s="26">
        <f>现金流量表!X54</f>
        <v>0</v>
      </c>
      <c r="Y23" s="26">
        <f>现金流量表!Y54</f>
        <v>-205062.79</v>
      </c>
      <c r="Z23" s="26">
        <f>现金流量表!Z54</f>
        <v>0</v>
      </c>
      <c r="AA23" s="26">
        <f>现金流量表!AA54</f>
        <v>-205062.79</v>
      </c>
      <c r="AB23" s="26">
        <f>现金流量表!AB54</f>
        <v>0</v>
      </c>
      <c r="AC23" s="26">
        <f>现金流量表!AC54</f>
        <v>-9619.31</v>
      </c>
      <c r="AD23" s="26">
        <f>现金流量表!AD54</f>
        <v>0</v>
      </c>
      <c r="AE23" s="26">
        <f>现金流量表!AE54</f>
        <v>-7091.5</v>
      </c>
      <c r="AF23" s="26">
        <f>现金流量表!AF54</f>
        <v>0</v>
      </c>
      <c r="AG23" s="26">
        <f>现金流量表!AG54</f>
        <v>-21506.3</v>
      </c>
      <c r="AH23" s="26">
        <f>现金流量表!AH54</f>
        <v>0</v>
      </c>
      <c r="AI23" s="26">
        <f>现金流量表!AI54</f>
        <v>0</v>
      </c>
      <c r="AJ23" s="26">
        <f>现金流量表!AJ54</f>
        <v>0</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14513.82</v>
      </c>
      <c r="V24" s="26">
        <f>现金流量表!V55</f>
        <v>0</v>
      </c>
      <c r="W24" s="26">
        <f>现金流量表!W55</f>
        <v>566</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154490800.68000001</v>
      </c>
      <c r="F25" s="28">
        <f t="shared" ref="F25:BQ25" si="12">SUM(F19:F24)</f>
        <v>0</v>
      </c>
      <c r="G25" s="28">
        <f t="shared" si="12"/>
        <v>28835631.779999997</v>
      </c>
      <c r="H25" s="28">
        <f t="shared" si="12"/>
        <v>0</v>
      </c>
      <c r="I25" s="28">
        <f t="shared" si="12"/>
        <v>47720192.380000003</v>
      </c>
      <c r="J25" s="28">
        <f t="shared" si="12"/>
        <v>0</v>
      </c>
      <c r="K25" s="28">
        <f t="shared" si="12"/>
        <v>12231357.510000002</v>
      </c>
      <c r="L25" s="28">
        <f t="shared" si="12"/>
        <v>0</v>
      </c>
      <c r="M25" s="28">
        <f t="shared" si="12"/>
        <v>32179708.240000002</v>
      </c>
      <c r="N25" s="28">
        <f t="shared" si="12"/>
        <v>0</v>
      </c>
      <c r="O25" s="28">
        <f t="shared" si="12"/>
        <v>4168555.88</v>
      </c>
      <c r="P25" s="28">
        <f t="shared" si="12"/>
        <v>0</v>
      </c>
      <c r="Q25" s="28">
        <f t="shared" si="12"/>
        <v>6193131.4099999992</v>
      </c>
      <c r="R25" s="28">
        <f t="shared" si="12"/>
        <v>0</v>
      </c>
      <c r="S25" s="28">
        <f t="shared" si="12"/>
        <v>11156704.029999999</v>
      </c>
      <c r="T25" s="28">
        <f t="shared" si="12"/>
        <v>0</v>
      </c>
      <c r="U25" s="28">
        <f t="shared" si="12"/>
        <v>26232602.119999997</v>
      </c>
      <c r="V25" s="28">
        <f t="shared" si="12"/>
        <v>0</v>
      </c>
      <c r="W25" s="28">
        <f t="shared" si="12"/>
        <v>12986587.32</v>
      </c>
      <c r="X25" s="28">
        <f t="shared" si="12"/>
        <v>0</v>
      </c>
      <c r="Y25" s="28">
        <f t="shared" si="12"/>
        <v>14306386.820000002</v>
      </c>
      <c r="Z25" s="28">
        <f t="shared" si="12"/>
        <v>0</v>
      </c>
      <c r="AA25" s="28">
        <f t="shared" si="12"/>
        <v>5995044.0899999999</v>
      </c>
      <c r="AB25" s="28">
        <f t="shared" si="12"/>
        <v>0</v>
      </c>
      <c r="AC25" s="28">
        <f t="shared" si="12"/>
        <v>12991698.300000001</v>
      </c>
      <c r="AD25" s="28">
        <f t="shared" si="12"/>
        <v>0</v>
      </c>
      <c r="AE25" s="28">
        <f t="shared" si="12"/>
        <v>5654483.3499999996</v>
      </c>
      <c r="AF25" s="28">
        <f t="shared" si="12"/>
        <v>0</v>
      </c>
      <c r="AG25" s="28">
        <f t="shared" si="12"/>
        <v>8942545.9899999984</v>
      </c>
      <c r="AH25" s="28">
        <f t="shared" si="12"/>
        <v>0</v>
      </c>
      <c r="AI25" s="28">
        <f t="shared" si="12"/>
        <v>4363870.51</v>
      </c>
      <c r="AJ25" s="28">
        <f t="shared" si="12"/>
        <v>0</v>
      </c>
      <c r="AK25" s="28">
        <f t="shared" si="12"/>
        <v>8015871.1500000004</v>
      </c>
      <c r="AL25" s="28">
        <f t="shared" si="12"/>
        <v>0</v>
      </c>
      <c r="AM25" s="28">
        <f t="shared" si="12"/>
        <v>3642806.8999999994</v>
      </c>
      <c r="AN25" s="28">
        <f t="shared" si="12"/>
        <v>0</v>
      </c>
      <c r="AO25" s="28">
        <f t="shared" si="12"/>
        <v>6116708.540000001</v>
      </c>
      <c r="AP25" s="28">
        <f t="shared" si="12"/>
        <v>4954388.88</v>
      </c>
      <c r="AQ25" s="28">
        <f t="shared" si="12"/>
        <v>2798273.21</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739768430.8499999</v>
      </c>
      <c r="F26" s="28">
        <f t="shared" ref="F26:BQ26" si="14">F14-F25</f>
        <v>607769733.25999999</v>
      </c>
      <c r="G26" s="28">
        <f t="shared" si="14"/>
        <v>506380726.77000004</v>
      </c>
      <c r="H26" s="28">
        <f t="shared" si="14"/>
        <v>119357705.84</v>
      </c>
      <c r="I26" s="28">
        <f t="shared" si="14"/>
        <v>454441504.23000002</v>
      </c>
      <c r="J26" s="28">
        <f t="shared" si="14"/>
        <v>272970470.39999998</v>
      </c>
      <c r="K26" s="28">
        <f t="shared" si="14"/>
        <v>244127973.47</v>
      </c>
      <c r="L26" s="28">
        <f t="shared" si="14"/>
        <v>59950360.829999998</v>
      </c>
      <c r="M26" s="28">
        <f t="shared" si="14"/>
        <v>287635755.20999998</v>
      </c>
      <c r="N26" s="28">
        <f t="shared" si="14"/>
        <v>212158835.91</v>
      </c>
      <c r="O26" s="28">
        <f t="shared" si="14"/>
        <v>145389073.78</v>
      </c>
      <c r="P26" s="28">
        <f t="shared" si="14"/>
        <v>53685843.909999996</v>
      </c>
      <c r="Q26" s="28">
        <f t="shared" si="14"/>
        <v>124054421.95</v>
      </c>
      <c r="R26" s="28">
        <f t="shared" si="14"/>
        <v>90884489.090000004</v>
      </c>
      <c r="S26" s="28">
        <f t="shared" si="14"/>
        <v>112119603.64</v>
      </c>
      <c r="T26" s="28">
        <f t="shared" si="14"/>
        <v>45104165.799999997</v>
      </c>
      <c r="U26" s="28">
        <f t="shared" si="14"/>
        <v>7628528.4400000051</v>
      </c>
      <c r="V26" s="28">
        <f t="shared" si="14"/>
        <v>-14335425.93</v>
      </c>
      <c r="W26" s="28">
        <f t="shared" si="14"/>
        <v>-15043962.18</v>
      </c>
      <c r="X26" s="28">
        <f t="shared" si="14"/>
        <v>-21348673.190000001</v>
      </c>
      <c r="Y26" s="28">
        <f t="shared" si="14"/>
        <v>56168256.729999997</v>
      </c>
      <c r="Z26" s="28">
        <f t="shared" si="14"/>
        <v>44595388.979999997</v>
      </c>
      <c r="AA26" s="28">
        <f t="shared" si="14"/>
        <v>13634984.120000001</v>
      </c>
      <c r="AB26" s="28">
        <f t="shared" si="14"/>
        <v>-27499918.41</v>
      </c>
      <c r="AC26" s="28">
        <f t="shared" si="14"/>
        <v>13223998.099999998</v>
      </c>
      <c r="AD26" s="28">
        <f t="shared" si="14"/>
        <v>26215696.399999999</v>
      </c>
      <c r="AE26" s="28">
        <f t="shared" si="14"/>
        <v>19708516.18</v>
      </c>
      <c r="AF26" s="28">
        <f t="shared" si="14"/>
        <v>-7341950.5800000001</v>
      </c>
      <c r="AG26" s="28">
        <f t="shared" si="14"/>
        <v>-112078308.64999999</v>
      </c>
      <c r="AH26" s="28">
        <f t="shared" si="14"/>
        <v>-92129113.760000005</v>
      </c>
      <c r="AI26" s="28">
        <f t="shared" si="14"/>
        <v>-74279417.540000007</v>
      </c>
      <c r="AJ26" s="28">
        <f t="shared" si="14"/>
        <v>-32539203.309999999</v>
      </c>
      <c r="AK26" s="28">
        <f t="shared" si="14"/>
        <v>7872618.8300000001</v>
      </c>
      <c r="AL26" s="28">
        <f t="shared" si="14"/>
        <v>-8670569.1099999994</v>
      </c>
      <c r="AM26" s="28">
        <f t="shared" si="14"/>
        <v>13965639.41</v>
      </c>
      <c r="AN26" s="28">
        <f t="shared" si="14"/>
        <v>696966.86</v>
      </c>
      <c r="AO26" s="28">
        <f t="shared" si="14"/>
        <v>18402564.009999998</v>
      </c>
      <c r="AP26" s="28">
        <f t="shared" si="14"/>
        <v>20206223.52</v>
      </c>
      <c r="AQ26" s="28">
        <f t="shared" si="14"/>
        <v>14023870.169999998</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739768430.8499999</v>
      </c>
      <c r="F27" s="26">
        <f t="shared" ref="F27:BQ27" si="16">F26-F24</f>
        <v>607769733.25999999</v>
      </c>
      <c r="G27" s="26">
        <f t="shared" si="16"/>
        <v>506380726.77000004</v>
      </c>
      <c r="H27" s="26">
        <f t="shared" si="16"/>
        <v>119357705.84</v>
      </c>
      <c r="I27" s="26">
        <f t="shared" si="16"/>
        <v>454441504.23000002</v>
      </c>
      <c r="J27" s="26">
        <f t="shared" si="16"/>
        <v>272970470.39999998</v>
      </c>
      <c r="K27" s="26">
        <f t="shared" si="16"/>
        <v>244127973.47</v>
      </c>
      <c r="L27" s="26">
        <f t="shared" si="16"/>
        <v>59950360.829999998</v>
      </c>
      <c r="M27" s="26">
        <f t="shared" si="16"/>
        <v>287635755.20999998</v>
      </c>
      <c r="N27" s="26">
        <f t="shared" si="16"/>
        <v>212158835.91</v>
      </c>
      <c r="O27" s="26">
        <f t="shared" si="16"/>
        <v>145389073.78</v>
      </c>
      <c r="P27" s="26">
        <f t="shared" si="16"/>
        <v>53685843.909999996</v>
      </c>
      <c r="Q27" s="26">
        <f t="shared" si="16"/>
        <v>124054421.95</v>
      </c>
      <c r="R27" s="26">
        <f t="shared" si="16"/>
        <v>90884489.090000004</v>
      </c>
      <c r="S27" s="26">
        <f t="shared" si="16"/>
        <v>112119603.64</v>
      </c>
      <c r="T27" s="26">
        <f t="shared" si="16"/>
        <v>45104165.799999997</v>
      </c>
      <c r="U27" s="26">
        <f t="shared" si="16"/>
        <v>7614014.6200000048</v>
      </c>
      <c r="V27" s="26">
        <f t="shared" si="16"/>
        <v>-14335425.93</v>
      </c>
      <c r="W27" s="26">
        <f t="shared" si="16"/>
        <v>-15044528.18</v>
      </c>
      <c r="X27" s="26">
        <f t="shared" si="16"/>
        <v>-21348673.190000001</v>
      </c>
      <c r="Y27" s="26">
        <f t="shared" si="16"/>
        <v>56168256.729999997</v>
      </c>
      <c r="Z27" s="26">
        <f t="shared" si="16"/>
        <v>44595388.979999997</v>
      </c>
      <c r="AA27" s="26">
        <f t="shared" si="16"/>
        <v>13634984.120000001</v>
      </c>
      <c r="AB27" s="26">
        <f t="shared" si="16"/>
        <v>-27499918.41</v>
      </c>
      <c r="AC27" s="26">
        <f t="shared" si="16"/>
        <v>13223998.099999998</v>
      </c>
      <c r="AD27" s="26">
        <f t="shared" si="16"/>
        <v>26215696.399999999</v>
      </c>
      <c r="AE27" s="26">
        <f t="shared" si="16"/>
        <v>19708516.18</v>
      </c>
      <c r="AF27" s="26">
        <f t="shared" si="16"/>
        <v>-7341950.5800000001</v>
      </c>
      <c r="AG27" s="26">
        <f t="shared" si="16"/>
        <v>-112078308.64999999</v>
      </c>
      <c r="AH27" s="26">
        <f t="shared" si="16"/>
        <v>-92129113.760000005</v>
      </c>
      <c r="AI27" s="26">
        <f t="shared" si="16"/>
        <v>-74279417.540000007</v>
      </c>
      <c r="AJ27" s="26">
        <f t="shared" si="16"/>
        <v>-32539203.309999999</v>
      </c>
      <c r="AK27" s="26">
        <f t="shared" si="16"/>
        <v>7872618.8300000001</v>
      </c>
      <c r="AL27" s="26">
        <f t="shared" si="16"/>
        <v>-8670569.1099999994</v>
      </c>
      <c r="AM27" s="26">
        <f t="shared" si="16"/>
        <v>13965639.41</v>
      </c>
      <c r="AN27" s="26">
        <f t="shared" si="16"/>
        <v>696966.86</v>
      </c>
      <c r="AO27" s="26">
        <f t="shared" si="16"/>
        <v>18402564.009999998</v>
      </c>
      <c r="AP27" s="26">
        <f t="shared" si="16"/>
        <v>20206223.52</v>
      </c>
      <c r="AQ27" s="26">
        <f t="shared" si="16"/>
        <v>14023870.169999998</v>
      </c>
      <c r="AR27" s="26">
        <f t="shared" si="16"/>
        <v>0</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0.62786282494917411</v>
      </c>
      <c r="F28" s="63">
        <f t="shared" ref="F28:BQ28" si="18">(F27-J27)/J27</f>
        <v>1.2265035934817368</v>
      </c>
      <c r="G28" s="63">
        <f t="shared" si="18"/>
        <v>1.0742429455026272</v>
      </c>
      <c r="H28" s="63">
        <f t="shared" si="18"/>
        <v>0.99094224267407149</v>
      </c>
      <c r="I28" s="63">
        <f t="shared" si="18"/>
        <v>0.5799200759940879</v>
      </c>
      <c r="J28" s="63">
        <f t="shared" si="18"/>
        <v>0.2866325799213798</v>
      </c>
      <c r="K28" s="63">
        <f t="shared" si="18"/>
        <v>0.67913562637732894</v>
      </c>
      <c r="L28" s="63">
        <f t="shared" si="18"/>
        <v>0.11668843150723235</v>
      </c>
      <c r="M28" s="63">
        <f t="shared" si="18"/>
        <v>1.3186255732659917</v>
      </c>
      <c r="N28" s="63">
        <f t="shared" si="18"/>
        <v>1.3343789246579345</v>
      </c>
      <c r="O28" s="63">
        <f t="shared" si="18"/>
        <v>0.29673196354513975</v>
      </c>
      <c r="P28" s="63">
        <f t="shared" si="18"/>
        <v>0.19026353681060654</v>
      </c>
      <c r="Q28" s="63">
        <f t="shared" si="18"/>
        <v>15.292905666892445</v>
      </c>
      <c r="R28" s="63">
        <f t="shared" si="18"/>
        <v>-7.3398527210694473</v>
      </c>
      <c r="S28" s="63">
        <f t="shared" si="18"/>
        <v>-8.4525171077847645</v>
      </c>
      <c r="T28" s="63">
        <f t="shared" si="18"/>
        <v>-3.1127385949740134</v>
      </c>
      <c r="U28" s="63">
        <f t="shared" si="18"/>
        <v>-0.86444274643237617</v>
      </c>
      <c r="V28" s="63">
        <f t="shared" si="18"/>
        <v>-1.321455340067313</v>
      </c>
      <c r="W28" s="63">
        <f t="shared" si="18"/>
        <v>-2.1033770224882371</v>
      </c>
      <c r="X28" s="63">
        <f t="shared" si="18"/>
        <v>-0.22368230800870942</v>
      </c>
      <c r="Y28" s="63">
        <f t="shared" si="18"/>
        <v>3.2474489413303833</v>
      </c>
      <c r="Z28" s="63">
        <f t="shared" si="18"/>
        <v>0.70109495851500625</v>
      </c>
      <c r="AA28" s="63">
        <f t="shared" si="18"/>
        <v>-0.3081679008470134</v>
      </c>
      <c r="AB28" s="63">
        <f t="shared" si="18"/>
        <v>2.7455875125217744</v>
      </c>
      <c r="AC28" s="63">
        <f t="shared" si="18"/>
        <v>-1.1179889156009315</v>
      </c>
      <c r="AD28" s="63">
        <f t="shared" si="18"/>
        <v>-1.28455387586049</v>
      </c>
      <c r="AE28" s="63">
        <f t="shared" si="18"/>
        <v>-1.2653294389308696</v>
      </c>
      <c r="AF28" s="63">
        <f t="shared" si="18"/>
        <v>-0.77436600060384198</v>
      </c>
      <c r="AG28" s="63">
        <f t="shared" si="18"/>
        <v>-15.236470870773758</v>
      </c>
      <c r="AH28" s="63">
        <f t="shared" si="18"/>
        <v>9.6254978873007353</v>
      </c>
      <c r="AI28" s="63">
        <f t="shared" si="18"/>
        <v>-6.3187265802389785</v>
      </c>
      <c r="AJ28" s="63">
        <f t="shared" si="18"/>
        <v>-47.686873045871934</v>
      </c>
      <c r="AK28" s="63">
        <f t="shared" si="18"/>
        <v>-0.57219989422550033</v>
      </c>
      <c r="AL28" s="63">
        <f t="shared" si="18"/>
        <v>-1.4291038897702939</v>
      </c>
      <c r="AM28" s="63">
        <f t="shared" si="18"/>
        <v>-4.1522603456901454E-3</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737</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568</v>
      </c>
      <c r="B30" s="96"/>
      <c r="C30" s="96"/>
      <c r="D30" s="96"/>
      <c r="E30" s="96" t="s">
        <v>567</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x14ac:dyDescent="0.25">
      <c r="A31" s="111" t="s">
        <v>570</v>
      </c>
      <c r="B31" s="112"/>
      <c r="C31" s="112"/>
      <c r="D31" s="112"/>
      <c r="E31" s="112">
        <f>POWER(E27/U27,1/5)-1</f>
        <v>1.4974477878771095</v>
      </c>
      <c r="F31" s="112"/>
      <c r="G31" s="112"/>
      <c r="H31" s="112"/>
      <c r="I31" s="112">
        <f>POWER(E27/Y27,1/6)-1</f>
        <v>0.53674145944719243</v>
      </c>
      <c r="M31" s="112">
        <f>POWER(E27/AC27,1/7)-1</f>
        <v>0.77695383538180529</v>
      </c>
      <c r="Q31" s="115" t="s">
        <v>603</v>
      </c>
      <c r="R31" s="115"/>
      <c r="S31" s="115"/>
      <c r="T31" s="115"/>
      <c r="U31" s="115">
        <f>POWER(E14/U14,1/5)-1</f>
        <v>0.92465279873676076</v>
      </c>
      <c r="V31" s="115"/>
      <c r="W31" s="115"/>
      <c r="X31" s="115"/>
      <c r="Y31" s="115">
        <f>POWER(E14/Y14,1/6)-1</f>
        <v>0.52723226538155044</v>
      </c>
      <c r="Z31" s="115"/>
      <c r="AA31" s="115"/>
      <c r="AB31" s="115"/>
      <c r="AC31" s="115">
        <f>POWER(E14/AC14,1/7)-1</f>
        <v>0.65571660669747978</v>
      </c>
    </row>
    <row r="32" spans="1:90" s="66" customFormat="1" x14ac:dyDescent="0.25">
      <c r="A32" s="46" t="s">
        <v>512</v>
      </c>
      <c r="E32" s="66">
        <v>0.17</v>
      </c>
    </row>
    <row r="39" spans="1:13" ht="43.2" x14ac:dyDescent="0.25">
      <c r="A39" s="67" t="s">
        <v>513</v>
      </c>
    </row>
    <row r="41" spans="1:13" ht="111" customHeight="1" x14ac:dyDescent="0.25">
      <c r="A41" s="279" t="s">
        <v>736</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opLeftCell="A11" workbookViewId="0">
      <selection activeCell="B4" sqref="B4"/>
    </sheetView>
  </sheetViews>
  <sheetFormatPr defaultRowHeight="14.4" x14ac:dyDescent="0.25"/>
  <cols>
    <col min="1" max="1" width="43.5546875" style="17" bestFit="1" customWidth="1"/>
    <col min="2" max="2" width="21.44140625" style="26" bestFit="1" customWidth="1"/>
    <col min="3" max="3" width="38" bestFit="1" customWidth="1"/>
    <col min="4" max="4" width="21.44140625" bestFit="1" customWidth="1"/>
    <col min="5" max="5" width="18.33203125" bestFit="1" customWidth="1"/>
    <col min="6" max="8" width="17.21875" bestFit="1" customWidth="1"/>
    <col min="9" max="11" width="19.33203125" bestFit="1" customWidth="1"/>
    <col min="12" max="12" width="40.21875" bestFit="1" customWidth="1"/>
    <col min="13" max="19" width="19.33203125" bestFit="1" customWidth="1"/>
    <col min="20" max="74" width="9.44140625" bestFit="1" customWidth="1"/>
  </cols>
  <sheetData>
    <row r="1" spans="1:10" ht="16.2" customHeight="1" x14ac:dyDescent="0.25">
      <c r="A1" s="68" t="s">
        <v>514</v>
      </c>
      <c r="B1" s="69">
        <f>自由现金流分析表!E1</f>
        <v>43100</v>
      </c>
      <c r="C1" s="190" t="s">
        <v>751</v>
      </c>
      <c r="D1" s="273">
        <v>0.08</v>
      </c>
      <c r="E1" s="261" t="s">
        <v>750</v>
      </c>
      <c r="F1" s="63">
        <f>平均资本成本表!E13</f>
        <v>7.7895749800821451E-2</v>
      </c>
    </row>
    <row r="2" spans="1:10" x14ac:dyDescent="0.25">
      <c r="A2" s="70" t="s">
        <v>515</v>
      </c>
      <c r="B2" s="71">
        <f>(自由现金流分析表!E27+自由现金流分析表!I27+自由现金流分析表!M27)/3</f>
        <v>493948563.43000001</v>
      </c>
      <c r="C2" t="s">
        <v>548</v>
      </c>
      <c r="D2" s="63"/>
      <c r="E2" s="63"/>
      <c r="F2" s="56"/>
    </row>
    <row r="3" spans="1:10" s="63" customFormat="1" x14ac:dyDescent="0.25">
      <c r="A3" s="72" t="s">
        <v>516</v>
      </c>
      <c r="B3" s="98">
        <v>0</v>
      </c>
      <c r="D3" s="189"/>
      <c r="E3" s="189"/>
      <c r="F3" s="259"/>
    </row>
    <row r="4" spans="1:10" s="63" customFormat="1" x14ac:dyDescent="0.25">
      <c r="A4" s="72" t="s">
        <v>517</v>
      </c>
      <c r="B4" s="98">
        <f>F1</f>
        <v>7.7895749800821451E-2</v>
      </c>
      <c r="D4" s="189"/>
      <c r="E4" s="189"/>
      <c r="F4" s="260"/>
    </row>
    <row r="5" spans="1:10" x14ac:dyDescent="0.25">
      <c r="A5" s="70" t="s">
        <v>518</v>
      </c>
      <c r="B5" s="71">
        <f>B2*(1+B3)/(B4-B3)</f>
        <v>6341149095.9779053</v>
      </c>
      <c r="D5" s="63"/>
      <c r="E5" s="63"/>
    </row>
    <row r="6" spans="1:10" x14ac:dyDescent="0.25">
      <c r="A6" s="70" t="s">
        <v>519</v>
      </c>
      <c r="B6" s="71">
        <f>资产资本表!E17</f>
        <v>3399043798.1699996</v>
      </c>
      <c r="D6" s="189"/>
      <c r="E6" s="189"/>
      <c r="F6" s="189"/>
      <c r="G6" s="189"/>
    </row>
    <row r="7" spans="1:10" x14ac:dyDescent="0.25">
      <c r="A7" s="70" t="s">
        <v>520</v>
      </c>
      <c r="B7" s="71">
        <f>资产资本表!E19</f>
        <v>2319702475.1399999</v>
      </c>
      <c r="D7" s="189"/>
      <c r="E7" s="189"/>
      <c r="F7" s="189"/>
      <c r="G7" s="189"/>
    </row>
    <row r="8" spans="1:10" x14ac:dyDescent="0.25">
      <c r="A8" s="70" t="s">
        <v>521</v>
      </c>
      <c r="B8" s="196">
        <f>资产资本表!E89</f>
        <v>2287351170.8299999</v>
      </c>
      <c r="C8" s="271" t="s">
        <v>748</v>
      </c>
      <c r="D8" s="272">
        <f>B2/B4</f>
        <v>6341149095.9779053</v>
      </c>
      <c r="E8" s="63"/>
      <c r="F8" s="189"/>
      <c r="G8" s="189"/>
    </row>
    <row r="9" spans="1:10" x14ac:dyDescent="0.25">
      <c r="A9" s="70" t="s">
        <v>522</v>
      </c>
      <c r="B9" s="196">
        <f>B5+B6+B7-B8</f>
        <v>9772544198.4579048</v>
      </c>
      <c r="C9" s="271" t="s">
        <v>749</v>
      </c>
      <c r="D9" s="272">
        <f>(D8+资产资本结构分析表!$E$2+资产资本结构分析表!$E$3)/B55</f>
        <v>12.872856140408754</v>
      </c>
      <c r="E9" s="189"/>
      <c r="F9" s="189"/>
      <c r="G9" s="189"/>
    </row>
    <row r="10" spans="1:10" x14ac:dyDescent="0.25">
      <c r="A10" s="70" t="s">
        <v>523</v>
      </c>
      <c r="B10" s="73">
        <f>资产资本表!E103/资产资本表!E107</f>
        <v>3.7697275134672713E-2</v>
      </c>
      <c r="D10" s="189"/>
      <c r="E10" s="189"/>
      <c r="F10" s="189"/>
      <c r="G10" s="189"/>
    </row>
    <row r="11" spans="1:10" x14ac:dyDescent="0.25">
      <c r="A11" s="70" t="s">
        <v>549</v>
      </c>
      <c r="B11" s="196">
        <f>B9*(1-B10)</f>
        <v>9404145911.0428886</v>
      </c>
      <c r="C11" s="268" t="s">
        <v>745</v>
      </c>
      <c r="D11" s="269">
        <f>资产资本结构分析表!E2</f>
        <v>3399043798.1699996</v>
      </c>
      <c r="E11" s="63"/>
      <c r="F11" s="189"/>
      <c r="G11" s="189"/>
    </row>
    <row r="12" spans="1:10" x14ac:dyDescent="0.25">
      <c r="A12" s="70" t="s">
        <v>524</v>
      </c>
      <c r="B12" s="267">
        <f>B55</f>
        <v>936846900</v>
      </c>
      <c r="C12" s="268" t="s">
        <v>746</v>
      </c>
      <c r="D12" s="270">
        <f>D11/B55</f>
        <v>3.6281742493570719</v>
      </c>
      <c r="E12" s="189"/>
      <c r="F12" s="189"/>
      <c r="G12" s="189"/>
    </row>
    <row r="13" spans="1:10" ht="15" thickBot="1" x14ac:dyDescent="0.3">
      <c r="A13" s="74" t="s">
        <v>525</v>
      </c>
      <c r="B13" s="75">
        <f>B11/B12</f>
        <v>10.038081901154701</v>
      </c>
      <c r="D13" s="189"/>
      <c r="E13" s="189"/>
    </row>
    <row r="14" spans="1:10" s="16" customFormat="1" ht="53.25" customHeight="1" x14ac:dyDescent="0.25">
      <c r="A14" s="279" t="s">
        <v>738</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541</v>
      </c>
      <c r="D17" s="90">
        <v>0.1</v>
      </c>
      <c r="E17" s="90"/>
      <c r="F17" s="90"/>
      <c r="G17" s="90"/>
      <c r="H17" s="90" t="s">
        <v>542</v>
      </c>
      <c r="I17" s="90">
        <v>0.04</v>
      </c>
      <c r="J17" s="78"/>
    </row>
    <row r="18" spans="1:10" s="2" customFormat="1" x14ac:dyDescent="0.25">
      <c r="A18" s="300" t="s">
        <v>526</v>
      </c>
      <c r="B18" s="300"/>
      <c r="C18" s="65" t="s">
        <v>540</v>
      </c>
      <c r="D18" s="97">
        <v>1</v>
      </c>
      <c r="E18" s="97">
        <v>2</v>
      </c>
      <c r="F18" s="97">
        <v>3</v>
      </c>
      <c r="G18" s="97">
        <v>4</v>
      </c>
      <c r="H18" s="97">
        <v>5</v>
      </c>
      <c r="I18" s="96">
        <v>6</v>
      </c>
      <c r="J18" s="80"/>
    </row>
    <row r="19" spans="1:10" s="26" customFormat="1" x14ac:dyDescent="0.25">
      <c r="A19" s="99" t="s">
        <v>527</v>
      </c>
      <c r="B19" s="94"/>
      <c r="C19" s="89">
        <f>B2</f>
        <v>493948563.43000001</v>
      </c>
      <c r="D19" s="89">
        <f>C19*(1+$D$17)</f>
        <v>543343419.773</v>
      </c>
      <c r="E19" s="89">
        <f>D19*(1+$D$17)</f>
        <v>597677761.75030005</v>
      </c>
      <c r="F19" s="89">
        <f>E19*(1+$D$17)</f>
        <v>657445537.92533016</v>
      </c>
      <c r="G19" s="89">
        <f>F19*(1+$D$17)</f>
        <v>723190091.7178632</v>
      </c>
      <c r="H19" s="89">
        <f>G19*(1+$D$17)</f>
        <v>795509100.88964963</v>
      </c>
      <c r="I19" s="89">
        <f>H19*(1+I17)</f>
        <v>827329464.92523563</v>
      </c>
      <c r="J19" s="76"/>
    </row>
    <row r="20" spans="1:10" s="26" customFormat="1" x14ac:dyDescent="0.25">
      <c r="A20" s="99" t="s">
        <v>528</v>
      </c>
      <c r="B20" s="95">
        <f>B4</f>
        <v>7.7895749800821451E-2</v>
      </c>
      <c r="C20" s="89"/>
      <c r="D20" s="89">
        <f t="shared" ref="D20:I20" si="0">(1+$B$20)^D18</f>
        <v>1.0778957498008215</v>
      </c>
      <c r="E20" s="89">
        <f t="shared" si="0"/>
        <v>1.1618592474386751</v>
      </c>
      <c r="F20" s="89">
        <f t="shared" si="0"/>
        <v>1.2523631446809289</v>
      </c>
      <c r="G20" s="89">
        <f t="shared" si="0"/>
        <v>1.3499169108587643</v>
      </c>
      <c r="H20" s="89">
        <f t="shared" si="0"/>
        <v>1.4550697007989164</v>
      </c>
      <c r="I20" s="89">
        <f t="shared" si="0"/>
        <v>1.5684134461551049</v>
      </c>
      <c r="J20" s="76"/>
    </row>
    <row r="21" spans="1:10" s="26" customFormat="1" x14ac:dyDescent="0.25">
      <c r="A21" s="301" t="s">
        <v>529</v>
      </c>
      <c r="B21" s="301"/>
      <c r="C21" s="89"/>
      <c r="D21" s="89">
        <f>D19/D20</f>
        <v>504077894.24292791</v>
      </c>
      <c r="E21" s="89">
        <f>E19/E20</f>
        <v>514414945.7586053</v>
      </c>
      <c r="F21" s="89">
        <f>F19/F20</f>
        <v>524963977.6750465</v>
      </c>
      <c r="G21" s="89">
        <f>G19/G20</f>
        <v>535729337.0432688</v>
      </c>
      <c r="H21" s="89">
        <f>H19/H20</f>
        <v>546715460.05862784</v>
      </c>
      <c r="I21" s="89">
        <f>I19/((B20-I17)*I20)</f>
        <v>13919621638.890472</v>
      </c>
      <c r="J21" s="76"/>
    </row>
    <row r="22" spans="1:10" s="26" customFormat="1" x14ac:dyDescent="0.25">
      <c r="A22" s="301" t="s">
        <v>547</v>
      </c>
      <c r="B22" s="301"/>
      <c r="C22" s="89"/>
      <c r="D22" s="297">
        <f>SUM(D21:H21)</f>
        <v>2625901614.7784767</v>
      </c>
      <c r="E22" s="298"/>
      <c r="F22" s="298"/>
      <c r="G22" s="298"/>
      <c r="H22" s="299"/>
      <c r="I22" s="89">
        <f>I21</f>
        <v>13919621638.890472</v>
      </c>
      <c r="J22" s="76"/>
    </row>
    <row r="23" spans="1:10" x14ac:dyDescent="0.25">
      <c r="A23" s="92" t="s">
        <v>530</v>
      </c>
      <c r="B23" s="76">
        <f>D22+I22</f>
        <v>16545523253.668949</v>
      </c>
      <c r="C23" s="77"/>
      <c r="D23" s="77"/>
      <c r="E23" s="77"/>
      <c r="F23" s="77"/>
      <c r="G23" s="77"/>
      <c r="H23" s="77"/>
      <c r="I23" s="79"/>
      <c r="J23" s="77"/>
    </row>
    <row r="24" spans="1:10" x14ac:dyDescent="0.25">
      <c r="A24" s="92" t="s">
        <v>531</v>
      </c>
      <c r="B24" s="76">
        <f>B23</f>
        <v>16545523253.668949</v>
      </c>
      <c r="C24" s="77"/>
      <c r="D24" s="77"/>
      <c r="E24" s="77"/>
      <c r="F24" s="77"/>
      <c r="G24" s="77"/>
      <c r="H24" s="77"/>
      <c r="I24" s="79"/>
      <c r="J24" s="77"/>
    </row>
    <row r="25" spans="1:10" x14ac:dyDescent="0.25">
      <c r="A25" s="70" t="s">
        <v>532</v>
      </c>
      <c r="B25" s="71">
        <f>资产资本表!E17</f>
        <v>3399043798.1699996</v>
      </c>
      <c r="C25" s="77"/>
      <c r="D25" s="77"/>
      <c r="E25" s="77"/>
      <c r="F25" s="77"/>
      <c r="G25" s="77"/>
      <c r="H25" s="77"/>
      <c r="I25" s="79"/>
      <c r="J25" s="77"/>
    </row>
    <row r="26" spans="1:10" x14ac:dyDescent="0.25">
      <c r="A26" s="70" t="s">
        <v>533</v>
      </c>
      <c r="B26" s="71">
        <f>资产资本表!E19</f>
        <v>2319702475.1399999</v>
      </c>
      <c r="C26" s="77"/>
      <c r="D26" s="77"/>
      <c r="E26" s="77"/>
      <c r="F26" s="77"/>
      <c r="G26" s="77"/>
      <c r="H26" s="77"/>
      <c r="I26" s="79"/>
      <c r="J26" s="77"/>
    </row>
    <row r="27" spans="1:10" x14ac:dyDescent="0.25">
      <c r="A27" s="70" t="s">
        <v>534</v>
      </c>
      <c r="B27" s="71">
        <f>资产资本表!E89</f>
        <v>2287351170.8299999</v>
      </c>
      <c r="C27" s="77"/>
      <c r="D27" s="77"/>
      <c r="E27" s="77"/>
      <c r="F27" s="77"/>
      <c r="G27" s="77"/>
      <c r="H27" s="77"/>
      <c r="I27" s="79"/>
      <c r="J27" s="77"/>
    </row>
    <row r="28" spans="1:10" s="2" customFormat="1" x14ac:dyDescent="0.25">
      <c r="A28" s="82" t="s">
        <v>535</v>
      </c>
      <c r="B28" s="83">
        <f>B24+B25+B26-B27</f>
        <v>19976918356.148949</v>
      </c>
      <c r="C28" s="80"/>
      <c r="D28" s="80"/>
      <c r="E28" s="80"/>
      <c r="F28" s="80"/>
      <c r="G28" s="80"/>
      <c r="H28" s="80"/>
      <c r="I28" s="81"/>
      <c r="J28" s="80"/>
    </row>
    <row r="29" spans="1:10" x14ac:dyDescent="0.25">
      <c r="A29" s="70" t="s">
        <v>536</v>
      </c>
      <c r="B29" s="78">
        <f>资产资本表!E103/资产资本表!E107</f>
        <v>3.7697275134672713E-2</v>
      </c>
      <c r="C29" s="302" t="s">
        <v>543</v>
      </c>
      <c r="D29" s="302"/>
      <c r="E29" s="302"/>
      <c r="F29" s="77"/>
      <c r="G29" s="77"/>
      <c r="H29" s="77"/>
      <c r="I29" s="79"/>
      <c r="J29" s="77"/>
    </row>
    <row r="30" spans="1:10" s="2" customFormat="1" x14ac:dyDescent="0.25">
      <c r="A30" s="82" t="s">
        <v>537</v>
      </c>
      <c r="B30" s="83">
        <f>B28*(1-B29)</f>
        <v>19223842968.534309</v>
      </c>
      <c r="C30" s="91">
        <v>0.4</v>
      </c>
      <c r="D30" s="91">
        <v>0.3</v>
      </c>
      <c r="E30" s="91">
        <v>0.2</v>
      </c>
      <c r="F30" s="80"/>
      <c r="G30" s="80"/>
      <c r="H30" s="80"/>
      <c r="I30" s="81"/>
      <c r="J30" s="80"/>
    </row>
    <row r="31" spans="1:10" x14ac:dyDescent="0.25">
      <c r="A31" s="70" t="s">
        <v>747</v>
      </c>
      <c r="B31" s="101">
        <f>B55</f>
        <v>936846900</v>
      </c>
      <c r="C31" s="214">
        <f>$B$32*(1-C30)</f>
        <v>12.311836417583903</v>
      </c>
      <c r="D31" s="214">
        <f>$B$32*(1-D30)</f>
        <v>14.363809153847885</v>
      </c>
      <c r="E31" s="214">
        <f>$B$32*(1-E30)</f>
        <v>16.41578189011187</v>
      </c>
      <c r="F31" s="77"/>
      <c r="G31" s="77"/>
      <c r="H31" s="77"/>
      <c r="I31" s="79"/>
      <c r="J31" s="77"/>
    </row>
    <row r="32" spans="1:10" s="2" customFormat="1" ht="15" thickBot="1" x14ac:dyDescent="0.3">
      <c r="A32" s="84" t="s">
        <v>538</v>
      </c>
      <c r="B32" s="85">
        <f>B30/B31</f>
        <v>20.519727362639838</v>
      </c>
      <c r="C32" s="86"/>
      <c r="D32" s="86"/>
      <c r="E32" s="86"/>
      <c r="F32" s="86"/>
      <c r="G32" s="86"/>
      <c r="H32" s="86"/>
      <c r="I32" s="87"/>
      <c r="J32" s="80"/>
    </row>
    <row r="33" spans="1:19" ht="63" customHeight="1" x14ac:dyDescent="0.25">
      <c r="A33" s="303" t="s">
        <v>739</v>
      </c>
      <c r="B33" s="304"/>
      <c r="C33" s="304"/>
      <c r="D33" s="304"/>
      <c r="E33" s="304"/>
      <c r="F33" s="304"/>
      <c r="G33" s="304"/>
      <c r="H33" s="304"/>
      <c r="I33" s="304"/>
    </row>
    <row r="37" spans="1:19" s="63" customFormat="1" x14ac:dyDescent="0.25">
      <c r="A37" s="203"/>
      <c r="B37" s="203"/>
      <c r="C37" s="213" t="s">
        <v>541</v>
      </c>
      <c r="D37" s="213">
        <v>0.15</v>
      </c>
      <c r="E37" s="213"/>
      <c r="F37" s="213"/>
      <c r="G37" s="213"/>
      <c r="H37" s="213" t="s">
        <v>636</v>
      </c>
      <c r="I37" s="213">
        <v>0.09</v>
      </c>
      <c r="J37" s="213"/>
      <c r="K37" s="213"/>
      <c r="L37" s="213"/>
      <c r="M37" s="213"/>
      <c r="N37" s="213"/>
      <c r="O37" s="213"/>
      <c r="P37" s="213"/>
      <c r="Q37" s="213"/>
      <c r="R37" s="213" t="s">
        <v>546</v>
      </c>
      <c r="S37" s="213">
        <v>0.02</v>
      </c>
    </row>
    <row r="38" spans="1:19" s="24" customFormat="1" x14ac:dyDescent="0.25">
      <c r="A38" s="311" t="s">
        <v>544</v>
      </c>
      <c r="B38" s="312"/>
      <c r="C38" s="215" t="s">
        <v>540</v>
      </c>
      <c r="D38" s="216">
        <v>1</v>
      </c>
      <c r="E38" s="216">
        <v>2</v>
      </c>
      <c r="F38" s="216">
        <v>3</v>
      </c>
      <c r="G38" s="216">
        <v>4</v>
      </c>
      <c r="H38" s="216">
        <v>5</v>
      </c>
      <c r="I38" s="217">
        <v>6</v>
      </c>
      <c r="J38" s="217">
        <v>7</v>
      </c>
      <c r="K38" s="217">
        <v>8</v>
      </c>
      <c r="L38" s="217">
        <v>9</v>
      </c>
      <c r="M38" s="217">
        <v>10</v>
      </c>
      <c r="N38" s="217">
        <v>11</v>
      </c>
      <c r="O38" s="217">
        <v>12</v>
      </c>
      <c r="P38" s="217">
        <v>13</v>
      </c>
      <c r="Q38" s="217">
        <v>14</v>
      </c>
      <c r="R38" s="217">
        <v>15</v>
      </c>
      <c r="S38" s="218">
        <v>16</v>
      </c>
    </row>
    <row r="39" spans="1:19" s="192" customFormat="1" x14ac:dyDescent="0.25">
      <c r="A39" s="99" t="s">
        <v>527</v>
      </c>
      <c r="B39" s="94"/>
      <c r="C39" s="89">
        <f>B2</f>
        <v>493948563.43000001</v>
      </c>
      <c r="D39" s="89">
        <f>$C$39*(1+$D$37)^D38</f>
        <v>568040847.94449997</v>
      </c>
      <c r="E39" s="89">
        <f>$C$39*(1+$D$37)^E38</f>
        <v>653246975.13617492</v>
      </c>
      <c r="F39" s="89">
        <f>$C$39*(1+$D$37)^F38</f>
        <v>751234021.40660107</v>
      </c>
      <c r="G39" s="89">
        <f>$C$39*(1+$D$37)^G38</f>
        <v>863919124.61759114</v>
      </c>
      <c r="H39" s="89">
        <f>$C$39*(1+$D$37)^H38</f>
        <v>993506993.3102299</v>
      </c>
      <c r="I39" s="89">
        <f>H39*(1+$I$37)</f>
        <v>1082922622.7081506</v>
      </c>
      <c r="J39" s="89">
        <f t="shared" ref="J39:N39" si="1">I39*(1+$I$37)</f>
        <v>1180385658.7518842</v>
      </c>
      <c r="K39" s="89">
        <f t="shared" si="1"/>
        <v>1286620368.0395539</v>
      </c>
      <c r="L39" s="89">
        <f t="shared" si="1"/>
        <v>1402416201.1631138</v>
      </c>
      <c r="M39" s="89">
        <f t="shared" si="1"/>
        <v>1528633659.2677941</v>
      </c>
      <c r="N39" s="89">
        <f t="shared" si="1"/>
        <v>1666210688.6018958</v>
      </c>
      <c r="O39" s="89">
        <f t="shared" ref="O39" si="2">N39*(1+$I$37)</f>
        <v>1816169650.5760665</v>
      </c>
      <c r="P39" s="89">
        <f t="shared" ref="P39" si="3">O39*(1+$I$37)</f>
        <v>1979624919.1279125</v>
      </c>
      <c r="Q39" s="89">
        <f t="shared" ref="Q39" si="4">P39*(1+$I$37)</f>
        <v>2157791161.8494248</v>
      </c>
      <c r="R39" s="89">
        <f t="shared" ref="R39" si="5">Q39*(1+$I$37)</f>
        <v>2351992366.4158731</v>
      </c>
      <c r="S39" s="89">
        <f>R39*(1+S37)</f>
        <v>2399032213.7441907</v>
      </c>
    </row>
    <row r="40" spans="1:19" s="23" customFormat="1" x14ac:dyDescent="0.25">
      <c r="A40" s="209" t="s">
        <v>528</v>
      </c>
      <c r="B40" s="208">
        <f>B4</f>
        <v>7.7895749800821451E-2</v>
      </c>
      <c r="C40" s="214"/>
      <c r="D40" s="214">
        <f>(1+$B$40)^D38</f>
        <v>1.0778957498008215</v>
      </c>
      <c r="E40" s="214">
        <f t="shared" ref="E40:R40" si="6">(1+$B$40)^E38</f>
        <v>1.1618592474386751</v>
      </c>
      <c r="F40" s="214">
        <f t="shared" si="6"/>
        <v>1.2523631446809289</v>
      </c>
      <c r="G40" s="214">
        <f t="shared" si="6"/>
        <v>1.3499169108587643</v>
      </c>
      <c r="H40" s="214">
        <f t="shared" si="6"/>
        <v>1.4550697007989164</v>
      </c>
      <c r="I40" s="214">
        <f t="shared" si="6"/>
        <v>1.5684134461551049</v>
      </c>
      <c r="J40" s="214">
        <f t="shared" si="6"/>
        <v>1.6905861875410473</v>
      </c>
      <c r="K40" s="214">
        <f t="shared" si="6"/>
        <v>1.8222756662224691</v>
      </c>
      <c r="L40" s="214">
        <f t="shared" si="6"/>
        <v>1.9642231955866598</v>
      </c>
      <c r="M40" s="214">
        <f t="shared" si="6"/>
        <v>2.1172278341830482</v>
      </c>
      <c r="N40" s="214">
        <f t="shared" si="6"/>
        <v>2.2821508838259059</v>
      </c>
      <c r="O40" s="214">
        <f t="shared" si="6"/>
        <v>2.459920738080132</v>
      </c>
      <c r="P40" s="214">
        <f t="shared" si="6"/>
        <v>2.6515381084234741</v>
      </c>
      <c r="Q40" s="214">
        <f t="shared" si="6"/>
        <v>2.8580816575045724</v>
      </c>
      <c r="R40" s="214">
        <f t="shared" si="6"/>
        <v>3.0807140712078658</v>
      </c>
      <c r="S40" s="182">
        <f>(1+$B$40)^S38</f>
        <v>3.3206886037065435</v>
      </c>
    </row>
    <row r="41" spans="1:19" s="192" customFormat="1" x14ac:dyDescent="0.25">
      <c r="A41" s="313" t="s">
        <v>529</v>
      </c>
      <c r="B41" s="314"/>
      <c r="C41" s="89"/>
      <c r="D41" s="89">
        <f t="shared" ref="D41:R41" si="7">D39/D40</f>
        <v>526990525.79942465</v>
      </c>
      <c r="E41" s="89">
        <f t="shared" si="7"/>
        <v>562242781.62459123</v>
      </c>
      <c r="F41" s="89">
        <f t="shared" si="7"/>
        <v>599853185.2340616</v>
      </c>
      <c r="G41" s="89">
        <f t="shared" si="7"/>
        <v>639979481.45415819</v>
      </c>
      <c r="H41" s="89">
        <f t="shared" si="7"/>
        <v>682789967.2192595</v>
      </c>
      <c r="I41" s="89">
        <f t="shared" si="7"/>
        <v>690457369.74704397</v>
      </c>
      <c r="J41" s="89">
        <f t="shared" si="7"/>
        <v>698210873.51290369</v>
      </c>
      <c r="K41" s="89">
        <f t="shared" si="7"/>
        <v>706051445.39227974</v>
      </c>
      <c r="L41" s="89">
        <f t="shared" si="7"/>
        <v>713980063.11815822</v>
      </c>
      <c r="M41" s="89">
        <f t="shared" si="7"/>
        <v>721997715.40299606</v>
      </c>
      <c r="N41" s="89">
        <f t="shared" si="7"/>
        <v>730105402.06201494</v>
      </c>
      <c r="O41" s="89">
        <f t="shared" si="7"/>
        <v>738304134.13787997</v>
      </c>
      <c r="P41" s="89">
        <f t="shared" si="7"/>
        <v>746594934.02677846</v>
      </c>
      <c r="Q41" s="89">
        <f t="shared" si="7"/>
        <v>754978835.60591471</v>
      </c>
      <c r="R41" s="89">
        <f t="shared" si="7"/>
        <v>763456884.36243606</v>
      </c>
      <c r="S41" s="89">
        <f>S39/((B40-S37)*S40)</f>
        <v>12478467295.450277</v>
      </c>
    </row>
    <row r="42" spans="1:19" s="23" customFormat="1" x14ac:dyDescent="0.25">
      <c r="A42" s="315" t="s">
        <v>547</v>
      </c>
      <c r="B42" s="316"/>
      <c r="C42" s="214"/>
      <c r="D42" s="308">
        <f>SUM(D41:H41)</f>
        <v>3011855941.3314953</v>
      </c>
      <c r="E42" s="309"/>
      <c r="F42" s="309"/>
      <c r="G42" s="309"/>
      <c r="H42" s="310"/>
      <c r="I42" s="308">
        <f>SUM(I41:R41)</f>
        <v>7264137657.3684063</v>
      </c>
      <c r="J42" s="309"/>
      <c r="K42" s="309"/>
      <c r="L42" s="309"/>
      <c r="M42" s="309"/>
      <c r="N42" s="309"/>
      <c r="O42" s="309"/>
      <c r="P42" s="309"/>
      <c r="Q42" s="309"/>
      <c r="R42" s="310"/>
      <c r="S42" s="214">
        <f>S41</f>
        <v>12478467295.450277</v>
      </c>
    </row>
    <row r="43" spans="1:19" x14ac:dyDescent="0.25">
      <c r="A43" s="205" t="s">
        <v>545</v>
      </c>
      <c r="B43" s="196">
        <f>D42+I42+S42</f>
        <v>22754460894.150177</v>
      </c>
      <c r="C43" s="197"/>
      <c r="D43" s="197"/>
      <c r="E43" s="197"/>
      <c r="F43" s="197"/>
      <c r="G43" s="197"/>
      <c r="H43" s="197"/>
      <c r="I43" s="197"/>
      <c r="J43" s="197"/>
      <c r="K43" s="197"/>
      <c r="L43" s="197"/>
      <c r="M43" s="197"/>
      <c r="N43" s="197"/>
      <c r="O43" s="197"/>
      <c r="P43" s="197"/>
      <c r="Q43" s="197"/>
      <c r="R43" s="197"/>
      <c r="S43" s="199"/>
    </row>
    <row r="44" spans="1:19" x14ac:dyDescent="0.25">
      <c r="A44" s="205" t="s">
        <v>531</v>
      </c>
      <c r="B44" s="196">
        <f>B43</f>
        <v>22754460894.150177</v>
      </c>
      <c r="C44" s="197"/>
      <c r="D44" s="197"/>
      <c r="E44" s="197"/>
      <c r="F44" s="197"/>
      <c r="G44" s="197"/>
      <c r="H44" s="197"/>
      <c r="I44" s="197"/>
      <c r="J44" s="197"/>
      <c r="K44" s="197"/>
      <c r="L44" s="197"/>
      <c r="M44" s="197"/>
      <c r="N44" s="197"/>
      <c r="O44" s="197"/>
      <c r="P44" s="197"/>
      <c r="Q44" s="197"/>
      <c r="R44" s="197"/>
      <c r="S44" s="199"/>
    </row>
    <row r="45" spans="1:19" x14ac:dyDescent="0.25">
      <c r="A45" s="195" t="s">
        <v>532</v>
      </c>
      <c r="B45" s="196">
        <f>资产资本表!E17</f>
        <v>3399043798.1699996</v>
      </c>
      <c r="C45" s="197"/>
      <c r="D45" s="197"/>
      <c r="E45" s="197"/>
      <c r="F45" s="197"/>
      <c r="G45" s="197"/>
      <c r="H45" s="197"/>
      <c r="I45" s="197"/>
      <c r="J45" s="197"/>
      <c r="K45" s="197"/>
      <c r="L45" s="197"/>
      <c r="M45" s="197"/>
      <c r="N45" s="197"/>
      <c r="O45" s="197"/>
      <c r="P45" s="197"/>
      <c r="Q45" s="197"/>
      <c r="R45" s="197"/>
      <c r="S45" s="199"/>
    </row>
    <row r="46" spans="1:19" x14ac:dyDescent="0.25">
      <c r="A46" s="195" t="s">
        <v>533</v>
      </c>
      <c r="B46" s="196">
        <f>资产资本表!E19</f>
        <v>2319702475.1399999</v>
      </c>
      <c r="C46" s="197"/>
      <c r="D46" s="197"/>
      <c r="E46" s="197"/>
      <c r="F46" s="197"/>
      <c r="G46" s="197"/>
      <c r="H46" s="197"/>
      <c r="I46" s="197"/>
      <c r="J46" s="197"/>
      <c r="K46" s="197"/>
      <c r="L46" s="197"/>
      <c r="M46" s="197"/>
      <c r="N46" s="197"/>
      <c r="O46" s="197"/>
      <c r="P46" s="197"/>
      <c r="Q46" s="197"/>
      <c r="R46" s="197"/>
      <c r="S46" s="199"/>
    </row>
    <row r="47" spans="1:19" x14ac:dyDescent="0.25">
      <c r="A47" s="195" t="s">
        <v>534</v>
      </c>
      <c r="B47" s="196">
        <f>资产资本表!E89</f>
        <v>2287351170.8299999</v>
      </c>
      <c r="C47" s="197"/>
      <c r="D47" s="197"/>
      <c r="E47" s="197"/>
      <c r="F47" s="197"/>
      <c r="G47" s="197"/>
      <c r="H47" s="197"/>
      <c r="I47" s="197"/>
      <c r="J47" s="197"/>
      <c r="K47" s="197"/>
      <c r="L47" s="197"/>
      <c r="M47" s="197"/>
      <c r="N47" s="197"/>
      <c r="O47" s="197"/>
      <c r="P47" s="197"/>
      <c r="Q47" s="197"/>
      <c r="R47" s="197"/>
      <c r="S47" s="199"/>
    </row>
    <row r="48" spans="1:19" x14ac:dyDescent="0.25">
      <c r="A48" s="200" t="s">
        <v>535</v>
      </c>
      <c r="B48" s="196">
        <f>B44+B45+B46-B47</f>
        <v>26185855996.630173</v>
      </c>
      <c r="C48" s="197"/>
      <c r="D48" s="197"/>
      <c r="E48" s="197"/>
      <c r="F48" s="197"/>
      <c r="G48" s="197"/>
      <c r="H48" s="197"/>
      <c r="I48" s="197"/>
      <c r="J48" s="197"/>
      <c r="K48" s="197"/>
      <c r="L48" s="197"/>
      <c r="M48" s="197"/>
      <c r="N48" s="197"/>
      <c r="O48" s="197"/>
      <c r="P48" s="197"/>
      <c r="Q48" s="197"/>
      <c r="R48" s="197"/>
      <c r="S48" s="199"/>
    </row>
    <row r="49" spans="1:74" x14ac:dyDescent="0.25">
      <c r="A49" s="195" t="s">
        <v>536</v>
      </c>
      <c r="B49" s="198">
        <f>资产资本表!E103/资产资本表!E107</f>
        <v>3.7697275134672713E-2</v>
      </c>
      <c r="C49" s="197"/>
      <c r="D49" s="197"/>
      <c r="E49" s="197"/>
      <c r="F49" s="197"/>
      <c r="G49" s="197"/>
      <c r="H49" s="197"/>
      <c r="I49" s="197"/>
      <c r="J49" s="197"/>
      <c r="K49" s="197"/>
      <c r="L49" s="197"/>
      <c r="M49" s="197"/>
      <c r="N49" s="197"/>
      <c r="O49" s="197"/>
      <c r="P49" s="197"/>
      <c r="Q49" s="197"/>
      <c r="R49" s="197"/>
      <c r="S49" s="19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189"/>
      <c r="AT49" s="189"/>
      <c r="AU49" s="189"/>
      <c r="AV49" s="189"/>
      <c r="AW49" s="189"/>
      <c r="AX49" s="189"/>
      <c r="AY49" s="189"/>
      <c r="AZ49" s="189"/>
      <c r="BA49" s="189"/>
      <c r="BB49" s="189"/>
      <c r="BC49" s="189"/>
      <c r="BD49" s="189"/>
      <c r="BE49" s="189"/>
      <c r="BF49" s="189"/>
      <c r="BG49" s="189"/>
      <c r="BH49" s="189"/>
      <c r="BI49" s="189"/>
      <c r="BJ49" s="189"/>
      <c r="BK49" s="189"/>
      <c r="BL49" s="189"/>
      <c r="BM49" s="189"/>
      <c r="BN49" s="189"/>
      <c r="BO49" s="189"/>
      <c r="BP49" s="189"/>
      <c r="BQ49" s="189"/>
      <c r="BR49" s="189"/>
      <c r="BS49" s="189"/>
      <c r="BT49" s="189"/>
      <c r="BU49" s="189"/>
      <c r="BV49" s="189"/>
    </row>
    <row r="50" spans="1:74" x14ac:dyDescent="0.25">
      <c r="A50" s="200" t="s">
        <v>537</v>
      </c>
      <c r="B50" s="196">
        <f>B48*(1-B49)</f>
        <v>25198720578.488285</v>
      </c>
      <c r="C50" s="305" t="s">
        <v>543</v>
      </c>
      <c r="D50" s="306"/>
      <c r="E50" s="307"/>
      <c r="F50" s="197"/>
      <c r="G50" s="197"/>
      <c r="H50" s="197"/>
      <c r="I50" s="197"/>
      <c r="J50" s="197"/>
      <c r="K50" s="197"/>
      <c r="L50" s="197"/>
      <c r="M50" s="197"/>
      <c r="N50" s="197"/>
      <c r="O50" s="197"/>
      <c r="P50" s="197"/>
      <c r="Q50" s="197"/>
      <c r="R50" s="197"/>
      <c r="S50" s="199"/>
      <c r="T50" s="189"/>
      <c r="U50" s="189"/>
      <c r="V50" s="189"/>
      <c r="W50" s="189"/>
      <c r="X50" s="189"/>
      <c r="Y50" s="189"/>
      <c r="Z50" s="189"/>
      <c r="AA50" s="189"/>
      <c r="AB50" s="189"/>
      <c r="AC50" s="189"/>
      <c r="AD50" s="189"/>
      <c r="AE50" s="189"/>
      <c r="AF50" s="189"/>
      <c r="AG50" s="189"/>
      <c r="AH50" s="189"/>
      <c r="AI50" s="189"/>
      <c r="AJ50" s="189"/>
      <c r="AK50" s="189"/>
      <c r="AL50" s="189"/>
      <c r="AM50" s="189"/>
      <c r="AN50" s="189"/>
      <c r="AO50" s="189"/>
      <c r="AP50" s="189"/>
      <c r="AQ50" s="189"/>
      <c r="AR50" s="189"/>
      <c r="AS50" s="189"/>
      <c r="AT50" s="189"/>
      <c r="AU50" s="189"/>
      <c r="AV50" s="189"/>
      <c r="AW50" s="189"/>
      <c r="AX50" s="189"/>
      <c r="AY50" s="189"/>
      <c r="AZ50" s="189"/>
      <c r="BA50" s="189"/>
      <c r="BB50" s="189"/>
      <c r="BC50" s="189"/>
      <c r="BD50" s="189"/>
      <c r="BE50" s="189"/>
      <c r="BF50" s="189"/>
      <c r="BG50" s="189"/>
      <c r="BH50" s="189"/>
      <c r="BI50" s="189"/>
      <c r="BJ50" s="189"/>
      <c r="BK50" s="189"/>
      <c r="BL50" s="189"/>
      <c r="BM50" s="189"/>
      <c r="BN50" s="189"/>
      <c r="BO50" s="189"/>
      <c r="BP50" s="189"/>
      <c r="BQ50" s="189"/>
      <c r="BR50" s="189"/>
      <c r="BS50" s="189"/>
      <c r="BT50" s="189"/>
      <c r="BU50" s="189"/>
      <c r="BV50" s="189"/>
    </row>
    <row r="51" spans="1:74" x14ac:dyDescent="0.25">
      <c r="A51" s="195" t="s">
        <v>539</v>
      </c>
      <c r="B51" s="210">
        <f>B55</f>
        <v>936846900</v>
      </c>
      <c r="C51" s="204">
        <v>0.4</v>
      </c>
      <c r="D51" s="204">
        <v>0.3</v>
      </c>
      <c r="E51" s="204">
        <v>0.2</v>
      </c>
      <c r="F51" s="197"/>
      <c r="G51" s="197"/>
      <c r="H51" s="197"/>
      <c r="I51" s="197"/>
      <c r="J51" s="197"/>
      <c r="K51" s="197"/>
      <c r="L51" s="197"/>
      <c r="M51" s="197"/>
      <c r="N51" s="197"/>
      <c r="O51" s="197"/>
      <c r="P51" s="197"/>
      <c r="Q51" s="197"/>
      <c r="R51" s="197"/>
      <c r="S51" s="199"/>
      <c r="T51" s="189"/>
      <c r="U51" s="189"/>
      <c r="V51" s="189"/>
      <c r="W51" s="189"/>
      <c r="X51" s="189"/>
      <c r="Y51" s="189"/>
      <c r="Z51" s="189"/>
      <c r="AA51" s="189"/>
      <c r="AB51" s="189"/>
      <c r="AC51" s="189"/>
      <c r="AD51" s="189"/>
      <c r="AE51" s="189"/>
      <c r="AF51" s="189"/>
      <c r="AG51" s="189"/>
      <c r="AH51" s="189"/>
      <c r="AI51" s="189"/>
      <c r="AJ51" s="189"/>
      <c r="AK51" s="189"/>
      <c r="AL51" s="189"/>
      <c r="AM51" s="189"/>
      <c r="AN51" s="189"/>
      <c r="AO51" s="189"/>
      <c r="AP51" s="189"/>
      <c r="AQ51" s="189"/>
      <c r="AR51" s="189"/>
      <c r="AS51" s="189"/>
      <c r="AT51" s="189"/>
      <c r="AU51" s="189"/>
      <c r="AV51" s="189"/>
      <c r="AW51" s="189"/>
      <c r="AX51" s="189"/>
      <c r="AY51" s="189"/>
      <c r="AZ51" s="189"/>
      <c r="BA51" s="189"/>
      <c r="BB51" s="189"/>
      <c r="BC51" s="189"/>
      <c r="BD51" s="189"/>
      <c r="BE51" s="189"/>
      <c r="BF51" s="189"/>
      <c r="BG51" s="189"/>
      <c r="BH51" s="189"/>
      <c r="BI51" s="189"/>
      <c r="BJ51" s="189"/>
      <c r="BK51" s="189"/>
      <c r="BL51" s="189"/>
      <c r="BM51" s="189"/>
      <c r="BN51" s="189"/>
      <c r="BO51" s="189"/>
      <c r="BP51" s="189"/>
      <c r="BQ51" s="189"/>
      <c r="BR51" s="189"/>
      <c r="BS51" s="189"/>
      <c r="BT51" s="189"/>
      <c r="BU51" s="189"/>
      <c r="BV51" s="189"/>
    </row>
    <row r="52" spans="1:74" ht="15" thickBot="1" x14ac:dyDescent="0.3">
      <c r="A52" s="201" t="s">
        <v>538</v>
      </c>
      <c r="B52" s="206">
        <f>B50/B51</f>
        <v>26.897373069696112</v>
      </c>
      <c r="C52" s="207">
        <f>$B$52*(1-C51)</f>
        <v>16.138423841817666</v>
      </c>
      <c r="D52" s="207">
        <f>$B$52*(1-D51)</f>
        <v>18.828161148787277</v>
      </c>
      <c r="E52" s="207">
        <f>$B$52*(1-E51)</f>
        <v>21.517898455756892</v>
      </c>
      <c r="F52" s="193"/>
      <c r="G52" s="193"/>
      <c r="H52" s="193"/>
      <c r="I52" s="193"/>
      <c r="J52" s="193"/>
      <c r="K52" s="193"/>
      <c r="L52" s="193"/>
      <c r="M52" s="193"/>
      <c r="N52" s="193"/>
      <c r="O52" s="193"/>
      <c r="P52" s="193"/>
      <c r="Q52" s="193"/>
      <c r="R52" s="193"/>
      <c r="S52" s="202"/>
      <c r="T52" s="189"/>
      <c r="U52" s="189"/>
      <c r="V52" s="189"/>
      <c r="W52" s="189"/>
      <c r="X52" s="189"/>
      <c r="Y52" s="189"/>
      <c r="Z52" s="189"/>
      <c r="AA52" s="189"/>
      <c r="AB52" s="189"/>
      <c r="AC52" s="189"/>
      <c r="AD52" s="189"/>
      <c r="AE52" s="189"/>
      <c r="AF52" s="189"/>
      <c r="AG52" s="189"/>
      <c r="AH52" s="189"/>
      <c r="AI52" s="189"/>
      <c r="AJ52" s="189"/>
      <c r="AK52" s="189"/>
      <c r="AL52" s="189"/>
      <c r="AM52" s="189"/>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row>
    <row r="53" spans="1:74" ht="12.75" customHeight="1" thickBot="1" x14ac:dyDescent="0.3">
      <c r="A53" s="191"/>
      <c r="B53" s="192"/>
      <c r="C53" s="189"/>
      <c r="D53" s="189"/>
      <c r="E53" s="189"/>
      <c r="F53" s="189"/>
      <c r="G53" s="189"/>
      <c r="H53" s="189"/>
      <c r="I53" s="189"/>
      <c r="J53" s="189"/>
      <c r="K53" s="189"/>
      <c r="L53" s="189"/>
      <c r="M53" s="189"/>
      <c r="N53" s="189"/>
      <c r="O53" s="189"/>
      <c r="P53" s="189"/>
      <c r="Q53" s="189"/>
      <c r="R53" s="189"/>
      <c r="S53" s="189"/>
      <c r="T53" s="189"/>
      <c r="U53" s="189"/>
      <c r="V53" s="189"/>
      <c r="W53" s="189"/>
      <c r="X53" s="189"/>
      <c r="Y53" s="189"/>
      <c r="Z53" s="189"/>
      <c r="AA53" s="189"/>
      <c r="AB53" s="189"/>
      <c r="AC53" s="189"/>
      <c r="AD53" s="189"/>
      <c r="AE53" s="189"/>
      <c r="AF53" s="189"/>
      <c r="AG53" s="189"/>
      <c r="AH53" s="189"/>
      <c r="AI53" s="189"/>
      <c r="AJ53" s="189"/>
      <c r="AK53" s="189"/>
      <c r="AL53" s="189"/>
      <c r="AM53" s="189"/>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row>
    <row r="54" spans="1:74" s="103" customFormat="1" x14ac:dyDescent="0.25">
      <c r="A54" s="194">
        <v>2354</v>
      </c>
      <c r="B54" s="179">
        <f>自由现金流分析表!E1</f>
        <v>43100</v>
      </c>
      <c r="C54" s="190"/>
      <c r="D54" s="190"/>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row>
    <row r="55" spans="1:74" s="102" customFormat="1" x14ac:dyDescent="0.25">
      <c r="A55" s="211" t="s">
        <v>550</v>
      </c>
      <c r="B55" s="100">
        <v>936846900</v>
      </c>
      <c r="C55" s="274"/>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row>
    <row r="56" spans="1:74" s="62" customFormat="1" ht="15" thickBot="1" x14ac:dyDescent="0.3">
      <c r="A56" s="74"/>
      <c r="B56" s="93"/>
    </row>
    <row r="57" spans="1:74" ht="52.8" customHeight="1" x14ac:dyDescent="0.25">
      <c r="A57" s="295" t="s">
        <v>740</v>
      </c>
      <c r="B57" s="296"/>
      <c r="C57" s="296"/>
      <c r="D57" s="296"/>
      <c r="E57" s="296"/>
      <c r="F57" s="296"/>
      <c r="G57" s="296"/>
      <c r="H57" s="296"/>
      <c r="I57" s="296"/>
    </row>
    <row r="60" spans="1:74" s="155" customFormat="1" ht="51" customHeight="1" x14ac:dyDescent="0.25">
      <c r="A60" s="293" t="s">
        <v>608</v>
      </c>
      <c r="B60" s="294"/>
      <c r="C60" s="294"/>
      <c r="D60" s="294"/>
      <c r="E60" s="294"/>
      <c r="F60" s="294"/>
      <c r="G60" s="294"/>
      <c r="H60" s="294"/>
      <c r="I60" s="294"/>
    </row>
    <row r="63" spans="1:74" s="4" customFormat="1" x14ac:dyDescent="0.25">
      <c r="A63" s="177" t="s">
        <v>610</v>
      </c>
      <c r="B63" s="176"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8">
        <f>股权价值增加表!M1</f>
        <v>42369</v>
      </c>
      <c r="B64" s="166">
        <v>42366</v>
      </c>
      <c r="C64" s="165">
        <v>17.39</v>
      </c>
      <c r="D64" s="165">
        <v>3.4</v>
      </c>
      <c r="E64" s="167">
        <f>股权价值增加表!M42/100000000</f>
        <v>6.829283460400001</v>
      </c>
      <c r="F64" s="167">
        <v>0</v>
      </c>
      <c r="G64" s="165">
        <v>16.47</v>
      </c>
      <c r="H64" s="167">
        <f>G64*D64</f>
        <v>55.997999999999998</v>
      </c>
      <c r="I64" s="167">
        <f>C64*D64</f>
        <v>59.125999999999998</v>
      </c>
      <c r="J64" s="167">
        <f>H64/E64</f>
        <v>8.1996889314534496</v>
      </c>
      <c r="K64" s="167">
        <f>I64/E64</f>
        <v>8.6577164856087112</v>
      </c>
      <c r="L64" s="262">
        <v>0</v>
      </c>
    </row>
    <row r="65" spans="1:12" s="26" customFormat="1" x14ac:dyDescent="0.25">
      <c r="A65" s="178">
        <f>股权价值增加表!I1</f>
        <v>42735</v>
      </c>
      <c r="B65" s="166">
        <v>42543</v>
      </c>
      <c r="C65" s="165">
        <v>23.13</v>
      </c>
      <c r="D65" s="165">
        <v>3.64</v>
      </c>
      <c r="E65" s="167">
        <f>股权价值增加表!I42/100000000</f>
        <v>7.6951028760000018</v>
      </c>
      <c r="F65" s="167">
        <f>(E65-E64)/E64*100</f>
        <v>12.678041856374906</v>
      </c>
      <c r="G65" s="165">
        <v>23.11</v>
      </c>
      <c r="H65" s="167">
        <f t="shared" ref="H65:H66" si="8">G65*D65</f>
        <v>84.120400000000004</v>
      </c>
      <c r="I65" s="167">
        <f t="shared" ref="I65:I66" si="9">C65*D65</f>
        <v>84.193200000000004</v>
      </c>
      <c r="J65" s="167">
        <f t="shared" ref="J65:J66" si="10">H65/E65</f>
        <v>10.931679713127721</v>
      </c>
      <c r="K65" s="167">
        <f t="shared" ref="K65:K66" si="11">I65/E65</f>
        <v>10.9411402754065</v>
      </c>
      <c r="L65" s="262">
        <f>K65/F65</f>
        <v>0.86299922333076706</v>
      </c>
    </row>
    <row r="66" spans="1:12" s="26" customFormat="1" x14ac:dyDescent="0.25">
      <c r="A66" s="178">
        <f>股权价值增加表!E1</f>
        <v>43100</v>
      </c>
      <c r="B66" s="166">
        <v>42872</v>
      </c>
      <c r="C66" s="165">
        <v>16.399999999999999</v>
      </c>
      <c r="D66" s="165">
        <v>9.09</v>
      </c>
      <c r="E66" s="167">
        <f>股权价值增加表!E42/100000000</f>
        <v>7.2007798414999975</v>
      </c>
      <c r="F66" s="167">
        <f t="shared" ref="F66" si="12">(E66-E65)/E65*100</f>
        <v>-6.4238651836836622</v>
      </c>
      <c r="G66" s="165">
        <v>15.76</v>
      </c>
      <c r="H66" s="167">
        <f t="shared" si="8"/>
        <v>143.25839999999999</v>
      </c>
      <c r="I66" s="167">
        <f t="shared" si="9"/>
        <v>149.07599999999999</v>
      </c>
      <c r="J66" s="167">
        <f t="shared" si="10"/>
        <v>19.894845163070251</v>
      </c>
      <c r="K66" s="167">
        <f t="shared" si="11"/>
        <v>20.702757657002039</v>
      </c>
      <c r="L66" s="262">
        <f t="shared" ref="L66" si="13">K66/F66</f>
        <v>-3.2227883159170498</v>
      </c>
    </row>
    <row r="67" spans="1:12" s="26" customFormat="1" x14ac:dyDescent="0.25">
      <c r="A67" s="161"/>
      <c r="B67" s="162"/>
      <c r="C67" s="83"/>
      <c r="D67" s="83"/>
      <c r="E67" s="83"/>
      <c r="F67" s="164"/>
      <c r="G67" s="83"/>
      <c r="H67" s="164"/>
      <c r="I67" s="164"/>
      <c r="J67" s="164"/>
      <c r="K67" s="164"/>
      <c r="L67" s="263"/>
    </row>
    <row r="68" spans="1:12" s="156" customFormat="1" ht="15" thickBot="1" x14ac:dyDescent="0.3">
      <c r="A68" s="163" t="s">
        <v>622</v>
      </c>
      <c r="B68" s="44" t="s">
        <v>611</v>
      </c>
      <c r="C68" s="44" t="s">
        <v>612</v>
      </c>
      <c r="D68" s="44" t="s">
        <v>613</v>
      </c>
      <c r="E68" s="44" t="s">
        <v>621</v>
      </c>
      <c r="F68" s="44" t="s">
        <v>614</v>
      </c>
      <c r="G68" s="44" t="s">
        <v>615</v>
      </c>
      <c r="H68" s="44" t="s">
        <v>616</v>
      </c>
      <c r="I68" s="44" t="s">
        <v>617</v>
      </c>
      <c r="J68" s="44" t="s">
        <v>618</v>
      </c>
      <c r="K68" s="44" t="s">
        <v>619</v>
      </c>
      <c r="L68" s="264" t="s">
        <v>620</v>
      </c>
    </row>
    <row r="69" spans="1:12" s="26" customFormat="1" ht="15" thickBot="1" x14ac:dyDescent="0.3">
      <c r="A69" s="168" t="s">
        <v>627</v>
      </c>
      <c r="B69" s="169">
        <v>43305</v>
      </c>
      <c r="C69" s="170">
        <v>11.65</v>
      </c>
      <c r="D69" s="170">
        <v>9.09</v>
      </c>
      <c r="E69" s="170">
        <v>4.33</v>
      </c>
      <c r="F69" s="171">
        <f>(E69-E66)/E66*100</f>
        <v>-39.867624128083108</v>
      </c>
      <c r="G69" s="170">
        <v>10.119999999999999</v>
      </c>
      <c r="H69" s="171">
        <f>G69*D69</f>
        <v>91.990799999999993</v>
      </c>
      <c r="I69" s="171">
        <f>C69*D69</f>
        <v>105.8985</v>
      </c>
      <c r="J69" s="171">
        <f>H69/E69</f>
        <v>21.244988452655885</v>
      </c>
      <c r="K69" s="171">
        <f>I69/E69</f>
        <v>24.456928406466513</v>
      </c>
      <c r="L69" s="265">
        <f>K69/F69</f>
        <v>-0.61345337078260542</v>
      </c>
    </row>
    <row r="70" spans="1:12" s="26" customFormat="1" ht="15" thickBot="1" x14ac:dyDescent="0.3">
      <c r="A70" s="172" t="s">
        <v>626</v>
      </c>
      <c r="B70" s="173">
        <v>43305</v>
      </c>
      <c r="C70" s="174">
        <v>11.65</v>
      </c>
      <c r="D70" s="174">
        <v>9.09</v>
      </c>
      <c r="E70" s="174">
        <v>3.86</v>
      </c>
      <c r="F70" s="175">
        <f>(E70-E66)/E66*100</f>
        <v>-46.394694950208034</v>
      </c>
      <c r="G70" s="170">
        <v>10.119999999999999</v>
      </c>
      <c r="H70" s="175">
        <f t="shared" ref="H70" si="14">G70*D70</f>
        <v>91.990799999999993</v>
      </c>
      <c r="I70" s="175">
        <f t="shared" ref="I70" si="15">C70*D70</f>
        <v>105.8985</v>
      </c>
      <c r="J70" s="175">
        <f t="shared" ref="J70" si="16">H70/E70</f>
        <v>23.831813471502588</v>
      </c>
      <c r="K70" s="175">
        <f t="shared" ref="K70" si="17">I70/E70</f>
        <v>27.434844559585493</v>
      </c>
      <c r="L70" s="266">
        <f t="shared" ref="L70" si="18">K70/F70</f>
        <v>-0.59133581089452714</v>
      </c>
    </row>
    <row r="71" spans="1:12" s="88" customFormat="1" ht="138" customHeight="1" x14ac:dyDescent="0.25">
      <c r="A71" s="291" t="s">
        <v>629</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2019-02-11T04:37:45Z</dcterms:modified>
</cp:coreProperties>
</file>