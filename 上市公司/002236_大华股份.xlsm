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856AE66-C856-4B68-B698-4CE670DA7E2E}"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N3" i="8"/>
  <c r="O3" i="8"/>
  <c r="P3" i="8"/>
  <c r="Q3" i="8"/>
  <c r="J3" i="8"/>
  <c r="K3" i="8"/>
  <c r="L3" i="8"/>
  <c r="M3" i="8"/>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CD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Z49" i="10" l="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<sst xmlns="http://schemas.openxmlformats.org/spreadsheetml/2006/main" count="942" uniqueCount="752">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</sst>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0.38233859578279356</c:v>
                </c:pt>
                <c:pt idx="1">
                  <c:v>0.37705214463565911</c:v>
                </c:pt>
                <c:pt idx="2">
                  <c:v>0.37221329675617681</c:v>
                </c:pt>
                <c:pt idx="3">
                  <c:v>0.38140913787633057</c:v>
                </c:pt>
                <c:pt idx="4">
                  <c:v>0.42821248177065058</c:v>
                </c:pt>
                <c:pt idx="5">
                  <c:v>0.42671027839006592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9.4389219346671563E-2</c:v>
                </c:pt>
                <c:pt idx="1">
                  <c:v>0.12981200880460808</c:v>
                </c:pt>
                <c:pt idx="2">
                  <c:v>0.12816712502204508</c:v>
                </c:pt>
                <c:pt idx="3">
                  <c:v>0.1519974271446492</c:v>
                </c:pt>
                <c:pt idx="4">
                  <c:v>0.20251546338288251</c:v>
                </c:pt>
                <c:pt idx="5">
                  <c:v>0.19453892865404357</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0.10525026024997065</c:v>
                </c:pt>
                <c:pt idx="1">
                  <c:v>0.14649673025750332</c:v>
                </c:pt>
                <c:pt idx="2">
                  <c:v>0.15016043028855042</c:v>
                </c:pt>
                <c:pt idx="3">
                  <c:v>0.17188460923257526</c:v>
                </c:pt>
                <c:pt idx="4">
                  <c:v>0.20868264999432223</c:v>
                </c:pt>
                <c:pt idx="5">
                  <c:v>0.2154890510801819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8.9123773077282128E-2</c:v>
                </c:pt>
                <c:pt idx="1">
                  <c:v>0.13231622238567053</c:v>
                </c:pt>
                <c:pt idx="2">
                  <c:v>0.13133370770211764</c:v>
                </c:pt>
                <c:pt idx="3">
                  <c:v>0.15692456342829139</c:v>
                </c:pt>
                <c:pt idx="4">
                  <c:v>0.20960157074635927</c:v>
                </c:pt>
                <c:pt idx="5">
                  <c:v>0.19898389621984997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9.3459571616957351E-2</c:v>
                </c:pt>
                <c:pt idx="1">
                  <c:v>0.1563302705314035</c:v>
                </c:pt>
                <c:pt idx="2">
                  <c:v>0.15600531344220828</c:v>
                </c:pt>
                <c:pt idx="3">
                  <c:v>0.17026534425920689</c:v>
                </c:pt>
                <c:pt idx="4">
                  <c:v>0.20593597869204128</c:v>
                </c:pt>
                <c:pt idx="5">
                  <c:v>0.21447229875634108</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7.9374713921261539E-2</c:v>
                </c:pt>
                <c:pt idx="1">
                  <c:v>0.1411615547540315</c:v>
                </c:pt>
                <c:pt idx="2">
                  <c:v>0.13644519919015771</c:v>
                </c:pt>
                <c:pt idx="3">
                  <c:v>0.15545613282303494</c:v>
                </c:pt>
                <c:pt idx="4">
                  <c:v>0.20684180472227856</c:v>
                </c:pt>
                <c:pt idx="5">
                  <c:v>0.19806681039657487</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2642207856.1399999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2012337526.9300001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1578247083.3699999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1252843911.01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1125238124.3199999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754582532.07000005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648315066.02080047</c:v>
                </c:pt>
                <c:pt idx="1">
                  <c:v>1207492863.2076006</c:v>
                </c:pt>
                <c:pt idx="2">
                  <c:v>849761002.36800003</c:v>
                </c:pt>
                <c:pt idx="3">
                  <c:v>722902872.22359979</c:v>
                </c:pt>
                <c:pt idx="4">
                  <c:v>785123257.43160021</c:v>
                </c:pt>
                <c:pt idx="5">
                  <c:v>527604142.37999976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10593230012.49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8425784635.2799997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6566387356.8999996</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5211038302.8299999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4173879476.23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2147653060.5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2,219,549,248.08 </c:v>
                </c:pt>
                <c:pt idx="5">
                  <c:v>1,828,281,329.04 </c:v>
                </c:pt>
                <c:pt idx="6">
                  <c:v>1,728,168,710.35 </c:v>
                </c:pt>
                <c:pt idx="7">
                  <c:v>1,522,882,146.63 </c:v>
                </c:pt>
                <c:pt idx="8">
                  <c:v>1,462,282,642.25 </c:v>
                </c:pt>
                <c:pt idx="9">
                  <c:v>1,308,798,771.30 </c:v>
                </c:pt>
                <c:pt idx="10">
                  <c:v>1,221,836,189.01 </c:v>
                </c:pt>
                <c:pt idx="11">
                  <c:v>1,191,918,980.81 </c:v>
                </c:pt>
                <c:pt idx="12">
                  <c:v>1,173,428,885.27 </c:v>
                </c:pt>
                <c:pt idx="13">
                  <c:v>910,875,994.70 </c:v>
                </c:pt>
                <c:pt idx="14">
                  <c:v>903,770,249.20 </c:v>
                </c:pt>
                <c:pt idx="15">
                  <c:v>868,751,993.70 </c:v>
                </c:pt>
                <c:pt idx="16">
                  <c:v>852,868,225.57 </c:v>
                </c:pt>
                <c:pt idx="17">
                  <c:v>729,112,941.21 </c:v>
                </c:pt>
                <c:pt idx="18">
                  <c:v>691,741,943.67 </c:v>
                </c:pt>
                <c:pt idx="19">
                  <c:v>709,883,314.50 </c:v>
                </c:pt>
                <c:pt idx="20">
                  <c:v>676,964,992.90 </c:v>
                </c:pt>
              </c:strCache>
            </c:strRef>
          </c:tx>
          <c:invertIfNegative val="0"/>
          <c:cat>
            <c:numRef>
              <c:f>投资和筹资活动现金流表!$E$12</c:f>
              <c:numCache>
                <c:formatCode>#,##0.00_ </c:formatCode>
                <c:ptCount val="1"/>
                <c:pt idx="0">
                  <c:v>2219549248.0799999</c:v>
                </c:pt>
              </c:numCache>
            </c:numRef>
          </c:cat>
          <c:val>
            <c:numRef>
              <c:f>投资和筹资活动现金流表!$E$12:$U$12</c:f>
              <c:numCache>
                <c:formatCode>#,##0.00_ </c:formatCode>
                <c:ptCount val="5"/>
                <c:pt idx="0">
                  <c:v>2219549248.0799999</c:v>
                </c:pt>
                <c:pt idx="1">
                  <c:v>1462282642.25</c:v>
                </c:pt>
                <c:pt idx="2">
                  <c:v>1173428885.27</c:v>
                </c:pt>
                <c:pt idx="3">
                  <c:v>852868225.57000005</c:v>
                </c:pt>
                <c:pt idx="4">
                  <c:v>676964992.89999998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5.1611049418747161E-2</c:v>
                </c:pt>
                <c:pt idx="1">
                  <c:v>0.30392762626667225</c:v>
                </c:pt>
                <c:pt idx="2">
                  <c:v>0.23497985192903736</c:v>
                </c:pt>
                <c:pt idx="3">
                  <c:v>5.4445187213964075E-2</c:v>
                </c:pt>
                <c:pt idx="4">
                  <c:v>0.17413754122646893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3.2048816447126685</c:v>
                </c:pt>
                <c:pt idx="1">
                  <c:v>0.83355211597317469</c:v>
                </c:pt>
                <c:pt idx="2">
                  <c:v>0.54644816104616867</c:v>
                </c:pt>
                <c:pt idx="3">
                  <c:v>-0.12139250493396177</c:v>
                </c:pt>
                <c:pt idx="4">
                  <c:v>2.1706997085203286</c:v>
                </c:pt>
                <c:pt idx="5">
                  <c:v>2.6717052033834539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285262128.63999999</c:v>
                </c:pt>
                <c:pt idx="1">
                  <c:v>563597715.46999991</c:v>
                </c:pt>
                <c:pt idx="2">
                  <c:v>367397750</c:v>
                </c:pt>
                <c:pt idx="3">
                  <c:v>126273796.08</c:v>
                </c:pt>
                <c:pt idx="4">
                  <c:v>164221342.69</c:v>
                </c:pt>
                <c:pt idx="5">
                  <c:v>180376598.29000002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1138545.55</c:v>
                </c:pt>
                <c:pt idx="2">
                  <c:v>0</c:v>
                </c:pt>
                <c:pt idx="3">
                  <c:v>14434408.84</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914231360.00999999</c:v>
                </c:pt>
                <c:pt idx="1">
                  <c:v>470737105.33999997</c:v>
                </c:pt>
                <c:pt idx="2">
                  <c:v>200763824.86000001</c:v>
                </c:pt>
                <c:pt idx="3">
                  <c:v>-17080921.460000001</c:v>
                </c:pt>
                <c:pt idx="4">
                  <c:v>356475220.70999998</c:v>
                </c:pt>
                <c:pt idx="5">
                  <c:v>481913096.22000003</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444849600.10000002</c:v>
                </c:pt>
                <c:pt idx="1">
                  <c:v>145588193.24000001</c:v>
                </c:pt>
                <c:pt idx="2">
                  <c:v>190807980.41999999</c:v>
                </c:pt>
                <c:pt idx="3">
                  <c:v>375074009.91000003</c:v>
                </c:pt>
                <c:pt idx="4">
                  <c:v>905052860.51999998</c:v>
                </c:pt>
                <c:pt idx="5">
                  <c:v>-78252960.670000002</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-249168024.5</c:v>
                </c:pt>
                <c:pt idx="1">
                  <c:v>-93440900.400000006</c:v>
                </c:pt>
                <c:pt idx="2">
                  <c:v>-62716238.159999996</c:v>
                </c:pt>
                <c:pt idx="3">
                  <c:v>379776128.16000003</c:v>
                </c:pt>
                <c:pt idx="4">
                  <c:v>896038937.87</c:v>
                </c:pt>
                <c:pt idx="5">
                  <c:v>-69770100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932736316.50000048</c:v>
                </c:pt>
                <c:pt idx="1">
                  <c:v>472952798.17999995</c:v>
                </c:pt>
                <c:pt idx="2">
                  <c:v>0</c:v>
                </c:pt>
                <c:pt idx="3">
                  <c:v>-50187530.699999988</c:v>
                </c:pt>
                <c:pt idx="4">
                  <c:v>-173763618.97</c:v>
                </c:pt>
                <c:pt idx="5">
                  <c:v>167254043.5</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4857362598.3400002</c:v>
                </c:pt>
                <c:pt idx="1">
                  <c:v>1486796728.3499999</c:v>
                </c:pt>
                <c:pt idx="2">
                  <c:v>561370000</c:v>
                </c:pt>
                <c:pt idx="3">
                  <c:v>283406575.87</c:v>
                </c:pt>
                <c:pt idx="4">
                  <c:v>76570593.129999995</c:v>
                </c:pt>
                <c:pt idx="5">
                  <c:v>240454051.40000001</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50134423.549999997</c:v>
                </c:pt>
                <c:pt idx="1">
                  <c:v>-249104000</c:v>
                </c:pt>
                <c:pt idx="2">
                  <c:v>-356500000</c:v>
                </c:pt>
                <c:pt idx="3">
                  <c:v>731700000</c:v>
                </c:pt>
                <c:pt idx="4">
                  <c:v>0</c:v>
                </c:pt>
                <c:pt idx="5">
                  <c:v>5900000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73301999.989999995</c:v>
                </c:pt>
                <c:pt idx="1">
                  <c:v>35680898.909999996</c:v>
                </c:pt>
                <c:pt idx="2">
                  <c:v>2772474.67</c:v>
                </c:pt>
                <c:pt idx="3">
                  <c:v>7448678.2800000003</c:v>
                </c:pt>
                <c:pt idx="4">
                  <c:v>3754446.43</c:v>
                </c:pt>
                <c:pt idx="5">
                  <c:v>6355714.4000000004</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2425669668.6900001</c:v>
                </c:pt>
                <c:pt idx="1">
                  <c:v>1073159247.7500001</c:v>
                </c:pt>
                <c:pt idx="2">
                  <c:v>503199033.41000003</c:v>
                </c:pt>
                <c:pt idx="3">
                  <c:v>492889444.86000001</c:v>
                </c:pt>
                <c:pt idx="4">
                  <c:v>43178537.100000001</c:v>
                </c:pt>
                <c:pt idx="5">
                  <c:v>223969414.22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10593230012.49</c:v>
                </c:pt>
                <c:pt idx="1">
                  <c:v>8425784635.2799997</c:v>
                </c:pt>
                <c:pt idx="2">
                  <c:v>6566387356.9000006</c:v>
                </c:pt>
                <c:pt idx="3">
                  <c:v>5211038302.8299999</c:v>
                </c:pt>
                <c:pt idx="4">
                  <c:v>4173879476.23</c:v>
                </c:pt>
                <c:pt idx="5">
                  <c:v>2147653060.5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13146898570.789997</c:v>
                </c:pt>
                <c:pt idx="1">
                  <c:v>9616417688.5900002</c:v>
                </c:pt>
                <c:pt idx="2">
                  <c:v>7163868697.7999992</c:v>
                </c:pt>
                <c:pt idx="3">
                  <c:v>5776822006.6100006</c:v>
                </c:pt>
                <c:pt idx="4">
                  <c:v>4237146423.2299995</c:v>
                </c:pt>
                <c:pt idx="5">
                  <c:v>2377544938.23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7.1026542037668935E-2</c:v>
                </c:pt>
                <c:pt idx="1">
                  <c:v>7.4656784755533168E-2</c:v>
                </c:pt>
                <c:pt idx="2">
                  <c:v>7.3669823818696148E-2</c:v>
                </c:pt>
                <c:pt idx="3">
                  <c:v>7.432964394208065E-2</c:v>
                </c:pt>
                <c:pt idx="4">
                  <c:v>7.9093169982206252E-2</c:v>
                </c:pt>
                <c:pt idx="5">
                  <c:v>7.6464630050635335E-2</c:v>
                </c:pt>
                <c:pt idx="6">
                  <c:v>7.8707134234676124E-2</c:v>
                </c:pt>
                <c:pt idx="7">
                  <c:v>7.3464466984447696E-2</c:v>
                </c:pt>
                <c:pt idx="8">
                  <c:v>7.4757506057952117E-2</c:v>
                </c:pt>
                <c:pt idx="9">
                  <c:v>0.08</c:v>
                </c:pt>
                <c:pt idx="10">
                  <c:v>7.5918770278661271E-2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0.27786097600708543</c:v>
                </c:pt>
                <c:pt idx="1">
                  <c:v>0.66277411372785888</c:v>
                </c:pt>
                <c:pt idx="2">
                  <c:v>0.32232070448635913</c:v>
                </c:pt>
                <c:pt idx="3">
                  <c:v>-0.24771148396831824</c:v>
                </c:pt>
                <c:pt idx="4">
                  <c:v>1.0001559141476237</c:v>
                </c:pt>
                <c:pt idx="5">
                  <c:v>0.82205880486196958</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0.65030685092345741</c:v>
                </c:pt>
                <c:pt idx="1">
                  <c:v>4.1554306283573323</c:v>
                </c:pt>
                <c:pt idx="2">
                  <c:v>0.11022718670219704</c:v>
                </c:pt>
                <c:pt idx="3">
                  <c:v>-0.76216631586102357</c:v>
                </c:pt>
                <c:pt idx="4">
                  <c:v>-4.3704002521755887E-2</c:v>
                </c:pt>
                <c:pt idx="5">
                  <c:v>0.20690956803064589</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0.46617230976278323</c:v>
                </c:pt>
                <c:pt idx="1">
                  <c:v>0.18247891623671958</c:v>
                </c:pt>
                <c:pt idx="2">
                  <c:v>0.16652727711043697</c:v>
                </c:pt>
                <c:pt idx="3">
                  <c:v>1.1332086494833375</c:v>
                </c:pt>
                <c:pt idx="4">
                  <c:v>0.75612973295223529</c:v>
                </c:pt>
                <c:pt idx="5">
                  <c:v>0.33352447382897871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0.44235057533507077</c:v>
                </c:pt>
                <c:pt idx="1">
                  <c:v>0.25442272722779835</c:v>
                </c:pt>
                <c:pt idx="2">
                  <c:v>0.4726531231839039</c:v>
                </c:pt>
                <c:pt idx="3">
                  <c:v>0.66666609442188673</c:v>
                </c:pt>
                <c:pt idx="4">
                  <c:v>0.75945217836848633</c:v>
                </c:pt>
                <c:pt idx="5">
                  <c:v>0.38104014816392373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0.42171155302575281</c:v>
                </c:pt>
                <c:pt idx="1">
                  <c:v>0.32422635641877895</c:v>
                </c:pt>
                <c:pt idx="2">
                  <c:v>0.97570342841640989</c:v>
                </c:pt>
                <c:pt idx="3">
                  <c:v>0.22603718450485849</c:v>
                </c:pt>
                <c:pt idx="4">
                  <c:v>0.76260164603935909</c:v>
                </c:pt>
                <c:pt idx="5">
                  <c:v>0.4293175549764231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0.22116464045361087</c:v>
                </c:pt>
                <c:pt idx="1">
                  <c:v>0.39347836982733686</c:v>
                </c:pt>
                <c:pt idx="2">
                  <c:v>0.43183604336646242</c:v>
                </c:pt>
                <c:pt idx="3">
                  <c:v>0.1522485036443636</c:v>
                </c:pt>
                <c:pt idx="4">
                  <c:v>0.46021766581208662</c:v>
                </c:pt>
                <c:pt idx="5">
                  <c:v>0.5229163487088816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0.80031093903777928</c:v>
                </c:pt>
                <c:pt idx="1">
                  <c:v>1.0278605510527228</c:v>
                </c:pt>
                <c:pt idx="2">
                  <c:v>1.5522915872297567</c:v>
                </c:pt>
                <c:pt idx="3">
                  <c:v>3.5660596949682208</c:v>
                </c:pt>
                <c:pt idx="4">
                  <c:v>-0.80721234972920586</c:v>
                </c:pt>
                <c:pt idx="5">
                  <c:v>4.6956137128438593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10.160050959578399</c:v>
                </c:pt>
                <c:pt idx="1">
                  <c:v>0</c:v>
                </c:pt>
                <c:pt idx="2">
                  <c:v>-1</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0.29521616335150441</c:v>
                </c:pt>
                <c:pt idx="1">
                  <c:v>0.31583955413082043</c:v>
                </c:pt>
                <c:pt idx="2">
                  <c:v>0.25497580080870924</c:v>
                </c:pt>
                <c:pt idx="3">
                  <c:v>0.2391226953382671</c:v>
                </c:pt>
                <c:pt idx="4">
                  <c:v>0.43336305021298688</c:v>
                </c:pt>
                <c:pt idx="5">
                  <c:v>0.38612930785377664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4.660634223354939E-3</c:v>
                </c:pt>
                <c:pt idx="1">
                  <c:v>3.8609156270378153E-3</c:v>
                </c:pt>
                <c:pt idx="2">
                  <c:v>1.0052893113760776E-3</c:v>
                </c:pt>
                <c:pt idx="3">
                  <c:v>1.1228916128240901E-3</c:v>
                </c:pt>
                <c:pt idx="4">
                  <c:v>6.4369478242407921E-3</c:v>
                </c:pt>
                <c:pt idx="5">
                  <c:v>1.1995887623992806E-2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0.14683726938679798</c:v>
                </c:pt>
                <c:pt idx="1">
                  <c:v>0.16438874231988443</c:v>
                </c:pt>
                <c:pt idx="2">
                  <c:v>0.15835710088996824</c:v>
                </c:pt>
                <c:pt idx="3">
                  <c:v>0.13715223293247111</c:v>
                </c:pt>
                <c:pt idx="4">
                  <c:v>0.16228270721544405</c:v>
                </c:pt>
                <c:pt idx="5">
                  <c:v>0.19806118980050419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0.75734497399314971</c:v>
                </c:pt>
                <c:pt idx="1">
                  <c:v>0.95085372587472072</c:v>
                </c:pt>
                <c:pt idx="2">
                  <c:v>1</c:v>
                </c:pt>
                <c:pt idx="3">
                  <c:v>0.39999999999188457</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0.24265502600685032</c:v>
                </c:pt>
                <c:pt idx="1">
                  <c:v>4.9146274125279277E-2</c:v>
                </c:pt>
                <c:pt idx="2">
                  <c:v>0</c:v>
                </c:pt>
                <c:pt idx="3">
                  <c:v>0.60000000000811538</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1.2810159332002511</c:v>
                </c:pt>
                <c:pt idx="1">
                  <c:v>1.40651900072633</c:v>
                </c:pt>
                <c:pt idx="2">
                  <c:v>1.3154287272538563</c:v>
                </c:pt>
                <c:pt idx="3">
                  <c:v>1.329253479712545</c:v>
                </c:pt>
                <c:pt idx="4">
                  <c:v>2.0634686660569272</c:v>
                </c:pt>
                <c:pt idx="5">
                  <c:v>1.7229259449337824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3881176956.04</c:v>
                </c:pt>
                <c:pt idx="1">
                  <c:v>3037245075.1000004</c:v>
                </c:pt>
                <c:pt idx="2">
                  <c:v>1826613158.1099999</c:v>
                </c:pt>
                <c:pt idx="3">
                  <c:v>1381369248.71</c:v>
                </c:pt>
                <c:pt idx="4">
                  <c:v>1836222698.1700001</c:v>
                </c:pt>
                <c:pt idx="5">
                  <c:v>918039781.38999999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61272885.409999996</c:v>
                </c:pt>
                <c:pt idx="1">
                  <c:v>37128177.329999998</c:v>
                </c:pt>
                <c:pt idx="2">
                  <c:v>7201760.6299999999</c:v>
                </c:pt>
                <c:pt idx="3">
                  <c:v>6486744.9800000004</c:v>
                </c:pt>
                <c:pt idx="4">
                  <c:v>27274290.449999999</c:v>
                </c:pt>
                <c:pt idx="5">
                  <c:v>28520761.899999999</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1930454687.04</c:v>
                </c:pt>
                <c:pt idx="1">
                  <c:v>1580830809.45</c:v>
                </c:pt>
                <c:pt idx="2">
                  <c:v>1134449478.1399999</c:v>
                </c:pt>
                <c:pt idx="3">
                  <c:v>792304037.46000004</c:v>
                </c:pt>
                <c:pt idx="4">
                  <c:v>687615592.42999995</c:v>
                </c:pt>
                <c:pt idx="5">
                  <c:v>470899379.27000004</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13146898570.789997</c:v>
                </c:pt>
                <c:pt idx="1">
                  <c:v>9616417688.5900002</c:v>
                </c:pt>
                <c:pt idx="2">
                  <c:v>7163868697.7999992</c:v>
                </c:pt>
                <c:pt idx="3">
                  <c:v>5776822006.6100006</c:v>
                </c:pt>
                <c:pt idx="4">
                  <c:v>4237146423.2299995</c:v>
                </c:pt>
                <c:pt idx="5">
                  <c:v>2377544938.23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1837068732.1500001</c:v>
                </c:pt>
                <c:pt idx="1">
                  <c:v>1020417469.1800001</c:v>
                </c:pt>
                <c:pt idx="2">
                  <c:v>503199033.41000003</c:v>
                </c:pt>
                <c:pt idx="3">
                  <c:v>197155777.94</c:v>
                </c:pt>
                <c:pt idx="4">
                  <c:v>43178537.100000001</c:v>
                </c:pt>
                <c:pt idx="5">
                  <c:v>223969414.22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588600936.53999996</c:v>
                </c:pt>
                <c:pt idx="1">
                  <c:v>52741778.57</c:v>
                </c:pt>
                <c:pt idx="2">
                  <c:v>0</c:v>
                </c:pt>
                <c:pt idx="3">
                  <c:v>295733666.92000002</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2044108223.8900003</c:v>
                </c:pt>
                <c:pt idx="1">
                  <c:v>2016827605.9199998</c:v>
                </c:pt>
                <c:pt idx="2">
                  <c:v>1323414124.7000003</c:v>
                </c:pt>
                <c:pt idx="3">
                  <c:v>1184213470.7700014</c:v>
                </c:pt>
                <c:pt idx="4">
                  <c:v>1793044161.0700002</c:v>
                </c:pt>
                <c:pt idx="5">
                  <c:v>694070367.17000008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-2044108223.8899999</c:v>
                </c:pt>
                <c:pt idx="1">
                  <c:v>-2016827605.9200003</c:v>
                </c:pt>
                <c:pt idx="2">
                  <c:v>-1323414124.6999998</c:v>
                </c:pt>
                <c:pt idx="3">
                  <c:v>-1184213470.77</c:v>
                </c:pt>
                <c:pt idx="4">
                  <c:v>-1793044161.0700002</c:v>
                </c:pt>
                <c:pt idx="5">
                  <c:v>-694070367.16999996</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0.61766140421720639</c:v>
                </c:pt>
                <c:pt idx="1">
                  <c:v>0.62294785536434094</c:v>
                </c:pt>
                <c:pt idx="2">
                  <c:v>0.62778670324382313</c:v>
                </c:pt>
                <c:pt idx="3">
                  <c:v>0.61859086212366943</c:v>
                </c:pt>
                <c:pt idx="4">
                  <c:v>0.57178751822934948</c:v>
                </c:pt>
                <c:pt idx="5">
                  <c:v>0.57328972160993408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0.38233859578279356</c:v>
                </c:pt>
                <c:pt idx="1">
                  <c:v>0.37705214463565911</c:v>
                </c:pt>
                <c:pt idx="2">
                  <c:v>0.37221329675617681</c:v>
                </c:pt>
                <c:pt idx="3">
                  <c:v>0.38140913787633057</c:v>
                </c:pt>
                <c:pt idx="4">
                  <c:v>0.42821248177065058</c:v>
                </c:pt>
                <c:pt idx="5">
                  <c:v>0.42671027839006592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7.5159048238901136E-3</c:v>
                </c:pt>
                <c:pt idx="1">
                  <c:v>6.3851110953912623E-3</c:v>
                </c:pt>
                <c:pt idx="2">
                  <c:v>7.8091502266177384E-3</c:v>
                </c:pt>
                <c:pt idx="3">
                  <c:v>8.3758559004691712E-3</c:v>
                </c:pt>
                <c:pt idx="4">
                  <c:v>1.0194573468348655E-2</c:v>
                </c:pt>
                <c:pt idx="5">
                  <c:v>7.7280331510084085E-3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0.1282445851774037</c:v>
                </c:pt>
                <c:pt idx="1">
                  <c:v>0.12289958428609074</c:v>
                </c:pt>
                <c:pt idx="2">
                  <c:v>0.11339388836150727</c:v>
                </c:pt>
                <c:pt idx="3">
                  <c:v>9.2859771880264688E-2</c:v>
                </c:pt>
                <c:pt idx="4">
                  <c:v>0.10435016217903294</c:v>
                </c:pt>
                <c:pt idx="5">
                  <c:v>0.13065834305111848</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0.12249791812436643</c:v>
                </c:pt>
                <c:pt idx="1">
                  <c:v>0.13740448944266456</c:v>
                </c:pt>
                <c:pt idx="2">
                  <c:v>0.122483515668716</c:v>
                </c:pt>
                <c:pt idx="3">
                  <c:v>0.14695509628014453</c:v>
                </c:pt>
                <c:pt idx="4">
                  <c:v>0.12814606355182523</c:v>
                </c:pt>
                <c:pt idx="5">
                  <c:v>0.10920122353063819</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1.3028069846283212E-2</c:v>
                </c:pt>
                <c:pt idx="1">
                  <c:v>9.6889562887894319E-3</c:v>
                </c:pt>
                <c:pt idx="2">
                  <c:v>1.90796961314743E-2</c:v>
                </c:pt>
                <c:pt idx="3">
                  <c:v>1.0823631924087475E-2</c:v>
                </c:pt>
                <c:pt idx="4">
                  <c:v>1.821772443885104E-2</c:v>
                </c:pt>
                <c:pt idx="5">
                  <c:v>1.0746302391140517E-2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4.4136828165942553E-4</c:v>
                </c:pt>
                <c:pt idx="1">
                  <c:v>3.564013380162026E-4</c:v>
                </c:pt>
                <c:pt idx="2">
                  <c:v>2.5884049542208441E-4</c:v>
                </c:pt>
                <c:pt idx="3">
                  <c:v>2.8260170657186563E-4</c:v>
                </c:pt>
                <c:pt idx="4">
                  <c:v>3.1778841668899944E-4</c:v>
                </c:pt>
                <c:pt idx="5">
                  <c:v>3.5239936854617414E-4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5.2761645156495281E-4</c:v>
                </c:pt>
                <c:pt idx="1">
                  <c:v>4.3443540783787774E-2</c:v>
                </c:pt>
                <c:pt idx="2">
                  <c:v>3.7352329307439126E-2</c:v>
                </c:pt>
                <c:pt idx="3">
                  <c:v>4.436497185370572E-2</c:v>
                </c:pt>
                <c:pt idx="4">
                  <c:v>3.4642414061068931E-2</c:v>
                </c:pt>
                <c:pt idx="5">
                  <c:v>4.262823253863203E-2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0.27225546270516782</c:v>
                </c:pt>
                <c:pt idx="1">
                  <c:v>0.3201780832347399</c:v>
                </c:pt>
                <c:pt idx="2">
                  <c:v>0.30037742019117653</c:v>
                </c:pt>
                <c:pt idx="3">
                  <c:v>0.3036619295452434</c:v>
                </c:pt>
                <c:pt idx="4">
                  <c:v>0.29586872611581583</c:v>
                </c:pt>
                <c:pt idx="5">
                  <c:v>0.30131453403108377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9.4389219346671563E-2</c:v>
                </c:pt>
                <c:pt idx="1">
                  <c:v>0.12981200880460808</c:v>
                </c:pt>
                <c:pt idx="2">
                  <c:v>0.12816712502204508</c:v>
                </c:pt>
                <c:pt idx="3">
                  <c:v>0.1519974271446492</c:v>
                </c:pt>
                <c:pt idx="4">
                  <c:v>0.20251546338288251</c:v>
                </c:pt>
                <c:pt idx="5">
                  <c:v>0.19453892865404357</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1.0559438591106634</c:v>
                </c:pt>
                <c:pt idx="1">
                  <c:v>0.98132663244974705</c:v>
                </c:pt>
                <c:pt idx="2">
                  <c:v>0.97589314906919322</c:v>
                </c:pt>
                <c:pt idx="3">
                  <c:v>0.96854018973414935</c:v>
                </c:pt>
                <c:pt idx="4">
                  <c:v>0.96619716005359557</c:v>
                </c:pt>
                <c:pt idx="5">
                  <c:v>0.97755411878380793</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-1.8889337711957485E-2</c:v>
                </c:pt>
                <c:pt idx="1">
                  <c:v>8.492215902237394E-4</c:v>
                </c:pt>
                <c:pt idx="2">
                  <c:v>4.7249026750908422E-4</c:v>
                </c:pt>
                <c:pt idx="3">
                  <c:v>-6.2491825654399777E-4</c:v>
                </c:pt>
                <c:pt idx="4">
                  <c:v>-1.1040561927665785E-3</c:v>
                </c:pt>
                <c:pt idx="5">
                  <c:v>-1.3279289457232449E-3</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-3.7054521398706013E-2</c:v>
                </c:pt>
                <c:pt idx="1">
                  <c:v>1.7824145960029139E-2</c:v>
                </c:pt>
                <c:pt idx="2">
                  <c:v>2.3634360663297729E-2</c:v>
                </c:pt>
                <c:pt idx="3">
                  <c:v>3.2084728522394676E-2</c:v>
                </c:pt>
                <c:pt idx="4">
                  <c:v>3.4906896139171147E-2</c:v>
                </c:pt>
                <c:pt idx="5">
                  <c:v>2.3773810161915255E-2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7.9374713921261539E-2</c:v>
                </c:pt>
                <c:pt idx="1">
                  <c:v>0.1411615547540315</c:v>
                </c:pt>
                <c:pt idx="2">
                  <c:v>0.13644519919015771</c:v>
                </c:pt>
                <c:pt idx="3">
                  <c:v>0.15545613282303494</c:v>
                </c:pt>
                <c:pt idx="4">
                  <c:v>0.20684180472227856</c:v>
                </c:pt>
                <c:pt idx="5">
                  <c:v>0.19806681039657487</c:v>
                </c:pt>
                <c:pt idx="6">
                  <c:v>0.1709195034237084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1.0559438591106634</c:v>
                </c:pt>
                <c:pt idx="1">
                  <c:v>0.98132663244974705</c:v>
                </c:pt>
                <c:pt idx="2">
                  <c:v>0.97589314906919322</c:v>
                </c:pt>
                <c:pt idx="3">
                  <c:v>0.96854018973414935</c:v>
                </c:pt>
                <c:pt idx="4">
                  <c:v>0.96619716005359557</c:v>
                </c:pt>
                <c:pt idx="5">
                  <c:v>0.97755411878380793</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-1.8889337711957485E-2</c:v>
                </c:pt>
                <c:pt idx="1">
                  <c:v>8.492215902237394E-4</c:v>
                </c:pt>
                <c:pt idx="2">
                  <c:v>4.7249026750908422E-4</c:v>
                </c:pt>
                <c:pt idx="3">
                  <c:v>-6.2491825654399777E-4</c:v>
                </c:pt>
                <c:pt idx="4">
                  <c:v>-1.1040561927665785E-3</c:v>
                </c:pt>
                <c:pt idx="5">
                  <c:v>-1.3279289457232449E-3</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-3.7054521398706013E-2</c:v>
                </c:pt>
                <c:pt idx="1">
                  <c:v>1.7824145960029139E-2</c:v>
                </c:pt>
                <c:pt idx="2">
                  <c:v>2.3634360663297729E-2</c:v>
                </c:pt>
                <c:pt idx="3">
                  <c:v>3.2084728522394676E-2</c:v>
                </c:pt>
                <c:pt idx="4">
                  <c:v>3.4906896139171147E-2</c:v>
                </c:pt>
                <c:pt idx="5">
                  <c:v>2.3773810161915255E-2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0.11202526820371062</c:v>
                </c:pt>
                <c:pt idx="1">
                  <c:v>-6.7124639960327803E-2</c:v>
                </c:pt>
                <c:pt idx="2">
                  <c:v>-3.8924256826024406E-2</c:v>
                </c:pt>
                <c:pt idx="3">
                  <c:v>9.4206513346251075E-3</c:v>
                </c:pt>
                <c:pt idx="4">
                  <c:v>1.3161953340901533E-2</c:v>
                </c:pt>
                <c:pt idx="5">
                  <c:v>4.718347956632396E-3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18844458053.779999</c:v>
                </c:pt>
                <c:pt idx="1">
                  <c:v>13329094010.82</c:v>
                </c:pt>
                <c:pt idx="2">
                  <c:v>10077833438.49</c:v>
                </c:pt>
                <c:pt idx="3">
                  <c:v>7331881449.46</c:v>
                </c:pt>
                <c:pt idx="4">
                  <c:v>5410094042.8000002</c:v>
                </c:pt>
                <c:pt idx="5">
                  <c:v>3531214471.6199999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11639494423.209999</c:v>
                </c:pt>
                <c:pt idx="1">
                  <c:v>8303330527.9899998</c:v>
                </c:pt>
                <c:pt idx="2">
                  <c:v>6326729830.1899996</c:v>
                </c:pt>
                <c:pt idx="3">
                  <c:v>4535434866.8100004</c:v>
                </c:pt>
                <c:pt idx="4">
                  <c:v>3093424246.1199999</c:v>
                </c:pt>
                <c:pt idx="5">
                  <c:v>2024408961.3800001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7204963630.5699997</c:v>
                </c:pt>
                <c:pt idx="1">
                  <c:v>5025763482.8299999</c:v>
                </c:pt>
                <c:pt idx="2">
                  <c:v>3751103608.3000002</c:v>
                </c:pt>
                <c:pt idx="3">
                  <c:v>2796446582.6499996</c:v>
                </c:pt>
                <c:pt idx="4">
                  <c:v>2316669796.6800003</c:v>
                </c:pt>
                <c:pt idx="5">
                  <c:v>1506805510.2399998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-0.61144194694453846</c:v>
                </c:pt>
                <c:pt idx="1">
                  <c:v>4.4662801388316901E-2</c:v>
                </c:pt>
                <c:pt idx="2">
                  <c:v>9.928345119129571E-2</c:v>
                </c:pt>
                <c:pt idx="3">
                  <c:v>-0.12140842170120274</c:v>
                </c:pt>
                <c:pt idx="4">
                  <c:v>-4.5701333726172147E-2</c:v>
                </c:pt>
                <c:pt idx="5">
                  <c:v>-3.5429336479261449E-2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-1.5912613546730882E-2</c:v>
                </c:pt>
                <c:pt idx="1">
                  <c:v>1.0434092967329622E-2</c:v>
                </c:pt>
                <c:pt idx="2">
                  <c:v>1.7128329035436322E-2</c:v>
                </c:pt>
                <c:pt idx="3">
                  <c:v>2.6750546007679822E-2</c:v>
                </c:pt>
                <c:pt idx="4">
                  <c:v>2.1527541381105898E-2</c:v>
                </c:pt>
                <c:pt idx="5">
                  <c:v>1.8234578432347635E-2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2.5906617388184565</c:v>
                </c:pt>
                <c:pt idx="1">
                  <c:v>2.68665996139721</c:v>
                </c:pt>
                <c:pt idx="2">
                  <c:v>2.4019980712385491</c:v>
                </c:pt>
                <c:pt idx="3">
                  <c:v>2.038523914531134</c:v>
                </c:pt>
                <c:pt idx="4">
                  <c:v>3.2087695439166768</c:v>
                </c:pt>
                <c:pt idx="5">
                  <c:v>3.678022689642463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9.7616681605070657</c:v>
                </c:pt>
                <c:pt idx="1">
                  <c:v>8.4317018185250543</c:v>
                </c:pt>
                <c:pt idx="2">
                  <c:v>8.8834572474864473</c:v>
                </c:pt>
                <c:pt idx="3">
                  <c:v>9.2538736429576183</c:v>
                </c:pt>
                <c:pt idx="4">
                  <c:v>7.8679048328165333</c:v>
                </c:pt>
                <c:pt idx="5">
                  <c:v>7.498872640465521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4.8553462692428146</c:v>
                </c:pt>
                <c:pt idx="1">
                  <c:v>4.3885474109728015</c:v>
                </c:pt>
                <c:pt idx="2">
                  <c:v>5.5172237174276972</c:v>
                </c:pt>
                <c:pt idx="3">
                  <c:v>5.30769123194752</c:v>
                </c:pt>
                <c:pt idx="4">
                  <c:v>2.9463169408545924</c:v>
                </c:pt>
                <c:pt idx="5">
                  <c:v>3.8464721716889039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307.54970861392638</c:v>
                </c:pt>
                <c:pt idx="1">
                  <c:v>359.00211023959793</c:v>
                </c:pt>
                <c:pt idx="2">
                  <c:v>1399.3569012151409</c:v>
                </c:pt>
                <c:pt idx="3">
                  <c:v>1130.286680309729</c:v>
                </c:pt>
                <c:pt idx="4">
                  <c:v>198.35874567362029</c:v>
                </c:pt>
                <c:pt idx="5">
                  <c:v>123.81206659209199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5.194014338633032</c:v>
                </c:pt>
                <c:pt idx="1">
                  <c:v>6.005315729015793</c:v>
                </c:pt>
                <c:pt idx="2">
                  <c:v>6.8918505542699569</c:v>
                </c:pt>
                <c:pt idx="3">
                  <c:v>6.2482537642432172</c:v>
                </c:pt>
                <c:pt idx="4">
                  <c:v>6.3434114211304511</c:v>
                </c:pt>
                <c:pt idx="5">
                  <c:v>0.65458531530141728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15.096034664052722</c:v>
                </c:pt>
                <c:pt idx="1">
                  <c:v>20.754768563228698</c:v>
                </c:pt>
                <c:pt idx="2">
                  <c:v>16.621136860019654</c:v>
                </c:pt>
                <c:pt idx="3">
                  <c:v>11.440272008039461</c:v>
                </c:pt>
                <c:pt idx="4">
                  <c:v>9.6070054448209472</c:v>
                </c:pt>
                <c:pt idx="5">
                  <c:v>22.672224154902132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320.59725051385294</c:v>
                </c:pt>
                <c:pt idx="1">
                  <c:v>39.420645888414199</c:v>
                </c:pt>
                <c:pt idx="2">
                  <c:v>60.488798195210784</c:v>
                </c:pt>
                <c:pt idx="3">
                  <c:v>129.99765030696003</c:v>
                </c:pt>
                <c:pt idx="4">
                  <c:v>1157.6121482697017</c:v>
                </c:pt>
                <c:pt idx="5">
                  <c:v>13.250378905249686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74.378995300801066</c:v>
                </c:pt>
                <c:pt idx="1">
                  <c:v>110.91462392960005</c:v>
                </c:pt>
                <c:pt idx="2">
                  <c:v>83.096297263484814</c:v>
                </c:pt>
                <c:pt idx="3">
                  <c:v>229.36439158998672</c:v>
                </c:pt>
                <c:pt idx="4">
                  <c:v>160.41856078256919</c:v>
                </c:pt>
                <c:pt idx="5">
                  <c:v>92.643838355947253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2.2797942755340603</c:v>
                </c:pt>
                <c:pt idx="1">
                  <c:v>2.0667916319926634</c:v>
                </c:pt>
                <c:pt idx="2">
                  <c:v>2.2695752012075756</c:v>
                </c:pt>
                <c:pt idx="3">
                  <c:v>2.8738550721325282</c:v>
                </c:pt>
                <c:pt idx="4">
                  <c:v>3.6655392090586738</c:v>
                </c:pt>
                <c:pt idx="5">
                  <c:v>5.0939290902900973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4.6457776965286293</c:v>
                </c:pt>
                <c:pt idx="1">
                  <c:v>4.461533887286163</c:v>
                </c:pt>
                <c:pt idx="2">
                  <c:v>4.5535609802694017</c:v>
                </c:pt>
                <c:pt idx="3">
                  <c:v>4.0284377852898814</c:v>
                </c:pt>
                <c:pt idx="4">
                  <c:v>3.6357631020320169</c:v>
                </c:pt>
                <c:pt idx="5">
                  <c:v>3.0758644876331211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2.3270997520642802</c:v>
                </c:pt>
                <c:pt idx="1">
                  <c:v>2.3887070328258266</c:v>
                </c:pt>
                <c:pt idx="2">
                  <c:v>2.8208139693228578</c:v>
                </c:pt>
                <c:pt idx="3">
                  <c:v>3.3377622035018413</c:v>
                </c:pt>
                <c:pt idx="4">
                  <c:v>3.5593141708449081</c:v>
                </c:pt>
                <c:pt idx="5">
                  <c:v>4.0968792433554126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0.22753587286700816</c:v>
                </c:pt>
                <c:pt idx="1">
                  <c:v>0.2929062632376066</c:v>
                </c:pt>
                <c:pt idx="2">
                  <c:v>0.27707245869298686</c:v>
                </c:pt>
                <c:pt idx="3">
                  <c:v>0.27810439616002741</c:v>
                </c:pt>
                <c:pt idx="4">
                  <c:v>0.45955800551029052</c:v>
                </c:pt>
                <c:pt idx="5">
                  <c:v>0.51982267107195745</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0.11113836598075566</c:v>
                </c:pt>
                <c:pt idx="1">
                  <c:v>0.14376114296849471</c:v>
                </c:pt>
                <c:pt idx="2">
                  <c:v>0.14654053517987853</c:v>
                </c:pt>
                <c:pt idx="3">
                  <c:v>0.16647715203849858</c:v>
                </c:pt>
                <c:pt idx="4">
                  <c:v>0.2016285837769726</c:v>
                </c:pt>
                <c:pt idx="5">
                  <c:v>0.21065220943624621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1495773467.0200005</c:v>
                </c:pt>
                <c:pt idx="1">
                  <c:v>1881555634.0300007</c:v>
                </c:pt>
                <c:pt idx="2">
                  <c:v>1375071990.9200001</c:v>
                </c:pt>
                <c:pt idx="3">
                  <c:v>1139785936.4499998</c:v>
                </c:pt>
                <c:pt idx="4">
                  <c:v>1119033615.5300002</c:v>
                </c:pt>
                <c:pt idx="5">
                  <c:v>699416387.21999979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10593230012.49</c:v>
                </c:pt>
                <c:pt idx="1">
                  <c:v>8425784635.2799997</c:v>
                </c:pt>
                <c:pt idx="2">
                  <c:v>6566387356.9000006</c:v>
                </c:pt>
                <c:pt idx="3">
                  <c:v>5211038302.8299999</c:v>
                </c:pt>
                <c:pt idx="4">
                  <c:v>4173879476.23</c:v>
                </c:pt>
                <c:pt idx="5">
                  <c:v>2147653060.5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18844458053.779999</c:v>
                </c:pt>
                <c:pt idx="1">
                  <c:v>13329094010.82</c:v>
                </c:pt>
                <c:pt idx="2">
                  <c:v>10077833438.49</c:v>
                </c:pt>
                <c:pt idx="3">
                  <c:v>7331881449.46</c:v>
                </c:pt>
                <c:pt idx="4">
                  <c:v>5410094042.8000002</c:v>
                </c:pt>
                <c:pt idx="5">
                  <c:v>3531214471.6199999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2094342275.8900001</c:v>
                </c:pt>
                <c:pt idx="1">
                  <c:v>1916205789.7300005</c:v>
                </c:pt>
                <c:pt idx="2">
                  <c:v>1476811105.53</c:v>
                </c:pt>
                <c:pt idx="3">
                  <c:v>1220590742.7899997</c:v>
                </c:pt>
                <c:pt idx="4">
                  <c:v>1090829599.9500003</c:v>
                </c:pt>
                <c:pt idx="5">
                  <c:v>743858130.4399997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-37464812.350000001</c:v>
                </c:pt>
                <c:pt idx="1">
                  <c:v>1658248.41</c:v>
                </c:pt>
                <c:pt idx="2">
                  <c:v>715015.65</c:v>
                </c:pt>
                <c:pt idx="3">
                  <c:v>-787545.47</c:v>
                </c:pt>
                <c:pt idx="4">
                  <c:v>-1246471.45</c:v>
                </c:pt>
                <c:pt idx="5">
                  <c:v>-1010471.67</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61272885.409999996</c:v>
                </c:pt>
                <c:pt idx="1">
                  <c:v>37128177.329999998</c:v>
                </c:pt>
                <c:pt idx="2">
                  <c:v>7201760.6299999999</c:v>
                </c:pt>
                <c:pt idx="3">
                  <c:v>6486744.9800000004</c:v>
                </c:pt>
                <c:pt idx="4">
                  <c:v>27274290.449999999</c:v>
                </c:pt>
                <c:pt idx="5">
                  <c:v>28520761.899999999</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0.7313874678421608</c:v>
                </c:pt>
                <c:pt idx="1">
                  <c:v>0.74484908853376719</c:v>
                </c:pt>
                <c:pt idx="2">
                  <c:v>0.66753786704853324</c:v>
                </c:pt>
                <c:pt idx="3">
                  <c:v>0.6301391624812257</c:v>
                </c:pt>
                <c:pt idx="4">
                  <c:v>0.6236941235363741</c:v>
                </c:pt>
                <c:pt idx="5">
                  <c:v>0.74802190429832871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0.73680426058420645</c:v>
                </c:pt>
                <c:pt idx="1">
                  <c:v>0.74411299248751572</c:v>
                </c:pt>
                <c:pt idx="2">
                  <c:v>0.70990788956561179</c:v>
                </c:pt>
                <c:pt idx="3">
                  <c:v>0.67061633951028765</c:v>
                </c:pt>
                <c:pt idx="4">
                  <c:v>0.62959943546799646</c:v>
                </c:pt>
                <c:pt idx="5">
                  <c:v>0.70663912511551463</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0.51398455404608645</c:v>
                </c:pt>
                <c:pt idx="1">
                  <c:v>0.27205889564432995</c:v>
                </c:pt>
                <c:pt idx="2">
                  <c:v>0.15543243196944811</c:v>
                </c:pt>
                <c:pt idx="3">
                  <c:v>-1.5327087081701185E-2</c:v>
                </c:pt>
                <c:pt idx="4">
                  <c:v>0.32536163520867434</c:v>
                </c:pt>
                <c:pt idx="5">
                  <c:v>0.70151685995165813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0.61120977217987749</c:v>
                </c:pt>
                <c:pt idx="1">
                  <c:v>0.25018505795215529</c:v>
                </c:pt>
                <c:pt idx="2">
                  <c:v>0.14600241019066776</c:v>
                </c:pt>
                <c:pt idx="3">
                  <c:v>-1.4986078450134752E-2</c:v>
                </c:pt>
                <c:pt idx="4">
                  <c:v>0.31855631123392575</c:v>
                </c:pt>
                <c:pt idx="5">
                  <c:v>0.68902174016179496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1.1975653308020213</c:v>
                </c:pt>
                <c:pt idx="1">
                  <c:v>-3.6738683361886366</c:v>
                </c:pt>
                <c:pt idx="2">
                  <c:v>-0.52811479913194093</c:v>
                </c:pt>
                <c:pt idx="3">
                  <c:v>-1.8331892033646717</c:v>
                </c:pt>
                <c:pt idx="4">
                  <c:v>-0.48077428339548717</c:v>
                </c:pt>
                <c:pt idx="5">
                  <c:v>18.253722744049387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914231360.00999999</c:v>
                </c:pt>
                <c:pt idx="1">
                  <c:v>470737105.33999997</c:v>
                </c:pt>
                <c:pt idx="2">
                  <c:v>200763824.86000001</c:v>
                </c:pt>
                <c:pt idx="3">
                  <c:v>-17080921.460000001</c:v>
                </c:pt>
                <c:pt idx="4">
                  <c:v>356475220.70999998</c:v>
                </c:pt>
                <c:pt idx="5">
                  <c:v>481913096.22000003</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1778713684.7073917</c:v>
                </c:pt>
                <c:pt idx="1">
                  <c:v>1730276469.0900147</c:v>
                </c:pt>
                <c:pt idx="2">
                  <c:v>1291646938.2622943</c:v>
                </c:pt>
                <c:pt idx="3">
                  <c:v>1114427116.4475014</c:v>
                </c:pt>
                <c:pt idx="4">
                  <c:v>1095627702.0226142</c:v>
                </c:pt>
                <c:pt idx="5">
                  <c:v>686958680.1566093</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1495773467.0200005</c:v>
                </c:pt>
                <c:pt idx="1">
                  <c:v>1881555634.0300007</c:v>
                </c:pt>
                <c:pt idx="2">
                  <c:v>1375071990.9200001</c:v>
                </c:pt>
                <c:pt idx="3">
                  <c:v>1139785936.4499998</c:v>
                </c:pt>
                <c:pt idx="4">
                  <c:v>1119033615.5300002</c:v>
                </c:pt>
                <c:pt idx="5">
                  <c:v>699416387.21999979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1064895</xdr:colOff>
      <xdr:row>15</xdr:row>
      <xdr:rowOff>16192</xdr:rowOff>
    </xdr:from>
    <xdr:to>
      <xdr:col>36</xdr:col>
      <xdr:colOff>464820</xdr:colOff>
      <xdr:row>28</xdr:row>
      <xdr:rowOff>150495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V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7" width="12.77734375" style="190" bestFit="1" customWidth="1"/>
    <col min="48" max="48" width="9.5546875" style="190" hidden="1" customWidth="1"/>
    <col min="49" max="16384" width="8.88671875" style="190"/>
  </cols>
  <sheetData>
    <row r="1" spans="1:48"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row>
    <row r="2" spans="1:4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row>
    <row r="3" spans="1:48" x14ac:dyDescent="0.25">
      <c r="A3" s="190" t="s">
        <v>107</v>
      </c>
    </row>
    <row r="4" spans="1:48" x14ac:dyDescent="0.25">
      <c r="A4" s="190" t="s">
        <v>108</v>
      </c>
      <c r="B4" s="190">
        <v>1950080565.3199999</v>
      </c>
      <c r="C4" s="190">
        <v>2382180540.73</v>
      </c>
      <c r="D4" s="190">
        <v>2671405191.6799998</v>
      </c>
      <c r="E4" s="190">
        <v>3612937164.1399999</v>
      </c>
      <c r="F4" s="190">
        <v>2536885532.5500002</v>
      </c>
      <c r="G4" s="190">
        <v>2331153358.9099998</v>
      </c>
      <c r="H4" s="190">
        <v>1967394678.29</v>
      </c>
      <c r="I4" s="190">
        <v>2758794780.21</v>
      </c>
      <c r="J4" s="190">
        <v>1580924856.3199999</v>
      </c>
      <c r="K4" s="190">
        <v>1781353970.6900001</v>
      </c>
      <c r="L4" s="190">
        <v>1950363784.03</v>
      </c>
      <c r="M4" s="190">
        <v>1755784045.5</v>
      </c>
      <c r="N4" s="190">
        <v>925113107.87</v>
      </c>
      <c r="O4" s="190">
        <v>1061070248.9299999</v>
      </c>
      <c r="P4" s="190">
        <v>1030275767.27</v>
      </c>
      <c r="Q4" s="190">
        <v>1320731577.53</v>
      </c>
      <c r="R4" s="190">
        <v>1075270281.0899999</v>
      </c>
      <c r="S4" s="190">
        <v>1272267441.1800001</v>
      </c>
      <c r="T4" s="190">
        <v>1647380325.6900001</v>
      </c>
      <c r="U4" s="190">
        <v>1818588875.24</v>
      </c>
      <c r="V4" s="190">
        <v>1479881759.1300001</v>
      </c>
      <c r="W4" s="190">
        <v>1510368652.4100001</v>
      </c>
      <c r="X4" s="190">
        <v>642547430.98000002</v>
      </c>
      <c r="Y4" s="190">
        <v>909483080.76999998</v>
      </c>
      <c r="Z4" s="190">
        <v>538161889.29999995</v>
      </c>
      <c r="AA4" s="190">
        <v>376599945.04000002</v>
      </c>
      <c r="AB4" s="190">
        <v>253632371.88999999</v>
      </c>
      <c r="AC4" s="190">
        <v>502558435.16000003</v>
      </c>
      <c r="AD4" s="190">
        <v>334089133.51999998</v>
      </c>
      <c r="AE4" s="190">
        <v>465965457.60000002</v>
      </c>
      <c r="AF4" s="190">
        <v>600804136.77999997</v>
      </c>
      <c r="AG4" s="190">
        <v>720230491.82000005</v>
      </c>
      <c r="AH4" s="190">
        <v>552616299.77999997</v>
      </c>
      <c r="AI4" s="190">
        <v>465145026.04000002</v>
      </c>
      <c r="AJ4" s="190">
        <v>477574287.62</v>
      </c>
      <c r="AK4" s="190">
        <v>479424272.18000001</v>
      </c>
      <c r="AL4" s="190">
        <v>418089110.00999999</v>
      </c>
      <c r="AM4" s="190">
        <v>403553424.70999998</v>
      </c>
      <c r="AN4" s="190">
        <v>390177168.31</v>
      </c>
      <c r="AO4" s="190">
        <v>414458908.91000003</v>
      </c>
      <c r="AP4" s="190">
        <v>371637992.38</v>
      </c>
      <c r="AQ4" s="190">
        <v>407778367.36000001</v>
      </c>
      <c r="AR4" s="190">
        <v>49633403.07</v>
      </c>
      <c r="AS4" s="190">
        <v>88491495.680000007</v>
      </c>
      <c r="AT4" s="190">
        <v>28930691.68</v>
      </c>
      <c r="AU4" s="190">
        <v>68113502.120000005</v>
      </c>
      <c r="AV4" s="190">
        <v>0</v>
      </c>
    </row>
    <row r="5" spans="1:48" x14ac:dyDescent="0.25">
      <c r="A5" s="190" t="s">
        <v>109</v>
      </c>
      <c r="B5" s="190">
        <v>0</v>
      </c>
      <c r="C5" s="190">
        <v>0</v>
      </c>
      <c r="D5" s="190">
        <v>2692200</v>
      </c>
      <c r="E5" s="190">
        <v>0</v>
      </c>
      <c r="F5" s="190">
        <v>0</v>
      </c>
      <c r="G5" s="190">
        <v>0</v>
      </c>
      <c r="H5" s="190">
        <v>55635.96</v>
      </c>
      <c r="I5" s="190">
        <v>0</v>
      </c>
      <c r="J5" s="190">
        <v>0</v>
      </c>
      <c r="K5" s="190">
        <v>0</v>
      </c>
      <c r="L5" s="190">
        <v>0</v>
      </c>
      <c r="M5" s="190">
        <v>0</v>
      </c>
      <c r="N5" s="190">
        <v>257954</v>
      </c>
      <c r="O5" s="190">
        <v>2495121.6</v>
      </c>
      <c r="P5" s="190">
        <v>583548.62</v>
      </c>
      <c r="Q5" s="190">
        <v>2376959.65</v>
      </c>
      <c r="R5" s="190">
        <v>1228901.68</v>
      </c>
      <c r="S5" s="190">
        <v>1548306.8</v>
      </c>
      <c r="T5" s="190">
        <v>1633771.48</v>
      </c>
      <c r="U5" s="190">
        <v>1482476.44</v>
      </c>
      <c r="V5" s="190">
        <v>481244.22</v>
      </c>
      <c r="W5" s="190">
        <v>0</v>
      </c>
      <c r="X5" s="190">
        <v>0</v>
      </c>
      <c r="Y5" s="190">
        <v>0</v>
      </c>
      <c r="Z5" s="190">
        <v>0</v>
      </c>
      <c r="AA5" s="190">
        <v>3168656.39</v>
      </c>
      <c r="AB5" s="190">
        <v>0</v>
      </c>
      <c r="AC5" s="190">
        <v>0</v>
      </c>
      <c r="AD5" s="190">
        <v>0</v>
      </c>
      <c r="AE5" s="190">
        <v>0</v>
      </c>
      <c r="AF5" s="190">
        <v>0</v>
      </c>
      <c r="AG5" s="190">
        <v>271728.21000000002</v>
      </c>
      <c r="AH5" s="190">
        <v>0</v>
      </c>
      <c r="AI5" s="190">
        <v>0</v>
      </c>
      <c r="AJ5" s="190">
        <v>0</v>
      </c>
      <c r="AK5" s="190">
        <v>0</v>
      </c>
      <c r="AL5" s="190">
        <v>32550</v>
      </c>
      <c r="AM5" s="190">
        <v>32550</v>
      </c>
      <c r="AN5" s="190">
        <v>32550</v>
      </c>
      <c r="AO5" s="190">
        <v>32550</v>
      </c>
      <c r="AP5" s="190">
        <v>0</v>
      </c>
      <c r="AQ5" s="190">
        <v>0</v>
      </c>
      <c r="AR5" s="190">
        <v>0</v>
      </c>
      <c r="AS5" s="190">
        <v>0</v>
      </c>
      <c r="AT5" s="190">
        <v>0</v>
      </c>
      <c r="AU5" s="190">
        <v>0</v>
      </c>
      <c r="AV5" s="190">
        <v>0</v>
      </c>
    </row>
    <row r="6" spans="1:48"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row>
    <row r="7" spans="1:48" x14ac:dyDescent="0.25">
      <c r="A7" s="190" t="s">
        <v>111</v>
      </c>
      <c r="B7" s="190">
        <v>2158210607</v>
      </c>
      <c r="C7" s="190">
        <v>1785576387.9000001</v>
      </c>
      <c r="D7" s="190">
        <v>2026569160.78</v>
      </c>
      <c r="E7" s="190">
        <v>2431296170.5799999</v>
      </c>
      <c r="F7" s="190">
        <v>1799307519.8499999</v>
      </c>
      <c r="G7" s="190">
        <v>1214481784.1400001</v>
      </c>
      <c r="H7" s="190">
        <v>998970174.95000005</v>
      </c>
      <c r="I7" s="190">
        <v>1148207671.6300001</v>
      </c>
      <c r="J7" s="190">
        <v>629360138.20000005</v>
      </c>
      <c r="K7" s="190">
        <v>521468273.37</v>
      </c>
      <c r="L7" s="190">
        <v>567490902.41999996</v>
      </c>
      <c r="M7" s="190">
        <v>1094735776.7</v>
      </c>
      <c r="N7" s="190">
        <v>575136949.30999994</v>
      </c>
      <c r="O7" s="190">
        <v>542440037.72000003</v>
      </c>
      <c r="P7" s="190">
        <v>510881382.27999997</v>
      </c>
      <c r="Q7" s="190">
        <v>429124453.88</v>
      </c>
      <c r="R7" s="190">
        <v>107385319.12</v>
      </c>
      <c r="S7" s="190">
        <v>109967759.02</v>
      </c>
      <c r="T7" s="190">
        <v>41380276.219999999</v>
      </c>
      <c r="U7" s="190">
        <v>133133703.8</v>
      </c>
      <c r="V7" s="190">
        <v>43888723.090000004</v>
      </c>
      <c r="W7" s="190">
        <v>70949791.719999999</v>
      </c>
      <c r="X7" s="190">
        <v>32641257.899999999</v>
      </c>
      <c r="Y7" s="190">
        <v>64722831.07</v>
      </c>
      <c r="Z7" s="190">
        <v>47102668.100000001</v>
      </c>
      <c r="AA7" s="190">
        <v>6979795.2000000002</v>
      </c>
      <c r="AB7" s="190">
        <v>14053540.300000001</v>
      </c>
      <c r="AC7" s="190">
        <v>27301737.600000001</v>
      </c>
      <c r="AD7" s="190">
        <v>32765548.199999999</v>
      </c>
      <c r="AE7" s="190">
        <v>9456260.7300000004</v>
      </c>
      <c r="AF7" s="190">
        <v>17909650.640000001</v>
      </c>
      <c r="AG7" s="190">
        <v>9788544</v>
      </c>
      <c r="AH7" s="190">
        <v>2756884</v>
      </c>
      <c r="AI7" s="190">
        <v>3471278</v>
      </c>
      <c r="AJ7" s="190">
        <v>2317205.96</v>
      </c>
      <c r="AK7" s="190">
        <v>3881581.04</v>
      </c>
      <c r="AL7" s="190">
        <v>3277320</v>
      </c>
      <c r="AM7" s="190">
        <v>2703099</v>
      </c>
      <c r="AN7" s="190">
        <v>4317554.3</v>
      </c>
      <c r="AO7" s="190">
        <v>2986430</v>
      </c>
      <c r="AP7" s="190">
        <v>4155100</v>
      </c>
      <c r="AQ7" s="190">
        <v>1279042</v>
      </c>
      <c r="AR7" s="190">
        <v>3286944.17</v>
      </c>
      <c r="AS7" s="190">
        <v>509470</v>
      </c>
      <c r="AT7" s="190">
        <v>150000</v>
      </c>
      <c r="AU7" s="190">
        <v>10600000</v>
      </c>
      <c r="AV7" s="190">
        <v>0</v>
      </c>
    </row>
    <row r="8" spans="1:48" x14ac:dyDescent="0.25">
      <c r="A8" s="190" t="s">
        <v>112</v>
      </c>
      <c r="B8" s="190">
        <v>9566013783.5200005</v>
      </c>
      <c r="C8" s="190">
        <v>9081550539.8700008</v>
      </c>
      <c r="D8" s="190">
        <v>7397480836.4700003</v>
      </c>
      <c r="E8" s="190">
        <v>7539944756.6899996</v>
      </c>
      <c r="F8" s="190">
        <v>7098185667.9700003</v>
      </c>
      <c r="G8" s="190">
        <v>6934385789.0600004</v>
      </c>
      <c r="H8" s="190">
        <v>5904501600.8500004</v>
      </c>
      <c r="I8" s="190">
        <v>6205557180.8999996</v>
      </c>
      <c r="J8" s="190">
        <v>5559548686.9499998</v>
      </c>
      <c r="K8" s="190">
        <v>5316171573.4099998</v>
      </c>
      <c r="L8" s="190">
        <v>4587547031.8999996</v>
      </c>
      <c r="M8" s="190">
        <v>4974772699.5699997</v>
      </c>
      <c r="N8" s="190">
        <v>3716056480.4899998</v>
      </c>
      <c r="O8" s="190">
        <v>3291730109.3299999</v>
      </c>
      <c r="P8" s="190">
        <v>2761096229.5599999</v>
      </c>
      <c r="Q8" s="190">
        <v>2759017312.0900002</v>
      </c>
      <c r="R8" s="190">
        <v>2608830435.3000002</v>
      </c>
      <c r="S8" s="190">
        <v>2682422655.5300002</v>
      </c>
      <c r="T8" s="190">
        <v>2272734398.6399999</v>
      </c>
      <c r="U8" s="190">
        <v>2127221747.6800001</v>
      </c>
      <c r="V8" s="190">
        <v>1588456202.3</v>
      </c>
      <c r="W8" s="190">
        <v>1366511599.8299999</v>
      </c>
      <c r="X8" s="190">
        <v>1044235625.96</v>
      </c>
      <c r="Y8" s="190">
        <v>973378529.33000004</v>
      </c>
      <c r="Z8" s="190">
        <v>960750175.71000004</v>
      </c>
      <c r="AA8" s="190">
        <v>883545069.78999996</v>
      </c>
      <c r="AB8" s="190">
        <v>751603760.80999994</v>
      </c>
      <c r="AC8" s="190">
        <v>677025914.74000001</v>
      </c>
      <c r="AD8" s="190">
        <v>630063377.72000003</v>
      </c>
      <c r="AE8" s="190">
        <v>548938098.48000002</v>
      </c>
      <c r="AF8" s="190">
        <v>404994596</v>
      </c>
      <c r="AG8" s="190">
        <v>390529993.31999999</v>
      </c>
      <c r="AH8" s="190">
        <v>393274186.63999999</v>
      </c>
      <c r="AI8" s="190">
        <v>358933888.04000002</v>
      </c>
      <c r="AJ8" s="190">
        <v>268432392.38</v>
      </c>
      <c r="AK8" s="190">
        <v>271332071.80000001</v>
      </c>
      <c r="AL8" s="190">
        <v>238587646.91999999</v>
      </c>
      <c r="AM8" s="190">
        <v>194638521.18000001</v>
      </c>
      <c r="AN8" s="190">
        <v>174908066.22</v>
      </c>
      <c r="AO8" s="190">
        <v>162592628.63</v>
      </c>
      <c r="AP8" s="190">
        <v>178025240.84</v>
      </c>
      <c r="AQ8" s="190">
        <v>171286525.88</v>
      </c>
      <c r="AR8" s="190">
        <v>115628460.36</v>
      </c>
      <c r="AS8" s="190">
        <v>122298845.51000001</v>
      </c>
      <c r="AT8" s="190">
        <v>94563527.140000001</v>
      </c>
      <c r="AU8" s="190">
        <v>78729646.379999995</v>
      </c>
      <c r="AV8" s="190">
        <v>0</v>
      </c>
    </row>
    <row r="9" spans="1:48" x14ac:dyDescent="0.25">
      <c r="A9" s="190" t="s">
        <v>113</v>
      </c>
      <c r="B9" s="190">
        <v>172563190.47</v>
      </c>
      <c r="C9" s="190">
        <v>173464285.83000001</v>
      </c>
      <c r="D9" s="190">
        <v>160159725.56999999</v>
      </c>
      <c r="E9" s="190">
        <v>154357171.13</v>
      </c>
      <c r="F9" s="190">
        <v>83870792.290000007</v>
      </c>
      <c r="G9" s="190">
        <v>77836252.390000001</v>
      </c>
      <c r="H9" s="190">
        <v>74418384.469999999</v>
      </c>
      <c r="I9" s="190">
        <v>66929703.909999996</v>
      </c>
      <c r="J9" s="190">
        <v>73427200.290000007</v>
      </c>
      <c r="K9" s="190">
        <v>57376201.710000001</v>
      </c>
      <c r="L9" s="190">
        <v>43785637.640000001</v>
      </c>
      <c r="M9" s="190">
        <v>30988024.57</v>
      </c>
      <c r="N9" s="190">
        <v>26028456.57</v>
      </c>
      <c r="O9" s="190">
        <v>31469208.670000002</v>
      </c>
      <c r="P9" s="190">
        <v>36004696.409999996</v>
      </c>
      <c r="Q9" s="190">
        <v>25250164.300000001</v>
      </c>
      <c r="R9" s="190">
        <v>34896539.740000002</v>
      </c>
      <c r="S9" s="190">
        <v>31091122.210000001</v>
      </c>
      <c r="T9" s="190">
        <v>57955415.780000001</v>
      </c>
      <c r="U9" s="190">
        <v>46905706.75</v>
      </c>
      <c r="V9" s="190">
        <v>22745442.010000002</v>
      </c>
      <c r="W9" s="190">
        <v>30884255.219999999</v>
      </c>
      <c r="X9" s="190">
        <v>22340199.219999999</v>
      </c>
      <c r="Y9" s="190">
        <v>10952838.630000001</v>
      </c>
      <c r="Z9" s="190">
        <v>64723849.18</v>
      </c>
      <c r="AA9" s="190">
        <v>26815114.190000001</v>
      </c>
      <c r="AB9" s="190">
        <v>30230846.91</v>
      </c>
      <c r="AC9" s="190">
        <v>12629440.85</v>
      </c>
      <c r="AD9" s="190">
        <v>14341533.689999999</v>
      </c>
      <c r="AE9" s="190">
        <v>27290993.5</v>
      </c>
      <c r="AF9" s="190">
        <v>12186582.92</v>
      </c>
      <c r="AG9" s="190">
        <v>15450139.02</v>
      </c>
      <c r="AH9" s="190">
        <v>27554147.460000001</v>
      </c>
      <c r="AI9" s="190">
        <v>30420786.219999999</v>
      </c>
      <c r="AJ9" s="190">
        <v>26004520.280000001</v>
      </c>
      <c r="AK9" s="190">
        <v>8282449.0999999996</v>
      </c>
      <c r="AL9" s="190">
        <v>11943428.82</v>
      </c>
      <c r="AM9" s="190">
        <v>4318423.95</v>
      </c>
      <c r="AN9" s="190">
        <v>3215288.6</v>
      </c>
      <c r="AO9" s="190">
        <v>3078725.01</v>
      </c>
      <c r="AP9" s="190">
        <v>7996120.8600000003</v>
      </c>
      <c r="AQ9" s="190">
        <v>6309243.7599999998</v>
      </c>
      <c r="AR9" s="190">
        <v>4787239.8099999996</v>
      </c>
      <c r="AS9" s="190">
        <v>3321827.51</v>
      </c>
      <c r="AT9" s="190">
        <v>2001774.1</v>
      </c>
      <c r="AU9" s="190">
        <v>4568925.76</v>
      </c>
      <c r="AV9" s="190">
        <v>0</v>
      </c>
    </row>
    <row r="10" spans="1:48" x14ac:dyDescent="0.25">
      <c r="A10" s="190" t="s">
        <v>114</v>
      </c>
      <c r="B10" s="190">
        <v>0</v>
      </c>
      <c r="C10" s="190">
        <v>8229227.29</v>
      </c>
      <c r="D10" s="190">
        <v>9377960.4499999993</v>
      </c>
      <c r="E10" s="190">
        <v>9219422.6099999994</v>
      </c>
      <c r="F10" s="190">
        <v>16380200.33</v>
      </c>
      <c r="G10" s="190">
        <v>11282962.720000001</v>
      </c>
      <c r="H10" s="190">
        <v>8507518.5199999996</v>
      </c>
      <c r="I10" s="190">
        <v>17077965.32</v>
      </c>
      <c r="J10" s="190">
        <v>19575285.57</v>
      </c>
      <c r="K10" s="190">
        <v>17168925.579999998</v>
      </c>
      <c r="L10" s="190">
        <v>13469594.029999999</v>
      </c>
      <c r="M10" s="190">
        <v>5829112.6100000003</v>
      </c>
      <c r="N10" s="190">
        <v>4097384.47</v>
      </c>
      <c r="O10" s="190">
        <v>3090314.86</v>
      </c>
      <c r="P10" s="190">
        <v>6192203.3399999999</v>
      </c>
      <c r="Q10" s="190">
        <v>4260711.53</v>
      </c>
      <c r="R10" s="190">
        <v>4518351.34</v>
      </c>
      <c r="S10" s="190">
        <v>8231673.7800000003</v>
      </c>
      <c r="T10" s="190">
        <v>22042366.190000001</v>
      </c>
      <c r="U10" s="190">
        <v>16151346.49</v>
      </c>
      <c r="V10" s="190">
        <v>9234107.4499999993</v>
      </c>
      <c r="W10" s="190">
        <v>3607620.63</v>
      </c>
      <c r="X10" s="190">
        <v>8863212.1199999992</v>
      </c>
      <c r="Y10" s="190">
        <v>8556700.6199999992</v>
      </c>
      <c r="Z10" s="190">
        <v>6579600.8499999996</v>
      </c>
      <c r="AA10" s="190">
        <v>3060527.8</v>
      </c>
      <c r="AB10" s="190">
        <v>1608327.67</v>
      </c>
      <c r="AC10" s="190">
        <v>1289069.07</v>
      </c>
      <c r="AD10" s="190">
        <v>2505520.4900000002</v>
      </c>
      <c r="AE10" s="190">
        <v>4681967.5199999996</v>
      </c>
      <c r="AF10" s="190">
        <v>4074141.59</v>
      </c>
      <c r="AG10" s="190">
        <v>2995044.24</v>
      </c>
      <c r="AH10" s="190">
        <v>925917.69</v>
      </c>
      <c r="AI10" s="190">
        <v>1714575.61</v>
      </c>
      <c r="AJ10" s="190">
        <v>3064030.96</v>
      </c>
      <c r="AK10" s="190">
        <v>3837444.25</v>
      </c>
      <c r="AL10" s="190">
        <v>8275030.6100000003</v>
      </c>
      <c r="AM10" s="190">
        <v>8397970.3599999994</v>
      </c>
      <c r="AN10" s="190">
        <v>6229864.7699999996</v>
      </c>
      <c r="AO10" s="190">
        <v>4968504.5999999996</v>
      </c>
      <c r="AP10" s="190">
        <v>0</v>
      </c>
      <c r="AQ10" s="190">
        <v>0</v>
      </c>
      <c r="AR10" s="190">
        <v>0</v>
      </c>
      <c r="AS10" s="190">
        <v>0</v>
      </c>
      <c r="AT10" s="190">
        <v>0</v>
      </c>
      <c r="AU10" s="190">
        <v>0</v>
      </c>
      <c r="AV10" s="190">
        <v>0</v>
      </c>
    </row>
    <row r="11" spans="1:48"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row>
    <row r="12" spans="1:48" x14ac:dyDescent="0.25">
      <c r="A12" s="190" t="s">
        <v>116</v>
      </c>
      <c r="B12" s="190">
        <v>390477962.00999999</v>
      </c>
      <c r="C12" s="190">
        <v>380598257.83999997</v>
      </c>
      <c r="D12" s="190">
        <v>363349324.11000001</v>
      </c>
      <c r="E12" s="190">
        <v>283058785.41000003</v>
      </c>
      <c r="F12" s="190">
        <v>394871585.63</v>
      </c>
      <c r="G12" s="190">
        <v>396665142.97000003</v>
      </c>
      <c r="H12" s="190">
        <v>267882279.41999999</v>
      </c>
      <c r="I12" s="190">
        <v>216617757.87</v>
      </c>
      <c r="J12" s="190">
        <v>231700777.88</v>
      </c>
      <c r="K12" s="190">
        <v>229804762.49000001</v>
      </c>
      <c r="L12" s="190">
        <v>153200338.31</v>
      </c>
      <c r="M12" s="190">
        <v>101870373.31</v>
      </c>
      <c r="N12" s="190">
        <v>233248137.69</v>
      </c>
      <c r="O12" s="190">
        <v>122763132.47</v>
      </c>
      <c r="P12" s="190">
        <v>95390629.930000007</v>
      </c>
      <c r="Q12" s="190">
        <v>74901778.719999999</v>
      </c>
      <c r="R12" s="190">
        <v>99938183.269999996</v>
      </c>
      <c r="S12" s="190">
        <v>132284234.17</v>
      </c>
      <c r="T12" s="190">
        <v>84309805.099999994</v>
      </c>
      <c r="U12" s="190">
        <v>40717112.329999998</v>
      </c>
      <c r="V12" s="190">
        <v>69268378.829999998</v>
      </c>
      <c r="W12" s="190">
        <v>59869507.079999998</v>
      </c>
      <c r="X12" s="190">
        <v>66495464.899999999</v>
      </c>
      <c r="Y12" s="190">
        <v>42156465.359999999</v>
      </c>
      <c r="Z12" s="190">
        <v>74236570.219999999</v>
      </c>
      <c r="AA12" s="190">
        <v>74762006.840000004</v>
      </c>
      <c r="AB12" s="190">
        <v>67400387.689999998</v>
      </c>
      <c r="AC12" s="190">
        <v>40758095.170000002</v>
      </c>
      <c r="AD12" s="190">
        <v>47483035.219999999</v>
      </c>
      <c r="AE12" s="190">
        <v>50137326.259999998</v>
      </c>
      <c r="AF12" s="190">
        <v>42484071.689999998</v>
      </c>
      <c r="AG12" s="190">
        <v>29354540.32</v>
      </c>
      <c r="AH12" s="190">
        <v>36820904.729999997</v>
      </c>
      <c r="AI12" s="190">
        <v>25464409.350000001</v>
      </c>
      <c r="AJ12" s="190">
        <v>18592634.620000001</v>
      </c>
      <c r="AK12" s="190">
        <v>14054530.960000001</v>
      </c>
      <c r="AL12" s="190">
        <v>15514239.32</v>
      </c>
      <c r="AM12" s="190">
        <v>10739475.76</v>
      </c>
      <c r="AN12" s="190">
        <v>8970309.1300000008</v>
      </c>
      <c r="AO12" s="190">
        <v>9511157.7899999991</v>
      </c>
      <c r="AP12" s="190">
        <v>39114139.479999997</v>
      </c>
      <c r="AQ12" s="190">
        <v>9873392.4000000004</v>
      </c>
      <c r="AR12" s="190">
        <v>9762623.3000000007</v>
      </c>
      <c r="AS12" s="190">
        <v>6587593.4900000002</v>
      </c>
      <c r="AT12" s="190">
        <v>58161484.310000002</v>
      </c>
      <c r="AU12" s="190">
        <v>9610479.0600000005</v>
      </c>
      <c r="AV12" s="190">
        <v>0</v>
      </c>
    </row>
    <row r="13" spans="1:48"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row>
    <row r="14" spans="1:48" x14ac:dyDescent="0.25">
      <c r="A14" s="190" t="s">
        <v>118</v>
      </c>
      <c r="B14" s="190">
        <v>3983493620.7600002</v>
      </c>
      <c r="C14" s="190">
        <v>3386228156.7199998</v>
      </c>
      <c r="D14" s="190">
        <v>3670055543.3899999</v>
      </c>
      <c r="E14" s="190">
        <v>2806142598.6500001</v>
      </c>
      <c r="F14" s="190">
        <v>3479311400.0100002</v>
      </c>
      <c r="G14" s="190">
        <v>2745628101.04</v>
      </c>
      <c r="H14" s="190">
        <v>2586011013.75</v>
      </c>
      <c r="I14" s="190">
        <v>2204641465.3000002</v>
      </c>
      <c r="J14" s="190">
        <v>2540280856.2399998</v>
      </c>
      <c r="K14" s="190">
        <v>1852267884.25</v>
      </c>
      <c r="L14" s="190">
        <v>1846318582.22</v>
      </c>
      <c r="M14" s="190">
        <v>1517545001.4000001</v>
      </c>
      <c r="N14" s="190">
        <v>1870082084.49</v>
      </c>
      <c r="O14" s="190">
        <v>1783036388.74</v>
      </c>
      <c r="P14" s="190">
        <v>1486550666.3299999</v>
      </c>
      <c r="Q14" s="190">
        <v>1261260358.8900001</v>
      </c>
      <c r="R14" s="190">
        <v>1483368194.6300001</v>
      </c>
      <c r="S14" s="190">
        <v>1407663741.6800001</v>
      </c>
      <c r="T14" s="190">
        <v>1483463554.21</v>
      </c>
      <c r="U14" s="190">
        <v>990448670.03999996</v>
      </c>
      <c r="V14" s="190">
        <v>901343125.69000006</v>
      </c>
      <c r="W14" s="190">
        <v>779311698.86000001</v>
      </c>
      <c r="X14" s="190">
        <v>831236335.62</v>
      </c>
      <c r="Y14" s="190">
        <v>711215689.99000001</v>
      </c>
      <c r="Z14" s="190">
        <v>749690085.20000005</v>
      </c>
      <c r="AA14" s="190">
        <v>791329466.08000004</v>
      </c>
      <c r="AB14" s="190">
        <v>762514424.46000004</v>
      </c>
      <c r="AC14" s="190">
        <v>605103003.19000006</v>
      </c>
      <c r="AD14" s="190">
        <v>513406838.51999998</v>
      </c>
      <c r="AE14" s="190">
        <v>491924701.91000003</v>
      </c>
      <c r="AF14" s="190">
        <v>432366326.30000001</v>
      </c>
      <c r="AG14" s="190">
        <v>373597658.45999998</v>
      </c>
      <c r="AH14" s="190">
        <v>417396766.54000002</v>
      </c>
      <c r="AI14" s="190">
        <v>349246508.92000002</v>
      </c>
      <c r="AJ14" s="190">
        <v>285806121.82999998</v>
      </c>
      <c r="AK14" s="190">
        <v>233104179.59</v>
      </c>
      <c r="AL14" s="190">
        <v>187541170.96000001</v>
      </c>
      <c r="AM14" s="190">
        <v>156853661.63</v>
      </c>
      <c r="AN14" s="190">
        <v>155726839.31</v>
      </c>
      <c r="AO14" s="190">
        <v>139642261.81999999</v>
      </c>
      <c r="AP14" s="190">
        <v>165087681.63</v>
      </c>
      <c r="AQ14" s="190">
        <v>141179224.08000001</v>
      </c>
      <c r="AR14" s="190">
        <v>137301847.91999999</v>
      </c>
      <c r="AS14" s="190">
        <v>93540424.439999998</v>
      </c>
      <c r="AT14" s="190">
        <v>68346451.510000005</v>
      </c>
      <c r="AU14" s="190">
        <v>85661148.629999995</v>
      </c>
      <c r="AV14" s="190">
        <v>0</v>
      </c>
    </row>
    <row r="15" spans="1:48"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row>
    <row r="16" spans="1:48" x14ac:dyDescent="0.25">
      <c r="A16" s="190" t="s">
        <v>120</v>
      </c>
      <c r="B16" s="190">
        <v>508123156.73000002</v>
      </c>
      <c r="C16" s="190">
        <v>496698290.79000002</v>
      </c>
      <c r="D16" s="190">
        <v>444439062.47000003</v>
      </c>
      <c r="E16" s="190">
        <v>367302811.80000001</v>
      </c>
      <c r="F16" s="190">
        <v>160941146.21000001</v>
      </c>
      <c r="G16" s="190">
        <v>116833286.40000001</v>
      </c>
      <c r="H16" s="190">
        <v>116948193.18000001</v>
      </c>
      <c r="I16" s="190">
        <v>170404785.65000001</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row>
    <row r="17" spans="1:48"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row>
    <row r="18" spans="1:48"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row>
    <row r="19" spans="1:48" x14ac:dyDescent="0.25">
      <c r="A19" s="190" t="s">
        <v>123</v>
      </c>
      <c r="B19" s="190">
        <v>334398018.68000001</v>
      </c>
      <c r="C19" s="190">
        <v>327435863.79000002</v>
      </c>
      <c r="D19" s="190">
        <v>316849393.70999998</v>
      </c>
      <c r="E19" s="190">
        <v>352055656.64999998</v>
      </c>
      <c r="F19" s="190">
        <v>389662602.47000003</v>
      </c>
      <c r="G19" s="190">
        <v>302118217.88</v>
      </c>
      <c r="H19" s="190">
        <v>299605396.61000001</v>
      </c>
      <c r="I19" s="190">
        <v>197038099.91999999</v>
      </c>
      <c r="J19" s="190">
        <v>324889621.39999998</v>
      </c>
      <c r="K19" s="190">
        <v>236127471.75999999</v>
      </c>
      <c r="L19" s="190">
        <v>214456274.34999999</v>
      </c>
      <c r="M19" s="190">
        <v>494663150.74000001</v>
      </c>
      <c r="N19" s="190">
        <v>177562415.90000001</v>
      </c>
      <c r="O19" s="190">
        <v>297040571.17000002</v>
      </c>
      <c r="P19" s="190">
        <v>340442223.94999999</v>
      </c>
      <c r="Q19" s="190">
        <v>885614019.37</v>
      </c>
      <c r="R19" s="190">
        <v>309156801.33999997</v>
      </c>
      <c r="S19" s="190">
        <v>214920378.16</v>
      </c>
      <c r="T19" s="190">
        <v>227595</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row>
    <row r="20" spans="1:48" x14ac:dyDescent="0.25">
      <c r="A20" s="190" t="s">
        <v>124</v>
      </c>
      <c r="B20" s="190">
        <v>19063360904.490002</v>
      </c>
      <c r="C20" s="190">
        <v>18021961550.759998</v>
      </c>
      <c r="D20" s="190">
        <v>17062378398.629999</v>
      </c>
      <c r="E20" s="190">
        <v>17556314537.66</v>
      </c>
      <c r="F20" s="190">
        <v>15959416447.309999</v>
      </c>
      <c r="G20" s="190">
        <v>14130384895.51</v>
      </c>
      <c r="H20" s="190">
        <v>12224294876</v>
      </c>
      <c r="I20" s="190">
        <v>12985269410.709999</v>
      </c>
      <c r="J20" s="190">
        <v>10959707422.85</v>
      </c>
      <c r="K20" s="190">
        <v>10011739063.26</v>
      </c>
      <c r="L20" s="190">
        <v>9376632144.8999996</v>
      </c>
      <c r="M20" s="190">
        <v>9976188184.3999996</v>
      </c>
      <c r="N20" s="190">
        <v>7527582970.79</v>
      </c>
      <c r="O20" s="190">
        <v>7135135133.4899998</v>
      </c>
      <c r="P20" s="190">
        <v>6267417347.6899996</v>
      </c>
      <c r="Q20" s="190">
        <v>6762537335.96</v>
      </c>
      <c r="R20" s="190">
        <v>5724593007.5100002</v>
      </c>
      <c r="S20" s="190">
        <v>5860397312.5299997</v>
      </c>
      <c r="T20" s="190">
        <v>5611127508.3100004</v>
      </c>
      <c r="U20" s="190">
        <v>5174649638.7700005</v>
      </c>
      <c r="V20" s="190">
        <v>4115298982.7199998</v>
      </c>
      <c r="W20" s="190">
        <v>3821503125.75</v>
      </c>
      <c r="X20" s="190">
        <v>2648359526.6999998</v>
      </c>
      <c r="Y20" s="190">
        <v>2720466135.77</v>
      </c>
      <c r="Z20" s="190">
        <v>2441244838.5599999</v>
      </c>
      <c r="AA20" s="190">
        <v>2166260581.3299999</v>
      </c>
      <c r="AB20" s="190">
        <v>1881043659.73</v>
      </c>
      <c r="AC20" s="190">
        <v>1866665695.78</v>
      </c>
      <c r="AD20" s="190">
        <v>1574654987.3599999</v>
      </c>
      <c r="AE20" s="190">
        <v>1598394806</v>
      </c>
      <c r="AF20" s="190">
        <v>1514819505.9200001</v>
      </c>
      <c r="AG20" s="190">
        <v>1542218139.3900001</v>
      </c>
      <c r="AH20" s="190">
        <v>1431345106.8399999</v>
      </c>
      <c r="AI20" s="190">
        <v>1234396472.1800001</v>
      </c>
      <c r="AJ20" s="190">
        <v>1081791193.6500001</v>
      </c>
      <c r="AK20" s="190">
        <v>1013916528.92</v>
      </c>
      <c r="AL20" s="190">
        <v>883260496.63999999</v>
      </c>
      <c r="AM20" s="190">
        <v>781237126.59000003</v>
      </c>
      <c r="AN20" s="190">
        <v>743577640.63999999</v>
      </c>
      <c r="AO20" s="190">
        <v>737271166.75999999</v>
      </c>
      <c r="AP20" s="190">
        <v>766016275.19000006</v>
      </c>
      <c r="AQ20" s="190">
        <v>737705795.48000002</v>
      </c>
      <c r="AR20" s="190">
        <v>320400518.63</v>
      </c>
      <c r="AS20" s="190">
        <v>314749656.63</v>
      </c>
      <c r="AT20" s="190">
        <v>252153928.74000001</v>
      </c>
      <c r="AU20" s="190">
        <v>257283701.94999999</v>
      </c>
      <c r="AV20" s="190">
        <v>0</v>
      </c>
    </row>
    <row r="21" spans="1:48" x14ac:dyDescent="0.25">
      <c r="A21" s="190" t="s">
        <v>125</v>
      </c>
    </row>
    <row r="22" spans="1:48"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row>
    <row r="23" spans="1:48" x14ac:dyDescent="0.25">
      <c r="A23" s="190" t="s">
        <v>127</v>
      </c>
      <c r="B23" s="190">
        <v>82970227</v>
      </c>
      <c r="C23" s="190">
        <v>77970227</v>
      </c>
      <c r="D23" s="190">
        <v>77970227</v>
      </c>
      <c r="E23" s="190">
        <v>77970227</v>
      </c>
      <c r="F23" s="190">
        <v>92970227</v>
      </c>
      <c r="G23" s="190">
        <v>92970227</v>
      </c>
      <c r="H23" s="190">
        <v>90496000</v>
      </c>
      <c r="I23" s="190">
        <v>90496000</v>
      </c>
      <c r="J23" s="190">
        <v>73000000</v>
      </c>
      <c r="K23" s="190">
        <v>73000000</v>
      </c>
      <c r="L23" s="190">
        <v>70000000</v>
      </c>
      <c r="M23" s="190">
        <v>65000000</v>
      </c>
      <c r="N23" s="190">
        <v>57000000</v>
      </c>
      <c r="O23" s="190">
        <v>54000000</v>
      </c>
      <c r="P23" s="190">
        <v>54000000</v>
      </c>
      <c r="Q23" s="190">
        <v>54000000</v>
      </c>
      <c r="R23" s="190">
        <v>50000000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row>
    <row r="24" spans="1:48"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300000</v>
      </c>
      <c r="AU24" s="190">
        <v>0</v>
      </c>
      <c r="AV24" s="190">
        <v>0</v>
      </c>
    </row>
    <row r="25" spans="1:48" x14ac:dyDescent="0.25">
      <c r="A25" s="190" t="s">
        <v>129</v>
      </c>
      <c r="B25" s="190">
        <v>1676664764.9300001</v>
      </c>
      <c r="C25" s="190">
        <v>1667975490.6900001</v>
      </c>
      <c r="D25" s="190">
        <v>1463026722.1199999</v>
      </c>
      <c r="E25" s="190">
        <v>1480947137.8</v>
      </c>
      <c r="F25" s="190">
        <v>760589084.71000004</v>
      </c>
      <c r="G25" s="190">
        <v>739105683.40999997</v>
      </c>
      <c r="H25" s="190">
        <v>693449421.94000006</v>
      </c>
      <c r="I25" s="190">
        <v>478091766.76999998</v>
      </c>
      <c r="J25" s="190">
        <v>327915835.45999998</v>
      </c>
      <c r="K25" s="190">
        <v>333587979.87</v>
      </c>
      <c r="L25" s="190">
        <v>246951151.47</v>
      </c>
      <c r="M25" s="190">
        <v>305270955.43000001</v>
      </c>
      <c r="N25" s="190">
        <v>273950723.29000002</v>
      </c>
      <c r="O25" s="190">
        <v>286469029.11000001</v>
      </c>
      <c r="P25" s="190">
        <v>287900935.22000003</v>
      </c>
      <c r="Q25" s="190">
        <v>350203802.16000003</v>
      </c>
      <c r="R25" s="190">
        <v>156347976.44999999</v>
      </c>
      <c r="S25" s="190">
        <v>143395148.11000001</v>
      </c>
      <c r="T25" s="190">
        <v>148383172.13999999</v>
      </c>
      <c r="U25" s="190">
        <v>132797384.88</v>
      </c>
      <c r="V25" s="190">
        <v>157901703.87</v>
      </c>
      <c r="W25" s="190">
        <v>166169247.50999999</v>
      </c>
      <c r="X25" s="190">
        <v>168423444.91999999</v>
      </c>
      <c r="Y25" s="190">
        <v>170474283.75999999</v>
      </c>
      <c r="Z25" s="190">
        <v>56149958.369999997</v>
      </c>
      <c r="AA25" s="190">
        <v>64528552.740000002</v>
      </c>
      <c r="AB25" s="190">
        <v>65743201.659999996</v>
      </c>
      <c r="AC25" s="190">
        <v>65743201.659999996</v>
      </c>
      <c r="AD25" s="190">
        <v>47438818.590000004</v>
      </c>
      <c r="AE25" s="190">
        <v>55326781.659999996</v>
      </c>
      <c r="AF25" s="190">
        <v>55326781.659999996</v>
      </c>
      <c r="AG25" s="190">
        <v>55326781.659999996</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row>
    <row r="26" spans="1:48" x14ac:dyDescent="0.25">
      <c r="A26" s="190" t="s">
        <v>130</v>
      </c>
      <c r="B26" s="190">
        <v>20778210.52</v>
      </c>
      <c r="C26" s="190">
        <v>27418099.399999999</v>
      </c>
      <c r="D26" s="190">
        <v>50211232.82</v>
      </c>
      <c r="E26" s="190">
        <v>61272885.409999996</v>
      </c>
      <c r="F26" s="190">
        <v>68008814.140000001</v>
      </c>
      <c r="G26" s="190">
        <v>77630935.159999996</v>
      </c>
      <c r="H26" s="190">
        <v>65306685.609999999</v>
      </c>
      <c r="I26" s="190">
        <v>37128177.329999998</v>
      </c>
      <c r="J26" s="190">
        <v>55567186.75</v>
      </c>
      <c r="K26" s="190">
        <v>50392112.649999999</v>
      </c>
      <c r="L26" s="190">
        <v>35232592.009999998</v>
      </c>
      <c r="M26" s="190">
        <v>7201760.6299999999</v>
      </c>
      <c r="N26" s="190">
        <v>6839988.5700000003</v>
      </c>
      <c r="O26" s="190">
        <v>6313583.8099999996</v>
      </c>
      <c r="P26" s="190">
        <v>6188105.4100000001</v>
      </c>
      <c r="Q26" s="190">
        <v>6486744.9800000004</v>
      </c>
      <c r="R26" s="190">
        <v>6694266.0899999999</v>
      </c>
      <c r="S26" s="190">
        <v>56844598.68</v>
      </c>
      <c r="T26" s="190">
        <v>56992785.049999997</v>
      </c>
      <c r="U26" s="190">
        <v>27274290.449999999</v>
      </c>
      <c r="V26" s="190">
        <v>26847678.800000001</v>
      </c>
      <c r="W26" s="190">
        <v>27336349.18</v>
      </c>
      <c r="X26" s="190">
        <v>28082043.77</v>
      </c>
      <c r="Y26" s="190">
        <v>28520761.899999999</v>
      </c>
      <c r="Z26" s="190">
        <v>28723232.59</v>
      </c>
      <c r="AA26" s="190">
        <v>23624721.59</v>
      </c>
      <c r="AB26" s="190">
        <v>24095896.690000001</v>
      </c>
      <c r="AC26" s="190">
        <v>23631233.57</v>
      </c>
      <c r="AD26" s="190">
        <v>23346817.350000001</v>
      </c>
      <c r="AE26" s="190">
        <v>22746817.350000001</v>
      </c>
      <c r="AF26" s="190">
        <v>10796682.689999999</v>
      </c>
      <c r="AG26" s="190">
        <v>10396682.689999999</v>
      </c>
      <c r="AH26" s="190">
        <v>10400000</v>
      </c>
      <c r="AI26" s="190">
        <v>10400000</v>
      </c>
      <c r="AJ26" s="190">
        <v>10000000</v>
      </c>
      <c r="AK26" s="190">
        <v>10000000</v>
      </c>
      <c r="AL26" s="190">
        <v>0</v>
      </c>
      <c r="AM26" s="190">
        <v>0</v>
      </c>
      <c r="AN26" s="190">
        <v>0</v>
      </c>
      <c r="AO26" s="190">
        <v>0</v>
      </c>
      <c r="AP26" s="190">
        <v>0</v>
      </c>
      <c r="AQ26" s="190">
        <v>0</v>
      </c>
      <c r="AR26" s="190">
        <v>0</v>
      </c>
      <c r="AS26" s="190">
        <v>0</v>
      </c>
      <c r="AT26" s="190">
        <v>0</v>
      </c>
      <c r="AU26" s="190">
        <v>0</v>
      </c>
      <c r="AV26" s="190">
        <v>0</v>
      </c>
    </row>
    <row r="27" spans="1:48" x14ac:dyDescent="0.25">
      <c r="A27" s="190" t="s">
        <v>131</v>
      </c>
      <c r="B27" s="190">
        <v>186682164.13</v>
      </c>
      <c r="C27" s="190">
        <v>176630008.83000001</v>
      </c>
      <c r="D27" s="190">
        <v>178840075.56</v>
      </c>
      <c r="E27" s="190">
        <v>181050142.28999999</v>
      </c>
      <c r="F27" s="190">
        <v>182308712.22</v>
      </c>
      <c r="G27" s="190">
        <v>184507034.61000001</v>
      </c>
      <c r="H27" s="190">
        <v>168892088.62</v>
      </c>
      <c r="I27" s="190">
        <v>170876329.56999999</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row>
    <row r="28" spans="1:48" x14ac:dyDescent="0.25">
      <c r="A28" s="190" t="s">
        <v>132</v>
      </c>
      <c r="B28" s="190">
        <v>1301919596.3699999</v>
      </c>
      <c r="C28" s="190">
        <v>1269148988</v>
      </c>
      <c r="D28" s="190">
        <v>1234481269.04</v>
      </c>
      <c r="E28" s="190">
        <v>1248305165.77</v>
      </c>
      <c r="F28" s="190">
        <v>1061726008.58</v>
      </c>
      <c r="G28" s="190">
        <v>1064113732.98</v>
      </c>
      <c r="H28" s="190">
        <v>633525954.75</v>
      </c>
      <c r="I28" s="190">
        <v>642218388.03999996</v>
      </c>
      <c r="J28" s="190">
        <v>599756051</v>
      </c>
      <c r="K28" s="190">
        <v>605561652.10000002</v>
      </c>
      <c r="L28" s="190">
        <v>608477288.03999996</v>
      </c>
      <c r="M28" s="190">
        <v>606326361.63</v>
      </c>
      <c r="N28" s="190">
        <v>607620837.15999997</v>
      </c>
      <c r="O28" s="190">
        <v>613881162.87</v>
      </c>
      <c r="P28" s="190">
        <v>622770621.50999999</v>
      </c>
      <c r="Q28" s="190">
        <v>640883489.86000001</v>
      </c>
      <c r="R28" s="190">
        <v>595545648.72000003</v>
      </c>
      <c r="S28" s="190">
        <v>560943940.37</v>
      </c>
      <c r="T28" s="190">
        <v>558313836.53999996</v>
      </c>
      <c r="U28" s="190">
        <v>563140520.10000002</v>
      </c>
      <c r="V28" s="190">
        <v>155040645.06999999</v>
      </c>
      <c r="W28" s="190">
        <v>152092394.34</v>
      </c>
      <c r="X28" s="190">
        <v>153225242.34</v>
      </c>
      <c r="Y28" s="190">
        <v>155750686.28</v>
      </c>
      <c r="Z28" s="190">
        <v>157822486.34999999</v>
      </c>
      <c r="AA28" s="190">
        <v>159192934.78999999</v>
      </c>
      <c r="AB28" s="190">
        <v>142127465.71000001</v>
      </c>
      <c r="AC28" s="190">
        <v>144440325.25999999</v>
      </c>
      <c r="AD28" s="190">
        <v>141016077.09</v>
      </c>
      <c r="AE28" s="190">
        <v>128555220.92</v>
      </c>
      <c r="AF28" s="190">
        <v>113977536.81</v>
      </c>
      <c r="AG28" s="190">
        <v>113277935.79000001</v>
      </c>
      <c r="AH28" s="190">
        <v>98512190.590000004</v>
      </c>
      <c r="AI28" s="190">
        <v>85711795.209999993</v>
      </c>
      <c r="AJ28" s="190">
        <v>84469545.5</v>
      </c>
      <c r="AK28" s="190">
        <v>86081435.269999996</v>
      </c>
      <c r="AL28" s="190">
        <v>85469569.709999993</v>
      </c>
      <c r="AM28" s="190">
        <v>86426187.390000001</v>
      </c>
      <c r="AN28" s="190">
        <v>87582703.409999996</v>
      </c>
      <c r="AO28" s="190">
        <v>88987970.689999998</v>
      </c>
      <c r="AP28" s="190">
        <v>62065196.060000002</v>
      </c>
      <c r="AQ28" s="190">
        <v>58883284.630000003</v>
      </c>
      <c r="AR28" s="190">
        <v>38938869.600000001</v>
      </c>
      <c r="AS28" s="190">
        <v>38801012.880000003</v>
      </c>
      <c r="AT28" s="190">
        <v>41774762.289999999</v>
      </c>
      <c r="AU28" s="190">
        <v>45910122.579999998</v>
      </c>
      <c r="AV28" s="190">
        <v>0</v>
      </c>
    </row>
    <row r="29" spans="1:48" x14ac:dyDescent="0.25">
      <c r="A29" s="190" t="s">
        <v>133</v>
      </c>
      <c r="B29" s="190">
        <v>134426331.91</v>
      </c>
      <c r="C29" s="190">
        <v>67137899.760000005</v>
      </c>
      <c r="D29" s="190">
        <v>63701408.350000001</v>
      </c>
      <c r="E29" s="190">
        <v>58779225.409999996</v>
      </c>
      <c r="F29" s="190">
        <v>6654807.5099999998</v>
      </c>
      <c r="G29" s="190">
        <v>2300841.25</v>
      </c>
      <c r="H29" s="190">
        <v>349610349.12</v>
      </c>
      <c r="I29" s="190">
        <v>338124698.63</v>
      </c>
      <c r="J29" s="190">
        <v>374460897.70999998</v>
      </c>
      <c r="K29" s="190">
        <v>311106460.39999998</v>
      </c>
      <c r="L29" s="190">
        <v>210582797.52000001</v>
      </c>
      <c r="M29" s="190">
        <v>166606607.16</v>
      </c>
      <c r="N29" s="190">
        <v>110408431.33</v>
      </c>
      <c r="O29" s="190">
        <v>94691447.430000007</v>
      </c>
      <c r="P29" s="190">
        <v>62808427.719999999</v>
      </c>
      <c r="Q29" s="190">
        <v>56400107.479999997</v>
      </c>
      <c r="R29" s="190">
        <v>33979234.090000004</v>
      </c>
      <c r="S29" s="190">
        <v>19801898.16</v>
      </c>
      <c r="T29" s="190">
        <v>3808193.38</v>
      </c>
      <c r="U29" s="190">
        <v>4673494.53</v>
      </c>
      <c r="V29" s="190">
        <v>328636316.74000001</v>
      </c>
      <c r="W29" s="190">
        <v>287144500.30000001</v>
      </c>
      <c r="X29" s="190">
        <v>306902094.58999997</v>
      </c>
      <c r="Y29" s="190">
        <v>266499131.59999999</v>
      </c>
      <c r="Z29" s="190">
        <v>154156200.84</v>
      </c>
      <c r="AA29" s="190">
        <v>129242901.04000001</v>
      </c>
      <c r="AB29" s="190">
        <v>108092561.14</v>
      </c>
      <c r="AC29" s="190">
        <v>123722201.91</v>
      </c>
      <c r="AD29" s="190">
        <v>63256738.640000001</v>
      </c>
      <c r="AE29" s="190">
        <v>44234090.640000001</v>
      </c>
      <c r="AF29" s="190">
        <v>19726454.640000001</v>
      </c>
      <c r="AG29" s="190">
        <v>16372584.640000001</v>
      </c>
      <c r="AH29" s="190">
        <v>2915152.41</v>
      </c>
      <c r="AI29" s="190">
        <v>9899980.4499999993</v>
      </c>
      <c r="AJ29" s="190">
        <v>8741524.8699999992</v>
      </c>
      <c r="AK29" s="190">
        <v>8735183</v>
      </c>
      <c r="AL29" s="190">
        <v>0</v>
      </c>
      <c r="AM29" s="190">
        <v>0</v>
      </c>
      <c r="AN29" s="190">
        <v>0</v>
      </c>
      <c r="AO29" s="190">
        <v>0</v>
      </c>
      <c r="AP29" s="190">
        <v>0</v>
      </c>
      <c r="AQ29" s="190">
        <v>0</v>
      </c>
      <c r="AR29" s="190">
        <v>17292590.170000002</v>
      </c>
      <c r="AS29" s="190">
        <v>17045636.16</v>
      </c>
      <c r="AT29" s="190">
        <v>0</v>
      </c>
      <c r="AU29" s="190">
        <v>0</v>
      </c>
      <c r="AV29" s="190">
        <v>0</v>
      </c>
    </row>
    <row r="30" spans="1:48"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row>
    <row r="31" spans="1:48"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row>
    <row r="32" spans="1:48"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row>
    <row r="33" spans="1:48"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row>
    <row r="34" spans="1:48"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row>
    <row r="35" spans="1:48" x14ac:dyDescent="0.25">
      <c r="A35" s="190" t="s">
        <v>139</v>
      </c>
      <c r="B35" s="190">
        <v>293554853.38999999</v>
      </c>
      <c r="C35" s="190">
        <v>248859705.63</v>
      </c>
      <c r="D35" s="190">
        <v>249201353.87</v>
      </c>
      <c r="E35" s="190">
        <v>253357254.66</v>
      </c>
      <c r="F35" s="190">
        <v>233657397.65000001</v>
      </c>
      <c r="G35" s="190">
        <v>239312499.08000001</v>
      </c>
      <c r="H35" s="190">
        <v>116199373.81999999</v>
      </c>
      <c r="I35" s="190">
        <v>120174360.59</v>
      </c>
      <c r="J35" s="190">
        <v>127451065.95999999</v>
      </c>
      <c r="K35" s="190">
        <v>117471325.83</v>
      </c>
      <c r="L35" s="190">
        <v>120197403.88</v>
      </c>
      <c r="M35" s="190">
        <v>121278971.15000001</v>
      </c>
      <c r="N35" s="190">
        <v>115067436.18000001</v>
      </c>
      <c r="O35" s="190">
        <v>30462133.059999999</v>
      </c>
      <c r="P35" s="190">
        <v>31046618.879999999</v>
      </c>
      <c r="Q35" s="190">
        <v>31966084.18</v>
      </c>
      <c r="R35" s="190">
        <v>33093974.449999999</v>
      </c>
      <c r="S35" s="190">
        <v>34560821.390000001</v>
      </c>
      <c r="T35" s="190">
        <v>35843182.710000001</v>
      </c>
      <c r="U35" s="190">
        <v>33724863.359999999</v>
      </c>
      <c r="V35" s="190">
        <v>34815232.490000002</v>
      </c>
      <c r="W35" s="190">
        <v>36096320.219999999</v>
      </c>
      <c r="X35" s="190">
        <v>36855790.079999998</v>
      </c>
      <c r="Y35" s="190">
        <v>38116020.82</v>
      </c>
      <c r="Z35" s="190">
        <v>39489876.259999998</v>
      </c>
      <c r="AA35" s="190">
        <v>40486736.740000002</v>
      </c>
      <c r="AB35" s="190">
        <v>33839382.57</v>
      </c>
      <c r="AC35" s="190">
        <v>35171642.670000002</v>
      </c>
      <c r="AD35" s="190">
        <v>36513404.369999997</v>
      </c>
      <c r="AE35" s="190">
        <v>36883951.649999999</v>
      </c>
      <c r="AF35" s="190">
        <v>33026540.379999999</v>
      </c>
      <c r="AG35" s="190">
        <v>34139008.359999999</v>
      </c>
      <c r="AH35" s="190">
        <v>35061214.710000001</v>
      </c>
      <c r="AI35" s="190">
        <v>35959671.920000002</v>
      </c>
      <c r="AJ35" s="190">
        <v>37023752.270000003</v>
      </c>
      <c r="AK35" s="190">
        <v>38070204.380000003</v>
      </c>
      <c r="AL35" s="190">
        <v>28304022.940000001</v>
      </c>
      <c r="AM35" s="190">
        <v>28902184.440000001</v>
      </c>
      <c r="AN35" s="190">
        <v>29391274.440000001</v>
      </c>
      <c r="AO35" s="190">
        <v>30027173.609999999</v>
      </c>
      <c r="AP35" s="190">
        <v>4039552.35</v>
      </c>
      <c r="AQ35" s="190">
        <v>4066048.77</v>
      </c>
      <c r="AR35" s="190">
        <v>4048063.33</v>
      </c>
      <c r="AS35" s="190">
        <v>3795805.04</v>
      </c>
      <c r="AT35" s="190">
        <v>3847622.92</v>
      </c>
      <c r="AU35" s="190">
        <v>3865013.58</v>
      </c>
      <c r="AV35" s="190">
        <v>0</v>
      </c>
    </row>
    <row r="36" spans="1:48"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9455599.9600000009</v>
      </c>
      <c r="AM36" s="190">
        <v>8319883.9400000004</v>
      </c>
      <c r="AN36" s="190">
        <v>7490147.8899999997</v>
      </c>
      <c r="AO36" s="190">
        <v>6568710.5</v>
      </c>
      <c r="AP36" s="190">
        <v>5850128.3300000001</v>
      </c>
      <c r="AQ36" s="190">
        <v>5138817.7300000004</v>
      </c>
      <c r="AR36" s="190">
        <v>4171900.51</v>
      </c>
      <c r="AS36" s="190">
        <v>3595624.17</v>
      </c>
      <c r="AT36" s="190">
        <v>0</v>
      </c>
      <c r="AU36" s="190">
        <v>0</v>
      </c>
      <c r="AV36" s="190">
        <v>0</v>
      </c>
    </row>
    <row r="37" spans="1:48" x14ac:dyDescent="0.25">
      <c r="A37" s="190" t="s">
        <v>141</v>
      </c>
      <c r="B37" s="190">
        <v>96540278.379999995</v>
      </c>
      <c r="C37" s="190">
        <v>96540278.379999995</v>
      </c>
      <c r="D37" s="190">
        <v>96540278.379999995</v>
      </c>
      <c r="E37" s="190">
        <v>71083281.090000004</v>
      </c>
      <c r="F37" s="190">
        <v>71083281.090000004</v>
      </c>
      <c r="G37" s="190">
        <v>71083281.090000004</v>
      </c>
      <c r="H37" s="190">
        <v>71083281.090000004</v>
      </c>
      <c r="I37" s="190">
        <v>71083281.090000004</v>
      </c>
      <c r="J37" s="190">
        <v>71083281.090000004</v>
      </c>
      <c r="K37" s="190">
        <v>71083281.090000004</v>
      </c>
      <c r="L37" s="190">
        <v>71083281.090000004</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row>
    <row r="38" spans="1:48" x14ac:dyDescent="0.25">
      <c r="A38" s="190" t="s">
        <v>142</v>
      </c>
      <c r="B38" s="190">
        <v>34163106.289999999</v>
      </c>
      <c r="C38" s="190">
        <v>27653672.809999999</v>
      </c>
      <c r="D38" s="190">
        <v>0</v>
      </c>
      <c r="E38" s="190">
        <v>0</v>
      </c>
      <c r="F38" s="190">
        <v>0</v>
      </c>
      <c r="G38" s="190">
        <v>0</v>
      </c>
      <c r="H38" s="190">
        <v>0</v>
      </c>
      <c r="I38" s="190">
        <v>0</v>
      </c>
      <c r="J38" s="190">
        <v>61981.56</v>
      </c>
      <c r="K38" s="190">
        <v>247926.51</v>
      </c>
      <c r="L38" s="190">
        <v>455134.84</v>
      </c>
      <c r="M38" s="190">
        <v>619816.41</v>
      </c>
      <c r="N38" s="190">
        <v>805761.36</v>
      </c>
      <c r="O38" s="190">
        <v>991706.31</v>
      </c>
      <c r="P38" s="190">
        <v>1177651.26</v>
      </c>
      <c r="Q38" s="190">
        <v>1363596.21</v>
      </c>
      <c r="R38" s="190">
        <v>1549541.16</v>
      </c>
      <c r="S38" s="190">
        <v>1735486.11</v>
      </c>
      <c r="T38" s="190">
        <v>1921431.06</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row>
    <row r="39" spans="1:48" x14ac:dyDescent="0.25">
      <c r="A39" s="190" t="s">
        <v>143</v>
      </c>
      <c r="B39" s="190">
        <v>335482309.11000001</v>
      </c>
      <c r="C39" s="190">
        <v>340756450.51999998</v>
      </c>
      <c r="D39" s="190">
        <v>283721459.98000002</v>
      </c>
      <c r="E39" s="190">
        <v>251453971.05000001</v>
      </c>
      <c r="F39" s="190">
        <v>248104832.47999999</v>
      </c>
      <c r="G39" s="190">
        <v>201978605.33000001</v>
      </c>
      <c r="H39" s="190">
        <v>194626406.31999999</v>
      </c>
      <c r="I39" s="190">
        <v>179123558.44999999</v>
      </c>
      <c r="J39" s="190">
        <v>157089550.56999999</v>
      </c>
      <c r="K39" s="190">
        <v>135555876.13</v>
      </c>
      <c r="L39" s="190">
        <v>132133459.06999999</v>
      </c>
      <c r="M39" s="190">
        <v>156027265.37</v>
      </c>
      <c r="N39" s="190">
        <v>108399468.2</v>
      </c>
      <c r="O39" s="190">
        <v>103425928.37</v>
      </c>
      <c r="P39" s="190">
        <v>84380827.469999999</v>
      </c>
      <c r="Q39" s="190">
        <v>76707609.709999993</v>
      </c>
      <c r="R39" s="190">
        <v>71522181.709999993</v>
      </c>
      <c r="S39" s="190">
        <v>64765346.189999998</v>
      </c>
      <c r="T39" s="190">
        <v>63489392.82</v>
      </c>
      <c r="U39" s="190">
        <v>91257672.25</v>
      </c>
      <c r="V39" s="190">
        <v>25871364.239999998</v>
      </c>
      <c r="W39" s="190">
        <v>22903132.120000001</v>
      </c>
      <c r="X39" s="190">
        <v>16394698.800000001</v>
      </c>
      <c r="Y39" s="190">
        <v>17604108.539999999</v>
      </c>
      <c r="Z39" s="190">
        <v>14741067.01</v>
      </c>
      <c r="AA39" s="190">
        <v>12382981.869999999</v>
      </c>
      <c r="AB39" s="190">
        <v>10769181.16</v>
      </c>
      <c r="AC39" s="190">
        <v>9718634.8699999992</v>
      </c>
      <c r="AD39" s="190">
        <v>9680153.6899999995</v>
      </c>
      <c r="AE39" s="190">
        <v>8708026.9700000007</v>
      </c>
      <c r="AF39" s="190">
        <v>6514769.1399999997</v>
      </c>
      <c r="AG39" s="190">
        <v>5856067.7199999997</v>
      </c>
      <c r="AH39" s="190">
        <v>6058935.3799999999</v>
      </c>
      <c r="AI39" s="190">
        <v>4506761.3600000003</v>
      </c>
      <c r="AJ39" s="190">
        <v>3778639.15</v>
      </c>
      <c r="AK39" s="190">
        <v>3354926.41</v>
      </c>
      <c r="AL39" s="190">
        <v>2792673.46</v>
      </c>
      <c r="AM39" s="190">
        <v>2239659.13</v>
      </c>
      <c r="AN39" s="190">
        <v>2048590.69</v>
      </c>
      <c r="AO39" s="190">
        <v>1938003.1</v>
      </c>
      <c r="AP39" s="190">
        <v>1291483.83</v>
      </c>
      <c r="AQ39" s="190">
        <v>1291483.83</v>
      </c>
      <c r="AR39" s="190">
        <v>1291485.83</v>
      </c>
      <c r="AS39" s="190">
        <v>1291483.83</v>
      </c>
      <c r="AT39" s="190">
        <v>890541</v>
      </c>
      <c r="AU39" s="190">
        <v>308293.36</v>
      </c>
      <c r="AV39" s="190">
        <v>0</v>
      </c>
    </row>
    <row r="40" spans="1:48" x14ac:dyDescent="0.25">
      <c r="A40" s="190" t="s">
        <v>144</v>
      </c>
      <c r="B40" s="190">
        <v>188658810.37</v>
      </c>
      <c r="C40" s="190">
        <v>205005637.90000001</v>
      </c>
      <c r="D40" s="190">
        <v>121909600.37</v>
      </c>
      <c r="E40" s="190">
        <v>92944735.829999998</v>
      </c>
      <c r="F40" s="190">
        <v>204269255.68000001</v>
      </c>
      <c r="G40" s="190">
        <v>194598416.78999999</v>
      </c>
      <c r="H40" s="190">
        <v>279718505.57999998</v>
      </c>
      <c r="I40" s="190">
        <v>253811968.69999999</v>
      </c>
      <c r="J40" s="190">
        <v>185978760.03</v>
      </c>
      <c r="K40" s="190">
        <v>174245376.86000001</v>
      </c>
      <c r="L40" s="190">
        <v>168852319.80000001</v>
      </c>
      <c r="M40" s="190">
        <v>98950904.469999999</v>
      </c>
      <c r="N40" s="190">
        <v>85706125.209999993</v>
      </c>
      <c r="O40" s="190">
        <v>85601198.049999997</v>
      </c>
      <c r="P40" s="190">
        <v>95645793.340000004</v>
      </c>
      <c r="Q40" s="190">
        <v>9417450.6899999995</v>
      </c>
      <c r="R40" s="190">
        <v>12143172.029999999</v>
      </c>
      <c r="S40" s="190">
        <v>21723010.190000001</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row>
    <row r="41" spans="1:48" x14ac:dyDescent="0.25">
      <c r="A41" s="190" t="s">
        <v>145</v>
      </c>
      <c r="B41" s="190">
        <v>4351840652.3999996</v>
      </c>
      <c r="C41" s="190">
        <v>4205096458.9200001</v>
      </c>
      <c r="D41" s="190">
        <v>3819603627.4899998</v>
      </c>
      <c r="E41" s="190">
        <v>3777164026.3099999</v>
      </c>
      <c r="F41" s="190">
        <v>2929372421.0599999</v>
      </c>
      <c r="G41" s="190">
        <v>2867601256.6999998</v>
      </c>
      <c r="H41" s="190">
        <v>2662908066.8499999</v>
      </c>
      <c r="I41" s="190">
        <v>2381128529.1700001</v>
      </c>
      <c r="J41" s="190">
        <v>1972364610.1300001</v>
      </c>
      <c r="K41" s="190">
        <v>1872251991.4400001</v>
      </c>
      <c r="L41" s="190">
        <v>1663965427.72</v>
      </c>
      <c r="M41" s="190">
        <v>1527282642.25</v>
      </c>
      <c r="N41" s="190">
        <v>1365798771.3</v>
      </c>
      <c r="O41" s="190">
        <v>1275836189.01</v>
      </c>
      <c r="P41" s="190">
        <v>1245918980.8099999</v>
      </c>
      <c r="Q41" s="190">
        <v>1227428885.27</v>
      </c>
      <c r="R41" s="190">
        <v>960875994.70000005</v>
      </c>
      <c r="S41" s="190">
        <v>903770249.20000005</v>
      </c>
      <c r="T41" s="190">
        <v>868751993.70000005</v>
      </c>
      <c r="U41" s="190">
        <v>852868225.57000005</v>
      </c>
      <c r="V41" s="190">
        <v>729112941.21000004</v>
      </c>
      <c r="W41" s="190">
        <v>691741943.66999996</v>
      </c>
      <c r="X41" s="190">
        <v>709883314.5</v>
      </c>
      <c r="Y41" s="190">
        <v>676964992.89999998</v>
      </c>
      <c r="Z41" s="190">
        <v>451082821.42000002</v>
      </c>
      <c r="AA41" s="190">
        <v>429458828.76999998</v>
      </c>
      <c r="AB41" s="190">
        <v>384667688.93000001</v>
      </c>
      <c r="AC41" s="190">
        <v>402427239.94</v>
      </c>
      <c r="AD41" s="190">
        <v>321252009.73000002</v>
      </c>
      <c r="AE41" s="190">
        <v>296454889.19</v>
      </c>
      <c r="AF41" s="190">
        <v>239368765.31999999</v>
      </c>
      <c r="AG41" s="190">
        <v>235369060.86000001</v>
      </c>
      <c r="AH41" s="190">
        <v>152947493.09</v>
      </c>
      <c r="AI41" s="190">
        <v>146478208.94</v>
      </c>
      <c r="AJ41" s="190">
        <v>144013461.78999999</v>
      </c>
      <c r="AK41" s="190">
        <v>146241749.06</v>
      </c>
      <c r="AL41" s="190">
        <v>126021866.06999999</v>
      </c>
      <c r="AM41" s="190">
        <v>125887914.90000001</v>
      </c>
      <c r="AN41" s="190">
        <v>126512716.43000001</v>
      </c>
      <c r="AO41" s="190">
        <v>127521857.90000001</v>
      </c>
      <c r="AP41" s="190">
        <v>73246360.569999993</v>
      </c>
      <c r="AQ41" s="190">
        <v>69379634.959999993</v>
      </c>
      <c r="AR41" s="190">
        <v>65742909.439999998</v>
      </c>
      <c r="AS41" s="190">
        <v>64529562.079999998</v>
      </c>
      <c r="AT41" s="190">
        <v>46812926.210000001</v>
      </c>
      <c r="AU41" s="190">
        <v>50083429.520000003</v>
      </c>
      <c r="AV41" s="190">
        <v>0</v>
      </c>
    </row>
    <row r="42" spans="1:48" x14ac:dyDescent="0.25">
      <c r="A42" s="190" t="s">
        <v>146</v>
      </c>
      <c r="B42" s="190">
        <v>23415201556.889999</v>
      </c>
      <c r="C42" s="190">
        <v>22227058009.68</v>
      </c>
      <c r="D42" s="190">
        <v>20881982026.119999</v>
      </c>
      <c r="E42" s="190">
        <v>21333478563.970001</v>
      </c>
      <c r="F42" s="190">
        <v>18888788868.369999</v>
      </c>
      <c r="G42" s="190">
        <v>16997986152.209999</v>
      </c>
      <c r="H42" s="190">
        <v>14887202942.85</v>
      </c>
      <c r="I42" s="190">
        <v>15366397939.879999</v>
      </c>
      <c r="J42" s="190">
        <v>12932072032.98</v>
      </c>
      <c r="K42" s="190">
        <v>11883991054.700001</v>
      </c>
      <c r="L42" s="190">
        <v>11040597572.620001</v>
      </c>
      <c r="M42" s="190">
        <v>11503470826.65</v>
      </c>
      <c r="N42" s="190">
        <v>8893381742.0900002</v>
      </c>
      <c r="O42" s="190">
        <v>8410971322.5</v>
      </c>
      <c r="P42" s="190">
        <v>7513336328.5</v>
      </c>
      <c r="Q42" s="190">
        <v>7989966221.2299995</v>
      </c>
      <c r="R42" s="190">
        <v>6685469002.21</v>
      </c>
      <c r="S42" s="190">
        <v>6764167561.7299995</v>
      </c>
      <c r="T42" s="190">
        <v>6479879502.0100002</v>
      </c>
      <c r="U42" s="190">
        <v>6027517864.3400002</v>
      </c>
      <c r="V42" s="190">
        <v>4844411923.9300003</v>
      </c>
      <c r="W42" s="190">
        <v>4513245069.4200001</v>
      </c>
      <c r="X42" s="190">
        <v>3358242841.1999998</v>
      </c>
      <c r="Y42" s="190">
        <v>3397431128.6700001</v>
      </c>
      <c r="Z42" s="190">
        <v>2892327659.98</v>
      </c>
      <c r="AA42" s="190">
        <v>2595719410.0999999</v>
      </c>
      <c r="AB42" s="190">
        <v>2265711348.6599998</v>
      </c>
      <c r="AC42" s="190">
        <v>2269092935.7199998</v>
      </c>
      <c r="AD42" s="190">
        <v>1895906997.0899999</v>
      </c>
      <c r="AE42" s="190">
        <v>1894849695.1900001</v>
      </c>
      <c r="AF42" s="190">
        <v>1754188271.24</v>
      </c>
      <c r="AG42" s="190">
        <v>1777587200.25</v>
      </c>
      <c r="AH42" s="190">
        <v>1584292599.9300001</v>
      </c>
      <c r="AI42" s="190">
        <v>1380874681.1199999</v>
      </c>
      <c r="AJ42" s="190">
        <v>1225804655.4400001</v>
      </c>
      <c r="AK42" s="190">
        <v>1160158277.98</v>
      </c>
      <c r="AL42" s="190">
        <v>1009282362.71</v>
      </c>
      <c r="AM42" s="190">
        <v>907125041.49000001</v>
      </c>
      <c r="AN42" s="190">
        <v>870090357.07000005</v>
      </c>
      <c r="AO42" s="190">
        <v>864793024.65999997</v>
      </c>
      <c r="AP42" s="190">
        <v>839262635.75999999</v>
      </c>
      <c r="AQ42" s="190">
        <v>807085430.44000006</v>
      </c>
      <c r="AR42" s="190">
        <v>386143428.06999999</v>
      </c>
      <c r="AS42" s="190">
        <v>379279218.70999998</v>
      </c>
      <c r="AT42" s="190">
        <v>298966854.94999999</v>
      </c>
      <c r="AU42" s="190">
        <v>307367131.47000003</v>
      </c>
      <c r="AV42" s="190">
        <v>0</v>
      </c>
    </row>
    <row r="43" spans="1:48" x14ac:dyDescent="0.25">
      <c r="A43" s="190" t="s">
        <v>147</v>
      </c>
    </row>
    <row r="44" spans="1:48" x14ac:dyDescent="0.25">
      <c r="A44" s="190" t="s">
        <v>148</v>
      </c>
      <c r="B44" s="190">
        <v>2796729838.96</v>
      </c>
      <c r="C44" s="190">
        <v>2541402275.54</v>
      </c>
      <c r="D44" s="190">
        <v>2396379577.1100001</v>
      </c>
      <c r="E44" s="190">
        <v>1770924255.9000001</v>
      </c>
      <c r="F44" s="190">
        <v>2312969872.5700002</v>
      </c>
      <c r="G44" s="190">
        <v>2096105129.96</v>
      </c>
      <c r="H44" s="190">
        <v>1745598545.3199999</v>
      </c>
      <c r="I44" s="190">
        <v>956929693.85000002</v>
      </c>
      <c r="J44" s="190">
        <v>951544876.38</v>
      </c>
      <c r="K44" s="190">
        <v>882585878.34000003</v>
      </c>
      <c r="L44" s="190">
        <v>752981840</v>
      </c>
      <c r="M44" s="190">
        <v>500000000</v>
      </c>
      <c r="N44" s="190">
        <v>195419500</v>
      </c>
      <c r="O44" s="190">
        <v>122272000</v>
      </c>
      <c r="P44" s="190">
        <v>61370000</v>
      </c>
      <c r="Q44" s="190">
        <v>0</v>
      </c>
      <c r="R44" s="190">
        <v>100365745.61</v>
      </c>
      <c r="S44" s="190">
        <v>241628595.71000001</v>
      </c>
      <c r="T44" s="190">
        <v>197951491.78</v>
      </c>
      <c r="U44" s="190">
        <v>42678300</v>
      </c>
      <c r="V44" s="190">
        <v>43036000</v>
      </c>
      <c r="W44" s="190">
        <v>104642683.23</v>
      </c>
      <c r="X44" s="190">
        <v>215926634.09999999</v>
      </c>
      <c r="Y44" s="190">
        <v>216009100.24000001</v>
      </c>
      <c r="Z44" s="190">
        <v>239639830.50999999</v>
      </c>
      <c r="AA44" s="190">
        <v>184379886.47999999</v>
      </c>
      <c r="AB44" s="190">
        <v>46738183.659999996</v>
      </c>
      <c r="AC44" s="190">
        <v>37805400</v>
      </c>
      <c r="AD44" s="190">
        <v>89181718.239999995</v>
      </c>
      <c r="AE44" s="190">
        <v>115194349.59999999</v>
      </c>
      <c r="AF44" s="190">
        <v>136687488.69</v>
      </c>
      <c r="AG44" s="190">
        <v>147176702.66999999</v>
      </c>
      <c r="AH44" s="190">
        <v>139418856.71000001</v>
      </c>
      <c r="AI44" s="190">
        <v>120517437.26000001</v>
      </c>
      <c r="AJ44" s="190">
        <v>107276623.67</v>
      </c>
      <c r="AK44" s="190">
        <v>65028175.810000002</v>
      </c>
      <c r="AL44" s="190">
        <v>20647294.59</v>
      </c>
      <c r="AM44" s="190">
        <v>13665000</v>
      </c>
      <c r="AN44" s="190">
        <v>0</v>
      </c>
      <c r="AO44" s="190">
        <v>0</v>
      </c>
      <c r="AP44" s="190">
        <v>6825000</v>
      </c>
      <c r="AQ44" s="190">
        <v>6857000</v>
      </c>
      <c r="AR44" s="190">
        <v>7599500</v>
      </c>
      <c r="AS44" s="190">
        <v>12304600</v>
      </c>
      <c r="AT44" s="190">
        <v>25000000</v>
      </c>
      <c r="AU44" s="190">
        <v>30000000</v>
      </c>
      <c r="AV44" s="190">
        <v>0</v>
      </c>
    </row>
    <row r="45" spans="1:48" x14ac:dyDescent="0.25">
      <c r="A45" s="190" t="s">
        <v>149</v>
      </c>
      <c r="B45" s="190">
        <v>127311287.23999999</v>
      </c>
      <c r="C45" s="190">
        <v>103782765.27</v>
      </c>
      <c r="D45" s="190">
        <v>62450000</v>
      </c>
      <c r="E45" s="190">
        <v>62450000</v>
      </c>
      <c r="F45" s="190">
        <v>62450000</v>
      </c>
      <c r="G45" s="190">
        <v>62450000</v>
      </c>
      <c r="H45" s="190">
        <v>62450000</v>
      </c>
      <c r="I45" s="190">
        <v>62450000</v>
      </c>
      <c r="J45" s="190">
        <v>0</v>
      </c>
      <c r="K45" s="190">
        <v>0</v>
      </c>
      <c r="L45" s="190">
        <v>2190496</v>
      </c>
      <c r="M45" s="190">
        <v>2851456</v>
      </c>
      <c r="N45" s="190">
        <v>0</v>
      </c>
      <c r="O45" s="190">
        <v>0</v>
      </c>
      <c r="P45" s="190">
        <v>0</v>
      </c>
      <c r="Q45" s="190">
        <v>0</v>
      </c>
      <c r="R45" s="190">
        <v>0</v>
      </c>
      <c r="S45" s="190">
        <v>0</v>
      </c>
      <c r="T45" s="190">
        <v>0</v>
      </c>
      <c r="U45" s="190">
        <v>0</v>
      </c>
      <c r="V45" s="190">
        <v>0</v>
      </c>
      <c r="W45" s="190">
        <v>1502864.25</v>
      </c>
      <c r="X45" s="190">
        <v>394753.9</v>
      </c>
      <c r="Y45" s="190">
        <v>2490696.13</v>
      </c>
      <c r="Z45" s="190">
        <v>800678.15</v>
      </c>
      <c r="AA45" s="190">
        <v>0</v>
      </c>
      <c r="AB45" s="190">
        <v>147400</v>
      </c>
      <c r="AC45" s="190">
        <v>655560.01</v>
      </c>
      <c r="AD45" s="190">
        <v>1920012.75</v>
      </c>
      <c r="AE45" s="190">
        <v>1968494.48</v>
      </c>
      <c r="AF45" s="190">
        <v>535861.81999999995</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row>
    <row r="46" spans="1:48" x14ac:dyDescent="0.25">
      <c r="A46" s="190" t="s">
        <v>150</v>
      </c>
      <c r="B46" s="190">
        <v>0</v>
      </c>
      <c r="C46" s="190">
        <v>3556883216.2800002</v>
      </c>
      <c r="D46" s="190">
        <v>3272046852.96</v>
      </c>
      <c r="E46" s="190">
        <v>3434822334.46</v>
      </c>
      <c r="F46" s="190">
        <v>2898758306.71</v>
      </c>
      <c r="G46" s="190">
        <v>1686475604.4000001</v>
      </c>
      <c r="H46" s="190">
        <v>1105784557.98</v>
      </c>
      <c r="I46" s="190">
        <v>2145663389.3599999</v>
      </c>
      <c r="J46" s="190">
        <v>1483518619.5799999</v>
      </c>
      <c r="K46" s="190">
        <v>1159754290.6300001</v>
      </c>
      <c r="L46" s="190">
        <v>917851879.12</v>
      </c>
      <c r="M46" s="190">
        <v>1291889154.54</v>
      </c>
      <c r="N46" s="190">
        <v>722983431.32000005</v>
      </c>
      <c r="O46" s="190">
        <v>786941519.79999995</v>
      </c>
      <c r="P46" s="190">
        <v>547050300.52999997</v>
      </c>
      <c r="Q46" s="190">
        <v>491049502.87</v>
      </c>
      <c r="R46" s="190">
        <v>130958115.55</v>
      </c>
      <c r="S46" s="190">
        <v>454908928.56</v>
      </c>
      <c r="T46" s="190">
        <v>336295587.70999998</v>
      </c>
      <c r="U46" s="190">
        <v>185896903.75</v>
      </c>
      <c r="V46" s="190">
        <v>207250506.66</v>
      </c>
      <c r="W46" s="190">
        <v>208316950.84999999</v>
      </c>
      <c r="X46" s="190">
        <v>129845561.68000001</v>
      </c>
      <c r="Y46" s="190">
        <v>208277491.91</v>
      </c>
      <c r="Z46" s="190">
        <v>112677493.13</v>
      </c>
      <c r="AA46" s="190">
        <v>30745360.670000002</v>
      </c>
      <c r="AB46" s="190">
        <v>0</v>
      </c>
      <c r="AC46" s="190">
        <v>0</v>
      </c>
      <c r="AD46" s="190">
        <v>0</v>
      </c>
      <c r="AE46" s="190">
        <v>0</v>
      </c>
      <c r="AF46" s="190">
        <v>0</v>
      </c>
      <c r="AG46" s="190">
        <v>9984532</v>
      </c>
      <c r="AH46" s="190">
        <v>0</v>
      </c>
      <c r="AI46" s="190">
        <v>0</v>
      </c>
      <c r="AJ46" s="190">
        <v>0</v>
      </c>
      <c r="AK46" s="190">
        <v>0</v>
      </c>
      <c r="AL46" s="190">
        <v>0</v>
      </c>
      <c r="AM46" s="190">
        <v>0</v>
      </c>
      <c r="AN46" s="190">
        <v>0</v>
      </c>
      <c r="AO46" s="190">
        <v>0</v>
      </c>
      <c r="AP46" s="190">
        <v>0</v>
      </c>
      <c r="AQ46" s="190">
        <v>2292624</v>
      </c>
      <c r="AR46" s="190">
        <v>2959032.26</v>
      </c>
      <c r="AS46" s="190">
        <v>10243506.380000001</v>
      </c>
      <c r="AT46" s="190">
        <v>51647210.270000003</v>
      </c>
      <c r="AU46" s="190">
        <v>35509169.530000001</v>
      </c>
      <c r="AV46" s="190">
        <v>0</v>
      </c>
    </row>
    <row r="47" spans="1:48" x14ac:dyDescent="0.25">
      <c r="A47" s="190" t="s">
        <v>151</v>
      </c>
      <c r="B47" s="190">
        <v>0</v>
      </c>
      <c r="C47" s="190">
        <v>2671866224.3400002</v>
      </c>
      <c r="D47" s="190">
        <v>2079774656.76</v>
      </c>
      <c r="E47" s="190">
        <v>2701785054.5700002</v>
      </c>
      <c r="F47" s="190">
        <v>1889963129.3599999</v>
      </c>
      <c r="G47" s="190">
        <v>2037508159.6600001</v>
      </c>
      <c r="H47" s="190">
        <v>1516771744.53</v>
      </c>
      <c r="I47" s="190">
        <v>1942450124.6800001</v>
      </c>
      <c r="J47" s="190">
        <v>1549861058.5699999</v>
      </c>
      <c r="K47" s="190">
        <v>1441906305.79</v>
      </c>
      <c r="L47" s="190">
        <v>1274313493.1500001</v>
      </c>
      <c r="M47" s="190">
        <v>1670069856.52</v>
      </c>
      <c r="N47" s="190">
        <v>963309622.98000002</v>
      </c>
      <c r="O47" s="190">
        <v>986677611.94000006</v>
      </c>
      <c r="P47" s="190">
        <v>731151488.13999999</v>
      </c>
      <c r="Q47" s="190">
        <v>1088977334.3</v>
      </c>
      <c r="R47" s="190">
        <v>737070850.76999998</v>
      </c>
      <c r="S47" s="190">
        <v>662770398.47000003</v>
      </c>
      <c r="T47" s="190">
        <v>896334328.20000005</v>
      </c>
      <c r="U47" s="190">
        <v>1023882214.4</v>
      </c>
      <c r="V47" s="190">
        <v>536998613.24000001</v>
      </c>
      <c r="W47" s="190">
        <v>413616701.22000003</v>
      </c>
      <c r="X47" s="190">
        <v>422923475.43000001</v>
      </c>
      <c r="Y47" s="190">
        <v>378015589.76999998</v>
      </c>
      <c r="Z47" s="190">
        <v>364972053.48000002</v>
      </c>
      <c r="AA47" s="190">
        <v>440464948.56999999</v>
      </c>
      <c r="AB47" s="190">
        <v>365864672.88999999</v>
      </c>
      <c r="AC47" s="190">
        <v>425557995.16000003</v>
      </c>
      <c r="AD47" s="190">
        <v>293610109.07999998</v>
      </c>
      <c r="AE47" s="190">
        <v>348025037.42000002</v>
      </c>
      <c r="AF47" s="190">
        <v>210463208.19</v>
      </c>
      <c r="AG47" s="190">
        <v>222303874.53999999</v>
      </c>
      <c r="AH47" s="190">
        <v>241416703.90000001</v>
      </c>
      <c r="AI47" s="190">
        <v>232986965.97</v>
      </c>
      <c r="AJ47" s="190">
        <v>146130365.88999999</v>
      </c>
      <c r="AK47" s="190">
        <v>165017945.81</v>
      </c>
      <c r="AL47" s="190">
        <v>140374110.84</v>
      </c>
      <c r="AM47" s="190">
        <v>92208515.590000004</v>
      </c>
      <c r="AN47" s="190">
        <v>80893144.920000002</v>
      </c>
      <c r="AO47" s="190">
        <v>77327697.709999993</v>
      </c>
      <c r="AP47" s="190">
        <v>93439695.739999995</v>
      </c>
      <c r="AQ47" s="190">
        <v>89771624.280000001</v>
      </c>
      <c r="AR47" s="190">
        <v>85181934.489999995</v>
      </c>
      <c r="AS47" s="190">
        <v>72501463.680000007</v>
      </c>
      <c r="AT47" s="190">
        <v>23961278.32</v>
      </c>
      <c r="AU47" s="190">
        <v>65828207.770000003</v>
      </c>
      <c r="AV47" s="190">
        <v>0</v>
      </c>
    </row>
    <row r="48" spans="1:48" x14ac:dyDescent="0.25">
      <c r="A48" s="190" t="s">
        <v>152</v>
      </c>
      <c r="B48" s="190">
        <v>461813353.75</v>
      </c>
      <c r="C48" s="190">
        <v>335014892.23000002</v>
      </c>
      <c r="D48" s="190">
        <v>469933049.72000003</v>
      </c>
      <c r="E48" s="190">
        <v>461715422.38</v>
      </c>
      <c r="F48" s="190">
        <v>432688119.16000003</v>
      </c>
      <c r="G48" s="190">
        <v>411763255.26999998</v>
      </c>
      <c r="H48" s="190">
        <v>429458664.27999997</v>
      </c>
      <c r="I48" s="190">
        <v>331572337.06</v>
      </c>
      <c r="J48" s="190">
        <v>389604246.06999999</v>
      </c>
      <c r="K48" s="190">
        <v>295922254.05000001</v>
      </c>
      <c r="L48" s="190">
        <v>259322208.03999999</v>
      </c>
      <c r="M48" s="190">
        <v>193357680.78999999</v>
      </c>
      <c r="N48" s="190">
        <v>271189234.70999998</v>
      </c>
      <c r="O48" s="190">
        <v>246793422.75999999</v>
      </c>
      <c r="P48" s="190">
        <v>224725321.36000001</v>
      </c>
      <c r="Q48" s="190">
        <v>183482237.88999999</v>
      </c>
      <c r="R48" s="190">
        <v>210341519.31999999</v>
      </c>
      <c r="S48" s="190">
        <v>172586559.38999999</v>
      </c>
      <c r="T48" s="190">
        <v>182294762.75999999</v>
      </c>
      <c r="U48" s="190">
        <v>162543723.75</v>
      </c>
      <c r="V48" s="190">
        <v>194185628.50999999</v>
      </c>
      <c r="W48" s="190">
        <v>177954147.74000001</v>
      </c>
      <c r="X48" s="190">
        <v>203125230.15000001</v>
      </c>
      <c r="Y48" s="190">
        <v>184045035.84999999</v>
      </c>
      <c r="Z48" s="190">
        <v>194306881.69999999</v>
      </c>
      <c r="AA48" s="190">
        <v>186256975.72</v>
      </c>
      <c r="AB48" s="190">
        <v>218394980.59999999</v>
      </c>
      <c r="AC48" s="190">
        <v>171943604.81999999</v>
      </c>
      <c r="AD48" s="190">
        <v>112156520.77</v>
      </c>
      <c r="AE48" s="190">
        <v>112515013.62</v>
      </c>
      <c r="AF48" s="190">
        <v>131354351.06</v>
      </c>
      <c r="AG48" s="190">
        <v>106659722.75</v>
      </c>
      <c r="AH48" s="190">
        <v>114250125.48</v>
      </c>
      <c r="AI48" s="190">
        <v>96128176.299999997</v>
      </c>
      <c r="AJ48" s="190">
        <v>79103926.450000003</v>
      </c>
      <c r="AK48" s="190">
        <v>57605981.390000001</v>
      </c>
      <c r="AL48" s="190">
        <v>47948087.200000003</v>
      </c>
      <c r="AM48" s="190">
        <v>34453666.490000002</v>
      </c>
      <c r="AN48" s="190">
        <v>42338118.840000004</v>
      </c>
      <c r="AO48" s="190">
        <v>36057781.700000003</v>
      </c>
      <c r="AP48" s="190">
        <v>35914135.469999999</v>
      </c>
      <c r="AQ48" s="190">
        <v>36815582.609999999</v>
      </c>
      <c r="AR48" s="190">
        <v>43989243.140000001</v>
      </c>
      <c r="AS48" s="190">
        <v>29889159.510000002</v>
      </c>
      <c r="AT48" s="190">
        <v>20200873.449999999</v>
      </c>
      <c r="AU48" s="190">
        <v>21954402.559999999</v>
      </c>
      <c r="AV48" s="190">
        <v>0</v>
      </c>
    </row>
    <row r="49" spans="1:48"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row>
    <row r="50" spans="1:48" x14ac:dyDescent="0.25">
      <c r="A50" s="190" t="s">
        <v>154</v>
      </c>
      <c r="B50" s="190">
        <v>603163381.50999999</v>
      </c>
      <c r="C50" s="190">
        <v>343428173.69</v>
      </c>
      <c r="D50" s="190">
        <v>312472729.48000002</v>
      </c>
      <c r="E50" s="190">
        <v>851146379.97000003</v>
      </c>
      <c r="F50" s="190">
        <v>593198418.67999995</v>
      </c>
      <c r="G50" s="190">
        <v>464619293.81</v>
      </c>
      <c r="H50" s="190">
        <v>310637963.82999998</v>
      </c>
      <c r="I50" s="190">
        <v>598329602.09000003</v>
      </c>
      <c r="J50" s="190">
        <v>272795320.98000002</v>
      </c>
      <c r="K50" s="190">
        <v>158854235.34</v>
      </c>
      <c r="L50" s="190">
        <v>142736848.47</v>
      </c>
      <c r="M50" s="190">
        <v>401163660.20999998</v>
      </c>
      <c r="N50" s="190">
        <v>231082588.94999999</v>
      </c>
      <c r="O50" s="190">
        <v>140701132.61000001</v>
      </c>
      <c r="P50" s="190">
        <v>101166143.7</v>
      </c>
      <c r="Q50" s="190">
        <v>276225559.13</v>
      </c>
      <c r="R50" s="190">
        <v>92689068.659999996</v>
      </c>
      <c r="S50" s="190">
        <v>65083491.520000003</v>
      </c>
      <c r="T50" s="190">
        <v>73085530.379999995</v>
      </c>
      <c r="U50" s="190">
        <v>247077326.13</v>
      </c>
      <c r="V50" s="190">
        <v>92583566.5</v>
      </c>
      <c r="W50" s="190">
        <v>95635816.709999993</v>
      </c>
      <c r="X50" s="190">
        <v>48482421.700000003</v>
      </c>
      <c r="Y50" s="190">
        <v>159305491.72999999</v>
      </c>
      <c r="Z50" s="190">
        <v>90082356.810000002</v>
      </c>
      <c r="AA50" s="190">
        <v>44142663.240000002</v>
      </c>
      <c r="AB50" s="190">
        <v>31622011.039999999</v>
      </c>
      <c r="AC50" s="190">
        <v>80376723.950000003</v>
      </c>
      <c r="AD50" s="190">
        <v>22673453.039999999</v>
      </c>
      <c r="AE50" s="190">
        <v>22415718.190000001</v>
      </c>
      <c r="AF50" s="190">
        <v>21845003.100000001</v>
      </c>
      <c r="AG50" s="190">
        <v>69070711.200000003</v>
      </c>
      <c r="AH50" s="190">
        <v>51175158.880000003</v>
      </c>
      <c r="AI50" s="190">
        <v>58110268.719999999</v>
      </c>
      <c r="AJ50" s="190">
        <v>36178221.799999997</v>
      </c>
      <c r="AK50" s="190">
        <v>39019077.920000002</v>
      </c>
      <c r="AL50" s="190">
        <v>26247192.5</v>
      </c>
      <c r="AM50" s="190">
        <v>17743131.18</v>
      </c>
      <c r="AN50" s="190">
        <v>16328531.02</v>
      </c>
      <c r="AO50" s="190">
        <v>23726338.84</v>
      </c>
      <c r="AP50" s="190">
        <v>7835961.5199999996</v>
      </c>
      <c r="AQ50" s="190">
        <v>7600486.7000000002</v>
      </c>
      <c r="AR50" s="190">
        <v>3451131</v>
      </c>
      <c r="AS50" s="190">
        <v>14417167.9</v>
      </c>
      <c r="AT50" s="190">
        <v>5794563.2400000002</v>
      </c>
      <c r="AU50" s="190">
        <v>3216990.88</v>
      </c>
      <c r="AV50" s="190">
        <v>0</v>
      </c>
    </row>
    <row r="51" spans="1:48" x14ac:dyDescent="0.25">
      <c r="A51" s="190" t="s">
        <v>155</v>
      </c>
      <c r="B51" s="190">
        <v>325332337.92000002</v>
      </c>
      <c r="C51" s="190">
        <v>473933576.38</v>
      </c>
      <c r="D51" s="190">
        <v>367802062.64999998</v>
      </c>
      <c r="E51" s="190">
        <v>479536571.44999999</v>
      </c>
      <c r="F51" s="190">
        <v>417487988.60000002</v>
      </c>
      <c r="G51" s="190">
        <v>479378503.49000001</v>
      </c>
      <c r="H51" s="190">
        <v>404316093.67000002</v>
      </c>
      <c r="I51" s="190">
        <v>451401215.87</v>
      </c>
      <c r="J51" s="190">
        <v>185871861.52000001</v>
      </c>
      <c r="K51" s="190">
        <v>246821338.94999999</v>
      </c>
      <c r="L51" s="190">
        <v>316162807.69</v>
      </c>
      <c r="M51" s="190">
        <v>403834367.52999997</v>
      </c>
      <c r="N51" s="190">
        <v>194477781.78999999</v>
      </c>
      <c r="O51" s="190">
        <v>151443390.97</v>
      </c>
      <c r="P51" s="190">
        <v>112508431.51000001</v>
      </c>
      <c r="Q51" s="190">
        <v>129982391.48999999</v>
      </c>
      <c r="R51" s="190">
        <v>55732099.32</v>
      </c>
      <c r="S51" s="190">
        <v>44737834.789999999</v>
      </c>
      <c r="T51" s="190">
        <v>-120946149.95</v>
      </c>
      <c r="U51" s="190">
        <v>150572707.81999999</v>
      </c>
      <c r="V51" s="190">
        <v>79072412.209999993</v>
      </c>
      <c r="W51" s="190">
        <v>50706963.079999998</v>
      </c>
      <c r="X51" s="190">
        <v>15033745.039999999</v>
      </c>
      <c r="Y51" s="190">
        <v>61403976.590000004</v>
      </c>
      <c r="Z51" s="190">
        <v>27808327.489999998</v>
      </c>
      <c r="AA51" s="190">
        <v>5461096.3799999999</v>
      </c>
      <c r="AB51" s="190">
        <v>-1696781.14</v>
      </c>
      <c r="AC51" s="190">
        <v>15052551.74</v>
      </c>
      <c r="AD51" s="190">
        <v>16600242.449999999</v>
      </c>
      <c r="AE51" s="190">
        <v>17100129.780000001</v>
      </c>
      <c r="AF51" s="190">
        <v>9945619.2100000009</v>
      </c>
      <c r="AG51" s="190">
        <v>20877997.399999999</v>
      </c>
      <c r="AH51" s="190">
        <v>-9470368.0500000007</v>
      </c>
      <c r="AI51" s="190">
        <v>-1568911.98</v>
      </c>
      <c r="AJ51" s="190">
        <v>6181999.2999999998</v>
      </c>
      <c r="AK51" s="190">
        <v>681717.96</v>
      </c>
      <c r="AL51" s="190">
        <v>946607.59</v>
      </c>
      <c r="AM51" s="190">
        <v>2851768.29</v>
      </c>
      <c r="AN51" s="190">
        <v>-3485043.93</v>
      </c>
      <c r="AO51" s="190">
        <v>-1266113.8400000001</v>
      </c>
      <c r="AP51" s="190">
        <v>300294.84000000003</v>
      </c>
      <c r="AQ51" s="190">
        <v>5544254.8600000003</v>
      </c>
      <c r="AR51" s="190">
        <v>682322.69</v>
      </c>
      <c r="AS51" s="190">
        <v>8674164.5299999993</v>
      </c>
      <c r="AT51" s="190">
        <v>14411514.359999999</v>
      </c>
      <c r="AU51" s="190">
        <v>-1360883.39</v>
      </c>
      <c r="AV51" s="190">
        <v>0</v>
      </c>
    </row>
    <row r="52" spans="1:48" x14ac:dyDescent="0.25">
      <c r="A52" s="190" t="s">
        <v>156</v>
      </c>
      <c r="B52" s="190">
        <v>0</v>
      </c>
      <c r="C52" s="190">
        <v>6806258.4199999999</v>
      </c>
      <c r="D52" s="190">
        <v>6643974.5599999996</v>
      </c>
      <c r="E52" s="190">
        <v>3694476.25</v>
      </c>
      <c r="F52" s="190">
        <v>5212060.4400000004</v>
      </c>
      <c r="G52" s="190">
        <v>3349765.57</v>
      </c>
      <c r="H52" s="190">
        <v>2456733.4</v>
      </c>
      <c r="I52" s="190">
        <v>1037775.33</v>
      </c>
      <c r="J52" s="190">
        <v>270118.55</v>
      </c>
      <c r="K52" s="190">
        <v>646032.55000000005</v>
      </c>
      <c r="L52" s="190">
        <v>530765.74</v>
      </c>
      <c r="M52" s="190">
        <v>347577.41</v>
      </c>
      <c r="N52" s="190">
        <v>192275.20000000001</v>
      </c>
      <c r="O52" s="190">
        <v>5752.22</v>
      </c>
      <c r="P52" s="190">
        <v>0</v>
      </c>
      <c r="Q52" s="190">
        <v>0</v>
      </c>
      <c r="R52" s="190">
        <v>603773.71</v>
      </c>
      <c r="S52" s="190">
        <v>1446633.95</v>
      </c>
      <c r="T52" s="190">
        <v>496080.16</v>
      </c>
      <c r="U52" s="190">
        <v>500237.1</v>
      </c>
      <c r="V52" s="190">
        <v>353755.92</v>
      </c>
      <c r="W52" s="190">
        <v>975240.95</v>
      </c>
      <c r="X52" s="190">
        <v>3962060.87</v>
      </c>
      <c r="Y52" s="190">
        <v>5469617.8499999996</v>
      </c>
      <c r="Z52" s="190">
        <v>4452841.5599999996</v>
      </c>
      <c r="AA52" s="190">
        <v>1139449.19</v>
      </c>
      <c r="AB52" s="190">
        <v>486496.1</v>
      </c>
      <c r="AC52" s="190">
        <v>862179.78</v>
      </c>
      <c r="AD52" s="190">
        <v>2139663.0299999998</v>
      </c>
      <c r="AE52" s="190">
        <v>1588690.25</v>
      </c>
      <c r="AF52" s="190">
        <v>1062604.73</v>
      </c>
      <c r="AG52" s="190">
        <v>1308131.6100000001</v>
      </c>
      <c r="AH52" s="190">
        <v>0</v>
      </c>
      <c r="AI52" s="190">
        <v>0</v>
      </c>
      <c r="AJ52" s="190">
        <v>23975.14</v>
      </c>
      <c r="AK52" s="190">
        <v>23975.14</v>
      </c>
      <c r="AL52" s="190">
        <v>108321.59</v>
      </c>
      <c r="AM52" s="190">
        <v>16119.62</v>
      </c>
      <c r="AN52" s="190">
        <v>0</v>
      </c>
      <c r="AO52" s="190">
        <v>0</v>
      </c>
      <c r="AP52" s="190">
        <v>15677.62</v>
      </c>
      <c r="AQ52" s="190">
        <v>12778.31</v>
      </c>
      <c r="AR52" s="190">
        <v>7650</v>
      </c>
      <c r="AS52" s="190">
        <v>19512.5</v>
      </c>
      <c r="AT52" s="190">
        <v>42900</v>
      </c>
      <c r="AU52" s="190">
        <v>31900</v>
      </c>
      <c r="AV52" s="190">
        <v>0</v>
      </c>
    </row>
    <row r="53" spans="1:48" x14ac:dyDescent="0.25">
      <c r="A53" s="190" t="s">
        <v>157</v>
      </c>
      <c r="B53" s="190">
        <v>0</v>
      </c>
      <c r="C53" s="190">
        <v>0</v>
      </c>
      <c r="D53" s="190">
        <v>0</v>
      </c>
      <c r="E53" s="190">
        <v>0</v>
      </c>
      <c r="F53" s="190">
        <v>0</v>
      </c>
      <c r="G53" s="190">
        <v>0</v>
      </c>
      <c r="H53" s="190">
        <v>2627757.56</v>
      </c>
      <c r="I53" s="190">
        <v>2627757.56</v>
      </c>
      <c r="J53" s="190">
        <v>2627757.56</v>
      </c>
      <c r="K53" s="190">
        <v>2627757.56</v>
      </c>
      <c r="L53" s="190">
        <v>234568171.06</v>
      </c>
      <c r="M53" s="190">
        <v>2588270.66</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29355.07</v>
      </c>
      <c r="AU53" s="190">
        <v>29355.07</v>
      </c>
      <c r="AV53" s="190">
        <v>0</v>
      </c>
    </row>
    <row r="54" spans="1:48" x14ac:dyDescent="0.25">
      <c r="A54" s="190" t="s">
        <v>158</v>
      </c>
      <c r="B54" s="190">
        <v>131404867.44</v>
      </c>
      <c r="C54" s="190">
        <v>113282109.29000001</v>
      </c>
      <c r="D54" s="190">
        <v>103142875.53</v>
      </c>
      <c r="E54" s="190">
        <v>104297163.84999999</v>
      </c>
      <c r="F54" s="190">
        <v>88742085.890000001</v>
      </c>
      <c r="G54" s="190">
        <v>81168506.209999993</v>
      </c>
      <c r="H54" s="190">
        <v>229367226.56999999</v>
      </c>
      <c r="I54" s="190">
        <v>225198136.18000001</v>
      </c>
      <c r="J54" s="190">
        <v>214637085.86000001</v>
      </c>
      <c r="K54" s="190">
        <v>198743071.25</v>
      </c>
      <c r="L54" s="190">
        <v>253894693.31999999</v>
      </c>
      <c r="M54" s="190">
        <v>328682211.27999997</v>
      </c>
      <c r="N54" s="190">
        <v>62734611.380000003</v>
      </c>
      <c r="O54" s="190">
        <v>21086283.899999999</v>
      </c>
      <c r="P54" s="190">
        <v>25899484.68</v>
      </c>
      <c r="Q54" s="190">
        <v>16066485.710000001</v>
      </c>
      <c r="R54" s="190">
        <v>20213790.059999999</v>
      </c>
      <c r="S54" s="190">
        <v>15021570.65</v>
      </c>
      <c r="T54" s="190">
        <v>508933831.92000002</v>
      </c>
      <c r="U54" s="190">
        <v>15217607.449999999</v>
      </c>
      <c r="V54" s="190">
        <v>20252805.699999999</v>
      </c>
      <c r="W54" s="190">
        <v>17676503.039999999</v>
      </c>
      <c r="X54" s="190">
        <v>15970668.77</v>
      </c>
      <c r="Y54" s="190">
        <v>21768036.620000001</v>
      </c>
      <c r="Z54" s="190">
        <v>26411922.32</v>
      </c>
      <c r="AA54" s="190">
        <v>24557371.82</v>
      </c>
      <c r="AB54" s="190">
        <v>15415818.189999999</v>
      </c>
      <c r="AC54" s="190">
        <v>15669966</v>
      </c>
      <c r="AD54" s="190">
        <v>16723884.689999999</v>
      </c>
      <c r="AE54" s="190">
        <v>17293800.059999999</v>
      </c>
      <c r="AF54" s="190">
        <v>14346132.65</v>
      </c>
      <c r="AG54" s="190">
        <v>18530992.449999999</v>
      </c>
      <c r="AH54" s="190">
        <v>3121443.99</v>
      </c>
      <c r="AI54" s="190">
        <v>2631860.62</v>
      </c>
      <c r="AJ54" s="190">
        <v>2249667.63</v>
      </c>
      <c r="AK54" s="190">
        <v>4503974.08</v>
      </c>
      <c r="AL54" s="190">
        <v>1920670.47</v>
      </c>
      <c r="AM54" s="190">
        <v>1049184.53</v>
      </c>
      <c r="AN54" s="190">
        <v>601739.87</v>
      </c>
      <c r="AO54" s="190">
        <v>2727442.96</v>
      </c>
      <c r="AP54" s="190">
        <v>1052419.72</v>
      </c>
      <c r="AQ54" s="190">
        <v>2477050.81</v>
      </c>
      <c r="AR54" s="190">
        <v>6674934.2400000002</v>
      </c>
      <c r="AS54" s="190">
        <v>1437960.07</v>
      </c>
      <c r="AT54" s="190">
        <v>14324959.779999999</v>
      </c>
      <c r="AU54" s="190">
        <v>5512396.0300000003</v>
      </c>
      <c r="AV54" s="190">
        <v>0</v>
      </c>
    </row>
    <row r="55" spans="1:48"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row>
    <row r="56" spans="1:48"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row>
    <row r="57" spans="1:48"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row>
    <row r="58" spans="1:48" x14ac:dyDescent="0.25">
      <c r="A58" s="190" t="s">
        <v>162</v>
      </c>
      <c r="B58" s="190">
        <v>25500000</v>
      </c>
      <c r="C58" s="190">
        <v>25500000</v>
      </c>
      <c r="D58" s="190">
        <v>0</v>
      </c>
      <c r="E58" s="190">
        <v>0</v>
      </c>
      <c r="F58" s="190">
        <v>0</v>
      </c>
      <c r="G58" s="190">
        <v>0</v>
      </c>
      <c r="H58" s="190">
        <v>0</v>
      </c>
      <c r="I58" s="190">
        <v>0</v>
      </c>
      <c r="J58" s="190">
        <v>0</v>
      </c>
      <c r="K58" s="190">
        <v>0</v>
      </c>
      <c r="L58" s="190">
        <v>0</v>
      </c>
      <c r="M58" s="190">
        <v>0</v>
      </c>
      <c r="N58" s="190">
        <v>142593574.69999999</v>
      </c>
      <c r="O58" s="190">
        <v>142593574.69999999</v>
      </c>
      <c r="P58" s="190">
        <v>0</v>
      </c>
      <c r="Q58" s="190">
        <v>197155777.94</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row>
    <row r="59" spans="1:48" x14ac:dyDescent="0.25">
      <c r="A59" s="190" t="s">
        <v>163</v>
      </c>
      <c r="B59" s="190">
        <v>62391071.009999998</v>
      </c>
      <c r="C59" s="190">
        <v>59670217.719999999</v>
      </c>
      <c r="D59" s="190">
        <v>79274424.379999995</v>
      </c>
      <c r="E59" s="190">
        <v>45941962.850000001</v>
      </c>
      <c r="F59" s="190">
        <v>0</v>
      </c>
      <c r="G59" s="190">
        <v>0</v>
      </c>
      <c r="H59" s="190">
        <v>259350.01</v>
      </c>
      <c r="I59" s="190">
        <v>0</v>
      </c>
      <c r="J59" s="190">
        <v>1225338.18</v>
      </c>
      <c r="K59" s="190">
        <v>2703642.35</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row>
    <row r="60" spans="1:48" x14ac:dyDescent="0.25">
      <c r="A60" s="190" t="s">
        <v>164</v>
      </c>
      <c r="B60" s="190">
        <v>10885987660.219999</v>
      </c>
      <c r="C60" s="190">
        <v>10231569709.16</v>
      </c>
      <c r="D60" s="190">
        <v>9149920203.1499996</v>
      </c>
      <c r="E60" s="190">
        <v>9916313621.6800003</v>
      </c>
      <c r="F60" s="190">
        <v>8701469981.4099998</v>
      </c>
      <c r="G60" s="190">
        <v>7322818218.3699999</v>
      </c>
      <c r="H60" s="190">
        <v>5809728637.1499996</v>
      </c>
      <c r="I60" s="190">
        <v>6717660031.9799995</v>
      </c>
      <c r="J60" s="190">
        <v>5051956283.25</v>
      </c>
      <c r="K60" s="190">
        <v>4390564806.8100004</v>
      </c>
      <c r="L60" s="190">
        <v>4154553202.5900002</v>
      </c>
      <c r="M60" s="190">
        <v>4794784234.9399996</v>
      </c>
      <c r="N60" s="190">
        <v>2783982621.0300002</v>
      </c>
      <c r="O60" s="190">
        <v>2598514688.9000001</v>
      </c>
      <c r="P60" s="190">
        <v>1803871169.9200001</v>
      </c>
      <c r="Q60" s="190">
        <v>2382939289.3299999</v>
      </c>
      <c r="R60" s="190">
        <v>1347974963</v>
      </c>
      <c r="S60" s="190">
        <v>1658184013.04</v>
      </c>
      <c r="T60" s="190">
        <v>2074445462.96</v>
      </c>
      <c r="U60" s="190">
        <v>1828369020.4000001</v>
      </c>
      <c r="V60" s="190">
        <v>1173733288.74</v>
      </c>
      <c r="W60" s="190">
        <v>1071027871.0700001</v>
      </c>
      <c r="X60" s="190">
        <v>1055664551.64</v>
      </c>
      <c r="Y60" s="190">
        <v>1236785036.6900001</v>
      </c>
      <c r="Z60" s="190">
        <v>1061152385.15</v>
      </c>
      <c r="AA60" s="190">
        <v>917147752.07000005</v>
      </c>
      <c r="AB60" s="190">
        <v>676972781.34000003</v>
      </c>
      <c r="AC60" s="190">
        <v>747923981.46000004</v>
      </c>
      <c r="AD60" s="190">
        <v>555005604.04999995</v>
      </c>
      <c r="AE60" s="190">
        <v>636101233.39999998</v>
      </c>
      <c r="AF60" s="190">
        <v>526240269.44999999</v>
      </c>
      <c r="AG60" s="190">
        <v>595912664.62</v>
      </c>
      <c r="AH60" s="190">
        <v>539911920.90999997</v>
      </c>
      <c r="AI60" s="190">
        <v>508805796.88999999</v>
      </c>
      <c r="AJ60" s="190">
        <v>377144779.88</v>
      </c>
      <c r="AK60" s="190">
        <v>331880848.11000001</v>
      </c>
      <c r="AL60" s="190">
        <v>238192284.78</v>
      </c>
      <c r="AM60" s="190">
        <v>161987385.69999999</v>
      </c>
      <c r="AN60" s="190">
        <v>136676490.72</v>
      </c>
      <c r="AO60" s="190">
        <v>138573147.37</v>
      </c>
      <c r="AP60" s="190">
        <v>145383184.91</v>
      </c>
      <c r="AQ60" s="190">
        <v>151371401.56999999</v>
      </c>
      <c r="AR60" s="190">
        <v>150545747.81999999</v>
      </c>
      <c r="AS60" s="190">
        <v>149487534.56999999</v>
      </c>
      <c r="AT60" s="190">
        <v>155412654.49000001</v>
      </c>
      <c r="AU60" s="190">
        <v>160721538.44999999</v>
      </c>
      <c r="AV60" s="190">
        <v>0</v>
      </c>
    </row>
    <row r="61" spans="1:48" x14ac:dyDescent="0.25">
      <c r="A61" s="190" t="s">
        <v>165</v>
      </c>
    </row>
    <row r="62" spans="1:48" x14ac:dyDescent="0.25">
      <c r="A62" s="190" t="s">
        <v>166</v>
      </c>
      <c r="B62" s="190">
        <v>179500000</v>
      </c>
      <c r="C62" s="190">
        <v>179500000</v>
      </c>
      <c r="D62" s="190">
        <v>230000000</v>
      </c>
      <c r="E62" s="190">
        <v>230000000</v>
      </c>
      <c r="F62" s="190">
        <v>230000000</v>
      </c>
      <c r="G62" s="190">
        <v>226028147.80000001</v>
      </c>
      <c r="H62" s="190">
        <v>189096536.31</v>
      </c>
      <c r="I62" s="190">
        <v>52741778.57</v>
      </c>
      <c r="J62" s="190">
        <v>5000000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row>
    <row r="63" spans="1:48"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row>
    <row r="64" spans="1:48"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row>
    <row r="65" spans="1:48"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row>
    <row r="66" spans="1:48"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964700</v>
      </c>
      <c r="AO66" s="190">
        <v>0</v>
      </c>
      <c r="AP66" s="190">
        <v>718500</v>
      </c>
      <c r="AQ66" s="190">
        <v>0</v>
      </c>
      <c r="AR66" s="190">
        <v>185000</v>
      </c>
      <c r="AS66" s="190">
        <v>0</v>
      </c>
      <c r="AT66" s="190">
        <v>0</v>
      </c>
      <c r="AU66" s="190">
        <v>0</v>
      </c>
      <c r="AV66" s="190">
        <v>0</v>
      </c>
    </row>
    <row r="67" spans="1:48" x14ac:dyDescent="0.25">
      <c r="A67" s="190" t="s">
        <v>171</v>
      </c>
      <c r="B67" s="190">
        <v>183227904.03999999</v>
      </c>
      <c r="C67" s="190">
        <v>174205449.69999999</v>
      </c>
      <c r="D67" s="190">
        <v>135324510.52000001</v>
      </c>
      <c r="E67" s="190">
        <v>127998889.61</v>
      </c>
      <c r="F67" s="190">
        <v>104767409.77</v>
      </c>
      <c r="G67" s="190">
        <v>110796593.23</v>
      </c>
      <c r="H67" s="190">
        <v>112692463.59999999</v>
      </c>
      <c r="I67" s="190">
        <v>114846048</v>
      </c>
      <c r="J67" s="190">
        <v>157930069.40000001</v>
      </c>
      <c r="K67" s="190">
        <v>157894861.65000001</v>
      </c>
      <c r="L67" s="190">
        <v>91569609.299999997</v>
      </c>
      <c r="M67" s="190">
        <v>91694036.829999998</v>
      </c>
      <c r="N67" s="190">
        <v>65795461.689999998</v>
      </c>
      <c r="O67" s="190">
        <v>64633560.829999998</v>
      </c>
      <c r="P67" s="190">
        <v>71772823.939999998</v>
      </c>
      <c r="Q67" s="190">
        <v>72894258.920000002</v>
      </c>
      <c r="R67" s="190">
        <v>30655279.039999999</v>
      </c>
      <c r="S67" s="190">
        <v>27914809.960000001</v>
      </c>
      <c r="T67" s="190">
        <v>24029004.879999999</v>
      </c>
      <c r="U67" s="190">
        <v>20088409.899999999</v>
      </c>
      <c r="V67" s="190">
        <v>6397944.5300000003</v>
      </c>
      <c r="W67" s="190">
        <v>6499463.5099999998</v>
      </c>
      <c r="X67" s="190">
        <v>6199463.5099999998</v>
      </c>
      <c r="Y67" s="190">
        <v>5922463.5099999998</v>
      </c>
      <c r="Z67" s="190">
        <v>2448863.5099999998</v>
      </c>
      <c r="AA67" s="190">
        <v>2448863.5099999998</v>
      </c>
      <c r="AB67" s="190">
        <v>2448863.5099999998</v>
      </c>
      <c r="AC67" s="190">
        <v>2448863.5099999998</v>
      </c>
      <c r="AD67" s="190">
        <v>4017029.88</v>
      </c>
      <c r="AE67" s="190">
        <v>4017029.88</v>
      </c>
      <c r="AF67" s="190">
        <v>4017029.88</v>
      </c>
      <c r="AG67" s="190">
        <v>4017029.88</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row>
    <row r="68" spans="1:48" x14ac:dyDescent="0.25">
      <c r="A68" s="190" t="s">
        <v>172</v>
      </c>
      <c r="B68" s="190">
        <v>57617847.020000003</v>
      </c>
      <c r="C68" s="190">
        <v>53698630.659999996</v>
      </c>
      <c r="D68" s="190">
        <v>46681826.780000001</v>
      </c>
      <c r="E68" s="190">
        <v>45468946.770000003</v>
      </c>
      <c r="F68" s="190">
        <v>22870998.289999999</v>
      </c>
      <c r="G68" s="190">
        <v>18288326.059999999</v>
      </c>
      <c r="H68" s="190">
        <v>14961711.949999999</v>
      </c>
      <c r="I68" s="190">
        <v>23705446.050000001</v>
      </c>
      <c r="J68" s="190">
        <v>11077548.300000001</v>
      </c>
      <c r="K68" s="190">
        <v>10628297.08</v>
      </c>
      <c r="L68" s="190">
        <v>10458152.51</v>
      </c>
      <c r="M68" s="190">
        <v>15360448.050000001</v>
      </c>
      <c r="N68" s="190">
        <v>17826886.98</v>
      </c>
      <c r="O68" s="190">
        <v>18206352.879999999</v>
      </c>
      <c r="P68" s="190">
        <v>22634300.670000002</v>
      </c>
      <c r="Q68" s="190">
        <v>24434300.670000002</v>
      </c>
      <c r="R68" s="190">
        <v>5354782.7300000004</v>
      </c>
      <c r="S68" s="190">
        <v>5768739.0300000003</v>
      </c>
      <c r="T68" s="190">
        <v>5958693.3700000001</v>
      </c>
      <c r="U68" s="190">
        <v>5180957.8099999996</v>
      </c>
      <c r="V68" s="190">
        <v>5587410.75</v>
      </c>
      <c r="W68" s="190">
        <v>6505868.7999999998</v>
      </c>
      <c r="X68" s="190">
        <v>6049136.9400000004</v>
      </c>
      <c r="Y68" s="190">
        <v>7070567.9699999997</v>
      </c>
      <c r="Z68" s="190">
        <v>3862587.51</v>
      </c>
      <c r="AA68" s="190">
        <v>4102305.61</v>
      </c>
      <c r="AB68" s="190">
        <v>3843845.42</v>
      </c>
      <c r="AC68" s="190">
        <v>3843845.42</v>
      </c>
      <c r="AD68" s="190">
        <v>2765037.8</v>
      </c>
      <c r="AE68" s="190">
        <v>3309697.51</v>
      </c>
      <c r="AF68" s="190">
        <v>3309697.51</v>
      </c>
      <c r="AG68" s="190">
        <v>3309697.51</v>
      </c>
      <c r="AH68" s="190">
        <v>0</v>
      </c>
      <c r="AI68" s="190">
        <v>0</v>
      </c>
      <c r="AJ68" s="190">
        <v>0</v>
      </c>
      <c r="AK68" s="190">
        <v>0</v>
      </c>
      <c r="AL68" s="190">
        <v>0</v>
      </c>
      <c r="AM68" s="190">
        <v>0</v>
      </c>
      <c r="AN68" s="190">
        <v>0</v>
      </c>
      <c r="AO68" s="190">
        <v>0</v>
      </c>
      <c r="AP68" s="190">
        <v>539343.63</v>
      </c>
      <c r="AQ68" s="190">
        <v>539343.63</v>
      </c>
      <c r="AR68" s="190">
        <v>539343.63</v>
      </c>
      <c r="AS68" s="190">
        <v>539343.63</v>
      </c>
      <c r="AT68" s="190">
        <v>0</v>
      </c>
      <c r="AU68" s="190">
        <v>0</v>
      </c>
      <c r="AV68" s="190">
        <v>0</v>
      </c>
    </row>
    <row r="69" spans="1:48" x14ac:dyDescent="0.25">
      <c r="A69" s="190" t="s">
        <v>173</v>
      </c>
      <c r="B69" s="190">
        <v>59486689.270000003</v>
      </c>
      <c r="C69" s="190">
        <v>60279845.140000001</v>
      </c>
      <c r="D69" s="190">
        <v>61073001.009999998</v>
      </c>
      <c r="E69" s="190">
        <v>61866156.880000003</v>
      </c>
      <c r="F69" s="190">
        <v>62659312.75</v>
      </c>
      <c r="G69" s="190">
        <v>31660000</v>
      </c>
      <c r="H69" s="190">
        <v>31660000</v>
      </c>
      <c r="I69" s="190">
        <v>31660000</v>
      </c>
      <c r="J69" s="190">
        <v>31660000</v>
      </c>
      <c r="K69" s="190">
        <v>31660000</v>
      </c>
      <c r="L69" s="190">
        <v>33836394.75</v>
      </c>
      <c r="M69" s="190">
        <v>35244749.93</v>
      </c>
      <c r="N69" s="190">
        <v>9337786.6400000006</v>
      </c>
      <c r="O69" s="190">
        <v>9680480.3599999994</v>
      </c>
      <c r="P69" s="190">
        <v>5510586.8700000001</v>
      </c>
      <c r="Q69" s="190">
        <v>2926402.56</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row>
    <row r="70" spans="1:48" x14ac:dyDescent="0.25">
      <c r="A70" s="190" t="s">
        <v>174</v>
      </c>
      <c r="B70" s="190">
        <v>387253299.37</v>
      </c>
      <c r="C70" s="190">
        <v>390395461.44</v>
      </c>
      <c r="D70" s="190">
        <v>359417824.07999998</v>
      </c>
      <c r="E70" s="190">
        <v>358600936.54000002</v>
      </c>
      <c r="F70" s="190">
        <v>110000000</v>
      </c>
      <c r="G70" s="190">
        <v>110000000</v>
      </c>
      <c r="H70" s="190">
        <v>0</v>
      </c>
      <c r="I70" s="190">
        <v>0</v>
      </c>
      <c r="J70" s="190">
        <v>0</v>
      </c>
      <c r="K70" s="190">
        <v>0</v>
      </c>
      <c r="L70" s="190">
        <v>0</v>
      </c>
      <c r="M70" s="190">
        <v>0</v>
      </c>
      <c r="N70" s="190">
        <v>142593574.69999999</v>
      </c>
      <c r="O70" s="190">
        <v>142593574.69999999</v>
      </c>
      <c r="P70" s="190">
        <v>290047517.80000001</v>
      </c>
      <c r="Q70" s="190">
        <v>295733666.92000002</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row>
    <row r="71" spans="1:48" x14ac:dyDescent="0.25">
      <c r="A71" s="190" t="s">
        <v>175</v>
      </c>
      <c r="B71" s="190">
        <v>867085739.70000005</v>
      </c>
      <c r="C71" s="190">
        <v>858079386.94000006</v>
      </c>
      <c r="D71" s="190">
        <v>832497162.38999999</v>
      </c>
      <c r="E71" s="190">
        <v>823934929.79999995</v>
      </c>
      <c r="F71" s="190">
        <v>530297720.81</v>
      </c>
      <c r="G71" s="190">
        <v>496773067.08999997</v>
      </c>
      <c r="H71" s="190">
        <v>348410711.86000001</v>
      </c>
      <c r="I71" s="190">
        <v>222953272.62</v>
      </c>
      <c r="J71" s="190">
        <v>205667617.69999999</v>
      </c>
      <c r="K71" s="190">
        <v>200183158.72999999</v>
      </c>
      <c r="L71" s="190">
        <v>135864156.56</v>
      </c>
      <c r="M71" s="190">
        <v>142299234.81</v>
      </c>
      <c r="N71" s="190">
        <v>235553710.00999999</v>
      </c>
      <c r="O71" s="190">
        <v>235113968.77000001</v>
      </c>
      <c r="P71" s="190">
        <v>389965229.27999997</v>
      </c>
      <c r="Q71" s="190">
        <v>395988629.06999999</v>
      </c>
      <c r="R71" s="190">
        <v>36010061.770000003</v>
      </c>
      <c r="S71" s="190">
        <v>33683548.990000002</v>
      </c>
      <c r="T71" s="190">
        <v>29987698.25</v>
      </c>
      <c r="U71" s="190">
        <v>25269367.710000001</v>
      </c>
      <c r="V71" s="190">
        <v>11985355.279999999</v>
      </c>
      <c r="W71" s="190">
        <v>13005332.310000001</v>
      </c>
      <c r="X71" s="190">
        <v>12248600.449999999</v>
      </c>
      <c r="Y71" s="190">
        <v>12993031.48</v>
      </c>
      <c r="Z71" s="190">
        <v>6311451.0199999996</v>
      </c>
      <c r="AA71" s="190">
        <v>6551169.1200000001</v>
      </c>
      <c r="AB71" s="190">
        <v>6292708.9299999997</v>
      </c>
      <c r="AC71" s="190">
        <v>6292708.9299999997</v>
      </c>
      <c r="AD71" s="190">
        <v>6782067.6799999997</v>
      </c>
      <c r="AE71" s="190">
        <v>7326727.3899999997</v>
      </c>
      <c r="AF71" s="190">
        <v>7326727.3899999997</v>
      </c>
      <c r="AG71" s="190">
        <v>7326727.3899999997</v>
      </c>
      <c r="AH71" s="190">
        <v>0</v>
      </c>
      <c r="AI71" s="190">
        <v>0</v>
      </c>
      <c r="AJ71" s="190">
        <v>0</v>
      </c>
      <c r="AK71" s="190">
        <v>0</v>
      </c>
      <c r="AL71" s="190">
        <v>0</v>
      </c>
      <c r="AM71" s="190">
        <v>0</v>
      </c>
      <c r="AN71" s="190">
        <v>964700</v>
      </c>
      <c r="AO71" s="190">
        <v>0</v>
      </c>
      <c r="AP71" s="190">
        <v>1257843.6299999999</v>
      </c>
      <c r="AQ71" s="190">
        <v>539343.63</v>
      </c>
      <c r="AR71" s="190">
        <v>724343.63</v>
      </c>
      <c r="AS71" s="190">
        <v>539343.63</v>
      </c>
      <c r="AT71" s="190">
        <v>0</v>
      </c>
      <c r="AU71" s="190">
        <v>0</v>
      </c>
      <c r="AV71" s="190">
        <v>0</v>
      </c>
    </row>
    <row r="72" spans="1:48" x14ac:dyDescent="0.25">
      <c r="A72" s="190" t="s">
        <v>176</v>
      </c>
      <c r="B72" s="190">
        <v>11753073399.92</v>
      </c>
      <c r="C72" s="190">
        <v>11089649096.1</v>
      </c>
      <c r="D72" s="190">
        <v>9982417365.5400009</v>
      </c>
      <c r="E72" s="190">
        <v>10740248551.48</v>
      </c>
      <c r="F72" s="190">
        <v>9231767702.2199993</v>
      </c>
      <c r="G72" s="190">
        <v>7819591285.46</v>
      </c>
      <c r="H72" s="190">
        <v>6158139349.0100002</v>
      </c>
      <c r="I72" s="190">
        <v>6940613304.6000004</v>
      </c>
      <c r="J72" s="190">
        <v>5257623900.9499998</v>
      </c>
      <c r="K72" s="190">
        <v>4590747965.54</v>
      </c>
      <c r="L72" s="190">
        <v>4290417359.1500001</v>
      </c>
      <c r="M72" s="190">
        <v>4937083469.75</v>
      </c>
      <c r="N72" s="190">
        <v>3019536331.04</v>
      </c>
      <c r="O72" s="190">
        <v>2833628657.6700001</v>
      </c>
      <c r="P72" s="190">
        <v>2193836399.1999998</v>
      </c>
      <c r="Q72" s="190">
        <v>2778927918.4000001</v>
      </c>
      <c r="R72" s="190">
        <v>1383985024.77</v>
      </c>
      <c r="S72" s="190">
        <v>1691867562.03</v>
      </c>
      <c r="T72" s="190">
        <v>2104433161.21</v>
      </c>
      <c r="U72" s="190">
        <v>1853638388.1099999</v>
      </c>
      <c r="V72" s="190">
        <v>1185718644.02</v>
      </c>
      <c r="W72" s="190">
        <v>1084033203.3800001</v>
      </c>
      <c r="X72" s="190">
        <v>1067913152.09</v>
      </c>
      <c r="Y72" s="190">
        <v>1249778068.1700001</v>
      </c>
      <c r="Z72" s="190">
        <v>1067463836.17</v>
      </c>
      <c r="AA72" s="190">
        <v>923698921.19000006</v>
      </c>
      <c r="AB72" s="190">
        <v>683265490.26999998</v>
      </c>
      <c r="AC72" s="190">
        <v>754216690.38999999</v>
      </c>
      <c r="AD72" s="190">
        <v>561787671.73000002</v>
      </c>
      <c r="AE72" s="190">
        <v>643427960.78999996</v>
      </c>
      <c r="AF72" s="190">
        <v>533566996.83999997</v>
      </c>
      <c r="AG72" s="190">
        <v>603239392.00999999</v>
      </c>
      <c r="AH72" s="190">
        <v>539911920.90999997</v>
      </c>
      <c r="AI72" s="190">
        <v>508805796.88999999</v>
      </c>
      <c r="AJ72" s="190">
        <v>377144779.88</v>
      </c>
      <c r="AK72" s="190">
        <v>331880848.11000001</v>
      </c>
      <c r="AL72" s="190">
        <v>238192284.78</v>
      </c>
      <c r="AM72" s="190">
        <v>161987385.69999999</v>
      </c>
      <c r="AN72" s="190">
        <v>137641190.72</v>
      </c>
      <c r="AO72" s="190">
        <v>138573147.37</v>
      </c>
      <c r="AP72" s="190">
        <v>146641028.53999999</v>
      </c>
      <c r="AQ72" s="190">
        <v>151910745.19999999</v>
      </c>
      <c r="AR72" s="190">
        <v>151270091.44999999</v>
      </c>
      <c r="AS72" s="190">
        <v>150026878.19999999</v>
      </c>
      <c r="AT72" s="190">
        <v>155412654.49000001</v>
      </c>
      <c r="AU72" s="190">
        <v>160721538.44999999</v>
      </c>
      <c r="AV72" s="190">
        <v>0</v>
      </c>
    </row>
    <row r="73" spans="1:48" x14ac:dyDescent="0.25">
      <c r="A73" s="190" t="s">
        <v>177</v>
      </c>
    </row>
    <row r="74" spans="1:48" x14ac:dyDescent="0.25">
      <c r="A74" s="190" t="s">
        <v>178</v>
      </c>
      <c r="B74" s="190">
        <v>2898756130</v>
      </c>
      <c r="C74" s="190">
        <v>2898756130</v>
      </c>
      <c r="D74" s="190">
        <v>2898756130</v>
      </c>
      <c r="E74" s="190">
        <v>2898756130</v>
      </c>
      <c r="F74" s="190">
        <v>2898756130</v>
      </c>
      <c r="G74" s="190">
        <v>2898756130</v>
      </c>
      <c r="H74" s="190">
        <v>2899411405</v>
      </c>
      <c r="I74" s="190">
        <v>2899411405</v>
      </c>
      <c r="J74" s="190">
        <v>2899411405</v>
      </c>
      <c r="K74" s="190">
        <v>2899411405</v>
      </c>
      <c r="L74" s="190">
        <v>2899748755</v>
      </c>
      <c r="M74" s="190">
        <v>1159899502</v>
      </c>
      <c r="N74" s="190">
        <v>1160099237</v>
      </c>
      <c r="O74" s="190">
        <v>1160099237</v>
      </c>
      <c r="P74" s="190">
        <v>1160337257</v>
      </c>
      <c r="Q74" s="190">
        <v>1170270750</v>
      </c>
      <c r="R74" s="190">
        <v>1170598250</v>
      </c>
      <c r="S74" s="190">
        <v>1170598250</v>
      </c>
      <c r="T74" s="190">
        <v>1146133167</v>
      </c>
      <c r="U74" s="190">
        <v>1146133167</v>
      </c>
      <c r="V74" s="190">
        <v>1146133167</v>
      </c>
      <c r="W74" s="190">
        <v>1146133167</v>
      </c>
      <c r="X74" s="190">
        <v>558123280</v>
      </c>
      <c r="Y74" s="190">
        <v>558123280</v>
      </c>
      <c r="Z74" s="190">
        <v>558160800</v>
      </c>
      <c r="AA74" s="190">
        <v>558160800</v>
      </c>
      <c r="AB74" s="190">
        <v>279080400</v>
      </c>
      <c r="AC74" s="190">
        <v>279080400</v>
      </c>
      <c r="AD74" s="190">
        <v>279080400</v>
      </c>
      <c r="AE74" s="190">
        <v>279080400</v>
      </c>
      <c r="AF74" s="190">
        <v>139540200</v>
      </c>
      <c r="AG74" s="190">
        <v>139540200</v>
      </c>
      <c r="AH74" s="190">
        <v>139540200</v>
      </c>
      <c r="AI74" s="190">
        <v>133600000</v>
      </c>
      <c r="AJ74" s="190">
        <v>66800000</v>
      </c>
      <c r="AK74" s="190">
        <v>66800000</v>
      </c>
      <c r="AL74" s="190">
        <v>66800000</v>
      </c>
      <c r="AM74" s="190">
        <v>66800000</v>
      </c>
      <c r="AN74" s="190">
        <v>66800000</v>
      </c>
      <c r="AO74" s="190">
        <v>66800000</v>
      </c>
      <c r="AP74" s="190">
        <v>66800000</v>
      </c>
      <c r="AQ74" s="190">
        <v>66800000</v>
      </c>
      <c r="AR74" s="190">
        <v>50000000</v>
      </c>
      <c r="AS74" s="190">
        <v>50000000</v>
      </c>
      <c r="AT74" s="190">
        <v>50000000</v>
      </c>
      <c r="AU74" s="190">
        <v>50000000</v>
      </c>
      <c r="AV74" s="190">
        <v>0</v>
      </c>
    </row>
    <row r="75" spans="1:48" x14ac:dyDescent="0.25">
      <c r="A75" s="190" t="s">
        <v>179</v>
      </c>
      <c r="B75" s="190">
        <v>593047746.10000002</v>
      </c>
      <c r="C75" s="190">
        <v>592635903.13</v>
      </c>
      <c r="D75" s="190">
        <v>593340751.51999998</v>
      </c>
      <c r="E75" s="190">
        <v>593340751.51999998</v>
      </c>
      <c r="F75" s="190">
        <v>595130510.09000003</v>
      </c>
      <c r="G75" s="190">
        <v>596996941.5</v>
      </c>
      <c r="H75" s="190">
        <v>595546003.82000005</v>
      </c>
      <c r="I75" s="190">
        <v>589582012.28999996</v>
      </c>
      <c r="J75" s="190">
        <v>589273285.98000002</v>
      </c>
      <c r="K75" s="190">
        <v>582679062.12</v>
      </c>
      <c r="L75" s="190">
        <v>572802460.02999997</v>
      </c>
      <c r="M75" s="190">
        <v>1398498487.3</v>
      </c>
      <c r="N75" s="190">
        <v>1387932795.1400001</v>
      </c>
      <c r="O75" s="190">
        <v>1386568054.3599999</v>
      </c>
      <c r="P75" s="190">
        <v>1377140987.46</v>
      </c>
      <c r="Q75" s="190">
        <v>1568469685.6600001</v>
      </c>
      <c r="R75" s="190">
        <v>1586635295.22</v>
      </c>
      <c r="S75" s="190">
        <v>1576430909.0999999</v>
      </c>
      <c r="T75" s="190">
        <v>1094583759.8800001</v>
      </c>
      <c r="U75" s="190">
        <v>1094583759.8800001</v>
      </c>
      <c r="V75" s="190">
        <v>1094583535.24</v>
      </c>
      <c r="W75" s="190">
        <v>1094583535.24</v>
      </c>
      <c r="X75" s="190">
        <v>140276035.25</v>
      </c>
      <c r="Y75" s="190">
        <v>139646899.84999999</v>
      </c>
      <c r="Z75" s="190">
        <v>138294241.80000001</v>
      </c>
      <c r="AA75" s="190">
        <v>136771551.53999999</v>
      </c>
      <c r="AB75" s="190">
        <v>414329261.27999997</v>
      </c>
      <c r="AC75" s="190">
        <v>412806571.01999998</v>
      </c>
      <c r="AD75" s="190">
        <v>406672149.02999997</v>
      </c>
      <c r="AE75" s="190">
        <v>400537727.04000002</v>
      </c>
      <c r="AF75" s="190">
        <v>464173405.05000001</v>
      </c>
      <c r="AG75" s="190">
        <v>458038983.06</v>
      </c>
      <c r="AH75" s="190">
        <v>447196716.24000001</v>
      </c>
      <c r="AI75" s="190">
        <v>342974505.42000002</v>
      </c>
      <c r="AJ75" s="190">
        <v>372760416.48000002</v>
      </c>
      <c r="AK75" s="190">
        <v>372760416.48000002</v>
      </c>
      <c r="AL75" s="190">
        <v>372760416.48000002</v>
      </c>
      <c r="AM75" s="190">
        <v>372760416.48000002</v>
      </c>
      <c r="AN75" s="190">
        <v>372760416.48000002</v>
      </c>
      <c r="AO75" s="190">
        <v>372760416.48000002</v>
      </c>
      <c r="AP75" s="190">
        <v>372760416.48000002</v>
      </c>
      <c r="AQ75" s="190">
        <v>372760416.48000002</v>
      </c>
      <c r="AR75" s="190">
        <v>7450.48</v>
      </c>
      <c r="AS75" s="190">
        <v>7450.48</v>
      </c>
      <c r="AT75" s="190">
        <v>7450.48</v>
      </c>
      <c r="AU75" s="190">
        <v>7450.48</v>
      </c>
      <c r="AV75" s="190">
        <v>0</v>
      </c>
    </row>
    <row r="76" spans="1:48" x14ac:dyDescent="0.25">
      <c r="A76" s="190" t="s">
        <v>180</v>
      </c>
      <c r="B76" s="190">
        <v>0</v>
      </c>
      <c r="C76" s="190">
        <v>0</v>
      </c>
      <c r="D76" s="190">
        <v>0</v>
      </c>
      <c r="E76" s="190">
        <v>0</v>
      </c>
      <c r="F76" s="190">
        <v>0</v>
      </c>
      <c r="G76" s="190">
        <v>0</v>
      </c>
      <c r="H76" s="190">
        <v>133001534.15000001</v>
      </c>
      <c r="I76" s="190">
        <v>133001534.15000001</v>
      </c>
      <c r="J76" s="190">
        <v>133001534.15000001</v>
      </c>
      <c r="K76" s="190">
        <v>133001534.15000001</v>
      </c>
      <c r="L76" s="190">
        <v>138457917.28</v>
      </c>
      <c r="M76" s="190">
        <v>278520290.04000002</v>
      </c>
      <c r="N76" s="190">
        <v>285187149.39999998</v>
      </c>
      <c r="O76" s="190">
        <v>285187149.39999998</v>
      </c>
      <c r="P76" s="190">
        <v>290047517.80000001</v>
      </c>
      <c r="Q76" s="190">
        <v>492889444.86000001</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row>
    <row r="77" spans="1:48" x14ac:dyDescent="0.25">
      <c r="A77" s="190" t="s">
        <v>181</v>
      </c>
      <c r="B77" s="190">
        <v>4424881.9400000004</v>
      </c>
      <c r="C77" s="190">
        <v>15053949.060000001</v>
      </c>
      <c r="D77" s="190">
        <v>12206231.710000001</v>
      </c>
      <c r="E77" s="190">
        <v>6660189.04</v>
      </c>
      <c r="F77" s="190">
        <v>3332218.57</v>
      </c>
      <c r="G77" s="190">
        <v>2661242.0099999998</v>
      </c>
      <c r="H77" s="190">
        <v>2070525.22</v>
      </c>
      <c r="I77" s="190">
        <v>2295121.7200000002</v>
      </c>
      <c r="J77" s="190">
        <v>-428814.77</v>
      </c>
      <c r="K77" s="190">
        <v>-164792.29</v>
      </c>
      <c r="L77" s="190">
        <v>-824119.25</v>
      </c>
      <c r="M77" s="190">
        <v>-725504.32</v>
      </c>
      <c r="N77" s="190">
        <v>-598440.97</v>
      </c>
      <c r="O77" s="190">
        <v>-111506.48</v>
      </c>
      <c r="P77" s="190">
        <v>-87644.29</v>
      </c>
      <c r="Q77" s="190">
        <v>-55011.41</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row>
    <row r="78" spans="1:48"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row>
    <row r="79" spans="1:48" x14ac:dyDescent="0.25">
      <c r="A79" s="190" t="s">
        <v>183</v>
      </c>
      <c r="B79" s="190">
        <v>971547268.36000001</v>
      </c>
      <c r="C79" s="190">
        <v>971547268.36000001</v>
      </c>
      <c r="D79" s="190">
        <v>971547268.36000001</v>
      </c>
      <c r="E79" s="190">
        <v>971547268.36000001</v>
      </c>
      <c r="F79" s="190">
        <v>717707331.98000002</v>
      </c>
      <c r="G79" s="190">
        <v>717707331.98000002</v>
      </c>
      <c r="H79" s="190">
        <v>717707331.98000002</v>
      </c>
      <c r="I79" s="190">
        <v>717707331.98000002</v>
      </c>
      <c r="J79" s="190">
        <v>528267747</v>
      </c>
      <c r="K79" s="190">
        <v>528267747</v>
      </c>
      <c r="L79" s="190">
        <v>528267747</v>
      </c>
      <c r="M79" s="190">
        <v>528267747</v>
      </c>
      <c r="N79" s="190">
        <v>366076331.12</v>
      </c>
      <c r="O79" s="190">
        <v>366076331.12</v>
      </c>
      <c r="P79" s="190">
        <v>366076331.12</v>
      </c>
      <c r="Q79" s="190">
        <v>366076331.12</v>
      </c>
      <c r="R79" s="190">
        <v>292259176.48000002</v>
      </c>
      <c r="S79" s="190">
        <v>292259176.48000002</v>
      </c>
      <c r="T79" s="190">
        <v>292259176.48000002</v>
      </c>
      <c r="U79" s="190">
        <v>292259176.48000002</v>
      </c>
      <c r="V79" s="190">
        <v>166858744.25999999</v>
      </c>
      <c r="W79" s="190">
        <v>166858744.25999999</v>
      </c>
      <c r="X79" s="190">
        <v>166858744.25999999</v>
      </c>
      <c r="Y79" s="190">
        <v>166858744.25999999</v>
      </c>
      <c r="Z79" s="190">
        <v>104900230.87</v>
      </c>
      <c r="AA79" s="190">
        <v>104900230.87</v>
      </c>
      <c r="AB79" s="190">
        <v>104900230.87</v>
      </c>
      <c r="AC79" s="190">
        <v>104900230.87</v>
      </c>
      <c r="AD79" s="190">
        <v>73842597.590000004</v>
      </c>
      <c r="AE79" s="190">
        <v>73842597.590000004</v>
      </c>
      <c r="AF79" s="190">
        <v>73842597.590000004</v>
      </c>
      <c r="AG79" s="190">
        <v>73842597.590000004</v>
      </c>
      <c r="AH79" s="190">
        <v>48853820.840000004</v>
      </c>
      <c r="AI79" s="190">
        <v>48853820.840000004</v>
      </c>
      <c r="AJ79" s="190">
        <v>48853820.840000004</v>
      </c>
      <c r="AK79" s="190">
        <v>48853820.840000004</v>
      </c>
      <c r="AL79" s="190">
        <v>37085203.100000001</v>
      </c>
      <c r="AM79" s="190">
        <v>37085203.100000001</v>
      </c>
      <c r="AN79" s="190">
        <v>37085203.100000001</v>
      </c>
      <c r="AO79" s="190">
        <v>37085203.100000001</v>
      </c>
      <c r="AP79" s="190">
        <v>26118341.550000001</v>
      </c>
      <c r="AQ79" s="190">
        <v>26118341.550000001</v>
      </c>
      <c r="AR79" s="190">
        <v>26122077.969999999</v>
      </c>
      <c r="AS79" s="190">
        <v>26118341.550000001</v>
      </c>
      <c r="AT79" s="190">
        <v>17639591.399999999</v>
      </c>
      <c r="AU79" s="190">
        <v>14059872.130000001</v>
      </c>
      <c r="AV79" s="190">
        <v>0</v>
      </c>
    </row>
    <row r="80" spans="1:48"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row>
    <row r="81" spans="1:48" x14ac:dyDescent="0.25">
      <c r="A81" s="190" t="s">
        <v>185</v>
      </c>
      <c r="B81" s="190">
        <v>6980060197.8500004</v>
      </c>
      <c r="C81" s="190">
        <v>6498295696.79</v>
      </c>
      <c r="D81" s="190">
        <v>6291653176.9399996</v>
      </c>
      <c r="E81" s="190">
        <v>5996130036.2700005</v>
      </c>
      <c r="F81" s="190">
        <v>5315733413.7299995</v>
      </c>
      <c r="G81" s="190">
        <v>4854244363.6599998</v>
      </c>
      <c r="H81" s="190">
        <v>4447855459.3400002</v>
      </c>
      <c r="I81" s="190">
        <v>4161017062.96</v>
      </c>
      <c r="J81" s="190">
        <v>3594812916.9000001</v>
      </c>
      <c r="K81" s="190">
        <v>3234998224.3200002</v>
      </c>
      <c r="L81" s="190">
        <v>2740404179.5900002</v>
      </c>
      <c r="M81" s="190">
        <v>3685063626.1999998</v>
      </c>
      <c r="N81" s="190">
        <v>3236234977.0799999</v>
      </c>
      <c r="O81" s="190">
        <v>2938610451.1100001</v>
      </c>
      <c r="P81" s="190">
        <v>2694219395.6399999</v>
      </c>
      <c r="Q81" s="190">
        <v>2590788540.8099999</v>
      </c>
      <c r="R81" s="190">
        <v>2245595189.1799998</v>
      </c>
      <c r="S81" s="190">
        <v>2027329464.3</v>
      </c>
      <c r="T81" s="190">
        <v>1837280445.8099999</v>
      </c>
      <c r="U81" s="190">
        <v>1635611965.1500001</v>
      </c>
      <c r="V81" s="190">
        <v>1246057149.3099999</v>
      </c>
      <c r="W81" s="190">
        <v>1016344017.78</v>
      </c>
      <c r="X81" s="190">
        <v>1420186575.8299999</v>
      </c>
      <c r="Y81" s="190">
        <v>1277513486.6600001</v>
      </c>
      <c r="Z81" s="190">
        <v>1017301914.5700001</v>
      </c>
      <c r="AA81" s="190">
        <v>865113828.69000006</v>
      </c>
      <c r="AB81" s="190">
        <v>776041997.03999996</v>
      </c>
      <c r="AC81" s="190">
        <v>709074292</v>
      </c>
      <c r="AD81" s="190">
        <v>566387201.30999994</v>
      </c>
      <c r="AE81" s="190">
        <v>491056096.66000003</v>
      </c>
      <c r="AF81" s="190">
        <v>540874844.96000004</v>
      </c>
      <c r="AG81" s="190">
        <v>501689001.75999999</v>
      </c>
      <c r="AH81" s="190">
        <v>407153783.12</v>
      </c>
      <c r="AI81" s="190">
        <v>344833615.5</v>
      </c>
      <c r="AJ81" s="190">
        <v>358391822.61000001</v>
      </c>
      <c r="AK81" s="190">
        <v>339863192.55000001</v>
      </c>
      <c r="AL81" s="190">
        <v>294422449.41000003</v>
      </c>
      <c r="AM81" s="190">
        <v>268469470.63999999</v>
      </c>
      <c r="AN81" s="190">
        <v>255784846.06999999</v>
      </c>
      <c r="AO81" s="190">
        <v>249474779.94</v>
      </c>
      <c r="AP81" s="190">
        <v>227373004.38999999</v>
      </c>
      <c r="AQ81" s="190">
        <v>189666363.09999999</v>
      </c>
      <c r="AR81" s="190">
        <v>158738992.87</v>
      </c>
      <c r="AS81" s="190">
        <v>152938471.02000001</v>
      </c>
      <c r="AT81" s="190">
        <v>75668961.390000001</v>
      </c>
      <c r="AU81" s="190">
        <v>71520904.519999996</v>
      </c>
      <c r="AV81" s="190">
        <v>0</v>
      </c>
    </row>
    <row r="82" spans="1:48" x14ac:dyDescent="0.25">
      <c r="A82" s="190" t="s">
        <v>186</v>
      </c>
      <c r="B82" s="190">
        <v>11447836224.25</v>
      </c>
      <c r="C82" s="190">
        <v>10976288947.34</v>
      </c>
      <c r="D82" s="190">
        <v>10767503558.530001</v>
      </c>
      <c r="E82" s="190">
        <v>10466434375.190001</v>
      </c>
      <c r="F82" s="190">
        <v>9530659604.3700008</v>
      </c>
      <c r="G82" s="190">
        <v>9070366009.1499996</v>
      </c>
      <c r="H82" s="190">
        <v>8529589191.21</v>
      </c>
      <c r="I82" s="190">
        <v>8237011399.8000002</v>
      </c>
      <c r="J82" s="190">
        <v>7478335005.96</v>
      </c>
      <c r="K82" s="190">
        <v>7112190112</v>
      </c>
      <c r="L82" s="190">
        <v>6601941105.0900002</v>
      </c>
      <c r="M82" s="190">
        <v>6492483568.1400003</v>
      </c>
      <c r="N82" s="190">
        <v>5864557749.9700003</v>
      </c>
      <c r="O82" s="190">
        <v>5566055417.71</v>
      </c>
      <c r="P82" s="190">
        <v>5307638809.1300001</v>
      </c>
      <c r="Q82" s="190">
        <v>5202660851.3199997</v>
      </c>
      <c r="R82" s="190">
        <v>5295080630.9799995</v>
      </c>
      <c r="S82" s="190">
        <v>5066617799.8800001</v>
      </c>
      <c r="T82" s="190">
        <v>4370256549.1700001</v>
      </c>
      <c r="U82" s="190">
        <v>4168588068.5100002</v>
      </c>
      <c r="V82" s="190">
        <v>3653632966.4499998</v>
      </c>
      <c r="W82" s="190">
        <v>3423918434.8299999</v>
      </c>
      <c r="X82" s="190">
        <v>2285444362.4099998</v>
      </c>
      <c r="Y82" s="190">
        <v>2142142219.95</v>
      </c>
      <c r="Z82" s="190">
        <v>1818657187.24</v>
      </c>
      <c r="AA82" s="190">
        <v>1664946411.0999999</v>
      </c>
      <c r="AB82" s="190">
        <v>1574351889.1900001</v>
      </c>
      <c r="AC82" s="190">
        <v>1505861493.8900001</v>
      </c>
      <c r="AD82" s="190">
        <v>1325982347.9300001</v>
      </c>
      <c r="AE82" s="190">
        <v>1244516821.29</v>
      </c>
      <c r="AF82" s="190">
        <v>1218431047.5999999</v>
      </c>
      <c r="AG82" s="190">
        <v>1173110782.4100001</v>
      </c>
      <c r="AH82" s="190">
        <v>1042744520.2</v>
      </c>
      <c r="AI82" s="190">
        <v>870261941.75999999</v>
      </c>
      <c r="AJ82" s="190">
        <v>846806059.92999995</v>
      </c>
      <c r="AK82" s="190">
        <v>828277429.87</v>
      </c>
      <c r="AL82" s="190">
        <v>771068068.99000001</v>
      </c>
      <c r="AM82" s="190">
        <v>745115090.22000003</v>
      </c>
      <c r="AN82" s="190">
        <v>732430465.64999998</v>
      </c>
      <c r="AO82" s="190">
        <v>726120399.51999998</v>
      </c>
      <c r="AP82" s="190">
        <v>693051762.41999996</v>
      </c>
      <c r="AQ82" s="190">
        <v>655345121.13</v>
      </c>
      <c r="AR82" s="190">
        <v>234868521.31999999</v>
      </c>
      <c r="AS82" s="190">
        <v>229064263.05000001</v>
      </c>
      <c r="AT82" s="190">
        <v>143316739.27000001</v>
      </c>
      <c r="AU82" s="190">
        <v>135588227.13</v>
      </c>
      <c r="AV82" s="190">
        <v>0</v>
      </c>
    </row>
    <row r="83" spans="1:48" x14ac:dyDescent="0.25">
      <c r="A83" s="190" t="s">
        <v>187</v>
      </c>
      <c r="B83" s="190">
        <v>214291932.72</v>
      </c>
      <c r="C83" s="190">
        <v>161119966.24000001</v>
      </c>
      <c r="D83" s="190">
        <v>132061102.05</v>
      </c>
      <c r="E83" s="190">
        <v>126795637.3</v>
      </c>
      <c r="F83" s="190">
        <v>126361561.78</v>
      </c>
      <c r="G83" s="190">
        <v>108028857.59999999</v>
      </c>
      <c r="H83" s="190">
        <v>199474402.63</v>
      </c>
      <c r="I83" s="190">
        <v>188773235.47999999</v>
      </c>
      <c r="J83" s="190">
        <v>196113126.06999999</v>
      </c>
      <c r="K83" s="190">
        <v>181052977.16</v>
      </c>
      <c r="L83" s="190">
        <v>148239108.38</v>
      </c>
      <c r="M83" s="190">
        <v>73903788.760000005</v>
      </c>
      <c r="N83" s="190">
        <v>9287661.0800000001</v>
      </c>
      <c r="O83" s="190">
        <v>11287247.119999999</v>
      </c>
      <c r="P83" s="190">
        <v>11861120.17</v>
      </c>
      <c r="Q83" s="190">
        <v>8377451.5099999998</v>
      </c>
      <c r="R83" s="190">
        <v>6403346.46</v>
      </c>
      <c r="S83" s="190">
        <v>5682199.8200000003</v>
      </c>
      <c r="T83" s="190">
        <v>5189791.63</v>
      </c>
      <c r="U83" s="190">
        <v>5291407.72</v>
      </c>
      <c r="V83" s="190">
        <v>5060313.46</v>
      </c>
      <c r="W83" s="190">
        <v>5293431.21</v>
      </c>
      <c r="X83" s="190">
        <v>4885326.7</v>
      </c>
      <c r="Y83" s="190">
        <v>5510840.5499999998</v>
      </c>
      <c r="Z83" s="190">
        <v>6206636.5700000003</v>
      </c>
      <c r="AA83" s="190">
        <v>7074077.8099999996</v>
      </c>
      <c r="AB83" s="190">
        <v>8093969.2000000002</v>
      </c>
      <c r="AC83" s="190">
        <v>9014751.4399999995</v>
      </c>
      <c r="AD83" s="190">
        <v>8136977.4299999997</v>
      </c>
      <c r="AE83" s="190">
        <v>6904913.1100000003</v>
      </c>
      <c r="AF83" s="190">
        <v>2190226.7999999998</v>
      </c>
      <c r="AG83" s="190">
        <v>1237025.83</v>
      </c>
      <c r="AH83" s="190">
        <v>1636158.82</v>
      </c>
      <c r="AI83" s="190">
        <v>1806942.47</v>
      </c>
      <c r="AJ83" s="190">
        <v>1853815.63</v>
      </c>
      <c r="AK83" s="190">
        <v>0</v>
      </c>
      <c r="AL83" s="190">
        <v>22008.94</v>
      </c>
      <c r="AM83" s="190">
        <v>22565.57</v>
      </c>
      <c r="AN83" s="190">
        <v>18700.7</v>
      </c>
      <c r="AO83" s="190">
        <v>99477.77</v>
      </c>
      <c r="AP83" s="190">
        <v>-430155.2</v>
      </c>
      <c r="AQ83" s="190">
        <v>-170435.89</v>
      </c>
      <c r="AR83" s="190">
        <v>4815.3</v>
      </c>
      <c r="AS83" s="190">
        <v>188077.46</v>
      </c>
      <c r="AT83" s="190">
        <v>237461.19</v>
      </c>
      <c r="AU83" s="190">
        <v>11057365.890000001</v>
      </c>
      <c r="AV83" s="190">
        <v>0</v>
      </c>
    </row>
    <row r="84" spans="1:48" x14ac:dyDescent="0.25">
      <c r="A84" s="190" t="s">
        <v>188</v>
      </c>
      <c r="B84" s="190">
        <v>11662128156.969999</v>
      </c>
      <c r="C84" s="190">
        <v>11137408913.58</v>
      </c>
      <c r="D84" s="190">
        <v>10899564660.58</v>
      </c>
      <c r="E84" s="190">
        <v>10593230012.49</v>
      </c>
      <c r="F84" s="190">
        <v>9657021166.1499996</v>
      </c>
      <c r="G84" s="190">
        <v>9178394866.75</v>
      </c>
      <c r="H84" s="190">
        <v>8729063593.8400002</v>
      </c>
      <c r="I84" s="190">
        <v>8425784635.2799997</v>
      </c>
      <c r="J84" s="190">
        <v>7674448132.0299997</v>
      </c>
      <c r="K84" s="190">
        <v>7293243089.1599998</v>
      </c>
      <c r="L84" s="190">
        <v>6750180213.4700003</v>
      </c>
      <c r="M84" s="190">
        <v>6566387356.8999996</v>
      </c>
      <c r="N84" s="190">
        <v>5873845411.0500002</v>
      </c>
      <c r="O84" s="190">
        <v>5577342664.8299999</v>
      </c>
      <c r="P84" s="190">
        <v>5319499929.3000002</v>
      </c>
      <c r="Q84" s="190">
        <v>5211038302.8299999</v>
      </c>
      <c r="R84" s="190">
        <v>5301483977.4399996</v>
      </c>
      <c r="S84" s="190">
        <v>5072299999.6999998</v>
      </c>
      <c r="T84" s="190">
        <v>4375446340.8000002</v>
      </c>
      <c r="U84" s="190">
        <v>4173879476.23</v>
      </c>
      <c r="V84" s="190">
        <v>3658693279.9099998</v>
      </c>
      <c r="W84" s="190">
        <v>3429211866.04</v>
      </c>
      <c r="X84" s="190">
        <v>2290329689.1100001</v>
      </c>
      <c r="Y84" s="190">
        <v>2147653060.5</v>
      </c>
      <c r="Z84" s="190">
        <v>1824863823.8099999</v>
      </c>
      <c r="AA84" s="190">
        <v>1672020488.9100001</v>
      </c>
      <c r="AB84" s="190">
        <v>1582445858.3900001</v>
      </c>
      <c r="AC84" s="190">
        <v>1514876245.3299999</v>
      </c>
      <c r="AD84" s="190">
        <v>1334119325.3599999</v>
      </c>
      <c r="AE84" s="190">
        <v>1251421734.4000001</v>
      </c>
      <c r="AF84" s="190">
        <v>1220621274.4000001</v>
      </c>
      <c r="AG84" s="190">
        <v>1174347808.24</v>
      </c>
      <c r="AH84" s="190">
        <v>1044380679.02</v>
      </c>
      <c r="AI84" s="190">
        <v>872068884.23000002</v>
      </c>
      <c r="AJ84" s="190">
        <v>848659875.55999994</v>
      </c>
      <c r="AK84" s="190">
        <v>828277429.87</v>
      </c>
      <c r="AL84" s="190">
        <v>771090077.92999995</v>
      </c>
      <c r="AM84" s="190">
        <v>745137655.78999996</v>
      </c>
      <c r="AN84" s="190">
        <v>732449166.35000002</v>
      </c>
      <c r="AO84" s="190">
        <v>726219877.28999996</v>
      </c>
      <c r="AP84" s="190">
        <v>692621607.22000003</v>
      </c>
      <c r="AQ84" s="190">
        <v>655174685.24000001</v>
      </c>
      <c r="AR84" s="190">
        <v>234873336.62</v>
      </c>
      <c r="AS84" s="190">
        <v>229252340.50999999</v>
      </c>
      <c r="AT84" s="190">
        <v>143554200.46000001</v>
      </c>
      <c r="AU84" s="190">
        <v>146645593.02000001</v>
      </c>
      <c r="AV84" s="190">
        <v>0</v>
      </c>
    </row>
    <row r="85" spans="1:48" x14ac:dyDescent="0.25">
      <c r="A85" s="190" t="s">
        <v>189</v>
      </c>
      <c r="B85" s="190">
        <v>23415201556.889999</v>
      </c>
      <c r="C85" s="190">
        <v>22227058009.68</v>
      </c>
      <c r="D85" s="190">
        <v>20881982026.119999</v>
      </c>
      <c r="E85" s="190">
        <v>21333478563.970001</v>
      </c>
      <c r="F85" s="190">
        <v>18888788868.369999</v>
      </c>
      <c r="G85" s="190">
        <v>16997986152.209999</v>
      </c>
      <c r="H85" s="190">
        <v>14887202942.85</v>
      </c>
      <c r="I85" s="190">
        <v>15366397939.879999</v>
      </c>
      <c r="J85" s="190">
        <v>12932072032.98</v>
      </c>
      <c r="K85" s="190">
        <v>11883991054.700001</v>
      </c>
      <c r="L85" s="190">
        <v>11040597572.620001</v>
      </c>
      <c r="M85" s="190">
        <v>11503470826.65</v>
      </c>
      <c r="N85" s="190">
        <v>8893381742.0900002</v>
      </c>
      <c r="O85" s="190">
        <v>8410971322.5</v>
      </c>
      <c r="P85" s="190">
        <v>7513336328.5</v>
      </c>
      <c r="Q85" s="190">
        <v>7989966221.2299995</v>
      </c>
      <c r="R85" s="190">
        <v>6685469002.21</v>
      </c>
      <c r="S85" s="190">
        <v>6764167561.7299995</v>
      </c>
      <c r="T85" s="190">
        <v>6479879502.0100002</v>
      </c>
      <c r="U85" s="190">
        <v>6027517864.3400002</v>
      </c>
      <c r="V85" s="190">
        <v>4844411923.9300003</v>
      </c>
      <c r="W85" s="190">
        <v>4513245069.4200001</v>
      </c>
      <c r="X85" s="190">
        <v>3358242841.1999998</v>
      </c>
      <c r="Y85" s="190">
        <v>3397431128.6700001</v>
      </c>
      <c r="Z85" s="190">
        <v>2892327659.98</v>
      </c>
      <c r="AA85" s="190">
        <v>2595719410.0999999</v>
      </c>
      <c r="AB85" s="190">
        <v>2265711348.6599998</v>
      </c>
      <c r="AC85" s="190">
        <v>2269092935.7199998</v>
      </c>
      <c r="AD85" s="190">
        <v>1895906997.0899999</v>
      </c>
      <c r="AE85" s="190">
        <v>1894849695.1900001</v>
      </c>
      <c r="AF85" s="190">
        <v>1754188271.24</v>
      </c>
      <c r="AG85" s="190">
        <v>1777587200.25</v>
      </c>
      <c r="AH85" s="190">
        <v>1584292599.9300001</v>
      </c>
      <c r="AI85" s="190">
        <v>1380874681.1199999</v>
      </c>
      <c r="AJ85" s="190">
        <v>1225804655.4400001</v>
      </c>
      <c r="AK85" s="190">
        <v>1160158277.98</v>
      </c>
      <c r="AL85" s="190">
        <v>1009282362.71</v>
      </c>
      <c r="AM85" s="190">
        <v>907125041.49000001</v>
      </c>
      <c r="AN85" s="190">
        <v>870090357.07000005</v>
      </c>
      <c r="AO85" s="190">
        <v>864793024.65999997</v>
      </c>
      <c r="AP85" s="190">
        <v>839262635.75999999</v>
      </c>
      <c r="AQ85" s="190">
        <v>807085430.44000006</v>
      </c>
      <c r="AR85" s="190">
        <v>386143428.06999999</v>
      </c>
      <c r="AS85" s="190">
        <v>379279218.70999998</v>
      </c>
      <c r="AT85" s="190">
        <v>298966854.94999999</v>
      </c>
      <c r="AU85" s="190">
        <v>307367131.47000003</v>
      </c>
      <c r="AV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Y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20" width="13.88671875" style="190" hidden="1" customWidth="1"/>
    <col min="21" max="21" width="13.88671875" style="190" bestFit="1" customWidth="1"/>
    <col min="22" max="22" width="13.88671875" style="190" hidden="1" customWidth="1"/>
    <col min="23" max="24" width="12.77734375" style="190" hidden="1" customWidth="1"/>
    <col min="25" max="25" width="13.88671875" style="190" bestFit="1" customWidth="1"/>
    <col min="26" max="28" width="12.77734375" style="190" hidden="1" customWidth="1"/>
    <col min="29" max="29" width="13.886718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50" width="12.77734375" style="190" bestFit="1" customWidth="1"/>
    <col min="51" max="51" width="9.5546875" style="190" hidden="1" customWidth="1"/>
    <col min="52" max="16384" width="8.88671875" style="190"/>
  </cols>
  <sheetData>
    <row r="1" spans="1:51"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190</v>
      </c>
      <c r="B3" s="190">
        <v>15030729066.200001</v>
      </c>
      <c r="C3" s="190">
        <v>9814041352.4799995</v>
      </c>
      <c r="D3" s="190">
        <v>3617652691.4000001</v>
      </c>
      <c r="E3" s="190">
        <v>18844458053.779999</v>
      </c>
      <c r="F3" s="190">
        <v>11723294881.290001</v>
      </c>
      <c r="G3" s="190">
        <v>7464664934.3800001</v>
      </c>
      <c r="H3" s="190">
        <v>2648612419.3600001</v>
      </c>
      <c r="I3" s="190">
        <v>13329094010.82</v>
      </c>
      <c r="J3" s="190">
        <v>7968634527.2799997</v>
      </c>
      <c r="K3" s="190">
        <v>4949746889.5100002</v>
      </c>
      <c r="L3" s="190">
        <v>1782728113.9400001</v>
      </c>
      <c r="M3" s="190">
        <v>10077833438.49</v>
      </c>
      <c r="N3" s="190">
        <v>5830194178.29</v>
      </c>
      <c r="O3" s="190">
        <v>3468887211.1300001</v>
      </c>
      <c r="P3" s="190">
        <v>1202598595.55</v>
      </c>
      <c r="Q3" s="190">
        <v>7331881449.46</v>
      </c>
      <c r="R3" s="190">
        <v>4647473079.6899996</v>
      </c>
      <c r="S3" s="190">
        <v>3042521916.96</v>
      </c>
      <c r="T3" s="190">
        <v>1144820982.71</v>
      </c>
      <c r="U3" s="190">
        <v>5410094042.8000002</v>
      </c>
      <c r="V3" s="190">
        <v>3259172104.4099998</v>
      </c>
      <c r="W3" s="190">
        <v>2031589599.46</v>
      </c>
      <c r="X3" s="190">
        <v>788467237.58000004</v>
      </c>
      <c r="Y3" s="190">
        <v>3531214471.6199999</v>
      </c>
      <c r="Z3" s="190">
        <v>2192882979.0100002</v>
      </c>
      <c r="AA3" s="190">
        <v>1296870812.8800001</v>
      </c>
      <c r="AB3" s="190">
        <v>498029565.17000002</v>
      </c>
      <c r="AC3" s="190">
        <v>2205208207.0799999</v>
      </c>
      <c r="AD3" s="190">
        <v>1460699765.0599999</v>
      </c>
      <c r="AE3" s="190">
        <v>894260544.45000005</v>
      </c>
      <c r="AF3" s="190">
        <v>328634906.66000003</v>
      </c>
      <c r="AG3" s="190">
        <v>1516275445.1600001</v>
      </c>
      <c r="AH3" s="190">
        <v>957975121.67999995</v>
      </c>
      <c r="AI3" s="190">
        <v>570649139.51999998</v>
      </c>
      <c r="AJ3" s="190">
        <v>212729003.41999999</v>
      </c>
      <c r="AK3" s="190">
        <v>835942072.07000005</v>
      </c>
      <c r="AL3" s="190">
        <v>518260863.69</v>
      </c>
      <c r="AM3" s="190">
        <v>299015862</v>
      </c>
      <c r="AN3" s="190">
        <v>129896906.78</v>
      </c>
      <c r="AO3" s="190">
        <v>632018390.76999998</v>
      </c>
      <c r="AP3" s="190">
        <v>444354759.20999998</v>
      </c>
      <c r="AQ3" s="190">
        <v>264817613.74000001</v>
      </c>
      <c r="AR3" s="190">
        <v>79182563.640000001</v>
      </c>
      <c r="AS3" s="190">
        <v>405185173.70999998</v>
      </c>
      <c r="AT3" s="190">
        <v>257689679.09</v>
      </c>
      <c r="AU3" s="190">
        <v>139893683.97999999</v>
      </c>
      <c r="AV3" s="190">
        <v>50910017.090000004</v>
      </c>
      <c r="AW3" s="190">
        <v>445538267</v>
      </c>
      <c r="AX3" s="190">
        <v>293144590.5</v>
      </c>
      <c r="AY3" s="190">
        <v>0</v>
      </c>
    </row>
    <row r="4" spans="1:51" x14ac:dyDescent="0.25">
      <c r="A4" s="190" t="s">
        <v>191</v>
      </c>
      <c r="B4" s="190">
        <v>15030729066.200001</v>
      </c>
      <c r="C4" s="190">
        <v>9814041352.4799995</v>
      </c>
      <c r="D4" s="190">
        <v>3617652691.4000001</v>
      </c>
      <c r="E4" s="190">
        <v>18844458053.779999</v>
      </c>
      <c r="F4" s="190">
        <v>11723294881.290001</v>
      </c>
      <c r="G4" s="190">
        <v>7464664934.3800001</v>
      </c>
      <c r="H4" s="190">
        <v>2648612419.3600001</v>
      </c>
      <c r="I4" s="190">
        <v>13329094010.82</v>
      </c>
      <c r="J4" s="190">
        <v>7968634527.2799997</v>
      </c>
      <c r="K4" s="190">
        <v>4949746889.5100002</v>
      </c>
      <c r="L4" s="190">
        <v>1782728113.9400001</v>
      </c>
      <c r="M4" s="190">
        <v>10077833438.49</v>
      </c>
      <c r="N4" s="190">
        <v>5830194178.29</v>
      </c>
      <c r="O4" s="190">
        <v>3468887211.1300001</v>
      </c>
      <c r="P4" s="190">
        <v>1202598595.55</v>
      </c>
      <c r="Q4" s="190">
        <v>7331881449.46</v>
      </c>
      <c r="R4" s="190">
        <v>4647473079.6899996</v>
      </c>
      <c r="S4" s="190">
        <v>3042521916.96</v>
      </c>
      <c r="T4" s="190">
        <v>1144820982.71</v>
      </c>
      <c r="U4" s="190">
        <v>5410094042.8000002</v>
      </c>
      <c r="V4" s="190">
        <v>3259172104.4099998</v>
      </c>
      <c r="W4" s="190">
        <v>2031589599.46</v>
      </c>
      <c r="X4" s="190">
        <v>788467237.58000004</v>
      </c>
      <c r="Y4" s="190">
        <v>3531214471.6199999</v>
      </c>
      <c r="Z4" s="190">
        <v>2192882979.0100002</v>
      </c>
      <c r="AA4" s="190">
        <v>1296870812.8800001</v>
      </c>
      <c r="AB4" s="190">
        <v>498029565.17000002</v>
      </c>
      <c r="AC4" s="190">
        <v>2205208207.0799999</v>
      </c>
      <c r="AD4" s="190">
        <v>1460699765.0599999</v>
      </c>
      <c r="AE4" s="190">
        <v>894260544.45000005</v>
      </c>
      <c r="AF4" s="190">
        <v>328634906.66000003</v>
      </c>
      <c r="AG4" s="190">
        <v>1516275445.1600001</v>
      </c>
      <c r="AH4" s="190">
        <v>957975121.67999995</v>
      </c>
      <c r="AI4" s="190">
        <v>570649139.51999998</v>
      </c>
      <c r="AJ4" s="190">
        <v>212729003.41999999</v>
      </c>
      <c r="AK4" s="190">
        <v>835942072.07000005</v>
      </c>
      <c r="AL4" s="190">
        <v>518260863.69</v>
      </c>
      <c r="AM4" s="190">
        <v>299015862</v>
      </c>
      <c r="AN4" s="190">
        <v>129896906.78</v>
      </c>
      <c r="AO4" s="190">
        <v>632018390.76999998</v>
      </c>
      <c r="AP4" s="190">
        <v>444354759.20999998</v>
      </c>
      <c r="AQ4" s="190">
        <v>264817613.74000001</v>
      </c>
      <c r="AR4" s="190">
        <v>79182563.640000001</v>
      </c>
      <c r="AS4" s="190">
        <v>405185173.70999998</v>
      </c>
      <c r="AT4" s="190">
        <v>257689679.09</v>
      </c>
      <c r="AU4" s="190">
        <v>139893683.97999999</v>
      </c>
      <c r="AV4" s="190">
        <v>50910017.090000004</v>
      </c>
      <c r="AW4" s="190">
        <v>445538267</v>
      </c>
      <c r="AX4" s="190">
        <v>293144590.5</v>
      </c>
      <c r="AY4" s="190">
        <v>0</v>
      </c>
    </row>
    <row r="5" spans="1:51" x14ac:dyDescent="0.25">
      <c r="A5" s="190" t="s">
        <v>192</v>
      </c>
      <c r="B5" s="190">
        <v>13709855396.51</v>
      </c>
      <c r="C5" s="190">
        <v>8785298691.0300007</v>
      </c>
      <c r="D5" s="190">
        <v>3408142945.8299999</v>
      </c>
      <c r="E5" s="190">
        <v>16919172999.6</v>
      </c>
      <c r="F5" s="190">
        <v>10666539007.219999</v>
      </c>
      <c r="G5" s="190">
        <v>6677841591.3299999</v>
      </c>
      <c r="H5" s="190">
        <v>2532178698.5300002</v>
      </c>
      <c r="I5" s="190">
        <v>11905313751.65</v>
      </c>
      <c r="J5" s="190">
        <v>7209873734.8299999</v>
      </c>
      <c r="K5" s="190">
        <v>4390573419.1999998</v>
      </c>
      <c r="L5" s="190">
        <v>1696852178.02</v>
      </c>
      <c r="M5" s="190">
        <v>8884801956.7399998</v>
      </c>
      <c r="N5" s="190">
        <v>5197526829.5799999</v>
      </c>
      <c r="O5" s="190">
        <v>3100005740.5300002</v>
      </c>
      <c r="P5" s="190">
        <v>1136952462.6099999</v>
      </c>
      <c r="Q5" s="190">
        <v>6412768155.4399996</v>
      </c>
      <c r="R5" s="190">
        <v>4096125929.3499999</v>
      </c>
      <c r="S5" s="190">
        <v>2626646337.1900001</v>
      </c>
      <c r="T5" s="190">
        <v>987014824.76999998</v>
      </c>
      <c r="U5" s="190">
        <v>4484001190.1000004</v>
      </c>
      <c r="V5" s="190">
        <v>2692052219.4400001</v>
      </c>
      <c r="W5" s="190">
        <v>1688737521.8299999</v>
      </c>
      <c r="X5" s="190">
        <v>674123977.71000004</v>
      </c>
      <c r="Y5" s="190">
        <v>2924298493.48</v>
      </c>
      <c r="Z5" s="190">
        <v>1854666091.01</v>
      </c>
      <c r="AA5" s="190">
        <v>1097639440.6400001</v>
      </c>
      <c r="AB5" s="190">
        <v>443347074.45999998</v>
      </c>
      <c r="AC5" s="190">
        <v>1870266206.55</v>
      </c>
      <c r="AD5" s="190">
        <v>1234300793.6700001</v>
      </c>
      <c r="AE5" s="190">
        <v>758571468.59000003</v>
      </c>
      <c r="AF5" s="190">
        <v>295027420.5</v>
      </c>
      <c r="AG5" s="190">
        <v>1277038282.5899999</v>
      </c>
      <c r="AH5" s="190">
        <v>831345213.28999996</v>
      </c>
      <c r="AI5" s="190">
        <v>498652854.06999999</v>
      </c>
      <c r="AJ5" s="190">
        <v>197571148.5</v>
      </c>
      <c r="AK5" s="190">
        <v>744993476.23000002</v>
      </c>
      <c r="AL5" s="190">
        <v>470083403.49000001</v>
      </c>
      <c r="AM5" s="190">
        <v>271604497.85000002</v>
      </c>
      <c r="AN5" s="190">
        <v>125166784.45</v>
      </c>
      <c r="AO5" s="190">
        <v>550471411.19000006</v>
      </c>
      <c r="AP5" s="190">
        <v>376083946.11000001</v>
      </c>
      <c r="AQ5" s="190">
        <v>230949005.96000001</v>
      </c>
      <c r="AR5" s="190">
        <v>73814373.170000002</v>
      </c>
      <c r="AS5" s="190">
        <v>328224356.94999999</v>
      </c>
      <c r="AT5" s="190">
        <v>210652144.97999999</v>
      </c>
      <c r="AU5" s="190">
        <v>121020460.48</v>
      </c>
      <c r="AV5" s="190">
        <v>51339894.609999999</v>
      </c>
      <c r="AW5" s="190">
        <v>420441998.24000001</v>
      </c>
      <c r="AX5" s="190">
        <v>259384808.88999999</v>
      </c>
      <c r="AY5" s="190">
        <v>0</v>
      </c>
    </row>
    <row r="6" spans="1:51" x14ac:dyDescent="0.25">
      <c r="A6" s="190" t="s">
        <v>193</v>
      </c>
      <c r="B6" s="190">
        <v>9563851634.7800007</v>
      </c>
      <c r="C6" s="190">
        <v>6230120445.0600004</v>
      </c>
      <c r="D6" s="190">
        <v>2207716754.7800002</v>
      </c>
      <c r="E6" s="190">
        <v>11639494423.209999</v>
      </c>
      <c r="F6" s="190">
        <v>7135008488.79</v>
      </c>
      <c r="G6" s="190">
        <v>4520040801.1400003</v>
      </c>
      <c r="H6" s="190">
        <v>1595885119.46</v>
      </c>
      <c r="I6" s="190">
        <v>8303330527.9899998</v>
      </c>
      <c r="J6" s="190">
        <v>4896834064.1800003</v>
      </c>
      <c r="K6" s="190">
        <v>3046785118.8600001</v>
      </c>
      <c r="L6" s="190">
        <v>1092805341.8900001</v>
      </c>
      <c r="M6" s="190">
        <v>6326729830.1899996</v>
      </c>
      <c r="N6" s="190">
        <v>3604511249.5</v>
      </c>
      <c r="O6" s="190">
        <v>2145251631.1700001</v>
      </c>
      <c r="P6" s="190">
        <v>747062083.16999996</v>
      </c>
      <c r="Q6" s="190">
        <v>4535434866.8100004</v>
      </c>
      <c r="R6" s="190">
        <v>2893366049.1599998</v>
      </c>
      <c r="S6" s="190">
        <v>1889810162.6700001</v>
      </c>
      <c r="T6" s="190">
        <v>666508253.00999999</v>
      </c>
      <c r="U6" s="190">
        <v>3093424246.1199999</v>
      </c>
      <c r="V6" s="190">
        <v>1845258095.8399999</v>
      </c>
      <c r="W6" s="190">
        <v>1138758255.5</v>
      </c>
      <c r="X6" s="190">
        <v>455317949.39999998</v>
      </c>
      <c r="Y6" s="190">
        <v>2024408961.3800001</v>
      </c>
      <c r="Z6" s="190">
        <v>1266358555.21</v>
      </c>
      <c r="AA6" s="190">
        <v>756705697.53999996</v>
      </c>
      <c r="AB6" s="190">
        <v>298068983.63</v>
      </c>
      <c r="AC6" s="190">
        <v>1273054979.3800001</v>
      </c>
      <c r="AD6" s="190">
        <v>866086435.67999995</v>
      </c>
      <c r="AE6" s="190">
        <v>526147755.11000001</v>
      </c>
      <c r="AF6" s="190">
        <v>189841253.94</v>
      </c>
      <c r="AG6" s="190">
        <v>860147255.85000002</v>
      </c>
      <c r="AH6" s="190">
        <v>556344037.27999997</v>
      </c>
      <c r="AI6" s="190">
        <v>329947315.69</v>
      </c>
      <c r="AJ6" s="190">
        <v>123225849.36</v>
      </c>
      <c r="AK6" s="190">
        <v>511547595.32999998</v>
      </c>
      <c r="AL6" s="190">
        <v>320126727.70999998</v>
      </c>
      <c r="AM6" s="190">
        <v>181632798.91999999</v>
      </c>
      <c r="AN6" s="190">
        <v>77656127.25</v>
      </c>
      <c r="AO6" s="190">
        <v>386541826.72000003</v>
      </c>
      <c r="AP6" s="190">
        <v>270913102.88999999</v>
      </c>
      <c r="AQ6" s="190">
        <v>165611545.53999999</v>
      </c>
      <c r="AR6" s="190">
        <v>49485426.049999997</v>
      </c>
      <c r="AS6" s="190">
        <v>238461729.68000001</v>
      </c>
      <c r="AT6" s="190">
        <v>152195742.72</v>
      </c>
      <c r="AU6" s="190">
        <v>83639847.640000001</v>
      </c>
      <c r="AV6" s="190">
        <v>30839528.030000001</v>
      </c>
      <c r="AW6" s="190">
        <v>294800132.11000001</v>
      </c>
      <c r="AX6" s="190">
        <v>193968349.19</v>
      </c>
      <c r="AY6" s="190">
        <v>0</v>
      </c>
    </row>
    <row r="7" spans="1:51" x14ac:dyDescent="0.25">
      <c r="A7" s="190" t="s">
        <v>194</v>
      </c>
      <c r="B7" s="190">
        <v>104005456.03</v>
      </c>
      <c r="C7" s="190">
        <v>62692261.969999999</v>
      </c>
      <c r="D7" s="190">
        <v>20096268.100000001</v>
      </c>
      <c r="E7" s="190">
        <v>141633153.19</v>
      </c>
      <c r="F7" s="190">
        <v>83288603.069999993</v>
      </c>
      <c r="G7" s="190">
        <v>54023359.420000002</v>
      </c>
      <c r="H7" s="190">
        <v>18580686.43</v>
      </c>
      <c r="I7" s="190">
        <v>85107746.060000002</v>
      </c>
      <c r="J7" s="190">
        <v>51294526.060000002</v>
      </c>
      <c r="K7" s="190">
        <v>30430834.82</v>
      </c>
      <c r="L7" s="190">
        <v>11974897.26</v>
      </c>
      <c r="M7" s="190">
        <v>78699315.280000001</v>
      </c>
      <c r="N7" s="190">
        <v>44042708.259999998</v>
      </c>
      <c r="O7" s="190">
        <v>27351897.289999999</v>
      </c>
      <c r="P7" s="190">
        <v>12211443.65</v>
      </c>
      <c r="Q7" s="190">
        <v>61410782.5</v>
      </c>
      <c r="R7" s="190">
        <v>41267809.25</v>
      </c>
      <c r="S7" s="190">
        <v>28526831.390000001</v>
      </c>
      <c r="T7" s="190">
        <v>12848659.390000001</v>
      </c>
      <c r="U7" s="190">
        <v>55153601.189999998</v>
      </c>
      <c r="V7" s="190">
        <v>28967405.219999999</v>
      </c>
      <c r="W7" s="190">
        <v>18442350.48</v>
      </c>
      <c r="X7" s="190">
        <v>9872358.8499999996</v>
      </c>
      <c r="Y7" s="190">
        <v>27289342.5</v>
      </c>
      <c r="Z7" s="190">
        <v>17811365.309999999</v>
      </c>
      <c r="AA7" s="190">
        <v>9463105.6199999992</v>
      </c>
      <c r="AB7" s="190">
        <v>3482035.7</v>
      </c>
      <c r="AC7" s="190">
        <v>17227726.309999999</v>
      </c>
      <c r="AD7" s="190">
        <v>10401952.52</v>
      </c>
      <c r="AE7" s="190">
        <v>5992899.6500000004</v>
      </c>
      <c r="AF7" s="190">
        <v>2382414.2400000002</v>
      </c>
      <c r="AG7" s="190">
        <v>9441419.3499999996</v>
      </c>
      <c r="AH7" s="190">
        <v>4986975.59</v>
      </c>
      <c r="AI7" s="190">
        <v>3590251.9</v>
      </c>
      <c r="AJ7" s="190">
        <v>1315896.6599999999</v>
      </c>
      <c r="AK7" s="190">
        <v>5407507.5599999996</v>
      </c>
      <c r="AL7" s="190">
        <v>3427362.02</v>
      </c>
      <c r="AM7" s="190">
        <v>2122181.11</v>
      </c>
      <c r="AN7" s="190">
        <v>830648.85</v>
      </c>
      <c r="AO7" s="190">
        <v>3928452.96</v>
      </c>
      <c r="AP7" s="190">
        <v>2480450.9900000002</v>
      </c>
      <c r="AQ7" s="190">
        <v>1381418.31</v>
      </c>
      <c r="AR7" s="190">
        <v>583205.49</v>
      </c>
      <c r="AS7" s="190">
        <v>3250052.87</v>
      </c>
      <c r="AT7" s="190">
        <v>2058551.26</v>
      </c>
      <c r="AU7" s="190">
        <v>1135702.51</v>
      </c>
      <c r="AV7" s="190">
        <v>456019.99</v>
      </c>
      <c r="AW7" s="190">
        <v>2404898.59</v>
      </c>
      <c r="AX7" s="190">
        <v>1114349.1299999999</v>
      </c>
      <c r="AY7" s="190">
        <v>0</v>
      </c>
    </row>
    <row r="8" spans="1:51" x14ac:dyDescent="0.25">
      <c r="A8" s="190" t="s">
        <v>195</v>
      </c>
      <c r="B8" s="190">
        <v>2076706752.3399999</v>
      </c>
      <c r="C8" s="190">
        <v>1252741900.8299999</v>
      </c>
      <c r="D8" s="190">
        <v>565570425.03999996</v>
      </c>
      <c r="E8" s="190">
        <v>2416699706</v>
      </c>
      <c r="F8" s="190">
        <v>1591164605.1300001</v>
      </c>
      <c r="G8" s="190">
        <v>946818977.02999997</v>
      </c>
      <c r="H8" s="190">
        <v>403620472.29000002</v>
      </c>
      <c r="I8" s="190">
        <v>1638140112.8399999</v>
      </c>
      <c r="J8" s="190">
        <v>980503448.03999996</v>
      </c>
      <c r="K8" s="190">
        <v>578257111.87</v>
      </c>
      <c r="L8" s="190">
        <v>254657755.58000001</v>
      </c>
      <c r="M8" s="190">
        <v>1142764719.8499999</v>
      </c>
      <c r="N8" s="190">
        <v>697718959.08000004</v>
      </c>
      <c r="O8" s="190">
        <v>389070954.75</v>
      </c>
      <c r="P8" s="190">
        <v>146245938.87</v>
      </c>
      <c r="Q8" s="190">
        <v>680836838.85000002</v>
      </c>
      <c r="R8" s="190">
        <v>414282545.68000001</v>
      </c>
      <c r="S8" s="190">
        <v>245635008.93000001</v>
      </c>
      <c r="T8" s="190">
        <v>100351943.04000001</v>
      </c>
      <c r="U8" s="190">
        <v>564544190.76999998</v>
      </c>
      <c r="V8" s="190">
        <v>357894654.23000002</v>
      </c>
      <c r="W8" s="190">
        <v>244689701.99000001</v>
      </c>
      <c r="X8" s="190">
        <v>94010036.060000002</v>
      </c>
      <c r="Y8" s="190">
        <v>461382631.81999999</v>
      </c>
      <c r="Z8" s="190">
        <v>269341556.05000001</v>
      </c>
      <c r="AA8" s="190">
        <v>150060759.49000001</v>
      </c>
      <c r="AB8" s="190">
        <v>60026794.740000002</v>
      </c>
      <c r="AC8" s="190">
        <v>299484499.39999998</v>
      </c>
      <c r="AD8" s="190">
        <v>175023462.15000001</v>
      </c>
      <c r="AE8" s="190">
        <v>107051209.54000001</v>
      </c>
      <c r="AF8" s="190">
        <v>49198838.969999999</v>
      </c>
      <c r="AG8" s="190">
        <v>224607629.56999999</v>
      </c>
      <c r="AH8" s="190">
        <v>139103768.63</v>
      </c>
      <c r="AI8" s="190">
        <v>84432271.920000002</v>
      </c>
      <c r="AJ8" s="190">
        <v>36505898.149999999</v>
      </c>
      <c r="AK8" s="190">
        <v>133064007.18000001</v>
      </c>
      <c r="AL8" s="190">
        <v>82453088.370000005</v>
      </c>
      <c r="AM8" s="190">
        <v>50624102.609999999</v>
      </c>
      <c r="AN8" s="190">
        <v>25664757.190000001</v>
      </c>
      <c r="AO8" s="190">
        <v>76310159.140000001</v>
      </c>
      <c r="AP8" s="190">
        <v>49362866.119999997</v>
      </c>
      <c r="AQ8" s="190">
        <v>31192099.93</v>
      </c>
      <c r="AR8" s="190">
        <v>12283969.810000001</v>
      </c>
      <c r="AS8" s="190">
        <v>39250233.210000001</v>
      </c>
      <c r="AT8" s="190">
        <v>26385225.870000001</v>
      </c>
      <c r="AU8" s="190">
        <v>17413218.129999999</v>
      </c>
      <c r="AV8" s="190">
        <v>8287984.4900000002</v>
      </c>
      <c r="AW8" s="190">
        <v>41389646.390000001</v>
      </c>
      <c r="AX8" s="190">
        <v>23396956.890000001</v>
      </c>
      <c r="AY8" s="190">
        <v>0</v>
      </c>
    </row>
    <row r="9" spans="1:51" x14ac:dyDescent="0.25">
      <c r="A9" s="190" t="s">
        <v>196</v>
      </c>
      <c r="B9" s="190">
        <v>477344075.63999999</v>
      </c>
      <c r="C9" s="190">
        <v>1134328456.6199999</v>
      </c>
      <c r="D9" s="190">
        <v>467075141.86000001</v>
      </c>
      <c r="E9" s="190">
        <v>2308406879.77</v>
      </c>
      <c r="F9" s="190">
        <v>1597502753.02</v>
      </c>
      <c r="G9" s="190">
        <v>1018690379.2</v>
      </c>
      <c r="H9" s="190">
        <v>478853735.37</v>
      </c>
      <c r="I9" s="190">
        <v>1831477357.29</v>
      </c>
      <c r="J9" s="190">
        <v>1187372179.52</v>
      </c>
      <c r="K9" s="190">
        <v>686703967.53999996</v>
      </c>
      <c r="L9" s="190">
        <v>313527283.43000001</v>
      </c>
      <c r="M9" s="190">
        <v>1234368469.8699999</v>
      </c>
      <c r="N9" s="190">
        <v>827465368.04999995</v>
      </c>
      <c r="O9" s="190">
        <v>501568369.06999999</v>
      </c>
      <c r="P9" s="190">
        <v>220051056.11000001</v>
      </c>
      <c r="Q9" s="190">
        <v>1077457344.3199999</v>
      </c>
      <c r="R9" s="190">
        <v>718136309.15999997</v>
      </c>
      <c r="S9" s="190">
        <v>439119764.29000002</v>
      </c>
      <c r="T9" s="190">
        <v>205747307.46000001</v>
      </c>
      <c r="U9" s="190">
        <v>693282255.02999997</v>
      </c>
      <c r="V9" s="190">
        <v>415215620.19</v>
      </c>
      <c r="W9" s="190">
        <v>252735106.40000001</v>
      </c>
      <c r="X9" s="190">
        <v>100663678.81999999</v>
      </c>
      <c r="Y9" s="190">
        <v>385612940.85000002</v>
      </c>
      <c r="Z9" s="190">
        <v>272510647.97000003</v>
      </c>
      <c r="AA9" s="190">
        <v>157199752.78999999</v>
      </c>
      <c r="AB9" s="190">
        <v>70778012.310000002</v>
      </c>
      <c r="AC9" s="190">
        <v>264044362.47</v>
      </c>
      <c r="AD9" s="190">
        <v>168350299.63999999</v>
      </c>
      <c r="AE9" s="190">
        <v>104629083.93000001</v>
      </c>
      <c r="AF9" s="190">
        <v>48988222.670000002</v>
      </c>
      <c r="AG9" s="190">
        <v>179333634.15000001</v>
      </c>
      <c r="AH9" s="190">
        <v>124955300.78</v>
      </c>
      <c r="AI9" s="190">
        <v>76526083.120000005</v>
      </c>
      <c r="AJ9" s="190">
        <v>35462656.850000001</v>
      </c>
      <c r="AK9" s="190">
        <v>93657293.260000005</v>
      </c>
      <c r="AL9" s="190">
        <v>65946820.57</v>
      </c>
      <c r="AM9" s="190">
        <v>40979504.579999998</v>
      </c>
      <c r="AN9" s="190">
        <v>23079224.809999999</v>
      </c>
      <c r="AO9" s="190">
        <v>91350676.189999998</v>
      </c>
      <c r="AP9" s="190">
        <v>51849215.789999999</v>
      </c>
      <c r="AQ9" s="190">
        <v>31587847.48</v>
      </c>
      <c r="AR9" s="190">
        <v>12102380.85</v>
      </c>
      <c r="AS9" s="190">
        <v>48576518.380000003</v>
      </c>
      <c r="AT9" s="190">
        <v>32588042.969999999</v>
      </c>
      <c r="AU9" s="190">
        <v>20881464.859999999</v>
      </c>
      <c r="AV9" s="190">
        <v>11436637.25</v>
      </c>
      <c r="AW9" s="190">
        <v>67876147.379999995</v>
      </c>
      <c r="AX9" s="190">
        <v>36179353.289999999</v>
      </c>
      <c r="AY9" s="190">
        <v>0</v>
      </c>
    </row>
    <row r="10" spans="1:51" x14ac:dyDescent="0.25">
      <c r="A10" s="190" t="s">
        <v>197</v>
      </c>
      <c r="B10" s="190">
        <v>-189724920.00999999</v>
      </c>
      <c r="C10" s="190">
        <v>-22880395.850000001</v>
      </c>
      <c r="D10" s="190">
        <v>120852117.44</v>
      </c>
      <c r="E10" s="190">
        <v>167431921.69</v>
      </c>
      <c r="F10" s="190">
        <v>108763323.84999999</v>
      </c>
      <c r="G10" s="190">
        <v>48639551.950000003</v>
      </c>
      <c r="H10" s="190">
        <v>9861307.6199999992</v>
      </c>
      <c r="I10" s="190">
        <v>-81887001.769999996</v>
      </c>
      <c r="J10" s="190">
        <v>-33439424.32</v>
      </c>
      <c r="K10" s="190">
        <v>-22092119.710000001</v>
      </c>
      <c r="L10" s="190">
        <v>5484056.1399999997</v>
      </c>
      <c r="M10" s="190">
        <v>-90042378.120000005</v>
      </c>
      <c r="N10" s="190">
        <v>-64587342.210000001</v>
      </c>
      <c r="O10" s="190">
        <v>-15569165.390000001</v>
      </c>
      <c r="P10" s="190">
        <v>-8564667.7100000009</v>
      </c>
      <c r="Q10" s="190">
        <v>-21729263.16</v>
      </c>
      <c r="R10" s="190">
        <v>-20960342.390000001</v>
      </c>
      <c r="S10" s="190">
        <v>-15428329.050000001</v>
      </c>
      <c r="T10" s="190">
        <v>-11138672.43</v>
      </c>
      <c r="U10" s="190">
        <v>-20962705.469999999</v>
      </c>
      <c r="V10" s="190">
        <v>-11942853.220000001</v>
      </c>
      <c r="W10" s="190">
        <v>-1925040.49</v>
      </c>
      <c r="X10" s="190">
        <v>2417553.9</v>
      </c>
      <c r="Y10" s="190">
        <v>-12342881.59</v>
      </c>
      <c r="Z10" s="190">
        <v>-8505196.5999999996</v>
      </c>
      <c r="AA10" s="190">
        <v>511672.92</v>
      </c>
      <c r="AB10" s="190">
        <v>-1363805.98</v>
      </c>
      <c r="AC10" s="190">
        <v>-10268570.01</v>
      </c>
      <c r="AD10" s="190">
        <v>-8997256.5600000005</v>
      </c>
      <c r="AE10" s="190">
        <v>-2460201.9500000002</v>
      </c>
      <c r="AF10" s="190">
        <v>-1294444.6000000001</v>
      </c>
      <c r="AG10" s="190">
        <v>-7830860.1900000004</v>
      </c>
      <c r="AH10" s="190">
        <v>-4939759.43</v>
      </c>
      <c r="AI10" s="190">
        <v>-2208846.33</v>
      </c>
      <c r="AJ10" s="190">
        <v>-1801939.36</v>
      </c>
      <c r="AK10" s="190">
        <v>-8013199.9199999999</v>
      </c>
      <c r="AL10" s="190">
        <v>-7599665.3399999999</v>
      </c>
      <c r="AM10" s="190">
        <v>-5789724.8099999996</v>
      </c>
      <c r="AN10" s="190">
        <v>-2833976.44</v>
      </c>
      <c r="AO10" s="190">
        <v>-9451739.0999999996</v>
      </c>
      <c r="AP10" s="190">
        <v>-3562277.59</v>
      </c>
      <c r="AQ10" s="190">
        <v>-2731595.38</v>
      </c>
      <c r="AR10" s="190">
        <v>-640609.03</v>
      </c>
      <c r="AS10" s="190">
        <v>-1017209.97</v>
      </c>
      <c r="AT10" s="190">
        <v>-252639.65</v>
      </c>
      <c r="AU10" s="190">
        <v>268541.38</v>
      </c>
      <c r="AV10" s="190">
        <v>319724.84999999998</v>
      </c>
      <c r="AW10" s="190">
        <v>1921764.18</v>
      </c>
      <c r="AX10" s="190">
        <v>1053896.44</v>
      </c>
      <c r="AY10" s="190">
        <v>0</v>
      </c>
    </row>
    <row r="11" spans="1:51" x14ac:dyDescent="0.25">
      <c r="A11" s="190" t="s">
        <v>198</v>
      </c>
      <c r="B11" s="190">
        <v>165771631.81</v>
      </c>
      <c r="C11" s="190">
        <v>128296022.40000001</v>
      </c>
      <c r="D11" s="190">
        <v>26832238.609999999</v>
      </c>
      <c r="E11" s="190">
        <v>245506915.74000001</v>
      </c>
      <c r="F11" s="190">
        <v>150811233.36000001</v>
      </c>
      <c r="G11" s="190">
        <v>89628522.590000004</v>
      </c>
      <c r="H11" s="190">
        <v>25377377.359999999</v>
      </c>
      <c r="I11" s="190">
        <v>129145009.23999999</v>
      </c>
      <c r="J11" s="190">
        <v>127308941.34999999</v>
      </c>
      <c r="K11" s="190">
        <v>70488505.819999993</v>
      </c>
      <c r="L11" s="190">
        <v>18402843.719999999</v>
      </c>
      <c r="M11" s="190">
        <v>192281999.66999999</v>
      </c>
      <c r="N11" s="190">
        <v>88375886.900000006</v>
      </c>
      <c r="O11" s="190">
        <v>52332053.640000001</v>
      </c>
      <c r="P11" s="190">
        <v>19946608.52</v>
      </c>
      <c r="Q11" s="190">
        <v>79357586.120000005</v>
      </c>
      <c r="R11" s="190">
        <v>50033558.490000002</v>
      </c>
      <c r="S11" s="190">
        <v>38982898.960000001</v>
      </c>
      <c r="T11" s="190">
        <v>12697334.300000001</v>
      </c>
      <c r="U11" s="190">
        <v>98559602.459999993</v>
      </c>
      <c r="V11" s="190">
        <v>56659297.18</v>
      </c>
      <c r="W11" s="190">
        <v>36037147.950000003</v>
      </c>
      <c r="X11" s="190">
        <v>11842400.68</v>
      </c>
      <c r="Y11" s="190">
        <v>37947498.520000003</v>
      </c>
      <c r="Z11" s="190">
        <v>37149163.07</v>
      </c>
      <c r="AA11" s="190">
        <v>23698452.280000001</v>
      </c>
      <c r="AB11" s="190">
        <v>12355054.060000001</v>
      </c>
      <c r="AC11" s="190">
        <v>26723209</v>
      </c>
      <c r="AD11" s="190">
        <v>23435900.239999998</v>
      </c>
      <c r="AE11" s="190">
        <v>17210722.309999999</v>
      </c>
      <c r="AF11" s="190">
        <v>5911135.2800000003</v>
      </c>
      <c r="AG11" s="190">
        <v>11339203.859999999</v>
      </c>
      <c r="AH11" s="190">
        <v>10894890.439999999</v>
      </c>
      <c r="AI11" s="190">
        <v>6365777.7699999996</v>
      </c>
      <c r="AJ11" s="190">
        <v>2862786.84</v>
      </c>
      <c r="AK11" s="190">
        <v>9330272.8200000003</v>
      </c>
      <c r="AL11" s="190">
        <v>5729070.1600000001</v>
      </c>
      <c r="AM11" s="190">
        <v>2035635.44</v>
      </c>
      <c r="AN11" s="190">
        <v>770002.79</v>
      </c>
      <c r="AO11" s="190">
        <v>1792035.28</v>
      </c>
      <c r="AP11" s="190">
        <v>5040587.91</v>
      </c>
      <c r="AQ11" s="190">
        <v>3907690.08</v>
      </c>
      <c r="AR11" s="190">
        <v>0</v>
      </c>
      <c r="AS11" s="190">
        <v>-296967.21999999997</v>
      </c>
      <c r="AT11" s="190">
        <v>-2322778.19</v>
      </c>
      <c r="AU11" s="190">
        <v>-2318314.04</v>
      </c>
      <c r="AV11" s="190">
        <v>0</v>
      </c>
      <c r="AW11" s="190">
        <v>12049409.59</v>
      </c>
      <c r="AX11" s="190">
        <v>3671903.95</v>
      </c>
      <c r="AY11" s="190">
        <v>0</v>
      </c>
    </row>
    <row r="12" spans="1:51" x14ac:dyDescent="0.25">
      <c r="A12" s="190" t="s">
        <v>199</v>
      </c>
      <c r="B12" s="190">
        <v>-64861287.240000002</v>
      </c>
      <c r="C12" s="190">
        <v>-41332765.270000003</v>
      </c>
      <c r="D12" s="190">
        <v>2692200</v>
      </c>
      <c r="E12" s="190">
        <v>0</v>
      </c>
      <c r="F12" s="190">
        <v>0</v>
      </c>
      <c r="G12" s="190">
        <v>0</v>
      </c>
      <c r="H12" s="190">
        <v>55635.96</v>
      </c>
      <c r="I12" s="190">
        <v>2851456</v>
      </c>
      <c r="J12" s="190">
        <v>2851456</v>
      </c>
      <c r="K12" s="190">
        <v>2851456</v>
      </c>
      <c r="L12" s="190">
        <v>660960</v>
      </c>
      <c r="M12" s="190">
        <v>-5228415.6500000004</v>
      </c>
      <c r="N12" s="190">
        <v>-2119005.65</v>
      </c>
      <c r="O12" s="190">
        <v>118161.95</v>
      </c>
      <c r="P12" s="190">
        <v>-1793411.03</v>
      </c>
      <c r="Q12" s="190">
        <v>894483.21</v>
      </c>
      <c r="R12" s="190">
        <v>-253574.76</v>
      </c>
      <c r="S12" s="190">
        <v>65830.36</v>
      </c>
      <c r="T12" s="190">
        <v>151295.04000000001</v>
      </c>
      <c r="U12" s="190">
        <v>3973172.57</v>
      </c>
      <c r="V12" s="190">
        <v>2971940.31</v>
      </c>
      <c r="W12" s="190">
        <v>987831.88</v>
      </c>
      <c r="X12" s="190">
        <v>2095942.22</v>
      </c>
      <c r="Y12" s="190">
        <v>-1835136.12</v>
      </c>
      <c r="Z12" s="190">
        <v>-145118.14000000001</v>
      </c>
      <c r="AA12" s="190">
        <v>3824216.4</v>
      </c>
      <c r="AB12" s="190">
        <v>508160</v>
      </c>
      <c r="AC12" s="190">
        <v>-927288.22</v>
      </c>
      <c r="AD12" s="190">
        <v>-2191740.96</v>
      </c>
      <c r="AE12" s="190">
        <v>-1238622.69</v>
      </c>
      <c r="AF12" s="190">
        <v>-807590.03</v>
      </c>
      <c r="AG12" s="190">
        <v>271728.21000000002</v>
      </c>
      <c r="AH12" s="190">
        <v>0</v>
      </c>
      <c r="AI12" s="190">
        <v>0</v>
      </c>
      <c r="AJ12" s="190">
        <v>0</v>
      </c>
      <c r="AK12" s="190">
        <v>13200</v>
      </c>
      <c r="AL12" s="190">
        <v>0</v>
      </c>
      <c r="AM12" s="190">
        <v>0</v>
      </c>
      <c r="AN12" s="190">
        <v>0</v>
      </c>
      <c r="AO12" s="190">
        <v>-13200</v>
      </c>
      <c r="AP12" s="190">
        <v>0</v>
      </c>
      <c r="AQ12" s="190">
        <v>0</v>
      </c>
      <c r="AR12" s="190">
        <v>0</v>
      </c>
      <c r="AS12" s="190">
        <v>0</v>
      </c>
      <c r="AT12" s="190">
        <v>0</v>
      </c>
      <c r="AU12" s="190">
        <v>0</v>
      </c>
      <c r="AV12" s="190">
        <v>0</v>
      </c>
      <c r="AW12" s="190">
        <v>0</v>
      </c>
      <c r="AX12" s="190">
        <v>0</v>
      </c>
      <c r="AY12" s="190">
        <v>0</v>
      </c>
    </row>
    <row r="13" spans="1:51" x14ac:dyDescent="0.25">
      <c r="A13" s="190" t="s">
        <v>200</v>
      </c>
      <c r="B13" s="190">
        <v>-52122659.159999996</v>
      </c>
      <c r="C13" s="190">
        <v>-20867876.309999999</v>
      </c>
      <c r="D13" s="190">
        <v>-10440741.57</v>
      </c>
      <c r="E13" s="190">
        <v>-29510653.149999999</v>
      </c>
      <c r="F13" s="190">
        <v>-21234624.420000002</v>
      </c>
      <c r="G13" s="190">
        <v>-14018542.65</v>
      </c>
      <c r="H13" s="190">
        <v>-7366992.6299999999</v>
      </c>
      <c r="I13" s="190">
        <v>6642772.4900000002</v>
      </c>
      <c r="J13" s="190">
        <v>10275010.300000001</v>
      </c>
      <c r="K13" s="190">
        <v>12782064.33</v>
      </c>
      <c r="L13" s="190">
        <v>899541.01</v>
      </c>
      <c r="M13" s="190">
        <v>14013463.970000001</v>
      </c>
      <c r="N13" s="190">
        <v>11446994.439999999</v>
      </c>
      <c r="O13" s="190">
        <v>9617468.8800000008</v>
      </c>
      <c r="P13" s="190">
        <v>5956851.2400000002</v>
      </c>
      <c r="Q13" s="190">
        <v>7557419.6399999997</v>
      </c>
      <c r="R13" s="190">
        <v>-217557.24</v>
      </c>
      <c r="S13" s="190">
        <v>-320303.78999999998</v>
      </c>
      <c r="T13" s="190">
        <v>-1229169.6200000001</v>
      </c>
      <c r="U13" s="190">
        <v>7753381.1100000003</v>
      </c>
      <c r="V13" s="190">
        <v>3297687.51</v>
      </c>
      <c r="W13" s="190">
        <v>2735132.63</v>
      </c>
      <c r="X13" s="190">
        <v>1348992.14</v>
      </c>
      <c r="Y13" s="190">
        <v>-1027741.59</v>
      </c>
      <c r="Z13" s="190">
        <v>-1375760.99</v>
      </c>
      <c r="AA13" s="190">
        <v>-1474271.99</v>
      </c>
      <c r="AB13" s="190">
        <v>-857496.88</v>
      </c>
      <c r="AC13" s="190">
        <v>-4041974.58</v>
      </c>
      <c r="AD13" s="190">
        <v>-2136936.4700000002</v>
      </c>
      <c r="AE13" s="190">
        <v>-1051465.3400000001</v>
      </c>
      <c r="AF13" s="190">
        <v>0</v>
      </c>
      <c r="AG13" s="190">
        <v>-3317.31</v>
      </c>
      <c r="AH13" s="190">
        <v>0</v>
      </c>
      <c r="AI13" s="190">
        <v>0</v>
      </c>
      <c r="AJ13" s="190">
        <v>0</v>
      </c>
      <c r="AK13" s="190">
        <v>4797</v>
      </c>
      <c r="AL13" s="190">
        <v>0</v>
      </c>
      <c r="AM13" s="190">
        <v>0</v>
      </c>
      <c r="AN13" s="190">
        <v>0</v>
      </c>
      <c r="AO13" s="190">
        <v>-522181.7</v>
      </c>
      <c r="AP13" s="190">
        <v>0</v>
      </c>
      <c r="AQ13" s="190">
        <v>0</v>
      </c>
      <c r="AR13" s="190">
        <v>0</v>
      </c>
      <c r="AS13" s="190">
        <v>927230.07</v>
      </c>
      <c r="AT13" s="190">
        <v>127436.54</v>
      </c>
      <c r="AU13" s="190">
        <v>916908.43</v>
      </c>
      <c r="AV13" s="190">
        <v>0</v>
      </c>
      <c r="AW13" s="190">
        <v>7180688.6900000004</v>
      </c>
      <c r="AX13" s="190">
        <v>0</v>
      </c>
      <c r="AY13" s="190">
        <v>0</v>
      </c>
    </row>
    <row r="14" spans="1:51" x14ac:dyDescent="0.25">
      <c r="A14" s="190" t="s">
        <v>201</v>
      </c>
      <c r="B14" s="190">
        <v>-32224908.629999999</v>
      </c>
      <c r="C14" s="190">
        <v>-25567280.91</v>
      </c>
      <c r="D14" s="190">
        <v>-11061652.58</v>
      </c>
      <c r="E14" s="190">
        <v>-37464812.350000001</v>
      </c>
      <c r="F14" s="190">
        <v>-28341585.190000001</v>
      </c>
      <c r="G14" s="190">
        <v>-18719464.170000002</v>
      </c>
      <c r="H14" s="190">
        <v>-9332581.2400000002</v>
      </c>
      <c r="I14" s="190">
        <v>1658248.41</v>
      </c>
      <c r="J14" s="190">
        <v>-10234573.880000001</v>
      </c>
      <c r="K14" s="190">
        <v>-5409647.9800000004</v>
      </c>
      <c r="L14" s="190">
        <v>-169168.62</v>
      </c>
      <c r="M14" s="190">
        <v>715015.65</v>
      </c>
      <c r="N14" s="190">
        <v>353243.58</v>
      </c>
      <c r="O14" s="190">
        <v>-173161.17</v>
      </c>
      <c r="P14" s="190">
        <v>-298639.57</v>
      </c>
      <c r="Q14" s="190">
        <v>-787545.47</v>
      </c>
      <c r="R14" s="190">
        <v>-580024.36</v>
      </c>
      <c r="S14" s="190">
        <v>-429691.77</v>
      </c>
      <c r="T14" s="190">
        <v>-281505.40000000002</v>
      </c>
      <c r="U14" s="190">
        <v>-1246471.45</v>
      </c>
      <c r="V14" s="190">
        <v>-818882.48</v>
      </c>
      <c r="W14" s="190">
        <v>-475924.3</v>
      </c>
      <c r="X14" s="190">
        <v>-438718.13</v>
      </c>
      <c r="Y14" s="190">
        <v>-1010471.67</v>
      </c>
      <c r="Z14" s="190">
        <v>-808000.98</v>
      </c>
      <c r="AA14" s="190">
        <v>-906511.98</v>
      </c>
      <c r="AB14" s="190">
        <v>-435336.88</v>
      </c>
      <c r="AC14" s="190">
        <v>365449.12</v>
      </c>
      <c r="AD14" s="190">
        <v>-49865.34</v>
      </c>
      <c r="AE14" s="190">
        <v>-49865.34</v>
      </c>
      <c r="AF14" s="190">
        <v>0</v>
      </c>
      <c r="AG14" s="190">
        <v>0</v>
      </c>
      <c r="AH14" s="190">
        <v>0</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row>
    <row r="15" spans="1:51"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203</v>
      </c>
      <c r="B16" s="190">
        <v>1671657327.8199999</v>
      </c>
      <c r="C16" s="190">
        <v>1251445994.0599999</v>
      </c>
      <c r="D16" s="190">
        <v>330432312.19999999</v>
      </c>
      <c r="E16" s="190">
        <v>2632265210.0500002</v>
      </c>
      <c r="F16" s="190">
        <v>1547082605.23</v>
      </c>
      <c r="G16" s="190">
        <v>1117215103.6800001</v>
      </c>
      <c r="H16" s="190">
        <v>109122364.16</v>
      </c>
      <c r="I16" s="190">
        <v>1433274487.6600001</v>
      </c>
      <c r="J16" s="190">
        <v>771887258.75</v>
      </c>
      <c r="K16" s="190">
        <v>574806990.63999999</v>
      </c>
      <c r="L16" s="190">
        <v>87436436.930000007</v>
      </c>
      <c r="M16" s="190">
        <v>1201816530.0699999</v>
      </c>
      <c r="N16" s="190">
        <v>641995337.5</v>
      </c>
      <c r="O16" s="190">
        <v>378617101.43000001</v>
      </c>
      <c r="P16" s="190">
        <v>69809573.150000006</v>
      </c>
      <c r="Q16" s="190">
        <v>927565196.87</v>
      </c>
      <c r="R16" s="190">
        <v>550876018.34000003</v>
      </c>
      <c r="S16" s="190">
        <v>415621106.33999997</v>
      </c>
      <c r="T16" s="190">
        <v>156728283.36000001</v>
      </c>
      <c r="U16" s="190">
        <v>937819406.38</v>
      </c>
      <c r="V16" s="190">
        <v>573389512.78999996</v>
      </c>
      <c r="W16" s="190">
        <v>346575042.13999999</v>
      </c>
      <c r="X16" s="190">
        <v>117788194.23</v>
      </c>
      <c r="Y16" s="190">
        <v>604053100.42999995</v>
      </c>
      <c r="Z16" s="190">
        <v>336696008.87</v>
      </c>
      <c r="AA16" s="190">
        <v>201581316.65000001</v>
      </c>
      <c r="AB16" s="190">
        <v>54333153.829999998</v>
      </c>
      <c r="AC16" s="190">
        <v>329972737.73000002</v>
      </c>
      <c r="AD16" s="190">
        <v>222070293.96000001</v>
      </c>
      <c r="AE16" s="190">
        <v>133398987.83</v>
      </c>
      <c r="AF16" s="190">
        <v>32799896.129999999</v>
      </c>
      <c r="AG16" s="190">
        <v>239505573.47</v>
      </c>
      <c r="AH16" s="190">
        <v>126629908.39</v>
      </c>
      <c r="AI16" s="190">
        <v>71996285.450000003</v>
      </c>
      <c r="AJ16" s="190">
        <v>15157854.92</v>
      </c>
      <c r="AK16" s="190">
        <v>90966592.840000004</v>
      </c>
      <c r="AL16" s="190">
        <v>48177460.200000003</v>
      </c>
      <c r="AM16" s="190">
        <v>27411364.149999999</v>
      </c>
      <c r="AN16" s="190">
        <v>4730122.33</v>
      </c>
      <c r="AO16" s="190">
        <v>81011597.879999995</v>
      </c>
      <c r="AP16" s="190">
        <v>68270813.099999994</v>
      </c>
      <c r="AQ16" s="190">
        <v>33868607.780000001</v>
      </c>
      <c r="AR16" s="190">
        <v>5368190.47</v>
      </c>
      <c r="AS16" s="190">
        <v>77888046.829999998</v>
      </c>
      <c r="AT16" s="190">
        <v>47164970.649999999</v>
      </c>
      <c r="AU16" s="190">
        <v>19790131.93</v>
      </c>
      <c r="AV16" s="190">
        <v>-429877.52</v>
      </c>
      <c r="AW16" s="190">
        <v>32276957.449999999</v>
      </c>
      <c r="AX16" s="190">
        <v>33759781.609999999</v>
      </c>
      <c r="AY16" s="190">
        <v>0</v>
      </c>
    </row>
    <row r="17" spans="1:51" x14ac:dyDescent="0.25">
      <c r="A17" s="190" t="s">
        <v>204</v>
      </c>
      <c r="B17" s="190">
        <v>25206031.850000001</v>
      </c>
      <c r="C17" s="190">
        <v>5234299.09</v>
      </c>
      <c r="D17" s="190">
        <v>2133831.13</v>
      </c>
      <c r="E17" s="190">
        <v>22631016.539999999</v>
      </c>
      <c r="F17" s="190">
        <v>35076259.990000002</v>
      </c>
      <c r="G17" s="190">
        <v>17678132.48</v>
      </c>
      <c r="H17" s="190">
        <v>200266801.38999999</v>
      </c>
      <c r="I17" s="190">
        <v>592089061.12</v>
      </c>
      <c r="J17" s="190">
        <v>382362007.58999997</v>
      </c>
      <c r="K17" s="190">
        <v>248612986.65000001</v>
      </c>
      <c r="L17" s="190">
        <v>160883240.40000001</v>
      </c>
      <c r="M17" s="190">
        <v>392283263.35000002</v>
      </c>
      <c r="N17" s="190">
        <v>243669306.49000001</v>
      </c>
      <c r="O17" s="190">
        <v>162354576.59999999</v>
      </c>
      <c r="P17" s="190">
        <v>46649901.689999998</v>
      </c>
      <c r="Q17" s="190">
        <v>335651168</v>
      </c>
      <c r="R17" s="190">
        <v>250410964.16999999</v>
      </c>
      <c r="S17" s="190">
        <v>144715338.18000001</v>
      </c>
      <c r="T17" s="190">
        <v>84968238.829999998</v>
      </c>
      <c r="U17" s="190">
        <v>193350688.28</v>
      </c>
      <c r="V17" s="190">
        <v>123694965.59</v>
      </c>
      <c r="W17" s="190">
        <v>87407020.709999993</v>
      </c>
      <c r="X17" s="190">
        <v>43645238.170000002</v>
      </c>
      <c r="Y17" s="190">
        <v>154872539.63</v>
      </c>
      <c r="Z17" s="190">
        <v>92160230.079999998</v>
      </c>
      <c r="AA17" s="190">
        <v>56308646.549999997</v>
      </c>
      <c r="AB17" s="190">
        <v>21206250.57</v>
      </c>
      <c r="AC17" s="190">
        <v>86498029.670000002</v>
      </c>
      <c r="AD17" s="190">
        <v>15520909.699999999</v>
      </c>
      <c r="AE17" s="190">
        <v>14042834.539999999</v>
      </c>
      <c r="AF17" s="190">
        <v>10962165.01</v>
      </c>
      <c r="AG17" s="190">
        <v>51481202.259999998</v>
      </c>
      <c r="AH17" s="190">
        <v>30216078.43</v>
      </c>
      <c r="AI17" s="190">
        <v>16453732.960000001</v>
      </c>
      <c r="AJ17" s="190">
        <v>5222281.53</v>
      </c>
      <c r="AK17" s="190">
        <v>37851477.039999999</v>
      </c>
      <c r="AL17" s="190">
        <v>17347559.530000001</v>
      </c>
      <c r="AM17" s="190">
        <v>9754715.5199999996</v>
      </c>
      <c r="AN17" s="190">
        <v>1711549.16</v>
      </c>
      <c r="AO17" s="190">
        <v>32038036.899999999</v>
      </c>
      <c r="AP17" s="190">
        <v>16246390.84</v>
      </c>
      <c r="AQ17" s="190">
        <v>11378672.789999999</v>
      </c>
      <c r="AR17" s="190">
        <v>1856383.74</v>
      </c>
      <c r="AS17" s="190">
        <v>20326522.350000001</v>
      </c>
      <c r="AT17" s="190">
        <v>10911003.9</v>
      </c>
      <c r="AU17" s="190">
        <v>7028924.4800000004</v>
      </c>
      <c r="AV17" s="190">
        <v>3191005.7</v>
      </c>
      <c r="AW17" s="190">
        <v>21297086.07</v>
      </c>
      <c r="AX17" s="190">
        <v>15298194.33</v>
      </c>
      <c r="AY17" s="190">
        <v>0</v>
      </c>
    </row>
    <row r="18" spans="1:51" x14ac:dyDescent="0.25">
      <c r="A18" s="190" t="s">
        <v>205</v>
      </c>
      <c r="B18" s="190">
        <v>2525495.61</v>
      </c>
      <c r="C18" s="190">
        <v>2194887.35</v>
      </c>
      <c r="D18" s="190">
        <v>1235146.3799999999</v>
      </c>
      <c r="E18" s="190">
        <v>12688370.449999999</v>
      </c>
      <c r="F18" s="190">
        <v>12470065.49</v>
      </c>
      <c r="G18" s="190">
        <v>1708841.06</v>
      </c>
      <c r="H18" s="190">
        <v>1140157.54</v>
      </c>
      <c r="I18" s="190">
        <v>13026021.85</v>
      </c>
      <c r="J18" s="190">
        <v>14758043.75</v>
      </c>
      <c r="K18" s="190">
        <v>6655077.9800000004</v>
      </c>
      <c r="L18" s="190">
        <v>3275321.98</v>
      </c>
      <c r="M18" s="190">
        <v>15852710.050000001</v>
      </c>
      <c r="N18" s="190">
        <v>8321016.9699999997</v>
      </c>
      <c r="O18" s="190">
        <v>5165757.6500000004</v>
      </c>
      <c r="P18" s="190">
        <v>2073226.24</v>
      </c>
      <c r="Q18" s="190">
        <v>10372453.859999999</v>
      </c>
      <c r="R18" s="190">
        <v>7048512.6299999999</v>
      </c>
      <c r="S18" s="190">
        <v>4863478.63</v>
      </c>
      <c r="T18" s="190">
        <v>2390811.4700000002</v>
      </c>
      <c r="U18" s="190">
        <v>5931970.3399999999</v>
      </c>
      <c r="V18" s="190">
        <v>3182889.85</v>
      </c>
      <c r="W18" s="190">
        <v>1829358.79</v>
      </c>
      <c r="X18" s="190">
        <v>502770.49</v>
      </c>
      <c r="Y18" s="190">
        <v>4343107.99</v>
      </c>
      <c r="Z18" s="190">
        <v>2884197.01</v>
      </c>
      <c r="AA18" s="190">
        <v>1725946.8799999999</v>
      </c>
      <c r="AB18" s="190">
        <v>577054.04</v>
      </c>
      <c r="AC18" s="190">
        <v>3120598.59</v>
      </c>
      <c r="AD18" s="190">
        <v>2108887.71</v>
      </c>
      <c r="AE18" s="190">
        <v>1395265.97</v>
      </c>
      <c r="AF18" s="190">
        <v>584305.88</v>
      </c>
      <c r="AG18" s="190">
        <v>2808697.11</v>
      </c>
      <c r="AH18" s="190">
        <v>1814821.06</v>
      </c>
      <c r="AI18" s="190">
        <v>1395812.95</v>
      </c>
      <c r="AJ18" s="190">
        <v>281794.76</v>
      </c>
      <c r="AK18" s="190">
        <v>968170.41</v>
      </c>
      <c r="AL18" s="190">
        <v>918753.64</v>
      </c>
      <c r="AM18" s="190">
        <v>635483.18999999994</v>
      </c>
      <c r="AN18" s="190">
        <v>161191.60999999999</v>
      </c>
      <c r="AO18" s="190">
        <v>1941757.69</v>
      </c>
      <c r="AP18" s="190">
        <v>2010287.04</v>
      </c>
      <c r="AQ18" s="190">
        <v>1768288</v>
      </c>
      <c r="AR18" s="190">
        <v>15331.2</v>
      </c>
      <c r="AS18" s="190">
        <v>947342.57</v>
      </c>
      <c r="AT18" s="190">
        <v>521588.58</v>
      </c>
      <c r="AU18" s="190">
        <v>226652.64</v>
      </c>
      <c r="AV18" s="190">
        <v>45214.5</v>
      </c>
      <c r="AW18" s="190">
        <v>1107499.3600000001</v>
      </c>
      <c r="AX18" s="190">
        <v>269143.06</v>
      </c>
      <c r="AY18" s="190">
        <v>0</v>
      </c>
    </row>
    <row r="19" spans="1:51" x14ac:dyDescent="0.25">
      <c r="A19" s="190" t="s">
        <v>206</v>
      </c>
      <c r="B19" s="190">
        <v>0</v>
      </c>
      <c r="C19" s="190">
        <v>0</v>
      </c>
      <c r="D19" s="190">
        <v>0</v>
      </c>
      <c r="E19" s="190">
        <v>0</v>
      </c>
      <c r="F19" s="190">
        <v>9959443.3800000008</v>
      </c>
      <c r="G19" s="190">
        <v>505832.91</v>
      </c>
      <c r="H19" s="190">
        <v>237904.85</v>
      </c>
      <c r="I19" s="190">
        <v>652183.97</v>
      </c>
      <c r="J19" s="190">
        <v>441482.97</v>
      </c>
      <c r="K19" s="190">
        <v>338061.13</v>
      </c>
      <c r="L19" s="190">
        <v>67889.97</v>
      </c>
      <c r="M19" s="190">
        <v>103234.97</v>
      </c>
      <c r="N19" s="190">
        <v>52266.92</v>
      </c>
      <c r="O19" s="190">
        <v>38900.35</v>
      </c>
      <c r="P19" s="190">
        <v>0</v>
      </c>
      <c r="Q19" s="190">
        <v>120431.11</v>
      </c>
      <c r="R19" s="190">
        <v>73240.61</v>
      </c>
      <c r="S19" s="190">
        <v>51843.74</v>
      </c>
      <c r="T19" s="190">
        <v>34616.76</v>
      </c>
      <c r="U19" s="190">
        <v>-87646.67</v>
      </c>
      <c r="V19" s="190">
        <v>-136176.94</v>
      </c>
      <c r="W19" s="190">
        <v>66772.899999999994</v>
      </c>
      <c r="X19" s="190">
        <v>32153.29</v>
      </c>
      <c r="Y19" s="190">
        <v>172214.77</v>
      </c>
      <c r="Z19" s="190">
        <v>121079.01</v>
      </c>
      <c r="AA19" s="190">
        <v>94799.83</v>
      </c>
      <c r="AB19" s="190">
        <v>0</v>
      </c>
      <c r="AC19" s="190">
        <v>259698.49</v>
      </c>
      <c r="AD19" s="190">
        <v>0</v>
      </c>
      <c r="AE19" s="190">
        <v>0</v>
      </c>
      <c r="AF19" s="190">
        <v>0</v>
      </c>
      <c r="AG19" s="190">
        <v>172138.23</v>
      </c>
      <c r="AH19" s="190">
        <v>0</v>
      </c>
      <c r="AI19" s="190">
        <v>0</v>
      </c>
      <c r="AJ19" s="190">
        <v>0</v>
      </c>
      <c r="AK19" s="190">
        <v>255412.67</v>
      </c>
      <c r="AL19" s="190">
        <v>0</v>
      </c>
      <c r="AM19" s="190">
        <v>0</v>
      </c>
      <c r="AN19" s="190">
        <v>0</v>
      </c>
      <c r="AO19" s="190">
        <v>507553.89</v>
      </c>
      <c r="AP19" s="190">
        <v>0</v>
      </c>
      <c r="AQ19" s="190">
        <v>0</v>
      </c>
      <c r="AR19" s="190">
        <v>0</v>
      </c>
      <c r="AS19" s="190">
        <v>397213.09</v>
      </c>
      <c r="AT19" s="190">
        <v>69689.649999999994</v>
      </c>
      <c r="AU19" s="190">
        <v>69689.649999999994</v>
      </c>
      <c r="AV19" s="190">
        <v>0</v>
      </c>
      <c r="AW19" s="190">
        <v>415379.89</v>
      </c>
      <c r="AX19" s="190">
        <v>0</v>
      </c>
      <c r="AY19" s="190">
        <v>0</v>
      </c>
    </row>
    <row r="20" spans="1:51" x14ac:dyDescent="0.25">
      <c r="A20" s="190" t="s">
        <v>207</v>
      </c>
      <c r="B20" s="190">
        <v>1694337864.0599999</v>
      </c>
      <c r="C20" s="190">
        <v>1254485405.8</v>
      </c>
      <c r="D20" s="190">
        <v>331330996.94999999</v>
      </c>
      <c r="E20" s="190">
        <v>2642207856.1399999</v>
      </c>
      <c r="F20" s="190">
        <v>1569688799.73</v>
      </c>
      <c r="G20" s="190">
        <v>1133184395.0999999</v>
      </c>
      <c r="H20" s="190">
        <v>308249008.00999999</v>
      </c>
      <c r="I20" s="190">
        <v>2012337526.9300001</v>
      </c>
      <c r="J20" s="190">
        <v>1139491222.5899999</v>
      </c>
      <c r="K20" s="190">
        <v>816764899.30999994</v>
      </c>
      <c r="L20" s="190">
        <v>245044355.34999999</v>
      </c>
      <c r="M20" s="190">
        <v>1578247083.3699999</v>
      </c>
      <c r="N20" s="190">
        <v>877343627.01999998</v>
      </c>
      <c r="O20" s="190">
        <v>535805920.38</v>
      </c>
      <c r="P20" s="190">
        <v>114386248.59999999</v>
      </c>
      <c r="Q20" s="190">
        <v>1252843911.01</v>
      </c>
      <c r="R20" s="190">
        <v>794238469.88</v>
      </c>
      <c r="S20" s="190">
        <v>555472965.88999999</v>
      </c>
      <c r="T20" s="190">
        <v>239305710.72</v>
      </c>
      <c r="U20" s="190">
        <v>1125238124.3199999</v>
      </c>
      <c r="V20" s="190">
        <v>693901588.52999997</v>
      </c>
      <c r="W20" s="190">
        <v>432152704.06</v>
      </c>
      <c r="X20" s="190">
        <v>160930661.91</v>
      </c>
      <c r="Y20" s="190">
        <v>754582532.07000005</v>
      </c>
      <c r="Z20" s="190">
        <v>425972041.94</v>
      </c>
      <c r="AA20" s="190">
        <v>256164016.31999999</v>
      </c>
      <c r="AB20" s="190">
        <v>74962350.359999999</v>
      </c>
      <c r="AC20" s="190">
        <v>413350168.81</v>
      </c>
      <c r="AD20" s="190">
        <v>235482315.94999999</v>
      </c>
      <c r="AE20" s="190">
        <v>146046556.40000001</v>
      </c>
      <c r="AF20" s="190">
        <v>43177755.259999998</v>
      </c>
      <c r="AG20" s="190">
        <v>288178078.62</v>
      </c>
      <c r="AH20" s="190">
        <v>155031165.75999999</v>
      </c>
      <c r="AI20" s="190">
        <v>87054205.459999993</v>
      </c>
      <c r="AJ20" s="190">
        <v>20098341.690000001</v>
      </c>
      <c r="AK20" s="190">
        <v>127849899.47</v>
      </c>
      <c r="AL20" s="190">
        <v>64606266.090000004</v>
      </c>
      <c r="AM20" s="190">
        <v>36530596.479999997</v>
      </c>
      <c r="AN20" s="190">
        <v>6280479.8799999999</v>
      </c>
      <c r="AO20" s="190">
        <v>111107877.09</v>
      </c>
      <c r="AP20" s="190">
        <v>82506916.900000006</v>
      </c>
      <c r="AQ20" s="190">
        <v>43478992.57</v>
      </c>
      <c r="AR20" s="190">
        <v>7209243.0099999998</v>
      </c>
      <c r="AS20" s="190">
        <v>97267226.609999999</v>
      </c>
      <c r="AT20" s="190">
        <v>57554385.969999999</v>
      </c>
      <c r="AU20" s="190">
        <v>26592403.77</v>
      </c>
      <c r="AV20" s="190">
        <v>2715913.68</v>
      </c>
      <c r="AW20" s="190">
        <v>52466544.159999996</v>
      </c>
      <c r="AX20" s="190">
        <v>48788832.880000003</v>
      </c>
      <c r="AY20" s="190">
        <v>0</v>
      </c>
    </row>
    <row r="21" spans="1:51" x14ac:dyDescent="0.25">
      <c r="A21" s="190" t="s">
        <v>208</v>
      </c>
      <c r="B21" s="190">
        <v>118196431.38</v>
      </c>
      <c r="C21" s="190">
        <v>165721533.63</v>
      </c>
      <c r="D21" s="190">
        <v>34942391.530000001</v>
      </c>
      <c r="E21" s="190">
        <v>265421510.03999999</v>
      </c>
      <c r="F21" s="190">
        <v>125783329.5</v>
      </c>
      <c r="G21" s="190">
        <v>153360669.71000001</v>
      </c>
      <c r="H21" s="190">
        <v>32232982.48</v>
      </c>
      <c r="I21" s="190">
        <v>202185238.62</v>
      </c>
      <c r="J21" s="190">
        <v>73964982.299999997</v>
      </c>
      <c r="K21" s="190">
        <v>106393965.53</v>
      </c>
      <c r="L21" s="190">
        <v>30624258.890000001</v>
      </c>
      <c r="M21" s="190">
        <v>197123573.47</v>
      </c>
      <c r="N21" s="190">
        <v>117201768.19</v>
      </c>
      <c r="O21" s="190">
        <v>72489001.480000004</v>
      </c>
      <c r="P21" s="190">
        <v>10897625.92</v>
      </c>
      <c r="Q21" s="190">
        <v>108579382.61</v>
      </c>
      <c r="R21" s="190">
        <v>68530032.450000003</v>
      </c>
      <c r="S21" s="190">
        <v>48751399.979999997</v>
      </c>
      <c r="T21" s="190">
        <v>37738846.149999999</v>
      </c>
      <c r="U21" s="190">
        <v>-4900604.01</v>
      </c>
      <c r="V21" s="190">
        <v>78949427.159999996</v>
      </c>
      <c r="W21" s="190">
        <v>46680556.469999999</v>
      </c>
      <c r="X21" s="190">
        <v>18883086.59</v>
      </c>
      <c r="Y21" s="190">
        <v>57931297.909999996</v>
      </c>
      <c r="Z21" s="190">
        <v>50782434.240000002</v>
      </c>
      <c r="AA21" s="190">
        <v>32295053.260000002</v>
      </c>
      <c r="AB21" s="190">
        <v>8915427.5600000005</v>
      </c>
      <c r="AC21" s="190">
        <v>37789319.68</v>
      </c>
      <c r="AD21" s="190">
        <v>32143964.800000001</v>
      </c>
      <c r="AE21" s="190">
        <v>17371374.219999999</v>
      </c>
      <c r="AF21" s="190">
        <v>4038711.09</v>
      </c>
      <c r="AG21" s="190">
        <v>28546466.829999998</v>
      </c>
      <c r="AH21" s="190">
        <v>14524416.369999999</v>
      </c>
      <c r="AI21" s="190">
        <v>8696840.0399999991</v>
      </c>
      <c r="AJ21" s="190">
        <v>1615896</v>
      </c>
      <c r="AK21" s="190">
        <v>10740322.220000001</v>
      </c>
      <c r="AL21" s="190">
        <v>4706065.45</v>
      </c>
      <c r="AM21" s="190">
        <v>2582817.98</v>
      </c>
      <c r="AN21" s="190">
        <v>51190.82</v>
      </c>
      <c r="AO21" s="190">
        <v>7069616.1500000004</v>
      </c>
      <c r="AP21" s="190">
        <v>8690616.1899999995</v>
      </c>
      <c r="AQ21" s="190">
        <v>7109613.8399999999</v>
      </c>
      <c r="AR21" s="190">
        <v>1555981.73</v>
      </c>
      <c r="AS21" s="190">
        <v>11493411.82</v>
      </c>
      <c r="AT21" s="190">
        <v>2733821.08</v>
      </c>
      <c r="AU21" s="190">
        <v>2181728.38</v>
      </c>
      <c r="AV21" s="190">
        <v>0</v>
      </c>
      <c r="AW21" s="190">
        <v>3716057.2</v>
      </c>
      <c r="AX21" s="190">
        <v>3028640.97</v>
      </c>
      <c r="AY21" s="190">
        <v>0</v>
      </c>
    </row>
    <row r="22" spans="1:51" x14ac:dyDescent="0.25">
      <c r="A22" s="190" t="s">
        <v>209</v>
      </c>
      <c r="B22" s="190">
        <v>1576141432.6800001</v>
      </c>
      <c r="C22" s="190">
        <v>1088763872.1700001</v>
      </c>
      <c r="D22" s="190">
        <v>296388605.42000002</v>
      </c>
      <c r="E22" s="190">
        <v>2376786346.0999999</v>
      </c>
      <c r="F22" s="190">
        <v>1443905470.23</v>
      </c>
      <c r="G22" s="190">
        <v>979823725.38999999</v>
      </c>
      <c r="H22" s="190">
        <v>276016025.52999997</v>
      </c>
      <c r="I22" s="190">
        <v>1810152288.3099999</v>
      </c>
      <c r="J22" s="190">
        <v>1065526240.29</v>
      </c>
      <c r="K22" s="190">
        <v>710370933.77999997</v>
      </c>
      <c r="L22" s="190">
        <v>214420096.46000001</v>
      </c>
      <c r="M22" s="190">
        <v>1381123509.9000001</v>
      </c>
      <c r="N22" s="190">
        <v>760141858.83000004</v>
      </c>
      <c r="O22" s="190">
        <v>463316918.89999998</v>
      </c>
      <c r="P22" s="190">
        <v>103488622.68000001</v>
      </c>
      <c r="Q22" s="190">
        <v>1144264528.4000001</v>
      </c>
      <c r="R22" s="190">
        <v>725708437.42999995</v>
      </c>
      <c r="S22" s="190">
        <v>506721565.91000003</v>
      </c>
      <c r="T22" s="190">
        <v>201566864.56999999</v>
      </c>
      <c r="U22" s="190">
        <v>1130138728.3299999</v>
      </c>
      <c r="V22" s="190">
        <v>614952161.37</v>
      </c>
      <c r="W22" s="190">
        <v>385472147.58999997</v>
      </c>
      <c r="X22" s="190">
        <v>142047575.31999999</v>
      </c>
      <c r="Y22" s="190">
        <v>696651234.15999997</v>
      </c>
      <c r="Z22" s="190">
        <v>375189607.69999999</v>
      </c>
      <c r="AA22" s="190">
        <v>223868963.06</v>
      </c>
      <c r="AB22" s="190">
        <v>66046922.799999997</v>
      </c>
      <c r="AC22" s="190">
        <v>375560849.13</v>
      </c>
      <c r="AD22" s="190">
        <v>203338351.15000001</v>
      </c>
      <c r="AE22" s="190">
        <v>128675182.18000001</v>
      </c>
      <c r="AF22" s="190">
        <v>39139044.170000002</v>
      </c>
      <c r="AG22" s="190">
        <v>259631611.78999999</v>
      </c>
      <c r="AH22" s="190">
        <v>140506749.38999999</v>
      </c>
      <c r="AI22" s="190">
        <v>78357365.420000002</v>
      </c>
      <c r="AJ22" s="190">
        <v>18482445.690000001</v>
      </c>
      <c r="AK22" s="190">
        <v>117109577.25</v>
      </c>
      <c r="AL22" s="190">
        <v>59900200.640000001</v>
      </c>
      <c r="AM22" s="190">
        <v>33947778.5</v>
      </c>
      <c r="AN22" s="190">
        <v>6229289.0599999996</v>
      </c>
      <c r="AO22" s="190">
        <v>104038260.94</v>
      </c>
      <c r="AP22" s="190">
        <v>73816300.709999993</v>
      </c>
      <c r="AQ22" s="190">
        <v>36369378.729999997</v>
      </c>
      <c r="AR22" s="190">
        <v>5653261.2800000003</v>
      </c>
      <c r="AS22" s="190">
        <v>85773814.790000007</v>
      </c>
      <c r="AT22" s="190">
        <v>54820564.890000001</v>
      </c>
      <c r="AU22" s="190">
        <v>24410675.390000001</v>
      </c>
      <c r="AV22" s="190">
        <v>2715913.68</v>
      </c>
      <c r="AW22" s="190">
        <v>48750486.960000001</v>
      </c>
      <c r="AX22" s="190">
        <v>45760191.909999996</v>
      </c>
      <c r="AY22" s="190">
        <v>0</v>
      </c>
    </row>
    <row r="23" spans="1:51" x14ac:dyDescent="0.25">
      <c r="A23" s="190" t="s">
        <v>210</v>
      </c>
      <c r="B23" s="190">
        <v>1563681387.5799999</v>
      </c>
      <c r="C23" s="190">
        <v>1081916886.52</v>
      </c>
      <c r="D23" s="190">
        <v>295523140.67000002</v>
      </c>
      <c r="E23" s="190">
        <v>2378726820.2199998</v>
      </c>
      <c r="F23" s="190">
        <v>1444493831.26</v>
      </c>
      <c r="G23" s="190">
        <v>983001211.23000002</v>
      </c>
      <c r="H23" s="190">
        <v>286838396.38</v>
      </c>
      <c r="I23" s="190">
        <v>1825199447.95</v>
      </c>
      <c r="J23" s="190">
        <v>1069555716.91</v>
      </c>
      <c r="K23" s="190">
        <v>709741024.33000004</v>
      </c>
      <c r="L23" s="190">
        <v>215240055.78999999</v>
      </c>
      <c r="M23" s="190">
        <v>1372301211.8699999</v>
      </c>
      <c r="N23" s="190">
        <v>761185688.48000002</v>
      </c>
      <c r="O23" s="190">
        <v>463807123.29000002</v>
      </c>
      <c r="P23" s="190">
        <v>103404954.02</v>
      </c>
      <c r="Q23" s="190">
        <v>1142678484.6099999</v>
      </c>
      <c r="R23" s="190">
        <v>724596498.69000006</v>
      </c>
      <c r="S23" s="190">
        <v>506330773.81</v>
      </c>
      <c r="T23" s="190">
        <v>201668480.66</v>
      </c>
      <c r="U23" s="190">
        <v>1130921915.51</v>
      </c>
      <c r="V23" s="190">
        <v>615966667.45000005</v>
      </c>
      <c r="W23" s="190">
        <v>386253535.92000002</v>
      </c>
      <c r="X23" s="190">
        <v>142673089.16999999</v>
      </c>
      <c r="Y23" s="190">
        <v>700155145.04999995</v>
      </c>
      <c r="Z23" s="190">
        <v>377997722.56999999</v>
      </c>
      <c r="AA23" s="190">
        <v>225809636.69</v>
      </c>
      <c r="AB23" s="190">
        <v>66967705.039999999</v>
      </c>
      <c r="AC23" s="190">
        <v>377983123.51999998</v>
      </c>
      <c r="AD23" s="190">
        <v>204238399.55000001</v>
      </c>
      <c r="AE23" s="190">
        <v>128907294.90000001</v>
      </c>
      <c r="AF23" s="190">
        <v>39185843.200000003</v>
      </c>
      <c r="AG23" s="190">
        <v>260294585.96000001</v>
      </c>
      <c r="AH23" s="190">
        <v>140770590.56999999</v>
      </c>
      <c r="AI23" s="190">
        <v>78450422.950000003</v>
      </c>
      <c r="AJ23" s="190">
        <v>18528630.059999999</v>
      </c>
      <c r="AK23" s="190">
        <v>117187030.34999999</v>
      </c>
      <c r="AL23" s="190">
        <v>59977669.469999999</v>
      </c>
      <c r="AM23" s="190">
        <v>34024690.700000003</v>
      </c>
      <c r="AN23" s="190">
        <v>6310066.1299999999</v>
      </c>
      <c r="AO23" s="190">
        <v>104126860.63</v>
      </c>
      <c r="AP23" s="190">
        <v>74434533.370000005</v>
      </c>
      <c r="AQ23" s="190">
        <v>36727892.079999998</v>
      </c>
      <c r="AR23" s="190">
        <v>5836523.4400000004</v>
      </c>
      <c r="AS23" s="190">
        <v>85748259.780000001</v>
      </c>
      <c r="AT23" s="190">
        <v>54995802.43</v>
      </c>
      <c r="AU23" s="190">
        <v>24556167.890000001</v>
      </c>
      <c r="AV23" s="190">
        <v>2779527.07</v>
      </c>
      <c r="AW23" s="190">
        <v>47727776.140000001</v>
      </c>
      <c r="AX23" s="190">
        <v>41911617.719999999</v>
      </c>
      <c r="AY23" s="190">
        <v>0</v>
      </c>
    </row>
    <row r="24" spans="1:51" x14ac:dyDescent="0.25">
      <c r="A24" s="190" t="s">
        <v>211</v>
      </c>
      <c r="B24" s="190">
        <v>12460045.1</v>
      </c>
      <c r="C24" s="190">
        <v>6846985.6500000004</v>
      </c>
      <c r="D24" s="190">
        <v>865464.75</v>
      </c>
      <c r="E24" s="190">
        <v>-1940474.12</v>
      </c>
      <c r="F24" s="190">
        <v>-588361.03</v>
      </c>
      <c r="G24" s="190">
        <v>-3177485.84</v>
      </c>
      <c r="H24" s="190">
        <v>-10822370.85</v>
      </c>
      <c r="I24" s="190">
        <v>-15047159.640000001</v>
      </c>
      <c r="J24" s="190">
        <v>-4029476.62</v>
      </c>
      <c r="K24" s="190">
        <v>629909.44999999995</v>
      </c>
      <c r="L24" s="190">
        <v>-819959.33</v>
      </c>
      <c r="M24" s="190">
        <v>8822298.0299999993</v>
      </c>
      <c r="N24" s="190">
        <v>-1043829.65</v>
      </c>
      <c r="O24" s="190">
        <v>-490204.39</v>
      </c>
      <c r="P24" s="190">
        <v>83668.66</v>
      </c>
      <c r="Q24" s="190">
        <v>1586043.79</v>
      </c>
      <c r="R24" s="190">
        <v>1111938.74</v>
      </c>
      <c r="S24" s="190">
        <v>390792.1</v>
      </c>
      <c r="T24" s="190">
        <v>-101616.09</v>
      </c>
      <c r="U24" s="190">
        <v>-783187.18</v>
      </c>
      <c r="V24" s="190">
        <v>-1014506.08</v>
      </c>
      <c r="W24" s="190">
        <v>-781388.33</v>
      </c>
      <c r="X24" s="190">
        <v>-625513.85</v>
      </c>
      <c r="Y24" s="190">
        <v>-3503910.89</v>
      </c>
      <c r="Z24" s="190">
        <v>-2808114.87</v>
      </c>
      <c r="AA24" s="190">
        <v>-1940673.63</v>
      </c>
      <c r="AB24" s="190">
        <v>-920782.24</v>
      </c>
      <c r="AC24" s="190">
        <v>-2422274.39</v>
      </c>
      <c r="AD24" s="190">
        <v>-900048.4</v>
      </c>
      <c r="AE24" s="190">
        <v>-232112.72</v>
      </c>
      <c r="AF24" s="190">
        <v>-46799.03</v>
      </c>
      <c r="AG24" s="190">
        <v>-662974.17000000004</v>
      </c>
      <c r="AH24" s="190">
        <v>-263841.18</v>
      </c>
      <c r="AI24" s="190">
        <v>-93057.53</v>
      </c>
      <c r="AJ24" s="190">
        <v>-46184.37</v>
      </c>
      <c r="AK24" s="190">
        <v>-77453.100000000006</v>
      </c>
      <c r="AL24" s="190">
        <v>-77468.83</v>
      </c>
      <c r="AM24" s="190">
        <v>-76912.2</v>
      </c>
      <c r="AN24" s="190">
        <v>-80777.070000000007</v>
      </c>
      <c r="AO24" s="190">
        <v>-88599.69</v>
      </c>
      <c r="AP24" s="190">
        <v>-618232.66</v>
      </c>
      <c r="AQ24" s="190">
        <v>-358513.35</v>
      </c>
      <c r="AR24" s="190">
        <v>-183262.16</v>
      </c>
      <c r="AS24" s="190">
        <v>25555.01</v>
      </c>
      <c r="AT24" s="190">
        <v>-175237.54</v>
      </c>
      <c r="AU24" s="190">
        <v>-145492.5</v>
      </c>
      <c r="AV24" s="190">
        <v>-63613.39</v>
      </c>
      <c r="AW24" s="190">
        <v>1022710.82</v>
      </c>
      <c r="AX24" s="190">
        <v>3848574.19</v>
      </c>
      <c r="AY24" s="190">
        <v>0</v>
      </c>
    </row>
    <row r="25" spans="1:51" x14ac:dyDescent="0.25">
      <c r="A25" s="190" t="s">
        <v>212</v>
      </c>
    </row>
    <row r="26" spans="1:51" x14ac:dyDescent="0.25">
      <c r="A26" s="190" t="s">
        <v>213</v>
      </c>
      <c r="B26" s="190">
        <v>0.54</v>
      </c>
      <c r="C26" s="190">
        <v>0.37</v>
      </c>
      <c r="D26" s="190">
        <v>0.1</v>
      </c>
      <c r="E26" s="190">
        <v>0.82</v>
      </c>
      <c r="F26" s="190">
        <v>0.5</v>
      </c>
      <c r="G26" s="190">
        <v>0.34</v>
      </c>
      <c r="H26" s="190">
        <v>0.1</v>
      </c>
      <c r="I26" s="190">
        <v>0.63</v>
      </c>
      <c r="J26" s="190">
        <v>0.37</v>
      </c>
      <c r="K26" s="190">
        <v>0.25</v>
      </c>
      <c r="L26" s="190">
        <v>7.0000000000000007E-2</v>
      </c>
      <c r="M26" s="190">
        <v>1.2</v>
      </c>
      <c r="N26" s="190">
        <v>0.65</v>
      </c>
      <c r="O26" s="190">
        <v>0.4</v>
      </c>
      <c r="P26" s="190">
        <v>0.09</v>
      </c>
      <c r="Q26" s="190">
        <v>1.01</v>
      </c>
      <c r="R26" s="190">
        <v>0.63</v>
      </c>
      <c r="S26" s="190">
        <v>0.44</v>
      </c>
      <c r="T26" s="190">
        <v>0.18</v>
      </c>
      <c r="U26" s="190">
        <v>1</v>
      </c>
      <c r="V26" s="190">
        <v>0.55000000000000004</v>
      </c>
      <c r="W26" s="190">
        <v>0.34</v>
      </c>
      <c r="X26" s="190">
        <v>0.13</v>
      </c>
      <c r="Y26" s="190">
        <v>1.25</v>
      </c>
      <c r="Z26" s="190">
        <v>0.68</v>
      </c>
      <c r="AA26" s="190">
        <v>0.4</v>
      </c>
      <c r="AB26" s="190">
        <v>0.24</v>
      </c>
      <c r="AC26" s="190">
        <v>1.35</v>
      </c>
      <c r="AD26" s="190">
        <v>0.73</v>
      </c>
      <c r="AE26" s="190">
        <v>0.46</v>
      </c>
      <c r="AF26" s="190">
        <v>0.28000000000000003</v>
      </c>
      <c r="AG26" s="190">
        <v>1.91</v>
      </c>
      <c r="AH26" s="190">
        <v>1.04</v>
      </c>
      <c r="AI26" s="190">
        <v>0.59</v>
      </c>
      <c r="AJ26" s="190">
        <v>0.28000000000000003</v>
      </c>
      <c r="AK26" s="190">
        <v>1.75</v>
      </c>
      <c r="AL26" s="190">
        <v>0.9</v>
      </c>
      <c r="AM26" s="190">
        <v>0.50939999999999996</v>
      </c>
      <c r="AN26" s="190">
        <v>0.09</v>
      </c>
      <c r="AO26" s="190">
        <v>1.74</v>
      </c>
      <c r="AP26" s="190">
        <v>1.3</v>
      </c>
      <c r="AQ26" s="190">
        <v>0.6956</v>
      </c>
      <c r="AR26" s="190">
        <v>0.11</v>
      </c>
      <c r="AS26" s="190">
        <v>1.71</v>
      </c>
      <c r="AT26" s="190">
        <v>1.1000000000000001</v>
      </c>
      <c r="AU26" s="190">
        <v>0.49109999999999998</v>
      </c>
      <c r="AV26" s="190">
        <v>0.05</v>
      </c>
      <c r="AW26" s="190">
        <v>0.95</v>
      </c>
      <c r="AX26" s="190">
        <v>1.4</v>
      </c>
      <c r="AY26" s="190">
        <v>0</v>
      </c>
    </row>
    <row r="27" spans="1:51" x14ac:dyDescent="0.25">
      <c r="A27" s="190" t="s">
        <v>214</v>
      </c>
      <c r="B27" s="190">
        <v>0.54</v>
      </c>
      <c r="C27" s="190">
        <v>0.37</v>
      </c>
      <c r="D27" s="190">
        <v>0.1</v>
      </c>
      <c r="E27" s="190">
        <v>0.82</v>
      </c>
      <c r="F27" s="190">
        <v>0.5</v>
      </c>
      <c r="G27" s="190">
        <v>0.34</v>
      </c>
      <c r="H27" s="190">
        <v>0.1</v>
      </c>
      <c r="I27" s="190">
        <v>0.63</v>
      </c>
      <c r="J27" s="190">
        <v>0.37</v>
      </c>
      <c r="K27" s="190">
        <v>0.25</v>
      </c>
      <c r="L27" s="190">
        <v>7.0000000000000007E-2</v>
      </c>
      <c r="M27" s="190">
        <v>1.18</v>
      </c>
      <c r="N27" s="190">
        <v>0.65</v>
      </c>
      <c r="O27" s="190">
        <v>0.4</v>
      </c>
      <c r="P27" s="190">
        <v>0.09</v>
      </c>
      <c r="Q27" s="190">
        <v>1.01</v>
      </c>
      <c r="R27" s="190">
        <v>0.63</v>
      </c>
      <c r="S27" s="190">
        <v>0.44</v>
      </c>
      <c r="T27" s="190">
        <v>0.18</v>
      </c>
      <c r="U27" s="190">
        <v>1</v>
      </c>
      <c r="V27" s="190">
        <v>0.55000000000000004</v>
      </c>
      <c r="W27" s="190">
        <v>0.34</v>
      </c>
      <c r="X27" s="190">
        <v>0.13</v>
      </c>
      <c r="Y27" s="190">
        <v>1.25</v>
      </c>
      <c r="Z27" s="190">
        <v>0.68</v>
      </c>
      <c r="AA27" s="190">
        <v>0.4</v>
      </c>
      <c r="AB27" s="190">
        <v>0.24</v>
      </c>
      <c r="AC27" s="190">
        <v>1.35</v>
      </c>
      <c r="AD27" s="190">
        <v>0.73</v>
      </c>
      <c r="AE27" s="190">
        <v>0.46</v>
      </c>
      <c r="AF27" s="190">
        <v>0.28000000000000003</v>
      </c>
      <c r="AG27" s="190">
        <v>1.91</v>
      </c>
      <c r="AH27" s="190">
        <v>1.04</v>
      </c>
      <c r="AI27" s="190">
        <v>0.59</v>
      </c>
      <c r="AJ27" s="190">
        <v>0.28000000000000003</v>
      </c>
      <c r="AK27" s="190">
        <v>1.75</v>
      </c>
      <c r="AL27" s="190">
        <v>0.9</v>
      </c>
      <c r="AM27" s="190">
        <v>0.50939999999999996</v>
      </c>
      <c r="AN27" s="190">
        <v>0.09</v>
      </c>
      <c r="AO27" s="190">
        <v>1.74</v>
      </c>
      <c r="AP27" s="190">
        <v>1.3</v>
      </c>
      <c r="AQ27" s="190">
        <v>0.6956</v>
      </c>
      <c r="AR27" s="190">
        <v>0.11</v>
      </c>
      <c r="AS27" s="190">
        <v>1.71</v>
      </c>
      <c r="AT27" s="190">
        <v>1.1000000000000001</v>
      </c>
      <c r="AU27" s="190">
        <v>0.49109999999999998</v>
      </c>
      <c r="AV27" s="190">
        <v>0.05</v>
      </c>
      <c r="AW27" s="190">
        <v>0.95</v>
      </c>
      <c r="AX27" s="190">
        <v>1.4</v>
      </c>
      <c r="AY27" s="190">
        <v>0</v>
      </c>
    </row>
    <row r="28" spans="1:51" x14ac:dyDescent="0.25">
      <c r="A28" s="190" t="s">
        <v>215</v>
      </c>
      <c r="B28" s="190">
        <v>-2235307.1</v>
      </c>
      <c r="C28" s="190">
        <v>8393760.0199999996</v>
      </c>
      <c r="D28" s="190">
        <v>5546042.6699999999</v>
      </c>
      <c r="E28" s="190">
        <v>4365067.32</v>
      </c>
      <c r="F28" s="190">
        <v>1037096.85</v>
      </c>
      <c r="G28" s="190">
        <v>366120.29</v>
      </c>
      <c r="H28" s="190">
        <v>-224596.5</v>
      </c>
      <c r="I28" s="190">
        <v>3020626.04</v>
      </c>
      <c r="J28" s="190">
        <v>296689.55</v>
      </c>
      <c r="K28" s="190">
        <v>560712.03</v>
      </c>
      <c r="L28" s="190">
        <v>-98614.93</v>
      </c>
      <c r="M28" s="190">
        <v>-670492.91</v>
      </c>
      <c r="N28" s="190">
        <v>-543429.56000000006</v>
      </c>
      <c r="O28" s="190">
        <v>-56495.07</v>
      </c>
      <c r="P28" s="190">
        <v>-32632.880000000001</v>
      </c>
      <c r="Q28" s="190">
        <v>-55011.41</v>
      </c>
      <c r="R28" s="190">
        <v>-7279.9</v>
      </c>
      <c r="S28" s="190">
        <v>0</v>
      </c>
      <c r="T28" s="190">
        <v>0</v>
      </c>
      <c r="U28" s="190">
        <v>190.82</v>
      </c>
      <c r="V28" s="190">
        <v>561.46</v>
      </c>
      <c r="W28" s="190">
        <v>-838.63</v>
      </c>
      <c r="X28" s="190">
        <v>-272.93</v>
      </c>
      <c r="Y28" s="190">
        <v>-190.82</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row>
    <row r="29" spans="1:51" x14ac:dyDescent="0.25">
      <c r="A29" s="190" t="s">
        <v>216</v>
      </c>
      <c r="B29" s="190">
        <v>1573906125.5799999</v>
      </c>
      <c r="C29" s="190">
        <v>1097157632.1900001</v>
      </c>
      <c r="D29" s="190">
        <v>301934648.08999997</v>
      </c>
      <c r="E29" s="190">
        <v>2381151413.4200001</v>
      </c>
      <c r="F29" s="190">
        <v>1444942567.0799999</v>
      </c>
      <c r="G29" s="190">
        <v>980189845.67999995</v>
      </c>
      <c r="H29" s="190">
        <v>275791429.02999997</v>
      </c>
      <c r="I29" s="190">
        <v>1813172914.3499999</v>
      </c>
      <c r="J29" s="190">
        <v>1065822929.84</v>
      </c>
      <c r="K29" s="190">
        <v>710931645.80999994</v>
      </c>
      <c r="L29" s="190">
        <v>214321481.53</v>
      </c>
      <c r="M29" s="190">
        <v>1380453016.99</v>
      </c>
      <c r="N29" s="190">
        <v>759598429.26999998</v>
      </c>
      <c r="O29" s="190">
        <v>463260423.82999998</v>
      </c>
      <c r="P29" s="190">
        <v>103455989.8</v>
      </c>
      <c r="Q29" s="190">
        <v>1144209516.99</v>
      </c>
      <c r="R29" s="190">
        <v>725701157.52999997</v>
      </c>
      <c r="S29" s="190">
        <v>506721565.91000003</v>
      </c>
      <c r="T29" s="190">
        <v>201566864.56999999</v>
      </c>
      <c r="U29" s="190">
        <v>1130138919.1500001</v>
      </c>
      <c r="V29" s="190">
        <v>614952722.83000004</v>
      </c>
      <c r="W29" s="190">
        <v>385471308.95999998</v>
      </c>
      <c r="X29" s="190">
        <v>142047302.38999999</v>
      </c>
      <c r="Y29" s="190">
        <v>696651043.34000003</v>
      </c>
      <c r="Z29" s="190">
        <v>375189607.69999999</v>
      </c>
      <c r="AA29" s="190">
        <v>223868963.06</v>
      </c>
      <c r="AB29" s="190">
        <v>66046922.799999997</v>
      </c>
      <c r="AC29" s="190">
        <v>375560849.13</v>
      </c>
      <c r="AD29" s="190">
        <v>203338351.15000001</v>
      </c>
      <c r="AE29" s="190">
        <v>128675182.18000001</v>
      </c>
      <c r="AF29" s="190">
        <v>39139044.170000002</v>
      </c>
      <c r="AG29" s="190">
        <v>259631611.78999999</v>
      </c>
      <c r="AH29" s="190">
        <v>140506749.38999999</v>
      </c>
      <c r="AI29" s="190">
        <v>78357365.420000002</v>
      </c>
      <c r="AJ29" s="190">
        <v>18482445.690000001</v>
      </c>
      <c r="AK29" s="190">
        <v>117109577.25</v>
      </c>
      <c r="AL29" s="190">
        <v>59900200.640000001</v>
      </c>
      <c r="AM29" s="190">
        <v>0</v>
      </c>
      <c r="AN29" s="190">
        <v>0</v>
      </c>
      <c r="AO29" s="190">
        <v>0</v>
      </c>
      <c r="AP29" s="190">
        <v>0</v>
      </c>
      <c r="AQ29" s="190">
        <v>0</v>
      </c>
      <c r="AR29" s="190">
        <v>0</v>
      </c>
      <c r="AS29" s="190">
        <v>0</v>
      </c>
      <c r="AT29" s="190">
        <v>0</v>
      </c>
      <c r="AU29" s="190">
        <v>0</v>
      </c>
      <c r="AV29" s="190">
        <v>0</v>
      </c>
      <c r="AW29" s="190">
        <v>0</v>
      </c>
      <c r="AX29" s="190">
        <v>0</v>
      </c>
      <c r="AY29" s="190">
        <v>0</v>
      </c>
    </row>
    <row r="30" spans="1:51" x14ac:dyDescent="0.25">
      <c r="A30" s="190" t="s">
        <v>217</v>
      </c>
      <c r="B30" s="190">
        <v>1561446080.48</v>
      </c>
      <c r="C30" s="190">
        <v>1090310646.54</v>
      </c>
      <c r="D30" s="190">
        <v>301069183.33999997</v>
      </c>
      <c r="E30" s="190">
        <v>2383091887.54</v>
      </c>
      <c r="F30" s="190">
        <v>1445530928.1099999</v>
      </c>
      <c r="G30" s="190">
        <v>983367331.51999998</v>
      </c>
      <c r="H30" s="190">
        <v>286613799.88</v>
      </c>
      <c r="I30" s="190">
        <v>1828220073.99</v>
      </c>
      <c r="J30" s="190">
        <v>1069852406.46</v>
      </c>
      <c r="K30" s="190">
        <v>710301736.36000001</v>
      </c>
      <c r="L30" s="190">
        <v>215141440.86000001</v>
      </c>
      <c r="M30" s="190">
        <v>1371630718.96</v>
      </c>
      <c r="N30" s="190">
        <v>760642258.91999996</v>
      </c>
      <c r="O30" s="190">
        <v>463750628.22000003</v>
      </c>
      <c r="P30" s="190">
        <v>103372321.14</v>
      </c>
      <c r="Q30" s="190">
        <v>1142623473.2</v>
      </c>
      <c r="R30" s="190">
        <v>724589218.78999996</v>
      </c>
      <c r="S30" s="190">
        <v>506330773.81</v>
      </c>
      <c r="T30" s="190">
        <v>201668480.66</v>
      </c>
      <c r="U30" s="190">
        <v>1130922106.3299999</v>
      </c>
      <c r="V30" s="190">
        <v>615967228.90999997</v>
      </c>
      <c r="W30" s="190">
        <v>386252697.29000002</v>
      </c>
      <c r="X30" s="190">
        <v>142672816.24000001</v>
      </c>
      <c r="Y30" s="190">
        <v>700154954.23000002</v>
      </c>
      <c r="Z30" s="190">
        <v>377997722.56999999</v>
      </c>
      <c r="AA30" s="190">
        <v>225809636.69</v>
      </c>
      <c r="AB30" s="190">
        <v>66967705.039999999</v>
      </c>
      <c r="AC30" s="190">
        <v>377983123.51999998</v>
      </c>
      <c r="AD30" s="190">
        <v>204238399.55000001</v>
      </c>
      <c r="AE30" s="190">
        <v>128907294.90000001</v>
      </c>
      <c r="AF30" s="190">
        <v>39185843.200000003</v>
      </c>
      <c r="AG30" s="190">
        <v>260294585.96000001</v>
      </c>
      <c r="AH30" s="190">
        <v>140770590.56999999</v>
      </c>
      <c r="AI30" s="190">
        <v>78450422.950000003</v>
      </c>
      <c r="AJ30" s="190">
        <v>18528630.059999999</v>
      </c>
      <c r="AK30" s="190">
        <v>117187030.34999999</v>
      </c>
      <c r="AL30" s="190">
        <v>59977669.469999999</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218</v>
      </c>
      <c r="B31" s="190">
        <v>12460045.1</v>
      </c>
      <c r="C31" s="190">
        <v>6846985.6500000004</v>
      </c>
      <c r="D31" s="190">
        <v>865464.75</v>
      </c>
      <c r="E31" s="190">
        <v>-1940474.12</v>
      </c>
      <c r="F31" s="190">
        <v>-588361.03</v>
      </c>
      <c r="G31" s="190">
        <v>-3177485.84</v>
      </c>
      <c r="H31" s="190">
        <v>-10822370.85</v>
      </c>
      <c r="I31" s="190">
        <v>-15047159.640000001</v>
      </c>
      <c r="J31" s="190">
        <v>-4029476.62</v>
      </c>
      <c r="K31" s="190">
        <v>629909.44999999995</v>
      </c>
      <c r="L31" s="190">
        <v>-819959.33</v>
      </c>
      <c r="M31" s="190">
        <v>8822298.0299999993</v>
      </c>
      <c r="N31" s="190">
        <v>-1043829.65</v>
      </c>
      <c r="O31" s="190">
        <v>-490204.39</v>
      </c>
      <c r="P31" s="190">
        <v>83668.66</v>
      </c>
      <c r="Q31" s="190">
        <v>1586043.79</v>
      </c>
      <c r="R31" s="190">
        <v>1111938.74</v>
      </c>
      <c r="S31" s="190">
        <v>390792.1</v>
      </c>
      <c r="T31" s="190">
        <v>-101616.09</v>
      </c>
      <c r="U31" s="190">
        <v>-783187.18</v>
      </c>
      <c r="V31" s="190">
        <v>-1014506.08</v>
      </c>
      <c r="W31" s="190">
        <v>-781388.33</v>
      </c>
      <c r="X31" s="190">
        <v>-625513.85</v>
      </c>
      <c r="Y31" s="190">
        <v>-3503910.89</v>
      </c>
      <c r="Z31" s="190">
        <v>-2808114.87</v>
      </c>
      <c r="AA31" s="190">
        <v>-1940673.63</v>
      </c>
      <c r="AB31" s="190">
        <v>-920782.24</v>
      </c>
      <c r="AC31" s="190">
        <v>-2422274.39</v>
      </c>
      <c r="AD31" s="190">
        <v>-900048.4</v>
      </c>
      <c r="AE31" s="190">
        <v>-232112.72</v>
      </c>
      <c r="AF31" s="190">
        <v>-46799.03</v>
      </c>
      <c r="AG31" s="190">
        <v>-662974.17000000004</v>
      </c>
      <c r="AH31" s="190">
        <v>-263841.18</v>
      </c>
      <c r="AI31" s="190">
        <v>-93057.53</v>
      </c>
      <c r="AJ31" s="190">
        <v>-46184.37</v>
      </c>
      <c r="AK31" s="190">
        <v>-77453.100000000006</v>
      </c>
      <c r="AL31" s="190">
        <v>-77468.83</v>
      </c>
      <c r="AM31" s="190">
        <v>0</v>
      </c>
      <c r="AN31" s="190">
        <v>0</v>
      </c>
      <c r="AO31" s="190">
        <v>0</v>
      </c>
      <c r="AP31" s="190">
        <v>0</v>
      </c>
      <c r="AQ31" s="190">
        <v>0</v>
      </c>
      <c r="AR31" s="190">
        <v>0</v>
      </c>
      <c r="AS31" s="190">
        <v>0</v>
      </c>
      <c r="AT31" s="190">
        <v>0</v>
      </c>
      <c r="AU31" s="190">
        <v>0</v>
      </c>
      <c r="AV31" s="190">
        <v>0</v>
      </c>
      <c r="AW31" s="190">
        <v>0</v>
      </c>
      <c r="AX31" s="190">
        <v>0</v>
      </c>
      <c r="AY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Y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50" width="13.88671875" style="190" bestFit="1" customWidth="1"/>
    <col min="51" max="51" width="9.5546875" style="190" hidden="1" customWidth="1"/>
    <col min="52" max="16384" width="8.88671875" style="190"/>
  </cols>
  <sheetData>
    <row r="1" spans="1:51"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219</v>
      </c>
    </row>
    <row r="4" spans="1:51" x14ac:dyDescent="0.25">
      <c r="A4" s="190" t="s">
        <v>220</v>
      </c>
      <c r="B4" s="190">
        <v>14096899342.48</v>
      </c>
      <c r="C4" s="190">
        <v>9194169425.6700001</v>
      </c>
      <c r="D4" s="190">
        <v>4211360373.46</v>
      </c>
      <c r="E4" s="190">
        <v>16125642536.809999</v>
      </c>
      <c r="F4" s="190">
        <v>10440057304.6</v>
      </c>
      <c r="G4" s="190">
        <v>6660197246.6499996</v>
      </c>
      <c r="H4" s="190">
        <v>2929814830.9699998</v>
      </c>
      <c r="I4" s="190">
        <v>11615951324.18</v>
      </c>
      <c r="J4" s="190">
        <v>7813028118.3900003</v>
      </c>
      <c r="K4" s="190">
        <v>5147145993.9099998</v>
      </c>
      <c r="L4" s="190">
        <v>2641200159.5900002</v>
      </c>
      <c r="M4" s="190">
        <v>7870982462.46</v>
      </c>
      <c r="N4" s="190">
        <v>5280686758.8800001</v>
      </c>
      <c r="O4" s="190">
        <v>3217630355.6799998</v>
      </c>
      <c r="P4" s="190">
        <v>1341995120.6900001</v>
      </c>
      <c r="Q4" s="190">
        <v>5405523594.0900002</v>
      </c>
      <c r="R4" s="190">
        <v>3797889765.1599998</v>
      </c>
      <c r="S4" s="190">
        <v>2255738217.1700001</v>
      </c>
      <c r="T4" s="190">
        <v>930082082.76999998</v>
      </c>
      <c r="U4" s="190">
        <v>3947865318.8600001</v>
      </c>
      <c r="V4" s="190">
        <v>2627472013.1799998</v>
      </c>
      <c r="W4" s="190">
        <v>1603069870.02</v>
      </c>
      <c r="X4" s="190">
        <v>847667851.20000005</v>
      </c>
      <c r="Y4" s="190">
        <v>3090468155.0500002</v>
      </c>
      <c r="Z4" s="190">
        <v>2199119860.52</v>
      </c>
      <c r="AA4" s="190">
        <v>1277429568.26</v>
      </c>
      <c r="AB4" s="190">
        <v>545101027.58000004</v>
      </c>
      <c r="AC4" s="190">
        <v>2233252151.3800001</v>
      </c>
      <c r="AD4" s="190">
        <v>1385004638.25</v>
      </c>
      <c r="AE4" s="190">
        <v>844225061.79999995</v>
      </c>
      <c r="AF4" s="190">
        <v>367380057.00999999</v>
      </c>
      <c r="AG4" s="190">
        <v>1582470430.3199999</v>
      </c>
      <c r="AH4" s="190">
        <v>1019011333.14</v>
      </c>
      <c r="AI4" s="190">
        <v>597416322.95000005</v>
      </c>
      <c r="AJ4" s="190">
        <v>263380650.94999999</v>
      </c>
      <c r="AK4" s="190">
        <v>865187114.36000001</v>
      </c>
      <c r="AL4" s="190">
        <v>530768835.19</v>
      </c>
      <c r="AM4" s="190">
        <v>312242141.31999999</v>
      </c>
      <c r="AN4" s="190">
        <v>145860717.49000001</v>
      </c>
      <c r="AO4" s="190">
        <v>692223132.84000003</v>
      </c>
      <c r="AP4" s="190">
        <v>458892506.45999998</v>
      </c>
      <c r="AQ4" s="190">
        <v>234395153.06999999</v>
      </c>
      <c r="AR4" s="190">
        <v>95695537.599999994</v>
      </c>
      <c r="AS4" s="190">
        <v>449022276.19</v>
      </c>
      <c r="AT4" s="190">
        <v>273844043.89999998</v>
      </c>
      <c r="AU4" s="190">
        <v>148731733.83000001</v>
      </c>
      <c r="AV4" s="190">
        <v>66928225.350000001</v>
      </c>
      <c r="AW4" s="190">
        <v>380395127.16000003</v>
      </c>
      <c r="AX4" s="190">
        <v>300881572.00999999</v>
      </c>
      <c r="AY4" s="190">
        <v>0</v>
      </c>
    </row>
    <row r="5" spans="1:51" x14ac:dyDescent="0.25">
      <c r="A5" s="190" t="s">
        <v>221</v>
      </c>
      <c r="B5" s="190">
        <v>1175466753.02</v>
      </c>
      <c r="C5" s="190">
        <v>721443953.84000003</v>
      </c>
      <c r="D5" s="190">
        <v>415701884.80000001</v>
      </c>
      <c r="E5" s="190">
        <v>1524698109.73</v>
      </c>
      <c r="F5" s="190">
        <v>1067052799.1900001</v>
      </c>
      <c r="G5" s="190">
        <v>590974678.21000004</v>
      </c>
      <c r="H5" s="190">
        <v>349050535.30000001</v>
      </c>
      <c r="I5" s="190">
        <v>1107798139.4400001</v>
      </c>
      <c r="J5" s="190">
        <v>762678648.75</v>
      </c>
      <c r="K5" s="190">
        <v>395825576.19999999</v>
      </c>
      <c r="L5" s="190">
        <v>260671050.06999999</v>
      </c>
      <c r="M5" s="190">
        <v>959233240.78999996</v>
      </c>
      <c r="N5" s="190">
        <v>595157969.63999999</v>
      </c>
      <c r="O5" s="190">
        <v>343406157.56</v>
      </c>
      <c r="P5" s="190">
        <v>143379694.52000001</v>
      </c>
      <c r="Q5" s="190">
        <v>516909734.60000002</v>
      </c>
      <c r="R5" s="190">
        <v>363987684.23000002</v>
      </c>
      <c r="S5" s="190">
        <v>136795334.13999999</v>
      </c>
      <c r="T5" s="190">
        <v>80242746.370000005</v>
      </c>
      <c r="U5" s="190">
        <v>259182313.02000001</v>
      </c>
      <c r="V5" s="190">
        <v>189028635.33000001</v>
      </c>
      <c r="W5" s="190">
        <v>133998741.86</v>
      </c>
      <c r="X5" s="190">
        <v>54103707.210000001</v>
      </c>
      <c r="Y5" s="190">
        <v>199845145.72</v>
      </c>
      <c r="Z5" s="190">
        <v>127599484.56</v>
      </c>
      <c r="AA5" s="190">
        <v>77148612.120000005</v>
      </c>
      <c r="AB5" s="190">
        <v>28998959.850000001</v>
      </c>
      <c r="AC5" s="190">
        <v>91257011.75</v>
      </c>
      <c r="AD5" s="190">
        <v>21721424.559999999</v>
      </c>
      <c r="AE5" s="190">
        <v>12977829.59</v>
      </c>
      <c r="AF5" s="190">
        <v>10639577.380000001</v>
      </c>
      <c r="AG5" s="190">
        <v>64975564.439999998</v>
      </c>
      <c r="AH5" s="190">
        <v>40321755.060000002</v>
      </c>
      <c r="AI5" s="190">
        <v>24292817.18</v>
      </c>
      <c r="AJ5" s="190">
        <v>8633858.7100000009</v>
      </c>
      <c r="AK5" s="190">
        <v>27059859.850000001</v>
      </c>
      <c r="AL5" s="190">
        <v>15633926.550000001</v>
      </c>
      <c r="AM5" s="190">
        <v>8709124.8900000006</v>
      </c>
      <c r="AN5" s="190">
        <v>2634074.2000000002</v>
      </c>
      <c r="AO5" s="190">
        <v>27458425.07</v>
      </c>
      <c r="AP5" s="190">
        <v>13954921.82</v>
      </c>
      <c r="AQ5" s="190">
        <v>9016608.8599999994</v>
      </c>
      <c r="AR5" s="190">
        <v>1843993.74</v>
      </c>
      <c r="AS5" s="190">
        <v>16417205.300000001</v>
      </c>
      <c r="AT5" s="190">
        <v>9270218.9900000002</v>
      </c>
      <c r="AU5" s="190">
        <v>5459965.25</v>
      </c>
      <c r="AV5" s="190">
        <v>3180431.11</v>
      </c>
      <c r="AW5" s="190">
        <v>17575426.100000001</v>
      </c>
      <c r="AX5" s="190">
        <v>7091993.3300000001</v>
      </c>
      <c r="AY5" s="190">
        <v>0</v>
      </c>
    </row>
    <row r="6" spans="1:51" x14ac:dyDescent="0.25">
      <c r="A6" s="190" t="s">
        <v>222</v>
      </c>
      <c r="B6" s="190">
        <v>179706020.34999999</v>
      </c>
      <c r="C6" s="190">
        <v>69273319.560000002</v>
      </c>
      <c r="D6" s="190">
        <v>40712592.600000001</v>
      </c>
      <c r="E6" s="190">
        <v>223178052.99000001</v>
      </c>
      <c r="F6" s="190">
        <v>55867722.020000003</v>
      </c>
      <c r="G6" s="190">
        <v>31444512.120000001</v>
      </c>
      <c r="H6" s="190">
        <v>19616408.239999998</v>
      </c>
      <c r="I6" s="190">
        <v>215827709.38999999</v>
      </c>
      <c r="J6" s="190">
        <v>42405986.799999997</v>
      </c>
      <c r="K6" s="190">
        <v>31895166.02</v>
      </c>
      <c r="L6" s="190">
        <v>14658182.960000001</v>
      </c>
      <c r="M6" s="190">
        <v>77755204.120000005</v>
      </c>
      <c r="N6" s="190">
        <v>23209927.32</v>
      </c>
      <c r="O6" s="190">
        <v>14308270.32</v>
      </c>
      <c r="P6" s="190">
        <v>4877249.6900000004</v>
      </c>
      <c r="Q6" s="190">
        <v>117876681.37</v>
      </c>
      <c r="R6" s="190">
        <v>55489199.670000002</v>
      </c>
      <c r="S6" s="190">
        <v>40177790.469999999</v>
      </c>
      <c r="T6" s="190">
        <v>16054396.109999999</v>
      </c>
      <c r="U6" s="190">
        <v>83428392.439999998</v>
      </c>
      <c r="V6" s="190">
        <v>25400983.739999998</v>
      </c>
      <c r="W6" s="190">
        <v>19745975.079999998</v>
      </c>
      <c r="X6" s="190">
        <v>8530462.3300000001</v>
      </c>
      <c r="Y6" s="190">
        <v>50207599.020000003</v>
      </c>
      <c r="Z6" s="190">
        <v>17493561.73</v>
      </c>
      <c r="AA6" s="190">
        <v>13770306.630000001</v>
      </c>
      <c r="AB6" s="190">
        <v>7393966.1699999999</v>
      </c>
      <c r="AC6" s="190">
        <v>28525789.010000002</v>
      </c>
      <c r="AD6" s="190">
        <v>13473221.24</v>
      </c>
      <c r="AE6" s="190">
        <v>8221321.2699999996</v>
      </c>
      <c r="AF6" s="190">
        <v>3691061.83</v>
      </c>
      <c r="AG6" s="190">
        <v>29210389.190000001</v>
      </c>
      <c r="AH6" s="190">
        <v>11721909.529999999</v>
      </c>
      <c r="AI6" s="190">
        <v>7324158.7800000003</v>
      </c>
      <c r="AJ6" s="190">
        <v>4999721.12</v>
      </c>
      <c r="AK6" s="190">
        <v>23615658.219999999</v>
      </c>
      <c r="AL6" s="190">
        <v>7792448.0499999998</v>
      </c>
      <c r="AM6" s="190">
        <v>4923446.59</v>
      </c>
      <c r="AN6" s="190">
        <v>2519862.89</v>
      </c>
      <c r="AO6" s="190">
        <v>34700777.939999998</v>
      </c>
      <c r="AP6" s="190">
        <v>5008613.8</v>
      </c>
      <c r="AQ6" s="190">
        <v>3293269.25</v>
      </c>
      <c r="AR6" s="190">
        <v>13138134.76</v>
      </c>
      <c r="AS6" s="190">
        <v>18885758.100000001</v>
      </c>
      <c r="AT6" s="190">
        <v>18527122.300000001</v>
      </c>
      <c r="AU6" s="190">
        <v>16852211.57</v>
      </c>
      <c r="AV6" s="190">
        <v>16644860.890000001</v>
      </c>
      <c r="AW6" s="190">
        <v>28777453.68</v>
      </c>
      <c r="AX6" s="190">
        <v>11906806.77</v>
      </c>
      <c r="AY6" s="190">
        <v>0</v>
      </c>
    </row>
    <row r="7" spans="1:51" x14ac:dyDescent="0.25">
      <c r="A7" s="190" t="s">
        <v>223</v>
      </c>
      <c r="B7" s="190">
        <v>15452072115.85</v>
      </c>
      <c r="C7" s="190">
        <v>9984886699.0699997</v>
      </c>
      <c r="D7" s="190">
        <v>4667774850.8599997</v>
      </c>
      <c r="E7" s="190">
        <v>17873518699.529999</v>
      </c>
      <c r="F7" s="190">
        <v>11562977825.809999</v>
      </c>
      <c r="G7" s="190">
        <v>7282616436.9799995</v>
      </c>
      <c r="H7" s="190">
        <v>3298481774.5100002</v>
      </c>
      <c r="I7" s="190">
        <v>12939577173.01</v>
      </c>
      <c r="J7" s="190">
        <v>8618112753.9400005</v>
      </c>
      <c r="K7" s="190">
        <v>5574866736.1300001</v>
      </c>
      <c r="L7" s="190">
        <v>2916529392.6199999</v>
      </c>
      <c r="M7" s="190">
        <v>8907970907.3700008</v>
      </c>
      <c r="N7" s="190">
        <v>5899054655.8400002</v>
      </c>
      <c r="O7" s="190">
        <v>3575344783.5599999</v>
      </c>
      <c r="P7" s="190">
        <v>1490252064.9000001</v>
      </c>
      <c r="Q7" s="190">
        <v>6040310010.0600004</v>
      </c>
      <c r="R7" s="190">
        <v>4217366649.0599999</v>
      </c>
      <c r="S7" s="190">
        <v>2432711341.7800002</v>
      </c>
      <c r="T7" s="190">
        <v>1026379225.25</v>
      </c>
      <c r="U7" s="190">
        <v>4290476024.3200002</v>
      </c>
      <c r="V7" s="190">
        <v>2841901632.25</v>
      </c>
      <c r="W7" s="190">
        <v>1756814586.96</v>
      </c>
      <c r="X7" s="190">
        <v>910302020.74000001</v>
      </c>
      <c r="Y7" s="190">
        <v>3340520899.79</v>
      </c>
      <c r="Z7" s="190">
        <v>2344212906.8099999</v>
      </c>
      <c r="AA7" s="190">
        <v>1368348487.01</v>
      </c>
      <c r="AB7" s="190">
        <v>581493953.60000002</v>
      </c>
      <c r="AC7" s="190">
        <v>2353034952.1399999</v>
      </c>
      <c r="AD7" s="190">
        <v>1420199284.05</v>
      </c>
      <c r="AE7" s="190">
        <v>865424212.65999997</v>
      </c>
      <c r="AF7" s="190">
        <v>381710696.22000003</v>
      </c>
      <c r="AG7" s="190">
        <v>1676656383.95</v>
      </c>
      <c r="AH7" s="190">
        <v>1071054997.73</v>
      </c>
      <c r="AI7" s="190">
        <v>629033298.90999997</v>
      </c>
      <c r="AJ7" s="190">
        <v>277014230.77999997</v>
      </c>
      <c r="AK7" s="190">
        <v>915862632.42999995</v>
      </c>
      <c r="AL7" s="190">
        <v>554195209.78999996</v>
      </c>
      <c r="AM7" s="190">
        <v>325874712.80000001</v>
      </c>
      <c r="AN7" s="190">
        <v>151014654.58000001</v>
      </c>
      <c r="AO7" s="190">
        <v>754382335.85000002</v>
      </c>
      <c r="AP7" s="190">
        <v>477856042.07999998</v>
      </c>
      <c r="AQ7" s="190">
        <v>246705031.18000001</v>
      </c>
      <c r="AR7" s="190">
        <v>110677666.09999999</v>
      </c>
      <c r="AS7" s="190">
        <v>484325239.58999997</v>
      </c>
      <c r="AT7" s="190">
        <v>301641385.19</v>
      </c>
      <c r="AU7" s="190">
        <v>171043910.65000001</v>
      </c>
      <c r="AV7" s="190">
        <v>86753517.349999994</v>
      </c>
      <c r="AW7" s="190">
        <v>426748006.94</v>
      </c>
      <c r="AX7" s="190">
        <v>319880372.11000001</v>
      </c>
      <c r="AY7" s="190">
        <v>0</v>
      </c>
    </row>
    <row r="8" spans="1:51" x14ac:dyDescent="0.25">
      <c r="A8" s="190" t="s">
        <v>224</v>
      </c>
      <c r="B8" s="190">
        <v>11313035144.290001</v>
      </c>
      <c r="C8" s="190">
        <v>7190765894.3400002</v>
      </c>
      <c r="D8" s="190">
        <v>3781495185.2800002</v>
      </c>
      <c r="E8" s="190">
        <v>10542785834.76</v>
      </c>
      <c r="F8" s="190">
        <v>8177127518.54</v>
      </c>
      <c r="G8" s="190">
        <v>5102571198.6099997</v>
      </c>
      <c r="H8" s="190">
        <v>3089045331.27</v>
      </c>
      <c r="I8" s="190">
        <v>7738509757.1599998</v>
      </c>
      <c r="J8" s="190">
        <v>6129457614.0100002</v>
      </c>
      <c r="K8" s="190">
        <v>4037907159.21</v>
      </c>
      <c r="L8" s="190">
        <v>2460305973.2399998</v>
      </c>
      <c r="M8" s="190">
        <v>5494355852.7700005</v>
      </c>
      <c r="N8" s="190">
        <v>4337740984.46</v>
      </c>
      <c r="O8" s="190">
        <v>2628371749.8099999</v>
      </c>
      <c r="P8" s="190">
        <v>1291664456.8399999</v>
      </c>
      <c r="Q8" s="190">
        <v>3581229669.8299999</v>
      </c>
      <c r="R8" s="190">
        <v>3281779908.4499998</v>
      </c>
      <c r="S8" s="190">
        <v>2131159890.77</v>
      </c>
      <c r="T8" s="190">
        <v>921815067.01999998</v>
      </c>
      <c r="U8" s="190">
        <v>2340387654.8899999</v>
      </c>
      <c r="V8" s="190">
        <v>1670538384.48</v>
      </c>
      <c r="W8" s="190">
        <v>1041809967.23</v>
      </c>
      <c r="X8" s="190">
        <v>680912596.05999994</v>
      </c>
      <c r="Y8" s="190">
        <v>1829277324.1700001</v>
      </c>
      <c r="Z8" s="190">
        <v>1555105792.0699999</v>
      </c>
      <c r="AA8" s="190">
        <v>998989336.21000004</v>
      </c>
      <c r="AB8" s="190">
        <v>546477559.61000001</v>
      </c>
      <c r="AC8" s="190">
        <v>1593855796.3</v>
      </c>
      <c r="AD8" s="190">
        <v>1080354252.7</v>
      </c>
      <c r="AE8" s="190">
        <v>627875080.73000002</v>
      </c>
      <c r="AF8" s="190">
        <v>297551899.41000003</v>
      </c>
      <c r="AG8" s="190">
        <v>1131775704.0899999</v>
      </c>
      <c r="AH8" s="190">
        <v>803359931.33000004</v>
      </c>
      <c r="AI8" s="190">
        <v>458207917.16000003</v>
      </c>
      <c r="AJ8" s="190">
        <v>229158485.09</v>
      </c>
      <c r="AK8" s="190">
        <v>625436976.58000004</v>
      </c>
      <c r="AL8" s="190">
        <v>357072275.50999999</v>
      </c>
      <c r="AM8" s="190">
        <v>204997508.15000001</v>
      </c>
      <c r="AN8" s="190">
        <v>98640320.739999995</v>
      </c>
      <c r="AO8" s="190">
        <v>539603360.35000002</v>
      </c>
      <c r="AP8" s="190">
        <v>400860232.11000001</v>
      </c>
      <c r="AQ8" s="190">
        <v>208268425.80000001</v>
      </c>
      <c r="AR8" s="190">
        <v>88675977.200000003</v>
      </c>
      <c r="AS8" s="190">
        <v>294886066.75999999</v>
      </c>
      <c r="AT8" s="190">
        <v>211974504.22</v>
      </c>
      <c r="AU8" s="190">
        <v>136241605.68000001</v>
      </c>
      <c r="AV8" s="190">
        <v>56647721.32</v>
      </c>
      <c r="AW8" s="190">
        <v>286950967.75999999</v>
      </c>
      <c r="AX8" s="190">
        <v>208681954.33000001</v>
      </c>
      <c r="AY8" s="190">
        <v>0</v>
      </c>
    </row>
    <row r="9" spans="1:51" x14ac:dyDescent="0.25">
      <c r="A9" s="190" t="s">
        <v>225</v>
      </c>
      <c r="B9" s="190">
        <v>3147424488.0100002</v>
      </c>
      <c r="C9" s="190">
        <v>2120130137.3599999</v>
      </c>
      <c r="D9" s="190">
        <v>1247603790.1700001</v>
      </c>
      <c r="E9" s="190">
        <v>3150935592.9899998</v>
      </c>
      <c r="F9" s="190">
        <v>2225705207.9099998</v>
      </c>
      <c r="G9" s="190">
        <v>1527842972.72</v>
      </c>
      <c r="H9" s="190">
        <v>918683532.88999999</v>
      </c>
      <c r="I9" s="190">
        <v>2209622441.3299999</v>
      </c>
      <c r="J9" s="190">
        <v>1508210226.5899999</v>
      </c>
      <c r="K9" s="190">
        <v>1014800398.83</v>
      </c>
      <c r="L9" s="190">
        <v>611415319.22000003</v>
      </c>
      <c r="M9" s="190">
        <v>1538779648.96</v>
      </c>
      <c r="N9" s="190">
        <v>1060353695.98</v>
      </c>
      <c r="O9" s="190">
        <v>725223870.70000005</v>
      </c>
      <c r="P9" s="190">
        <v>429789995.91000003</v>
      </c>
      <c r="Q9" s="190">
        <v>1200980551.8499999</v>
      </c>
      <c r="R9" s="190">
        <v>890916523.96000004</v>
      </c>
      <c r="S9" s="190">
        <v>631470486.41999996</v>
      </c>
      <c r="T9" s="190">
        <v>396623663.12</v>
      </c>
      <c r="U9" s="190">
        <v>773938326.41999996</v>
      </c>
      <c r="V9" s="190">
        <v>577821352.02999997</v>
      </c>
      <c r="W9" s="190">
        <v>402085674.43000001</v>
      </c>
      <c r="X9" s="190">
        <v>256378977.34</v>
      </c>
      <c r="Y9" s="190">
        <v>484845612.44999999</v>
      </c>
      <c r="Z9" s="190">
        <v>343697600.80000001</v>
      </c>
      <c r="AA9" s="190">
        <v>230674796.31999999</v>
      </c>
      <c r="AB9" s="190">
        <v>129738792.42</v>
      </c>
      <c r="AC9" s="190">
        <v>291339692.26999998</v>
      </c>
      <c r="AD9" s="190">
        <v>221831452.03</v>
      </c>
      <c r="AE9" s="190">
        <v>147924055.97</v>
      </c>
      <c r="AF9" s="190">
        <v>94526386.769999996</v>
      </c>
      <c r="AG9" s="190">
        <v>175693779.88999999</v>
      </c>
      <c r="AH9" s="190">
        <v>126545343.89</v>
      </c>
      <c r="AI9" s="190">
        <v>81647369.780000001</v>
      </c>
      <c r="AJ9" s="190">
        <v>47637037.729999997</v>
      </c>
      <c r="AK9" s="190">
        <v>108355580.98999999</v>
      </c>
      <c r="AL9" s="190">
        <v>77960689.879999995</v>
      </c>
      <c r="AM9" s="190">
        <v>54900360.18</v>
      </c>
      <c r="AN9" s="190">
        <v>32418940.510000002</v>
      </c>
      <c r="AO9" s="190">
        <v>71257477.689999998</v>
      </c>
      <c r="AP9" s="190">
        <v>51793808.479999997</v>
      </c>
      <c r="AQ9" s="190">
        <v>34332626.280000001</v>
      </c>
      <c r="AR9" s="190">
        <v>20501359.609999999</v>
      </c>
      <c r="AS9" s="190">
        <v>40451477.920000002</v>
      </c>
      <c r="AT9" s="190">
        <v>29907779.34</v>
      </c>
      <c r="AU9" s="190">
        <v>19637982.280000001</v>
      </c>
      <c r="AV9" s="190">
        <v>17200001.940000001</v>
      </c>
      <c r="AW9" s="190">
        <v>41435027.630000003</v>
      </c>
      <c r="AX9" s="190">
        <v>19618941.829999998</v>
      </c>
      <c r="AY9" s="190">
        <v>0</v>
      </c>
    </row>
    <row r="10" spans="1:51" x14ac:dyDescent="0.25">
      <c r="A10" s="190" t="s">
        <v>226</v>
      </c>
      <c r="B10" s="190">
        <v>1148544384.3</v>
      </c>
      <c r="C10" s="190">
        <v>722939607.07000005</v>
      </c>
      <c r="D10" s="190">
        <v>392555916.82999998</v>
      </c>
      <c r="E10" s="190">
        <v>1389349414.6300001</v>
      </c>
      <c r="F10" s="190">
        <v>1009317685.7</v>
      </c>
      <c r="G10" s="190">
        <v>671609480.52999997</v>
      </c>
      <c r="H10" s="190">
        <v>351987989.91000003</v>
      </c>
      <c r="I10" s="190">
        <v>1021609733.5</v>
      </c>
      <c r="J10" s="190">
        <v>862303711.88999999</v>
      </c>
      <c r="K10" s="190">
        <v>617442491.44000006</v>
      </c>
      <c r="L10" s="190">
        <v>288646690.44</v>
      </c>
      <c r="M10" s="190">
        <v>690991548.62</v>
      </c>
      <c r="N10" s="190">
        <v>514020863.01999998</v>
      </c>
      <c r="O10" s="190">
        <v>349231351.97000003</v>
      </c>
      <c r="P10" s="190">
        <v>144726971.28</v>
      </c>
      <c r="Q10" s="190">
        <v>629844496.10000002</v>
      </c>
      <c r="R10" s="190">
        <v>489133904.30000001</v>
      </c>
      <c r="S10" s="190">
        <v>367772354.26999998</v>
      </c>
      <c r="T10" s="190">
        <v>241337554.66999999</v>
      </c>
      <c r="U10" s="190">
        <v>369573820.49000001</v>
      </c>
      <c r="V10" s="190">
        <v>258754484.77000001</v>
      </c>
      <c r="W10" s="190">
        <v>192367882.62</v>
      </c>
      <c r="X10" s="190">
        <v>88647041</v>
      </c>
      <c r="Y10" s="190">
        <v>258086874.55000001</v>
      </c>
      <c r="Z10" s="190">
        <v>188400441.46000001</v>
      </c>
      <c r="AA10" s="190">
        <v>122790990.40000001</v>
      </c>
      <c r="AB10" s="190">
        <v>56501877.890000001</v>
      </c>
      <c r="AC10" s="190">
        <v>165550887.28</v>
      </c>
      <c r="AD10" s="190">
        <v>106874844.75</v>
      </c>
      <c r="AE10" s="190">
        <v>74376746.409999996</v>
      </c>
      <c r="AF10" s="190">
        <v>29865759.59</v>
      </c>
      <c r="AG10" s="190">
        <v>87152955.609999999</v>
      </c>
      <c r="AH10" s="190">
        <v>62035984.939999998</v>
      </c>
      <c r="AI10" s="190">
        <v>41001035.740000002</v>
      </c>
      <c r="AJ10" s="190">
        <v>10532304.02</v>
      </c>
      <c r="AK10" s="190">
        <v>53474013.740000002</v>
      </c>
      <c r="AL10" s="190">
        <v>34983186.859999999</v>
      </c>
      <c r="AM10" s="190">
        <v>18107105.789999999</v>
      </c>
      <c r="AN10" s="190">
        <v>10058894.09</v>
      </c>
      <c r="AO10" s="190">
        <v>53140735.329999998</v>
      </c>
      <c r="AP10" s="190">
        <v>38106142.950000003</v>
      </c>
      <c r="AQ10" s="190">
        <v>27282869.289999999</v>
      </c>
      <c r="AR10" s="190">
        <v>11104915.279999999</v>
      </c>
      <c r="AS10" s="190">
        <v>41886497.729999997</v>
      </c>
      <c r="AT10" s="190">
        <v>27961596.289999999</v>
      </c>
      <c r="AU10" s="190">
        <v>18197718.760000002</v>
      </c>
      <c r="AV10" s="190">
        <v>10881696.949999999</v>
      </c>
      <c r="AW10" s="190">
        <v>27175264.739999998</v>
      </c>
      <c r="AX10" s="190">
        <v>16030674.01</v>
      </c>
      <c r="AY10" s="190">
        <v>0</v>
      </c>
    </row>
    <row r="11" spans="1:51" x14ac:dyDescent="0.25">
      <c r="A11" s="190" t="s">
        <v>227</v>
      </c>
      <c r="B11" s="190">
        <v>1510039968.78</v>
      </c>
      <c r="C11" s="190">
        <v>1047407897.3</v>
      </c>
      <c r="D11" s="190">
        <v>532415118.72000003</v>
      </c>
      <c r="E11" s="190">
        <v>1876216497.1400001</v>
      </c>
      <c r="F11" s="190">
        <v>1292520319.3699999</v>
      </c>
      <c r="G11" s="190">
        <v>901996675.35000002</v>
      </c>
      <c r="H11" s="190">
        <v>322990636.85000002</v>
      </c>
      <c r="I11" s="190">
        <v>1499098135.6800001</v>
      </c>
      <c r="J11" s="190">
        <v>911216486.28999996</v>
      </c>
      <c r="K11" s="190">
        <v>570456825.13</v>
      </c>
      <c r="L11" s="190">
        <v>274245985.66000003</v>
      </c>
      <c r="M11" s="190">
        <v>983080032.15999997</v>
      </c>
      <c r="N11" s="190">
        <v>662534462.51999998</v>
      </c>
      <c r="O11" s="190">
        <v>430153080.44</v>
      </c>
      <c r="P11" s="190">
        <v>148019466.47</v>
      </c>
      <c r="Q11" s="190">
        <v>645336213.74000001</v>
      </c>
      <c r="R11" s="190">
        <v>438875744.29000002</v>
      </c>
      <c r="S11" s="190">
        <v>243057536.91999999</v>
      </c>
      <c r="T11" s="190">
        <v>145195016.22</v>
      </c>
      <c r="U11" s="190">
        <v>450101001.81</v>
      </c>
      <c r="V11" s="190">
        <v>328177306.88</v>
      </c>
      <c r="W11" s="190">
        <v>199494931.22</v>
      </c>
      <c r="X11" s="190">
        <v>99544165.040000007</v>
      </c>
      <c r="Y11" s="190">
        <v>286397992.39999998</v>
      </c>
      <c r="Z11" s="190">
        <v>244120498.63999999</v>
      </c>
      <c r="AA11" s="190">
        <v>160807416.16</v>
      </c>
      <c r="AB11" s="190">
        <v>78688779.709999993</v>
      </c>
      <c r="AC11" s="190">
        <v>228069342.24000001</v>
      </c>
      <c r="AD11" s="190">
        <v>179065083.56999999</v>
      </c>
      <c r="AE11" s="190">
        <v>118645743.64</v>
      </c>
      <c r="AF11" s="190">
        <v>59635310.689999998</v>
      </c>
      <c r="AG11" s="190">
        <v>158469583.09</v>
      </c>
      <c r="AH11" s="190">
        <v>127279982.98</v>
      </c>
      <c r="AI11" s="190">
        <v>72680864.900000006</v>
      </c>
      <c r="AJ11" s="190">
        <v>33035176.260000002</v>
      </c>
      <c r="AK11" s="190">
        <v>82194228.959999993</v>
      </c>
      <c r="AL11" s="190">
        <v>71435255.120000005</v>
      </c>
      <c r="AM11" s="190">
        <v>44588440.979999997</v>
      </c>
      <c r="AN11" s="190">
        <v>22771771.170000002</v>
      </c>
      <c r="AO11" s="190">
        <v>87714044</v>
      </c>
      <c r="AP11" s="190">
        <v>50964344.299999997</v>
      </c>
      <c r="AQ11" s="190">
        <v>37578881.530000001</v>
      </c>
      <c r="AR11" s="190">
        <v>23013300.91</v>
      </c>
      <c r="AS11" s="190">
        <v>39302476.439999998</v>
      </c>
      <c r="AT11" s="190">
        <v>28108702.260000002</v>
      </c>
      <c r="AU11" s="190">
        <v>18396195.690000001</v>
      </c>
      <c r="AV11" s="190">
        <v>15111903.6</v>
      </c>
      <c r="AW11" s="190">
        <v>100407407</v>
      </c>
      <c r="AX11" s="190">
        <v>51931522.68</v>
      </c>
      <c r="AY11" s="190">
        <v>0</v>
      </c>
    </row>
    <row r="12" spans="1:51" x14ac:dyDescent="0.25">
      <c r="A12" s="190" t="s">
        <v>228</v>
      </c>
      <c r="B12" s="190">
        <v>17119043985.379999</v>
      </c>
      <c r="C12" s="190">
        <v>11081243536.07</v>
      </c>
      <c r="D12" s="190">
        <v>5954070011</v>
      </c>
      <c r="E12" s="190">
        <v>16959287339.52</v>
      </c>
      <c r="F12" s="190">
        <v>12704670731.52</v>
      </c>
      <c r="G12" s="190">
        <v>8204020327.21</v>
      </c>
      <c r="H12" s="190">
        <v>4682707490.9200001</v>
      </c>
      <c r="I12" s="190">
        <v>12468840067.67</v>
      </c>
      <c r="J12" s="190">
        <v>9411188038.7800007</v>
      </c>
      <c r="K12" s="190">
        <v>6240606874.6099997</v>
      </c>
      <c r="L12" s="190">
        <v>3634613968.5599999</v>
      </c>
      <c r="M12" s="190">
        <v>8707207082.5100002</v>
      </c>
      <c r="N12" s="190">
        <v>6574650005.9799995</v>
      </c>
      <c r="O12" s="190">
        <v>4132980052.9200001</v>
      </c>
      <c r="P12" s="190">
        <v>2014200890.5</v>
      </c>
      <c r="Q12" s="190">
        <v>6057390931.5200005</v>
      </c>
      <c r="R12" s="190">
        <v>5100706081</v>
      </c>
      <c r="S12" s="190">
        <v>3373460268.3800001</v>
      </c>
      <c r="T12" s="190">
        <v>1704971301.03</v>
      </c>
      <c r="U12" s="190">
        <v>3934000803.6100001</v>
      </c>
      <c r="V12" s="190">
        <v>2835291528.1599998</v>
      </c>
      <c r="W12" s="190">
        <v>1835758455.5</v>
      </c>
      <c r="X12" s="190">
        <v>1125482779.4400001</v>
      </c>
      <c r="Y12" s="190">
        <v>2858607803.5700002</v>
      </c>
      <c r="Z12" s="190">
        <v>2331324332.9699998</v>
      </c>
      <c r="AA12" s="190">
        <v>1513262539.0899999</v>
      </c>
      <c r="AB12" s="190">
        <v>811407009.63</v>
      </c>
      <c r="AC12" s="190">
        <v>2278815718.0900002</v>
      </c>
      <c r="AD12" s="190">
        <v>1588125633.05</v>
      </c>
      <c r="AE12" s="190">
        <v>968821626.75</v>
      </c>
      <c r="AF12" s="190">
        <v>481579356.45999998</v>
      </c>
      <c r="AG12" s="190">
        <v>1553092022.6800001</v>
      </c>
      <c r="AH12" s="190">
        <v>1119221243.1400001</v>
      </c>
      <c r="AI12" s="190">
        <v>653537187.58000004</v>
      </c>
      <c r="AJ12" s="190">
        <v>320363003.10000002</v>
      </c>
      <c r="AK12" s="190">
        <v>869460800.26999998</v>
      </c>
      <c r="AL12" s="190">
        <v>541451407.37</v>
      </c>
      <c r="AM12" s="190">
        <v>322593415.10000002</v>
      </c>
      <c r="AN12" s="190">
        <v>163889926.50999999</v>
      </c>
      <c r="AO12" s="190">
        <v>751715617.37</v>
      </c>
      <c r="AP12" s="190">
        <v>541724527.84000003</v>
      </c>
      <c r="AQ12" s="190">
        <v>307462802.89999998</v>
      </c>
      <c r="AR12" s="190">
        <v>143295553</v>
      </c>
      <c r="AS12" s="190">
        <v>416526518.85000002</v>
      </c>
      <c r="AT12" s="190">
        <v>297952582.11000001</v>
      </c>
      <c r="AU12" s="190">
        <v>192473502.41</v>
      </c>
      <c r="AV12" s="190">
        <v>99841323.810000002</v>
      </c>
      <c r="AW12" s="190">
        <v>455968667.13</v>
      </c>
      <c r="AX12" s="190">
        <v>296263092.85000002</v>
      </c>
      <c r="AY12" s="190">
        <v>0</v>
      </c>
    </row>
    <row r="13" spans="1:51" x14ac:dyDescent="0.25">
      <c r="A13" s="190" t="s">
        <v>229</v>
      </c>
      <c r="B13" s="190">
        <v>-1666971869.53</v>
      </c>
      <c r="C13" s="190">
        <v>-1096356837</v>
      </c>
      <c r="D13" s="190">
        <v>-1286295160.1400001</v>
      </c>
      <c r="E13" s="190">
        <v>914231360.00999999</v>
      </c>
      <c r="F13" s="190">
        <v>-1141692905.71</v>
      </c>
      <c r="G13" s="190">
        <v>-921403890.23000002</v>
      </c>
      <c r="H13" s="190">
        <v>-1384225716.4100001</v>
      </c>
      <c r="I13" s="190">
        <v>470737105.33999997</v>
      </c>
      <c r="J13" s="190">
        <v>-793075284.84000003</v>
      </c>
      <c r="K13" s="190">
        <v>-665740138.48000002</v>
      </c>
      <c r="L13" s="190">
        <v>-718084575.94000006</v>
      </c>
      <c r="M13" s="190">
        <v>200763824.86000001</v>
      </c>
      <c r="N13" s="190">
        <v>-675595350.13999999</v>
      </c>
      <c r="O13" s="190">
        <v>-557635269.36000001</v>
      </c>
      <c r="P13" s="190">
        <v>-523948825.60000002</v>
      </c>
      <c r="Q13" s="190">
        <v>-17080921.460000001</v>
      </c>
      <c r="R13" s="190">
        <v>-883339431.94000006</v>
      </c>
      <c r="S13" s="190">
        <v>-940748926.60000002</v>
      </c>
      <c r="T13" s="190">
        <v>-678592075.77999997</v>
      </c>
      <c r="U13" s="190">
        <v>356475220.70999998</v>
      </c>
      <c r="V13" s="190">
        <v>6610104.0899999999</v>
      </c>
      <c r="W13" s="190">
        <v>-78943868.540000007</v>
      </c>
      <c r="X13" s="190">
        <v>-215180758.69999999</v>
      </c>
      <c r="Y13" s="190">
        <v>481913096.22000003</v>
      </c>
      <c r="Z13" s="190">
        <v>12888573.84</v>
      </c>
      <c r="AA13" s="190">
        <v>-144914052.08000001</v>
      </c>
      <c r="AB13" s="190">
        <v>-229913056.03</v>
      </c>
      <c r="AC13" s="190">
        <v>74219234.049999997</v>
      </c>
      <c r="AD13" s="190">
        <v>-167926349</v>
      </c>
      <c r="AE13" s="190">
        <v>-103397414.09</v>
      </c>
      <c r="AF13" s="190">
        <v>-99868660.239999995</v>
      </c>
      <c r="AG13" s="190">
        <v>123564361.27</v>
      </c>
      <c r="AH13" s="190">
        <v>-48166245.409999996</v>
      </c>
      <c r="AI13" s="190">
        <v>-24503888.670000002</v>
      </c>
      <c r="AJ13" s="190">
        <v>-43348772.32</v>
      </c>
      <c r="AK13" s="190">
        <v>46401832.159999996</v>
      </c>
      <c r="AL13" s="190">
        <v>12743802.42</v>
      </c>
      <c r="AM13" s="190">
        <v>3281297.7</v>
      </c>
      <c r="AN13" s="190">
        <v>-12875271.93</v>
      </c>
      <c r="AO13" s="190">
        <v>2666718.48</v>
      </c>
      <c r="AP13" s="190">
        <v>-63868485.759999998</v>
      </c>
      <c r="AQ13" s="190">
        <v>-60757771.719999999</v>
      </c>
      <c r="AR13" s="190">
        <v>-32617886.899999999</v>
      </c>
      <c r="AS13" s="190">
        <v>67798720.739999995</v>
      </c>
      <c r="AT13" s="190">
        <v>3688803.08</v>
      </c>
      <c r="AU13" s="190">
        <v>-21429591.760000002</v>
      </c>
      <c r="AV13" s="190">
        <v>-13087806.460000001</v>
      </c>
      <c r="AW13" s="190">
        <v>-29220660.190000001</v>
      </c>
      <c r="AX13" s="190">
        <v>23617279.260000002</v>
      </c>
      <c r="AY13" s="190">
        <v>0</v>
      </c>
    </row>
    <row r="14" spans="1:51" x14ac:dyDescent="0.25">
      <c r="A14" s="190" t="s">
        <v>230</v>
      </c>
    </row>
    <row r="15" spans="1:51" x14ac:dyDescent="0.25">
      <c r="A15" s="190" t="s">
        <v>231</v>
      </c>
      <c r="B15" s="190">
        <v>146950000</v>
      </c>
      <c r="C15" s="190">
        <v>140950000</v>
      </c>
      <c r="D15" s="190">
        <v>106300000</v>
      </c>
      <c r="E15" s="190">
        <v>73662025.450000003</v>
      </c>
      <c r="F15" s="190">
        <v>62960476.450000003</v>
      </c>
      <c r="G15" s="190">
        <v>46000000</v>
      </c>
      <c r="H15" s="190">
        <v>5000000</v>
      </c>
      <c r="I15" s="190">
        <v>359200000</v>
      </c>
      <c r="J15" s="190">
        <v>334200000</v>
      </c>
      <c r="K15" s="190">
        <v>330200000</v>
      </c>
      <c r="L15" s="190">
        <v>330200000</v>
      </c>
      <c r="M15" s="190">
        <v>1963200000</v>
      </c>
      <c r="N15" s="190">
        <v>1963200000</v>
      </c>
      <c r="O15" s="190">
        <v>1963200000</v>
      </c>
      <c r="P15" s="190">
        <v>1559900000</v>
      </c>
      <c r="Q15" s="190">
        <v>910000001</v>
      </c>
      <c r="R15" s="190">
        <v>0</v>
      </c>
      <c r="S15" s="190">
        <v>0</v>
      </c>
      <c r="T15" s="190">
        <v>0</v>
      </c>
      <c r="U15" s="190">
        <v>0</v>
      </c>
      <c r="V15" s="190">
        <v>854200.62</v>
      </c>
      <c r="W15" s="190">
        <v>708488.42</v>
      </c>
      <c r="X15" s="190">
        <v>0</v>
      </c>
      <c r="Y15" s="190">
        <v>0</v>
      </c>
      <c r="Z15" s="190">
        <v>0</v>
      </c>
      <c r="AA15" s="190">
        <v>0</v>
      </c>
      <c r="AB15" s="190">
        <v>0</v>
      </c>
      <c r="AC15" s="190">
        <v>0</v>
      </c>
      <c r="AD15" s="190">
        <v>0</v>
      </c>
      <c r="AE15" s="190">
        <v>0</v>
      </c>
      <c r="AF15" s="190">
        <v>0</v>
      </c>
      <c r="AG15" s="190">
        <v>0</v>
      </c>
      <c r="AH15" s="190">
        <v>0</v>
      </c>
      <c r="AI15" s="190">
        <v>0</v>
      </c>
      <c r="AJ15" s="190">
        <v>0</v>
      </c>
      <c r="AK15" s="190">
        <v>50547</v>
      </c>
      <c r="AL15" s="190">
        <v>0</v>
      </c>
      <c r="AM15" s="190">
        <v>0</v>
      </c>
      <c r="AN15" s="190">
        <v>0</v>
      </c>
      <c r="AO15" s="190">
        <v>77792818.870000005</v>
      </c>
      <c r="AP15" s="190">
        <v>300000</v>
      </c>
      <c r="AQ15" s="190">
        <v>300000</v>
      </c>
      <c r="AR15" s="190">
        <v>300000</v>
      </c>
      <c r="AS15" s="190">
        <v>42143185.600000001</v>
      </c>
      <c r="AT15" s="190">
        <v>42206636.579999998</v>
      </c>
      <c r="AU15" s="190">
        <v>41843185.600000001</v>
      </c>
      <c r="AV15" s="190">
        <v>0</v>
      </c>
      <c r="AW15" s="190">
        <v>20941137.989999998</v>
      </c>
      <c r="AX15" s="190">
        <v>0</v>
      </c>
      <c r="AY15" s="190">
        <v>0</v>
      </c>
    </row>
    <row r="16" spans="1:51" x14ac:dyDescent="0.25">
      <c r="A16" s="190" t="s">
        <v>232</v>
      </c>
      <c r="B16" s="190">
        <v>1738010.28</v>
      </c>
      <c r="C16" s="190">
        <v>1604974.66</v>
      </c>
      <c r="D16" s="190">
        <v>620911.02</v>
      </c>
      <c r="E16" s="190">
        <v>5543861.2599999998</v>
      </c>
      <c r="F16" s="190">
        <v>8104273.1200000001</v>
      </c>
      <c r="G16" s="190">
        <v>5698233.8700000001</v>
      </c>
      <c r="H16" s="190">
        <v>2150948.09</v>
      </c>
      <c r="I16" s="190">
        <v>24319641.050000001</v>
      </c>
      <c r="J16" s="190">
        <v>23666304.420000002</v>
      </c>
      <c r="K16" s="190">
        <v>20076060.390000001</v>
      </c>
      <c r="L16" s="190">
        <v>121205.21</v>
      </c>
      <c r="M16" s="190">
        <v>7845304.5800000001</v>
      </c>
      <c r="N16" s="190">
        <v>6084248.0800000001</v>
      </c>
      <c r="O16" s="190">
        <v>6129486.3099999996</v>
      </c>
      <c r="P16" s="190">
        <v>5090152.97</v>
      </c>
      <c r="Q16" s="190">
        <v>7213617.9500000002</v>
      </c>
      <c r="R16" s="190">
        <v>45596.28</v>
      </c>
      <c r="S16" s="190">
        <v>0</v>
      </c>
      <c r="T16" s="190">
        <v>0</v>
      </c>
      <c r="U16" s="190">
        <v>8073181.1200000001</v>
      </c>
      <c r="V16" s="190">
        <v>2509605.38</v>
      </c>
      <c r="W16" s="190">
        <v>605324.74</v>
      </c>
      <c r="X16" s="190">
        <v>768243</v>
      </c>
      <c r="Y16" s="190">
        <v>90072.38</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10321.64</v>
      </c>
      <c r="AQ16" s="190">
        <v>10321.64</v>
      </c>
      <c r="AR16" s="190">
        <v>10321.64</v>
      </c>
      <c r="AS16" s="190">
        <v>10321.64</v>
      </c>
      <c r="AT16" s="190">
        <v>0</v>
      </c>
      <c r="AU16" s="190">
        <v>0</v>
      </c>
      <c r="AV16" s="190">
        <v>0</v>
      </c>
      <c r="AW16" s="190">
        <v>0</v>
      </c>
      <c r="AX16" s="190">
        <v>0</v>
      </c>
      <c r="AY16" s="190">
        <v>0</v>
      </c>
    </row>
    <row r="17" spans="1:51" x14ac:dyDescent="0.25">
      <c r="A17" s="190" t="s">
        <v>233</v>
      </c>
      <c r="B17" s="190">
        <v>552893.76</v>
      </c>
      <c r="C17" s="190">
        <v>330762.69</v>
      </c>
      <c r="D17" s="190">
        <v>164288.72</v>
      </c>
      <c r="E17" s="190">
        <v>2547995.1</v>
      </c>
      <c r="F17" s="190">
        <v>1552766.02</v>
      </c>
      <c r="G17" s="190">
        <v>714022.92</v>
      </c>
      <c r="H17" s="190">
        <v>24189.24</v>
      </c>
      <c r="I17" s="190">
        <v>716079.32</v>
      </c>
      <c r="J17" s="190">
        <v>650622.89</v>
      </c>
      <c r="K17" s="190">
        <v>102337.87</v>
      </c>
      <c r="L17" s="190">
        <v>25875.11</v>
      </c>
      <c r="M17" s="190">
        <v>582223.51</v>
      </c>
      <c r="N17" s="190">
        <v>182704.23</v>
      </c>
      <c r="O17" s="190">
        <v>0</v>
      </c>
      <c r="P17" s="190">
        <v>0</v>
      </c>
      <c r="Q17" s="190">
        <v>1042019.36</v>
      </c>
      <c r="R17" s="190">
        <v>83067.95</v>
      </c>
      <c r="S17" s="190">
        <v>2164764.6</v>
      </c>
      <c r="T17" s="190">
        <v>2151736.34</v>
      </c>
      <c r="U17" s="190">
        <v>1338054.26</v>
      </c>
      <c r="V17" s="190">
        <v>265096.48</v>
      </c>
      <c r="W17" s="190">
        <v>4867.6099999999997</v>
      </c>
      <c r="X17" s="190">
        <v>304.85000000000002</v>
      </c>
      <c r="Y17" s="190">
        <v>748604.01</v>
      </c>
      <c r="Z17" s="190">
        <v>41069.99</v>
      </c>
      <c r="AA17" s="190">
        <v>30356.47</v>
      </c>
      <c r="AB17" s="190">
        <v>8500</v>
      </c>
      <c r="AC17" s="190">
        <v>1197916.1399999999</v>
      </c>
      <c r="AD17" s="190">
        <v>567999.73</v>
      </c>
      <c r="AE17" s="190">
        <v>298000</v>
      </c>
      <c r="AF17" s="190">
        <v>137000</v>
      </c>
      <c r="AG17" s="190">
        <v>775314.74</v>
      </c>
      <c r="AH17" s="190">
        <v>29134.97</v>
      </c>
      <c r="AI17" s="190">
        <v>25851.73</v>
      </c>
      <c r="AJ17" s="190">
        <v>0</v>
      </c>
      <c r="AK17" s="190">
        <v>524379.92000000004</v>
      </c>
      <c r="AL17" s="190">
        <v>-1998.25</v>
      </c>
      <c r="AM17" s="190">
        <v>-1998.25</v>
      </c>
      <c r="AN17" s="190">
        <v>-1998.25</v>
      </c>
      <c r="AO17" s="190">
        <v>194314.06</v>
      </c>
      <c r="AP17" s="190">
        <v>71609.460000000006</v>
      </c>
      <c r="AQ17" s="190">
        <v>71609.460000000006</v>
      </c>
      <c r="AR17" s="190">
        <v>57926.43</v>
      </c>
      <c r="AS17" s="190">
        <v>673522.25</v>
      </c>
      <c r="AT17" s="190">
        <v>565557.55000000005</v>
      </c>
      <c r="AU17" s="190">
        <v>160380.26999999999</v>
      </c>
      <c r="AV17" s="190">
        <v>5965</v>
      </c>
      <c r="AW17" s="190">
        <v>1646770.39</v>
      </c>
      <c r="AX17" s="190">
        <v>698757.83</v>
      </c>
      <c r="AY17" s="190">
        <v>0</v>
      </c>
    </row>
    <row r="18" spans="1:51"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row>
    <row r="19" spans="1:51" x14ac:dyDescent="0.25">
      <c r="A19" s="190" t="s">
        <v>235</v>
      </c>
      <c r="B19" s="190">
        <v>3254123.87</v>
      </c>
      <c r="C19" s="190">
        <v>2404123.87</v>
      </c>
      <c r="D19" s="190">
        <v>0</v>
      </c>
      <c r="E19" s="190">
        <v>35937405.079999998</v>
      </c>
      <c r="F19" s="190">
        <v>33252642.219999999</v>
      </c>
      <c r="G19" s="190">
        <v>1592642.22</v>
      </c>
      <c r="H19" s="190">
        <v>0</v>
      </c>
      <c r="I19" s="190">
        <v>37997394.280000001</v>
      </c>
      <c r="J19" s="190">
        <v>38330102.619999997</v>
      </c>
      <c r="K19" s="190">
        <v>13990102.619999999</v>
      </c>
      <c r="L19" s="190">
        <v>10227400</v>
      </c>
      <c r="M19" s="190">
        <v>62886313.159999996</v>
      </c>
      <c r="N19" s="190">
        <v>2907543.74</v>
      </c>
      <c r="O19" s="190">
        <v>1794743.74</v>
      </c>
      <c r="P19" s="190">
        <v>1183935.74</v>
      </c>
      <c r="Q19" s="190">
        <v>6358231.3799999999</v>
      </c>
      <c r="R19" s="190">
        <v>1339087.1000000001</v>
      </c>
      <c r="S19" s="190">
        <v>1072802.6399999999</v>
      </c>
      <c r="T19" s="190">
        <v>0</v>
      </c>
      <c r="U19" s="190">
        <v>4841638.3600000003</v>
      </c>
      <c r="V19" s="190">
        <v>2557638.36</v>
      </c>
      <c r="W19" s="190">
        <v>2557638.36</v>
      </c>
      <c r="X19" s="190">
        <v>1019467.26</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row>
    <row r="20" spans="1:51" x14ac:dyDescent="0.25">
      <c r="A20" s="190" t="s">
        <v>236</v>
      </c>
      <c r="B20" s="190">
        <v>152495027.91</v>
      </c>
      <c r="C20" s="190">
        <v>145289861.22</v>
      </c>
      <c r="D20" s="190">
        <v>107085199.73999999</v>
      </c>
      <c r="E20" s="190">
        <v>117691286.89</v>
      </c>
      <c r="F20" s="190">
        <v>105870157.81</v>
      </c>
      <c r="G20" s="190">
        <v>54004899.009999998</v>
      </c>
      <c r="H20" s="190">
        <v>7175137.3300000001</v>
      </c>
      <c r="I20" s="190">
        <v>422233114.64999998</v>
      </c>
      <c r="J20" s="190">
        <v>396847029.93000001</v>
      </c>
      <c r="K20" s="190">
        <v>364368500.88</v>
      </c>
      <c r="L20" s="190">
        <v>340574480.31999999</v>
      </c>
      <c r="M20" s="190">
        <v>2034513841.25</v>
      </c>
      <c r="N20" s="190">
        <v>1972374496.05</v>
      </c>
      <c r="O20" s="190">
        <v>1971124230.05</v>
      </c>
      <c r="P20" s="190">
        <v>1566174088.71</v>
      </c>
      <c r="Q20" s="190">
        <v>924613869.69000006</v>
      </c>
      <c r="R20" s="190">
        <v>1467751.33</v>
      </c>
      <c r="S20" s="190">
        <v>3237567.24</v>
      </c>
      <c r="T20" s="190">
        <v>2151736.34</v>
      </c>
      <c r="U20" s="190">
        <v>14252873.74</v>
      </c>
      <c r="V20" s="190">
        <v>6186540.8399999999</v>
      </c>
      <c r="W20" s="190">
        <v>3876319.13</v>
      </c>
      <c r="X20" s="190">
        <v>1788015.11</v>
      </c>
      <c r="Y20" s="190">
        <v>838676.39</v>
      </c>
      <c r="Z20" s="190">
        <v>41069.99</v>
      </c>
      <c r="AA20" s="190">
        <v>30356.47</v>
      </c>
      <c r="AB20" s="190">
        <v>8500</v>
      </c>
      <c r="AC20" s="190">
        <v>1197916.1399999999</v>
      </c>
      <c r="AD20" s="190">
        <v>567999.73</v>
      </c>
      <c r="AE20" s="190">
        <v>298000</v>
      </c>
      <c r="AF20" s="190">
        <v>137000</v>
      </c>
      <c r="AG20" s="190">
        <v>775314.74</v>
      </c>
      <c r="AH20" s="190">
        <v>29134.97</v>
      </c>
      <c r="AI20" s="190">
        <v>25851.73</v>
      </c>
      <c r="AJ20" s="190">
        <v>0</v>
      </c>
      <c r="AK20" s="190">
        <v>574926.92000000004</v>
      </c>
      <c r="AL20" s="190">
        <v>-1998.25</v>
      </c>
      <c r="AM20" s="190">
        <v>-1998.25</v>
      </c>
      <c r="AN20" s="190">
        <v>-1998.25</v>
      </c>
      <c r="AO20" s="190">
        <v>77987132.930000007</v>
      </c>
      <c r="AP20" s="190">
        <v>381931.1</v>
      </c>
      <c r="AQ20" s="190">
        <v>381931.1</v>
      </c>
      <c r="AR20" s="190">
        <v>368248.07</v>
      </c>
      <c r="AS20" s="190">
        <v>42827029.490000002</v>
      </c>
      <c r="AT20" s="190">
        <v>42772194.130000003</v>
      </c>
      <c r="AU20" s="190">
        <v>42003565.869999997</v>
      </c>
      <c r="AV20" s="190">
        <v>5965</v>
      </c>
      <c r="AW20" s="190">
        <v>22587908.379999999</v>
      </c>
      <c r="AX20" s="190">
        <v>698757.83</v>
      </c>
      <c r="AY20" s="190">
        <v>0</v>
      </c>
    </row>
    <row r="21" spans="1:51" x14ac:dyDescent="0.25">
      <c r="A21" s="190" t="s">
        <v>237</v>
      </c>
      <c r="B21" s="190">
        <v>389636120.06999999</v>
      </c>
      <c r="C21" s="190">
        <v>223433215.09999999</v>
      </c>
      <c r="D21" s="190">
        <v>101042468.25</v>
      </c>
      <c r="E21" s="190">
        <v>287810123.74000001</v>
      </c>
      <c r="F21" s="190">
        <v>242841832.28</v>
      </c>
      <c r="G21" s="190">
        <v>187854034.66</v>
      </c>
      <c r="H21" s="190">
        <v>104712518.73999999</v>
      </c>
      <c r="I21" s="190">
        <v>564313794.78999996</v>
      </c>
      <c r="J21" s="190">
        <v>361283407.95999998</v>
      </c>
      <c r="K21" s="190">
        <v>239590052.13</v>
      </c>
      <c r="L21" s="190">
        <v>125927432.59999999</v>
      </c>
      <c r="M21" s="190">
        <v>367979973.50999999</v>
      </c>
      <c r="N21" s="190">
        <v>295879244.04000002</v>
      </c>
      <c r="O21" s="190">
        <v>171479291.13999999</v>
      </c>
      <c r="P21" s="190">
        <v>141981679.83000001</v>
      </c>
      <c r="Q21" s="190">
        <v>127315815.44</v>
      </c>
      <c r="R21" s="190">
        <v>97175100.299999997</v>
      </c>
      <c r="S21" s="190">
        <v>68362328.120000005</v>
      </c>
      <c r="T21" s="190">
        <v>26857448.579999998</v>
      </c>
      <c r="U21" s="190">
        <v>165559396.94999999</v>
      </c>
      <c r="V21" s="190">
        <v>148357430.72</v>
      </c>
      <c r="W21" s="190">
        <v>94951447.780000001</v>
      </c>
      <c r="X21" s="190">
        <v>45447333.359999999</v>
      </c>
      <c r="Y21" s="190">
        <v>181125202.30000001</v>
      </c>
      <c r="Z21" s="190">
        <v>102932076.68000001</v>
      </c>
      <c r="AA21" s="190">
        <v>58029928.170000002</v>
      </c>
      <c r="AB21" s="190">
        <v>26470040.370000001</v>
      </c>
      <c r="AC21" s="190">
        <v>107846940.93000001</v>
      </c>
      <c r="AD21" s="190">
        <v>78818465.359999999</v>
      </c>
      <c r="AE21" s="190">
        <v>48286434.340000004</v>
      </c>
      <c r="AF21" s="190">
        <v>9069217.1899999995</v>
      </c>
      <c r="AG21" s="190">
        <v>29366658.870000001</v>
      </c>
      <c r="AH21" s="190">
        <v>15338799.66</v>
      </c>
      <c r="AI21" s="190">
        <v>6942100.1900000004</v>
      </c>
      <c r="AJ21" s="190">
        <v>2621647.7999999998</v>
      </c>
      <c r="AK21" s="190">
        <v>22038243.18</v>
      </c>
      <c r="AL21" s="190">
        <v>14828094.779999999</v>
      </c>
      <c r="AM21" s="190">
        <v>12913619.93</v>
      </c>
      <c r="AN21" s="190">
        <v>11535717.689999999</v>
      </c>
      <c r="AO21" s="190">
        <v>36231357.960000001</v>
      </c>
      <c r="AP21" s="190">
        <v>7936894</v>
      </c>
      <c r="AQ21" s="190">
        <v>6103762.4199999999</v>
      </c>
      <c r="AR21" s="190">
        <v>1571371.91</v>
      </c>
      <c r="AS21" s="190">
        <v>20745609.5</v>
      </c>
      <c r="AT21" s="190">
        <v>1809525.76</v>
      </c>
      <c r="AU21" s="190">
        <v>1027807.31</v>
      </c>
      <c r="AV21" s="190">
        <v>115247</v>
      </c>
      <c r="AW21" s="190">
        <v>13557954.130000001</v>
      </c>
      <c r="AX21" s="190">
        <v>28426742.109999999</v>
      </c>
      <c r="AY21" s="190">
        <v>0</v>
      </c>
    </row>
    <row r="22" spans="1:51" x14ac:dyDescent="0.25">
      <c r="A22" s="190" t="s">
        <v>238</v>
      </c>
      <c r="B22" s="190">
        <v>144300000</v>
      </c>
      <c r="C22" s="190">
        <v>139300000</v>
      </c>
      <c r="D22" s="190">
        <v>126300000</v>
      </c>
      <c r="E22" s="190">
        <v>123796449</v>
      </c>
      <c r="F22" s="190">
        <v>121796449</v>
      </c>
      <c r="G22" s="190">
        <v>101696449</v>
      </c>
      <c r="H22" s="190">
        <v>44696449</v>
      </c>
      <c r="I22" s="190">
        <v>110096000</v>
      </c>
      <c r="J22" s="190">
        <v>107600000</v>
      </c>
      <c r="K22" s="190">
        <v>56600000</v>
      </c>
      <c r="L22" s="190">
        <v>33200000</v>
      </c>
      <c r="M22" s="190">
        <v>1606700000</v>
      </c>
      <c r="N22" s="190">
        <v>1268500000</v>
      </c>
      <c r="O22" s="190">
        <v>1265500000</v>
      </c>
      <c r="P22" s="190">
        <v>1021300000</v>
      </c>
      <c r="Q22" s="190">
        <v>1641700001</v>
      </c>
      <c r="R22" s="190">
        <v>131000000</v>
      </c>
      <c r="S22" s="190">
        <v>30000000</v>
      </c>
      <c r="T22" s="190">
        <v>30000000</v>
      </c>
      <c r="U22" s="190">
        <v>0</v>
      </c>
      <c r="V22" s="190">
        <v>0</v>
      </c>
      <c r="W22" s="190">
        <v>0</v>
      </c>
      <c r="X22" s="190">
        <v>0</v>
      </c>
      <c r="Y22" s="190">
        <v>5900000</v>
      </c>
      <c r="Z22" s="190">
        <v>5900000</v>
      </c>
      <c r="AA22" s="190">
        <v>900000</v>
      </c>
      <c r="AB22" s="190">
        <v>900000</v>
      </c>
      <c r="AC22" s="190">
        <v>13600000</v>
      </c>
      <c r="AD22" s="190">
        <v>13000000</v>
      </c>
      <c r="AE22" s="190">
        <v>12400000</v>
      </c>
      <c r="AF22" s="190">
        <v>400000</v>
      </c>
      <c r="AG22" s="190">
        <v>400000</v>
      </c>
      <c r="AH22" s="190">
        <v>400000</v>
      </c>
      <c r="AI22" s="190">
        <v>400000</v>
      </c>
      <c r="AJ22" s="190">
        <v>0</v>
      </c>
      <c r="AK22" s="190">
        <v>10000000</v>
      </c>
      <c r="AL22" s="190">
        <v>0</v>
      </c>
      <c r="AM22" s="190">
        <v>0</v>
      </c>
      <c r="AN22" s="190">
        <v>0</v>
      </c>
      <c r="AO22" s="190">
        <v>72805391.760000005</v>
      </c>
      <c r="AP22" s="190">
        <v>30000000</v>
      </c>
      <c r="AQ22" s="190">
        <v>0</v>
      </c>
      <c r="AR22" s="190">
        <v>0</v>
      </c>
      <c r="AS22" s="190">
        <v>8500000</v>
      </c>
      <c r="AT22" s="190">
        <v>8500000</v>
      </c>
      <c r="AU22" s="190">
        <v>8500000</v>
      </c>
      <c r="AV22" s="190">
        <v>0</v>
      </c>
      <c r="AW22" s="190">
        <v>29777545.34</v>
      </c>
      <c r="AX22" s="190">
        <v>0</v>
      </c>
      <c r="AY22" s="190">
        <v>0</v>
      </c>
    </row>
    <row r="23" spans="1:51" x14ac:dyDescent="0.25">
      <c r="A23" s="190" t="s">
        <v>239</v>
      </c>
      <c r="B23" s="190">
        <v>56408605.390000001</v>
      </c>
      <c r="C23" s="190">
        <v>56408605.390000001</v>
      </c>
      <c r="D23" s="190">
        <v>93019565.769999996</v>
      </c>
      <c r="E23" s="190">
        <v>0</v>
      </c>
      <c r="F23" s="190">
        <v>0</v>
      </c>
      <c r="G23" s="190">
        <v>0</v>
      </c>
      <c r="H23" s="190">
        <v>0</v>
      </c>
      <c r="I23" s="190">
        <v>1138545.55</v>
      </c>
      <c r="J23" s="190">
        <v>1138545.55</v>
      </c>
      <c r="K23" s="190">
        <v>1138545.55</v>
      </c>
      <c r="L23" s="190">
        <v>1138545.55</v>
      </c>
      <c r="M23" s="190">
        <v>0</v>
      </c>
      <c r="N23" s="190">
        <v>0</v>
      </c>
      <c r="O23" s="190">
        <v>0</v>
      </c>
      <c r="P23" s="190">
        <v>0</v>
      </c>
      <c r="Q23" s="190">
        <v>14434408.84</v>
      </c>
      <c r="R23" s="190">
        <v>14434408.84</v>
      </c>
      <c r="S23" s="190">
        <v>14434408.84</v>
      </c>
      <c r="T23" s="190">
        <v>14434408.84</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30000000</v>
      </c>
      <c r="AP23" s="190">
        <v>0</v>
      </c>
      <c r="AQ23" s="190">
        <v>0</v>
      </c>
      <c r="AR23" s="190">
        <v>0</v>
      </c>
      <c r="AS23" s="190">
        <v>0</v>
      </c>
      <c r="AT23" s="190">
        <v>0</v>
      </c>
      <c r="AU23" s="190">
        <v>0</v>
      </c>
      <c r="AV23" s="190">
        <v>0</v>
      </c>
      <c r="AW23" s="190">
        <v>0</v>
      </c>
      <c r="AX23" s="190">
        <v>0</v>
      </c>
      <c r="AY23" s="190">
        <v>0</v>
      </c>
    </row>
    <row r="24" spans="1:51" x14ac:dyDescent="0.25">
      <c r="A24" s="190" t="s">
        <v>240</v>
      </c>
      <c r="B24" s="190">
        <v>100527143.08</v>
      </c>
      <c r="C24" s="190">
        <v>75796952.329999998</v>
      </c>
      <c r="D24" s="190">
        <v>80892025.180000007</v>
      </c>
      <c r="E24" s="190">
        <v>997312.35</v>
      </c>
      <c r="F24" s="190">
        <v>997312.35</v>
      </c>
      <c r="G24" s="190">
        <v>997312.35</v>
      </c>
      <c r="H24" s="190">
        <v>0</v>
      </c>
      <c r="I24" s="190">
        <v>3442837.91</v>
      </c>
      <c r="J24" s="190">
        <v>3442837.91</v>
      </c>
      <c r="K24" s="190">
        <v>3035808</v>
      </c>
      <c r="L24" s="190">
        <v>0</v>
      </c>
      <c r="M24" s="190">
        <v>24000000</v>
      </c>
      <c r="N24" s="190">
        <v>0</v>
      </c>
      <c r="O24" s="190">
        <v>0</v>
      </c>
      <c r="P24" s="190">
        <v>0</v>
      </c>
      <c r="Q24" s="190">
        <v>5226884.22</v>
      </c>
      <c r="R24" s="190">
        <v>1574551.31</v>
      </c>
      <c r="S24" s="190">
        <v>1515749.71</v>
      </c>
      <c r="T24" s="190">
        <v>1499999.27</v>
      </c>
      <c r="U24" s="190">
        <v>1630966.92</v>
      </c>
      <c r="V24" s="190">
        <v>1630966.92</v>
      </c>
      <c r="W24" s="190">
        <v>0</v>
      </c>
      <c r="X24" s="190">
        <v>0</v>
      </c>
      <c r="Y24" s="190">
        <v>2788760.01</v>
      </c>
      <c r="Z24" s="190">
        <v>567760.01</v>
      </c>
      <c r="AA24" s="190">
        <v>567760.01</v>
      </c>
      <c r="AB24" s="190">
        <v>422160.01</v>
      </c>
      <c r="AC24" s="190">
        <v>0</v>
      </c>
      <c r="AD24" s="190">
        <v>853563.55</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row>
    <row r="25" spans="1:51" x14ac:dyDescent="0.25">
      <c r="A25" s="190" t="s">
        <v>241</v>
      </c>
      <c r="B25" s="190">
        <v>690871868.53999996</v>
      </c>
      <c r="C25" s="190">
        <v>494938772.81999999</v>
      </c>
      <c r="D25" s="190">
        <v>401254059.19999999</v>
      </c>
      <c r="E25" s="190">
        <v>412603885.08999997</v>
      </c>
      <c r="F25" s="190">
        <v>365635593.63</v>
      </c>
      <c r="G25" s="190">
        <v>290547796.00999999</v>
      </c>
      <c r="H25" s="190">
        <v>149408967.74000001</v>
      </c>
      <c r="I25" s="190">
        <v>678991178.25</v>
      </c>
      <c r="J25" s="190">
        <v>473464791.42000002</v>
      </c>
      <c r="K25" s="190">
        <v>300364405.68000001</v>
      </c>
      <c r="L25" s="190">
        <v>160265978.15000001</v>
      </c>
      <c r="M25" s="190">
        <v>1998679973.51</v>
      </c>
      <c r="N25" s="190">
        <v>1564379244.04</v>
      </c>
      <c r="O25" s="190">
        <v>1436979291.1400001</v>
      </c>
      <c r="P25" s="190">
        <v>1163281679.8299999</v>
      </c>
      <c r="Q25" s="190">
        <v>1788677109.5</v>
      </c>
      <c r="R25" s="190">
        <v>244184060.44999999</v>
      </c>
      <c r="S25" s="190">
        <v>114312486.67</v>
      </c>
      <c r="T25" s="190">
        <v>72791856.689999998</v>
      </c>
      <c r="U25" s="190">
        <v>167190363.87</v>
      </c>
      <c r="V25" s="190">
        <v>149988397.63999999</v>
      </c>
      <c r="W25" s="190">
        <v>94951447.780000001</v>
      </c>
      <c r="X25" s="190">
        <v>45447333.359999999</v>
      </c>
      <c r="Y25" s="190">
        <v>189813962.31</v>
      </c>
      <c r="Z25" s="190">
        <v>109399836.69</v>
      </c>
      <c r="AA25" s="190">
        <v>59497688.18</v>
      </c>
      <c r="AB25" s="190">
        <v>27792200.379999999</v>
      </c>
      <c r="AC25" s="190">
        <v>121446940.93000001</v>
      </c>
      <c r="AD25" s="190">
        <v>92672028.909999996</v>
      </c>
      <c r="AE25" s="190">
        <v>60686434.340000004</v>
      </c>
      <c r="AF25" s="190">
        <v>9469217.1899999995</v>
      </c>
      <c r="AG25" s="190">
        <v>29766658.870000001</v>
      </c>
      <c r="AH25" s="190">
        <v>15738799.66</v>
      </c>
      <c r="AI25" s="190">
        <v>7342100.1900000004</v>
      </c>
      <c r="AJ25" s="190">
        <v>2621647.7999999998</v>
      </c>
      <c r="AK25" s="190">
        <v>32038243.18</v>
      </c>
      <c r="AL25" s="190">
        <v>14828094.779999999</v>
      </c>
      <c r="AM25" s="190">
        <v>12913619.93</v>
      </c>
      <c r="AN25" s="190">
        <v>11535717.689999999</v>
      </c>
      <c r="AO25" s="190">
        <v>139036749.72</v>
      </c>
      <c r="AP25" s="190">
        <v>37936894</v>
      </c>
      <c r="AQ25" s="190">
        <v>6103762.4199999999</v>
      </c>
      <c r="AR25" s="190">
        <v>1571371.91</v>
      </c>
      <c r="AS25" s="190">
        <v>29245609.5</v>
      </c>
      <c r="AT25" s="190">
        <v>10309525.76</v>
      </c>
      <c r="AU25" s="190">
        <v>9527807.3100000005</v>
      </c>
      <c r="AV25" s="190">
        <v>115247</v>
      </c>
      <c r="AW25" s="190">
        <v>43335499.469999999</v>
      </c>
      <c r="AX25" s="190">
        <v>28426742.109999999</v>
      </c>
      <c r="AY25" s="190">
        <v>0</v>
      </c>
    </row>
    <row r="26" spans="1:51" x14ac:dyDescent="0.25">
      <c r="A26" s="190" t="s">
        <v>242</v>
      </c>
      <c r="B26" s="190">
        <v>-538376840.63</v>
      </c>
      <c r="C26" s="190">
        <v>-349648911.60000002</v>
      </c>
      <c r="D26" s="190">
        <v>-294168859.45999998</v>
      </c>
      <c r="E26" s="190">
        <v>-294912598.19999999</v>
      </c>
      <c r="F26" s="190">
        <v>-259765435.81999999</v>
      </c>
      <c r="G26" s="190">
        <v>-236542897</v>
      </c>
      <c r="H26" s="190">
        <v>-142233830.41</v>
      </c>
      <c r="I26" s="190">
        <v>-256758063.59999999</v>
      </c>
      <c r="J26" s="190">
        <v>-76617761.489999995</v>
      </c>
      <c r="K26" s="190">
        <v>64004095.200000003</v>
      </c>
      <c r="L26" s="190">
        <v>180308502.16999999</v>
      </c>
      <c r="M26" s="190">
        <v>35833867.740000002</v>
      </c>
      <c r="N26" s="190">
        <v>407995252.00999999</v>
      </c>
      <c r="O26" s="190">
        <v>534144938.91000003</v>
      </c>
      <c r="P26" s="190">
        <v>402892408.88</v>
      </c>
      <c r="Q26" s="190">
        <v>-864063239.80999994</v>
      </c>
      <c r="R26" s="190">
        <v>-242716309.12</v>
      </c>
      <c r="S26" s="190">
        <v>-111074919.43000001</v>
      </c>
      <c r="T26" s="190">
        <v>-70640120.349999994</v>
      </c>
      <c r="U26" s="190">
        <v>-152937490.13</v>
      </c>
      <c r="V26" s="190">
        <v>-143801856.80000001</v>
      </c>
      <c r="W26" s="190">
        <v>-91075128.650000006</v>
      </c>
      <c r="X26" s="190">
        <v>-43659318.25</v>
      </c>
      <c r="Y26" s="190">
        <v>-188975285.91999999</v>
      </c>
      <c r="Z26" s="190">
        <v>-109358766.7</v>
      </c>
      <c r="AA26" s="190">
        <v>-59467331.710000001</v>
      </c>
      <c r="AB26" s="190">
        <v>-27783700.379999999</v>
      </c>
      <c r="AC26" s="190">
        <v>-120249024.79000001</v>
      </c>
      <c r="AD26" s="190">
        <v>-92104029.180000007</v>
      </c>
      <c r="AE26" s="190">
        <v>-60388434.340000004</v>
      </c>
      <c r="AF26" s="190">
        <v>-9332217.1899999995</v>
      </c>
      <c r="AG26" s="190">
        <v>-28991344.129999999</v>
      </c>
      <c r="AH26" s="190">
        <v>-15709664.689999999</v>
      </c>
      <c r="AI26" s="190">
        <v>-7316248.46</v>
      </c>
      <c r="AJ26" s="190">
        <v>-2621647.7999999998</v>
      </c>
      <c r="AK26" s="190">
        <v>-31463316.260000002</v>
      </c>
      <c r="AL26" s="190">
        <v>-14830093.029999999</v>
      </c>
      <c r="AM26" s="190">
        <v>-12915618.18</v>
      </c>
      <c r="AN26" s="190">
        <v>-11537715.939999999</v>
      </c>
      <c r="AO26" s="190">
        <v>-61049616.789999999</v>
      </c>
      <c r="AP26" s="190">
        <v>-37554962.899999999</v>
      </c>
      <c r="AQ26" s="190">
        <v>-5721831.3200000003</v>
      </c>
      <c r="AR26" s="190">
        <v>-1203123.8400000001</v>
      </c>
      <c r="AS26" s="190">
        <v>13581419.99</v>
      </c>
      <c r="AT26" s="190">
        <v>32462668.370000001</v>
      </c>
      <c r="AU26" s="190">
        <v>32475758.559999999</v>
      </c>
      <c r="AV26" s="190">
        <v>-109282</v>
      </c>
      <c r="AW26" s="190">
        <v>-20747591.09</v>
      </c>
      <c r="AX26" s="190">
        <v>-27727984.280000001</v>
      </c>
      <c r="AY26" s="190">
        <v>0</v>
      </c>
    </row>
    <row r="27" spans="1:51" x14ac:dyDescent="0.25">
      <c r="A27" s="190" t="s">
        <v>243</v>
      </c>
    </row>
    <row r="28" spans="1:51" x14ac:dyDescent="0.25">
      <c r="A28" s="190" t="s">
        <v>244</v>
      </c>
      <c r="B28" s="190">
        <v>77742285.099999994</v>
      </c>
      <c r="C28" s="190">
        <v>28410000</v>
      </c>
      <c r="D28" s="190">
        <v>4400000</v>
      </c>
      <c r="E28" s="190">
        <v>40773116</v>
      </c>
      <c r="F28" s="190">
        <v>40773116</v>
      </c>
      <c r="G28" s="190">
        <v>33003538</v>
      </c>
      <c r="H28" s="190">
        <v>21523538</v>
      </c>
      <c r="I28" s="190">
        <v>138539000</v>
      </c>
      <c r="J28" s="190">
        <v>133089000</v>
      </c>
      <c r="K28" s="190">
        <v>112364000</v>
      </c>
      <c r="L28" s="190">
        <v>81000000</v>
      </c>
      <c r="M28" s="190">
        <v>53250000</v>
      </c>
      <c r="N28" s="190">
        <v>3400000</v>
      </c>
      <c r="O28" s="190">
        <v>3400000</v>
      </c>
      <c r="P28" s="190">
        <v>3400000</v>
      </c>
      <c r="Q28" s="190">
        <v>494389444.86000001</v>
      </c>
      <c r="R28" s="190">
        <v>499576994.86000001</v>
      </c>
      <c r="S28" s="190">
        <v>499971100.86000001</v>
      </c>
      <c r="T28" s="190">
        <v>499971100.86000001</v>
      </c>
      <c r="U28" s="190">
        <v>985338662.66999996</v>
      </c>
      <c r="V28" s="190">
        <v>985338662.66999996</v>
      </c>
      <c r="W28" s="190">
        <v>985338662.66999996</v>
      </c>
      <c r="X28" s="190">
        <v>0</v>
      </c>
      <c r="Y28" s="190">
        <v>0</v>
      </c>
      <c r="Z28" s="190">
        <v>0</v>
      </c>
      <c r="AA28" s="190">
        <v>0</v>
      </c>
      <c r="AB28" s="190">
        <v>0</v>
      </c>
      <c r="AC28" s="190">
        <v>5300000</v>
      </c>
      <c r="AD28" s="190">
        <v>2900000</v>
      </c>
      <c r="AE28" s="190">
        <v>1000000</v>
      </c>
      <c r="AF28" s="190">
        <v>1000000</v>
      </c>
      <c r="AG28" s="190">
        <v>101220144</v>
      </c>
      <c r="AH28" s="190">
        <v>101220144</v>
      </c>
      <c r="AI28" s="190">
        <v>1900000</v>
      </c>
      <c r="AJ28" s="190">
        <v>1900000</v>
      </c>
      <c r="AK28" s="190">
        <v>0</v>
      </c>
      <c r="AL28" s="190">
        <v>0</v>
      </c>
      <c r="AM28" s="190">
        <v>0</v>
      </c>
      <c r="AN28" s="190">
        <v>0</v>
      </c>
      <c r="AO28" s="190">
        <v>389552966</v>
      </c>
      <c r="AP28" s="190">
        <v>389552966</v>
      </c>
      <c r="AQ28" s="190">
        <v>389552966</v>
      </c>
      <c r="AR28" s="190">
        <v>0</v>
      </c>
      <c r="AS28" s="190">
        <v>175000</v>
      </c>
      <c r="AT28" s="190">
        <v>500000</v>
      </c>
      <c r="AU28" s="190">
        <v>175000</v>
      </c>
      <c r="AV28" s="190">
        <v>500000</v>
      </c>
      <c r="AW28" s="190">
        <v>250000</v>
      </c>
      <c r="AX28" s="190">
        <v>26200000</v>
      </c>
      <c r="AY28" s="190">
        <v>0</v>
      </c>
    </row>
    <row r="29" spans="1:51" x14ac:dyDescent="0.25">
      <c r="A29" s="190" t="s">
        <v>245</v>
      </c>
      <c r="B29" s="190">
        <v>77742285.099999994</v>
      </c>
      <c r="C29" s="190">
        <v>28410000</v>
      </c>
      <c r="D29" s="190">
        <v>4400000</v>
      </c>
      <c r="E29" s="190">
        <v>40773116</v>
      </c>
      <c r="F29" s="190">
        <v>40773116</v>
      </c>
      <c r="G29" s="190">
        <v>33003538</v>
      </c>
      <c r="H29" s="190">
        <v>21523538</v>
      </c>
      <c r="I29" s="190">
        <v>138539000</v>
      </c>
      <c r="J29" s="190">
        <v>133089000</v>
      </c>
      <c r="K29" s="190">
        <v>112364000</v>
      </c>
      <c r="L29" s="190">
        <v>81000000</v>
      </c>
      <c r="M29" s="190">
        <v>53250000</v>
      </c>
      <c r="N29" s="190">
        <v>0</v>
      </c>
      <c r="O29" s="190">
        <v>3400000</v>
      </c>
      <c r="P29" s="190">
        <v>0</v>
      </c>
      <c r="Q29" s="190">
        <v>1500000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1900000</v>
      </c>
      <c r="AJ29" s="190">
        <v>0</v>
      </c>
      <c r="AK29" s="190">
        <v>0</v>
      </c>
      <c r="AL29" s="190">
        <v>0</v>
      </c>
      <c r="AM29" s="190">
        <v>0</v>
      </c>
      <c r="AN29" s="190">
        <v>0</v>
      </c>
      <c r="AO29" s="190">
        <v>0</v>
      </c>
      <c r="AP29" s="190">
        <v>0</v>
      </c>
      <c r="AQ29" s="190">
        <v>0</v>
      </c>
      <c r="AR29" s="190">
        <v>0</v>
      </c>
      <c r="AS29" s="190">
        <v>175000</v>
      </c>
      <c r="AT29" s="190">
        <v>0</v>
      </c>
      <c r="AU29" s="190">
        <v>0</v>
      </c>
      <c r="AV29" s="190">
        <v>0</v>
      </c>
      <c r="AW29" s="190">
        <v>250000</v>
      </c>
      <c r="AX29" s="190">
        <v>6200000</v>
      </c>
      <c r="AY29" s="190">
        <v>0</v>
      </c>
    </row>
    <row r="30" spans="1:51" x14ac:dyDescent="0.25">
      <c r="A30" s="190" t="s">
        <v>246</v>
      </c>
      <c r="B30" s="190">
        <v>4608755547.1099997</v>
      </c>
      <c r="C30" s="190">
        <v>2967492895.9000001</v>
      </c>
      <c r="D30" s="190">
        <v>1723234241.0999999</v>
      </c>
      <c r="E30" s="190">
        <v>4857362598.3400002</v>
      </c>
      <c r="F30" s="190">
        <v>3423644986.1900001</v>
      </c>
      <c r="G30" s="190">
        <v>2887563340.8099999</v>
      </c>
      <c r="H30" s="190">
        <v>1382420658.0999999</v>
      </c>
      <c r="I30" s="190">
        <v>1486796728.3499999</v>
      </c>
      <c r="J30" s="190">
        <v>767747449.13</v>
      </c>
      <c r="K30" s="190">
        <v>411969888.89999998</v>
      </c>
      <c r="L30" s="190">
        <v>253247602</v>
      </c>
      <c r="M30" s="190">
        <v>561370000</v>
      </c>
      <c r="N30" s="190">
        <v>253134000</v>
      </c>
      <c r="O30" s="190">
        <v>122566000</v>
      </c>
      <c r="P30" s="190">
        <v>61370000</v>
      </c>
      <c r="Q30" s="190">
        <v>283406575.87</v>
      </c>
      <c r="R30" s="190">
        <v>282964912.74000001</v>
      </c>
      <c r="S30" s="190">
        <v>282964912.74000001</v>
      </c>
      <c r="T30" s="190">
        <v>119704904</v>
      </c>
      <c r="U30" s="190">
        <v>76570593.129999995</v>
      </c>
      <c r="V30" s="190">
        <v>76570313.129999995</v>
      </c>
      <c r="W30" s="190">
        <v>76570313.129999995</v>
      </c>
      <c r="X30" s="190">
        <v>76570313.129999995</v>
      </c>
      <c r="Y30" s="190">
        <v>240454051.40000001</v>
      </c>
      <c r="Z30" s="190">
        <v>239831849.25999999</v>
      </c>
      <c r="AA30" s="190">
        <v>184875088.49000001</v>
      </c>
      <c r="AB30" s="190">
        <v>34205861.420000002</v>
      </c>
      <c r="AC30" s="190">
        <v>176972826.37</v>
      </c>
      <c r="AD30" s="190">
        <v>175020946.16</v>
      </c>
      <c r="AE30" s="190">
        <v>162247546.16</v>
      </c>
      <c r="AF30" s="190">
        <v>111368563.27</v>
      </c>
      <c r="AG30" s="190">
        <v>231324233.16</v>
      </c>
      <c r="AH30" s="190">
        <v>123984464.76000001</v>
      </c>
      <c r="AI30" s="190">
        <v>69510724.370000005</v>
      </c>
      <c r="AJ30" s="190">
        <v>42264095.869999997</v>
      </c>
      <c r="AK30" s="190">
        <v>65089025.039999999</v>
      </c>
      <c r="AL30" s="190">
        <v>20696601.57</v>
      </c>
      <c r="AM30" s="190">
        <v>13663400</v>
      </c>
      <c r="AN30" s="190">
        <v>0</v>
      </c>
      <c r="AO30" s="190">
        <v>6838800</v>
      </c>
      <c r="AP30" s="190">
        <v>6838800</v>
      </c>
      <c r="AQ30" s="190">
        <v>0</v>
      </c>
      <c r="AR30" s="190">
        <v>0</v>
      </c>
      <c r="AS30" s="190">
        <v>72599500</v>
      </c>
      <c r="AT30" s="190">
        <v>69960853</v>
      </c>
      <c r="AU30" s="190">
        <v>60000000</v>
      </c>
      <c r="AV30" s="190">
        <v>20000000</v>
      </c>
      <c r="AW30" s="190">
        <v>135000000</v>
      </c>
      <c r="AX30" s="190">
        <v>64530000</v>
      </c>
      <c r="AY30" s="190">
        <v>0</v>
      </c>
    </row>
    <row r="31" spans="1:5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row>
    <row r="32" spans="1:51" x14ac:dyDescent="0.25">
      <c r="A32" s="190" t="s">
        <v>248</v>
      </c>
      <c r="B32" s="190">
        <v>1073755819.97</v>
      </c>
      <c r="C32" s="190">
        <v>619391279.99000001</v>
      </c>
      <c r="D32" s="190">
        <v>223726180</v>
      </c>
      <c r="E32" s="190">
        <v>412104220</v>
      </c>
      <c r="F32" s="190">
        <v>364546900</v>
      </c>
      <c r="G32" s="190">
        <v>272942900</v>
      </c>
      <c r="H32" s="190">
        <v>200000000</v>
      </c>
      <c r="I32" s="190">
        <v>56044768.549999997</v>
      </c>
      <c r="J32" s="190">
        <v>53643840</v>
      </c>
      <c r="K32" s="190">
        <v>32968000</v>
      </c>
      <c r="L32" s="190">
        <v>500000</v>
      </c>
      <c r="M32" s="190">
        <v>146772900</v>
      </c>
      <c r="N32" s="190">
        <v>83451369.909999996</v>
      </c>
      <c r="O32" s="190">
        <v>0</v>
      </c>
      <c r="P32" s="190">
        <v>0</v>
      </c>
      <c r="Q32" s="190">
        <v>305085880.19999999</v>
      </c>
      <c r="R32" s="190">
        <v>202734393.44999999</v>
      </c>
      <c r="S32" s="190">
        <v>122465840</v>
      </c>
      <c r="T32" s="190">
        <v>43710000</v>
      </c>
      <c r="U32" s="190">
        <v>247399720.87</v>
      </c>
      <c r="V32" s="190">
        <v>247903272.91999999</v>
      </c>
      <c r="W32" s="190">
        <v>179728697.5</v>
      </c>
      <c r="X32" s="190">
        <v>63790429.509999998</v>
      </c>
      <c r="Y32" s="190">
        <v>41099610</v>
      </c>
      <c r="Z32" s="190">
        <v>50693061.840000004</v>
      </c>
      <c r="AA32" s="190">
        <v>46524450.710000001</v>
      </c>
      <c r="AB32" s="190">
        <v>27072121.73</v>
      </c>
      <c r="AC32" s="190">
        <v>160152092.03</v>
      </c>
      <c r="AD32" s="190">
        <v>136695653.77000001</v>
      </c>
      <c r="AE32" s="190">
        <v>97115553.159999996</v>
      </c>
      <c r="AF32" s="190">
        <v>44471470.759999998</v>
      </c>
      <c r="AG32" s="190">
        <v>55919079.32</v>
      </c>
      <c r="AH32" s="190">
        <v>0</v>
      </c>
      <c r="AI32" s="190">
        <v>0</v>
      </c>
      <c r="AJ32" s="190">
        <v>0</v>
      </c>
      <c r="AK32" s="190">
        <v>5038441.0999999996</v>
      </c>
      <c r="AL32" s="190">
        <v>0</v>
      </c>
      <c r="AM32" s="190">
        <v>0</v>
      </c>
      <c r="AN32" s="190">
        <v>0</v>
      </c>
      <c r="AO32" s="190">
        <v>0</v>
      </c>
      <c r="AP32" s="190">
        <v>0</v>
      </c>
      <c r="AQ32" s="190">
        <v>816273.72</v>
      </c>
      <c r="AR32" s="190">
        <v>0</v>
      </c>
      <c r="AS32" s="190">
        <v>0</v>
      </c>
      <c r="AT32" s="190">
        <v>0</v>
      </c>
      <c r="AU32" s="190">
        <v>0</v>
      </c>
      <c r="AV32" s="190">
        <v>0</v>
      </c>
      <c r="AW32" s="190">
        <v>0</v>
      </c>
      <c r="AX32" s="190">
        <v>0</v>
      </c>
      <c r="AY32" s="190">
        <v>0</v>
      </c>
    </row>
    <row r="33" spans="1:51" x14ac:dyDescent="0.25">
      <c r="A33" s="190" t="s">
        <v>249</v>
      </c>
      <c r="B33" s="190">
        <v>5760253652.1800003</v>
      </c>
      <c r="C33" s="190">
        <v>3615294175.8899999</v>
      </c>
      <c r="D33" s="190">
        <v>1951360421.0999999</v>
      </c>
      <c r="E33" s="190">
        <v>5310239934.3400002</v>
      </c>
      <c r="F33" s="190">
        <v>3828965002.1900001</v>
      </c>
      <c r="G33" s="190">
        <v>3193509778.8099999</v>
      </c>
      <c r="H33" s="190">
        <v>1603944196.0999999</v>
      </c>
      <c r="I33" s="190">
        <v>1681380496.9000001</v>
      </c>
      <c r="J33" s="190">
        <v>954480289.13</v>
      </c>
      <c r="K33" s="190">
        <v>557301888.89999998</v>
      </c>
      <c r="L33" s="190">
        <v>334747602</v>
      </c>
      <c r="M33" s="190">
        <v>761392900</v>
      </c>
      <c r="N33" s="190">
        <v>339985369.91000003</v>
      </c>
      <c r="O33" s="190">
        <v>125966000</v>
      </c>
      <c r="P33" s="190">
        <v>64770000</v>
      </c>
      <c r="Q33" s="190">
        <v>1082881900.9300001</v>
      </c>
      <c r="R33" s="190">
        <v>985276301.04999995</v>
      </c>
      <c r="S33" s="190">
        <v>905401853.60000002</v>
      </c>
      <c r="T33" s="190">
        <v>663386004.86000001</v>
      </c>
      <c r="U33" s="190">
        <v>1309308976.6700001</v>
      </c>
      <c r="V33" s="190">
        <v>1309812248.72</v>
      </c>
      <c r="W33" s="190">
        <v>1241637673.3</v>
      </c>
      <c r="X33" s="190">
        <v>140360742.63999999</v>
      </c>
      <c r="Y33" s="190">
        <v>281553661.39999998</v>
      </c>
      <c r="Z33" s="190">
        <v>290524911.10000002</v>
      </c>
      <c r="AA33" s="190">
        <v>231399539.19999999</v>
      </c>
      <c r="AB33" s="190">
        <v>61277983.149999999</v>
      </c>
      <c r="AC33" s="190">
        <v>342424918.39999998</v>
      </c>
      <c r="AD33" s="190">
        <v>314616599.93000001</v>
      </c>
      <c r="AE33" s="190">
        <v>260363099.31999999</v>
      </c>
      <c r="AF33" s="190">
        <v>156840034.03</v>
      </c>
      <c r="AG33" s="190">
        <v>388463456.48000002</v>
      </c>
      <c r="AH33" s="190">
        <v>225204608.75999999</v>
      </c>
      <c r="AI33" s="190">
        <v>71410724.370000005</v>
      </c>
      <c r="AJ33" s="190">
        <v>44164095.869999997</v>
      </c>
      <c r="AK33" s="190">
        <v>70127466.140000001</v>
      </c>
      <c r="AL33" s="190">
        <v>20696601.57</v>
      </c>
      <c r="AM33" s="190">
        <v>13663400</v>
      </c>
      <c r="AN33" s="190">
        <v>0</v>
      </c>
      <c r="AO33" s="190">
        <v>396391766</v>
      </c>
      <c r="AP33" s="190">
        <v>396391766</v>
      </c>
      <c r="AQ33" s="190">
        <v>390369239.72000003</v>
      </c>
      <c r="AR33" s="190">
        <v>0</v>
      </c>
      <c r="AS33" s="190">
        <v>72774500</v>
      </c>
      <c r="AT33" s="190">
        <v>70460853</v>
      </c>
      <c r="AU33" s="190">
        <v>60175000</v>
      </c>
      <c r="AV33" s="190">
        <v>20500000</v>
      </c>
      <c r="AW33" s="190">
        <v>135250000</v>
      </c>
      <c r="AX33" s="190">
        <v>90730000</v>
      </c>
      <c r="AY33" s="190">
        <v>0</v>
      </c>
    </row>
    <row r="34" spans="1:51" x14ac:dyDescent="0.25">
      <c r="A34" s="190" t="s">
        <v>250</v>
      </c>
      <c r="B34" s="190">
        <v>3615177763.8099999</v>
      </c>
      <c r="C34" s="190">
        <v>2210534089.02</v>
      </c>
      <c r="D34" s="190">
        <v>1073430976.54</v>
      </c>
      <c r="E34" s="190">
        <v>3847629805.5999999</v>
      </c>
      <c r="F34" s="190">
        <v>1878090687.3099999</v>
      </c>
      <c r="G34" s="190">
        <v>1569019325.26</v>
      </c>
      <c r="H34" s="190">
        <v>454136620</v>
      </c>
      <c r="I34" s="190">
        <v>977125255.92999995</v>
      </c>
      <c r="J34" s="190">
        <v>316985977.79000002</v>
      </c>
      <c r="K34" s="190">
        <v>32895000</v>
      </c>
      <c r="L34" s="190">
        <v>0</v>
      </c>
      <c r="M34" s="190">
        <v>61172000</v>
      </c>
      <c r="N34" s="190">
        <v>61172000</v>
      </c>
      <c r="O34" s="190">
        <v>0</v>
      </c>
      <c r="P34" s="190">
        <v>0</v>
      </c>
      <c r="Q34" s="190">
        <v>326145428.29000002</v>
      </c>
      <c r="R34" s="190">
        <v>287116288.17000002</v>
      </c>
      <c r="S34" s="190">
        <v>162834400</v>
      </c>
      <c r="T34" s="190">
        <v>42834400</v>
      </c>
      <c r="U34" s="190">
        <v>246079528.56999999</v>
      </c>
      <c r="V34" s="190">
        <v>247258250.49000001</v>
      </c>
      <c r="W34" s="190">
        <v>186531230.72</v>
      </c>
      <c r="X34" s="190">
        <v>76367199.480000004</v>
      </c>
      <c r="Y34" s="190">
        <v>61374675.649999999</v>
      </c>
      <c r="Z34" s="190">
        <v>37893200</v>
      </c>
      <c r="AA34" s="190">
        <v>37893200</v>
      </c>
      <c r="AB34" s="190">
        <v>25302800</v>
      </c>
      <c r="AC34" s="190">
        <v>281033008.44</v>
      </c>
      <c r="AD34" s="190">
        <v>230112010.62</v>
      </c>
      <c r="AE34" s="190">
        <v>193052307.50999999</v>
      </c>
      <c r="AF34" s="190">
        <v>121425877.98999999</v>
      </c>
      <c r="AG34" s="190">
        <v>145572547.28</v>
      </c>
      <c r="AH34" s="190">
        <v>47785801.57</v>
      </c>
      <c r="AI34" s="190">
        <v>13652600</v>
      </c>
      <c r="AJ34" s="190">
        <v>0</v>
      </c>
      <c r="AK34" s="190">
        <v>0</v>
      </c>
      <c r="AL34" s="190">
        <v>0</v>
      </c>
      <c r="AM34" s="190">
        <v>0</v>
      </c>
      <c r="AN34" s="190">
        <v>0</v>
      </c>
      <c r="AO34" s="190">
        <v>18675300</v>
      </c>
      <c r="AP34" s="190">
        <v>11838800</v>
      </c>
      <c r="AQ34" s="190">
        <v>5000000</v>
      </c>
      <c r="AR34" s="190">
        <v>5000000</v>
      </c>
      <c r="AS34" s="190">
        <v>85000000</v>
      </c>
      <c r="AT34" s="190">
        <v>80000000</v>
      </c>
      <c r="AU34" s="190">
        <v>20000000</v>
      </c>
      <c r="AV34" s="190">
        <v>10000000</v>
      </c>
      <c r="AW34" s="190">
        <v>90000000</v>
      </c>
      <c r="AX34" s="190">
        <v>34530000</v>
      </c>
      <c r="AY34" s="190">
        <v>0</v>
      </c>
    </row>
    <row r="35" spans="1:51" x14ac:dyDescent="0.25">
      <c r="A35" s="190" t="s">
        <v>551</v>
      </c>
      <c r="B35" s="190">
        <v>650902100.63</v>
      </c>
      <c r="C35" s="190">
        <v>624264590.19000006</v>
      </c>
      <c r="D35" s="190">
        <v>16748941.369999999</v>
      </c>
      <c r="E35" s="190">
        <v>356585882.44</v>
      </c>
      <c r="F35" s="190">
        <v>344872157.64999998</v>
      </c>
      <c r="G35" s="190">
        <v>327598418.98000002</v>
      </c>
      <c r="H35" s="190">
        <v>18123069.489999998</v>
      </c>
      <c r="I35" s="190">
        <v>266838038.30000001</v>
      </c>
      <c r="J35" s="190">
        <v>248756310.30000001</v>
      </c>
      <c r="K35" s="190">
        <v>242923026.49000001</v>
      </c>
      <c r="L35" s="190">
        <v>3815604.86</v>
      </c>
      <c r="M35" s="190">
        <v>118391135.42</v>
      </c>
      <c r="N35" s="190">
        <v>116772701.40000001</v>
      </c>
      <c r="O35" s="190">
        <v>116772445.92</v>
      </c>
      <c r="P35" s="190">
        <v>738299.5</v>
      </c>
      <c r="Q35" s="190">
        <v>120286582.53</v>
      </c>
      <c r="R35" s="190">
        <v>118732214.33</v>
      </c>
      <c r="S35" s="190">
        <v>116124095.92</v>
      </c>
      <c r="T35" s="190">
        <v>1093060.6599999999</v>
      </c>
      <c r="U35" s="190">
        <v>100038663.98</v>
      </c>
      <c r="V35" s="190">
        <v>97158432.409999996</v>
      </c>
      <c r="W35" s="190">
        <v>96127223.760000005</v>
      </c>
      <c r="X35" s="190">
        <v>3082490.73</v>
      </c>
      <c r="Y35" s="190">
        <v>71166520.329999998</v>
      </c>
      <c r="Z35" s="190">
        <v>71838199.700000003</v>
      </c>
      <c r="AA35" s="190">
        <v>65083277.859999999</v>
      </c>
      <c r="AB35" s="190">
        <v>704794.83</v>
      </c>
      <c r="AC35" s="190">
        <v>72045236.540000007</v>
      </c>
      <c r="AD35" s="190">
        <v>73602366.230000004</v>
      </c>
      <c r="AE35" s="190">
        <v>60693062.68</v>
      </c>
      <c r="AF35" s="190">
        <v>1378710.97</v>
      </c>
      <c r="AG35" s="190">
        <v>41609944.060000002</v>
      </c>
      <c r="AH35" s="190">
        <v>40576885.109999999</v>
      </c>
      <c r="AI35" s="190">
        <v>40309100.450000003</v>
      </c>
      <c r="AJ35" s="190">
        <v>97539.55</v>
      </c>
      <c r="AK35" s="190">
        <v>15290451.9</v>
      </c>
      <c r="AL35" s="190">
        <v>15192371.02</v>
      </c>
      <c r="AM35" s="190">
        <v>15093200.619999999</v>
      </c>
      <c r="AN35" s="190">
        <v>0</v>
      </c>
      <c r="AO35" s="190">
        <v>470078.5</v>
      </c>
      <c r="AP35" s="190">
        <v>258836.49</v>
      </c>
      <c r="AQ35" s="190">
        <v>-172633.71</v>
      </c>
      <c r="AR35" s="190">
        <v>8061.77</v>
      </c>
      <c r="AS35" s="190">
        <v>9593836.7300000004</v>
      </c>
      <c r="AT35" s="190">
        <v>9632744.25</v>
      </c>
      <c r="AU35" s="190">
        <v>9081587.3699999992</v>
      </c>
      <c r="AV35" s="190">
        <v>-29299.16</v>
      </c>
      <c r="AW35" s="190">
        <v>34464559.159999996</v>
      </c>
      <c r="AX35" s="190">
        <v>972954.85</v>
      </c>
      <c r="AY35" s="190">
        <v>0</v>
      </c>
    </row>
    <row r="36" spans="1:51" x14ac:dyDescent="0.25">
      <c r="A36" s="190" t="s">
        <v>251</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-172633.71</v>
      </c>
      <c r="AR36" s="190">
        <v>0</v>
      </c>
      <c r="AS36" s="190">
        <v>0</v>
      </c>
      <c r="AT36" s="190">
        <v>0</v>
      </c>
      <c r="AU36" s="190">
        <v>0</v>
      </c>
      <c r="AV36" s="190">
        <v>0</v>
      </c>
      <c r="AW36" s="190">
        <v>0</v>
      </c>
      <c r="AX36" s="190">
        <v>0</v>
      </c>
      <c r="AY36" s="190">
        <v>0</v>
      </c>
    </row>
    <row r="37" spans="1:51" x14ac:dyDescent="0.25">
      <c r="A37" s="190" t="s">
        <v>252</v>
      </c>
      <c r="B37" s="190">
        <v>912488000.03999996</v>
      </c>
      <c r="C37" s="190">
        <v>547215000</v>
      </c>
      <c r="D37" s="190">
        <v>547214999.99000001</v>
      </c>
      <c r="E37" s="190">
        <v>661174646.20000005</v>
      </c>
      <c r="F37" s="190">
        <v>629723815.78999996</v>
      </c>
      <c r="G37" s="190">
        <v>622894345.79999995</v>
      </c>
      <c r="H37" s="190">
        <v>67552860</v>
      </c>
      <c r="I37" s="190">
        <v>291829009.43000001</v>
      </c>
      <c r="J37" s="190">
        <v>292244422.12</v>
      </c>
      <c r="K37" s="190">
        <v>201957107.31999999</v>
      </c>
      <c r="L37" s="190">
        <v>38923307.32</v>
      </c>
      <c r="M37" s="190">
        <v>391021784.16000003</v>
      </c>
      <c r="N37" s="190">
        <v>362494503.32999998</v>
      </c>
      <c r="O37" s="190">
        <v>360115530.60000002</v>
      </c>
      <c r="P37" s="190">
        <v>196539920.19999999</v>
      </c>
      <c r="Q37" s="190">
        <v>261375880.19999999</v>
      </c>
      <c r="R37" s="190">
        <v>261087704.30000001</v>
      </c>
      <c r="S37" s="190">
        <v>229097070.62</v>
      </c>
      <c r="T37" s="190">
        <v>78746880</v>
      </c>
      <c r="U37" s="190">
        <v>58137923.600000001</v>
      </c>
      <c r="V37" s="190">
        <v>60323773.280000001</v>
      </c>
      <c r="W37" s="190">
        <v>59147992.609999999</v>
      </c>
      <c r="X37" s="190">
        <v>57068094.590000004</v>
      </c>
      <c r="Y37" s="190">
        <v>227265426.09</v>
      </c>
      <c r="Z37" s="190">
        <v>296200937.81999999</v>
      </c>
      <c r="AA37" s="190">
        <v>201818833.75</v>
      </c>
      <c r="AB37" s="190">
        <v>59058432.829999998</v>
      </c>
      <c r="AC37" s="190">
        <v>49498314.939999998</v>
      </c>
      <c r="AD37" s="190">
        <v>78189714.609999999</v>
      </c>
      <c r="AE37" s="190">
        <v>64591402.5</v>
      </c>
      <c r="AF37" s="190">
        <v>36196871.560000002</v>
      </c>
      <c r="AG37" s="190">
        <v>160152092.03</v>
      </c>
      <c r="AH37" s="190">
        <v>0</v>
      </c>
      <c r="AI37" s="190">
        <v>0</v>
      </c>
      <c r="AJ37" s="190">
        <v>0</v>
      </c>
      <c r="AK37" s="190">
        <v>55941103.990000002</v>
      </c>
      <c r="AL37" s="190">
        <v>0</v>
      </c>
      <c r="AM37" s="190">
        <v>0</v>
      </c>
      <c r="AN37" s="190">
        <v>0</v>
      </c>
      <c r="AO37" s="190">
        <v>5038441.0999999996</v>
      </c>
      <c r="AP37" s="190">
        <v>0</v>
      </c>
      <c r="AQ37" s="190">
        <v>0</v>
      </c>
      <c r="AR37" s="190">
        <v>0</v>
      </c>
      <c r="AS37" s="190">
        <v>0</v>
      </c>
      <c r="AT37" s="190">
        <v>0</v>
      </c>
      <c r="AU37" s="190">
        <v>0</v>
      </c>
      <c r="AV37" s="190">
        <v>0</v>
      </c>
      <c r="AW37" s="190">
        <v>0</v>
      </c>
      <c r="AX37" s="190">
        <v>0</v>
      </c>
      <c r="AY37" s="190">
        <v>0</v>
      </c>
    </row>
    <row r="38" spans="1:51" x14ac:dyDescent="0.25">
      <c r="A38" s="190" t="s">
        <v>253</v>
      </c>
      <c r="B38" s="190">
        <v>5178567864.4799995</v>
      </c>
      <c r="C38" s="190">
        <v>3382013679.21</v>
      </c>
      <c r="D38" s="190">
        <v>1637394917.9000001</v>
      </c>
      <c r="E38" s="190">
        <v>4865390334.2399998</v>
      </c>
      <c r="F38" s="190">
        <v>2852686660.75</v>
      </c>
      <c r="G38" s="190">
        <v>2519512090.04</v>
      </c>
      <c r="H38" s="190">
        <v>539812549.49000001</v>
      </c>
      <c r="I38" s="190">
        <v>1535792303.6600001</v>
      </c>
      <c r="J38" s="190">
        <v>857986710.21000004</v>
      </c>
      <c r="K38" s="190">
        <v>477775133.81</v>
      </c>
      <c r="L38" s="190">
        <v>42738912.18</v>
      </c>
      <c r="M38" s="190">
        <v>570584919.58000004</v>
      </c>
      <c r="N38" s="190">
        <v>540439204.73000002</v>
      </c>
      <c r="O38" s="190">
        <v>476887976.51999998</v>
      </c>
      <c r="P38" s="190">
        <v>197278219.69999999</v>
      </c>
      <c r="Q38" s="190">
        <v>707807891.01999998</v>
      </c>
      <c r="R38" s="190">
        <v>666936206.79999995</v>
      </c>
      <c r="S38" s="190">
        <v>508055566.54000002</v>
      </c>
      <c r="T38" s="190">
        <v>122674340.66</v>
      </c>
      <c r="U38" s="190">
        <v>404256116.14999998</v>
      </c>
      <c r="V38" s="190">
        <v>404740456.18000001</v>
      </c>
      <c r="W38" s="190">
        <v>341806447.08999997</v>
      </c>
      <c r="X38" s="190">
        <v>136517784.80000001</v>
      </c>
      <c r="Y38" s="190">
        <v>359806622.06999999</v>
      </c>
      <c r="Z38" s="190">
        <v>405932337.51999998</v>
      </c>
      <c r="AA38" s="190">
        <v>304795311.61000001</v>
      </c>
      <c r="AB38" s="190">
        <v>85066027.659999996</v>
      </c>
      <c r="AC38" s="190">
        <v>402576559.92000002</v>
      </c>
      <c r="AD38" s="190">
        <v>381904091.45999998</v>
      </c>
      <c r="AE38" s="190">
        <v>318336772.69</v>
      </c>
      <c r="AF38" s="190">
        <v>159001460.52000001</v>
      </c>
      <c r="AG38" s="190">
        <v>347334583.37</v>
      </c>
      <c r="AH38" s="190">
        <v>88362686.680000007</v>
      </c>
      <c r="AI38" s="190">
        <v>53961700.450000003</v>
      </c>
      <c r="AJ38" s="190">
        <v>97539.55</v>
      </c>
      <c r="AK38" s="190">
        <v>71231555.890000001</v>
      </c>
      <c r="AL38" s="190">
        <v>15192371.02</v>
      </c>
      <c r="AM38" s="190">
        <v>15093200.619999999</v>
      </c>
      <c r="AN38" s="190">
        <v>0</v>
      </c>
      <c r="AO38" s="190">
        <v>24183819.600000001</v>
      </c>
      <c r="AP38" s="190">
        <v>12097636.49</v>
      </c>
      <c r="AQ38" s="190">
        <v>4827366.29</v>
      </c>
      <c r="AR38" s="190">
        <v>5008061.7699999996</v>
      </c>
      <c r="AS38" s="190">
        <v>94593836.730000004</v>
      </c>
      <c r="AT38" s="190">
        <v>89632744.25</v>
      </c>
      <c r="AU38" s="190">
        <v>29081587.370000001</v>
      </c>
      <c r="AV38" s="190">
        <v>9970700.8399999999</v>
      </c>
      <c r="AW38" s="190">
        <v>124464559.16</v>
      </c>
      <c r="AX38" s="190">
        <v>35502954.850000001</v>
      </c>
      <c r="AY38" s="190">
        <v>0</v>
      </c>
    </row>
    <row r="39" spans="1:51" x14ac:dyDescent="0.25">
      <c r="A39" s="190" t="s">
        <v>254</v>
      </c>
      <c r="B39" s="190">
        <v>581685787.70000005</v>
      </c>
      <c r="C39" s="190">
        <v>233280496.68000001</v>
      </c>
      <c r="D39" s="190">
        <v>313965503.19999999</v>
      </c>
      <c r="E39" s="190">
        <v>444849600.10000002</v>
      </c>
      <c r="F39" s="190">
        <v>976278341.44000006</v>
      </c>
      <c r="G39" s="190">
        <v>673997688.76999998</v>
      </c>
      <c r="H39" s="190">
        <v>1064131646.61</v>
      </c>
      <c r="I39" s="190">
        <v>145588193.24000001</v>
      </c>
      <c r="J39" s="190">
        <v>96493578.920000002</v>
      </c>
      <c r="K39" s="190">
        <v>79526755.090000004</v>
      </c>
      <c r="L39" s="190">
        <v>292008689.81999999</v>
      </c>
      <c r="M39" s="190">
        <v>190807980.41999999</v>
      </c>
      <c r="N39" s="190">
        <v>-200453834.81999999</v>
      </c>
      <c r="O39" s="190">
        <v>-350921976.51999998</v>
      </c>
      <c r="P39" s="190">
        <v>-132508219.7</v>
      </c>
      <c r="Q39" s="190">
        <v>375074009.91000003</v>
      </c>
      <c r="R39" s="190">
        <v>318340094.25</v>
      </c>
      <c r="S39" s="190">
        <v>397346287.06</v>
      </c>
      <c r="T39" s="190">
        <v>540711664.20000005</v>
      </c>
      <c r="U39" s="190">
        <v>905052860.51999998</v>
      </c>
      <c r="V39" s="190">
        <v>905071792.53999996</v>
      </c>
      <c r="W39" s="190">
        <v>899831226.21000004</v>
      </c>
      <c r="X39" s="190">
        <v>3842957.84</v>
      </c>
      <c r="Y39" s="190">
        <v>-78252960.670000002</v>
      </c>
      <c r="Z39" s="190">
        <v>-115407426.42</v>
      </c>
      <c r="AA39" s="190">
        <v>-73395772.409999996</v>
      </c>
      <c r="AB39" s="190">
        <v>-23788044.510000002</v>
      </c>
      <c r="AC39" s="190">
        <v>-60151641.520000003</v>
      </c>
      <c r="AD39" s="190">
        <v>-67287491.530000001</v>
      </c>
      <c r="AE39" s="190">
        <v>-57973673.369999997</v>
      </c>
      <c r="AF39" s="190">
        <v>-2161426.4900000002</v>
      </c>
      <c r="AG39" s="190">
        <v>41128873.109999999</v>
      </c>
      <c r="AH39" s="190">
        <v>136841922.08000001</v>
      </c>
      <c r="AI39" s="190">
        <v>17449023.920000002</v>
      </c>
      <c r="AJ39" s="190">
        <v>44066556.32</v>
      </c>
      <c r="AK39" s="190">
        <v>-1104089.75</v>
      </c>
      <c r="AL39" s="190">
        <v>5504230.5499999998</v>
      </c>
      <c r="AM39" s="190">
        <v>-1429800.62</v>
      </c>
      <c r="AN39" s="190">
        <v>0</v>
      </c>
      <c r="AO39" s="190">
        <v>372207946.39999998</v>
      </c>
      <c r="AP39" s="190">
        <v>384294129.50999999</v>
      </c>
      <c r="AQ39" s="190">
        <v>385541873.43000001</v>
      </c>
      <c r="AR39" s="190">
        <v>-5008061.7699999996</v>
      </c>
      <c r="AS39" s="190">
        <v>-21819336.73</v>
      </c>
      <c r="AT39" s="190">
        <v>-19171891.25</v>
      </c>
      <c r="AU39" s="190">
        <v>31093412.629999999</v>
      </c>
      <c r="AV39" s="190">
        <v>10529299.16</v>
      </c>
      <c r="AW39" s="190">
        <v>10785440.84</v>
      </c>
      <c r="AX39" s="190">
        <v>55227045.149999999</v>
      </c>
      <c r="AY39" s="190">
        <v>0</v>
      </c>
    </row>
    <row r="40" spans="1:51" x14ac:dyDescent="0.25">
      <c r="A40" s="190" t="s">
        <v>255</v>
      </c>
      <c r="B40" s="190">
        <v>59968947.689999998</v>
      </c>
      <c r="C40" s="190">
        <v>15101534.67</v>
      </c>
      <c r="D40" s="190">
        <v>-10211961.359999999</v>
      </c>
      <c r="E40" s="190">
        <v>-76666153.590000004</v>
      </c>
      <c r="F40" s="190">
        <v>-49317751.789999999</v>
      </c>
      <c r="G40" s="190">
        <v>-22080292</v>
      </c>
      <c r="H40" s="190">
        <v>3082809.06</v>
      </c>
      <c r="I40" s="190">
        <v>14116724.5</v>
      </c>
      <c r="J40" s="190">
        <v>-17924139.48</v>
      </c>
      <c r="K40" s="190">
        <v>-6628572.5999999996</v>
      </c>
      <c r="L40" s="190">
        <v>-16947330.34</v>
      </c>
      <c r="M40" s="190">
        <v>11351917.1</v>
      </c>
      <c r="N40" s="190">
        <v>16857705.23</v>
      </c>
      <c r="O40" s="190">
        <v>3658706.28</v>
      </c>
      <c r="P40" s="190">
        <v>1643655.06</v>
      </c>
      <c r="Q40" s="190">
        <v>581789.31999999995</v>
      </c>
      <c r="R40" s="190">
        <v>868796.94</v>
      </c>
      <c r="S40" s="190">
        <v>1253357.43</v>
      </c>
      <c r="T40" s="190">
        <v>1860503.28</v>
      </c>
      <c r="U40" s="190">
        <v>-11267275.26</v>
      </c>
      <c r="V40" s="190">
        <v>-8901861.8300000001</v>
      </c>
      <c r="W40" s="190">
        <v>-7345952.4900000002</v>
      </c>
      <c r="X40" s="190">
        <v>-5216195.76</v>
      </c>
      <c r="Y40" s="190">
        <v>3155312.31</v>
      </c>
      <c r="Z40" s="190">
        <v>1973197.44</v>
      </c>
      <c r="AA40" s="190">
        <v>-3475716.96</v>
      </c>
      <c r="AB40" s="190">
        <v>572426.55000000005</v>
      </c>
      <c r="AC40" s="190">
        <v>-836847.31</v>
      </c>
      <c r="AD40" s="190">
        <v>-317549.43</v>
      </c>
      <c r="AE40" s="190">
        <v>18638.240000000002</v>
      </c>
      <c r="AF40" s="190">
        <v>210548.08</v>
      </c>
      <c r="AG40" s="190">
        <v>871316.68</v>
      </c>
      <c r="AH40" s="190">
        <v>226015.62</v>
      </c>
      <c r="AI40" s="190">
        <v>91867.07</v>
      </c>
      <c r="AJ40" s="190">
        <v>53879.24</v>
      </c>
      <c r="AK40" s="190">
        <v>250298.9</v>
      </c>
      <c r="AL40" s="190">
        <v>212261.16</v>
      </c>
      <c r="AM40" s="190">
        <v>158636.9</v>
      </c>
      <c r="AN40" s="190">
        <v>131247.26999999999</v>
      </c>
      <c r="AO40" s="190">
        <v>301522.02</v>
      </c>
      <c r="AP40" s="190">
        <v>275815.84999999998</v>
      </c>
      <c r="AQ40" s="190">
        <v>224601.29</v>
      </c>
      <c r="AR40" s="190">
        <v>-29020.1</v>
      </c>
      <c r="AS40" s="190">
        <v>0</v>
      </c>
      <c r="AT40" s="190">
        <v>0</v>
      </c>
      <c r="AU40" s="190">
        <v>0</v>
      </c>
      <c r="AV40" s="190">
        <v>0</v>
      </c>
      <c r="AW40" s="190">
        <v>0</v>
      </c>
      <c r="AX40" s="190">
        <v>0</v>
      </c>
      <c r="AY40" s="190">
        <v>0</v>
      </c>
    </row>
    <row r="41" spans="1:51" x14ac:dyDescent="0.25">
      <c r="A41" s="190" t="s">
        <v>256</v>
      </c>
      <c r="B41" s="190">
        <v>-1563693974.77</v>
      </c>
      <c r="C41" s="190">
        <v>-1197623717.25</v>
      </c>
      <c r="D41" s="190">
        <v>-1276710477.76</v>
      </c>
      <c r="E41" s="190">
        <v>987502208.32000005</v>
      </c>
      <c r="F41" s="190">
        <v>-474497751.88</v>
      </c>
      <c r="G41" s="190">
        <v>-506029390.45999998</v>
      </c>
      <c r="H41" s="190">
        <v>-459245091.14999998</v>
      </c>
      <c r="I41" s="190">
        <v>373683959.48000002</v>
      </c>
      <c r="J41" s="190">
        <v>-791123606.88999999</v>
      </c>
      <c r="K41" s="190">
        <v>-528837860.79000002</v>
      </c>
      <c r="L41" s="190">
        <v>-262714714.28999999</v>
      </c>
      <c r="M41" s="190">
        <v>438757590.12</v>
      </c>
      <c r="N41" s="190">
        <v>-451196227.72000003</v>
      </c>
      <c r="O41" s="190">
        <v>-370753600.69</v>
      </c>
      <c r="P41" s="190">
        <v>-251920981.36000001</v>
      </c>
      <c r="Q41" s="190">
        <v>-505488362.04000002</v>
      </c>
      <c r="R41" s="190">
        <v>-806846849.87</v>
      </c>
      <c r="S41" s="190">
        <v>-653224201.53999996</v>
      </c>
      <c r="T41" s="190">
        <v>-206660028.65000001</v>
      </c>
      <c r="U41" s="190">
        <v>1097323315.8399999</v>
      </c>
      <c r="V41" s="190">
        <v>758978178</v>
      </c>
      <c r="W41" s="190">
        <v>722466276.52999997</v>
      </c>
      <c r="X41" s="190">
        <v>-260213314.87</v>
      </c>
      <c r="Y41" s="190">
        <v>217840161.94</v>
      </c>
      <c r="Z41" s="190">
        <v>-209904421.84</v>
      </c>
      <c r="AA41" s="190">
        <v>-281252873.16000003</v>
      </c>
      <c r="AB41" s="190">
        <v>-280912374.37</v>
      </c>
      <c r="AC41" s="190">
        <v>-107018279.56999999</v>
      </c>
      <c r="AD41" s="190">
        <v>-327635419.13999999</v>
      </c>
      <c r="AE41" s="190">
        <v>-221740883.56</v>
      </c>
      <c r="AF41" s="190">
        <v>-111151755.84</v>
      </c>
      <c r="AG41" s="190">
        <v>136573206.93000001</v>
      </c>
      <c r="AH41" s="190">
        <v>73192027.599999994</v>
      </c>
      <c r="AI41" s="190">
        <v>-14279246.140000001</v>
      </c>
      <c r="AJ41" s="190">
        <v>-1849984.56</v>
      </c>
      <c r="AK41" s="190">
        <v>14084725.050000001</v>
      </c>
      <c r="AL41" s="190">
        <v>3630201.1</v>
      </c>
      <c r="AM41" s="190">
        <v>-10905484.199999999</v>
      </c>
      <c r="AN41" s="190">
        <v>-24281740.600000001</v>
      </c>
      <c r="AO41" s="190">
        <v>314126570.11000001</v>
      </c>
      <c r="AP41" s="190">
        <v>283146496.69999999</v>
      </c>
      <c r="AQ41" s="190">
        <v>319286871.68000001</v>
      </c>
      <c r="AR41" s="190">
        <v>-38858092.609999999</v>
      </c>
      <c r="AS41" s="190">
        <v>59560804</v>
      </c>
      <c r="AT41" s="190">
        <v>16979580.199999999</v>
      </c>
      <c r="AU41" s="190">
        <v>42139579.43</v>
      </c>
      <c r="AV41" s="190">
        <v>-2667789.2999999998</v>
      </c>
      <c r="AW41" s="190">
        <v>-39182810.439999998</v>
      </c>
      <c r="AX41" s="190">
        <v>51116340.130000003</v>
      </c>
      <c r="AY41" s="190">
        <v>0</v>
      </c>
    </row>
    <row r="42" spans="1:51" x14ac:dyDescent="0.25">
      <c r="A42" s="190" t="s">
        <v>257</v>
      </c>
      <c r="B42" s="190">
        <v>3062678993.8800001</v>
      </c>
      <c r="C42" s="190">
        <v>3062678993.8800001</v>
      </c>
      <c r="D42" s="190">
        <v>3062678993.8800001</v>
      </c>
      <c r="E42" s="190">
        <v>2075176785.5599999</v>
      </c>
      <c r="F42" s="190">
        <v>2075176785.5599999</v>
      </c>
      <c r="G42" s="190">
        <v>2075176785.5599999</v>
      </c>
      <c r="H42" s="190">
        <v>2075176785.5599999</v>
      </c>
      <c r="I42" s="190">
        <v>1701492826.0799999</v>
      </c>
      <c r="J42" s="190">
        <v>1701492826.0799999</v>
      </c>
      <c r="K42" s="190">
        <v>1701492826.0799999</v>
      </c>
      <c r="L42" s="190">
        <v>1701492826.0799999</v>
      </c>
      <c r="M42" s="190">
        <v>1262735235.96</v>
      </c>
      <c r="N42" s="190">
        <v>1262735235.96</v>
      </c>
      <c r="O42" s="190">
        <v>1262735235.96</v>
      </c>
      <c r="P42" s="190">
        <v>1262735235.96</v>
      </c>
      <c r="Q42" s="190">
        <v>1768223598</v>
      </c>
      <c r="R42" s="190">
        <v>1768223598</v>
      </c>
      <c r="S42" s="190">
        <v>1768223598</v>
      </c>
      <c r="T42" s="190">
        <v>1768223598</v>
      </c>
      <c r="U42" s="190">
        <v>670900282.15999997</v>
      </c>
      <c r="V42" s="190">
        <v>670900282.15999997</v>
      </c>
      <c r="W42" s="190">
        <v>670900282.15999997</v>
      </c>
      <c r="X42" s="190">
        <v>670900282.15999997</v>
      </c>
      <c r="Y42" s="190">
        <v>453060120.22000003</v>
      </c>
      <c r="Z42" s="190">
        <v>453060120.22000003</v>
      </c>
      <c r="AA42" s="190">
        <v>453060120.22000003</v>
      </c>
      <c r="AB42" s="190">
        <v>0</v>
      </c>
      <c r="AC42" s="190">
        <v>560078399.78999996</v>
      </c>
      <c r="AD42" s="190">
        <v>560078399.78999996</v>
      </c>
      <c r="AE42" s="190">
        <v>560078399.78999996</v>
      </c>
      <c r="AF42" s="190">
        <v>560078399.78999996</v>
      </c>
      <c r="AG42" s="190">
        <v>423505192.86000001</v>
      </c>
      <c r="AH42" s="190">
        <v>479424272.18000001</v>
      </c>
      <c r="AI42" s="190">
        <v>479424272.18000001</v>
      </c>
      <c r="AJ42" s="190">
        <v>479424272.18000001</v>
      </c>
      <c r="AK42" s="190">
        <v>409420467.81</v>
      </c>
      <c r="AL42" s="190">
        <v>414458908.91000003</v>
      </c>
      <c r="AM42" s="190">
        <v>414458908.91000003</v>
      </c>
      <c r="AN42" s="190">
        <v>414458908.91000003</v>
      </c>
      <c r="AO42" s="190">
        <v>95293897.700000003</v>
      </c>
      <c r="AP42" s="190">
        <v>88491495.680000007</v>
      </c>
      <c r="AQ42" s="190">
        <v>88491495.680000007</v>
      </c>
      <c r="AR42" s="190">
        <v>88491495.680000007</v>
      </c>
      <c r="AS42" s="190">
        <v>28930691.68</v>
      </c>
      <c r="AT42" s="190">
        <v>28562368.850000001</v>
      </c>
      <c r="AU42" s="190">
        <v>28930691.68</v>
      </c>
      <c r="AV42" s="190">
        <v>28862489.109999999</v>
      </c>
      <c r="AW42" s="190">
        <v>68113502.120000005</v>
      </c>
      <c r="AX42" s="190">
        <v>16997161.989999998</v>
      </c>
      <c r="AY42" s="190">
        <v>0</v>
      </c>
    </row>
    <row r="43" spans="1:51" x14ac:dyDescent="0.25">
      <c r="A43" s="190" t="s">
        <v>258</v>
      </c>
      <c r="B43" s="190">
        <v>1498985019.1099999</v>
      </c>
      <c r="C43" s="190">
        <v>1865055276.6300001</v>
      </c>
      <c r="D43" s="190">
        <v>1785968516.1199999</v>
      </c>
      <c r="E43" s="190">
        <v>3062678993.8800001</v>
      </c>
      <c r="F43" s="190">
        <v>1600679033.6800001</v>
      </c>
      <c r="G43" s="190">
        <v>1569147395.0999999</v>
      </c>
      <c r="H43" s="190">
        <v>1615931694.4100001</v>
      </c>
      <c r="I43" s="190">
        <v>2075176785.5599999</v>
      </c>
      <c r="J43" s="190">
        <v>910369219.19000006</v>
      </c>
      <c r="K43" s="190">
        <v>1172654965.29</v>
      </c>
      <c r="L43" s="190">
        <v>1438778111.79</v>
      </c>
      <c r="M43" s="190">
        <v>1701492826.0799999</v>
      </c>
      <c r="N43" s="190">
        <v>811539008.24000001</v>
      </c>
      <c r="O43" s="190">
        <v>891981635.26999998</v>
      </c>
      <c r="P43" s="190">
        <v>1010814254.6</v>
      </c>
      <c r="Q43" s="190">
        <v>1262735235.96</v>
      </c>
      <c r="R43" s="190">
        <v>961376748.13</v>
      </c>
      <c r="S43" s="190">
        <v>1114999396.46</v>
      </c>
      <c r="T43" s="190">
        <v>1561563569.3499999</v>
      </c>
      <c r="U43" s="190">
        <v>1768223598</v>
      </c>
      <c r="V43" s="190">
        <v>1429878460.1600001</v>
      </c>
      <c r="W43" s="190">
        <v>1393366558.6900001</v>
      </c>
      <c r="X43" s="190">
        <v>410686967.29000002</v>
      </c>
      <c r="Y43" s="190">
        <v>670900282.15999997</v>
      </c>
      <c r="Z43" s="190">
        <v>243155698.38</v>
      </c>
      <c r="AA43" s="190">
        <v>171807247.06</v>
      </c>
      <c r="AB43" s="190">
        <v>-280912374.37</v>
      </c>
      <c r="AC43" s="190">
        <v>453060120.22000003</v>
      </c>
      <c r="AD43" s="190">
        <v>232442980.65000001</v>
      </c>
      <c r="AE43" s="190">
        <v>338337516.23000002</v>
      </c>
      <c r="AF43" s="190">
        <v>448926643.94999999</v>
      </c>
      <c r="AG43" s="190">
        <v>560078399.78999996</v>
      </c>
      <c r="AH43" s="190">
        <v>552616299.77999997</v>
      </c>
      <c r="AI43" s="190">
        <v>465145026.04000002</v>
      </c>
      <c r="AJ43" s="190">
        <v>477574287.62</v>
      </c>
      <c r="AK43" s="190">
        <v>423505192.86000001</v>
      </c>
      <c r="AL43" s="190">
        <v>418089110.00999999</v>
      </c>
      <c r="AM43" s="190">
        <v>403553424.70999998</v>
      </c>
      <c r="AN43" s="190">
        <v>390177168.31</v>
      </c>
      <c r="AO43" s="190">
        <v>409420467.81</v>
      </c>
      <c r="AP43" s="190">
        <v>371637992.38</v>
      </c>
      <c r="AQ43" s="190">
        <v>407778367.36000001</v>
      </c>
      <c r="AR43" s="190">
        <v>49633403.07</v>
      </c>
      <c r="AS43" s="190">
        <v>88491495.680000007</v>
      </c>
      <c r="AT43" s="190">
        <v>45541949.049999997</v>
      </c>
      <c r="AU43" s="190">
        <v>71070271.109999999</v>
      </c>
      <c r="AV43" s="190">
        <v>26194699.809999999</v>
      </c>
      <c r="AW43" s="190">
        <v>28930691.68</v>
      </c>
      <c r="AX43" s="190">
        <v>68113502.120000005</v>
      </c>
      <c r="AY43" s="190">
        <v>0</v>
      </c>
    </row>
    <row r="44" spans="1:51" x14ac:dyDescent="0.25">
      <c r="A44" s="190" t="s">
        <v>259</v>
      </c>
    </row>
    <row r="45" spans="1:51" x14ac:dyDescent="0.25">
      <c r="A45" s="190" t="s">
        <v>260</v>
      </c>
      <c r="B45" s="190">
        <v>0</v>
      </c>
      <c r="C45" s="190">
        <v>1088763872.1700001</v>
      </c>
      <c r="D45" s="190">
        <v>0</v>
      </c>
      <c r="E45" s="190">
        <v>2376786346.0999999</v>
      </c>
      <c r="F45" s="190">
        <v>0</v>
      </c>
      <c r="G45" s="190">
        <v>979823725.38999999</v>
      </c>
      <c r="H45" s="190">
        <v>0</v>
      </c>
      <c r="I45" s="190">
        <v>1810152288.3099999</v>
      </c>
      <c r="J45" s="190">
        <v>0</v>
      </c>
      <c r="K45" s="190">
        <v>710370933.77999997</v>
      </c>
      <c r="L45" s="190">
        <v>0</v>
      </c>
      <c r="M45" s="190">
        <v>1381123509.9000001</v>
      </c>
      <c r="N45" s="190">
        <v>0</v>
      </c>
      <c r="O45" s="190">
        <v>463316918.89999998</v>
      </c>
      <c r="P45" s="190">
        <v>0</v>
      </c>
      <c r="Q45" s="190">
        <v>1144264528.4000001</v>
      </c>
      <c r="R45" s="190">
        <v>0</v>
      </c>
      <c r="S45" s="190">
        <v>506721565.91000003</v>
      </c>
      <c r="T45" s="190">
        <v>0</v>
      </c>
      <c r="U45" s="190">
        <v>1130138728.3299999</v>
      </c>
      <c r="V45" s="190">
        <v>0</v>
      </c>
      <c r="W45" s="190">
        <v>385472147.58999997</v>
      </c>
      <c r="X45" s="190">
        <v>0</v>
      </c>
      <c r="Y45" s="190">
        <v>696651234.15999997</v>
      </c>
      <c r="Z45" s="190">
        <v>0</v>
      </c>
      <c r="AA45" s="190">
        <v>223868963.06</v>
      </c>
      <c r="AB45" s="190">
        <v>0</v>
      </c>
      <c r="AC45" s="190">
        <v>375560849.13</v>
      </c>
      <c r="AD45" s="190">
        <v>0</v>
      </c>
      <c r="AE45" s="190">
        <v>0</v>
      </c>
      <c r="AF45" s="190">
        <v>0</v>
      </c>
      <c r="AG45" s="190">
        <v>259631611.78999999</v>
      </c>
      <c r="AH45" s="190">
        <v>0</v>
      </c>
      <c r="AI45" s="190">
        <v>0</v>
      </c>
      <c r="AJ45" s="190">
        <v>0</v>
      </c>
      <c r="AK45" s="190">
        <v>117109577.25</v>
      </c>
      <c r="AL45" s="190">
        <v>0</v>
      </c>
      <c r="AM45" s="190">
        <v>0</v>
      </c>
      <c r="AN45" s="190">
        <v>0</v>
      </c>
      <c r="AO45" s="190">
        <v>104038260.94</v>
      </c>
      <c r="AP45" s="190">
        <v>0</v>
      </c>
      <c r="AQ45" s="190">
        <v>0</v>
      </c>
      <c r="AR45" s="190">
        <v>0</v>
      </c>
      <c r="AS45" s="190">
        <v>85773814.790000007</v>
      </c>
      <c r="AT45" s="190">
        <v>0</v>
      </c>
      <c r="AU45" s="190">
        <v>0</v>
      </c>
      <c r="AV45" s="190">
        <v>0</v>
      </c>
      <c r="AW45" s="190">
        <v>48750486.960000001</v>
      </c>
      <c r="AX45" s="190">
        <v>45760191.909999996</v>
      </c>
      <c r="AY45" s="190">
        <v>0</v>
      </c>
    </row>
    <row r="46" spans="1:5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row>
    <row r="47" spans="1:5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row>
    <row r="48" spans="1:51" x14ac:dyDescent="0.25">
      <c r="A48" s="190" t="s">
        <v>262</v>
      </c>
      <c r="B48" s="190">
        <v>0</v>
      </c>
      <c r="C48" s="190">
        <v>128296022.40000001</v>
      </c>
      <c r="D48" s="190">
        <v>0</v>
      </c>
      <c r="E48" s="190">
        <v>245506915.74000001</v>
      </c>
      <c r="F48" s="190">
        <v>0</v>
      </c>
      <c r="G48" s="190">
        <v>89628522.590000004</v>
      </c>
      <c r="H48" s="190">
        <v>0</v>
      </c>
      <c r="I48" s="190">
        <v>129145009.23999999</v>
      </c>
      <c r="J48" s="190">
        <v>0</v>
      </c>
      <c r="K48" s="190">
        <v>70488505.819999993</v>
      </c>
      <c r="L48" s="190">
        <v>0</v>
      </c>
      <c r="M48" s="190">
        <v>192281999.66999999</v>
      </c>
      <c r="N48" s="190">
        <v>0</v>
      </c>
      <c r="O48" s="190">
        <v>52332053.640000001</v>
      </c>
      <c r="P48" s="190">
        <v>0</v>
      </c>
      <c r="Q48" s="190">
        <v>79357586.120000005</v>
      </c>
      <c r="R48" s="190">
        <v>0</v>
      </c>
      <c r="S48" s="190">
        <v>38982898.960000001</v>
      </c>
      <c r="T48" s="190">
        <v>0</v>
      </c>
      <c r="U48" s="190">
        <v>98559602.459999993</v>
      </c>
      <c r="V48" s="190">
        <v>0</v>
      </c>
      <c r="W48" s="190">
        <v>36037147.950000003</v>
      </c>
      <c r="X48" s="190">
        <v>0</v>
      </c>
      <c r="Y48" s="190">
        <v>37947498.520000003</v>
      </c>
      <c r="Z48" s="190">
        <v>0</v>
      </c>
      <c r="AA48" s="190">
        <v>23698452.280000001</v>
      </c>
      <c r="AB48" s="190">
        <v>0</v>
      </c>
      <c r="AC48" s="190">
        <v>26723209</v>
      </c>
      <c r="AD48" s="190">
        <v>0</v>
      </c>
      <c r="AE48" s="190">
        <v>0</v>
      </c>
      <c r="AF48" s="190">
        <v>0</v>
      </c>
      <c r="AG48" s="190">
        <v>11339203.859999999</v>
      </c>
      <c r="AH48" s="190">
        <v>0</v>
      </c>
      <c r="AI48" s="190">
        <v>0</v>
      </c>
      <c r="AJ48" s="190">
        <v>0</v>
      </c>
      <c r="AK48" s="190">
        <v>9330272.8200000003</v>
      </c>
      <c r="AL48" s="190">
        <v>0</v>
      </c>
      <c r="AM48" s="190">
        <v>0</v>
      </c>
      <c r="AN48" s="190">
        <v>0</v>
      </c>
      <c r="AO48" s="190">
        <v>1792035.28</v>
      </c>
      <c r="AP48" s="190">
        <v>0</v>
      </c>
      <c r="AQ48" s="190">
        <v>0</v>
      </c>
      <c r="AR48" s="190">
        <v>0</v>
      </c>
      <c r="AS48" s="190">
        <v>-296967.21999999997</v>
      </c>
      <c r="AT48" s="190">
        <v>0</v>
      </c>
      <c r="AU48" s="190">
        <v>0</v>
      </c>
      <c r="AV48" s="190">
        <v>0</v>
      </c>
      <c r="AW48" s="190">
        <v>12049409.59</v>
      </c>
      <c r="AX48" s="190">
        <v>3671903.95</v>
      </c>
      <c r="AY48" s="190">
        <v>0</v>
      </c>
    </row>
    <row r="49" spans="1:51" x14ac:dyDescent="0.25">
      <c r="A49" s="190" t="s">
        <v>263</v>
      </c>
      <c r="B49" s="190">
        <v>0</v>
      </c>
      <c r="C49" s="190">
        <v>88783393.120000005</v>
      </c>
      <c r="D49" s="190">
        <v>0</v>
      </c>
      <c r="E49" s="190">
        <v>134488131.80000001</v>
      </c>
      <c r="F49" s="190">
        <v>0</v>
      </c>
      <c r="G49" s="190">
        <v>60312525.479999997</v>
      </c>
      <c r="H49" s="190">
        <v>0</v>
      </c>
      <c r="I49" s="190">
        <v>103583804.51000001</v>
      </c>
      <c r="J49" s="190">
        <v>0</v>
      </c>
      <c r="K49" s="190">
        <v>42431745.079999998</v>
      </c>
      <c r="L49" s="190">
        <v>0</v>
      </c>
      <c r="M49" s="190">
        <v>84781587.469999999</v>
      </c>
      <c r="N49" s="190">
        <v>0</v>
      </c>
      <c r="O49" s="190">
        <v>41093208.020000003</v>
      </c>
      <c r="P49" s="190">
        <v>0</v>
      </c>
      <c r="Q49" s="190">
        <v>73180404.730000004</v>
      </c>
      <c r="R49" s="190">
        <v>0</v>
      </c>
      <c r="S49" s="190">
        <v>35501617.990000002</v>
      </c>
      <c r="T49" s="190">
        <v>0</v>
      </c>
      <c r="U49" s="190">
        <v>40771661.840000004</v>
      </c>
      <c r="V49" s="190">
        <v>0</v>
      </c>
      <c r="W49" s="190">
        <v>17725216.16</v>
      </c>
      <c r="X49" s="190">
        <v>0</v>
      </c>
      <c r="Y49" s="190">
        <v>30712112.989999998</v>
      </c>
      <c r="Z49" s="190">
        <v>0</v>
      </c>
      <c r="AA49" s="190">
        <v>13944945.220000001</v>
      </c>
      <c r="AB49" s="190">
        <v>0</v>
      </c>
      <c r="AC49" s="190">
        <v>21124733.309999999</v>
      </c>
      <c r="AD49" s="190">
        <v>0</v>
      </c>
      <c r="AE49" s="190">
        <v>0</v>
      </c>
      <c r="AF49" s="190">
        <v>0</v>
      </c>
      <c r="AG49" s="190">
        <v>14528799.33</v>
      </c>
      <c r="AH49" s="190">
        <v>0</v>
      </c>
      <c r="AI49" s="190">
        <v>0</v>
      </c>
      <c r="AJ49" s="190">
        <v>0</v>
      </c>
      <c r="AK49" s="190">
        <v>11213136.289999999</v>
      </c>
      <c r="AL49" s="190">
        <v>0</v>
      </c>
      <c r="AM49" s="190">
        <v>0</v>
      </c>
      <c r="AN49" s="190">
        <v>0</v>
      </c>
      <c r="AO49" s="190">
        <v>7484607.7400000002</v>
      </c>
      <c r="AP49" s="190">
        <v>0</v>
      </c>
      <c r="AQ49" s="190">
        <v>0</v>
      </c>
      <c r="AR49" s="190">
        <v>0</v>
      </c>
      <c r="AS49" s="190">
        <v>4774098.32</v>
      </c>
      <c r="AT49" s="190">
        <v>0</v>
      </c>
      <c r="AU49" s="190">
        <v>0</v>
      </c>
      <c r="AV49" s="190">
        <v>0</v>
      </c>
      <c r="AW49" s="190">
        <v>5525838.7599999998</v>
      </c>
      <c r="AX49" s="190">
        <v>2967454.89</v>
      </c>
      <c r="AY49" s="190">
        <v>0</v>
      </c>
    </row>
    <row r="50" spans="1:51" x14ac:dyDescent="0.25">
      <c r="A50" s="190" t="s">
        <v>264</v>
      </c>
      <c r="B50" s="190">
        <v>0</v>
      </c>
      <c r="C50" s="190">
        <v>15655020.869999999</v>
      </c>
      <c r="D50" s="190">
        <v>0</v>
      </c>
      <c r="E50" s="190">
        <v>27767397.350000001</v>
      </c>
      <c r="F50" s="190">
        <v>0</v>
      </c>
      <c r="G50" s="190">
        <v>10024296.75</v>
      </c>
      <c r="H50" s="190">
        <v>0</v>
      </c>
      <c r="I50" s="190">
        <v>14591618.01</v>
      </c>
      <c r="J50" s="190">
        <v>0</v>
      </c>
      <c r="K50" s="190">
        <v>5579119.8099999996</v>
      </c>
      <c r="L50" s="190">
        <v>0</v>
      </c>
      <c r="M50" s="190">
        <v>6315165.0099999998</v>
      </c>
      <c r="N50" s="190">
        <v>0</v>
      </c>
      <c r="O50" s="190">
        <v>1814630.73</v>
      </c>
      <c r="P50" s="190">
        <v>0</v>
      </c>
      <c r="Q50" s="190">
        <v>5835105.4800000004</v>
      </c>
      <c r="R50" s="190">
        <v>0</v>
      </c>
      <c r="S50" s="190">
        <v>3085553.71</v>
      </c>
      <c r="T50" s="190">
        <v>0</v>
      </c>
      <c r="U50" s="190">
        <v>5652308.1600000001</v>
      </c>
      <c r="V50" s="190">
        <v>0</v>
      </c>
      <c r="W50" s="190">
        <v>2814257.28</v>
      </c>
      <c r="X50" s="190">
        <v>0</v>
      </c>
      <c r="Y50" s="190">
        <v>5594314.6500000004</v>
      </c>
      <c r="Z50" s="190">
        <v>0</v>
      </c>
      <c r="AA50" s="190">
        <v>2742297.02</v>
      </c>
      <c r="AB50" s="190">
        <v>0</v>
      </c>
      <c r="AC50" s="190">
        <v>4946596.43</v>
      </c>
      <c r="AD50" s="190">
        <v>0</v>
      </c>
      <c r="AE50" s="190">
        <v>0</v>
      </c>
      <c r="AF50" s="190">
        <v>0</v>
      </c>
      <c r="AG50" s="190">
        <v>4372512.25</v>
      </c>
      <c r="AH50" s="190">
        <v>0</v>
      </c>
      <c r="AI50" s="190">
        <v>0</v>
      </c>
      <c r="AJ50" s="190">
        <v>0</v>
      </c>
      <c r="AK50" s="190">
        <v>2706968.23</v>
      </c>
      <c r="AL50" s="190">
        <v>0</v>
      </c>
      <c r="AM50" s="190">
        <v>0</v>
      </c>
      <c r="AN50" s="190">
        <v>0</v>
      </c>
      <c r="AO50" s="190">
        <v>903541.1</v>
      </c>
      <c r="AP50" s="190">
        <v>0</v>
      </c>
      <c r="AQ50" s="190">
        <v>0</v>
      </c>
      <c r="AR50" s="190">
        <v>0</v>
      </c>
      <c r="AS50" s="190">
        <v>270317.88</v>
      </c>
      <c r="AT50" s="190">
        <v>0</v>
      </c>
      <c r="AU50" s="190">
        <v>0</v>
      </c>
      <c r="AV50" s="190">
        <v>0</v>
      </c>
      <c r="AW50" s="190">
        <v>1532176.84</v>
      </c>
      <c r="AX50" s="190">
        <v>14167.63</v>
      </c>
      <c r="AY50" s="190">
        <v>0</v>
      </c>
    </row>
    <row r="51" spans="1:51" x14ac:dyDescent="0.25">
      <c r="A51" s="190" t="s">
        <v>265</v>
      </c>
      <c r="B51" s="190">
        <v>0</v>
      </c>
      <c r="C51" s="190">
        <v>3088553.94</v>
      </c>
      <c r="D51" s="190">
        <v>0</v>
      </c>
      <c r="E51" s="190">
        <v>0</v>
      </c>
      <c r="F51" s="190">
        <v>0</v>
      </c>
      <c r="G51" s="190">
        <v>0</v>
      </c>
      <c r="H51" s="190">
        <v>0</v>
      </c>
      <c r="I51" s="190">
        <v>647458.78</v>
      </c>
      <c r="J51" s="190">
        <v>0</v>
      </c>
      <c r="K51" s="190">
        <v>371889.9</v>
      </c>
      <c r="L51" s="190">
        <v>0</v>
      </c>
      <c r="M51" s="190">
        <v>743779.8</v>
      </c>
      <c r="N51" s="190">
        <v>0</v>
      </c>
      <c r="O51" s="190">
        <v>371889.9</v>
      </c>
      <c r="P51" s="190">
        <v>0</v>
      </c>
      <c r="Q51" s="190">
        <v>743779.79</v>
      </c>
      <c r="R51" s="190">
        <v>0</v>
      </c>
      <c r="S51" s="190">
        <v>371889.89</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row>
    <row r="52" spans="1:5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row>
    <row r="53" spans="1:5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row>
    <row r="54" spans="1:51" x14ac:dyDescent="0.25">
      <c r="A54" s="190" t="s">
        <v>268</v>
      </c>
      <c r="B54" s="190">
        <v>0</v>
      </c>
      <c r="C54" s="190">
        <v>13024.74</v>
      </c>
      <c r="D54" s="190">
        <v>0</v>
      </c>
      <c r="E54" s="190">
        <v>-774332.5</v>
      </c>
      <c r="F54" s="190">
        <v>0</v>
      </c>
      <c r="G54" s="190">
        <v>112665.22</v>
      </c>
      <c r="H54" s="190">
        <v>0</v>
      </c>
      <c r="I54" s="190">
        <v>346741.78</v>
      </c>
      <c r="J54" s="190">
        <v>0</v>
      </c>
      <c r="K54" s="190">
        <v>255697.64</v>
      </c>
      <c r="L54" s="190">
        <v>0</v>
      </c>
      <c r="M54" s="190">
        <v>-174927.99</v>
      </c>
      <c r="N54" s="190">
        <v>0</v>
      </c>
      <c r="O54" s="190">
        <v>38900.35</v>
      </c>
      <c r="P54" s="190">
        <v>0</v>
      </c>
      <c r="Q54" s="190">
        <v>77974.710000000006</v>
      </c>
      <c r="R54" s="190">
        <v>0</v>
      </c>
      <c r="S54" s="190">
        <v>46386.78</v>
      </c>
      <c r="T54" s="190">
        <v>0</v>
      </c>
      <c r="U54" s="190">
        <v>-94715.38</v>
      </c>
      <c r="V54" s="190">
        <v>0</v>
      </c>
      <c r="W54" s="190">
        <v>66772.899999999994</v>
      </c>
      <c r="X54" s="190">
        <v>0</v>
      </c>
      <c r="Y54" s="190">
        <v>161660.29</v>
      </c>
      <c r="Z54" s="190">
        <v>0</v>
      </c>
      <c r="AA54" s="190">
        <v>94799.83</v>
      </c>
      <c r="AB54" s="190">
        <v>0</v>
      </c>
      <c r="AC54" s="190">
        <v>258214.11</v>
      </c>
      <c r="AD54" s="190">
        <v>0</v>
      </c>
      <c r="AE54" s="190">
        <v>0</v>
      </c>
      <c r="AF54" s="190">
        <v>0</v>
      </c>
      <c r="AG54" s="190">
        <v>172138.23</v>
      </c>
      <c r="AH54" s="190">
        <v>0</v>
      </c>
      <c r="AI54" s="190">
        <v>0</v>
      </c>
      <c r="AJ54" s="190">
        <v>0</v>
      </c>
      <c r="AK54" s="190">
        <v>255412.67</v>
      </c>
      <c r="AL54" s="190">
        <v>0</v>
      </c>
      <c r="AM54" s="190">
        <v>0</v>
      </c>
      <c r="AN54" s="190">
        <v>0</v>
      </c>
      <c r="AO54" s="190">
        <v>507553.89</v>
      </c>
      <c r="AP54" s="190">
        <v>0</v>
      </c>
      <c r="AQ54" s="190">
        <v>0</v>
      </c>
      <c r="AR54" s="190">
        <v>0</v>
      </c>
      <c r="AS54" s="190">
        <v>143499.57999999999</v>
      </c>
      <c r="AT54" s="190">
        <v>0</v>
      </c>
      <c r="AU54" s="190">
        <v>0</v>
      </c>
      <c r="AV54" s="190">
        <v>0</v>
      </c>
      <c r="AW54" s="190">
        <v>359656.46</v>
      </c>
      <c r="AX54" s="190">
        <v>0</v>
      </c>
      <c r="AY54" s="190">
        <v>0</v>
      </c>
    </row>
    <row r="55" spans="1:51" x14ac:dyDescent="0.25">
      <c r="A55" s="190" t="s">
        <v>269</v>
      </c>
      <c r="B55" s="190">
        <v>0</v>
      </c>
      <c r="C55" s="190">
        <v>962518.09</v>
      </c>
      <c r="D55" s="190">
        <v>0</v>
      </c>
      <c r="E55" s="190">
        <v>9227666.0600000005</v>
      </c>
      <c r="F55" s="190">
        <v>0</v>
      </c>
      <c r="G55" s="190">
        <v>0</v>
      </c>
      <c r="H55" s="190">
        <v>0</v>
      </c>
      <c r="I55" s="190">
        <v>0</v>
      </c>
      <c r="J55" s="190">
        <v>0</v>
      </c>
      <c r="K55" s="190">
        <v>0</v>
      </c>
      <c r="L55" s="190">
        <v>0</v>
      </c>
      <c r="M55" s="190">
        <v>0</v>
      </c>
      <c r="N55" s="190">
        <v>0</v>
      </c>
      <c r="O55" s="190">
        <v>0</v>
      </c>
      <c r="P55" s="190">
        <v>0</v>
      </c>
      <c r="Q55" s="190">
        <v>1961.16</v>
      </c>
      <c r="R55" s="190">
        <v>0</v>
      </c>
      <c r="S55" s="190">
        <v>0</v>
      </c>
      <c r="T55" s="190">
        <v>0</v>
      </c>
      <c r="U55" s="190">
        <v>7068.71</v>
      </c>
      <c r="V55" s="190">
        <v>0</v>
      </c>
      <c r="W55" s="190">
        <v>0</v>
      </c>
      <c r="X55" s="190">
        <v>0</v>
      </c>
      <c r="Y55" s="190">
        <v>10554.48</v>
      </c>
      <c r="Z55" s="190">
        <v>0</v>
      </c>
      <c r="AA55" s="190">
        <v>0</v>
      </c>
      <c r="AB55" s="190">
        <v>0</v>
      </c>
      <c r="AC55" s="190">
        <v>1484.38</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219933.85</v>
      </c>
      <c r="AT55" s="190">
        <v>0</v>
      </c>
      <c r="AU55" s="190">
        <v>0</v>
      </c>
      <c r="AV55" s="190">
        <v>0</v>
      </c>
      <c r="AW55" s="190">
        <v>0</v>
      </c>
      <c r="AX55" s="190">
        <v>0</v>
      </c>
      <c r="AY55" s="190">
        <v>0</v>
      </c>
    </row>
    <row r="56" spans="1:51" x14ac:dyDescent="0.25">
      <c r="A56" s="190" t="s">
        <v>270</v>
      </c>
      <c r="B56" s="190">
        <v>0</v>
      </c>
      <c r="C56" s="190">
        <v>41332765.270000003</v>
      </c>
      <c r="D56" s="190">
        <v>0</v>
      </c>
      <c r="E56" s="190">
        <v>0</v>
      </c>
      <c r="F56" s="190">
        <v>0</v>
      </c>
      <c r="G56" s="190">
        <v>0</v>
      </c>
      <c r="H56" s="190">
        <v>0</v>
      </c>
      <c r="I56" s="190">
        <v>-2851456</v>
      </c>
      <c r="J56" s="190">
        <v>0</v>
      </c>
      <c r="K56" s="190">
        <v>-2851456</v>
      </c>
      <c r="L56" s="190">
        <v>0</v>
      </c>
      <c r="M56" s="190">
        <v>5228415.6500000004</v>
      </c>
      <c r="N56" s="190">
        <v>0</v>
      </c>
      <c r="O56" s="190">
        <v>-118161.95</v>
      </c>
      <c r="P56" s="190">
        <v>0</v>
      </c>
      <c r="Q56" s="190">
        <v>-894483.21</v>
      </c>
      <c r="R56" s="190">
        <v>0</v>
      </c>
      <c r="S56" s="190">
        <v>-65830.350000000006</v>
      </c>
      <c r="T56" s="190">
        <v>0</v>
      </c>
      <c r="U56" s="190">
        <v>-3973172.57</v>
      </c>
      <c r="V56" s="190">
        <v>0</v>
      </c>
      <c r="W56" s="190">
        <v>-987831.88</v>
      </c>
      <c r="X56" s="190">
        <v>0</v>
      </c>
      <c r="Y56" s="190">
        <v>1835136.12</v>
      </c>
      <c r="Z56" s="190">
        <v>0</v>
      </c>
      <c r="AA56" s="190">
        <v>-3824216.4</v>
      </c>
      <c r="AB56" s="190">
        <v>0</v>
      </c>
      <c r="AC56" s="190">
        <v>927288.22</v>
      </c>
      <c r="AD56" s="190">
        <v>0</v>
      </c>
      <c r="AE56" s="190">
        <v>0</v>
      </c>
      <c r="AF56" s="190">
        <v>0</v>
      </c>
      <c r="AG56" s="190">
        <v>-271728.21000000002</v>
      </c>
      <c r="AH56" s="190">
        <v>0</v>
      </c>
      <c r="AI56" s="190">
        <v>0</v>
      </c>
      <c r="AJ56" s="190">
        <v>0</v>
      </c>
      <c r="AK56" s="190">
        <v>-13200</v>
      </c>
      <c r="AL56" s="190">
        <v>0</v>
      </c>
      <c r="AM56" s="190">
        <v>0</v>
      </c>
      <c r="AN56" s="190">
        <v>0</v>
      </c>
      <c r="AO56" s="190">
        <v>13200</v>
      </c>
      <c r="AP56" s="190">
        <v>0</v>
      </c>
      <c r="AQ56" s="190">
        <v>0</v>
      </c>
      <c r="AR56" s="190">
        <v>0</v>
      </c>
      <c r="AS56" s="190">
        <v>0</v>
      </c>
      <c r="AT56" s="190">
        <v>0</v>
      </c>
      <c r="AU56" s="190">
        <v>0</v>
      </c>
      <c r="AV56" s="190">
        <v>0</v>
      </c>
      <c r="AW56" s="190">
        <v>0</v>
      </c>
      <c r="AX56" s="190">
        <v>0</v>
      </c>
      <c r="AY56" s="190">
        <v>0</v>
      </c>
    </row>
    <row r="57" spans="1:5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row>
    <row r="58" spans="1:5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row>
    <row r="59" spans="1:51" x14ac:dyDescent="0.25">
      <c r="A59" s="190" t="s">
        <v>197</v>
      </c>
      <c r="B59" s="190">
        <v>0</v>
      </c>
      <c r="C59" s="190">
        <v>47598498.700000003</v>
      </c>
      <c r="D59" s="190">
        <v>0</v>
      </c>
      <c r="E59" s="190">
        <v>213871791.30000001</v>
      </c>
      <c r="F59" s="190">
        <v>0</v>
      </c>
      <c r="G59" s="190">
        <v>68419946.400000006</v>
      </c>
      <c r="H59" s="190">
        <v>0</v>
      </c>
      <c r="I59" s="190">
        <v>-38305746.509999998</v>
      </c>
      <c r="J59" s="190">
        <v>0</v>
      </c>
      <c r="K59" s="190">
        <v>1163425.49</v>
      </c>
      <c r="L59" s="190">
        <v>0</v>
      </c>
      <c r="M59" s="190">
        <v>-61512310.289999999</v>
      </c>
      <c r="N59" s="190">
        <v>0</v>
      </c>
      <c r="O59" s="190">
        <v>750224.66</v>
      </c>
      <c r="P59" s="190">
        <v>0</v>
      </c>
      <c r="Q59" s="190">
        <v>9800256.6099999994</v>
      </c>
      <c r="R59" s="190">
        <v>0</v>
      </c>
      <c r="S59" s="190">
        <v>4692699.2699999996</v>
      </c>
      <c r="T59" s="190">
        <v>0</v>
      </c>
      <c r="U59" s="190">
        <v>13140484.83</v>
      </c>
      <c r="V59" s="190">
        <v>0</v>
      </c>
      <c r="W59" s="190">
        <v>9843059.4499999993</v>
      </c>
      <c r="X59" s="190">
        <v>0</v>
      </c>
      <c r="Y59" s="190">
        <v>2345972.77</v>
      </c>
      <c r="Z59" s="190">
        <v>0</v>
      </c>
      <c r="AA59" s="190">
        <v>3419366.24</v>
      </c>
      <c r="AB59" s="190">
        <v>0</v>
      </c>
      <c r="AC59" s="190">
        <v>964759.15</v>
      </c>
      <c r="AD59" s="190">
        <v>0</v>
      </c>
      <c r="AE59" s="190">
        <v>0</v>
      </c>
      <c r="AF59" s="190">
        <v>0</v>
      </c>
      <c r="AG59" s="190">
        <v>234046.07999999999</v>
      </c>
      <c r="AH59" s="190">
        <v>0</v>
      </c>
      <c r="AI59" s="190">
        <v>0</v>
      </c>
      <c r="AJ59" s="190">
        <v>0</v>
      </c>
      <c r="AK59" s="190">
        <v>232197.95</v>
      </c>
      <c r="AL59" s="190">
        <v>0</v>
      </c>
      <c r="AM59" s="190">
        <v>0</v>
      </c>
      <c r="AN59" s="190">
        <v>0</v>
      </c>
      <c r="AO59" s="190">
        <v>-7041626.3499999996</v>
      </c>
      <c r="AP59" s="190">
        <v>0</v>
      </c>
      <c r="AQ59" s="190">
        <v>0</v>
      </c>
      <c r="AR59" s="190">
        <v>0</v>
      </c>
      <c r="AS59" s="190">
        <v>-854811.96</v>
      </c>
      <c r="AT59" s="190">
        <v>0</v>
      </c>
      <c r="AU59" s="190">
        <v>0</v>
      </c>
      <c r="AV59" s="190">
        <v>0</v>
      </c>
      <c r="AW59" s="190">
        <v>1838509.09</v>
      </c>
      <c r="AX59" s="190">
        <v>796994.1</v>
      </c>
      <c r="AY59" s="190">
        <v>0</v>
      </c>
    </row>
    <row r="60" spans="1:51" x14ac:dyDescent="0.25">
      <c r="A60" s="190" t="s">
        <v>273</v>
      </c>
      <c r="B60" s="190">
        <v>0</v>
      </c>
      <c r="C60" s="190">
        <v>20867876.309999999</v>
      </c>
      <c r="D60" s="190">
        <v>0</v>
      </c>
      <c r="E60" s="190">
        <v>29510653.149999999</v>
      </c>
      <c r="F60" s="190">
        <v>0</v>
      </c>
      <c r="G60" s="190">
        <v>14018542.65</v>
      </c>
      <c r="H60" s="190">
        <v>0</v>
      </c>
      <c r="I60" s="190">
        <v>-6642772.4900000002</v>
      </c>
      <c r="J60" s="190">
        <v>0</v>
      </c>
      <c r="K60" s="190">
        <v>-12782064.33</v>
      </c>
      <c r="L60" s="190">
        <v>0</v>
      </c>
      <c r="M60" s="190">
        <v>-14013463.970000001</v>
      </c>
      <c r="N60" s="190">
        <v>0</v>
      </c>
      <c r="O60" s="190">
        <v>-9617468.8800000008</v>
      </c>
      <c r="P60" s="190">
        <v>0</v>
      </c>
      <c r="Q60" s="190">
        <v>-7557419.6399999997</v>
      </c>
      <c r="R60" s="190">
        <v>0</v>
      </c>
      <c r="S60" s="190">
        <v>320303.78000000003</v>
      </c>
      <c r="T60" s="190">
        <v>0</v>
      </c>
      <c r="U60" s="190">
        <v>-7753381.1100000003</v>
      </c>
      <c r="V60" s="190">
        <v>0</v>
      </c>
      <c r="W60" s="190">
        <v>-2735132.63</v>
      </c>
      <c r="X60" s="190">
        <v>0</v>
      </c>
      <c r="Y60" s="190">
        <v>1027741.59</v>
      </c>
      <c r="Z60" s="190">
        <v>0</v>
      </c>
      <c r="AA60" s="190">
        <v>1474271.99</v>
      </c>
      <c r="AB60" s="190">
        <v>0</v>
      </c>
      <c r="AC60" s="190">
        <v>4041974.58</v>
      </c>
      <c r="AD60" s="190">
        <v>0</v>
      </c>
      <c r="AE60" s="190">
        <v>0</v>
      </c>
      <c r="AF60" s="190">
        <v>0</v>
      </c>
      <c r="AG60" s="190">
        <v>3317.31</v>
      </c>
      <c r="AH60" s="190">
        <v>0</v>
      </c>
      <c r="AI60" s="190">
        <v>0</v>
      </c>
      <c r="AJ60" s="190">
        <v>0</v>
      </c>
      <c r="AK60" s="190">
        <v>-4797</v>
      </c>
      <c r="AL60" s="190">
        <v>0</v>
      </c>
      <c r="AM60" s="190">
        <v>0</v>
      </c>
      <c r="AN60" s="190">
        <v>0</v>
      </c>
      <c r="AO60" s="190">
        <v>522181.7</v>
      </c>
      <c r="AP60" s="190">
        <v>0</v>
      </c>
      <c r="AQ60" s="190">
        <v>0</v>
      </c>
      <c r="AR60" s="190">
        <v>0</v>
      </c>
      <c r="AS60" s="190">
        <v>-927230.07</v>
      </c>
      <c r="AT60" s="190">
        <v>0</v>
      </c>
      <c r="AU60" s="190">
        <v>0</v>
      </c>
      <c r="AV60" s="190">
        <v>0</v>
      </c>
      <c r="AW60" s="190">
        <v>-7180688.6900000004</v>
      </c>
      <c r="AX60" s="190">
        <v>0</v>
      </c>
      <c r="AY60" s="190">
        <v>0</v>
      </c>
    </row>
    <row r="61" spans="1:51" x14ac:dyDescent="0.25">
      <c r="A61" s="190" t="s">
        <v>274</v>
      </c>
      <c r="B61" s="190">
        <v>0</v>
      </c>
      <c r="C61" s="190">
        <v>-89302479.469999999</v>
      </c>
      <c r="D61" s="190">
        <v>0</v>
      </c>
      <c r="E61" s="190">
        <v>-60088749.829999998</v>
      </c>
      <c r="F61" s="190">
        <v>0</v>
      </c>
      <c r="G61" s="190">
        <v>-10613384.109999999</v>
      </c>
      <c r="H61" s="190">
        <v>0</v>
      </c>
      <c r="I61" s="190">
        <v>-22743032.210000001</v>
      </c>
      <c r="J61" s="190">
        <v>0</v>
      </c>
      <c r="K61" s="190">
        <v>4498300.6399999997</v>
      </c>
      <c r="L61" s="190">
        <v>0</v>
      </c>
      <c r="M61" s="190">
        <v>-54248640.740000002</v>
      </c>
      <c r="N61" s="190">
        <v>0</v>
      </c>
      <c r="O61" s="190">
        <v>-14262975.199999999</v>
      </c>
      <c r="P61" s="190">
        <v>0</v>
      </c>
      <c r="Q61" s="190">
        <v>14550062.539999999</v>
      </c>
      <c r="R61" s="190">
        <v>0</v>
      </c>
      <c r="S61" s="190">
        <v>26492326.059999999</v>
      </c>
      <c r="T61" s="190">
        <v>0</v>
      </c>
      <c r="U61" s="190">
        <v>-73653563.709999993</v>
      </c>
      <c r="V61" s="190">
        <v>0</v>
      </c>
      <c r="W61" s="190">
        <v>-5299023.58</v>
      </c>
      <c r="X61" s="190">
        <v>0</v>
      </c>
      <c r="Y61" s="190">
        <v>-7885473.6699999999</v>
      </c>
      <c r="Z61" s="190">
        <v>0</v>
      </c>
      <c r="AA61" s="190">
        <v>-2664347</v>
      </c>
      <c r="AB61" s="190">
        <v>0</v>
      </c>
      <c r="AC61" s="190">
        <v>-3862567.15</v>
      </c>
      <c r="AD61" s="190">
        <v>0</v>
      </c>
      <c r="AE61" s="190">
        <v>0</v>
      </c>
      <c r="AF61" s="190">
        <v>0</v>
      </c>
      <c r="AG61" s="190">
        <v>-2501141.31</v>
      </c>
      <c r="AH61" s="190">
        <v>0</v>
      </c>
      <c r="AI61" s="190">
        <v>0</v>
      </c>
      <c r="AJ61" s="190">
        <v>0</v>
      </c>
      <c r="AK61" s="190">
        <v>-1416923.31</v>
      </c>
      <c r="AL61" s="190">
        <v>0</v>
      </c>
      <c r="AM61" s="190">
        <v>0</v>
      </c>
      <c r="AN61" s="190">
        <v>0</v>
      </c>
      <c r="AO61" s="190">
        <v>-235494.39</v>
      </c>
      <c r="AP61" s="190">
        <v>0</v>
      </c>
      <c r="AQ61" s="190">
        <v>0</v>
      </c>
      <c r="AR61" s="190">
        <v>0</v>
      </c>
      <c r="AS61" s="190">
        <v>-400942.83</v>
      </c>
      <c r="AT61" s="190">
        <v>0</v>
      </c>
      <c r="AU61" s="190">
        <v>0</v>
      </c>
      <c r="AV61" s="190">
        <v>0</v>
      </c>
      <c r="AW61" s="190">
        <v>-582247.64</v>
      </c>
      <c r="AX61" s="190">
        <v>-162279.35</v>
      </c>
      <c r="AY61" s="190">
        <v>0</v>
      </c>
    </row>
    <row r="62" spans="1:51" x14ac:dyDescent="0.25">
      <c r="A62" s="190" t="s">
        <v>275</v>
      </c>
      <c r="B62" s="190">
        <v>0</v>
      </c>
      <c r="C62" s="190">
        <v>8229683.8899999997</v>
      </c>
      <c r="D62" s="190">
        <v>0</v>
      </c>
      <c r="E62" s="190">
        <v>21763500.719999999</v>
      </c>
      <c r="F62" s="190">
        <v>0</v>
      </c>
      <c r="G62" s="190">
        <v>-5417119.9900000002</v>
      </c>
      <c r="H62" s="190">
        <v>0</v>
      </c>
      <c r="I62" s="190">
        <v>8344998</v>
      </c>
      <c r="J62" s="190">
        <v>0</v>
      </c>
      <c r="K62" s="190">
        <v>-4732150.97</v>
      </c>
      <c r="L62" s="190">
        <v>0</v>
      </c>
      <c r="M62" s="190">
        <v>-9073852.6199999992</v>
      </c>
      <c r="N62" s="190">
        <v>0</v>
      </c>
      <c r="O62" s="190">
        <v>-6227947.79</v>
      </c>
      <c r="P62" s="190">
        <v>0</v>
      </c>
      <c r="Q62" s="190">
        <v>19253342.859999999</v>
      </c>
      <c r="R62" s="190">
        <v>0</v>
      </c>
      <c r="S62" s="190">
        <v>587781.22</v>
      </c>
      <c r="T62" s="190">
        <v>0</v>
      </c>
      <c r="U62" s="190">
        <v>-1889610.16</v>
      </c>
      <c r="V62" s="190">
        <v>0</v>
      </c>
      <c r="W62" s="190">
        <v>-564699.17000000004</v>
      </c>
      <c r="X62" s="190">
        <v>0</v>
      </c>
      <c r="Y62" s="190">
        <v>3226722.55</v>
      </c>
      <c r="Z62" s="190">
        <v>0</v>
      </c>
      <c r="AA62" s="190">
        <v>258460.19</v>
      </c>
      <c r="AB62" s="190">
        <v>0</v>
      </c>
      <c r="AC62" s="190">
        <v>534147.91</v>
      </c>
      <c r="AD62" s="190">
        <v>0</v>
      </c>
      <c r="AE62" s="190">
        <v>0</v>
      </c>
      <c r="AF62" s="190">
        <v>0</v>
      </c>
      <c r="AG62" s="190">
        <v>3309697.51</v>
      </c>
      <c r="AH62" s="190">
        <v>0</v>
      </c>
      <c r="AI62" s="190">
        <v>0</v>
      </c>
      <c r="AJ62" s="190">
        <v>0</v>
      </c>
      <c r="AK62" s="190">
        <v>0</v>
      </c>
      <c r="AL62" s="190">
        <v>0</v>
      </c>
      <c r="AM62" s="190">
        <v>0</v>
      </c>
      <c r="AN62" s="190">
        <v>0</v>
      </c>
      <c r="AO62" s="190">
        <v>-539343.63</v>
      </c>
      <c r="AP62" s="190">
        <v>0</v>
      </c>
      <c r="AQ62" s="190">
        <v>0</v>
      </c>
      <c r="AR62" s="190">
        <v>0</v>
      </c>
      <c r="AS62" s="190">
        <v>539343.63</v>
      </c>
      <c r="AT62" s="190">
        <v>0</v>
      </c>
      <c r="AU62" s="190">
        <v>0</v>
      </c>
      <c r="AV62" s="190">
        <v>0</v>
      </c>
      <c r="AW62" s="190">
        <v>0</v>
      </c>
      <c r="AX62" s="190">
        <v>0</v>
      </c>
      <c r="AY62" s="190">
        <v>0</v>
      </c>
    </row>
    <row r="63" spans="1:51" x14ac:dyDescent="0.25">
      <c r="A63" s="190" t="s">
        <v>276</v>
      </c>
      <c r="B63" s="190">
        <v>0</v>
      </c>
      <c r="C63" s="190">
        <v>-580085558.07000005</v>
      </c>
      <c r="D63" s="190">
        <v>0</v>
      </c>
      <c r="E63" s="190">
        <v>-640320122.77999997</v>
      </c>
      <c r="F63" s="190">
        <v>0</v>
      </c>
      <c r="G63" s="190">
        <v>-540986635.74000001</v>
      </c>
      <c r="H63" s="190">
        <v>0</v>
      </c>
      <c r="I63" s="190">
        <v>-704562266.90999997</v>
      </c>
      <c r="J63" s="190">
        <v>0</v>
      </c>
      <c r="K63" s="190">
        <v>-334722882.85000002</v>
      </c>
      <c r="L63" s="190">
        <v>0</v>
      </c>
      <c r="M63" s="190">
        <v>-256116142.56999999</v>
      </c>
      <c r="N63" s="190">
        <v>0</v>
      </c>
      <c r="O63" s="190">
        <v>-521776029.85000002</v>
      </c>
      <c r="P63" s="190">
        <v>0</v>
      </c>
      <c r="Q63" s="190">
        <v>-341408227.17000002</v>
      </c>
      <c r="R63" s="190">
        <v>0</v>
      </c>
      <c r="S63" s="190">
        <v>-418472091.13999999</v>
      </c>
      <c r="T63" s="190">
        <v>0</v>
      </c>
      <c r="U63" s="190">
        <v>-279232980.05000001</v>
      </c>
      <c r="V63" s="190">
        <v>0</v>
      </c>
      <c r="W63" s="190">
        <v>-70680848.760000005</v>
      </c>
      <c r="X63" s="190">
        <v>0</v>
      </c>
      <c r="Y63" s="190">
        <v>-122459236.76000001</v>
      </c>
      <c r="Z63" s="190">
        <v>0</v>
      </c>
      <c r="AA63" s="190">
        <v>-186226462.88999999</v>
      </c>
      <c r="AB63" s="190">
        <v>0</v>
      </c>
      <c r="AC63" s="190">
        <v>-231505344.72999999</v>
      </c>
      <c r="AD63" s="190">
        <v>0</v>
      </c>
      <c r="AE63" s="190">
        <v>0</v>
      </c>
      <c r="AF63" s="190">
        <v>0</v>
      </c>
      <c r="AG63" s="190">
        <v>-140493478.87</v>
      </c>
      <c r="AH63" s="190">
        <v>0</v>
      </c>
      <c r="AI63" s="190">
        <v>0</v>
      </c>
      <c r="AJ63" s="190">
        <v>0</v>
      </c>
      <c r="AK63" s="190">
        <v>-93461917.769999996</v>
      </c>
      <c r="AL63" s="190">
        <v>0</v>
      </c>
      <c r="AM63" s="190">
        <v>0</v>
      </c>
      <c r="AN63" s="190">
        <v>0</v>
      </c>
      <c r="AO63" s="190">
        <v>-46101837.380000003</v>
      </c>
      <c r="AP63" s="190">
        <v>0</v>
      </c>
      <c r="AQ63" s="190">
        <v>0</v>
      </c>
      <c r="AR63" s="190">
        <v>0</v>
      </c>
      <c r="AS63" s="190">
        <v>-25193972.93</v>
      </c>
      <c r="AT63" s="190">
        <v>0</v>
      </c>
      <c r="AU63" s="190">
        <v>0</v>
      </c>
      <c r="AV63" s="190">
        <v>0</v>
      </c>
      <c r="AW63" s="190">
        <v>-18589844.82</v>
      </c>
      <c r="AX63" s="190">
        <v>-64713482.159999996</v>
      </c>
      <c r="AY63" s="190">
        <v>0</v>
      </c>
    </row>
    <row r="64" spans="1:51" x14ac:dyDescent="0.25">
      <c r="A64" s="190" t="s">
        <v>277</v>
      </c>
      <c r="B64" s="190">
        <v>0</v>
      </c>
      <c r="C64" s="190">
        <v>-1496674487.54</v>
      </c>
      <c r="D64" s="190">
        <v>0</v>
      </c>
      <c r="E64" s="190">
        <v>-4110273418.5500002</v>
      </c>
      <c r="F64" s="190">
        <v>0</v>
      </c>
      <c r="G64" s="190">
        <v>-1187155027.74</v>
      </c>
      <c r="H64" s="190">
        <v>0</v>
      </c>
      <c r="I64" s="190">
        <v>-2127794090.74</v>
      </c>
      <c r="J64" s="190">
        <v>0</v>
      </c>
      <c r="K64" s="190">
        <v>-504538277.26999998</v>
      </c>
      <c r="L64" s="190">
        <v>0</v>
      </c>
      <c r="M64" s="190">
        <v>-2942876320.5</v>
      </c>
      <c r="N64" s="190">
        <v>0</v>
      </c>
      <c r="O64" s="190">
        <v>-700108779.20000005</v>
      </c>
      <c r="P64" s="190">
        <v>0</v>
      </c>
      <c r="Q64" s="190">
        <v>-1394725650.4400001</v>
      </c>
      <c r="R64" s="190">
        <v>0</v>
      </c>
      <c r="S64" s="190">
        <v>-686196948.36000001</v>
      </c>
      <c r="T64" s="190">
        <v>0</v>
      </c>
      <c r="U64" s="190">
        <v>-1347014151.79</v>
      </c>
      <c r="V64" s="190">
        <v>0</v>
      </c>
      <c r="W64" s="190">
        <v>-464716302.18000001</v>
      </c>
      <c r="X64" s="190">
        <v>0</v>
      </c>
      <c r="Y64" s="190">
        <v>-473740078.20999998</v>
      </c>
      <c r="Z64" s="190">
        <v>0</v>
      </c>
      <c r="AA64" s="190">
        <v>-258085249.94</v>
      </c>
      <c r="AB64" s="190">
        <v>0</v>
      </c>
      <c r="AC64" s="190">
        <v>-403995625.94</v>
      </c>
      <c r="AD64" s="190">
        <v>0</v>
      </c>
      <c r="AE64" s="190">
        <v>0</v>
      </c>
      <c r="AF64" s="190">
        <v>0</v>
      </c>
      <c r="AG64" s="190">
        <v>-257639402.69999999</v>
      </c>
      <c r="AH64" s="190">
        <v>0</v>
      </c>
      <c r="AI64" s="190">
        <v>0</v>
      </c>
      <c r="AJ64" s="190">
        <v>0</v>
      </c>
      <c r="AK64" s="190">
        <v>-128152071.05</v>
      </c>
      <c r="AL64" s="190">
        <v>0</v>
      </c>
      <c r="AM64" s="190">
        <v>0</v>
      </c>
      <c r="AN64" s="190">
        <v>0</v>
      </c>
      <c r="AO64" s="190">
        <v>-29217875.510000002</v>
      </c>
      <c r="AP64" s="190">
        <v>0</v>
      </c>
      <c r="AQ64" s="190">
        <v>0</v>
      </c>
      <c r="AR64" s="190">
        <v>0</v>
      </c>
      <c r="AS64" s="190">
        <v>-17926229.84</v>
      </c>
      <c r="AT64" s="190">
        <v>0</v>
      </c>
      <c r="AU64" s="190">
        <v>0</v>
      </c>
      <c r="AV64" s="190">
        <v>0</v>
      </c>
      <c r="AW64" s="190">
        <v>-166090552.46000001</v>
      </c>
      <c r="AX64" s="190">
        <v>-70887838.859999999</v>
      </c>
      <c r="AY64" s="190">
        <v>0</v>
      </c>
    </row>
    <row r="65" spans="1:51" x14ac:dyDescent="0.25">
      <c r="A65" s="190" t="s">
        <v>278</v>
      </c>
      <c r="B65" s="190">
        <v>0</v>
      </c>
      <c r="C65" s="190">
        <v>-373885541.42000002</v>
      </c>
      <c r="D65" s="190">
        <v>0</v>
      </c>
      <c r="E65" s="190">
        <v>2668345576.9699998</v>
      </c>
      <c r="F65" s="190">
        <v>0</v>
      </c>
      <c r="G65" s="190">
        <v>-399989009.01999998</v>
      </c>
      <c r="H65" s="190">
        <v>0</v>
      </c>
      <c r="I65" s="190">
        <v>1304156224.3199999</v>
      </c>
      <c r="J65" s="190">
        <v>0</v>
      </c>
      <c r="K65" s="190">
        <v>-642515397.40999997</v>
      </c>
      <c r="L65" s="190">
        <v>0</v>
      </c>
      <c r="M65" s="190">
        <v>1862052036.3800001</v>
      </c>
      <c r="N65" s="190">
        <v>0</v>
      </c>
      <c r="O65" s="190">
        <v>131584459.61</v>
      </c>
      <c r="P65" s="190">
        <v>0</v>
      </c>
      <c r="Q65" s="190">
        <v>379706154.11000001</v>
      </c>
      <c r="R65" s="190">
        <v>0</v>
      </c>
      <c r="S65" s="190">
        <v>-454108872.98000002</v>
      </c>
      <c r="T65" s="190">
        <v>0</v>
      </c>
      <c r="U65" s="190">
        <v>780768382.42999995</v>
      </c>
      <c r="V65" s="190">
        <v>0</v>
      </c>
      <c r="W65" s="190">
        <v>13032809.609999999</v>
      </c>
      <c r="X65" s="190">
        <v>0</v>
      </c>
      <c r="Y65" s="190">
        <v>300440204.31</v>
      </c>
      <c r="Z65" s="190">
        <v>0</v>
      </c>
      <c r="AA65" s="190">
        <v>23027574.73</v>
      </c>
      <c r="AB65" s="190">
        <v>0</v>
      </c>
      <c r="AC65" s="190">
        <v>253961827.69</v>
      </c>
      <c r="AD65" s="190">
        <v>0</v>
      </c>
      <c r="AE65" s="190">
        <v>0</v>
      </c>
      <c r="AF65" s="190">
        <v>0</v>
      </c>
      <c r="AG65" s="190">
        <v>205580163.41999999</v>
      </c>
      <c r="AH65" s="190">
        <v>0</v>
      </c>
      <c r="AI65" s="190">
        <v>0</v>
      </c>
      <c r="AJ65" s="190">
        <v>0</v>
      </c>
      <c r="AK65" s="190">
        <v>128603176.08</v>
      </c>
      <c r="AL65" s="190">
        <v>0</v>
      </c>
      <c r="AM65" s="190">
        <v>0</v>
      </c>
      <c r="AN65" s="190">
        <v>0</v>
      </c>
      <c r="AO65" s="190">
        <v>-29458484.91</v>
      </c>
      <c r="AP65" s="190">
        <v>0</v>
      </c>
      <c r="AQ65" s="190">
        <v>0</v>
      </c>
      <c r="AR65" s="190">
        <v>0</v>
      </c>
      <c r="AS65" s="190">
        <v>21677867.539999999</v>
      </c>
      <c r="AT65" s="190">
        <v>0</v>
      </c>
      <c r="AU65" s="190">
        <v>0</v>
      </c>
      <c r="AV65" s="190">
        <v>0</v>
      </c>
      <c r="AW65" s="190">
        <v>93166595.719999999</v>
      </c>
      <c r="AX65" s="190">
        <v>106170167.15000001</v>
      </c>
      <c r="AY65" s="190">
        <v>0</v>
      </c>
    </row>
    <row r="66" spans="1:5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row>
    <row r="67" spans="1:5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row>
    <row r="68" spans="1:51" x14ac:dyDescent="0.25">
      <c r="A68" s="190" t="s">
        <v>281</v>
      </c>
      <c r="B68" s="190">
        <v>0</v>
      </c>
      <c r="C68" s="190">
        <v>0</v>
      </c>
      <c r="D68" s="190">
        <v>0</v>
      </c>
      <c r="E68" s="190">
        <v>-1579995.52</v>
      </c>
      <c r="F68" s="190">
        <v>0</v>
      </c>
      <c r="G68" s="190">
        <v>417061.89</v>
      </c>
      <c r="H68" s="190">
        <v>0</v>
      </c>
      <c r="I68" s="190">
        <v>2668327.25</v>
      </c>
      <c r="J68" s="190">
        <v>0</v>
      </c>
      <c r="K68" s="190">
        <v>1242472.19</v>
      </c>
      <c r="L68" s="190">
        <v>0</v>
      </c>
      <c r="M68" s="190">
        <v>6252989.6600000001</v>
      </c>
      <c r="N68" s="190">
        <v>0</v>
      </c>
      <c r="O68" s="190">
        <v>3173807.7</v>
      </c>
      <c r="P68" s="190">
        <v>0</v>
      </c>
      <c r="Q68" s="190">
        <v>733702.49</v>
      </c>
      <c r="R68" s="190">
        <v>0</v>
      </c>
      <c r="S68" s="190">
        <v>1291792.6599999999</v>
      </c>
      <c r="T68" s="190">
        <v>0</v>
      </c>
      <c r="U68" s="190">
        <v>1048558.72</v>
      </c>
      <c r="V68" s="190">
        <v>0</v>
      </c>
      <c r="W68" s="190">
        <v>1048558.72</v>
      </c>
      <c r="X68" s="190">
        <v>0</v>
      </c>
      <c r="Y68" s="190">
        <v>6044732.4299999997</v>
      </c>
      <c r="Z68" s="190">
        <v>0</v>
      </c>
      <c r="AA68" s="190">
        <v>13357093.59</v>
      </c>
      <c r="AB68" s="190">
        <v>0</v>
      </c>
      <c r="AC68" s="190">
        <v>24537687.960000001</v>
      </c>
      <c r="AD68" s="190">
        <v>0</v>
      </c>
      <c r="AE68" s="190">
        <v>0</v>
      </c>
      <c r="AF68" s="190">
        <v>0</v>
      </c>
      <c r="AG68" s="190">
        <v>25298622.579999998</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row>
    <row r="69" spans="1:51" x14ac:dyDescent="0.25">
      <c r="A69" s="190" t="s">
        <v>282</v>
      </c>
      <c r="B69" s="190">
        <v>0</v>
      </c>
      <c r="C69" s="190">
        <v>-1096356837</v>
      </c>
      <c r="D69" s="190">
        <v>0</v>
      </c>
      <c r="E69" s="190">
        <v>914231360.00999999</v>
      </c>
      <c r="F69" s="190">
        <v>0</v>
      </c>
      <c r="G69" s="190">
        <v>-921403890.23000002</v>
      </c>
      <c r="H69" s="190">
        <v>0</v>
      </c>
      <c r="I69" s="190">
        <v>470737105.33999997</v>
      </c>
      <c r="J69" s="190">
        <v>0</v>
      </c>
      <c r="K69" s="190">
        <v>-665740138.48000002</v>
      </c>
      <c r="L69" s="190">
        <v>0</v>
      </c>
      <c r="M69" s="190">
        <v>200763824.86000001</v>
      </c>
      <c r="N69" s="190">
        <v>0</v>
      </c>
      <c r="O69" s="190">
        <v>-557635269.36000001</v>
      </c>
      <c r="P69" s="190">
        <v>0</v>
      </c>
      <c r="Q69" s="190">
        <v>-17080921.460000001</v>
      </c>
      <c r="R69" s="190">
        <v>0</v>
      </c>
      <c r="S69" s="190">
        <v>-940748926.60000002</v>
      </c>
      <c r="T69" s="190">
        <v>0</v>
      </c>
      <c r="U69" s="190">
        <v>356475220.70999998</v>
      </c>
      <c r="V69" s="190">
        <v>0</v>
      </c>
      <c r="W69" s="190">
        <v>-78943868.540000007</v>
      </c>
      <c r="X69" s="190">
        <v>0</v>
      </c>
      <c r="Y69" s="190">
        <v>481913096.22000003</v>
      </c>
      <c r="Z69" s="190">
        <v>0</v>
      </c>
      <c r="AA69" s="190">
        <v>-144914052.08000001</v>
      </c>
      <c r="AB69" s="190">
        <v>0</v>
      </c>
      <c r="AC69" s="190">
        <v>74219234.049999997</v>
      </c>
      <c r="AD69" s="190">
        <v>0</v>
      </c>
      <c r="AE69" s="190">
        <v>0</v>
      </c>
      <c r="AF69" s="190">
        <v>0</v>
      </c>
      <c r="AG69" s="190">
        <v>123564361.27</v>
      </c>
      <c r="AH69" s="190">
        <v>0</v>
      </c>
      <c r="AI69" s="190">
        <v>0</v>
      </c>
      <c r="AJ69" s="190">
        <v>0</v>
      </c>
      <c r="AK69" s="190">
        <v>46401832.159999996</v>
      </c>
      <c r="AL69" s="190">
        <v>0</v>
      </c>
      <c r="AM69" s="190">
        <v>0</v>
      </c>
      <c r="AN69" s="190">
        <v>0</v>
      </c>
      <c r="AO69" s="190">
        <v>2666718.48</v>
      </c>
      <c r="AP69" s="190">
        <v>0</v>
      </c>
      <c r="AQ69" s="190">
        <v>0</v>
      </c>
      <c r="AR69" s="190">
        <v>0</v>
      </c>
      <c r="AS69" s="190">
        <v>67798720.739999995</v>
      </c>
      <c r="AT69" s="190">
        <v>0</v>
      </c>
      <c r="AU69" s="190">
        <v>0</v>
      </c>
      <c r="AV69" s="190">
        <v>0</v>
      </c>
      <c r="AW69" s="190">
        <v>-29220660.190000001</v>
      </c>
      <c r="AX69" s="190">
        <v>23617279.260000002</v>
      </c>
      <c r="AY69" s="190">
        <v>0</v>
      </c>
    </row>
    <row r="70" spans="1:5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row>
    <row r="71" spans="1:5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row>
    <row r="72" spans="1:5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row>
    <row r="73" spans="1:51" x14ac:dyDescent="0.25">
      <c r="A73" s="190" t="s">
        <v>286</v>
      </c>
      <c r="B73" s="190">
        <v>0</v>
      </c>
      <c r="C73" s="190">
        <v>1865055276.6300001</v>
      </c>
      <c r="D73" s="190">
        <v>0</v>
      </c>
      <c r="E73" s="190">
        <v>3061375534.0599999</v>
      </c>
      <c r="F73" s="190">
        <v>0</v>
      </c>
      <c r="G73" s="190">
        <v>1569147395.0999999</v>
      </c>
      <c r="H73" s="190">
        <v>0</v>
      </c>
      <c r="I73" s="190">
        <v>2075176785.5599999</v>
      </c>
      <c r="J73" s="190">
        <v>0</v>
      </c>
      <c r="K73" s="190">
        <v>1172654965.29</v>
      </c>
      <c r="L73" s="190">
        <v>0</v>
      </c>
      <c r="M73" s="190">
        <v>1701492826.0799999</v>
      </c>
      <c r="N73" s="190">
        <v>0</v>
      </c>
      <c r="O73" s="190">
        <v>891981635.26999998</v>
      </c>
      <c r="P73" s="190">
        <v>0</v>
      </c>
      <c r="Q73" s="190">
        <v>1262735235.96</v>
      </c>
      <c r="R73" s="190">
        <v>0</v>
      </c>
      <c r="S73" s="190">
        <v>1114999396.46</v>
      </c>
      <c r="T73" s="190">
        <v>0</v>
      </c>
      <c r="U73" s="190">
        <v>1768223598</v>
      </c>
      <c r="V73" s="190">
        <v>0</v>
      </c>
      <c r="W73" s="190">
        <v>1393366558.6900001</v>
      </c>
      <c r="X73" s="190">
        <v>0</v>
      </c>
      <c r="Y73" s="190">
        <v>670900282.15999997</v>
      </c>
      <c r="Z73" s="190">
        <v>0</v>
      </c>
      <c r="AA73" s="190">
        <v>171807247.06</v>
      </c>
      <c r="AB73" s="190">
        <v>0</v>
      </c>
      <c r="AC73" s="190">
        <v>453060120.22000003</v>
      </c>
      <c r="AD73" s="190">
        <v>0</v>
      </c>
      <c r="AE73" s="190">
        <v>0</v>
      </c>
      <c r="AF73" s="190">
        <v>448926643.94999999</v>
      </c>
      <c r="AG73" s="190">
        <v>560078399.78999996</v>
      </c>
      <c r="AH73" s="190">
        <v>552616299.77999997</v>
      </c>
      <c r="AI73" s="190">
        <v>465145026.04000002</v>
      </c>
      <c r="AJ73" s="190">
        <v>477574287.62</v>
      </c>
      <c r="AK73" s="190">
        <v>423505192.86000001</v>
      </c>
      <c r="AL73" s="190">
        <v>418089110.00999999</v>
      </c>
      <c r="AM73" s="190">
        <v>403553424.70999998</v>
      </c>
      <c r="AN73" s="190">
        <v>390177168.31</v>
      </c>
      <c r="AO73" s="190">
        <v>409420467.81</v>
      </c>
      <c r="AP73" s="190">
        <v>371637992.38</v>
      </c>
      <c r="AQ73" s="190">
        <v>407778367.36000001</v>
      </c>
      <c r="AR73" s="190">
        <v>49633403.07</v>
      </c>
      <c r="AS73" s="190">
        <v>88491495.680000007</v>
      </c>
      <c r="AT73" s="190">
        <v>45541949.049999997</v>
      </c>
      <c r="AU73" s="190">
        <v>71070271.109999999</v>
      </c>
      <c r="AV73" s="190">
        <v>26194699.809999999</v>
      </c>
      <c r="AW73" s="190">
        <v>28930691.68</v>
      </c>
      <c r="AX73" s="190">
        <v>68113502.120000005</v>
      </c>
      <c r="AY73" s="190">
        <v>0</v>
      </c>
    </row>
    <row r="74" spans="1:51" x14ac:dyDescent="0.25">
      <c r="A74" s="190" t="s">
        <v>287</v>
      </c>
      <c r="B74" s="190">
        <v>0</v>
      </c>
      <c r="C74" s="190">
        <v>3061375534.0599999</v>
      </c>
      <c r="D74" s="190">
        <v>0</v>
      </c>
      <c r="E74" s="190">
        <v>2075176785.5599999</v>
      </c>
      <c r="F74" s="190">
        <v>0</v>
      </c>
      <c r="G74" s="190">
        <v>2075176785.5599999</v>
      </c>
      <c r="H74" s="190">
        <v>0</v>
      </c>
      <c r="I74" s="190">
        <v>1701492826.0799999</v>
      </c>
      <c r="J74" s="190">
        <v>0</v>
      </c>
      <c r="K74" s="190">
        <v>1701492826.0799999</v>
      </c>
      <c r="L74" s="190">
        <v>0</v>
      </c>
      <c r="M74" s="190">
        <v>1262735235.96</v>
      </c>
      <c r="N74" s="190">
        <v>0</v>
      </c>
      <c r="O74" s="190">
        <v>1262735235.96</v>
      </c>
      <c r="P74" s="190">
        <v>0</v>
      </c>
      <c r="Q74" s="190">
        <v>1768223598</v>
      </c>
      <c r="R74" s="190">
        <v>0</v>
      </c>
      <c r="S74" s="190">
        <v>1768223598</v>
      </c>
      <c r="T74" s="190">
        <v>0</v>
      </c>
      <c r="U74" s="190">
        <v>670900282.15999997</v>
      </c>
      <c r="V74" s="190">
        <v>0</v>
      </c>
      <c r="W74" s="190">
        <v>670900282.15999997</v>
      </c>
      <c r="X74" s="190">
        <v>0</v>
      </c>
      <c r="Y74" s="190">
        <v>453060120.22000003</v>
      </c>
      <c r="Z74" s="190">
        <v>0</v>
      </c>
      <c r="AA74" s="190">
        <v>453060120.22000003</v>
      </c>
      <c r="AB74" s="190">
        <v>0</v>
      </c>
      <c r="AC74" s="190">
        <v>560078399.78999996</v>
      </c>
      <c r="AD74" s="190">
        <v>0</v>
      </c>
      <c r="AE74" s="190">
        <v>0</v>
      </c>
      <c r="AF74" s="190">
        <v>560078399.78999996</v>
      </c>
      <c r="AG74" s="190">
        <v>423505192.86000001</v>
      </c>
      <c r="AH74" s="190">
        <v>479424272.18000001</v>
      </c>
      <c r="AI74" s="190">
        <v>479424272.18000001</v>
      </c>
      <c r="AJ74" s="190">
        <v>479424272.18000001</v>
      </c>
      <c r="AK74" s="190">
        <v>409420467.81</v>
      </c>
      <c r="AL74" s="190">
        <v>414458908.91000003</v>
      </c>
      <c r="AM74" s="190">
        <v>414458908.91000003</v>
      </c>
      <c r="AN74" s="190">
        <v>414458908.91000003</v>
      </c>
      <c r="AO74" s="190">
        <v>95293897.700000003</v>
      </c>
      <c r="AP74" s="190">
        <v>88491495.680000007</v>
      </c>
      <c r="AQ74" s="190">
        <v>88491495.680000007</v>
      </c>
      <c r="AR74" s="190">
        <v>88491495.680000007</v>
      </c>
      <c r="AS74" s="190">
        <v>28930691.68</v>
      </c>
      <c r="AT74" s="190">
        <v>28562368.850000001</v>
      </c>
      <c r="AU74" s="190">
        <v>28930691.68</v>
      </c>
      <c r="AV74" s="190">
        <v>28862489.109999999</v>
      </c>
      <c r="AW74" s="190">
        <v>68113502.120000005</v>
      </c>
      <c r="AX74" s="190">
        <v>16997161.989999998</v>
      </c>
      <c r="AY74" s="190">
        <v>0</v>
      </c>
    </row>
    <row r="75" spans="1:51" x14ac:dyDescent="0.25">
      <c r="A75" s="190" t="s">
        <v>288</v>
      </c>
      <c r="B75" s="190">
        <v>0</v>
      </c>
      <c r="C75" s="190">
        <v>0</v>
      </c>
      <c r="D75" s="190">
        <v>0</v>
      </c>
      <c r="E75" s="190">
        <v>1303459.82</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row>
    <row r="76" spans="1:51" x14ac:dyDescent="0.25">
      <c r="A76" s="190" t="s">
        <v>289</v>
      </c>
      <c r="B76" s="190">
        <v>0</v>
      </c>
      <c r="C76" s="190">
        <v>1303459.82</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row>
    <row r="77" spans="1:51" x14ac:dyDescent="0.25">
      <c r="A77" s="190" t="s">
        <v>290</v>
      </c>
      <c r="B77" s="190">
        <v>0</v>
      </c>
      <c r="C77" s="190">
        <v>-1197623717.25</v>
      </c>
      <c r="D77" s="190">
        <v>0</v>
      </c>
      <c r="E77" s="190">
        <v>987502208.32000005</v>
      </c>
      <c r="F77" s="190">
        <v>0</v>
      </c>
      <c r="G77" s="190">
        <v>-506029390.45999998</v>
      </c>
      <c r="H77" s="190">
        <v>0</v>
      </c>
      <c r="I77" s="190">
        <v>373683959.48000002</v>
      </c>
      <c r="J77" s="190">
        <v>0</v>
      </c>
      <c r="K77" s="190">
        <v>-528837860.79000002</v>
      </c>
      <c r="L77" s="190">
        <v>0</v>
      </c>
      <c r="M77" s="190">
        <v>438757590.12</v>
      </c>
      <c r="N77" s="190">
        <v>0</v>
      </c>
      <c r="O77" s="190">
        <v>-370753600.69</v>
      </c>
      <c r="P77" s="190">
        <v>0</v>
      </c>
      <c r="Q77" s="190">
        <v>-505488362.04000002</v>
      </c>
      <c r="R77" s="190">
        <v>0</v>
      </c>
      <c r="S77" s="190">
        <v>-653224201.53999996</v>
      </c>
      <c r="T77" s="190">
        <v>0</v>
      </c>
      <c r="U77" s="190">
        <v>1097323315.8399999</v>
      </c>
      <c r="V77" s="190">
        <v>0</v>
      </c>
      <c r="W77" s="190">
        <v>722466276.52999997</v>
      </c>
      <c r="X77" s="190">
        <v>0</v>
      </c>
      <c r="Y77" s="190">
        <v>217840161.94</v>
      </c>
      <c r="Z77" s="190">
        <v>0</v>
      </c>
      <c r="AA77" s="190">
        <v>-281252873.16000003</v>
      </c>
      <c r="AB77" s="190">
        <v>0</v>
      </c>
      <c r="AC77" s="190">
        <v>-107018279.56999999</v>
      </c>
      <c r="AD77" s="190">
        <v>0</v>
      </c>
      <c r="AE77" s="190">
        <v>0</v>
      </c>
      <c r="AF77" s="190">
        <v>-111151755.84</v>
      </c>
      <c r="AG77" s="190">
        <v>136573206.93000001</v>
      </c>
      <c r="AH77" s="190">
        <v>73192027.599999994</v>
      </c>
      <c r="AI77" s="190">
        <v>-14279246.140000001</v>
      </c>
      <c r="AJ77" s="190">
        <v>-1849984.56</v>
      </c>
      <c r="AK77" s="190">
        <v>14084725.050000001</v>
      </c>
      <c r="AL77" s="190">
        <v>3630201.1</v>
      </c>
      <c r="AM77" s="190">
        <v>-10905484.199999999</v>
      </c>
      <c r="AN77" s="190">
        <v>-24281740.600000001</v>
      </c>
      <c r="AO77" s="190">
        <v>314126570.11000001</v>
      </c>
      <c r="AP77" s="190">
        <v>283146496.69999999</v>
      </c>
      <c r="AQ77" s="190">
        <v>319286871.68000001</v>
      </c>
      <c r="AR77" s="190">
        <v>-38858092.609999999</v>
      </c>
      <c r="AS77" s="190">
        <v>59560804</v>
      </c>
      <c r="AT77" s="190">
        <v>16979580.199999999</v>
      </c>
      <c r="AU77" s="190">
        <v>42139579.43</v>
      </c>
      <c r="AV77" s="190">
        <v>-2667789.2999999998</v>
      </c>
      <c r="AW77" s="190">
        <v>-39182810.439999998</v>
      </c>
      <c r="AX77" s="190">
        <v>51116340.130000003</v>
      </c>
      <c r="AY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7.77734375" hidden="1" customWidth="1"/>
    <col min="40" max="40" width="17.21875" hidden="1" customWidth="1"/>
    <col min="41" max="41" width="17.21875" bestFit="1" customWidth="1"/>
    <col min="42" max="44" width="17.21875" hidden="1" customWidth="1"/>
    <col min="45" max="47" width="17.77734375" bestFit="1" customWidth="1"/>
    <col min="48" max="48" width="16.109375" hidden="1" customWidth="1"/>
    <col min="4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1950080565.3199999</v>
      </c>
      <c r="C4" s="190">
        <v>2382180540.73</v>
      </c>
      <c r="D4" s="190">
        <v>2671405191.6799998</v>
      </c>
      <c r="E4" s="190">
        <v>3612937164.1399999</v>
      </c>
      <c r="F4" s="190">
        <v>2536885532.5500002</v>
      </c>
      <c r="G4" s="190">
        <v>2331153358.9099998</v>
      </c>
      <c r="H4" s="190">
        <v>1967394678.29</v>
      </c>
      <c r="I4" s="190">
        <v>2758794780.21</v>
      </c>
      <c r="J4" s="190">
        <v>1580924856.3199999</v>
      </c>
      <c r="K4" s="190">
        <v>1781353970.6900001</v>
      </c>
      <c r="L4" s="190">
        <v>1950363784.03</v>
      </c>
      <c r="M4" s="190">
        <v>1755784045.5</v>
      </c>
      <c r="N4" s="190">
        <v>925113107.87</v>
      </c>
      <c r="O4" s="190">
        <v>1061070248.9299999</v>
      </c>
      <c r="P4" s="190">
        <v>1030275767.27</v>
      </c>
      <c r="Q4" s="190">
        <v>1320731577.53</v>
      </c>
      <c r="R4" s="190">
        <v>1075270281.0899999</v>
      </c>
      <c r="S4" s="190">
        <v>1272267441.1800001</v>
      </c>
      <c r="T4" s="190">
        <v>1647380325.6900001</v>
      </c>
      <c r="U4" s="190">
        <v>1818588875.24</v>
      </c>
      <c r="V4" s="190">
        <v>1479881759.1300001</v>
      </c>
      <c r="W4" s="190">
        <v>1510368652.4100001</v>
      </c>
      <c r="X4" s="190">
        <v>642547430.98000002</v>
      </c>
      <c r="Y4" s="190">
        <v>909483080.76999998</v>
      </c>
      <c r="Z4" s="190">
        <v>538161889.29999995</v>
      </c>
      <c r="AA4" s="190">
        <v>376599945.04000002</v>
      </c>
      <c r="AB4" s="190">
        <v>253632371.88999999</v>
      </c>
      <c r="AC4" s="190">
        <v>502558435.16000003</v>
      </c>
      <c r="AD4" s="190">
        <v>334089133.51999998</v>
      </c>
      <c r="AE4" s="190">
        <v>465965457.60000002</v>
      </c>
      <c r="AF4" s="190">
        <v>600804136.77999997</v>
      </c>
      <c r="AG4" s="190">
        <v>720230491.82000005</v>
      </c>
      <c r="AH4" s="190">
        <v>552616299.77999997</v>
      </c>
      <c r="AI4" s="190">
        <v>465145026.04000002</v>
      </c>
      <c r="AJ4" s="190">
        <v>477574287.62</v>
      </c>
      <c r="AK4" s="190">
        <v>479424272.18000001</v>
      </c>
      <c r="AL4" s="190">
        <v>418089110.00999999</v>
      </c>
      <c r="AM4" s="190">
        <v>403553424.70999998</v>
      </c>
      <c r="AN4" s="190">
        <v>390177168.31</v>
      </c>
      <c r="AO4" s="190">
        <v>414458908.91000003</v>
      </c>
      <c r="AP4" s="190">
        <v>371637992.38</v>
      </c>
      <c r="AQ4" s="190">
        <v>407778367.36000001</v>
      </c>
      <c r="AR4" s="190">
        <v>49633403.07</v>
      </c>
      <c r="AS4" s="190">
        <v>88491495.680000007</v>
      </c>
      <c r="AT4" s="190">
        <v>28930691.68</v>
      </c>
      <c r="AU4" s="190">
        <v>68113502.120000005</v>
      </c>
      <c r="AV4" s="190">
        <v>0</v>
      </c>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2692200</v>
      </c>
      <c r="E5" s="190">
        <v>0</v>
      </c>
      <c r="F5" s="190">
        <v>0</v>
      </c>
      <c r="G5" s="190">
        <v>0</v>
      </c>
      <c r="H5" s="190">
        <v>55635.96</v>
      </c>
      <c r="I5" s="190">
        <v>0</v>
      </c>
      <c r="J5" s="190">
        <v>0</v>
      </c>
      <c r="K5" s="190">
        <v>0</v>
      </c>
      <c r="L5" s="190">
        <v>0</v>
      </c>
      <c r="M5" s="190">
        <v>0</v>
      </c>
      <c r="N5" s="190">
        <v>257954</v>
      </c>
      <c r="O5" s="190">
        <v>2495121.6</v>
      </c>
      <c r="P5" s="190">
        <v>583548.62</v>
      </c>
      <c r="Q5" s="190">
        <v>2376959.65</v>
      </c>
      <c r="R5" s="190">
        <v>1228901.68</v>
      </c>
      <c r="S5" s="190">
        <v>1548306.8</v>
      </c>
      <c r="T5" s="190">
        <v>1633771.48</v>
      </c>
      <c r="U5" s="190">
        <v>1482476.44</v>
      </c>
      <c r="V5" s="190">
        <v>481244.22</v>
      </c>
      <c r="W5" s="190">
        <v>0</v>
      </c>
      <c r="X5" s="190">
        <v>0</v>
      </c>
      <c r="Y5" s="190">
        <v>0</v>
      </c>
      <c r="Z5" s="190">
        <v>0</v>
      </c>
      <c r="AA5" s="190">
        <v>3168656.39</v>
      </c>
      <c r="AB5" s="190">
        <v>0</v>
      </c>
      <c r="AC5" s="190">
        <v>0</v>
      </c>
      <c r="AD5" s="190">
        <v>0</v>
      </c>
      <c r="AE5" s="190">
        <v>0</v>
      </c>
      <c r="AF5" s="190">
        <v>0</v>
      </c>
      <c r="AG5" s="190">
        <v>271728.21000000002</v>
      </c>
      <c r="AH5" s="190">
        <v>0</v>
      </c>
      <c r="AI5" s="190">
        <v>0</v>
      </c>
      <c r="AJ5" s="190">
        <v>0</v>
      </c>
      <c r="AK5" s="190">
        <v>0</v>
      </c>
      <c r="AL5" s="190">
        <v>32550</v>
      </c>
      <c r="AM5" s="190">
        <v>32550</v>
      </c>
      <c r="AN5" s="190">
        <v>32550</v>
      </c>
      <c r="AO5" s="190">
        <v>32550</v>
      </c>
      <c r="AP5" s="190">
        <v>0</v>
      </c>
      <c r="AQ5" s="190">
        <v>0</v>
      </c>
      <c r="AR5" s="190">
        <v>0</v>
      </c>
      <c r="AS5" s="190">
        <v>0</v>
      </c>
      <c r="AT5" s="190">
        <v>0</v>
      </c>
      <c r="AU5" s="190">
        <v>0</v>
      </c>
      <c r="AV5" s="190">
        <v>0</v>
      </c>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82970227</v>
      </c>
      <c r="C8" s="190">
        <v>77970227</v>
      </c>
      <c r="D8" s="190">
        <v>77970227</v>
      </c>
      <c r="E8" s="190">
        <v>77970227</v>
      </c>
      <c r="F8" s="190">
        <v>92970227</v>
      </c>
      <c r="G8" s="190">
        <v>92970227</v>
      </c>
      <c r="H8" s="190">
        <v>90496000</v>
      </c>
      <c r="I8" s="190">
        <v>90496000</v>
      </c>
      <c r="J8" s="190">
        <v>73000000</v>
      </c>
      <c r="K8" s="190">
        <v>73000000</v>
      </c>
      <c r="L8" s="190">
        <v>70000000</v>
      </c>
      <c r="M8" s="190">
        <v>65000000</v>
      </c>
      <c r="N8" s="190">
        <v>57000000</v>
      </c>
      <c r="O8" s="190">
        <v>54000000</v>
      </c>
      <c r="P8" s="190">
        <v>54000000</v>
      </c>
      <c r="Q8" s="190">
        <v>54000000</v>
      </c>
      <c r="R8" s="190">
        <v>50000000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300000</v>
      </c>
      <c r="AU9" s="190">
        <v>0</v>
      </c>
      <c r="AV9" s="190">
        <v>0</v>
      </c>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186682164.13</v>
      </c>
      <c r="C10" s="190">
        <v>176630008.83000001</v>
      </c>
      <c r="D10" s="190">
        <v>178840075.56</v>
      </c>
      <c r="E10" s="190">
        <v>181050142.28999999</v>
      </c>
      <c r="F10" s="190">
        <v>182308712.22</v>
      </c>
      <c r="G10" s="190">
        <v>184507034.61000001</v>
      </c>
      <c r="H10" s="190">
        <v>168892088.62</v>
      </c>
      <c r="I10" s="190">
        <v>170876329.56999999</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8229227.29</v>
      </c>
      <c r="D13" s="190">
        <v>9377960.4499999993</v>
      </c>
      <c r="E13" s="190">
        <v>9219422.6099999994</v>
      </c>
      <c r="F13" s="190">
        <v>16380200.33</v>
      </c>
      <c r="G13" s="190">
        <v>11282962.720000001</v>
      </c>
      <c r="H13" s="190">
        <v>8507518.5199999996</v>
      </c>
      <c r="I13" s="190">
        <v>17077965.32</v>
      </c>
      <c r="J13" s="190">
        <v>19575285.57</v>
      </c>
      <c r="K13" s="190">
        <v>17168925.579999998</v>
      </c>
      <c r="L13" s="190">
        <v>13469594.029999999</v>
      </c>
      <c r="M13" s="190">
        <v>5829112.6100000003</v>
      </c>
      <c r="N13" s="190">
        <v>4097384.47</v>
      </c>
      <c r="O13" s="190">
        <v>3090314.86</v>
      </c>
      <c r="P13" s="190">
        <v>6192203.3399999999</v>
      </c>
      <c r="Q13" s="190">
        <v>4260711.53</v>
      </c>
      <c r="R13" s="190">
        <v>4518351.34</v>
      </c>
      <c r="S13" s="190">
        <v>8231673.7800000003</v>
      </c>
      <c r="T13" s="190">
        <v>22042366.190000001</v>
      </c>
      <c r="U13" s="190">
        <v>16151346.49</v>
      </c>
      <c r="V13" s="190">
        <v>9234107.4499999993</v>
      </c>
      <c r="W13" s="190">
        <v>3607620.63</v>
      </c>
      <c r="X13" s="190">
        <v>8863212.1199999992</v>
      </c>
      <c r="Y13" s="190">
        <v>8556700.6199999992</v>
      </c>
      <c r="Z13" s="190">
        <v>6579600.8499999996</v>
      </c>
      <c r="AA13" s="190">
        <v>3060527.8</v>
      </c>
      <c r="AB13" s="190">
        <v>1608327.67</v>
      </c>
      <c r="AC13" s="190">
        <v>1289069.07</v>
      </c>
      <c r="AD13" s="190">
        <v>2505520.4900000002</v>
      </c>
      <c r="AE13" s="190">
        <v>4681967.5199999996</v>
      </c>
      <c r="AF13" s="190">
        <v>4074141.59</v>
      </c>
      <c r="AG13" s="190">
        <v>2995044.24</v>
      </c>
      <c r="AH13" s="190">
        <v>925917.69</v>
      </c>
      <c r="AI13" s="190">
        <v>1714575.61</v>
      </c>
      <c r="AJ13" s="190">
        <v>3064030.96</v>
      </c>
      <c r="AK13" s="190">
        <v>3837444.25</v>
      </c>
      <c r="AL13" s="190">
        <v>8275030.6100000003</v>
      </c>
      <c r="AM13" s="190">
        <v>8397970.3599999994</v>
      </c>
      <c r="AN13" s="190">
        <v>6229864.7699999996</v>
      </c>
      <c r="AO13" s="190">
        <v>4968504.5999999996</v>
      </c>
      <c r="AP13" s="190">
        <v>0</v>
      </c>
      <c r="AQ13" s="190">
        <v>0</v>
      </c>
      <c r="AR13" s="190">
        <v>0</v>
      </c>
      <c r="AS13" s="190">
        <v>0</v>
      </c>
      <c r="AT13" s="190">
        <v>0</v>
      </c>
      <c r="AU13" s="190">
        <v>0</v>
      </c>
      <c r="AV13" s="190">
        <v>0</v>
      </c>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2219732956.4499998</v>
      </c>
      <c r="C17" s="33">
        <f t="shared" ref="C17:BN17" si="0">SUM(C4:C13)</f>
        <v>2645010003.8499999</v>
      </c>
      <c r="D17" s="33">
        <f t="shared" si="0"/>
        <v>2940285654.6899996</v>
      </c>
      <c r="E17" s="33">
        <f t="shared" si="0"/>
        <v>3881176956.04</v>
      </c>
      <c r="F17" s="33">
        <f t="shared" si="0"/>
        <v>2828544672.0999999</v>
      </c>
      <c r="G17" s="33">
        <f t="shared" si="0"/>
        <v>2619913583.2399998</v>
      </c>
      <c r="H17" s="33">
        <f t="shared" si="0"/>
        <v>2235345921.3899999</v>
      </c>
      <c r="I17" s="33">
        <f t="shared" si="0"/>
        <v>3037245075.1000004</v>
      </c>
      <c r="J17" s="33">
        <f t="shared" si="0"/>
        <v>1673500141.8899999</v>
      </c>
      <c r="K17" s="33">
        <f t="shared" si="0"/>
        <v>1871522896.27</v>
      </c>
      <c r="L17" s="33">
        <f t="shared" si="0"/>
        <v>2033833378.0599999</v>
      </c>
      <c r="M17" s="33">
        <f t="shared" si="0"/>
        <v>1826613158.1099999</v>
      </c>
      <c r="N17" s="33">
        <f t="shared" si="0"/>
        <v>986468446.34000003</v>
      </c>
      <c r="O17" s="33">
        <f t="shared" si="0"/>
        <v>1120655685.3899999</v>
      </c>
      <c r="P17" s="33">
        <f t="shared" si="0"/>
        <v>1091051519.2299998</v>
      </c>
      <c r="Q17" s="33">
        <f t="shared" si="0"/>
        <v>1381369248.71</v>
      </c>
      <c r="R17" s="33">
        <f t="shared" si="0"/>
        <v>1131017534.1099999</v>
      </c>
      <c r="S17" s="33">
        <f t="shared" si="0"/>
        <v>1282047421.76</v>
      </c>
      <c r="T17" s="33">
        <f t="shared" si="0"/>
        <v>1671056463.3600001</v>
      </c>
      <c r="U17" s="33">
        <f t="shared" si="0"/>
        <v>1836222698.1700001</v>
      </c>
      <c r="V17" s="33">
        <f t="shared" si="0"/>
        <v>1489597110.8000002</v>
      </c>
      <c r="W17" s="33">
        <f t="shared" si="0"/>
        <v>1513976273.0400002</v>
      </c>
      <c r="X17" s="33">
        <f t="shared" si="0"/>
        <v>651410643.10000002</v>
      </c>
      <c r="Y17" s="33">
        <f t="shared" si="0"/>
        <v>918039781.38999999</v>
      </c>
      <c r="Z17" s="33">
        <f t="shared" si="0"/>
        <v>544741490.14999998</v>
      </c>
      <c r="AA17" s="33">
        <f t="shared" si="0"/>
        <v>382829129.23000002</v>
      </c>
      <c r="AB17" s="33">
        <f t="shared" si="0"/>
        <v>255240699.55999997</v>
      </c>
      <c r="AC17" s="33">
        <f t="shared" si="0"/>
        <v>503847504.23000002</v>
      </c>
      <c r="AD17" s="33">
        <f t="shared" si="0"/>
        <v>336594654.00999999</v>
      </c>
      <c r="AE17" s="33">
        <f t="shared" si="0"/>
        <v>470647425.12</v>
      </c>
      <c r="AF17" s="33">
        <f t="shared" si="0"/>
        <v>604878278.37</v>
      </c>
      <c r="AG17" s="33">
        <f t="shared" si="0"/>
        <v>723497264.2700001</v>
      </c>
      <c r="AH17" s="33">
        <f t="shared" si="0"/>
        <v>553542217.47000003</v>
      </c>
      <c r="AI17" s="33">
        <f t="shared" si="0"/>
        <v>466859601.65000004</v>
      </c>
      <c r="AJ17" s="33">
        <f t="shared" si="0"/>
        <v>480638318.57999998</v>
      </c>
      <c r="AK17" s="33">
        <f t="shared" si="0"/>
        <v>483261716.43000001</v>
      </c>
      <c r="AL17" s="33">
        <f t="shared" si="0"/>
        <v>426396690.62</v>
      </c>
      <c r="AM17" s="33">
        <f t="shared" si="0"/>
        <v>411983945.06999999</v>
      </c>
      <c r="AN17" s="33">
        <f t="shared" si="0"/>
        <v>396439583.07999998</v>
      </c>
      <c r="AO17" s="33">
        <f t="shared" si="0"/>
        <v>419459963.51000005</v>
      </c>
      <c r="AP17" s="33">
        <f t="shared" si="0"/>
        <v>371637992.38</v>
      </c>
      <c r="AQ17" s="33">
        <f t="shared" si="0"/>
        <v>407778367.36000001</v>
      </c>
      <c r="AR17" s="33">
        <f t="shared" si="0"/>
        <v>49633403.07</v>
      </c>
      <c r="AS17" s="33">
        <f t="shared" si="0"/>
        <v>88491495.680000007</v>
      </c>
      <c r="AT17" s="33">
        <f t="shared" si="0"/>
        <v>29230691.68</v>
      </c>
      <c r="AU17" s="33">
        <f t="shared" si="0"/>
        <v>68113502.120000005</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20778210.52</v>
      </c>
      <c r="C19" s="190">
        <v>27418099.399999999</v>
      </c>
      <c r="D19" s="190">
        <v>50211232.82</v>
      </c>
      <c r="E19" s="190">
        <v>61272885.409999996</v>
      </c>
      <c r="F19" s="190">
        <v>68008814.140000001</v>
      </c>
      <c r="G19" s="190">
        <v>77630935.159999996</v>
      </c>
      <c r="H19" s="190">
        <v>65306685.609999999</v>
      </c>
      <c r="I19" s="190">
        <v>37128177.329999998</v>
      </c>
      <c r="J19" s="190">
        <v>55567186.75</v>
      </c>
      <c r="K19" s="190">
        <v>50392112.649999999</v>
      </c>
      <c r="L19" s="190">
        <v>35232592.009999998</v>
      </c>
      <c r="M19" s="190">
        <v>7201760.6299999999</v>
      </c>
      <c r="N19" s="190">
        <v>6839988.5700000003</v>
      </c>
      <c r="O19" s="190">
        <v>6313583.8099999996</v>
      </c>
      <c r="P19" s="190">
        <v>6188105.4100000001</v>
      </c>
      <c r="Q19" s="190">
        <v>6486744.9800000004</v>
      </c>
      <c r="R19" s="190">
        <v>6694266.0899999999</v>
      </c>
      <c r="S19" s="190">
        <v>56844598.68</v>
      </c>
      <c r="T19" s="190">
        <v>56992785.049999997</v>
      </c>
      <c r="U19" s="190">
        <v>27274290.449999999</v>
      </c>
      <c r="V19" s="190">
        <v>26847678.800000001</v>
      </c>
      <c r="W19" s="190">
        <v>27336349.18</v>
      </c>
      <c r="X19" s="190">
        <v>28082043.77</v>
      </c>
      <c r="Y19" s="190">
        <v>28520761.899999999</v>
      </c>
      <c r="Z19" s="190">
        <v>28723232.59</v>
      </c>
      <c r="AA19" s="190">
        <v>23624721.59</v>
      </c>
      <c r="AB19" s="190">
        <v>24095896.690000001</v>
      </c>
      <c r="AC19" s="190">
        <v>23631233.57</v>
      </c>
      <c r="AD19" s="190">
        <v>23346817.350000001</v>
      </c>
      <c r="AE19" s="190">
        <v>22746817.350000001</v>
      </c>
      <c r="AF19" s="190">
        <v>10796682.689999999</v>
      </c>
      <c r="AG19" s="190">
        <v>10396682.689999999</v>
      </c>
      <c r="AH19" s="190">
        <v>10400000</v>
      </c>
      <c r="AI19" s="190">
        <v>10400000</v>
      </c>
      <c r="AJ19" s="190">
        <v>10000000</v>
      </c>
      <c r="AK19" s="190">
        <v>10000000</v>
      </c>
      <c r="AL19" s="190">
        <v>0</v>
      </c>
      <c r="AM19" s="190">
        <v>0</v>
      </c>
      <c r="AN19" s="190">
        <v>0</v>
      </c>
      <c r="AO19" s="190">
        <v>0</v>
      </c>
      <c r="AP19" s="190">
        <v>0</v>
      </c>
      <c r="AQ19" s="190">
        <v>0</v>
      </c>
      <c r="AR19" s="190">
        <v>0</v>
      </c>
      <c r="AS19" s="190">
        <v>0</v>
      </c>
      <c r="AT19" s="190">
        <v>0</v>
      </c>
      <c r="AU19" s="190">
        <v>0</v>
      </c>
      <c r="AV19" s="190">
        <v>0</v>
      </c>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2158210607</v>
      </c>
      <c r="C22" s="190">
        <v>1785576387.9000001</v>
      </c>
      <c r="D22" s="190">
        <v>2026569160.78</v>
      </c>
      <c r="E22" s="190">
        <v>2431296170.5799999</v>
      </c>
      <c r="F22" s="190">
        <v>1799307519.8499999</v>
      </c>
      <c r="G22" s="190">
        <v>1214481784.1400001</v>
      </c>
      <c r="H22" s="190">
        <v>998970174.95000005</v>
      </c>
      <c r="I22" s="190">
        <v>1148207671.6300001</v>
      </c>
      <c r="J22" s="190">
        <v>629360138.20000005</v>
      </c>
      <c r="K22" s="190">
        <v>521468273.37</v>
      </c>
      <c r="L22" s="190">
        <v>567490902.41999996</v>
      </c>
      <c r="M22" s="190">
        <v>1094735776.7</v>
      </c>
      <c r="N22" s="190">
        <v>575136949.30999994</v>
      </c>
      <c r="O22" s="190">
        <v>542440037.72000003</v>
      </c>
      <c r="P22" s="190">
        <v>510881382.27999997</v>
      </c>
      <c r="Q22" s="190">
        <v>429124453.88</v>
      </c>
      <c r="R22" s="190">
        <v>107385319.12</v>
      </c>
      <c r="S22" s="190">
        <v>109967759.02</v>
      </c>
      <c r="T22" s="190">
        <v>41380276.219999999</v>
      </c>
      <c r="U22" s="190">
        <v>133133703.8</v>
      </c>
      <c r="V22" s="190">
        <v>43888723.090000004</v>
      </c>
      <c r="W22" s="190">
        <v>70949791.719999999</v>
      </c>
      <c r="X22" s="190">
        <v>32641257.899999999</v>
      </c>
      <c r="Y22" s="190">
        <v>64722831.07</v>
      </c>
      <c r="Z22" s="190">
        <v>47102668.100000001</v>
      </c>
      <c r="AA22" s="190">
        <v>6979795.2000000002</v>
      </c>
      <c r="AB22" s="190">
        <v>14053540.300000001</v>
      </c>
      <c r="AC22" s="190">
        <v>27301737.600000001</v>
      </c>
      <c r="AD22" s="190">
        <v>32765548.199999999</v>
      </c>
      <c r="AE22" s="190">
        <v>9456260.7300000004</v>
      </c>
      <c r="AF22" s="190">
        <v>17909650.640000001</v>
      </c>
      <c r="AG22" s="190">
        <v>9788544</v>
      </c>
      <c r="AH22" s="190">
        <v>2756884</v>
      </c>
      <c r="AI22" s="190">
        <v>3471278</v>
      </c>
      <c r="AJ22" s="190">
        <v>2317205.96</v>
      </c>
      <c r="AK22" s="190">
        <v>3881581.04</v>
      </c>
      <c r="AL22" s="190">
        <v>3277320</v>
      </c>
      <c r="AM22" s="190">
        <v>2703099</v>
      </c>
      <c r="AN22" s="190">
        <v>4317554.3</v>
      </c>
      <c r="AO22" s="190">
        <v>2986430</v>
      </c>
      <c r="AP22" s="190">
        <v>4155100</v>
      </c>
      <c r="AQ22" s="190">
        <v>1279042</v>
      </c>
      <c r="AR22" s="190">
        <v>3286944.17</v>
      </c>
      <c r="AS22" s="190">
        <v>509470</v>
      </c>
      <c r="AT22" s="190">
        <v>150000</v>
      </c>
      <c r="AU22" s="190">
        <v>10600000</v>
      </c>
      <c r="AV22" s="190">
        <v>0</v>
      </c>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9566013783.5200005</v>
      </c>
      <c r="C23" s="190">
        <v>9081550539.8700008</v>
      </c>
      <c r="D23" s="190">
        <v>7397480836.4700003</v>
      </c>
      <c r="E23" s="190">
        <v>7539944756.6899996</v>
      </c>
      <c r="F23" s="190">
        <v>7098185667.9700003</v>
      </c>
      <c r="G23" s="190">
        <v>6934385789.0600004</v>
      </c>
      <c r="H23" s="190">
        <v>5904501600.8500004</v>
      </c>
      <c r="I23" s="190">
        <v>6205557180.8999996</v>
      </c>
      <c r="J23" s="190">
        <v>5559548686.9499998</v>
      </c>
      <c r="K23" s="190">
        <v>5316171573.4099998</v>
      </c>
      <c r="L23" s="190">
        <v>4587547031.8999996</v>
      </c>
      <c r="M23" s="190">
        <v>4974772699.5699997</v>
      </c>
      <c r="N23" s="190">
        <v>3716056480.4899998</v>
      </c>
      <c r="O23" s="190">
        <v>3291730109.3299999</v>
      </c>
      <c r="P23" s="190">
        <v>2761096229.5599999</v>
      </c>
      <c r="Q23" s="190">
        <v>2759017312.0900002</v>
      </c>
      <c r="R23" s="190">
        <v>2608830435.3000002</v>
      </c>
      <c r="S23" s="190">
        <v>2682422655.5300002</v>
      </c>
      <c r="T23" s="190">
        <v>2272734398.6399999</v>
      </c>
      <c r="U23" s="190">
        <v>2127221747.6800001</v>
      </c>
      <c r="V23" s="190">
        <v>1588456202.3</v>
      </c>
      <c r="W23" s="190">
        <v>1366511599.8299999</v>
      </c>
      <c r="X23" s="190">
        <v>1044235625.96</v>
      </c>
      <c r="Y23" s="190">
        <v>973378529.33000004</v>
      </c>
      <c r="Z23" s="190">
        <v>960750175.71000004</v>
      </c>
      <c r="AA23" s="190">
        <v>883545069.78999996</v>
      </c>
      <c r="AB23" s="190">
        <v>751603760.80999994</v>
      </c>
      <c r="AC23" s="190">
        <v>677025914.74000001</v>
      </c>
      <c r="AD23" s="190">
        <v>630063377.72000003</v>
      </c>
      <c r="AE23" s="190">
        <v>548938098.48000002</v>
      </c>
      <c r="AF23" s="190">
        <v>404994596</v>
      </c>
      <c r="AG23" s="190">
        <v>390529993.31999999</v>
      </c>
      <c r="AH23" s="190">
        <v>393274186.63999999</v>
      </c>
      <c r="AI23" s="190">
        <v>358933888.04000002</v>
      </c>
      <c r="AJ23" s="190">
        <v>268432392.38</v>
      </c>
      <c r="AK23" s="190">
        <v>271332071.80000001</v>
      </c>
      <c r="AL23" s="190">
        <v>238587646.91999999</v>
      </c>
      <c r="AM23" s="190">
        <v>194638521.18000001</v>
      </c>
      <c r="AN23" s="190">
        <v>174908066.22</v>
      </c>
      <c r="AO23" s="190">
        <v>162592628.63</v>
      </c>
      <c r="AP23" s="190">
        <v>178025240.84</v>
      </c>
      <c r="AQ23" s="190">
        <v>171286525.88</v>
      </c>
      <c r="AR23" s="190">
        <v>115628460.36</v>
      </c>
      <c r="AS23" s="190">
        <v>122298845.51000001</v>
      </c>
      <c r="AT23" s="190">
        <v>94563527.140000001</v>
      </c>
      <c r="AU23" s="190">
        <v>78729646.379999995</v>
      </c>
      <c r="AV23" s="190">
        <v>0</v>
      </c>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172563190.47</v>
      </c>
      <c r="C24" s="190">
        <v>173464285.83000001</v>
      </c>
      <c r="D24" s="190">
        <v>160159725.56999999</v>
      </c>
      <c r="E24" s="190">
        <v>154357171.13</v>
      </c>
      <c r="F24" s="190">
        <v>83870792.290000007</v>
      </c>
      <c r="G24" s="190">
        <v>77836252.390000001</v>
      </c>
      <c r="H24" s="190">
        <v>74418384.469999999</v>
      </c>
      <c r="I24" s="190">
        <v>66929703.909999996</v>
      </c>
      <c r="J24" s="190">
        <v>73427200.290000007</v>
      </c>
      <c r="K24" s="190">
        <v>57376201.710000001</v>
      </c>
      <c r="L24" s="190">
        <v>43785637.640000001</v>
      </c>
      <c r="M24" s="190">
        <v>30988024.57</v>
      </c>
      <c r="N24" s="190">
        <v>26028456.57</v>
      </c>
      <c r="O24" s="190">
        <v>31469208.670000002</v>
      </c>
      <c r="P24" s="190">
        <v>36004696.409999996</v>
      </c>
      <c r="Q24" s="190">
        <v>25250164.300000001</v>
      </c>
      <c r="R24" s="190">
        <v>34896539.740000002</v>
      </c>
      <c r="S24" s="190">
        <v>31091122.210000001</v>
      </c>
      <c r="T24" s="190">
        <v>57955415.780000001</v>
      </c>
      <c r="U24" s="190">
        <v>46905706.75</v>
      </c>
      <c r="V24" s="190">
        <v>22745442.010000002</v>
      </c>
      <c r="W24" s="190">
        <v>30884255.219999999</v>
      </c>
      <c r="X24" s="190">
        <v>22340199.219999999</v>
      </c>
      <c r="Y24" s="190">
        <v>10952838.630000001</v>
      </c>
      <c r="Z24" s="190">
        <v>64723849.18</v>
      </c>
      <c r="AA24" s="190">
        <v>26815114.190000001</v>
      </c>
      <c r="AB24" s="190">
        <v>30230846.91</v>
      </c>
      <c r="AC24" s="190">
        <v>12629440.85</v>
      </c>
      <c r="AD24" s="190">
        <v>14341533.689999999</v>
      </c>
      <c r="AE24" s="190">
        <v>27290993.5</v>
      </c>
      <c r="AF24" s="190">
        <v>12186582.92</v>
      </c>
      <c r="AG24" s="190">
        <v>15450139.02</v>
      </c>
      <c r="AH24" s="190">
        <v>27554147.460000001</v>
      </c>
      <c r="AI24" s="190">
        <v>30420786.219999999</v>
      </c>
      <c r="AJ24" s="190">
        <v>26004520.280000001</v>
      </c>
      <c r="AK24" s="190">
        <v>8282449.0999999996</v>
      </c>
      <c r="AL24" s="190">
        <v>11943428.82</v>
      </c>
      <c r="AM24" s="190">
        <v>4318423.95</v>
      </c>
      <c r="AN24" s="190">
        <v>3215288.6</v>
      </c>
      <c r="AO24" s="190">
        <v>3078725.01</v>
      </c>
      <c r="AP24" s="190">
        <v>7996120.8600000003</v>
      </c>
      <c r="AQ24" s="190">
        <v>6309243.7599999998</v>
      </c>
      <c r="AR24" s="190">
        <v>4787239.8099999996</v>
      </c>
      <c r="AS24" s="190">
        <v>3321827.51</v>
      </c>
      <c r="AT24" s="190">
        <v>2001774.1</v>
      </c>
      <c r="AU24" s="190">
        <v>4568925.76</v>
      </c>
      <c r="AV24" s="190">
        <v>0</v>
      </c>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390477962.00999999</v>
      </c>
      <c r="C25" s="190">
        <v>380598257.83999997</v>
      </c>
      <c r="D25" s="190">
        <v>363349324.11000001</v>
      </c>
      <c r="E25" s="190">
        <v>283058785.41000003</v>
      </c>
      <c r="F25" s="190">
        <v>394871585.63</v>
      </c>
      <c r="G25" s="190">
        <v>396665142.97000003</v>
      </c>
      <c r="H25" s="190">
        <v>267882279.41999999</v>
      </c>
      <c r="I25" s="190">
        <v>216617757.87</v>
      </c>
      <c r="J25" s="190">
        <v>231700777.88</v>
      </c>
      <c r="K25" s="190">
        <v>229804762.49000001</v>
      </c>
      <c r="L25" s="190">
        <v>153200338.31</v>
      </c>
      <c r="M25" s="190">
        <v>101870373.31</v>
      </c>
      <c r="N25" s="190">
        <v>233248137.69</v>
      </c>
      <c r="O25" s="190">
        <v>122763132.47</v>
      </c>
      <c r="P25" s="190">
        <v>95390629.930000007</v>
      </c>
      <c r="Q25" s="190">
        <v>74901778.719999999</v>
      </c>
      <c r="R25" s="190">
        <v>99938183.269999996</v>
      </c>
      <c r="S25" s="190">
        <v>132284234.17</v>
      </c>
      <c r="T25" s="190">
        <v>84309805.099999994</v>
      </c>
      <c r="U25" s="190">
        <v>40717112.329999998</v>
      </c>
      <c r="V25" s="190">
        <v>69268378.829999998</v>
      </c>
      <c r="W25" s="190">
        <v>59869507.079999998</v>
      </c>
      <c r="X25" s="190">
        <v>66495464.899999999</v>
      </c>
      <c r="Y25" s="190">
        <v>42156465.359999999</v>
      </c>
      <c r="Z25" s="190">
        <v>74236570.219999999</v>
      </c>
      <c r="AA25" s="190">
        <v>74762006.840000004</v>
      </c>
      <c r="AB25" s="190">
        <v>67400387.689999998</v>
      </c>
      <c r="AC25" s="190">
        <v>40758095.170000002</v>
      </c>
      <c r="AD25" s="190">
        <v>47483035.219999999</v>
      </c>
      <c r="AE25" s="190">
        <v>50137326.259999998</v>
      </c>
      <c r="AF25" s="190">
        <v>42484071.689999998</v>
      </c>
      <c r="AG25" s="190">
        <v>29354540.32</v>
      </c>
      <c r="AH25" s="190">
        <v>36820904.729999997</v>
      </c>
      <c r="AI25" s="190">
        <v>25464409.350000001</v>
      </c>
      <c r="AJ25" s="190">
        <v>18592634.620000001</v>
      </c>
      <c r="AK25" s="190">
        <v>14054530.960000001</v>
      </c>
      <c r="AL25" s="190">
        <v>15514239.32</v>
      </c>
      <c r="AM25" s="190">
        <v>10739475.76</v>
      </c>
      <c r="AN25" s="190">
        <v>8970309.1300000008</v>
      </c>
      <c r="AO25" s="190">
        <v>9511157.7899999991</v>
      </c>
      <c r="AP25" s="190">
        <v>39114139.479999997</v>
      </c>
      <c r="AQ25" s="190">
        <v>9873392.4000000004</v>
      </c>
      <c r="AR25" s="190">
        <v>9762623.3000000007</v>
      </c>
      <c r="AS25" s="190">
        <v>6587593.4900000002</v>
      </c>
      <c r="AT25" s="190">
        <v>58161484.310000002</v>
      </c>
      <c r="AU25" s="190">
        <v>9610479.0600000005</v>
      </c>
      <c r="AV25" s="190">
        <v>0</v>
      </c>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3983493620.7600002</v>
      </c>
      <c r="C26" s="190">
        <v>3386228156.7199998</v>
      </c>
      <c r="D26" s="190">
        <v>3670055543.3899999</v>
      </c>
      <c r="E26" s="190">
        <v>2806142598.6500001</v>
      </c>
      <c r="F26" s="190">
        <v>3479311400.0100002</v>
      </c>
      <c r="G26" s="190">
        <v>2745628101.04</v>
      </c>
      <c r="H26" s="190">
        <v>2586011013.75</v>
      </c>
      <c r="I26" s="190">
        <v>2204641465.3000002</v>
      </c>
      <c r="J26" s="190">
        <v>2540280856.2399998</v>
      </c>
      <c r="K26" s="190">
        <v>1852267884.25</v>
      </c>
      <c r="L26" s="190">
        <v>1846318582.22</v>
      </c>
      <c r="M26" s="190">
        <v>1517545001.4000001</v>
      </c>
      <c r="N26" s="190">
        <v>1870082084.49</v>
      </c>
      <c r="O26" s="190">
        <v>1783036388.74</v>
      </c>
      <c r="P26" s="190">
        <v>1486550666.3299999</v>
      </c>
      <c r="Q26" s="190">
        <v>1261260358.8900001</v>
      </c>
      <c r="R26" s="190">
        <v>1483368194.6300001</v>
      </c>
      <c r="S26" s="190">
        <v>1407663741.6800001</v>
      </c>
      <c r="T26" s="190">
        <v>1483463554.21</v>
      </c>
      <c r="U26" s="190">
        <v>990448670.03999996</v>
      </c>
      <c r="V26" s="190">
        <v>901343125.69000006</v>
      </c>
      <c r="W26" s="190">
        <v>779311698.86000001</v>
      </c>
      <c r="X26" s="190">
        <v>831236335.62</v>
      </c>
      <c r="Y26" s="190">
        <v>711215689.99000001</v>
      </c>
      <c r="Z26" s="190">
        <v>749690085.20000005</v>
      </c>
      <c r="AA26" s="190">
        <v>791329466.08000004</v>
      </c>
      <c r="AB26" s="190">
        <v>762514424.46000004</v>
      </c>
      <c r="AC26" s="190">
        <v>605103003.19000006</v>
      </c>
      <c r="AD26" s="190">
        <v>513406838.51999998</v>
      </c>
      <c r="AE26" s="190">
        <v>491924701.91000003</v>
      </c>
      <c r="AF26" s="190">
        <v>432366326.30000001</v>
      </c>
      <c r="AG26" s="190">
        <v>373597658.45999998</v>
      </c>
      <c r="AH26" s="190">
        <v>417396766.54000002</v>
      </c>
      <c r="AI26" s="190">
        <v>349246508.92000002</v>
      </c>
      <c r="AJ26" s="190">
        <v>285806121.82999998</v>
      </c>
      <c r="AK26" s="190">
        <v>233104179.59</v>
      </c>
      <c r="AL26" s="190">
        <v>187541170.96000001</v>
      </c>
      <c r="AM26" s="190">
        <v>156853661.63</v>
      </c>
      <c r="AN26" s="190">
        <v>155726839.31</v>
      </c>
      <c r="AO26" s="190">
        <v>139642261.81999999</v>
      </c>
      <c r="AP26" s="190">
        <v>165087681.63</v>
      </c>
      <c r="AQ26" s="190">
        <v>141179224.08000001</v>
      </c>
      <c r="AR26" s="190">
        <v>137301847.91999999</v>
      </c>
      <c r="AS26" s="190">
        <v>93540424.439999998</v>
      </c>
      <c r="AT26" s="190">
        <v>68346451.510000005</v>
      </c>
      <c r="AU26" s="190">
        <v>85661148.629999995</v>
      </c>
      <c r="AV26" s="190">
        <v>0</v>
      </c>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334398018.68000001</v>
      </c>
      <c r="C27" s="190">
        <v>327435863.79000002</v>
      </c>
      <c r="D27" s="190">
        <v>316849393.70999998</v>
      </c>
      <c r="E27" s="190">
        <v>352055656.64999998</v>
      </c>
      <c r="F27" s="190">
        <v>389662602.47000003</v>
      </c>
      <c r="G27" s="190">
        <v>302118217.88</v>
      </c>
      <c r="H27" s="190">
        <v>299605396.61000001</v>
      </c>
      <c r="I27" s="190">
        <v>197038099.91999999</v>
      </c>
      <c r="J27" s="190">
        <v>324889621.39999998</v>
      </c>
      <c r="K27" s="190">
        <v>236127471.75999999</v>
      </c>
      <c r="L27" s="190">
        <v>214456274.34999999</v>
      </c>
      <c r="M27" s="190">
        <v>494663150.74000001</v>
      </c>
      <c r="N27" s="190">
        <v>177562415.90000001</v>
      </c>
      <c r="O27" s="190">
        <v>297040571.17000002</v>
      </c>
      <c r="P27" s="190">
        <v>340442223.94999999</v>
      </c>
      <c r="Q27" s="190">
        <v>885614019.37</v>
      </c>
      <c r="R27" s="190">
        <v>309156801.33999997</v>
      </c>
      <c r="S27" s="190">
        <v>214920378.16</v>
      </c>
      <c r="T27" s="190">
        <v>227595</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1676664764.9300001</v>
      </c>
      <c r="C28" s="190">
        <v>1667975490.6900001</v>
      </c>
      <c r="D28" s="190">
        <v>1463026722.1199999</v>
      </c>
      <c r="E28" s="190">
        <v>1480947137.8</v>
      </c>
      <c r="F28" s="190">
        <v>760589084.71000004</v>
      </c>
      <c r="G28" s="190">
        <v>739105683.40999997</v>
      </c>
      <c r="H28" s="190">
        <v>693449421.94000006</v>
      </c>
      <c r="I28" s="190">
        <v>478091766.76999998</v>
      </c>
      <c r="J28" s="190">
        <v>327915835.45999998</v>
      </c>
      <c r="K28" s="190">
        <v>333587979.87</v>
      </c>
      <c r="L28" s="190">
        <v>246951151.47</v>
      </c>
      <c r="M28" s="190">
        <v>305270955.43000001</v>
      </c>
      <c r="N28" s="190">
        <v>273950723.29000002</v>
      </c>
      <c r="O28" s="190">
        <v>286469029.11000001</v>
      </c>
      <c r="P28" s="190">
        <v>287900935.22000003</v>
      </c>
      <c r="Q28" s="190">
        <v>350203802.16000003</v>
      </c>
      <c r="R28" s="190">
        <v>156347976.44999999</v>
      </c>
      <c r="S28" s="190">
        <v>143395148.11000001</v>
      </c>
      <c r="T28" s="190">
        <v>148383172.13999999</v>
      </c>
      <c r="U28" s="190">
        <v>132797384.88</v>
      </c>
      <c r="V28" s="190">
        <v>157901703.87</v>
      </c>
      <c r="W28" s="190">
        <v>166169247.50999999</v>
      </c>
      <c r="X28" s="190">
        <v>168423444.91999999</v>
      </c>
      <c r="Y28" s="190">
        <v>170474283.75999999</v>
      </c>
      <c r="Z28" s="190">
        <v>56149958.369999997</v>
      </c>
      <c r="AA28" s="190">
        <v>64528552.740000002</v>
      </c>
      <c r="AB28" s="190">
        <v>65743201.659999996</v>
      </c>
      <c r="AC28" s="190">
        <v>65743201.659999996</v>
      </c>
      <c r="AD28" s="190">
        <v>47438818.590000004</v>
      </c>
      <c r="AE28" s="190">
        <v>55326781.659999996</v>
      </c>
      <c r="AF28" s="190">
        <v>55326781.659999996</v>
      </c>
      <c r="AG28" s="190">
        <v>55326781.659999996</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508123156.73000002</v>
      </c>
      <c r="C29" s="190">
        <v>496698290.79000002</v>
      </c>
      <c r="D29" s="190">
        <v>444439062.47000003</v>
      </c>
      <c r="E29" s="190">
        <v>367302811.80000001</v>
      </c>
      <c r="F29" s="190">
        <v>160941146.21000001</v>
      </c>
      <c r="G29" s="190">
        <v>116833286.40000001</v>
      </c>
      <c r="H29" s="190">
        <v>116948193.18000001</v>
      </c>
      <c r="I29" s="190">
        <v>170404785.65000001</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18789945104.099998</v>
      </c>
      <c r="C33" s="35">
        <f t="shared" ref="C33:BN33" si="2">SUM(C22:C29)</f>
        <v>17299527273.43</v>
      </c>
      <c r="D33" s="35">
        <f t="shared" si="2"/>
        <v>15841929768.619997</v>
      </c>
      <c r="E33" s="35">
        <f t="shared" si="2"/>
        <v>15415105088.709997</v>
      </c>
      <c r="F33" s="35">
        <f t="shared" si="2"/>
        <v>14166739799.139999</v>
      </c>
      <c r="G33" s="35">
        <f t="shared" si="2"/>
        <v>12527054257.290001</v>
      </c>
      <c r="H33" s="35">
        <f t="shared" si="2"/>
        <v>10941786465.170002</v>
      </c>
      <c r="I33" s="35">
        <f t="shared" si="2"/>
        <v>10687488431.950001</v>
      </c>
      <c r="J33" s="35">
        <f t="shared" si="2"/>
        <v>9687123116.4199982</v>
      </c>
      <c r="K33" s="35">
        <f t="shared" si="2"/>
        <v>8546804146.8599997</v>
      </c>
      <c r="L33" s="35">
        <f t="shared" si="2"/>
        <v>7659749918.3100014</v>
      </c>
      <c r="M33" s="35">
        <f t="shared" si="2"/>
        <v>8519845981.7199993</v>
      </c>
      <c r="N33" s="35">
        <f t="shared" si="2"/>
        <v>6872065247.7399988</v>
      </c>
      <c r="O33" s="35">
        <f t="shared" si="2"/>
        <v>6354948477.21</v>
      </c>
      <c r="P33" s="35">
        <f t="shared" si="2"/>
        <v>5518266763.6800003</v>
      </c>
      <c r="Q33" s="35">
        <f t="shared" si="2"/>
        <v>5785371889.4099998</v>
      </c>
      <c r="R33" s="35">
        <f t="shared" si="2"/>
        <v>4799923449.8499994</v>
      </c>
      <c r="S33" s="35">
        <f t="shared" si="2"/>
        <v>4721745038.8800001</v>
      </c>
      <c r="T33" s="35">
        <f t="shared" si="2"/>
        <v>4088454217.0899997</v>
      </c>
      <c r="U33" s="35">
        <f t="shared" si="2"/>
        <v>3471224325.48</v>
      </c>
      <c r="V33" s="35">
        <f t="shared" si="2"/>
        <v>2783603575.79</v>
      </c>
      <c r="W33" s="35">
        <f t="shared" si="2"/>
        <v>2473696100.2200003</v>
      </c>
      <c r="X33" s="35">
        <f t="shared" si="2"/>
        <v>2165372328.5200005</v>
      </c>
      <c r="Y33" s="35">
        <f t="shared" si="2"/>
        <v>1972900638.1400001</v>
      </c>
      <c r="Z33" s="35">
        <f t="shared" si="2"/>
        <v>1952653306.78</v>
      </c>
      <c r="AA33" s="35">
        <f t="shared" si="2"/>
        <v>1847960004.8400002</v>
      </c>
      <c r="AB33" s="35">
        <f t="shared" si="2"/>
        <v>1691546161.8299999</v>
      </c>
      <c r="AC33" s="35">
        <f t="shared" si="2"/>
        <v>1428561393.2100003</v>
      </c>
      <c r="AD33" s="35">
        <f t="shared" si="2"/>
        <v>1285499151.9400001</v>
      </c>
      <c r="AE33" s="35">
        <f t="shared" si="2"/>
        <v>1183074162.5400002</v>
      </c>
      <c r="AF33" s="35">
        <f t="shared" si="2"/>
        <v>965268009.20999992</v>
      </c>
      <c r="AG33" s="35">
        <f t="shared" si="2"/>
        <v>874047656.77999985</v>
      </c>
      <c r="AH33" s="35">
        <f t="shared" si="2"/>
        <v>877802889.37</v>
      </c>
      <c r="AI33" s="35">
        <f t="shared" si="2"/>
        <v>767536870.52999997</v>
      </c>
      <c r="AJ33" s="35">
        <f t="shared" si="2"/>
        <v>601152875.06999993</v>
      </c>
      <c r="AK33" s="35">
        <f t="shared" si="2"/>
        <v>530654812.49000001</v>
      </c>
      <c r="AL33" s="35">
        <f t="shared" si="2"/>
        <v>456863806.01999998</v>
      </c>
      <c r="AM33" s="35">
        <f t="shared" si="2"/>
        <v>369253181.51999998</v>
      </c>
      <c r="AN33" s="35">
        <f t="shared" si="2"/>
        <v>347138057.56</v>
      </c>
      <c r="AO33" s="35">
        <f t="shared" si="2"/>
        <v>317811203.25</v>
      </c>
      <c r="AP33" s="35">
        <f t="shared" si="2"/>
        <v>394378282.81</v>
      </c>
      <c r="AQ33" s="35">
        <f t="shared" si="2"/>
        <v>329927428.12</v>
      </c>
      <c r="AR33" s="35">
        <f t="shared" si="2"/>
        <v>270767115.56</v>
      </c>
      <c r="AS33" s="35">
        <f t="shared" si="2"/>
        <v>226258160.94999999</v>
      </c>
      <c r="AT33" s="35">
        <f t="shared" si="2"/>
        <v>223223237.06</v>
      </c>
      <c r="AU33" s="35">
        <f t="shared" si="2"/>
        <v>189170199.82999998</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3556883216.2800002</v>
      </c>
      <c r="D35" s="190">
        <v>3272046852.96</v>
      </c>
      <c r="E35" s="190">
        <v>3434822334.46</v>
      </c>
      <c r="F35" s="190">
        <v>2898758306.71</v>
      </c>
      <c r="G35" s="190">
        <v>1686475604.4000001</v>
      </c>
      <c r="H35" s="190">
        <v>1105784557.98</v>
      </c>
      <c r="I35" s="190">
        <v>2145663389.3599999</v>
      </c>
      <c r="J35" s="190">
        <v>1483518619.5799999</v>
      </c>
      <c r="K35" s="190">
        <v>1159754290.6300001</v>
      </c>
      <c r="L35" s="190">
        <v>917851879.12</v>
      </c>
      <c r="M35" s="190">
        <v>1291889154.54</v>
      </c>
      <c r="N35" s="190">
        <v>722983431.32000005</v>
      </c>
      <c r="O35" s="190">
        <v>786941519.79999995</v>
      </c>
      <c r="P35" s="190">
        <v>547050300.52999997</v>
      </c>
      <c r="Q35" s="190">
        <v>491049502.87</v>
      </c>
      <c r="R35" s="190">
        <v>130958115.55</v>
      </c>
      <c r="S35" s="190">
        <v>454908928.56</v>
      </c>
      <c r="T35" s="190">
        <v>336295587.70999998</v>
      </c>
      <c r="U35" s="190">
        <v>185896903.75</v>
      </c>
      <c r="V35" s="190">
        <v>207250506.66</v>
      </c>
      <c r="W35" s="190">
        <v>208316950.84999999</v>
      </c>
      <c r="X35" s="190">
        <v>129845561.68000001</v>
      </c>
      <c r="Y35" s="190">
        <v>208277491.91</v>
      </c>
      <c r="Z35" s="190">
        <v>112677493.13</v>
      </c>
      <c r="AA35" s="190">
        <v>30745360.670000002</v>
      </c>
      <c r="AB35" s="190">
        <v>0</v>
      </c>
      <c r="AC35" s="190">
        <v>0</v>
      </c>
      <c r="AD35" s="190">
        <v>0</v>
      </c>
      <c r="AE35" s="190">
        <v>0</v>
      </c>
      <c r="AF35" s="190">
        <v>0</v>
      </c>
      <c r="AG35" s="190">
        <v>9984532</v>
      </c>
      <c r="AH35" s="190">
        <v>0</v>
      </c>
      <c r="AI35" s="190">
        <v>0</v>
      </c>
      <c r="AJ35" s="190">
        <v>0</v>
      </c>
      <c r="AK35" s="190">
        <v>0</v>
      </c>
      <c r="AL35" s="190">
        <v>0</v>
      </c>
      <c r="AM35" s="190">
        <v>0</v>
      </c>
      <c r="AN35" s="190">
        <v>0</v>
      </c>
      <c r="AO35" s="190">
        <v>0</v>
      </c>
      <c r="AP35" s="190">
        <v>0</v>
      </c>
      <c r="AQ35" s="190">
        <v>2292624</v>
      </c>
      <c r="AR35" s="190">
        <v>2959032.26</v>
      </c>
      <c r="AS35" s="190">
        <v>10243506.380000001</v>
      </c>
      <c r="AT35" s="190">
        <v>51647210.270000003</v>
      </c>
      <c r="AU35" s="190">
        <v>35509169.530000001</v>
      </c>
      <c r="AV35" s="190">
        <v>0</v>
      </c>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2671866224.3400002</v>
      </c>
      <c r="D36" s="190">
        <v>2079774656.76</v>
      </c>
      <c r="E36" s="190">
        <v>2701785054.5700002</v>
      </c>
      <c r="F36" s="190">
        <v>1889963129.3599999</v>
      </c>
      <c r="G36" s="190">
        <v>2037508159.6600001</v>
      </c>
      <c r="H36" s="190">
        <v>1516771744.53</v>
      </c>
      <c r="I36" s="190">
        <v>1942450124.6800001</v>
      </c>
      <c r="J36" s="190">
        <v>1549861058.5699999</v>
      </c>
      <c r="K36" s="190">
        <v>1441906305.79</v>
      </c>
      <c r="L36" s="190">
        <v>1274313493.1500001</v>
      </c>
      <c r="M36" s="190">
        <v>1670069856.52</v>
      </c>
      <c r="N36" s="190">
        <v>963309622.98000002</v>
      </c>
      <c r="O36" s="190">
        <v>986677611.94000006</v>
      </c>
      <c r="P36" s="190">
        <v>731151488.13999999</v>
      </c>
      <c r="Q36" s="190">
        <v>1088977334.3</v>
      </c>
      <c r="R36" s="190">
        <v>737070850.76999998</v>
      </c>
      <c r="S36" s="190">
        <v>662770398.47000003</v>
      </c>
      <c r="T36" s="190">
        <v>896334328.20000005</v>
      </c>
      <c r="U36" s="190">
        <v>1023882214.4</v>
      </c>
      <c r="V36" s="190">
        <v>536998613.24000001</v>
      </c>
      <c r="W36" s="190">
        <v>413616701.22000003</v>
      </c>
      <c r="X36" s="190">
        <v>422923475.43000001</v>
      </c>
      <c r="Y36" s="190">
        <v>378015589.76999998</v>
      </c>
      <c r="Z36" s="190">
        <v>364972053.48000002</v>
      </c>
      <c r="AA36" s="190">
        <v>440464948.56999999</v>
      </c>
      <c r="AB36" s="190">
        <v>365864672.88999999</v>
      </c>
      <c r="AC36" s="190">
        <v>425557995.16000003</v>
      </c>
      <c r="AD36" s="190">
        <v>293610109.07999998</v>
      </c>
      <c r="AE36" s="190">
        <v>348025037.42000002</v>
      </c>
      <c r="AF36" s="190">
        <v>210463208.19</v>
      </c>
      <c r="AG36" s="190">
        <v>222303874.53999999</v>
      </c>
      <c r="AH36" s="190">
        <v>241416703.90000001</v>
      </c>
      <c r="AI36" s="190">
        <v>232986965.97</v>
      </c>
      <c r="AJ36" s="190">
        <v>146130365.88999999</v>
      </c>
      <c r="AK36" s="190">
        <v>165017945.81</v>
      </c>
      <c r="AL36" s="190">
        <v>140374110.84</v>
      </c>
      <c r="AM36" s="190">
        <v>92208515.590000004</v>
      </c>
      <c r="AN36" s="190">
        <v>80893144.920000002</v>
      </c>
      <c r="AO36" s="190">
        <v>77327697.709999993</v>
      </c>
      <c r="AP36" s="190">
        <v>93439695.739999995</v>
      </c>
      <c r="AQ36" s="190">
        <v>89771624.280000001</v>
      </c>
      <c r="AR36" s="190">
        <v>85181934.489999995</v>
      </c>
      <c r="AS36" s="190">
        <v>72501463.680000007</v>
      </c>
      <c r="AT36" s="190">
        <v>23961278.32</v>
      </c>
      <c r="AU36" s="190">
        <v>65828207.770000003</v>
      </c>
      <c r="AV36" s="190">
        <v>0</v>
      </c>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461813353.75</v>
      </c>
      <c r="C37" s="190">
        <v>335014892.23000002</v>
      </c>
      <c r="D37" s="190">
        <v>469933049.72000003</v>
      </c>
      <c r="E37" s="190">
        <v>461715422.38</v>
      </c>
      <c r="F37" s="190">
        <v>432688119.16000003</v>
      </c>
      <c r="G37" s="190">
        <v>411763255.26999998</v>
      </c>
      <c r="H37" s="190">
        <v>429458664.27999997</v>
      </c>
      <c r="I37" s="190">
        <v>331572337.06</v>
      </c>
      <c r="J37" s="190">
        <v>389604246.06999999</v>
      </c>
      <c r="K37" s="190">
        <v>295922254.05000001</v>
      </c>
      <c r="L37" s="190">
        <v>259322208.03999999</v>
      </c>
      <c r="M37" s="190">
        <v>193357680.78999999</v>
      </c>
      <c r="N37" s="190">
        <v>271189234.70999998</v>
      </c>
      <c r="O37" s="190">
        <v>246793422.75999999</v>
      </c>
      <c r="P37" s="190">
        <v>224725321.36000001</v>
      </c>
      <c r="Q37" s="190">
        <v>183482237.88999999</v>
      </c>
      <c r="R37" s="190">
        <v>210341519.31999999</v>
      </c>
      <c r="S37" s="190">
        <v>172586559.38999999</v>
      </c>
      <c r="T37" s="190">
        <v>182294762.75999999</v>
      </c>
      <c r="U37" s="190">
        <v>162543723.75</v>
      </c>
      <c r="V37" s="190">
        <v>194185628.50999999</v>
      </c>
      <c r="W37" s="190">
        <v>177954147.74000001</v>
      </c>
      <c r="X37" s="190">
        <v>203125230.15000001</v>
      </c>
      <c r="Y37" s="190">
        <v>184045035.84999999</v>
      </c>
      <c r="Z37" s="190">
        <v>194306881.69999999</v>
      </c>
      <c r="AA37" s="190">
        <v>186256975.72</v>
      </c>
      <c r="AB37" s="190">
        <v>218394980.59999999</v>
      </c>
      <c r="AC37" s="190">
        <v>171943604.81999999</v>
      </c>
      <c r="AD37" s="190">
        <v>112156520.77</v>
      </c>
      <c r="AE37" s="190">
        <v>112515013.62</v>
      </c>
      <c r="AF37" s="190">
        <v>131354351.06</v>
      </c>
      <c r="AG37" s="190">
        <v>106659722.75</v>
      </c>
      <c r="AH37" s="190">
        <v>114250125.48</v>
      </c>
      <c r="AI37" s="190">
        <v>96128176.299999997</v>
      </c>
      <c r="AJ37" s="190">
        <v>79103926.450000003</v>
      </c>
      <c r="AK37" s="190">
        <v>57605981.390000001</v>
      </c>
      <c r="AL37" s="190">
        <v>47948087.200000003</v>
      </c>
      <c r="AM37" s="190">
        <v>34453666.490000002</v>
      </c>
      <c r="AN37" s="190">
        <v>42338118.840000004</v>
      </c>
      <c r="AO37" s="190">
        <v>36057781.700000003</v>
      </c>
      <c r="AP37" s="190">
        <v>35914135.469999999</v>
      </c>
      <c r="AQ37" s="190">
        <v>36815582.609999999</v>
      </c>
      <c r="AR37" s="190">
        <v>43989243.140000001</v>
      </c>
      <c r="AS37" s="190">
        <v>29889159.510000002</v>
      </c>
      <c r="AT37" s="190">
        <v>20200873.449999999</v>
      </c>
      <c r="AU37" s="190">
        <v>21954402.559999999</v>
      </c>
      <c r="AV37" s="190">
        <v>0</v>
      </c>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603163381.50999999</v>
      </c>
      <c r="C39" s="190">
        <v>343428173.69</v>
      </c>
      <c r="D39" s="190">
        <v>312472729.48000002</v>
      </c>
      <c r="E39" s="190">
        <v>851146379.97000003</v>
      </c>
      <c r="F39" s="190">
        <v>593198418.67999995</v>
      </c>
      <c r="G39" s="190">
        <v>464619293.81</v>
      </c>
      <c r="H39" s="190">
        <v>310637963.82999998</v>
      </c>
      <c r="I39" s="190">
        <v>598329602.09000003</v>
      </c>
      <c r="J39" s="190">
        <v>272795320.98000002</v>
      </c>
      <c r="K39" s="190">
        <v>158854235.34</v>
      </c>
      <c r="L39" s="190">
        <v>142736848.47</v>
      </c>
      <c r="M39" s="190">
        <v>401163660.20999998</v>
      </c>
      <c r="N39" s="190">
        <v>231082588.94999999</v>
      </c>
      <c r="O39" s="190">
        <v>140701132.61000001</v>
      </c>
      <c r="P39" s="190">
        <v>101166143.7</v>
      </c>
      <c r="Q39" s="190">
        <v>276225559.13</v>
      </c>
      <c r="R39" s="190">
        <v>92689068.659999996</v>
      </c>
      <c r="S39" s="190">
        <v>65083491.520000003</v>
      </c>
      <c r="T39" s="190">
        <v>73085530.379999995</v>
      </c>
      <c r="U39" s="190">
        <v>247077326.13</v>
      </c>
      <c r="V39" s="190">
        <v>92583566.5</v>
      </c>
      <c r="W39" s="190">
        <v>95635816.709999993</v>
      </c>
      <c r="X39" s="190">
        <v>48482421.700000003</v>
      </c>
      <c r="Y39" s="190">
        <v>159305491.72999999</v>
      </c>
      <c r="Z39" s="190">
        <v>90082356.810000002</v>
      </c>
      <c r="AA39" s="190">
        <v>44142663.240000002</v>
      </c>
      <c r="AB39" s="190">
        <v>31622011.039999999</v>
      </c>
      <c r="AC39" s="190">
        <v>80376723.950000003</v>
      </c>
      <c r="AD39" s="190">
        <v>22673453.039999999</v>
      </c>
      <c r="AE39" s="190">
        <v>22415718.190000001</v>
      </c>
      <c r="AF39" s="190">
        <v>21845003.100000001</v>
      </c>
      <c r="AG39" s="190">
        <v>69070711.200000003</v>
      </c>
      <c r="AH39" s="190">
        <v>51175158.880000003</v>
      </c>
      <c r="AI39" s="190">
        <v>58110268.719999999</v>
      </c>
      <c r="AJ39" s="190">
        <v>36178221.799999997</v>
      </c>
      <c r="AK39" s="190">
        <v>39019077.920000002</v>
      </c>
      <c r="AL39" s="190">
        <v>26247192.5</v>
      </c>
      <c r="AM39" s="190">
        <v>17743131.18</v>
      </c>
      <c r="AN39" s="190">
        <v>16328531.02</v>
      </c>
      <c r="AO39" s="190">
        <v>23726338.84</v>
      </c>
      <c r="AP39" s="190">
        <v>7835961.5199999996</v>
      </c>
      <c r="AQ39" s="190">
        <v>7600486.7000000002</v>
      </c>
      <c r="AR39" s="190">
        <v>3451131</v>
      </c>
      <c r="AS39" s="190">
        <v>14417167.9</v>
      </c>
      <c r="AT39" s="190">
        <v>5794563.2400000002</v>
      </c>
      <c r="AU39" s="190">
        <v>3216990.88</v>
      </c>
      <c r="AV39" s="190">
        <v>0</v>
      </c>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325332337.92000002</v>
      </c>
      <c r="C40" s="190">
        <v>473933576.38</v>
      </c>
      <c r="D40" s="190">
        <v>367802062.64999998</v>
      </c>
      <c r="E40" s="190">
        <v>479536571.44999999</v>
      </c>
      <c r="F40" s="190">
        <v>417487988.60000002</v>
      </c>
      <c r="G40" s="190">
        <v>479378503.49000001</v>
      </c>
      <c r="H40" s="190">
        <v>404316093.67000002</v>
      </c>
      <c r="I40" s="190">
        <v>451401215.87</v>
      </c>
      <c r="J40" s="190">
        <v>185871861.52000001</v>
      </c>
      <c r="K40" s="190">
        <v>246821338.94999999</v>
      </c>
      <c r="L40" s="190">
        <v>316162807.69</v>
      </c>
      <c r="M40" s="190">
        <v>403834367.52999997</v>
      </c>
      <c r="N40" s="190">
        <v>194477781.78999999</v>
      </c>
      <c r="O40" s="190">
        <v>151443390.97</v>
      </c>
      <c r="P40" s="190">
        <v>112508431.51000001</v>
      </c>
      <c r="Q40" s="190">
        <v>129982391.48999999</v>
      </c>
      <c r="R40" s="190">
        <v>55732099.32</v>
      </c>
      <c r="S40" s="190">
        <v>44737834.789999999</v>
      </c>
      <c r="T40" s="190">
        <v>-120946149.95</v>
      </c>
      <c r="U40" s="190">
        <v>150572707.81999999</v>
      </c>
      <c r="V40" s="190">
        <v>79072412.209999993</v>
      </c>
      <c r="W40" s="190">
        <v>50706963.079999998</v>
      </c>
      <c r="X40" s="190">
        <v>15033745.039999999</v>
      </c>
      <c r="Y40" s="190">
        <v>61403976.590000004</v>
      </c>
      <c r="Z40" s="190">
        <v>27808327.489999998</v>
      </c>
      <c r="AA40" s="190">
        <v>5461096.3799999999</v>
      </c>
      <c r="AB40" s="190">
        <v>-1696781.14</v>
      </c>
      <c r="AC40" s="190">
        <v>15052551.74</v>
      </c>
      <c r="AD40" s="190">
        <v>16600242.449999999</v>
      </c>
      <c r="AE40" s="190">
        <v>17100129.780000001</v>
      </c>
      <c r="AF40" s="190">
        <v>9945619.2100000009</v>
      </c>
      <c r="AG40" s="190">
        <v>20877997.399999999</v>
      </c>
      <c r="AH40" s="190">
        <v>-9470368.0500000007</v>
      </c>
      <c r="AI40" s="190">
        <v>-1568911.98</v>
      </c>
      <c r="AJ40" s="190">
        <v>6181999.2999999998</v>
      </c>
      <c r="AK40" s="190">
        <v>681717.96</v>
      </c>
      <c r="AL40" s="190">
        <v>946607.59</v>
      </c>
      <c r="AM40" s="190">
        <v>2851768.29</v>
      </c>
      <c r="AN40" s="190">
        <v>-3485043.93</v>
      </c>
      <c r="AO40" s="190">
        <v>-1266113.8400000001</v>
      </c>
      <c r="AP40" s="190">
        <v>300294.84000000003</v>
      </c>
      <c r="AQ40" s="190">
        <v>5544254.8600000003</v>
      </c>
      <c r="AR40" s="190">
        <v>682322.69</v>
      </c>
      <c r="AS40" s="190">
        <v>8674164.5299999993</v>
      </c>
      <c r="AT40" s="190">
        <v>14411514.359999999</v>
      </c>
      <c r="AU40" s="190">
        <v>-1360883.39</v>
      </c>
      <c r="AV40" s="190">
        <v>0</v>
      </c>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131404867.44</v>
      </c>
      <c r="C41" s="190">
        <v>113282109.29000001</v>
      </c>
      <c r="D41" s="190">
        <v>103142875.53</v>
      </c>
      <c r="E41" s="190">
        <v>104297163.84999999</v>
      </c>
      <c r="F41" s="190">
        <v>88742085.890000001</v>
      </c>
      <c r="G41" s="190">
        <v>81168506.209999993</v>
      </c>
      <c r="H41" s="190">
        <v>229367226.56999999</v>
      </c>
      <c r="I41" s="190">
        <v>225198136.18000001</v>
      </c>
      <c r="J41" s="190">
        <v>214637085.86000001</v>
      </c>
      <c r="K41" s="190">
        <v>198743071.25</v>
      </c>
      <c r="L41" s="190">
        <v>253894693.31999999</v>
      </c>
      <c r="M41" s="190">
        <v>328682211.27999997</v>
      </c>
      <c r="N41" s="190">
        <v>62734611.380000003</v>
      </c>
      <c r="O41" s="190">
        <v>21086283.899999999</v>
      </c>
      <c r="P41" s="190">
        <v>25899484.68</v>
      </c>
      <c r="Q41" s="190">
        <v>16066485.710000001</v>
      </c>
      <c r="R41" s="190">
        <v>20213790.059999999</v>
      </c>
      <c r="S41" s="190">
        <v>15021570.65</v>
      </c>
      <c r="T41" s="190">
        <v>508933831.92000002</v>
      </c>
      <c r="U41" s="190">
        <v>15217607.449999999</v>
      </c>
      <c r="V41" s="190">
        <v>20252805.699999999</v>
      </c>
      <c r="W41" s="190">
        <v>17676503.039999999</v>
      </c>
      <c r="X41" s="190">
        <v>15970668.77</v>
      </c>
      <c r="Y41" s="190">
        <v>21768036.620000001</v>
      </c>
      <c r="Z41" s="190">
        <v>26411922.32</v>
      </c>
      <c r="AA41" s="190">
        <v>24557371.82</v>
      </c>
      <c r="AB41" s="190">
        <v>15415818.189999999</v>
      </c>
      <c r="AC41" s="190">
        <v>15669966</v>
      </c>
      <c r="AD41" s="190">
        <v>16723884.689999999</v>
      </c>
      <c r="AE41" s="190">
        <v>17293800.059999999</v>
      </c>
      <c r="AF41" s="190">
        <v>14346132.65</v>
      </c>
      <c r="AG41" s="190">
        <v>18530992.449999999</v>
      </c>
      <c r="AH41" s="190">
        <v>3121443.99</v>
      </c>
      <c r="AI41" s="190">
        <v>2631860.62</v>
      </c>
      <c r="AJ41" s="190">
        <v>2249667.63</v>
      </c>
      <c r="AK41" s="190">
        <v>4503974.08</v>
      </c>
      <c r="AL41" s="190">
        <v>1920670.47</v>
      </c>
      <c r="AM41" s="190">
        <v>1049184.53</v>
      </c>
      <c r="AN41" s="190">
        <v>601739.87</v>
      </c>
      <c r="AO41" s="190">
        <v>2727442.96</v>
      </c>
      <c r="AP41" s="190">
        <v>1052419.72</v>
      </c>
      <c r="AQ41" s="190">
        <v>2477050.81</v>
      </c>
      <c r="AR41" s="190">
        <v>6674934.2400000002</v>
      </c>
      <c r="AS41" s="190">
        <v>1437960.07</v>
      </c>
      <c r="AT41" s="190">
        <v>14324959.779999999</v>
      </c>
      <c r="AU41" s="190">
        <v>5512396.0300000003</v>
      </c>
      <c r="AV41" s="190">
        <v>0</v>
      </c>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59486689.270000003</v>
      </c>
      <c r="C43" s="190">
        <v>60279845.140000001</v>
      </c>
      <c r="D43" s="190">
        <v>61073001.009999998</v>
      </c>
      <c r="E43" s="190">
        <v>61866156.880000003</v>
      </c>
      <c r="F43" s="190">
        <v>62659312.75</v>
      </c>
      <c r="G43" s="190">
        <v>31660000</v>
      </c>
      <c r="H43" s="190">
        <v>31660000</v>
      </c>
      <c r="I43" s="190">
        <v>31660000</v>
      </c>
      <c r="J43" s="190">
        <v>31660000</v>
      </c>
      <c r="K43" s="190">
        <v>31660000</v>
      </c>
      <c r="L43" s="190">
        <v>33836394.75</v>
      </c>
      <c r="M43" s="190">
        <v>35244749.93</v>
      </c>
      <c r="N43" s="190">
        <v>9337786.6400000006</v>
      </c>
      <c r="O43" s="190">
        <v>9680480.3599999994</v>
      </c>
      <c r="P43" s="190">
        <v>5510586.8700000001</v>
      </c>
      <c r="Q43" s="190">
        <v>2926402.56</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964700</v>
      </c>
      <c r="AO44" s="190">
        <v>0</v>
      </c>
      <c r="AP44" s="190">
        <v>718500</v>
      </c>
      <c r="AQ44" s="190">
        <v>0</v>
      </c>
      <c r="AR44" s="190">
        <v>185000</v>
      </c>
      <c r="AS44" s="190">
        <v>0</v>
      </c>
      <c r="AT44" s="190">
        <v>0</v>
      </c>
      <c r="AU44" s="190">
        <v>0</v>
      </c>
      <c r="AV44" s="190">
        <v>0</v>
      </c>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62391071.009999998</v>
      </c>
      <c r="C45" s="190">
        <v>59670217.719999999</v>
      </c>
      <c r="D45" s="190">
        <v>79274424.379999995</v>
      </c>
      <c r="E45" s="190">
        <v>45941962.850000001</v>
      </c>
      <c r="F45" s="190">
        <v>0</v>
      </c>
      <c r="G45" s="190">
        <v>0</v>
      </c>
      <c r="H45" s="190">
        <v>259350.01</v>
      </c>
      <c r="I45" s="190">
        <v>0</v>
      </c>
      <c r="J45" s="190">
        <v>1225338.18</v>
      </c>
      <c r="K45" s="190">
        <v>2703642.35</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1643591700.9000001</v>
      </c>
      <c r="C49" s="35">
        <f>SUM(C35:C41)+SUM(C43:C45)</f>
        <v>7614358255.0699997</v>
      </c>
      <c r="D49" s="35">
        <f>SUM(D35:D41)+SUM(D43:D45)</f>
        <v>6745519652.4899998</v>
      </c>
      <c r="E49" s="35">
        <f>SUM(E35:E45)</f>
        <v>8141111046.4100018</v>
      </c>
      <c r="F49" s="35">
        <f t="shared" ref="F49:BQ49" si="4">SUM(F35:F45)</f>
        <v>6383497361.1500006</v>
      </c>
      <c r="G49" s="35">
        <f t="shared" si="4"/>
        <v>5192573322.8400002</v>
      </c>
      <c r="H49" s="35">
        <f t="shared" si="4"/>
        <v>4028255600.8700004</v>
      </c>
      <c r="I49" s="35">
        <f t="shared" si="4"/>
        <v>5726274805.2400007</v>
      </c>
      <c r="J49" s="35">
        <f t="shared" si="4"/>
        <v>4129173530.7599998</v>
      </c>
      <c r="K49" s="35">
        <f t="shared" si="4"/>
        <v>3536365138.3600001</v>
      </c>
      <c r="L49" s="35">
        <f t="shared" si="4"/>
        <v>3198118324.54</v>
      </c>
      <c r="M49" s="35">
        <f t="shared" si="4"/>
        <v>4324241680.8000002</v>
      </c>
      <c r="N49" s="35">
        <f t="shared" si="4"/>
        <v>2455115057.77</v>
      </c>
      <c r="O49" s="35">
        <f t="shared" si="4"/>
        <v>2343323842.3400002</v>
      </c>
      <c r="P49" s="35">
        <f t="shared" si="4"/>
        <v>1748011756.7900002</v>
      </c>
      <c r="Q49" s="35">
        <f t="shared" si="4"/>
        <v>2188709913.9499998</v>
      </c>
      <c r="R49" s="35">
        <f t="shared" si="4"/>
        <v>1247005443.6799998</v>
      </c>
      <c r="S49" s="35">
        <f t="shared" si="4"/>
        <v>1415108783.3800001</v>
      </c>
      <c r="T49" s="35">
        <f t="shared" si="4"/>
        <v>1875997891.0200002</v>
      </c>
      <c r="U49" s="35">
        <f t="shared" si="4"/>
        <v>1785190483.3000002</v>
      </c>
      <c r="V49" s="35">
        <f t="shared" si="4"/>
        <v>1130343532.8199999</v>
      </c>
      <c r="W49" s="35">
        <f t="shared" si="4"/>
        <v>963907082.6400001</v>
      </c>
      <c r="X49" s="35">
        <f t="shared" si="4"/>
        <v>835381102.76999998</v>
      </c>
      <c r="Y49" s="35">
        <f t="shared" si="4"/>
        <v>1012815622.47</v>
      </c>
      <c r="Z49" s="35">
        <f t="shared" si="4"/>
        <v>816259034.92999995</v>
      </c>
      <c r="AA49" s="35">
        <f t="shared" si="4"/>
        <v>731628416.4000001</v>
      </c>
      <c r="AB49" s="35">
        <f t="shared" si="4"/>
        <v>629600701.58000004</v>
      </c>
      <c r="AC49" s="35">
        <f t="shared" si="4"/>
        <v>708600841.67000008</v>
      </c>
      <c r="AD49" s="35">
        <f t="shared" si="4"/>
        <v>461764210.02999997</v>
      </c>
      <c r="AE49" s="35">
        <f t="shared" si="4"/>
        <v>517349699.06999999</v>
      </c>
      <c r="AF49" s="35">
        <f t="shared" si="4"/>
        <v>387954314.20999998</v>
      </c>
      <c r="AG49" s="35">
        <f t="shared" si="4"/>
        <v>447427830.33999991</v>
      </c>
      <c r="AH49" s="35">
        <f t="shared" si="4"/>
        <v>400493064.19999999</v>
      </c>
      <c r="AI49" s="35">
        <f t="shared" si="4"/>
        <v>388288359.63</v>
      </c>
      <c r="AJ49" s="35">
        <f t="shared" si="4"/>
        <v>269844181.06999999</v>
      </c>
      <c r="AK49" s="35">
        <f t="shared" si="4"/>
        <v>266828697.16000003</v>
      </c>
      <c r="AL49" s="35">
        <f t="shared" si="4"/>
        <v>217436668.60000002</v>
      </c>
      <c r="AM49" s="35">
        <f t="shared" si="4"/>
        <v>148306266.08000001</v>
      </c>
      <c r="AN49" s="35">
        <f t="shared" si="4"/>
        <v>137641190.72</v>
      </c>
      <c r="AO49" s="35">
        <f t="shared" si="4"/>
        <v>138573147.37</v>
      </c>
      <c r="AP49" s="35">
        <f t="shared" si="4"/>
        <v>139261007.28999999</v>
      </c>
      <c r="AQ49" s="35">
        <f t="shared" si="4"/>
        <v>144501623.26000002</v>
      </c>
      <c r="AR49" s="35">
        <f t="shared" si="4"/>
        <v>143123597.81999999</v>
      </c>
      <c r="AS49" s="35">
        <f t="shared" si="4"/>
        <v>137163422.06999999</v>
      </c>
      <c r="AT49" s="35">
        <f t="shared" si="4"/>
        <v>130340399.42</v>
      </c>
      <c r="AU49" s="35">
        <f t="shared" si="4"/>
        <v>130660283.38000001</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17146353403.199999</v>
      </c>
      <c r="C50" s="36">
        <f t="shared" ref="C50:BN50" si="6">C33-C49</f>
        <v>9685169018.3600006</v>
      </c>
      <c r="D50" s="36">
        <f t="shared" si="6"/>
        <v>9096410116.1299973</v>
      </c>
      <c r="E50" s="36">
        <f t="shared" si="6"/>
        <v>7273994042.2999954</v>
      </c>
      <c r="F50" s="36">
        <f t="shared" si="6"/>
        <v>7783242437.9899988</v>
      </c>
      <c r="G50" s="36">
        <f t="shared" si="6"/>
        <v>7334480934.4500008</v>
      </c>
      <c r="H50" s="36">
        <f t="shared" si="6"/>
        <v>6913530864.3000011</v>
      </c>
      <c r="I50" s="36">
        <f t="shared" si="6"/>
        <v>4961213626.71</v>
      </c>
      <c r="J50" s="36">
        <f t="shared" si="6"/>
        <v>5557949585.6599979</v>
      </c>
      <c r="K50" s="36">
        <f t="shared" si="6"/>
        <v>5010439008.5</v>
      </c>
      <c r="L50" s="36">
        <f t="shared" si="6"/>
        <v>4461631593.7700014</v>
      </c>
      <c r="M50" s="36">
        <f t="shared" si="6"/>
        <v>4195604300.9199991</v>
      </c>
      <c r="N50" s="36">
        <f t="shared" si="6"/>
        <v>4416950189.9699993</v>
      </c>
      <c r="O50" s="36">
        <f t="shared" si="6"/>
        <v>4011624634.8699999</v>
      </c>
      <c r="P50" s="36">
        <f t="shared" si="6"/>
        <v>3770255006.8900003</v>
      </c>
      <c r="Q50" s="36">
        <f t="shared" si="6"/>
        <v>3596661975.46</v>
      </c>
      <c r="R50" s="36">
        <f t="shared" si="6"/>
        <v>3552918006.1699996</v>
      </c>
      <c r="S50" s="36">
        <f t="shared" si="6"/>
        <v>3306636255.5</v>
      </c>
      <c r="T50" s="36">
        <f t="shared" si="6"/>
        <v>2212456326.0699997</v>
      </c>
      <c r="U50" s="36">
        <f t="shared" si="6"/>
        <v>1686033842.1799998</v>
      </c>
      <c r="V50" s="36">
        <f t="shared" si="6"/>
        <v>1653260042.97</v>
      </c>
      <c r="W50" s="36">
        <f t="shared" si="6"/>
        <v>1509789017.5800002</v>
      </c>
      <c r="X50" s="36">
        <f t="shared" si="6"/>
        <v>1329991225.7500005</v>
      </c>
      <c r="Y50" s="36">
        <f t="shared" si="6"/>
        <v>960085015.67000008</v>
      </c>
      <c r="Z50" s="36">
        <f t="shared" si="6"/>
        <v>1136394271.8499999</v>
      </c>
      <c r="AA50" s="36">
        <f t="shared" si="6"/>
        <v>1116331588.4400001</v>
      </c>
      <c r="AB50" s="36">
        <f t="shared" si="6"/>
        <v>1061945460.2499999</v>
      </c>
      <c r="AC50" s="36">
        <f t="shared" si="6"/>
        <v>719960551.5400002</v>
      </c>
      <c r="AD50" s="36">
        <f t="shared" si="6"/>
        <v>823734941.91000009</v>
      </c>
      <c r="AE50" s="36">
        <f t="shared" si="6"/>
        <v>665724463.47000027</v>
      </c>
      <c r="AF50" s="36">
        <f t="shared" si="6"/>
        <v>577313695</v>
      </c>
      <c r="AG50" s="36">
        <f t="shared" si="6"/>
        <v>426619826.43999994</v>
      </c>
      <c r="AH50" s="36">
        <f t="shared" si="6"/>
        <v>477309825.17000002</v>
      </c>
      <c r="AI50" s="36">
        <f t="shared" si="6"/>
        <v>379248510.89999998</v>
      </c>
      <c r="AJ50" s="36">
        <f t="shared" si="6"/>
        <v>331308693.99999994</v>
      </c>
      <c r="AK50" s="36">
        <f t="shared" si="6"/>
        <v>263826115.32999998</v>
      </c>
      <c r="AL50" s="36">
        <f t="shared" si="6"/>
        <v>239427137.41999996</v>
      </c>
      <c r="AM50" s="36">
        <f t="shared" si="6"/>
        <v>220946915.43999997</v>
      </c>
      <c r="AN50" s="36">
        <f t="shared" si="6"/>
        <v>209496866.84</v>
      </c>
      <c r="AO50" s="36">
        <f t="shared" si="6"/>
        <v>179238055.88</v>
      </c>
      <c r="AP50" s="36">
        <f t="shared" si="6"/>
        <v>255117275.52000001</v>
      </c>
      <c r="AQ50" s="36">
        <f t="shared" si="6"/>
        <v>185425804.85999998</v>
      </c>
      <c r="AR50" s="36">
        <f t="shared" si="6"/>
        <v>127643517.74000001</v>
      </c>
      <c r="AS50" s="36">
        <f t="shared" si="6"/>
        <v>89094738.879999995</v>
      </c>
      <c r="AT50" s="36">
        <f t="shared" si="6"/>
        <v>92882837.640000001</v>
      </c>
      <c r="AU50" s="36">
        <f t="shared" si="6"/>
        <v>58509916.449999973</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1301919596.3699999</v>
      </c>
      <c r="C52" s="190">
        <v>1269148988</v>
      </c>
      <c r="D52" s="190">
        <v>1234481269.04</v>
      </c>
      <c r="E52" s="190">
        <v>1248305165.77</v>
      </c>
      <c r="F52" s="190">
        <v>1061726008.58</v>
      </c>
      <c r="G52" s="190">
        <v>1064113732.98</v>
      </c>
      <c r="H52" s="190">
        <v>633525954.75</v>
      </c>
      <c r="I52" s="190">
        <v>642218388.03999996</v>
      </c>
      <c r="J52" s="190">
        <v>599756051</v>
      </c>
      <c r="K52" s="190">
        <v>605561652.10000002</v>
      </c>
      <c r="L52" s="190">
        <v>608477288.03999996</v>
      </c>
      <c r="M52" s="190">
        <v>606326361.63</v>
      </c>
      <c r="N52" s="190">
        <v>607620837.15999997</v>
      </c>
      <c r="O52" s="190">
        <v>613881162.87</v>
      </c>
      <c r="P52" s="190">
        <v>622770621.50999999</v>
      </c>
      <c r="Q52" s="190">
        <v>640883489.86000001</v>
      </c>
      <c r="R52" s="190">
        <v>595545648.72000003</v>
      </c>
      <c r="S52" s="190">
        <v>560943940.37</v>
      </c>
      <c r="T52" s="190">
        <v>558313836.53999996</v>
      </c>
      <c r="U52" s="190">
        <v>563140520.10000002</v>
      </c>
      <c r="V52" s="190">
        <v>155040645.06999999</v>
      </c>
      <c r="W52" s="190">
        <v>152092394.34</v>
      </c>
      <c r="X52" s="190">
        <v>153225242.34</v>
      </c>
      <c r="Y52" s="190">
        <v>155750686.28</v>
      </c>
      <c r="Z52" s="190">
        <v>157822486.34999999</v>
      </c>
      <c r="AA52" s="190">
        <v>159192934.78999999</v>
      </c>
      <c r="AB52" s="190">
        <v>142127465.71000001</v>
      </c>
      <c r="AC52" s="190">
        <v>144440325.25999999</v>
      </c>
      <c r="AD52" s="190">
        <v>141016077.09</v>
      </c>
      <c r="AE52" s="190">
        <v>128555220.92</v>
      </c>
      <c r="AF52" s="190">
        <v>113977536.81</v>
      </c>
      <c r="AG52" s="190">
        <v>113277935.79000001</v>
      </c>
      <c r="AH52" s="190">
        <v>98512190.590000004</v>
      </c>
      <c r="AI52" s="190">
        <v>85711795.209999993</v>
      </c>
      <c r="AJ52" s="190">
        <v>84469545.5</v>
      </c>
      <c r="AK52" s="190">
        <v>86081435.269999996</v>
      </c>
      <c r="AL52" s="190">
        <v>85469569.709999993</v>
      </c>
      <c r="AM52" s="190">
        <v>86426187.390000001</v>
      </c>
      <c r="AN52" s="190">
        <v>87582703.409999996</v>
      </c>
      <c r="AO52" s="190">
        <v>88987970.689999998</v>
      </c>
      <c r="AP52" s="190">
        <v>62065196.060000002</v>
      </c>
      <c r="AQ52" s="190">
        <v>58883284.630000003</v>
      </c>
      <c r="AR52" s="190">
        <v>38938869.600000001</v>
      </c>
      <c r="AS52" s="190">
        <v>38801012.880000003</v>
      </c>
      <c r="AT52" s="190">
        <v>41774762.289999999</v>
      </c>
      <c r="AU52" s="190">
        <v>45910122.579999998</v>
      </c>
      <c r="AV52" s="190">
        <v>0</v>
      </c>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134426331.91</v>
      </c>
      <c r="C53" s="190">
        <v>67137899.760000005</v>
      </c>
      <c r="D53" s="190">
        <v>63701408.350000001</v>
      </c>
      <c r="E53" s="190">
        <v>58779225.409999996</v>
      </c>
      <c r="F53" s="190">
        <v>6654807.5099999998</v>
      </c>
      <c r="G53" s="190">
        <v>2300841.25</v>
      </c>
      <c r="H53" s="190">
        <v>349610349.12</v>
      </c>
      <c r="I53" s="190">
        <v>338124698.63</v>
      </c>
      <c r="J53" s="190">
        <v>374460897.70999998</v>
      </c>
      <c r="K53" s="190">
        <v>311106460.39999998</v>
      </c>
      <c r="L53" s="190">
        <v>210582797.52000001</v>
      </c>
      <c r="M53" s="190">
        <v>166606607.16</v>
      </c>
      <c r="N53" s="190">
        <v>110408431.33</v>
      </c>
      <c r="O53" s="190">
        <v>94691447.430000007</v>
      </c>
      <c r="P53" s="190">
        <v>62808427.719999999</v>
      </c>
      <c r="Q53" s="190">
        <v>56400107.479999997</v>
      </c>
      <c r="R53" s="190">
        <v>33979234.090000004</v>
      </c>
      <c r="S53" s="190">
        <v>19801898.16</v>
      </c>
      <c r="T53" s="190">
        <v>3808193.38</v>
      </c>
      <c r="U53" s="190">
        <v>4673494.53</v>
      </c>
      <c r="V53" s="190">
        <v>328636316.74000001</v>
      </c>
      <c r="W53" s="190">
        <v>287144500.30000001</v>
      </c>
      <c r="X53" s="190">
        <v>306902094.58999997</v>
      </c>
      <c r="Y53" s="190">
        <v>266499131.59999999</v>
      </c>
      <c r="Z53" s="190">
        <v>154156200.84</v>
      </c>
      <c r="AA53" s="190">
        <v>129242901.04000001</v>
      </c>
      <c r="AB53" s="190">
        <v>108092561.14</v>
      </c>
      <c r="AC53" s="190">
        <v>123722201.91</v>
      </c>
      <c r="AD53" s="190">
        <v>63256738.640000001</v>
      </c>
      <c r="AE53" s="190">
        <v>44234090.640000001</v>
      </c>
      <c r="AF53" s="190">
        <v>19726454.640000001</v>
      </c>
      <c r="AG53" s="190">
        <v>16372584.640000001</v>
      </c>
      <c r="AH53" s="190">
        <v>2915152.41</v>
      </c>
      <c r="AI53" s="190">
        <v>9899980.4499999993</v>
      </c>
      <c r="AJ53" s="190">
        <v>8741524.8699999992</v>
      </c>
      <c r="AK53" s="190">
        <v>8735183</v>
      </c>
      <c r="AL53" s="190">
        <v>0</v>
      </c>
      <c r="AM53" s="190">
        <v>0</v>
      </c>
      <c r="AN53" s="190">
        <v>0</v>
      </c>
      <c r="AO53" s="190">
        <v>0</v>
      </c>
      <c r="AP53" s="190">
        <v>0</v>
      </c>
      <c r="AQ53" s="190">
        <v>0</v>
      </c>
      <c r="AR53" s="190">
        <v>17292590.170000002</v>
      </c>
      <c r="AS53" s="190">
        <v>17045636.16</v>
      </c>
      <c r="AT53" s="190">
        <v>0</v>
      </c>
      <c r="AU53" s="190">
        <v>0</v>
      </c>
      <c r="AV53" s="190">
        <v>0</v>
      </c>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293554853.38999999</v>
      </c>
      <c r="C58" s="190">
        <v>248859705.63</v>
      </c>
      <c r="D58" s="190">
        <v>249201353.87</v>
      </c>
      <c r="E58" s="190">
        <v>253357254.66</v>
      </c>
      <c r="F58" s="190">
        <v>233657397.65000001</v>
      </c>
      <c r="G58" s="190">
        <v>239312499.08000001</v>
      </c>
      <c r="H58" s="190">
        <v>116199373.81999999</v>
      </c>
      <c r="I58" s="190">
        <v>120174360.59</v>
      </c>
      <c r="J58" s="190">
        <v>127451065.95999999</v>
      </c>
      <c r="K58" s="190">
        <v>117471325.83</v>
      </c>
      <c r="L58" s="190">
        <v>120197403.88</v>
      </c>
      <c r="M58" s="190">
        <v>121278971.15000001</v>
      </c>
      <c r="N58" s="190">
        <v>115067436.18000001</v>
      </c>
      <c r="O58" s="190">
        <v>30462133.059999999</v>
      </c>
      <c r="P58" s="190">
        <v>31046618.879999999</v>
      </c>
      <c r="Q58" s="190">
        <v>31966084.18</v>
      </c>
      <c r="R58" s="190">
        <v>33093974.449999999</v>
      </c>
      <c r="S58" s="190">
        <v>34560821.390000001</v>
      </c>
      <c r="T58" s="190">
        <v>35843182.710000001</v>
      </c>
      <c r="U58" s="190">
        <v>33724863.359999999</v>
      </c>
      <c r="V58" s="190">
        <v>34815232.490000002</v>
      </c>
      <c r="W58" s="190">
        <v>36096320.219999999</v>
      </c>
      <c r="X58" s="190">
        <v>36855790.079999998</v>
      </c>
      <c r="Y58" s="190">
        <v>38116020.82</v>
      </c>
      <c r="Z58" s="190">
        <v>39489876.259999998</v>
      </c>
      <c r="AA58" s="190">
        <v>40486736.740000002</v>
      </c>
      <c r="AB58" s="190">
        <v>33839382.57</v>
      </c>
      <c r="AC58" s="190">
        <v>35171642.670000002</v>
      </c>
      <c r="AD58" s="190">
        <v>36513404.369999997</v>
      </c>
      <c r="AE58" s="190">
        <v>36883951.649999999</v>
      </c>
      <c r="AF58" s="190">
        <v>33026540.379999999</v>
      </c>
      <c r="AG58" s="190">
        <v>34139008.359999999</v>
      </c>
      <c r="AH58" s="190">
        <v>35061214.710000001</v>
      </c>
      <c r="AI58" s="190">
        <v>35959671.920000002</v>
      </c>
      <c r="AJ58" s="190">
        <v>37023752.270000003</v>
      </c>
      <c r="AK58" s="190">
        <v>38070204.380000003</v>
      </c>
      <c r="AL58" s="190">
        <v>28304022.940000001</v>
      </c>
      <c r="AM58" s="190">
        <v>28902184.440000001</v>
      </c>
      <c r="AN58" s="190">
        <v>29391274.440000001</v>
      </c>
      <c r="AO58" s="190">
        <v>30027173.609999999</v>
      </c>
      <c r="AP58" s="190">
        <v>4039552.35</v>
      </c>
      <c r="AQ58" s="190">
        <v>4066048.77</v>
      </c>
      <c r="AR58" s="190">
        <v>4048063.33</v>
      </c>
      <c r="AS58" s="190">
        <v>3795805.04</v>
      </c>
      <c r="AT58" s="190">
        <v>3847622.92</v>
      </c>
      <c r="AU58" s="190">
        <v>3865013.58</v>
      </c>
      <c r="AV58" s="190">
        <v>0</v>
      </c>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9455599.9600000009</v>
      </c>
      <c r="AM59" s="190">
        <v>8319883.9400000004</v>
      </c>
      <c r="AN59" s="190">
        <v>7490147.8899999997</v>
      </c>
      <c r="AO59" s="190">
        <v>6568710.5</v>
      </c>
      <c r="AP59" s="190">
        <v>5850128.3300000001</v>
      </c>
      <c r="AQ59" s="190">
        <v>5138817.7300000004</v>
      </c>
      <c r="AR59" s="190">
        <v>4171900.51</v>
      </c>
      <c r="AS59" s="190">
        <v>3595624.17</v>
      </c>
      <c r="AT59" s="190">
        <v>0</v>
      </c>
      <c r="AU59" s="190">
        <v>0</v>
      </c>
      <c r="AV59" s="190">
        <v>0</v>
      </c>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96540278.379999995</v>
      </c>
      <c r="C60" s="190">
        <v>96540278.379999995</v>
      </c>
      <c r="D60" s="190">
        <v>96540278.379999995</v>
      </c>
      <c r="E60" s="190">
        <v>71083281.090000004</v>
      </c>
      <c r="F60" s="190">
        <v>71083281.090000004</v>
      </c>
      <c r="G60" s="190">
        <v>71083281.090000004</v>
      </c>
      <c r="H60" s="190">
        <v>71083281.090000004</v>
      </c>
      <c r="I60" s="190">
        <v>71083281.090000004</v>
      </c>
      <c r="J60" s="190">
        <v>71083281.090000004</v>
      </c>
      <c r="K60" s="190">
        <v>71083281.090000004</v>
      </c>
      <c r="L60" s="190">
        <v>71083281.090000004</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34163106.289999999</v>
      </c>
      <c r="C61" s="190">
        <v>27653672.809999999</v>
      </c>
      <c r="D61" s="190">
        <v>0</v>
      </c>
      <c r="E61" s="190">
        <v>0</v>
      </c>
      <c r="F61" s="190">
        <v>0</v>
      </c>
      <c r="G61" s="190">
        <v>0</v>
      </c>
      <c r="H61" s="190">
        <v>0</v>
      </c>
      <c r="I61" s="190">
        <v>0</v>
      </c>
      <c r="J61" s="190">
        <v>61981.56</v>
      </c>
      <c r="K61" s="190">
        <v>247926.51</v>
      </c>
      <c r="L61" s="190">
        <v>455134.84</v>
      </c>
      <c r="M61" s="190">
        <v>619816.41</v>
      </c>
      <c r="N61" s="190">
        <v>805761.36</v>
      </c>
      <c r="O61" s="190">
        <v>991706.31</v>
      </c>
      <c r="P61" s="190">
        <v>1177651.26</v>
      </c>
      <c r="Q61" s="190">
        <v>1363596.21</v>
      </c>
      <c r="R61" s="190">
        <v>1549541.16</v>
      </c>
      <c r="S61" s="190">
        <v>1735486.11</v>
      </c>
      <c r="T61" s="190">
        <v>1921431.06</v>
      </c>
      <c r="U61" s="190">
        <v>0</v>
      </c>
      <c r="V61" s="190">
        <v>0</v>
      </c>
      <c r="W61" s="190">
        <v>0</v>
      </c>
      <c r="X61" s="190">
        <v>0</v>
      </c>
      <c r="Y61" s="190">
        <v>0</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90">
        <v>0</v>
      </c>
      <c r="AV61" s="190">
        <v>0</v>
      </c>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335482309.11000001</v>
      </c>
      <c r="C62" s="190">
        <v>340756450.51999998</v>
      </c>
      <c r="D62" s="190">
        <v>283721459.98000002</v>
      </c>
      <c r="E62" s="190">
        <v>251453971.05000001</v>
      </c>
      <c r="F62" s="190">
        <v>248104832.47999999</v>
      </c>
      <c r="G62" s="190">
        <v>201978605.33000001</v>
      </c>
      <c r="H62" s="190">
        <v>194626406.31999999</v>
      </c>
      <c r="I62" s="190">
        <v>179123558.44999999</v>
      </c>
      <c r="J62" s="190">
        <v>157089550.56999999</v>
      </c>
      <c r="K62" s="190">
        <v>135555876.13</v>
      </c>
      <c r="L62" s="190">
        <v>132133459.06999999</v>
      </c>
      <c r="M62" s="190">
        <v>156027265.37</v>
      </c>
      <c r="N62" s="190">
        <v>108399468.2</v>
      </c>
      <c r="O62" s="190">
        <v>103425928.37</v>
      </c>
      <c r="P62" s="190">
        <v>84380827.469999999</v>
      </c>
      <c r="Q62" s="190">
        <v>76707609.709999993</v>
      </c>
      <c r="R62" s="190">
        <v>71522181.709999993</v>
      </c>
      <c r="S62" s="190">
        <v>64765346.189999998</v>
      </c>
      <c r="T62" s="190">
        <v>63489392.82</v>
      </c>
      <c r="U62" s="190">
        <v>91257672.25</v>
      </c>
      <c r="V62" s="190">
        <v>25871364.239999998</v>
      </c>
      <c r="W62" s="190">
        <v>22903132.120000001</v>
      </c>
      <c r="X62" s="190">
        <v>16394698.800000001</v>
      </c>
      <c r="Y62" s="190">
        <v>17604108.539999999</v>
      </c>
      <c r="Z62" s="190">
        <v>14741067.01</v>
      </c>
      <c r="AA62" s="190">
        <v>12382981.869999999</v>
      </c>
      <c r="AB62" s="190">
        <v>10769181.16</v>
      </c>
      <c r="AC62" s="190">
        <v>9718634.8699999992</v>
      </c>
      <c r="AD62" s="190">
        <v>9680153.6899999995</v>
      </c>
      <c r="AE62" s="190">
        <v>8708026.9700000007</v>
      </c>
      <c r="AF62" s="190">
        <v>6514769.1399999997</v>
      </c>
      <c r="AG62" s="190">
        <v>5856067.7199999997</v>
      </c>
      <c r="AH62" s="190">
        <v>6058935.3799999999</v>
      </c>
      <c r="AI62" s="190">
        <v>4506761.3600000003</v>
      </c>
      <c r="AJ62" s="190">
        <v>3778639.15</v>
      </c>
      <c r="AK62" s="190">
        <v>3354926.41</v>
      </c>
      <c r="AL62" s="190">
        <v>2792673.46</v>
      </c>
      <c r="AM62" s="190">
        <v>2239659.13</v>
      </c>
      <c r="AN62" s="190">
        <v>2048590.69</v>
      </c>
      <c r="AO62" s="190">
        <v>1938003.1</v>
      </c>
      <c r="AP62" s="190">
        <v>1291483.83</v>
      </c>
      <c r="AQ62" s="190">
        <v>1291483.83</v>
      </c>
      <c r="AR62" s="190">
        <v>1291485.83</v>
      </c>
      <c r="AS62" s="190">
        <v>1291483.83</v>
      </c>
      <c r="AT62" s="190">
        <v>890541</v>
      </c>
      <c r="AU62" s="190">
        <v>308293.36</v>
      </c>
      <c r="AV62" s="190">
        <v>0</v>
      </c>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57617847.020000003</v>
      </c>
      <c r="C63" s="190">
        <v>53698630.659999996</v>
      </c>
      <c r="D63" s="190">
        <v>46681826.780000001</v>
      </c>
      <c r="E63" s="190">
        <v>45468946.770000003</v>
      </c>
      <c r="F63" s="190">
        <v>22870998.289999999</v>
      </c>
      <c r="G63" s="190">
        <v>18288326.059999999</v>
      </c>
      <c r="H63" s="190">
        <v>14961711.949999999</v>
      </c>
      <c r="I63" s="190">
        <v>23705446.050000001</v>
      </c>
      <c r="J63" s="190">
        <v>11077548.300000001</v>
      </c>
      <c r="K63" s="190">
        <v>10628297.08</v>
      </c>
      <c r="L63" s="190">
        <v>10458152.51</v>
      </c>
      <c r="M63" s="190">
        <v>15360448.050000001</v>
      </c>
      <c r="N63" s="190">
        <v>17826886.98</v>
      </c>
      <c r="O63" s="190">
        <v>18206352.879999999</v>
      </c>
      <c r="P63" s="190">
        <v>22634300.670000002</v>
      </c>
      <c r="Q63" s="190">
        <v>24434300.670000002</v>
      </c>
      <c r="R63" s="190">
        <v>5354782.7300000004</v>
      </c>
      <c r="S63" s="190">
        <v>5768739.0300000003</v>
      </c>
      <c r="T63" s="190">
        <v>5958693.3700000001</v>
      </c>
      <c r="U63" s="190">
        <v>5180957.8099999996</v>
      </c>
      <c r="V63" s="190">
        <v>5587410.75</v>
      </c>
      <c r="W63" s="190">
        <v>6505868.7999999998</v>
      </c>
      <c r="X63" s="190">
        <v>6049136.9400000004</v>
      </c>
      <c r="Y63" s="190">
        <v>7070567.9699999997</v>
      </c>
      <c r="Z63" s="190">
        <v>3862587.51</v>
      </c>
      <c r="AA63" s="190">
        <v>4102305.61</v>
      </c>
      <c r="AB63" s="190">
        <v>3843845.42</v>
      </c>
      <c r="AC63" s="190">
        <v>3843845.42</v>
      </c>
      <c r="AD63" s="190">
        <v>2765037.8</v>
      </c>
      <c r="AE63" s="190">
        <v>3309697.51</v>
      </c>
      <c r="AF63" s="190">
        <v>3309697.51</v>
      </c>
      <c r="AG63" s="190">
        <v>3309697.51</v>
      </c>
      <c r="AH63" s="190">
        <v>0</v>
      </c>
      <c r="AI63" s="190">
        <v>0</v>
      </c>
      <c r="AJ63" s="190">
        <v>0</v>
      </c>
      <c r="AK63" s="190">
        <v>0</v>
      </c>
      <c r="AL63" s="190">
        <v>0</v>
      </c>
      <c r="AM63" s="190">
        <v>0</v>
      </c>
      <c r="AN63" s="190">
        <v>0</v>
      </c>
      <c r="AO63" s="190">
        <v>0</v>
      </c>
      <c r="AP63" s="190">
        <v>539343.63</v>
      </c>
      <c r="AQ63" s="190">
        <v>539343.63</v>
      </c>
      <c r="AR63" s="190">
        <v>539343.63</v>
      </c>
      <c r="AS63" s="190">
        <v>539343.63</v>
      </c>
      <c r="AT63" s="190">
        <v>0</v>
      </c>
      <c r="AU63" s="190">
        <v>0</v>
      </c>
      <c r="AV63" s="190">
        <v>0</v>
      </c>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188658810.37</v>
      </c>
      <c r="C64" s="190">
        <v>205005637.90000001</v>
      </c>
      <c r="D64" s="190">
        <v>121909600.37</v>
      </c>
      <c r="E64" s="190">
        <v>92944735.829999998</v>
      </c>
      <c r="F64" s="190">
        <v>204269255.68000001</v>
      </c>
      <c r="G64" s="190">
        <v>194598416.78999999</v>
      </c>
      <c r="H64" s="190">
        <v>279718505.57999998</v>
      </c>
      <c r="I64" s="190">
        <v>253811968.69999999</v>
      </c>
      <c r="J64" s="190">
        <v>185978760.03</v>
      </c>
      <c r="K64" s="190">
        <v>174245376.86000001</v>
      </c>
      <c r="L64" s="190">
        <v>168852319.80000001</v>
      </c>
      <c r="M64" s="190">
        <v>98950904.469999999</v>
      </c>
      <c r="N64" s="190">
        <v>85706125.209999993</v>
      </c>
      <c r="O64" s="190">
        <v>85601198.049999997</v>
      </c>
      <c r="P64" s="190">
        <v>95645793.340000004</v>
      </c>
      <c r="Q64" s="190">
        <v>9417450.6899999995</v>
      </c>
      <c r="R64" s="190">
        <v>12143172.029999999</v>
      </c>
      <c r="S64" s="190">
        <v>21723010.190000001</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2327127438.8000002</v>
      </c>
      <c r="C68" s="36">
        <f t="shared" ref="C68:BN68" si="8">SUM(C52:C64)-2*C63</f>
        <v>2201404002.3399997</v>
      </c>
      <c r="D68" s="36">
        <f t="shared" si="8"/>
        <v>2002873543.21</v>
      </c>
      <c r="E68" s="36">
        <f t="shared" si="8"/>
        <v>1930454687.04</v>
      </c>
      <c r="F68" s="36">
        <f t="shared" si="8"/>
        <v>1802624584.7</v>
      </c>
      <c r="G68" s="36">
        <f t="shared" si="8"/>
        <v>1755099050.4599998</v>
      </c>
      <c r="H68" s="36">
        <f t="shared" si="8"/>
        <v>1629802158.7299998</v>
      </c>
      <c r="I68" s="36">
        <f t="shared" si="8"/>
        <v>1580830809.45</v>
      </c>
      <c r="J68" s="36">
        <f t="shared" si="8"/>
        <v>1504804039.6199999</v>
      </c>
      <c r="K68" s="36">
        <f t="shared" si="8"/>
        <v>1404643601.8399999</v>
      </c>
      <c r="L68" s="36">
        <f t="shared" si="8"/>
        <v>1301323531.73</v>
      </c>
      <c r="M68" s="36">
        <f t="shared" si="8"/>
        <v>1134449478.1399999</v>
      </c>
      <c r="N68" s="36">
        <f t="shared" si="8"/>
        <v>1010181172.4600002</v>
      </c>
      <c r="O68" s="36">
        <f t="shared" si="8"/>
        <v>910847223.2099998</v>
      </c>
      <c r="P68" s="36">
        <f t="shared" si="8"/>
        <v>875195639.50999999</v>
      </c>
      <c r="Q68" s="36">
        <f t="shared" si="8"/>
        <v>792304037.46000004</v>
      </c>
      <c r="R68" s="36">
        <f t="shared" si="8"/>
        <v>742478969.43000007</v>
      </c>
      <c r="S68" s="36">
        <f t="shared" si="8"/>
        <v>697761763.38000011</v>
      </c>
      <c r="T68" s="36">
        <f t="shared" si="8"/>
        <v>657417343.13999999</v>
      </c>
      <c r="U68" s="36">
        <f t="shared" si="8"/>
        <v>687615592.42999995</v>
      </c>
      <c r="V68" s="36">
        <f t="shared" si="8"/>
        <v>538776147.78999996</v>
      </c>
      <c r="W68" s="36">
        <f t="shared" si="8"/>
        <v>491730478.18000001</v>
      </c>
      <c r="X68" s="36">
        <f t="shared" si="8"/>
        <v>507328688.86999995</v>
      </c>
      <c r="Y68" s="36">
        <f t="shared" si="8"/>
        <v>470899379.27000004</v>
      </c>
      <c r="Z68" s="36">
        <f t="shared" si="8"/>
        <v>362347042.94999999</v>
      </c>
      <c r="AA68" s="36">
        <f t="shared" si="8"/>
        <v>337203248.82999998</v>
      </c>
      <c r="AB68" s="36">
        <f t="shared" si="8"/>
        <v>290984745.16000009</v>
      </c>
      <c r="AC68" s="36">
        <f t="shared" si="8"/>
        <v>309208959.29000002</v>
      </c>
      <c r="AD68" s="36">
        <f t="shared" si="8"/>
        <v>247701335.99000004</v>
      </c>
      <c r="AE68" s="36">
        <f t="shared" si="8"/>
        <v>215071592.66999999</v>
      </c>
      <c r="AF68" s="36">
        <f t="shared" si="8"/>
        <v>169935603.45999998</v>
      </c>
      <c r="AG68" s="36">
        <f t="shared" si="8"/>
        <v>166335899</v>
      </c>
      <c r="AH68" s="36">
        <f t="shared" si="8"/>
        <v>142547493.09</v>
      </c>
      <c r="AI68" s="36">
        <f t="shared" si="8"/>
        <v>136078208.94</v>
      </c>
      <c r="AJ68" s="36">
        <f t="shared" si="8"/>
        <v>134013461.79000002</v>
      </c>
      <c r="AK68" s="36">
        <f t="shared" si="8"/>
        <v>136241749.06</v>
      </c>
      <c r="AL68" s="36">
        <f t="shared" si="8"/>
        <v>126021866.06999998</v>
      </c>
      <c r="AM68" s="36">
        <f t="shared" si="8"/>
        <v>125887914.89999999</v>
      </c>
      <c r="AN68" s="36">
        <f t="shared" si="8"/>
        <v>126512716.42999999</v>
      </c>
      <c r="AO68" s="36">
        <f t="shared" si="8"/>
        <v>127521857.89999999</v>
      </c>
      <c r="AP68" s="36">
        <f t="shared" si="8"/>
        <v>72707016.939999998</v>
      </c>
      <c r="AQ68" s="36">
        <f t="shared" si="8"/>
        <v>68840291.329999998</v>
      </c>
      <c r="AR68" s="36">
        <f t="shared" si="8"/>
        <v>65203565.810000002</v>
      </c>
      <c r="AS68" s="36">
        <f t="shared" si="8"/>
        <v>63990218.45000001</v>
      </c>
      <c r="AT68" s="36">
        <f t="shared" si="8"/>
        <v>46512926.210000001</v>
      </c>
      <c r="AU68" s="36">
        <f t="shared" si="8"/>
        <v>50083429.519999996</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19473480842</v>
      </c>
      <c r="C69" s="33">
        <f t="shared" ref="C69:BN69" si="10">C50+C68</f>
        <v>11886573020.700001</v>
      </c>
      <c r="D69" s="33">
        <f t="shared" si="10"/>
        <v>11099283659.339996</v>
      </c>
      <c r="E69" s="33">
        <f t="shared" si="10"/>
        <v>9204448729.3399963</v>
      </c>
      <c r="F69" s="33">
        <f t="shared" si="10"/>
        <v>9585867022.6899986</v>
      </c>
      <c r="G69" s="33">
        <f t="shared" si="10"/>
        <v>9089579984.9099998</v>
      </c>
      <c r="H69" s="33">
        <f t="shared" si="10"/>
        <v>8543333023.0300007</v>
      </c>
      <c r="I69" s="33">
        <f t="shared" si="10"/>
        <v>6542044436.1599998</v>
      </c>
      <c r="J69" s="33">
        <f t="shared" si="10"/>
        <v>7062753625.2799978</v>
      </c>
      <c r="K69" s="33">
        <f t="shared" si="10"/>
        <v>6415082610.3400002</v>
      </c>
      <c r="L69" s="33">
        <f t="shared" si="10"/>
        <v>5762955125.5000019</v>
      </c>
      <c r="M69" s="33">
        <f t="shared" si="10"/>
        <v>5330053779.0599995</v>
      </c>
      <c r="N69" s="33">
        <f t="shared" si="10"/>
        <v>5427131362.4299994</v>
      </c>
      <c r="O69" s="33">
        <f t="shared" si="10"/>
        <v>4922471858.0799999</v>
      </c>
      <c r="P69" s="33">
        <f t="shared" si="10"/>
        <v>4645450646.4000006</v>
      </c>
      <c r="Q69" s="33">
        <f t="shared" si="10"/>
        <v>4388966012.9200001</v>
      </c>
      <c r="R69" s="33">
        <f t="shared" si="10"/>
        <v>4295396975.5999994</v>
      </c>
      <c r="S69" s="33">
        <f t="shared" si="10"/>
        <v>4004398018.8800001</v>
      </c>
      <c r="T69" s="33">
        <f t="shared" si="10"/>
        <v>2869873669.2099996</v>
      </c>
      <c r="U69" s="33">
        <f t="shared" si="10"/>
        <v>2373649434.6099997</v>
      </c>
      <c r="V69" s="33">
        <f t="shared" si="10"/>
        <v>2192036190.7600002</v>
      </c>
      <c r="W69" s="33">
        <f t="shared" si="10"/>
        <v>2001519495.7600002</v>
      </c>
      <c r="X69" s="33">
        <f t="shared" si="10"/>
        <v>1837319914.6200004</v>
      </c>
      <c r="Y69" s="33">
        <f t="shared" si="10"/>
        <v>1430984394.9400001</v>
      </c>
      <c r="Z69" s="33">
        <f t="shared" si="10"/>
        <v>1498741314.8</v>
      </c>
      <c r="AA69" s="33">
        <f t="shared" si="10"/>
        <v>1453534837.27</v>
      </c>
      <c r="AB69" s="33">
        <f t="shared" si="10"/>
        <v>1352930205.4099998</v>
      </c>
      <c r="AC69" s="33">
        <f t="shared" si="10"/>
        <v>1029169510.8300002</v>
      </c>
      <c r="AD69" s="33">
        <f t="shared" si="10"/>
        <v>1071436277.9000001</v>
      </c>
      <c r="AE69" s="33">
        <f t="shared" si="10"/>
        <v>880796056.14000022</v>
      </c>
      <c r="AF69" s="33">
        <f t="shared" si="10"/>
        <v>747249298.46000004</v>
      </c>
      <c r="AG69" s="33">
        <f t="shared" si="10"/>
        <v>592955725.43999994</v>
      </c>
      <c r="AH69" s="33">
        <f t="shared" si="10"/>
        <v>619857318.25999999</v>
      </c>
      <c r="AI69" s="33">
        <f t="shared" si="10"/>
        <v>515326719.83999997</v>
      </c>
      <c r="AJ69" s="33">
        <f t="shared" si="10"/>
        <v>465322155.78999996</v>
      </c>
      <c r="AK69" s="33">
        <f t="shared" si="10"/>
        <v>400067864.38999999</v>
      </c>
      <c r="AL69" s="33">
        <f t="shared" si="10"/>
        <v>365449003.48999995</v>
      </c>
      <c r="AM69" s="33">
        <f t="shared" si="10"/>
        <v>346834830.33999997</v>
      </c>
      <c r="AN69" s="33">
        <f t="shared" si="10"/>
        <v>336009583.26999998</v>
      </c>
      <c r="AO69" s="33">
        <f t="shared" si="10"/>
        <v>306759913.77999997</v>
      </c>
      <c r="AP69" s="33">
        <f t="shared" si="10"/>
        <v>327824292.46000004</v>
      </c>
      <c r="AQ69" s="33">
        <f t="shared" si="10"/>
        <v>254266096.19</v>
      </c>
      <c r="AR69" s="33">
        <f t="shared" si="10"/>
        <v>192847083.55000001</v>
      </c>
      <c r="AS69" s="33">
        <f t="shared" si="10"/>
        <v>153084957.33000001</v>
      </c>
      <c r="AT69" s="33">
        <f t="shared" si="10"/>
        <v>139395763.84999999</v>
      </c>
      <c r="AU69" s="33">
        <f t="shared" si="10"/>
        <v>108593345.96999997</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21713992008.970001</v>
      </c>
      <c r="C70" s="37">
        <f t="shared" ref="C70:BN70" si="12">C17+C19+C69</f>
        <v>14559001123.950001</v>
      </c>
      <c r="D70" s="37">
        <f t="shared" si="12"/>
        <v>14089780546.849997</v>
      </c>
      <c r="E70" s="37">
        <f t="shared" si="12"/>
        <v>13146898570.789997</v>
      </c>
      <c r="F70" s="37">
        <f t="shared" si="12"/>
        <v>12482420508.929998</v>
      </c>
      <c r="G70" s="37">
        <f t="shared" si="12"/>
        <v>11787124503.309999</v>
      </c>
      <c r="H70" s="37">
        <f t="shared" si="12"/>
        <v>10843985630.030001</v>
      </c>
      <c r="I70" s="37">
        <f t="shared" si="12"/>
        <v>9616417688.5900002</v>
      </c>
      <c r="J70" s="37">
        <f t="shared" si="12"/>
        <v>8791820953.9199982</v>
      </c>
      <c r="K70" s="37">
        <f t="shared" si="12"/>
        <v>8336997619.2600002</v>
      </c>
      <c r="L70" s="37">
        <f t="shared" si="12"/>
        <v>7832021095.5700016</v>
      </c>
      <c r="M70" s="37">
        <f t="shared" si="12"/>
        <v>7163868697.7999992</v>
      </c>
      <c r="N70" s="37">
        <f t="shared" si="12"/>
        <v>6420439797.3399992</v>
      </c>
      <c r="O70" s="37">
        <f t="shared" si="12"/>
        <v>6049441127.2799997</v>
      </c>
      <c r="P70" s="37">
        <f t="shared" si="12"/>
        <v>5742690271.0400009</v>
      </c>
      <c r="Q70" s="37">
        <f t="shared" si="12"/>
        <v>5776822006.6100006</v>
      </c>
      <c r="R70" s="37">
        <f t="shared" si="12"/>
        <v>5433108775.7999992</v>
      </c>
      <c r="S70" s="37">
        <f t="shared" si="12"/>
        <v>5343290039.3199997</v>
      </c>
      <c r="T70" s="37">
        <f t="shared" si="12"/>
        <v>4597922917.6199999</v>
      </c>
      <c r="U70" s="37">
        <f t="shared" si="12"/>
        <v>4237146423.2299995</v>
      </c>
      <c r="V70" s="37">
        <f t="shared" si="12"/>
        <v>3708480980.3600006</v>
      </c>
      <c r="W70" s="37">
        <f t="shared" si="12"/>
        <v>3542832117.9800005</v>
      </c>
      <c r="X70" s="37">
        <f t="shared" si="12"/>
        <v>2516812601.4900002</v>
      </c>
      <c r="Y70" s="37">
        <f t="shared" si="12"/>
        <v>2377544938.23</v>
      </c>
      <c r="Z70" s="37">
        <f t="shared" si="12"/>
        <v>2072206037.54</v>
      </c>
      <c r="AA70" s="37">
        <f t="shared" si="12"/>
        <v>1859988688.0899999</v>
      </c>
      <c r="AB70" s="37">
        <f t="shared" si="12"/>
        <v>1632266801.6599998</v>
      </c>
      <c r="AC70" s="37">
        <f t="shared" si="12"/>
        <v>1556648248.6300001</v>
      </c>
      <c r="AD70" s="37">
        <f t="shared" si="12"/>
        <v>1431377749.2600002</v>
      </c>
      <c r="AE70" s="37">
        <f t="shared" si="12"/>
        <v>1374190298.6100001</v>
      </c>
      <c r="AF70" s="37">
        <f t="shared" si="12"/>
        <v>1362924259.52</v>
      </c>
      <c r="AG70" s="37">
        <f t="shared" si="12"/>
        <v>1326849672.4000001</v>
      </c>
      <c r="AH70" s="37">
        <f t="shared" si="12"/>
        <v>1183799535.73</v>
      </c>
      <c r="AI70" s="37">
        <f t="shared" si="12"/>
        <v>992586321.49000001</v>
      </c>
      <c r="AJ70" s="37">
        <f t="shared" si="12"/>
        <v>955960474.36999989</v>
      </c>
      <c r="AK70" s="37">
        <f t="shared" si="12"/>
        <v>893329580.81999993</v>
      </c>
      <c r="AL70" s="37">
        <f t="shared" si="12"/>
        <v>791845694.1099999</v>
      </c>
      <c r="AM70" s="37">
        <f t="shared" si="12"/>
        <v>758818775.40999997</v>
      </c>
      <c r="AN70" s="37">
        <f t="shared" si="12"/>
        <v>732449166.3499999</v>
      </c>
      <c r="AO70" s="37">
        <f t="shared" si="12"/>
        <v>726219877.28999996</v>
      </c>
      <c r="AP70" s="37">
        <f t="shared" si="12"/>
        <v>699462284.84000003</v>
      </c>
      <c r="AQ70" s="37">
        <f t="shared" si="12"/>
        <v>662044463.54999995</v>
      </c>
      <c r="AR70" s="37">
        <f t="shared" si="12"/>
        <v>242480486.62</v>
      </c>
      <c r="AS70" s="37">
        <f t="shared" si="12"/>
        <v>241576453.01000002</v>
      </c>
      <c r="AT70" s="37">
        <f t="shared" si="12"/>
        <v>168626455.53</v>
      </c>
      <c r="AU70" s="37">
        <f t="shared" si="12"/>
        <v>176706848.08999997</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1837068732.1500001</v>
      </c>
      <c r="F72" s="28">
        <f t="shared" ref="F72:BQ72" si="14">SUM(F73:F77)</f>
        <v>2380631933.0100002</v>
      </c>
      <c r="G72" s="28">
        <f t="shared" si="14"/>
        <v>2161904895.5299997</v>
      </c>
      <c r="H72" s="28">
        <f t="shared" si="14"/>
        <v>1810505278.72</v>
      </c>
      <c r="I72" s="28">
        <f t="shared" si="14"/>
        <v>1020417469.1800001</v>
      </c>
      <c r="J72" s="28">
        <f t="shared" si="14"/>
        <v>951814994.92999995</v>
      </c>
      <c r="K72" s="28">
        <f t="shared" si="14"/>
        <v>883231910.88999999</v>
      </c>
      <c r="L72" s="28">
        <f t="shared" si="14"/>
        <v>755703101.74000001</v>
      </c>
      <c r="M72" s="28">
        <f t="shared" si="14"/>
        <v>503199033.41000003</v>
      </c>
      <c r="N72" s="28">
        <f t="shared" si="14"/>
        <v>338205349.89999998</v>
      </c>
      <c r="O72" s="28">
        <f t="shared" si="14"/>
        <v>264871326.91999999</v>
      </c>
      <c r="P72" s="28">
        <f t="shared" si="14"/>
        <v>61370000</v>
      </c>
      <c r="Q72" s="28">
        <f t="shared" si="14"/>
        <v>197155777.94</v>
      </c>
      <c r="R72" s="28">
        <f t="shared" si="14"/>
        <v>100969519.31999999</v>
      </c>
      <c r="S72" s="28">
        <f t="shared" si="14"/>
        <v>243075229.66</v>
      </c>
      <c r="T72" s="28">
        <f t="shared" si="14"/>
        <v>198447571.94</v>
      </c>
      <c r="U72" s="28">
        <f t="shared" si="14"/>
        <v>43178537.100000001</v>
      </c>
      <c r="V72" s="28">
        <f t="shared" si="14"/>
        <v>43389755.920000002</v>
      </c>
      <c r="W72" s="28">
        <f t="shared" si="14"/>
        <v>107120788.43000001</v>
      </c>
      <c r="X72" s="28">
        <f t="shared" si="14"/>
        <v>220283448.87</v>
      </c>
      <c r="Y72" s="28">
        <f t="shared" si="14"/>
        <v>223969414.22</v>
      </c>
      <c r="Z72" s="28">
        <f t="shared" si="14"/>
        <v>244893350.22</v>
      </c>
      <c r="AA72" s="28">
        <f t="shared" si="14"/>
        <v>185519335.66999999</v>
      </c>
      <c r="AB72" s="28">
        <f t="shared" si="14"/>
        <v>47372079.759999998</v>
      </c>
      <c r="AC72" s="28">
        <f t="shared" si="14"/>
        <v>39323139.789999999</v>
      </c>
      <c r="AD72" s="28">
        <f t="shared" si="14"/>
        <v>93241394.019999996</v>
      </c>
      <c r="AE72" s="28">
        <f t="shared" si="14"/>
        <v>118751534.33</v>
      </c>
      <c r="AF72" s="28">
        <f t="shared" si="14"/>
        <v>138285955.23999998</v>
      </c>
      <c r="AG72" s="28">
        <f t="shared" si="14"/>
        <v>148484834.28</v>
      </c>
      <c r="AH72" s="28">
        <f t="shared" si="14"/>
        <v>139418856.71000001</v>
      </c>
      <c r="AI72" s="28">
        <f t="shared" si="14"/>
        <v>120517437.26000001</v>
      </c>
      <c r="AJ72" s="28">
        <f t="shared" si="14"/>
        <v>107300598.81</v>
      </c>
      <c r="AK72" s="28">
        <f t="shared" si="14"/>
        <v>65052150.950000003</v>
      </c>
      <c r="AL72" s="28">
        <f t="shared" si="14"/>
        <v>20755616.18</v>
      </c>
      <c r="AM72" s="28">
        <f t="shared" si="14"/>
        <v>13681119.619999999</v>
      </c>
      <c r="AN72" s="28">
        <f t="shared" si="14"/>
        <v>0</v>
      </c>
      <c r="AO72" s="28">
        <f t="shared" si="14"/>
        <v>0</v>
      </c>
      <c r="AP72" s="28">
        <f t="shared" si="14"/>
        <v>6840677.6200000001</v>
      </c>
      <c r="AQ72" s="28">
        <f t="shared" si="14"/>
        <v>6869778.3099999996</v>
      </c>
      <c r="AR72" s="28">
        <f t="shared" si="14"/>
        <v>7607150</v>
      </c>
      <c r="AS72" s="28">
        <f t="shared" si="14"/>
        <v>12324112.5</v>
      </c>
      <c r="AT72" s="28">
        <f t="shared" si="14"/>
        <v>25042900</v>
      </c>
      <c r="AU72" s="28">
        <f t="shared" si="14"/>
        <v>30031900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2796729838.96</v>
      </c>
      <c r="C73" s="190">
        <v>2541402275.54</v>
      </c>
      <c r="D73" s="190">
        <v>2396379577.1100001</v>
      </c>
      <c r="E73" s="190">
        <v>1770924255.9000001</v>
      </c>
      <c r="F73" s="190">
        <v>2312969872.5700002</v>
      </c>
      <c r="G73" s="190">
        <v>2096105129.96</v>
      </c>
      <c r="H73" s="190">
        <v>1745598545.3199999</v>
      </c>
      <c r="I73" s="190">
        <v>956929693.85000002</v>
      </c>
      <c r="J73" s="190">
        <v>951544876.38</v>
      </c>
      <c r="K73" s="190">
        <v>882585878.34000003</v>
      </c>
      <c r="L73" s="190">
        <v>752981840</v>
      </c>
      <c r="M73" s="190">
        <v>500000000</v>
      </c>
      <c r="N73" s="190">
        <v>195419500</v>
      </c>
      <c r="O73" s="190">
        <v>122272000</v>
      </c>
      <c r="P73" s="190">
        <v>61370000</v>
      </c>
      <c r="Q73" s="190">
        <v>0</v>
      </c>
      <c r="R73" s="190">
        <v>100365745.61</v>
      </c>
      <c r="S73" s="190">
        <v>241628595.71000001</v>
      </c>
      <c r="T73" s="190">
        <v>197951491.78</v>
      </c>
      <c r="U73" s="190">
        <v>42678300</v>
      </c>
      <c r="V73" s="190">
        <v>43036000</v>
      </c>
      <c r="W73" s="190">
        <v>104642683.23</v>
      </c>
      <c r="X73" s="190">
        <v>215926634.09999999</v>
      </c>
      <c r="Y73" s="190">
        <v>216009100.24000001</v>
      </c>
      <c r="Z73" s="190">
        <v>239639830.50999999</v>
      </c>
      <c r="AA73" s="190">
        <v>184379886.47999999</v>
      </c>
      <c r="AB73" s="190">
        <v>46738183.659999996</v>
      </c>
      <c r="AC73" s="190">
        <v>37805400</v>
      </c>
      <c r="AD73" s="190">
        <v>89181718.239999995</v>
      </c>
      <c r="AE73" s="190">
        <v>115194349.59999999</v>
      </c>
      <c r="AF73" s="190">
        <v>136687488.69</v>
      </c>
      <c r="AG73" s="190">
        <v>147176702.66999999</v>
      </c>
      <c r="AH73" s="190">
        <v>139418856.71000001</v>
      </c>
      <c r="AI73" s="190">
        <v>120517437.26000001</v>
      </c>
      <c r="AJ73" s="190">
        <v>107276623.67</v>
      </c>
      <c r="AK73" s="190">
        <v>65028175.810000002</v>
      </c>
      <c r="AL73" s="190">
        <v>20647294.59</v>
      </c>
      <c r="AM73" s="190">
        <v>13665000</v>
      </c>
      <c r="AN73" s="190">
        <v>0</v>
      </c>
      <c r="AO73" s="190">
        <v>0</v>
      </c>
      <c r="AP73" s="190">
        <v>6825000</v>
      </c>
      <c r="AQ73" s="190">
        <v>6857000</v>
      </c>
      <c r="AR73" s="190">
        <v>7599500</v>
      </c>
      <c r="AS73" s="190">
        <v>12304600</v>
      </c>
      <c r="AT73" s="190">
        <v>25000000</v>
      </c>
      <c r="AU73" s="190">
        <v>30000000</v>
      </c>
      <c r="AV73" s="190">
        <v>0</v>
      </c>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6806258.4199999999</v>
      </c>
      <c r="D74" s="190">
        <v>6643974.5599999996</v>
      </c>
      <c r="E74" s="190">
        <v>3694476.25</v>
      </c>
      <c r="F74" s="190">
        <v>5212060.4400000004</v>
      </c>
      <c r="G74" s="190">
        <v>3349765.57</v>
      </c>
      <c r="H74" s="190">
        <v>2456733.4</v>
      </c>
      <c r="I74" s="190">
        <v>1037775.33</v>
      </c>
      <c r="J74" s="190">
        <v>270118.55</v>
      </c>
      <c r="K74" s="190">
        <v>646032.55000000005</v>
      </c>
      <c r="L74" s="190">
        <v>530765.74</v>
      </c>
      <c r="M74" s="190">
        <v>347577.41</v>
      </c>
      <c r="N74" s="190">
        <v>192275.20000000001</v>
      </c>
      <c r="O74" s="190">
        <v>5752.22</v>
      </c>
      <c r="P74" s="190">
        <v>0</v>
      </c>
      <c r="Q74" s="190">
        <v>0</v>
      </c>
      <c r="R74" s="190">
        <v>603773.71</v>
      </c>
      <c r="S74" s="190">
        <v>1446633.95</v>
      </c>
      <c r="T74" s="190">
        <v>496080.16</v>
      </c>
      <c r="U74" s="190">
        <v>500237.1</v>
      </c>
      <c r="V74" s="190">
        <v>353755.92</v>
      </c>
      <c r="W74" s="190">
        <v>975240.95</v>
      </c>
      <c r="X74" s="190">
        <v>3962060.87</v>
      </c>
      <c r="Y74" s="190">
        <v>5469617.8499999996</v>
      </c>
      <c r="Z74" s="190">
        <v>4452841.5599999996</v>
      </c>
      <c r="AA74" s="190">
        <v>1139449.19</v>
      </c>
      <c r="AB74" s="190">
        <v>486496.1</v>
      </c>
      <c r="AC74" s="190">
        <v>862179.78</v>
      </c>
      <c r="AD74" s="190">
        <v>2139663.0299999998</v>
      </c>
      <c r="AE74" s="190">
        <v>1588690.25</v>
      </c>
      <c r="AF74" s="190">
        <v>1062604.73</v>
      </c>
      <c r="AG74" s="190">
        <v>1308131.6100000001</v>
      </c>
      <c r="AH74" s="190">
        <v>0</v>
      </c>
      <c r="AI74" s="190">
        <v>0</v>
      </c>
      <c r="AJ74" s="190">
        <v>23975.14</v>
      </c>
      <c r="AK74" s="190">
        <v>23975.14</v>
      </c>
      <c r="AL74" s="190">
        <v>108321.59</v>
      </c>
      <c r="AM74" s="190">
        <v>16119.62</v>
      </c>
      <c r="AN74" s="190">
        <v>0</v>
      </c>
      <c r="AO74" s="190">
        <v>0</v>
      </c>
      <c r="AP74" s="190">
        <v>15677.62</v>
      </c>
      <c r="AQ74" s="190">
        <v>12778.31</v>
      </c>
      <c r="AR74" s="190">
        <v>7650</v>
      </c>
      <c r="AS74" s="190">
        <v>19512.5</v>
      </c>
      <c r="AT74" s="190">
        <v>42900</v>
      </c>
      <c r="AU74" s="190">
        <v>31900</v>
      </c>
      <c r="AV74" s="190">
        <v>0</v>
      </c>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127311287.23999999</v>
      </c>
      <c r="C75" s="190">
        <v>103782765.27</v>
      </c>
      <c r="D75" s="190">
        <v>62450000</v>
      </c>
      <c r="E75" s="190">
        <v>62450000</v>
      </c>
      <c r="F75" s="190">
        <v>62450000</v>
      </c>
      <c r="G75" s="190">
        <v>62450000</v>
      </c>
      <c r="H75" s="190">
        <v>62450000</v>
      </c>
      <c r="I75" s="190">
        <v>62450000</v>
      </c>
      <c r="J75" s="190">
        <v>0</v>
      </c>
      <c r="K75" s="190">
        <v>0</v>
      </c>
      <c r="L75" s="190">
        <v>2190496</v>
      </c>
      <c r="M75" s="190">
        <v>2851456</v>
      </c>
      <c r="N75" s="190">
        <v>0</v>
      </c>
      <c r="O75" s="190">
        <v>0</v>
      </c>
      <c r="P75" s="190">
        <v>0</v>
      </c>
      <c r="Q75" s="190">
        <v>0</v>
      </c>
      <c r="R75" s="190">
        <v>0</v>
      </c>
      <c r="S75" s="190">
        <v>0</v>
      </c>
      <c r="T75" s="190">
        <v>0</v>
      </c>
      <c r="U75" s="190">
        <v>0</v>
      </c>
      <c r="V75" s="190">
        <v>0</v>
      </c>
      <c r="W75" s="190">
        <v>1502864.25</v>
      </c>
      <c r="X75" s="190">
        <v>394753.9</v>
      </c>
      <c r="Y75" s="190">
        <v>2490696.13</v>
      </c>
      <c r="Z75" s="190">
        <v>800678.15</v>
      </c>
      <c r="AA75" s="190">
        <v>0</v>
      </c>
      <c r="AB75" s="190">
        <v>147400</v>
      </c>
      <c r="AC75" s="190">
        <v>655560.01</v>
      </c>
      <c r="AD75" s="190">
        <v>1920012.75</v>
      </c>
      <c r="AE75" s="190">
        <v>1968494.48</v>
      </c>
      <c r="AF75" s="190">
        <v>535861.81999999995</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25500000</v>
      </c>
      <c r="C76" s="190">
        <v>25500000</v>
      </c>
      <c r="D76" s="190">
        <v>0</v>
      </c>
      <c r="E76" s="190">
        <v>0</v>
      </c>
      <c r="F76" s="190">
        <v>0</v>
      </c>
      <c r="G76" s="190">
        <v>0</v>
      </c>
      <c r="H76" s="190">
        <v>0</v>
      </c>
      <c r="I76" s="190">
        <v>0</v>
      </c>
      <c r="J76" s="190">
        <v>0</v>
      </c>
      <c r="K76" s="190">
        <v>0</v>
      </c>
      <c r="L76" s="190">
        <v>0</v>
      </c>
      <c r="M76" s="190">
        <v>0</v>
      </c>
      <c r="N76" s="190">
        <v>142593574.69999999</v>
      </c>
      <c r="O76" s="190">
        <v>142593574.69999999</v>
      </c>
      <c r="P76" s="190">
        <v>0</v>
      </c>
      <c r="Q76" s="190">
        <v>197155777.94</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588600936.53999996</v>
      </c>
      <c r="F81" s="28">
        <f t="shared" ref="F81:BQ81" si="16">SUM(F82:F85)</f>
        <v>340000000</v>
      </c>
      <c r="G81" s="28">
        <f t="shared" si="16"/>
        <v>336028147.80000001</v>
      </c>
      <c r="H81" s="28">
        <f t="shared" si="16"/>
        <v>189096536.31</v>
      </c>
      <c r="I81" s="28">
        <f t="shared" si="16"/>
        <v>52741778.57</v>
      </c>
      <c r="J81" s="28">
        <f t="shared" si="16"/>
        <v>5000000</v>
      </c>
      <c r="K81" s="28">
        <f t="shared" si="16"/>
        <v>0</v>
      </c>
      <c r="L81" s="28">
        <f t="shared" si="16"/>
        <v>0</v>
      </c>
      <c r="M81" s="28">
        <f t="shared" si="16"/>
        <v>0</v>
      </c>
      <c r="N81" s="28">
        <f t="shared" si="16"/>
        <v>142593574.69999999</v>
      </c>
      <c r="O81" s="28">
        <f t="shared" si="16"/>
        <v>142593574.69999999</v>
      </c>
      <c r="P81" s="28">
        <f t="shared" si="16"/>
        <v>290047517.80000001</v>
      </c>
      <c r="Q81" s="28">
        <f t="shared" si="16"/>
        <v>295733666.92000002</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179500000</v>
      </c>
      <c r="C82" s="190">
        <v>179500000</v>
      </c>
      <c r="D82" s="190">
        <v>230000000</v>
      </c>
      <c r="E82" s="190">
        <v>230000000</v>
      </c>
      <c r="F82" s="190">
        <v>230000000</v>
      </c>
      <c r="G82" s="190">
        <v>226028147.80000001</v>
      </c>
      <c r="H82" s="190">
        <v>189096536.31</v>
      </c>
      <c r="I82" s="190">
        <v>52741778.57</v>
      </c>
      <c r="J82" s="190">
        <v>5000000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387253299.37</v>
      </c>
      <c r="C85" s="190">
        <v>390395461.44</v>
      </c>
      <c r="D85" s="190">
        <v>359417824.07999998</v>
      </c>
      <c r="E85" s="190">
        <v>358600936.54000002</v>
      </c>
      <c r="F85" s="190">
        <v>110000000</v>
      </c>
      <c r="G85" s="190">
        <v>110000000</v>
      </c>
      <c r="H85" s="190">
        <v>0</v>
      </c>
      <c r="I85" s="190">
        <v>0</v>
      </c>
      <c r="J85" s="190">
        <v>0</v>
      </c>
      <c r="K85" s="190">
        <v>0</v>
      </c>
      <c r="L85" s="190">
        <v>0</v>
      </c>
      <c r="M85" s="190">
        <v>0</v>
      </c>
      <c r="N85" s="190">
        <v>142593574.69999999</v>
      </c>
      <c r="O85" s="190">
        <v>142593574.69999999</v>
      </c>
      <c r="P85" s="190">
        <v>290047517.80000001</v>
      </c>
      <c r="Q85" s="190">
        <v>295733666.92000002</v>
      </c>
      <c r="R85" s="190">
        <v>0</v>
      </c>
      <c r="S85" s="190">
        <v>0</v>
      </c>
      <c r="T85" s="190">
        <v>0</v>
      </c>
      <c r="U85" s="190">
        <v>0</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3516294425.5699997</v>
      </c>
      <c r="C89" s="33">
        <f>SUM(C73:C85)</f>
        <v>3247386760.6700001</v>
      </c>
      <c r="D89" s="33">
        <f>SUM(D73:D85)</f>
        <v>3054891375.75</v>
      </c>
      <c r="E89" s="33">
        <f>E72+E81</f>
        <v>2425669668.6900001</v>
      </c>
      <c r="F89" s="33">
        <f t="shared" ref="F89:BQ89" si="18">F72+F81</f>
        <v>2720631933.0100002</v>
      </c>
      <c r="G89" s="33">
        <f t="shared" si="18"/>
        <v>2497933043.3299999</v>
      </c>
      <c r="H89" s="33">
        <f t="shared" si="18"/>
        <v>1999601815.03</v>
      </c>
      <c r="I89" s="33">
        <f t="shared" si="18"/>
        <v>1073159247.7500001</v>
      </c>
      <c r="J89" s="33">
        <f t="shared" si="18"/>
        <v>956814994.92999995</v>
      </c>
      <c r="K89" s="33">
        <f t="shared" si="18"/>
        <v>883231910.88999999</v>
      </c>
      <c r="L89" s="33">
        <f t="shared" si="18"/>
        <v>755703101.74000001</v>
      </c>
      <c r="M89" s="33">
        <f t="shared" si="18"/>
        <v>503199033.41000003</v>
      </c>
      <c r="N89" s="33">
        <f t="shared" si="18"/>
        <v>480798924.59999996</v>
      </c>
      <c r="O89" s="33">
        <f t="shared" si="18"/>
        <v>407464901.62</v>
      </c>
      <c r="P89" s="33">
        <f t="shared" si="18"/>
        <v>351417517.80000001</v>
      </c>
      <c r="Q89" s="33">
        <f t="shared" si="18"/>
        <v>492889444.86000001</v>
      </c>
      <c r="R89" s="33">
        <f t="shared" si="18"/>
        <v>100969519.31999999</v>
      </c>
      <c r="S89" s="33">
        <f t="shared" si="18"/>
        <v>243075229.66</v>
      </c>
      <c r="T89" s="33">
        <f t="shared" si="18"/>
        <v>198447571.94</v>
      </c>
      <c r="U89" s="33">
        <f t="shared" si="18"/>
        <v>43178537.100000001</v>
      </c>
      <c r="V89" s="33">
        <f t="shared" si="18"/>
        <v>43389755.920000002</v>
      </c>
      <c r="W89" s="33">
        <f t="shared" si="18"/>
        <v>107120788.43000001</v>
      </c>
      <c r="X89" s="33">
        <f t="shared" si="18"/>
        <v>220283448.87</v>
      </c>
      <c r="Y89" s="33">
        <f t="shared" si="18"/>
        <v>223969414.22</v>
      </c>
      <c r="Z89" s="33">
        <f t="shared" si="18"/>
        <v>244893350.22</v>
      </c>
      <c r="AA89" s="33">
        <f t="shared" si="18"/>
        <v>185519335.66999999</v>
      </c>
      <c r="AB89" s="33">
        <f t="shared" si="18"/>
        <v>47372079.759999998</v>
      </c>
      <c r="AC89" s="33">
        <f t="shared" si="18"/>
        <v>39323139.789999999</v>
      </c>
      <c r="AD89" s="33">
        <f t="shared" si="18"/>
        <v>93241394.019999996</v>
      </c>
      <c r="AE89" s="33">
        <f t="shared" si="18"/>
        <v>118751534.33</v>
      </c>
      <c r="AF89" s="33">
        <f t="shared" si="18"/>
        <v>138285955.23999998</v>
      </c>
      <c r="AG89" s="33">
        <f t="shared" si="18"/>
        <v>148484834.28</v>
      </c>
      <c r="AH89" s="33">
        <f t="shared" si="18"/>
        <v>139418856.71000001</v>
      </c>
      <c r="AI89" s="33">
        <f t="shared" si="18"/>
        <v>120517437.26000001</v>
      </c>
      <c r="AJ89" s="33">
        <f t="shared" si="18"/>
        <v>107300598.81</v>
      </c>
      <c r="AK89" s="33">
        <f t="shared" si="18"/>
        <v>65052150.950000003</v>
      </c>
      <c r="AL89" s="33">
        <f t="shared" si="18"/>
        <v>20755616.18</v>
      </c>
      <c r="AM89" s="33">
        <f t="shared" si="18"/>
        <v>13681119.619999999</v>
      </c>
      <c r="AN89" s="33">
        <f t="shared" si="18"/>
        <v>0</v>
      </c>
      <c r="AO89" s="33">
        <f t="shared" si="18"/>
        <v>0</v>
      </c>
      <c r="AP89" s="33">
        <f t="shared" si="18"/>
        <v>6840677.6200000001</v>
      </c>
      <c r="AQ89" s="33">
        <f t="shared" si="18"/>
        <v>6869778.3099999996</v>
      </c>
      <c r="AR89" s="33">
        <f t="shared" si="18"/>
        <v>7607150</v>
      </c>
      <c r="AS89" s="33">
        <f t="shared" si="18"/>
        <v>12324112.5</v>
      </c>
      <c r="AT89" s="33">
        <f t="shared" si="18"/>
        <v>25042900</v>
      </c>
      <c r="AU89" s="33">
        <f t="shared" si="18"/>
        <v>30031900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2898756130</v>
      </c>
      <c r="C91" s="190">
        <v>2898756130</v>
      </c>
      <c r="D91" s="190">
        <v>2898756130</v>
      </c>
      <c r="E91" s="190">
        <v>2898756130</v>
      </c>
      <c r="F91" s="190">
        <v>2898756130</v>
      </c>
      <c r="G91" s="190">
        <v>2898756130</v>
      </c>
      <c r="H91" s="190">
        <v>2899411405</v>
      </c>
      <c r="I91" s="190">
        <v>2899411405</v>
      </c>
      <c r="J91" s="190">
        <v>2899411405</v>
      </c>
      <c r="K91" s="190">
        <v>2899411405</v>
      </c>
      <c r="L91" s="190">
        <v>2899748755</v>
      </c>
      <c r="M91" s="190">
        <v>1159899502</v>
      </c>
      <c r="N91" s="190">
        <v>1160099237</v>
      </c>
      <c r="O91" s="190">
        <v>1160099237</v>
      </c>
      <c r="P91" s="190">
        <v>1160337257</v>
      </c>
      <c r="Q91" s="190">
        <v>1170270750</v>
      </c>
      <c r="R91" s="190">
        <v>1170598250</v>
      </c>
      <c r="S91" s="190">
        <v>1170598250</v>
      </c>
      <c r="T91" s="190">
        <v>1146133167</v>
      </c>
      <c r="U91" s="190">
        <v>1146133167</v>
      </c>
      <c r="V91" s="190">
        <v>1146133167</v>
      </c>
      <c r="W91" s="190">
        <v>1146133167</v>
      </c>
      <c r="X91" s="190">
        <v>558123280</v>
      </c>
      <c r="Y91" s="190">
        <v>558123280</v>
      </c>
      <c r="Z91" s="190">
        <v>558160800</v>
      </c>
      <c r="AA91" s="190">
        <v>558160800</v>
      </c>
      <c r="AB91" s="190">
        <v>279080400</v>
      </c>
      <c r="AC91" s="190">
        <v>279080400</v>
      </c>
      <c r="AD91" s="190">
        <v>279080400</v>
      </c>
      <c r="AE91" s="190">
        <v>279080400</v>
      </c>
      <c r="AF91" s="190">
        <v>139540200</v>
      </c>
      <c r="AG91" s="190">
        <v>139540200</v>
      </c>
      <c r="AH91" s="190">
        <v>139540200</v>
      </c>
      <c r="AI91" s="190">
        <v>133600000</v>
      </c>
      <c r="AJ91" s="190">
        <v>66800000</v>
      </c>
      <c r="AK91" s="190">
        <v>66800000</v>
      </c>
      <c r="AL91" s="190">
        <v>66800000</v>
      </c>
      <c r="AM91" s="190">
        <v>66800000</v>
      </c>
      <c r="AN91" s="190">
        <v>66800000</v>
      </c>
      <c r="AO91" s="190">
        <v>66800000</v>
      </c>
      <c r="AP91" s="190">
        <v>66800000</v>
      </c>
      <c r="AQ91" s="190">
        <v>66800000</v>
      </c>
      <c r="AR91" s="190">
        <v>50000000</v>
      </c>
      <c r="AS91" s="190">
        <v>50000000</v>
      </c>
      <c r="AT91" s="190">
        <v>50000000</v>
      </c>
      <c r="AU91" s="190">
        <v>50000000</v>
      </c>
      <c r="AV91" s="190">
        <v>0</v>
      </c>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593047746.10000002</v>
      </c>
      <c r="C92" s="190">
        <v>592635903.13</v>
      </c>
      <c r="D92" s="190">
        <v>593340751.51999998</v>
      </c>
      <c r="E92" s="190">
        <v>593340751.51999998</v>
      </c>
      <c r="F92" s="190">
        <v>595130510.09000003</v>
      </c>
      <c r="G92" s="190">
        <v>596996941.5</v>
      </c>
      <c r="H92" s="190">
        <v>595546003.82000005</v>
      </c>
      <c r="I92" s="190">
        <v>589582012.28999996</v>
      </c>
      <c r="J92" s="190">
        <v>589273285.98000002</v>
      </c>
      <c r="K92" s="190">
        <v>582679062.12</v>
      </c>
      <c r="L92" s="190">
        <v>572802460.02999997</v>
      </c>
      <c r="M92" s="190">
        <v>1398498487.3</v>
      </c>
      <c r="N92" s="190">
        <v>1387932795.1400001</v>
      </c>
      <c r="O92" s="190">
        <v>1386568054.3599999</v>
      </c>
      <c r="P92" s="190">
        <v>1377140987.46</v>
      </c>
      <c r="Q92" s="190">
        <v>1568469685.6600001</v>
      </c>
      <c r="R92" s="190">
        <v>1586635295.22</v>
      </c>
      <c r="S92" s="190">
        <v>1576430909.0999999</v>
      </c>
      <c r="T92" s="190">
        <v>1094583759.8800001</v>
      </c>
      <c r="U92" s="190">
        <v>1094583759.8800001</v>
      </c>
      <c r="V92" s="190">
        <v>1094583535.24</v>
      </c>
      <c r="W92" s="190">
        <v>1094583535.24</v>
      </c>
      <c r="X92" s="190">
        <v>140276035.25</v>
      </c>
      <c r="Y92" s="190">
        <v>139646899.84999999</v>
      </c>
      <c r="Z92" s="190">
        <v>138294241.80000001</v>
      </c>
      <c r="AA92" s="190">
        <v>136771551.53999999</v>
      </c>
      <c r="AB92" s="190">
        <v>414329261.27999997</v>
      </c>
      <c r="AC92" s="190">
        <v>412806571.01999998</v>
      </c>
      <c r="AD92" s="190">
        <v>406672149.02999997</v>
      </c>
      <c r="AE92" s="190">
        <v>400537727.04000002</v>
      </c>
      <c r="AF92" s="190">
        <v>464173405.05000001</v>
      </c>
      <c r="AG92" s="190">
        <v>458038983.06</v>
      </c>
      <c r="AH92" s="190">
        <v>447196716.24000001</v>
      </c>
      <c r="AI92" s="190">
        <v>342974505.42000002</v>
      </c>
      <c r="AJ92" s="190">
        <v>372760416.48000002</v>
      </c>
      <c r="AK92" s="190">
        <v>372760416.48000002</v>
      </c>
      <c r="AL92" s="190">
        <v>372760416.48000002</v>
      </c>
      <c r="AM92" s="190">
        <v>372760416.48000002</v>
      </c>
      <c r="AN92" s="190">
        <v>372760416.48000002</v>
      </c>
      <c r="AO92" s="190">
        <v>372760416.48000002</v>
      </c>
      <c r="AP92" s="190">
        <v>372760416.48000002</v>
      </c>
      <c r="AQ92" s="190">
        <v>372760416.48000002</v>
      </c>
      <c r="AR92" s="190">
        <v>7450.48</v>
      </c>
      <c r="AS92" s="190">
        <v>7450.48</v>
      </c>
      <c r="AT92" s="190">
        <v>7450.48</v>
      </c>
      <c r="AU92" s="190">
        <v>7450.48</v>
      </c>
      <c r="AV92" s="190">
        <v>0</v>
      </c>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133001534.15000001</v>
      </c>
      <c r="I93" s="190">
        <v>133001534.15000001</v>
      </c>
      <c r="J93" s="190">
        <v>133001534.15000001</v>
      </c>
      <c r="K93" s="190">
        <v>133001534.15000001</v>
      </c>
      <c r="L93" s="190">
        <v>138457917.28</v>
      </c>
      <c r="M93" s="190">
        <v>278520290.04000002</v>
      </c>
      <c r="N93" s="190">
        <v>285187149.39999998</v>
      </c>
      <c r="O93" s="190">
        <v>285187149.39999998</v>
      </c>
      <c r="P93" s="190">
        <v>290047517.80000001</v>
      </c>
      <c r="Q93" s="190">
        <v>492889444.86000001</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4424881.9400000004</v>
      </c>
      <c r="C94" s="190">
        <v>15053949.060000001</v>
      </c>
      <c r="D94" s="190">
        <v>12206231.710000001</v>
      </c>
      <c r="E94" s="190">
        <v>6660189.04</v>
      </c>
      <c r="F94" s="190">
        <v>3332218.57</v>
      </c>
      <c r="G94" s="190">
        <v>2661242.0099999998</v>
      </c>
      <c r="H94" s="190">
        <v>2070525.22</v>
      </c>
      <c r="I94" s="190">
        <v>2295121.7200000002</v>
      </c>
      <c r="J94" s="190">
        <v>-428814.77</v>
      </c>
      <c r="K94" s="190">
        <v>-164792.29</v>
      </c>
      <c r="L94" s="190">
        <v>-824119.25</v>
      </c>
      <c r="M94" s="190">
        <v>-725504.32</v>
      </c>
      <c r="N94" s="190">
        <v>-598440.97</v>
      </c>
      <c r="O94" s="190">
        <v>-111506.48</v>
      </c>
      <c r="P94" s="190">
        <v>-87644.29</v>
      </c>
      <c r="Q94" s="190">
        <v>-55011.41</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971547268.36000001</v>
      </c>
      <c r="C96" s="190">
        <v>971547268.36000001</v>
      </c>
      <c r="D96" s="190">
        <v>971547268.36000001</v>
      </c>
      <c r="E96" s="190">
        <v>971547268.36000001</v>
      </c>
      <c r="F96" s="190">
        <v>717707331.98000002</v>
      </c>
      <c r="G96" s="190">
        <v>717707331.98000002</v>
      </c>
      <c r="H96" s="190">
        <v>717707331.98000002</v>
      </c>
      <c r="I96" s="190">
        <v>717707331.98000002</v>
      </c>
      <c r="J96" s="190">
        <v>528267747</v>
      </c>
      <c r="K96" s="190">
        <v>528267747</v>
      </c>
      <c r="L96" s="190">
        <v>528267747</v>
      </c>
      <c r="M96" s="190">
        <v>528267747</v>
      </c>
      <c r="N96" s="190">
        <v>366076331.12</v>
      </c>
      <c r="O96" s="190">
        <v>366076331.12</v>
      </c>
      <c r="P96" s="190">
        <v>366076331.12</v>
      </c>
      <c r="Q96" s="190">
        <v>366076331.12</v>
      </c>
      <c r="R96" s="190">
        <v>292259176.48000002</v>
      </c>
      <c r="S96" s="190">
        <v>292259176.48000002</v>
      </c>
      <c r="T96" s="190">
        <v>292259176.48000002</v>
      </c>
      <c r="U96" s="190">
        <v>292259176.48000002</v>
      </c>
      <c r="V96" s="190">
        <v>166858744.25999999</v>
      </c>
      <c r="W96" s="190">
        <v>166858744.25999999</v>
      </c>
      <c r="X96" s="190">
        <v>166858744.25999999</v>
      </c>
      <c r="Y96" s="190">
        <v>166858744.25999999</v>
      </c>
      <c r="Z96" s="190">
        <v>104900230.87</v>
      </c>
      <c r="AA96" s="190">
        <v>104900230.87</v>
      </c>
      <c r="AB96" s="190">
        <v>104900230.87</v>
      </c>
      <c r="AC96" s="190">
        <v>104900230.87</v>
      </c>
      <c r="AD96" s="190">
        <v>73842597.590000004</v>
      </c>
      <c r="AE96" s="190">
        <v>73842597.590000004</v>
      </c>
      <c r="AF96" s="190">
        <v>73842597.590000004</v>
      </c>
      <c r="AG96" s="190">
        <v>73842597.590000004</v>
      </c>
      <c r="AH96" s="190">
        <v>48853820.840000004</v>
      </c>
      <c r="AI96" s="190">
        <v>48853820.840000004</v>
      </c>
      <c r="AJ96" s="190">
        <v>48853820.840000004</v>
      </c>
      <c r="AK96" s="190">
        <v>48853820.840000004</v>
      </c>
      <c r="AL96" s="190">
        <v>37085203.100000001</v>
      </c>
      <c r="AM96" s="190">
        <v>37085203.100000001</v>
      </c>
      <c r="AN96" s="190">
        <v>37085203.100000001</v>
      </c>
      <c r="AO96" s="190">
        <v>37085203.100000001</v>
      </c>
      <c r="AP96" s="190">
        <v>26118341.550000001</v>
      </c>
      <c r="AQ96" s="190">
        <v>26118341.550000001</v>
      </c>
      <c r="AR96" s="190">
        <v>26122077.969999999</v>
      </c>
      <c r="AS96" s="190">
        <v>26118341.550000001</v>
      </c>
      <c r="AT96" s="190">
        <v>17639591.399999999</v>
      </c>
      <c r="AU96" s="190">
        <v>14059872.130000001</v>
      </c>
      <c r="AV96" s="190">
        <v>0</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6980060197.8500004</v>
      </c>
      <c r="C98" s="190">
        <v>6498295696.79</v>
      </c>
      <c r="D98" s="190">
        <v>6291653176.9399996</v>
      </c>
      <c r="E98" s="190">
        <v>5996130036.2700005</v>
      </c>
      <c r="F98" s="190">
        <v>5315733413.7299995</v>
      </c>
      <c r="G98" s="190">
        <v>4854244363.6599998</v>
      </c>
      <c r="H98" s="190">
        <v>4447855459.3400002</v>
      </c>
      <c r="I98" s="190">
        <v>4161017062.96</v>
      </c>
      <c r="J98" s="190">
        <v>3594812916.9000001</v>
      </c>
      <c r="K98" s="190">
        <v>3234998224.3200002</v>
      </c>
      <c r="L98" s="190">
        <v>2740404179.5900002</v>
      </c>
      <c r="M98" s="190">
        <v>3685063626.1999998</v>
      </c>
      <c r="N98" s="190">
        <v>3236234977.0799999</v>
      </c>
      <c r="O98" s="190">
        <v>2938610451.1100001</v>
      </c>
      <c r="P98" s="190">
        <v>2694219395.6399999</v>
      </c>
      <c r="Q98" s="190">
        <v>2590788540.8099999</v>
      </c>
      <c r="R98" s="190">
        <v>2245595189.1799998</v>
      </c>
      <c r="S98" s="190">
        <v>2027329464.3</v>
      </c>
      <c r="T98" s="190">
        <v>1837280445.8099999</v>
      </c>
      <c r="U98" s="190">
        <v>1635611965.1500001</v>
      </c>
      <c r="V98" s="190">
        <v>1246057149.3099999</v>
      </c>
      <c r="W98" s="190">
        <v>1016344017.78</v>
      </c>
      <c r="X98" s="190">
        <v>1420186575.8299999</v>
      </c>
      <c r="Y98" s="190">
        <v>1277513486.6600001</v>
      </c>
      <c r="Z98" s="190">
        <v>1017301914.5700001</v>
      </c>
      <c r="AA98" s="190">
        <v>865113828.69000006</v>
      </c>
      <c r="AB98" s="190">
        <v>776041997.03999996</v>
      </c>
      <c r="AC98" s="190">
        <v>709074292</v>
      </c>
      <c r="AD98" s="190">
        <v>566387201.30999994</v>
      </c>
      <c r="AE98" s="190">
        <v>491056096.66000003</v>
      </c>
      <c r="AF98" s="190">
        <v>540874844.96000004</v>
      </c>
      <c r="AG98" s="190">
        <v>501689001.75999999</v>
      </c>
      <c r="AH98" s="190">
        <v>407153783.12</v>
      </c>
      <c r="AI98" s="190">
        <v>344833615.5</v>
      </c>
      <c r="AJ98" s="190">
        <v>358391822.61000001</v>
      </c>
      <c r="AK98" s="190">
        <v>339863192.55000001</v>
      </c>
      <c r="AL98" s="190">
        <v>294422449.41000003</v>
      </c>
      <c r="AM98" s="190">
        <v>268469470.63999999</v>
      </c>
      <c r="AN98" s="190">
        <v>255784846.06999999</v>
      </c>
      <c r="AO98" s="190">
        <v>249474779.94</v>
      </c>
      <c r="AP98" s="190">
        <v>227373004.38999999</v>
      </c>
      <c r="AQ98" s="190">
        <v>189666363.09999999</v>
      </c>
      <c r="AR98" s="190">
        <v>158738992.87</v>
      </c>
      <c r="AS98" s="190">
        <v>152938471.02000001</v>
      </c>
      <c r="AT98" s="190">
        <v>75668961.390000001</v>
      </c>
      <c r="AU98" s="190">
        <v>71520904.519999996</v>
      </c>
      <c r="AV98" s="190">
        <v>0</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2627757.56</v>
      </c>
      <c r="I99" s="190">
        <v>2627757.56</v>
      </c>
      <c r="J99" s="190">
        <v>2627757.56</v>
      </c>
      <c r="K99" s="190">
        <v>2627757.56</v>
      </c>
      <c r="L99" s="190">
        <v>234568171.06</v>
      </c>
      <c r="M99" s="190">
        <v>2588270.66</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29355.07</v>
      </c>
      <c r="AU99" s="190">
        <v>29355.07</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11447836224.25</v>
      </c>
      <c r="C102" s="190">
        <v>10976288947.34</v>
      </c>
      <c r="D102" s="190">
        <v>10767503558.530001</v>
      </c>
      <c r="E102" s="190">
        <v>10466434375.190001</v>
      </c>
      <c r="F102" s="190">
        <v>9530659604.3700008</v>
      </c>
      <c r="G102" s="190">
        <v>9070366009.1499996</v>
      </c>
      <c r="H102" s="190">
        <v>8529589191.21</v>
      </c>
      <c r="I102" s="190">
        <v>8237011399.8000002</v>
      </c>
      <c r="J102" s="190">
        <v>7478335005.96</v>
      </c>
      <c r="K102" s="190">
        <v>7112190112</v>
      </c>
      <c r="L102" s="190">
        <v>6601941105.0900002</v>
      </c>
      <c r="M102" s="190">
        <v>6492483568.1400003</v>
      </c>
      <c r="N102" s="190">
        <v>5864557749.9700003</v>
      </c>
      <c r="O102" s="190">
        <v>5566055417.71</v>
      </c>
      <c r="P102" s="190">
        <v>5307638809.1300001</v>
      </c>
      <c r="Q102" s="190">
        <v>5202660851.3199997</v>
      </c>
      <c r="R102" s="190">
        <v>5295080630.9799995</v>
      </c>
      <c r="S102" s="190">
        <v>5066617799.8800001</v>
      </c>
      <c r="T102" s="190">
        <v>4370256549.1700001</v>
      </c>
      <c r="U102" s="190">
        <v>4168588068.5100002</v>
      </c>
      <c r="V102" s="190">
        <v>3653632966.4499998</v>
      </c>
      <c r="W102" s="190">
        <v>3423918434.8299999</v>
      </c>
      <c r="X102" s="190">
        <v>2285444362.4099998</v>
      </c>
      <c r="Y102" s="190">
        <v>2142142219.95</v>
      </c>
      <c r="Z102" s="190">
        <v>1818657187.24</v>
      </c>
      <c r="AA102" s="190">
        <v>1664946411.0999999</v>
      </c>
      <c r="AB102" s="190">
        <v>1574351889.1900001</v>
      </c>
      <c r="AC102" s="190">
        <v>1505861493.8900001</v>
      </c>
      <c r="AD102" s="190">
        <v>1325982347.9300001</v>
      </c>
      <c r="AE102" s="190">
        <v>1244516821.29</v>
      </c>
      <c r="AF102" s="190">
        <v>1218431047.5999999</v>
      </c>
      <c r="AG102" s="190">
        <v>1173110782.4100001</v>
      </c>
      <c r="AH102" s="190">
        <v>1042744520.2</v>
      </c>
      <c r="AI102" s="190">
        <v>870261941.75999999</v>
      </c>
      <c r="AJ102" s="190">
        <v>846806059.92999995</v>
      </c>
      <c r="AK102" s="190">
        <v>828277429.87</v>
      </c>
      <c r="AL102" s="190">
        <v>771068068.99000001</v>
      </c>
      <c r="AM102" s="190">
        <v>745115090.22000003</v>
      </c>
      <c r="AN102" s="190">
        <v>732430465.64999998</v>
      </c>
      <c r="AO102" s="190">
        <v>726120399.51999998</v>
      </c>
      <c r="AP102" s="190">
        <v>693051762.41999996</v>
      </c>
      <c r="AQ102" s="190">
        <v>655345121.13</v>
      </c>
      <c r="AR102" s="190">
        <v>234868521.31999999</v>
      </c>
      <c r="AS102" s="190">
        <v>229064263.05000001</v>
      </c>
      <c r="AT102" s="190">
        <v>143316739.27000001</v>
      </c>
      <c r="AU102" s="190">
        <v>135588227.13</v>
      </c>
      <c r="AV102" s="190">
        <v>0</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214291932.72</v>
      </c>
      <c r="C103" s="190">
        <v>161119966.24000001</v>
      </c>
      <c r="D103" s="190">
        <v>132061102.05</v>
      </c>
      <c r="E103" s="190">
        <v>126795637.3</v>
      </c>
      <c r="F103" s="190">
        <v>126361561.78</v>
      </c>
      <c r="G103" s="190">
        <v>108028857.59999999</v>
      </c>
      <c r="H103" s="190">
        <v>199474402.63</v>
      </c>
      <c r="I103" s="190">
        <v>188773235.47999999</v>
      </c>
      <c r="J103" s="190">
        <v>196113126.06999999</v>
      </c>
      <c r="K103" s="190">
        <v>181052977.16</v>
      </c>
      <c r="L103" s="190">
        <v>148239108.38</v>
      </c>
      <c r="M103" s="190">
        <v>73903788.760000005</v>
      </c>
      <c r="N103" s="190">
        <v>9287661.0800000001</v>
      </c>
      <c r="O103" s="190">
        <v>11287247.119999999</v>
      </c>
      <c r="P103" s="190">
        <v>11861120.17</v>
      </c>
      <c r="Q103" s="190">
        <v>8377451.5099999998</v>
      </c>
      <c r="R103" s="190">
        <v>6403346.46</v>
      </c>
      <c r="S103" s="190">
        <v>5682199.8200000003</v>
      </c>
      <c r="T103" s="190">
        <v>5189791.63</v>
      </c>
      <c r="U103" s="190">
        <v>5291407.72</v>
      </c>
      <c r="V103" s="190">
        <v>5060313.46</v>
      </c>
      <c r="W103" s="190">
        <v>5293431.21</v>
      </c>
      <c r="X103" s="190">
        <v>4885326.7</v>
      </c>
      <c r="Y103" s="190">
        <v>5510840.5499999998</v>
      </c>
      <c r="Z103" s="190">
        <v>6206636.5700000003</v>
      </c>
      <c r="AA103" s="190">
        <v>7074077.8099999996</v>
      </c>
      <c r="AB103" s="190">
        <v>8093969.2000000002</v>
      </c>
      <c r="AC103" s="190">
        <v>9014751.4399999995</v>
      </c>
      <c r="AD103" s="190">
        <v>8136977.4299999997</v>
      </c>
      <c r="AE103" s="190">
        <v>6904913.1100000003</v>
      </c>
      <c r="AF103" s="190">
        <v>2190226.7999999998</v>
      </c>
      <c r="AG103" s="190">
        <v>1237025.83</v>
      </c>
      <c r="AH103" s="190">
        <v>1636158.82</v>
      </c>
      <c r="AI103" s="190">
        <v>1806942.47</v>
      </c>
      <c r="AJ103" s="190">
        <v>1853815.63</v>
      </c>
      <c r="AK103" s="190">
        <v>0</v>
      </c>
      <c r="AL103" s="190">
        <v>22008.94</v>
      </c>
      <c r="AM103" s="190">
        <v>22565.57</v>
      </c>
      <c r="AN103" s="190">
        <v>18700.7</v>
      </c>
      <c r="AO103" s="190">
        <v>99477.77</v>
      </c>
      <c r="AP103" s="190">
        <v>-430155.2</v>
      </c>
      <c r="AQ103" s="190">
        <v>-170435.89</v>
      </c>
      <c r="AR103" s="190">
        <v>4815.3</v>
      </c>
      <c r="AS103" s="190">
        <v>188077.46</v>
      </c>
      <c r="AT103" s="190">
        <v>237461.19</v>
      </c>
      <c r="AU103" s="190">
        <v>11057365.890000001</v>
      </c>
      <c r="AV103" s="190">
        <v>0</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11662128156.969999</v>
      </c>
      <c r="C107" s="33">
        <f>C102+C103</f>
        <v>11137408913.58</v>
      </c>
      <c r="D107" s="33">
        <f>D102+D103</f>
        <v>10899564660.58</v>
      </c>
      <c r="E107" s="33">
        <f>E102+E103</f>
        <v>10593230012.49</v>
      </c>
      <c r="F107" s="33">
        <f t="shared" ref="F107:BQ107" si="20">F102+F103</f>
        <v>9657021166.1500015</v>
      </c>
      <c r="G107" s="33">
        <f t="shared" si="20"/>
        <v>9178394866.75</v>
      </c>
      <c r="H107" s="33">
        <f t="shared" si="20"/>
        <v>8729063593.8400002</v>
      </c>
      <c r="I107" s="33">
        <f t="shared" si="20"/>
        <v>8425784635.2799997</v>
      </c>
      <c r="J107" s="33">
        <f t="shared" si="20"/>
        <v>7674448132.0299997</v>
      </c>
      <c r="K107" s="33">
        <f t="shared" si="20"/>
        <v>7293243089.1599998</v>
      </c>
      <c r="L107" s="33">
        <f t="shared" si="20"/>
        <v>6750180213.4700003</v>
      </c>
      <c r="M107" s="33">
        <f t="shared" si="20"/>
        <v>6566387356.9000006</v>
      </c>
      <c r="N107" s="33">
        <f t="shared" si="20"/>
        <v>5873845411.0500002</v>
      </c>
      <c r="O107" s="33">
        <f t="shared" si="20"/>
        <v>5577342664.8299999</v>
      </c>
      <c r="P107" s="33">
        <f t="shared" si="20"/>
        <v>5319499929.3000002</v>
      </c>
      <c r="Q107" s="33">
        <f t="shared" si="20"/>
        <v>5211038302.8299999</v>
      </c>
      <c r="R107" s="33">
        <f t="shared" si="20"/>
        <v>5301483977.4399996</v>
      </c>
      <c r="S107" s="33">
        <f t="shared" si="20"/>
        <v>5072299999.6999998</v>
      </c>
      <c r="T107" s="33">
        <f t="shared" si="20"/>
        <v>4375446340.8000002</v>
      </c>
      <c r="U107" s="33">
        <f t="shared" si="20"/>
        <v>4173879476.23</v>
      </c>
      <c r="V107" s="33">
        <f t="shared" si="20"/>
        <v>3658693279.9099998</v>
      </c>
      <c r="W107" s="33">
        <f t="shared" si="20"/>
        <v>3429211866.04</v>
      </c>
      <c r="X107" s="33">
        <f t="shared" si="20"/>
        <v>2290329689.1099997</v>
      </c>
      <c r="Y107" s="33">
        <f t="shared" si="20"/>
        <v>2147653060.5</v>
      </c>
      <c r="Z107" s="33">
        <f t="shared" si="20"/>
        <v>1824863823.8099999</v>
      </c>
      <c r="AA107" s="33">
        <f t="shared" si="20"/>
        <v>1672020488.9099998</v>
      </c>
      <c r="AB107" s="33">
        <f t="shared" si="20"/>
        <v>1582445858.3900001</v>
      </c>
      <c r="AC107" s="33">
        <f t="shared" si="20"/>
        <v>1514876245.3300002</v>
      </c>
      <c r="AD107" s="33">
        <f t="shared" si="20"/>
        <v>1334119325.3600001</v>
      </c>
      <c r="AE107" s="33">
        <f t="shared" si="20"/>
        <v>1251421734.3999999</v>
      </c>
      <c r="AF107" s="33">
        <f t="shared" si="20"/>
        <v>1220621274.3999999</v>
      </c>
      <c r="AG107" s="33">
        <f t="shared" si="20"/>
        <v>1174347808.24</v>
      </c>
      <c r="AH107" s="33">
        <f t="shared" si="20"/>
        <v>1044380679.0200001</v>
      </c>
      <c r="AI107" s="33">
        <f t="shared" si="20"/>
        <v>872068884.23000002</v>
      </c>
      <c r="AJ107" s="33">
        <f t="shared" si="20"/>
        <v>848659875.55999994</v>
      </c>
      <c r="AK107" s="33">
        <f t="shared" si="20"/>
        <v>828277429.87</v>
      </c>
      <c r="AL107" s="33">
        <f t="shared" si="20"/>
        <v>771090077.93000007</v>
      </c>
      <c r="AM107" s="33">
        <f t="shared" si="20"/>
        <v>745137655.79000008</v>
      </c>
      <c r="AN107" s="33">
        <f t="shared" si="20"/>
        <v>732449166.35000002</v>
      </c>
      <c r="AO107" s="33">
        <f t="shared" si="20"/>
        <v>726219877.28999996</v>
      </c>
      <c r="AP107" s="33">
        <f t="shared" si="20"/>
        <v>692621607.21999991</v>
      </c>
      <c r="AQ107" s="33">
        <f t="shared" si="20"/>
        <v>655174685.24000001</v>
      </c>
      <c r="AR107" s="33">
        <f t="shared" si="20"/>
        <v>234873336.62</v>
      </c>
      <c r="AS107" s="33">
        <f t="shared" si="20"/>
        <v>229252340.51000002</v>
      </c>
      <c r="AT107" s="33">
        <f t="shared" si="20"/>
        <v>143554200.46000001</v>
      </c>
      <c r="AU107" s="33">
        <f t="shared" si="20"/>
        <v>146645593.01999998</v>
      </c>
      <c r="AV107" s="33">
        <f t="shared" si="20"/>
        <v>0</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15178422582.539999</v>
      </c>
      <c r="C108" s="38">
        <f t="shared" ref="C108:BN108" si="22">SUM(C89+C107)</f>
        <v>14384795674.25</v>
      </c>
      <c r="D108" s="38">
        <f t="shared" si="22"/>
        <v>13954456036.33</v>
      </c>
      <c r="E108" s="38">
        <f>SUM(E107+E89)</f>
        <v>13018899681.18</v>
      </c>
      <c r="F108" s="38">
        <f t="shared" si="22"/>
        <v>12377653099.160002</v>
      </c>
      <c r="G108" s="38">
        <f t="shared" si="22"/>
        <v>11676327910.08</v>
      </c>
      <c r="H108" s="38">
        <f t="shared" si="22"/>
        <v>10728665408.870001</v>
      </c>
      <c r="I108" s="38">
        <f t="shared" si="22"/>
        <v>9498943883.0300007</v>
      </c>
      <c r="J108" s="38">
        <f t="shared" si="22"/>
        <v>8631263126.9599991</v>
      </c>
      <c r="K108" s="38">
        <f t="shared" si="22"/>
        <v>8176475000.0500002</v>
      </c>
      <c r="L108" s="38">
        <f t="shared" si="22"/>
        <v>7505883315.21</v>
      </c>
      <c r="M108" s="38">
        <f t="shared" si="22"/>
        <v>7069586390.3100004</v>
      </c>
      <c r="N108" s="38">
        <f t="shared" si="22"/>
        <v>6354644335.6500006</v>
      </c>
      <c r="O108" s="38">
        <f t="shared" si="22"/>
        <v>5984807566.4499998</v>
      </c>
      <c r="P108" s="38">
        <f t="shared" si="22"/>
        <v>5670917447.1000004</v>
      </c>
      <c r="Q108" s="38">
        <f t="shared" si="22"/>
        <v>5703927747.6899996</v>
      </c>
      <c r="R108" s="38">
        <f t="shared" si="22"/>
        <v>5402453496.7599993</v>
      </c>
      <c r="S108" s="38">
        <f t="shared" si="22"/>
        <v>5315375229.3599997</v>
      </c>
      <c r="T108" s="38">
        <f t="shared" si="22"/>
        <v>4573893912.7399998</v>
      </c>
      <c r="U108" s="38">
        <f t="shared" si="22"/>
        <v>4217058013.3299999</v>
      </c>
      <c r="V108" s="38">
        <f t="shared" si="22"/>
        <v>3702083035.8299999</v>
      </c>
      <c r="W108" s="38">
        <f t="shared" si="22"/>
        <v>3536332654.4699998</v>
      </c>
      <c r="X108" s="38">
        <f t="shared" si="22"/>
        <v>2510613137.9799995</v>
      </c>
      <c r="Y108" s="38">
        <f t="shared" si="22"/>
        <v>2371622474.7199998</v>
      </c>
      <c r="Z108" s="38">
        <f t="shared" si="22"/>
        <v>2069757174.03</v>
      </c>
      <c r="AA108" s="38">
        <f t="shared" si="22"/>
        <v>1857539824.5799999</v>
      </c>
      <c r="AB108" s="38">
        <f t="shared" si="22"/>
        <v>1629817938.1500001</v>
      </c>
      <c r="AC108" s="38">
        <f t="shared" si="22"/>
        <v>1554199385.1200001</v>
      </c>
      <c r="AD108" s="38">
        <f t="shared" si="22"/>
        <v>1427360719.3800001</v>
      </c>
      <c r="AE108" s="38">
        <f t="shared" si="22"/>
        <v>1370173268.7299998</v>
      </c>
      <c r="AF108" s="38">
        <f t="shared" si="22"/>
        <v>1358907229.6399999</v>
      </c>
      <c r="AG108" s="38">
        <f t="shared" si="22"/>
        <v>1322832642.52</v>
      </c>
      <c r="AH108" s="38">
        <f t="shared" si="22"/>
        <v>1183799535.73</v>
      </c>
      <c r="AI108" s="38">
        <f t="shared" si="22"/>
        <v>992586321.49000001</v>
      </c>
      <c r="AJ108" s="38">
        <f t="shared" si="22"/>
        <v>955960474.36999989</v>
      </c>
      <c r="AK108" s="38">
        <f t="shared" si="22"/>
        <v>893329580.82000005</v>
      </c>
      <c r="AL108" s="38">
        <f t="shared" si="22"/>
        <v>791845694.11000001</v>
      </c>
      <c r="AM108" s="38">
        <f t="shared" si="22"/>
        <v>758818775.41000009</v>
      </c>
      <c r="AN108" s="38">
        <f t="shared" si="22"/>
        <v>732449166.35000002</v>
      </c>
      <c r="AO108" s="38">
        <f t="shared" si="22"/>
        <v>726219877.28999996</v>
      </c>
      <c r="AP108" s="38">
        <f t="shared" si="22"/>
        <v>699462284.83999991</v>
      </c>
      <c r="AQ108" s="38">
        <f t="shared" si="22"/>
        <v>662044463.54999995</v>
      </c>
      <c r="AR108" s="38">
        <f t="shared" si="22"/>
        <v>242480486.62</v>
      </c>
      <c r="AS108" s="38">
        <f t="shared" si="22"/>
        <v>241576453.01000002</v>
      </c>
      <c r="AT108" s="38">
        <f t="shared" si="22"/>
        <v>168597100.46000001</v>
      </c>
      <c r="AU108" s="38">
        <f t="shared" si="22"/>
        <v>176677493.01999998</v>
      </c>
      <c r="AV108" s="38">
        <f t="shared" si="22"/>
        <v>0</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54" workbookViewId="0">
      <selection activeCell="AO56" sqref="AO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21.44140625" bestFit="1" customWidth="1"/>
    <col min="18" max="19" width="19.33203125" hidden="1" customWidth="1"/>
    <col min="20" max="20" width="20.21875" hidden="1" customWidth="1"/>
    <col min="21" max="21" width="21.44140625" bestFit="1" customWidth="1"/>
    <col min="22" max="22" width="19.33203125" hidden="1" customWidth="1"/>
    <col min="23" max="24" width="19" hidden="1" customWidth="1"/>
    <col min="25" max="25" width="19.33203125" bestFit="1" customWidth="1"/>
    <col min="26" max="28" width="19" hidden="1" customWidth="1"/>
    <col min="29" max="29" width="19" bestFit="1" customWidth="1"/>
    <col min="30" max="32" width="19" hidden="1" customWidth="1"/>
    <col min="33" max="33" width="19" bestFit="1" customWidth="1"/>
    <col min="34" max="34" width="19" hidden="1" customWidth="1"/>
    <col min="35" max="35" width="17.77734375" hidden="1" customWidth="1"/>
    <col min="36" max="36" width="19" hidden="1" customWidth="1"/>
    <col min="37" max="37" width="19" bestFit="1" customWidth="1"/>
    <col min="38" max="38" width="17.77734375" hidden="1" customWidth="1"/>
    <col min="39" max="40" width="19" hidden="1" customWidth="1"/>
    <col min="41" max="41" width="19" bestFit="1" customWidth="1"/>
    <col min="42" max="42" width="17.77734375" hidden="1" customWidth="1"/>
    <col min="43" max="44" width="19" hidden="1" customWidth="1"/>
    <col min="45" max="45" width="17.77734375" bestFit="1" customWidth="1"/>
    <col min="46" max="47" width="17.77734375" hidden="1" customWidth="1"/>
    <col min="48" max="48" width="16.5546875" hidden="1" customWidth="1"/>
    <col min="49" max="50" width="17.77734375" bestFit="1" customWidth="1"/>
    <col min="51" max="51" width="9.5546875" hidden="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15030729066.200001</v>
      </c>
      <c r="C4" s="190">
        <v>9814041352.4799995</v>
      </c>
      <c r="D4" s="190">
        <v>3617652691.4000001</v>
      </c>
      <c r="E4" s="190">
        <v>18844458053.779999</v>
      </c>
      <c r="F4" s="190">
        <v>11723294881.290001</v>
      </c>
      <c r="G4" s="190">
        <v>7464664934.3800001</v>
      </c>
      <c r="H4" s="190">
        <v>2648612419.3600001</v>
      </c>
      <c r="I4" s="190">
        <v>13329094010.82</v>
      </c>
      <c r="J4" s="190">
        <v>7968634527.2799997</v>
      </c>
      <c r="K4" s="190">
        <v>4949746889.5100002</v>
      </c>
      <c r="L4" s="190">
        <v>1782728113.9400001</v>
      </c>
      <c r="M4" s="190">
        <v>10077833438.49</v>
      </c>
      <c r="N4" s="190">
        <v>5830194178.29</v>
      </c>
      <c r="O4" s="190">
        <v>3468887211.1300001</v>
      </c>
      <c r="P4" s="190">
        <v>1202598595.55</v>
      </c>
      <c r="Q4" s="190">
        <v>7331881449.46</v>
      </c>
      <c r="R4" s="190">
        <v>4647473079.6899996</v>
      </c>
      <c r="S4" s="190">
        <v>3042521916.96</v>
      </c>
      <c r="T4" s="190">
        <v>1144820982.71</v>
      </c>
      <c r="U4" s="190">
        <v>5410094042.8000002</v>
      </c>
      <c r="V4" s="190">
        <v>3259172104.4099998</v>
      </c>
      <c r="W4" s="190">
        <v>2031589599.46</v>
      </c>
      <c r="X4" s="190">
        <v>788467237.58000004</v>
      </c>
      <c r="Y4" s="190">
        <v>3531214471.6199999</v>
      </c>
      <c r="Z4" s="190">
        <v>2192882979.0100002</v>
      </c>
      <c r="AA4" s="190">
        <v>1296870812.8800001</v>
      </c>
      <c r="AB4" s="190">
        <v>498029565.17000002</v>
      </c>
      <c r="AC4" s="190">
        <v>2205208207.0799999</v>
      </c>
      <c r="AD4" s="190">
        <v>1460699765.0599999</v>
      </c>
      <c r="AE4" s="190">
        <v>894260544.45000005</v>
      </c>
      <c r="AF4" s="190">
        <v>328634906.66000003</v>
      </c>
      <c r="AG4" s="190">
        <v>1516275445.1600001</v>
      </c>
      <c r="AH4" s="190">
        <v>957975121.67999995</v>
      </c>
      <c r="AI4" s="190">
        <v>570649139.51999998</v>
      </c>
      <c r="AJ4" s="190">
        <v>212729003.41999999</v>
      </c>
      <c r="AK4" s="190">
        <v>835942072.07000005</v>
      </c>
      <c r="AL4" s="190">
        <v>518260863.69</v>
      </c>
      <c r="AM4" s="190">
        <v>299015862</v>
      </c>
      <c r="AN4" s="190">
        <v>129896906.78</v>
      </c>
      <c r="AO4" s="190">
        <v>632018390.76999998</v>
      </c>
      <c r="AP4" s="190">
        <v>444354759.20999998</v>
      </c>
      <c r="AQ4" s="190">
        <v>264817613.74000001</v>
      </c>
      <c r="AR4" s="190">
        <v>79182563.640000001</v>
      </c>
      <c r="AS4" s="190">
        <v>405185173.70999998</v>
      </c>
      <c r="AT4" s="190">
        <v>257689679.09</v>
      </c>
      <c r="AU4" s="190">
        <v>139893683.97999999</v>
      </c>
      <c r="AV4" s="190">
        <v>50910017.090000004</v>
      </c>
      <c r="AW4" s="190">
        <v>445538267</v>
      </c>
      <c r="AX4" s="190">
        <v>293144590.5</v>
      </c>
      <c r="AY4" s="190">
        <v>0</v>
      </c>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9563851634.7800007</v>
      </c>
      <c r="C5" s="190">
        <v>6230120445.0600004</v>
      </c>
      <c r="D5" s="190">
        <v>2207716754.7800002</v>
      </c>
      <c r="E5" s="190">
        <v>11639494423.209999</v>
      </c>
      <c r="F5" s="190">
        <v>7135008488.79</v>
      </c>
      <c r="G5" s="190">
        <v>4520040801.1400003</v>
      </c>
      <c r="H5" s="190">
        <v>1595885119.46</v>
      </c>
      <c r="I5" s="190">
        <v>8303330527.9899998</v>
      </c>
      <c r="J5" s="190">
        <v>4896834064.1800003</v>
      </c>
      <c r="K5" s="190">
        <v>3046785118.8600001</v>
      </c>
      <c r="L5" s="190">
        <v>1092805341.8900001</v>
      </c>
      <c r="M5" s="190">
        <v>6326729830.1899996</v>
      </c>
      <c r="N5" s="190">
        <v>3604511249.5</v>
      </c>
      <c r="O5" s="190">
        <v>2145251631.1700001</v>
      </c>
      <c r="P5" s="190">
        <v>747062083.16999996</v>
      </c>
      <c r="Q5" s="190">
        <v>4535434866.8100004</v>
      </c>
      <c r="R5" s="190">
        <v>2893366049.1599998</v>
      </c>
      <c r="S5" s="190">
        <v>1889810162.6700001</v>
      </c>
      <c r="T5" s="190">
        <v>666508253.00999999</v>
      </c>
      <c r="U5" s="190">
        <v>3093424246.1199999</v>
      </c>
      <c r="V5" s="190">
        <v>1845258095.8399999</v>
      </c>
      <c r="W5" s="190">
        <v>1138758255.5</v>
      </c>
      <c r="X5" s="190">
        <v>455317949.39999998</v>
      </c>
      <c r="Y5" s="190">
        <v>2024408961.3800001</v>
      </c>
      <c r="Z5" s="190">
        <v>1266358555.21</v>
      </c>
      <c r="AA5" s="190">
        <v>756705697.53999996</v>
      </c>
      <c r="AB5" s="190">
        <v>298068983.63</v>
      </c>
      <c r="AC5" s="190">
        <v>1273054979.3800001</v>
      </c>
      <c r="AD5" s="190">
        <v>866086435.67999995</v>
      </c>
      <c r="AE5" s="190">
        <v>526147755.11000001</v>
      </c>
      <c r="AF5" s="190">
        <v>189841253.94</v>
      </c>
      <c r="AG5" s="190">
        <v>860147255.85000002</v>
      </c>
      <c r="AH5" s="190">
        <v>556344037.27999997</v>
      </c>
      <c r="AI5" s="190">
        <v>329947315.69</v>
      </c>
      <c r="AJ5" s="190">
        <v>123225849.36</v>
      </c>
      <c r="AK5" s="190">
        <v>511547595.32999998</v>
      </c>
      <c r="AL5" s="190">
        <v>320126727.70999998</v>
      </c>
      <c r="AM5" s="190">
        <v>181632798.91999999</v>
      </c>
      <c r="AN5" s="190">
        <v>77656127.25</v>
      </c>
      <c r="AO5" s="190">
        <v>386541826.72000003</v>
      </c>
      <c r="AP5" s="190">
        <v>270913102.88999999</v>
      </c>
      <c r="AQ5" s="190">
        <v>165611545.53999999</v>
      </c>
      <c r="AR5" s="190">
        <v>49485426.049999997</v>
      </c>
      <c r="AS5" s="190">
        <v>238461729.68000001</v>
      </c>
      <c r="AT5" s="190">
        <v>152195742.72</v>
      </c>
      <c r="AU5" s="190">
        <v>83639847.640000001</v>
      </c>
      <c r="AV5" s="190">
        <v>30839528.030000001</v>
      </c>
      <c r="AW5" s="190">
        <v>294800132.11000001</v>
      </c>
      <c r="AX5" s="190">
        <v>193968349.19</v>
      </c>
      <c r="AY5" s="190">
        <v>0</v>
      </c>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5466877431.4200001</v>
      </c>
      <c r="C6" s="27">
        <f t="shared" ref="C6:BN6" si="0">C4-C5</f>
        <v>3583920907.4199991</v>
      </c>
      <c r="D6" s="27">
        <f t="shared" si="0"/>
        <v>1409935936.6199999</v>
      </c>
      <c r="E6" s="27">
        <f t="shared" si="0"/>
        <v>7204963630.5699997</v>
      </c>
      <c r="F6" s="27">
        <f t="shared" si="0"/>
        <v>4588286392.500001</v>
      </c>
      <c r="G6" s="27">
        <f t="shared" si="0"/>
        <v>2944624133.2399998</v>
      </c>
      <c r="H6" s="27">
        <f t="shared" si="0"/>
        <v>1052727299.9000001</v>
      </c>
      <c r="I6" s="27">
        <f t="shared" si="0"/>
        <v>5025763482.8299999</v>
      </c>
      <c r="J6" s="27">
        <f t="shared" si="0"/>
        <v>3071800463.0999994</v>
      </c>
      <c r="K6" s="27">
        <f t="shared" si="0"/>
        <v>1902961770.6500001</v>
      </c>
      <c r="L6" s="27">
        <f t="shared" si="0"/>
        <v>689922772.04999995</v>
      </c>
      <c r="M6" s="27">
        <f t="shared" si="0"/>
        <v>3751103608.3000002</v>
      </c>
      <c r="N6" s="27">
        <f t="shared" si="0"/>
        <v>2225682928.79</v>
      </c>
      <c r="O6" s="27">
        <f t="shared" si="0"/>
        <v>1323635579.96</v>
      </c>
      <c r="P6" s="27">
        <f t="shared" si="0"/>
        <v>455536512.38</v>
      </c>
      <c r="Q6" s="27">
        <f t="shared" si="0"/>
        <v>2796446582.6499996</v>
      </c>
      <c r="R6" s="27">
        <f t="shared" si="0"/>
        <v>1754107030.5299997</v>
      </c>
      <c r="S6" s="27">
        <f t="shared" si="0"/>
        <v>1152711754.29</v>
      </c>
      <c r="T6" s="27">
        <f t="shared" si="0"/>
        <v>478312729.70000005</v>
      </c>
      <c r="U6" s="27">
        <f t="shared" si="0"/>
        <v>2316669796.6800003</v>
      </c>
      <c r="V6" s="27">
        <f t="shared" si="0"/>
        <v>1413914008.5699999</v>
      </c>
      <c r="W6" s="27">
        <f t="shared" si="0"/>
        <v>892831343.96000004</v>
      </c>
      <c r="X6" s="27">
        <f t="shared" si="0"/>
        <v>333149288.18000007</v>
      </c>
      <c r="Y6" s="27">
        <f t="shared" si="0"/>
        <v>1506805510.2399998</v>
      </c>
      <c r="Z6" s="27">
        <f t="shared" si="0"/>
        <v>926524423.80000019</v>
      </c>
      <c r="AA6" s="27">
        <f t="shared" si="0"/>
        <v>540165115.34000015</v>
      </c>
      <c r="AB6" s="27">
        <f t="shared" si="0"/>
        <v>199960581.54000002</v>
      </c>
      <c r="AC6" s="27">
        <f t="shared" si="0"/>
        <v>932153227.69999981</v>
      </c>
      <c r="AD6" s="27">
        <f t="shared" si="0"/>
        <v>594613329.38</v>
      </c>
      <c r="AE6" s="27">
        <f t="shared" si="0"/>
        <v>368112789.34000003</v>
      </c>
      <c r="AF6" s="27">
        <f t="shared" si="0"/>
        <v>138793652.72000003</v>
      </c>
      <c r="AG6" s="27">
        <f t="shared" si="0"/>
        <v>656128189.31000006</v>
      </c>
      <c r="AH6" s="27">
        <f t="shared" si="0"/>
        <v>401631084.39999998</v>
      </c>
      <c r="AI6" s="27">
        <f t="shared" si="0"/>
        <v>240701823.82999998</v>
      </c>
      <c r="AJ6" s="27">
        <f t="shared" si="0"/>
        <v>89503154.059999987</v>
      </c>
      <c r="AK6" s="27">
        <f t="shared" si="0"/>
        <v>324394476.74000007</v>
      </c>
      <c r="AL6" s="27">
        <f t="shared" si="0"/>
        <v>198134135.98000002</v>
      </c>
      <c r="AM6" s="27">
        <f t="shared" si="0"/>
        <v>117383063.08000001</v>
      </c>
      <c r="AN6" s="27">
        <f t="shared" si="0"/>
        <v>52240779.530000001</v>
      </c>
      <c r="AO6" s="27">
        <f t="shared" si="0"/>
        <v>245476564.04999995</v>
      </c>
      <c r="AP6" s="27">
        <f t="shared" si="0"/>
        <v>173441656.31999999</v>
      </c>
      <c r="AQ6" s="27">
        <f t="shared" si="0"/>
        <v>99206068.200000018</v>
      </c>
      <c r="AR6" s="27">
        <f t="shared" si="0"/>
        <v>29697137.590000004</v>
      </c>
      <c r="AS6" s="27">
        <f t="shared" si="0"/>
        <v>166723444.02999997</v>
      </c>
      <c r="AT6" s="27">
        <f t="shared" si="0"/>
        <v>105493936.37</v>
      </c>
      <c r="AU6" s="27">
        <f t="shared" si="0"/>
        <v>56253836.339999989</v>
      </c>
      <c r="AV6" s="27">
        <f t="shared" si="0"/>
        <v>20070489.060000002</v>
      </c>
      <c r="AW6" s="27">
        <f t="shared" si="0"/>
        <v>150738134.88999999</v>
      </c>
      <c r="AX6" s="27">
        <f t="shared" si="0"/>
        <v>99176241.310000002</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36.371339057088804</v>
      </c>
      <c r="C7" s="57">
        <f t="shared" ref="C7:D7" si="2">C6/C4*100</f>
        <v>36.518298412451109</v>
      </c>
      <c r="D7" s="57">
        <f t="shared" si="2"/>
        <v>38.973778217343657</v>
      </c>
      <c r="E7" s="57">
        <f>E6/E4</f>
        <v>0.38233859578279356</v>
      </c>
      <c r="F7" s="57">
        <f t="shared" ref="F7:BQ7" si="3">F6/F4</f>
        <v>0.39138198253656126</v>
      </c>
      <c r="G7" s="57">
        <f t="shared" si="3"/>
        <v>0.39447505804017369</v>
      </c>
      <c r="H7" s="57">
        <f t="shared" si="3"/>
        <v>0.39746370295823685</v>
      </c>
      <c r="I7" s="57">
        <f t="shared" si="3"/>
        <v>0.37705214463565911</v>
      </c>
      <c r="J7" s="57">
        <f t="shared" si="3"/>
        <v>0.38548642839421604</v>
      </c>
      <c r="K7" s="57">
        <f t="shared" si="3"/>
        <v>0.38445637991771808</v>
      </c>
      <c r="L7" s="57">
        <f t="shared" si="3"/>
        <v>0.38700392205360157</v>
      </c>
      <c r="M7" s="57">
        <f t="shared" si="3"/>
        <v>0.37221329675617681</v>
      </c>
      <c r="N7" s="57">
        <f t="shared" si="3"/>
        <v>0.38175108079209713</v>
      </c>
      <c r="O7" s="57">
        <f t="shared" si="3"/>
        <v>0.38157354200306265</v>
      </c>
      <c r="P7" s="57">
        <f t="shared" si="3"/>
        <v>0.37879348443082422</v>
      </c>
      <c r="Q7" s="57">
        <f t="shared" si="3"/>
        <v>0.38140913787633057</v>
      </c>
      <c r="R7" s="57">
        <f t="shared" si="3"/>
        <v>0.37743242412648981</v>
      </c>
      <c r="S7" s="57">
        <f t="shared" si="3"/>
        <v>0.37886719824906184</v>
      </c>
      <c r="T7" s="57">
        <f t="shared" si="3"/>
        <v>0.41780569794217659</v>
      </c>
      <c r="U7" s="57">
        <f t="shared" si="3"/>
        <v>0.42821248177065058</v>
      </c>
      <c r="V7" s="57">
        <f t="shared" si="3"/>
        <v>0.43382612616769356</v>
      </c>
      <c r="W7" s="57">
        <f t="shared" si="3"/>
        <v>0.43947426399372991</v>
      </c>
      <c r="X7" s="57">
        <f t="shared" si="3"/>
        <v>0.42252775042691337</v>
      </c>
      <c r="Y7" s="57">
        <f t="shared" si="3"/>
        <v>0.42671027839006592</v>
      </c>
      <c r="Z7" s="57">
        <f t="shared" si="3"/>
        <v>0.4225143031655475</v>
      </c>
      <c r="AA7" s="57">
        <f t="shared" si="3"/>
        <v>0.41651420478840079</v>
      </c>
      <c r="AB7" s="57">
        <f t="shared" si="3"/>
        <v>0.40150343578848463</v>
      </c>
      <c r="AC7" s="57">
        <f t="shared" si="3"/>
        <v>0.42270531404120765</v>
      </c>
      <c r="AD7" s="57">
        <f t="shared" si="3"/>
        <v>0.40707429658248462</v>
      </c>
      <c r="AE7" s="57">
        <f t="shared" si="3"/>
        <v>0.41163930537313553</v>
      </c>
      <c r="AF7" s="57">
        <f t="shared" si="3"/>
        <v>0.42233387235274289</v>
      </c>
      <c r="AG7" s="57">
        <f t="shared" si="3"/>
        <v>0.43272361324875525</v>
      </c>
      <c r="AH7" s="57">
        <f t="shared" si="3"/>
        <v>0.41925001527770361</v>
      </c>
      <c r="AI7" s="57">
        <f t="shared" si="3"/>
        <v>0.42180353418646294</v>
      </c>
      <c r="AJ7" s="57">
        <f t="shared" si="3"/>
        <v>0.42073789949220075</v>
      </c>
      <c r="AK7" s="57">
        <f t="shared" si="3"/>
        <v>0.38805856001088546</v>
      </c>
      <c r="AL7" s="57">
        <f t="shared" si="3"/>
        <v>0.3823058036242436</v>
      </c>
      <c r="AM7" s="57">
        <f t="shared" si="3"/>
        <v>0.39256466962946607</v>
      </c>
      <c r="AN7" s="57">
        <f t="shared" si="3"/>
        <v>0.40217108186015266</v>
      </c>
      <c r="AO7" s="57">
        <f t="shared" si="3"/>
        <v>0.38840098268490447</v>
      </c>
      <c r="AP7" s="57">
        <f t="shared" si="3"/>
        <v>0.39032249058917423</v>
      </c>
      <c r="AQ7" s="57">
        <f t="shared" si="3"/>
        <v>0.37462035398219889</v>
      </c>
      <c r="AR7" s="57">
        <f t="shared" si="3"/>
        <v>0.37504642720355352</v>
      </c>
      <c r="AS7" s="57">
        <f t="shared" si="3"/>
        <v>0.41147469070358345</v>
      </c>
      <c r="AT7" s="57">
        <f t="shared" si="3"/>
        <v>0.40938363050681387</v>
      </c>
      <c r="AU7" s="57">
        <f t="shared" si="3"/>
        <v>0.40211848554965757</v>
      </c>
      <c r="AV7" s="57">
        <f t="shared" si="3"/>
        <v>0.39423457714655424</v>
      </c>
      <c r="AW7" s="57">
        <f t="shared" si="3"/>
        <v>0.33832814385391496</v>
      </c>
      <c r="AX7" s="57">
        <f t="shared" si="3"/>
        <v>0.33831851081011166</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104005456.03</v>
      </c>
      <c r="C8" s="190">
        <v>62692261.969999999</v>
      </c>
      <c r="D8" s="190">
        <v>20096268.100000001</v>
      </c>
      <c r="E8" s="190">
        <v>141633153.19</v>
      </c>
      <c r="F8" s="190">
        <v>83288603.069999993</v>
      </c>
      <c r="G8" s="190">
        <v>54023359.420000002</v>
      </c>
      <c r="H8" s="190">
        <v>18580686.43</v>
      </c>
      <c r="I8" s="190">
        <v>85107746.060000002</v>
      </c>
      <c r="J8" s="190">
        <v>51294526.060000002</v>
      </c>
      <c r="K8" s="190">
        <v>30430834.82</v>
      </c>
      <c r="L8" s="190">
        <v>11974897.26</v>
      </c>
      <c r="M8" s="190">
        <v>78699315.280000001</v>
      </c>
      <c r="N8" s="190">
        <v>44042708.259999998</v>
      </c>
      <c r="O8" s="190">
        <v>27351897.289999999</v>
      </c>
      <c r="P8" s="190">
        <v>12211443.65</v>
      </c>
      <c r="Q8" s="190">
        <v>61410782.5</v>
      </c>
      <c r="R8" s="190">
        <v>41267809.25</v>
      </c>
      <c r="S8" s="190">
        <v>28526831.390000001</v>
      </c>
      <c r="T8" s="190">
        <v>12848659.390000001</v>
      </c>
      <c r="U8" s="190">
        <v>55153601.189999998</v>
      </c>
      <c r="V8" s="190">
        <v>28967405.219999999</v>
      </c>
      <c r="W8" s="190">
        <v>18442350.48</v>
      </c>
      <c r="X8" s="190">
        <v>9872358.8499999996</v>
      </c>
      <c r="Y8" s="190">
        <v>27289342.5</v>
      </c>
      <c r="Z8" s="190">
        <v>17811365.309999999</v>
      </c>
      <c r="AA8" s="190">
        <v>9463105.6199999992</v>
      </c>
      <c r="AB8" s="190">
        <v>3482035.7</v>
      </c>
      <c r="AC8" s="190">
        <v>17227726.309999999</v>
      </c>
      <c r="AD8" s="190">
        <v>10401952.52</v>
      </c>
      <c r="AE8" s="190">
        <v>5992899.6500000004</v>
      </c>
      <c r="AF8" s="190">
        <v>2382414.2400000002</v>
      </c>
      <c r="AG8" s="190">
        <v>9441419.3499999996</v>
      </c>
      <c r="AH8" s="190">
        <v>4986975.59</v>
      </c>
      <c r="AI8" s="190">
        <v>3590251.9</v>
      </c>
      <c r="AJ8" s="190">
        <v>1315896.6599999999</v>
      </c>
      <c r="AK8" s="190">
        <v>5407507.5599999996</v>
      </c>
      <c r="AL8" s="190">
        <v>3427362.02</v>
      </c>
      <c r="AM8" s="190">
        <v>2122181.11</v>
      </c>
      <c r="AN8" s="190">
        <v>830648.85</v>
      </c>
      <c r="AO8" s="190">
        <v>3928452.96</v>
      </c>
      <c r="AP8" s="190">
        <v>2480450.9900000002</v>
      </c>
      <c r="AQ8" s="190">
        <v>1381418.31</v>
      </c>
      <c r="AR8" s="190">
        <v>583205.49</v>
      </c>
      <c r="AS8" s="190">
        <v>3250052.87</v>
      </c>
      <c r="AT8" s="190">
        <v>2058551.26</v>
      </c>
      <c r="AU8" s="190">
        <v>1135702.51</v>
      </c>
      <c r="AV8" s="190">
        <v>456019.99</v>
      </c>
      <c r="AW8" s="190">
        <v>2404898.59</v>
      </c>
      <c r="AX8" s="190">
        <v>1114349.1299999999</v>
      </c>
      <c r="AY8" s="190">
        <v>0</v>
      </c>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2076706752.3399999</v>
      </c>
      <c r="C9" s="190">
        <v>1252741900.8299999</v>
      </c>
      <c r="D9" s="190">
        <v>565570425.03999996</v>
      </c>
      <c r="E9" s="190">
        <v>2416699706</v>
      </c>
      <c r="F9" s="190">
        <v>1591164605.1300001</v>
      </c>
      <c r="G9" s="190">
        <v>946818977.02999997</v>
      </c>
      <c r="H9" s="190">
        <v>403620472.29000002</v>
      </c>
      <c r="I9" s="190">
        <v>1638140112.8399999</v>
      </c>
      <c r="J9" s="190">
        <v>980503448.03999996</v>
      </c>
      <c r="K9" s="190">
        <v>578257111.87</v>
      </c>
      <c r="L9" s="190">
        <v>254657755.58000001</v>
      </c>
      <c r="M9" s="190">
        <v>1142764719.8499999</v>
      </c>
      <c r="N9" s="190">
        <v>697718959.08000004</v>
      </c>
      <c r="O9" s="190">
        <v>389070954.75</v>
      </c>
      <c r="P9" s="190">
        <v>146245938.87</v>
      </c>
      <c r="Q9" s="190">
        <v>680836838.85000002</v>
      </c>
      <c r="R9" s="190">
        <v>414282545.68000001</v>
      </c>
      <c r="S9" s="190">
        <v>245635008.93000001</v>
      </c>
      <c r="T9" s="190">
        <v>100351943.04000001</v>
      </c>
      <c r="U9" s="190">
        <v>564544190.76999998</v>
      </c>
      <c r="V9" s="190">
        <v>357894654.23000002</v>
      </c>
      <c r="W9" s="190">
        <v>244689701.99000001</v>
      </c>
      <c r="X9" s="190">
        <v>94010036.060000002</v>
      </c>
      <c r="Y9" s="190">
        <v>461382631.81999999</v>
      </c>
      <c r="Z9" s="190">
        <v>269341556.05000001</v>
      </c>
      <c r="AA9" s="190">
        <v>150060759.49000001</v>
      </c>
      <c r="AB9" s="190">
        <v>60026794.740000002</v>
      </c>
      <c r="AC9" s="190">
        <v>299484499.39999998</v>
      </c>
      <c r="AD9" s="190">
        <v>175023462.15000001</v>
      </c>
      <c r="AE9" s="190">
        <v>107051209.54000001</v>
      </c>
      <c r="AF9" s="190">
        <v>49198838.969999999</v>
      </c>
      <c r="AG9" s="190">
        <v>224607629.56999999</v>
      </c>
      <c r="AH9" s="190">
        <v>139103768.63</v>
      </c>
      <c r="AI9" s="190">
        <v>84432271.920000002</v>
      </c>
      <c r="AJ9" s="190">
        <v>36505898.149999999</v>
      </c>
      <c r="AK9" s="190">
        <v>133064007.18000001</v>
      </c>
      <c r="AL9" s="190">
        <v>82453088.370000005</v>
      </c>
      <c r="AM9" s="190">
        <v>50624102.609999999</v>
      </c>
      <c r="AN9" s="190">
        <v>25664757.190000001</v>
      </c>
      <c r="AO9" s="190">
        <v>76310159.140000001</v>
      </c>
      <c r="AP9" s="190">
        <v>49362866.119999997</v>
      </c>
      <c r="AQ9" s="190">
        <v>31192099.93</v>
      </c>
      <c r="AR9" s="190">
        <v>12283969.810000001</v>
      </c>
      <c r="AS9" s="190">
        <v>39250233.210000001</v>
      </c>
      <c r="AT9" s="190">
        <v>26385225.870000001</v>
      </c>
      <c r="AU9" s="190">
        <v>17413218.129999999</v>
      </c>
      <c r="AV9" s="190">
        <v>8287984.4900000002</v>
      </c>
      <c r="AW9" s="190">
        <v>41389646.390000001</v>
      </c>
      <c r="AX9" s="190">
        <v>23396956.890000001</v>
      </c>
      <c r="AY9" s="190">
        <v>0</v>
      </c>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477344075.63999999</v>
      </c>
      <c r="C10" s="190">
        <v>1134328456.6199999</v>
      </c>
      <c r="D10" s="190">
        <v>467075141.86000001</v>
      </c>
      <c r="E10" s="190">
        <v>2308406879.77</v>
      </c>
      <c r="F10" s="190">
        <v>1597502753.02</v>
      </c>
      <c r="G10" s="190">
        <v>1018690379.2</v>
      </c>
      <c r="H10" s="190">
        <v>478853735.37</v>
      </c>
      <c r="I10" s="190">
        <v>1831477357.29</v>
      </c>
      <c r="J10" s="190">
        <v>1187372179.52</v>
      </c>
      <c r="K10" s="190">
        <v>686703967.53999996</v>
      </c>
      <c r="L10" s="190">
        <v>313527283.43000001</v>
      </c>
      <c r="M10" s="190">
        <v>1234368469.8699999</v>
      </c>
      <c r="N10" s="190">
        <v>827465368.04999995</v>
      </c>
      <c r="O10" s="190">
        <v>501568369.06999999</v>
      </c>
      <c r="P10" s="190">
        <v>220051056.11000001</v>
      </c>
      <c r="Q10" s="190">
        <v>1077457344.3199999</v>
      </c>
      <c r="R10" s="190">
        <v>718136309.15999997</v>
      </c>
      <c r="S10" s="190">
        <v>439119764.29000002</v>
      </c>
      <c r="T10" s="190">
        <v>205747307.46000001</v>
      </c>
      <c r="U10" s="190">
        <v>693282255.02999997</v>
      </c>
      <c r="V10" s="190">
        <v>415215620.19</v>
      </c>
      <c r="W10" s="190">
        <v>252735106.40000001</v>
      </c>
      <c r="X10" s="190">
        <v>100663678.81999999</v>
      </c>
      <c r="Y10" s="190">
        <v>385612940.85000002</v>
      </c>
      <c r="Z10" s="190">
        <v>272510647.97000003</v>
      </c>
      <c r="AA10" s="190">
        <v>157199752.78999999</v>
      </c>
      <c r="AB10" s="190">
        <v>70778012.310000002</v>
      </c>
      <c r="AC10" s="190">
        <v>264044362.47</v>
      </c>
      <c r="AD10" s="190">
        <v>168350299.63999999</v>
      </c>
      <c r="AE10" s="190">
        <v>104629083.93000001</v>
      </c>
      <c r="AF10" s="190">
        <v>48988222.670000002</v>
      </c>
      <c r="AG10" s="190">
        <v>179333634.15000001</v>
      </c>
      <c r="AH10" s="190">
        <v>124955300.78</v>
      </c>
      <c r="AI10" s="190">
        <v>76526083.120000005</v>
      </c>
      <c r="AJ10" s="190">
        <v>35462656.850000001</v>
      </c>
      <c r="AK10" s="190">
        <v>93657293.260000005</v>
      </c>
      <c r="AL10" s="190">
        <v>65946820.57</v>
      </c>
      <c r="AM10" s="190">
        <v>40979504.579999998</v>
      </c>
      <c r="AN10" s="190">
        <v>23079224.809999999</v>
      </c>
      <c r="AO10" s="190">
        <v>91350676.189999998</v>
      </c>
      <c r="AP10" s="190">
        <v>51849215.789999999</v>
      </c>
      <c r="AQ10" s="190">
        <v>31587847.48</v>
      </c>
      <c r="AR10" s="190">
        <v>12102380.85</v>
      </c>
      <c r="AS10" s="190">
        <v>48576518.380000003</v>
      </c>
      <c r="AT10" s="190">
        <v>32588042.969999999</v>
      </c>
      <c r="AU10" s="190">
        <v>20881464.859999999</v>
      </c>
      <c r="AV10" s="190">
        <v>11436637.25</v>
      </c>
      <c r="AW10" s="190">
        <v>67876147.379999995</v>
      </c>
      <c r="AX10" s="190">
        <v>36179353.289999999</v>
      </c>
      <c r="AY10" s="190">
        <v>0</v>
      </c>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165771631.81</v>
      </c>
      <c r="C11" s="190">
        <v>128296022.40000001</v>
      </c>
      <c r="D11" s="190">
        <v>26832238.609999999</v>
      </c>
      <c r="E11" s="190">
        <v>245506915.74000001</v>
      </c>
      <c r="F11" s="190">
        <v>150811233.36000001</v>
      </c>
      <c r="G11" s="190">
        <v>89628522.590000004</v>
      </c>
      <c r="H11" s="190">
        <v>25377377.359999999</v>
      </c>
      <c r="I11" s="190">
        <v>129145009.23999999</v>
      </c>
      <c r="J11" s="190">
        <v>127308941.34999999</v>
      </c>
      <c r="K11" s="190">
        <v>70488505.819999993</v>
      </c>
      <c r="L11" s="190">
        <v>18402843.719999999</v>
      </c>
      <c r="M11" s="190">
        <v>192281999.66999999</v>
      </c>
      <c r="N11" s="190">
        <v>88375886.900000006</v>
      </c>
      <c r="O11" s="190">
        <v>52332053.640000001</v>
      </c>
      <c r="P11" s="190">
        <v>19946608.52</v>
      </c>
      <c r="Q11" s="190">
        <v>79357586.120000005</v>
      </c>
      <c r="R11" s="190">
        <v>50033558.490000002</v>
      </c>
      <c r="S11" s="190">
        <v>38982898.960000001</v>
      </c>
      <c r="T11" s="190">
        <v>12697334.300000001</v>
      </c>
      <c r="U11" s="190">
        <v>98559602.459999993</v>
      </c>
      <c r="V11" s="190">
        <v>56659297.18</v>
      </c>
      <c r="W11" s="190">
        <v>36037147.950000003</v>
      </c>
      <c r="X11" s="190">
        <v>11842400.68</v>
      </c>
      <c r="Y11" s="190">
        <v>37947498.520000003</v>
      </c>
      <c r="Z11" s="190">
        <v>37149163.07</v>
      </c>
      <c r="AA11" s="190">
        <v>23698452.280000001</v>
      </c>
      <c r="AB11" s="190">
        <v>12355054.060000001</v>
      </c>
      <c r="AC11" s="190">
        <v>26723209</v>
      </c>
      <c r="AD11" s="190">
        <v>23435900.239999998</v>
      </c>
      <c r="AE11" s="190">
        <v>17210722.309999999</v>
      </c>
      <c r="AF11" s="190">
        <v>5911135.2800000003</v>
      </c>
      <c r="AG11" s="190">
        <v>11339203.859999999</v>
      </c>
      <c r="AH11" s="190">
        <v>10894890.439999999</v>
      </c>
      <c r="AI11" s="190">
        <v>6365777.7699999996</v>
      </c>
      <c r="AJ11" s="190">
        <v>2862786.84</v>
      </c>
      <c r="AK11" s="190">
        <v>9330272.8200000003</v>
      </c>
      <c r="AL11" s="190">
        <v>5729070.1600000001</v>
      </c>
      <c r="AM11" s="190">
        <v>2035635.44</v>
      </c>
      <c r="AN11" s="190">
        <v>770002.79</v>
      </c>
      <c r="AO11" s="190">
        <v>1792035.28</v>
      </c>
      <c r="AP11" s="190">
        <v>5040587.91</v>
      </c>
      <c r="AQ11" s="190">
        <v>3907690.08</v>
      </c>
      <c r="AR11" s="190">
        <v>0</v>
      </c>
      <c r="AS11" s="190">
        <v>-296967.21999999997</v>
      </c>
      <c r="AT11" s="190">
        <v>-2322778.19</v>
      </c>
      <c r="AU11" s="190">
        <v>-2318314.04</v>
      </c>
      <c r="AV11" s="190">
        <v>0</v>
      </c>
      <c r="AW11" s="190">
        <v>12049409.59</v>
      </c>
      <c r="AX11" s="190">
        <v>3671903.95</v>
      </c>
      <c r="AY11" s="190">
        <v>0</v>
      </c>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8317346.0700000003</v>
      </c>
      <c r="F12" s="29">
        <f t="shared" si="5"/>
        <v>1204</v>
      </c>
      <c r="G12" s="29">
        <f t="shared" si="5"/>
        <v>868</v>
      </c>
      <c r="H12" s="29">
        <f t="shared" si="5"/>
        <v>644</v>
      </c>
      <c r="I12" s="29">
        <f t="shared" si="5"/>
        <v>4750506.9400000004</v>
      </c>
      <c r="J12" s="29">
        <f t="shared" si="5"/>
        <v>0</v>
      </c>
      <c r="K12" s="29">
        <f t="shared" si="5"/>
        <v>0</v>
      </c>
      <c r="L12" s="29">
        <f t="shared" si="5"/>
        <v>0</v>
      </c>
      <c r="M12" s="29">
        <f t="shared" si="5"/>
        <v>2608551.4</v>
      </c>
      <c r="N12" s="29">
        <f t="shared" si="5"/>
        <v>0</v>
      </c>
      <c r="O12" s="29">
        <f t="shared" si="5"/>
        <v>0</v>
      </c>
      <c r="P12" s="29">
        <f t="shared" si="5"/>
        <v>0</v>
      </c>
      <c r="Q12" s="29">
        <f t="shared" si="5"/>
        <v>2072002.21</v>
      </c>
      <c r="R12" s="29">
        <f t="shared" si="5"/>
        <v>0</v>
      </c>
      <c r="S12" s="29">
        <f t="shared" si="5"/>
        <v>0</v>
      </c>
      <c r="T12" s="29">
        <f t="shared" si="5"/>
        <v>0</v>
      </c>
      <c r="U12" s="29">
        <f t="shared" si="5"/>
        <v>1719265.22</v>
      </c>
      <c r="V12" s="29">
        <f t="shared" si="5"/>
        <v>0</v>
      </c>
      <c r="W12" s="29">
        <f t="shared" si="5"/>
        <v>0</v>
      </c>
      <c r="X12" s="29">
        <f t="shared" si="5"/>
        <v>0</v>
      </c>
      <c r="Y12" s="29">
        <f t="shared" si="5"/>
        <v>1244397.75</v>
      </c>
      <c r="Z12" s="29">
        <f t="shared" si="5"/>
        <v>0</v>
      </c>
      <c r="AA12" s="29">
        <f t="shared" si="5"/>
        <v>0</v>
      </c>
      <c r="AB12" s="29">
        <f t="shared" si="5"/>
        <v>0</v>
      </c>
      <c r="AC12" s="29">
        <f t="shared" si="5"/>
        <v>1175438.99</v>
      </c>
      <c r="AD12" s="29">
        <f t="shared" si="5"/>
        <v>0</v>
      </c>
      <c r="AE12" s="29">
        <f t="shared" si="5"/>
        <v>0</v>
      </c>
      <c r="AF12" s="29">
        <f t="shared" si="5"/>
        <v>0</v>
      </c>
      <c r="AG12" s="29">
        <f t="shared" si="5"/>
        <v>681905.32</v>
      </c>
      <c r="AH12" s="29">
        <f t="shared" si="5"/>
        <v>0</v>
      </c>
      <c r="AI12" s="29">
        <f t="shared" si="5"/>
        <v>0</v>
      </c>
      <c r="AJ12" s="29">
        <f t="shared" si="5"/>
        <v>0</v>
      </c>
      <c r="AK12" s="29">
        <f t="shared" si="5"/>
        <v>502867.86</v>
      </c>
      <c r="AL12" s="29">
        <f t="shared" si="5"/>
        <v>0</v>
      </c>
      <c r="AM12" s="29">
        <f t="shared" si="5"/>
        <v>0</v>
      </c>
      <c r="AN12" s="29">
        <f t="shared" si="5"/>
        <v>0</v>
      </c>
      <c r="AO12" s="29">
        <f t="shared" si="5"/>
        <v>264458.73</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25206031.850000001</v>
      </c>
      <c r="C13" s="190">
        <v>5234299.09</v>
      </c>
      <c r="D13" s="190">
        <v>2133831.13</v>
      </c>
      <c r="E13" s="190">
        <v>22631016.539999999</v>
      </c>
      <c r="F13" s="190">
        <v>35076259.990000002</v>
      </c>
      <c r="G13" s="190">
        <v>17678132.48</v>
      </c>
      <c r="H13" s="190">
        <v>200266801.38999999</v>
      </c>
      <c r="I13" s="190">
        <v>592089061.12</v>
      </c>
      <c r="J13" s="190">
        <v>382362007.58999997</v>
      </c>
      <c r="K13" s="190">
        <v>248612986.65000001</v>
      </c>
      <c r="L13" s="190">
        <v>160883240.40000001</v>
      </c>
      <c r="M13" s="190">
        <v>392283263.35000002</v>
      </c>
      <c r="N13" s="190">
        <v>243669306.49000001</v>
      </c>
      <c r="O13" s="190">
        <v>162354576.59999999</v>
      </c>
      <c r="P13" s="190">
        <v>46649901.689999998</v>
      </c>
      <c r="Q13" s="190">
        <v>335651168</v>
      </c>
      <c r="R13" s="190">
        <v>250410964.16999999</v>
      </c>
      <c r="S13" s="190">
        <v>144715338.18000001</v>
      </c>
      <c r="T13" s="190">
        <v>84968238.829999998</v>
      </c>
      <c r="U13" s="190">
        <v>193350688.28</v>
      </c>
      <c r="V13" s="190">
        <v>123694965.59</v>
      </c>
      <c r="W13" s="190">
        <v>87407020.709999993</v>
      </c>
      <c r="X13" s="190">
        <v>43645238.170000002</v>
      </c>
      <c r="Y13" s="190">
        <v>154872539.63</v>
      </c>
      <c r="Z13" s="190">
        <v>92160230.079999998</v>
      </c>
      <c r="AA13" s="190">
        <v>56308646.549999997</v>
      </c>
      <c r="AB13" s="190">
        <v>21206250.57</v>
      </c>
      <c r="AC13" s="190">
        <v>86498029.670000002</v>
      </c>
      <c r="AD13" s="190">
        <v>15520909.699999999</v>
      </c>
      <c r="AE13" s="190">
        <v>14042834.539999999</v>
      </c>
      <c r="AF13" s="190">
        <v>10962165.01</v>
      </c>
      <c r="AG13" s="190">
        <v>51481202.259999998</v>
      </c>
      <c r="AH13" s="190">
        <v>30216078.43</v>
      </c>
      <c r="AI13" s="190">
        <v>16453732.960000001</v>
      </c>
      <c r="AJ13" s="190">
        <v>5222281.53</v>
      </c>
      <c r="AK13" s="190">
        <v>37851477.039999999</v>
      </c>
      <c r="AL13" s="190">
        <v>17347559.530000001</v>
      </c>
      <c r="AM13" s="190">
        <v>9754715.5199999996</v>
      </c>
      <c r="AN13" s="190">
        <v>1711549.16</v>
      </c>
      <c r="AO13" s="190">
        <v>32038036.899999999</v>
      </c>
      <c r="AP13" s="190">
        <v>16246390.84</v>
      </c>
      <c r="AQ13" s="190">
        <v>11378672.789999999</v>
      </c>
      <c r="AR13" s="190">
        <v>1856383.74</v>
      </c>
      <c r="AS13" s="190">
        <v>20326522.350000001</v>
      </c>
      <c r="AT13" s="190">
        <v>10911003.9</v>
      </c>
      <c r="AU13" s="190">
        <v>7028924.4800000004</v>
      </c>
      <c r="AV13" s="190">
        <v>3191005.7</v>
      </c>
      <c r="AW13" s="190">
        <v>21297086.07</v>
      </c>
      <c r="AX13" s="190">
        <v>15298194.33</v>
      </c>
      <c r="AY13" s="190">
        <v>0</v>
      </c>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2525495.61</v>
      </c>
      <c r="C14" s="190">
        <v>2194887.35</v>
      </c>
      <c r="D14" s="190">
        <v>1235146.3799999999</v>
      </c>
      <c r="E14" s="190">
        <v>12688370.449999999</v>
      </c>
      <c r="F14" s="190">
        <v>12470065.49</v>
      </c>
      <c r="G14" s="190">
        <v>1708841.06</v>
      </c>
      <c r="H14" s="190">
        <v>1140157.54</v>
      </c>
      <c r="I14" s="190">
        <v>13026021.85</v>
      </c>
      <c r="J14" s="190">
        <v>14758043.75</v>
      </c>
      <c r="K14" s="190">
        <v>6655077.9800000004</v>
      </c>
      <c r="L14" s="190">
        <v>3275321.98</v>
      </c>
      <c r="M14" s="190">
        <v>15852710.050000001</v>
      </c>
      <c r="N14" s="190">
        <v>8321016.9699999997</v>
      </c>
      <c r="O14" s="190">
        <v>5165757.6500000004</v>
      </c>
      <c r="P14" s="190">
        <v>2073226.24</v>
      </c>
      <c r="Q14" s="190">
        <v>10372453.859999999</v>
      </c>
      <c r="R14" s="190">
        <v>7048512.6299999999</v>
      </c>
      <c r="S14" s="190">
        <v>4863478.63</v>
      </c>
      <c r="T14" s="190">
        <v>2390811.4700000002</v>
      </c>
      <c r="U14" s="190">
        <v>5931970.3399999999</v>
      </c>
      <c r="V14" s="190">
        <v>3182889.85</v>
      </c>
      <c r="W14" s="190">
        <v>1829358.79</v>
      </c>
      <c r="X14" s="190">
        <v>502770.49</v>
      </c>
      <c r="Y14" s="190">
        <v>4343107.99</v>
      </c>
      <c r="Z14" s="190">
        <v>2884197.01</v>
      </c>
      <c r="AA14" s="190">
        <v>1725946.8799999999</v>
      </c>
      <c r="AB14" s="190">
        <v>577054.04</v>
      </c>
      <c r="AC14" s="190">
        <v>3120598.59</v>
      </c>
      <c r="AD14" s="190">
        <v>2108887.71</v>
      </c>
      <c r="AE14" s="190">
        <v>1395265.97</v>
      </c>
      <c r="AF14" s="190">
        <v>584305.88</v>
      </c>
      <c r="AG14" s="190">
        <v>2808697.11</v>
      </c>
      <c r="AH14" s="190">
        <v>1814821.06</v>
      </c>
      <c r="AI14" s="190">
        <v>1395812.95</v>
      </c>
      <c r="AJ14" s="190">
        <v>281794.76</v>
      </c>
      <c r="AK14" s="190">
        <v>968170.41</v>
      </c>
      <c r="AL14" s="190">
        <v>918753.64</v>
      </c>
      <c r="AM14" s="190">
        <v>635483.18999999994</v>
      </c>
      <c r="AN14" s="190">
        <v>161191.60999999999</v>
      </c>
      <c r="AO14" s="190">
        <v>1941757.69</v>
      </c>
      <c r="AP14" s="190">
        <v>2010287.04</v>
      </c>
      <c r="AQ14" s="190">
        <v>1768288</v>
      </c>
      <c r="AR14" s="190">
        <v>15331.2</v>
      </c>
      <c r="AS14" s="190">
        <v>947342.57</v>
      </c>
      <c r="AT14" s="190">
        <v>521588.58</v>
      </c>
      <c r="AU14" s="190">
        <v>226652.64</v>
      </c>
      <c r="AV14" s="190">
        <v>45214.5</v>
      </c>
      <c r="AW14" s="190">
        <v>1107499.3600000001</v>
      </c>
      <c r="AX14" s="190">
        <v>269143.06</v>
      </c>
      <c r="AY14" s="190">
        <v>0</v>
      </c>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2665729588.8400002</v>
      </c>
      <c r="C15" s="28">
        <f t="shared" ref="C15:BN15" si="7">C6-(C8+C9+C10+C11+C12)+C13-C14</f>
        <v>1008901074.339999</v>
      </c>
      <c r="D15" s="28">
        <f t="shared" si="7"/>
        <v>331259894.75999999</v>
      </c>
      <c r="E15" s="28">
        <f t="shared" si="7"/>
        <v>2094342275.8900001</v>
      </c>
      <c r="F15" s="28">
        <f t="shared" si="7"/>
        <v>1188124188.4200006</v>
      </c>
      <c r="G15" s="28">
        <f t="shared" si="7"/>
        <v>851431318.41999984</v>
      </c>
      <c r="H15" s="28">
        <f t="shared" si="7"/>
        <v>325421028.30000001</v>
      </c>
      <c r="I15" s="28">
        <f t="shared" si="7"/>
        <v>1916205789.7300005</v>
      </c>
      <c r="J15" s="28">
        <f t="shared" si="7"/>
        <v>1092925331.9699996</v>
      </c>
      <c r="K15" s="28">
        <f t="shared" si="7"/>
        <v>779039259.2700001</v>
      </c>
      <c r="L15" s="28">
        <f t="shared" si="7"/>
        <v>248967910.47999996</v>
      </c>
      <c r="M15" s="28">
        <f t="shared" si="7"/>
        <v>1476811105.53</v>
      </c>
      <c r="N15" s="28">
        <f t="shared" si="7"/>
        <v>803428296.01999998</v>
      </c>
      <c r="O15" s="28">
        <f t="shared" si="7"/>
        <v>510501124.16000009</v>
      </c>
      <c r="P15" s="28">
        <f t="shared" si="7"/>
        <v>101658140.68000002</v>
      </c>
      <c r="Q15" s="28">
        <f t="shared" si="7"/>
        <v>1220590742.7899997</v>
      </c>
      <c r="R15" s="28">
        <f t="shared" si="7"/>
        <v>773749259.48999977</v>
      </c>
      <c r="S15" s="28">
        <f t="shared" si="7"/>
        <v>540299110.26999986</v>
      </c>
      <c r="T15" s="28">
        <f t="shared" si="7"/>
        <v>229244912.87000003</v>
      </c>
      <c r="U15" s="28">
        <f t="shared" si="7"/>
        <v>1090829599.9500003</v>
      </c>
      <c r="V15" s="28">
        <f t="shared" si="7"/>
        <v>675689107.48999989</v>
      </c>
      <c r="W15" s="28">
        <f t="shared" si="7"/>
        <v>426504699.05999994</v>
      </c>
      <c r="X15" s="28">
        <f t="shared" si="7"/>
        <v>159903281.45000005</v>
      </c>
      <c r="Y15" s="28">
        <f t="shared" si="7"/>
        <v>743858130.4399997</v>
      </c>
      <c r="Z15" s="28">
        <f t="shared" si="7"/>
        <v>418987724.47000009</v>
      </c>
      <c r="AA15" s="28">
        <f t="shared" si="7"/>
        <v>254325744.83000022</v>
      </c>
      <c r="AB15" s="28">
        <f t="shared" si="7"/>
        <v>73947881.260000005</v>
      </c>
      <c r="AC15" s="28">
        <f t="shared" si="7"/>
        <v>406875422.6099999</v>
      </c>
      <c r="AD15" s="28">
        <f t="shared" si="7"/>
        <v>230813736.81999996</v>
      </c>
      <c r="AE15" s="28">
        <f t="shared" si="7"/>
        <v>145876442.48000002</v>
      </c>
      <c r="AF15" s="28">
        <f t="shared" si="7"/>
        <v>42690900.690000027</v>
      </c>
      <c r="AG15" s="28">
        <f t="shared" si="7"/>
        <v>279396902.21000004</v>
      </c>
      <c r="AH15" s="28">
        <f t="shared" si="7"/>
        <v>150091406.32999998</v>
      </c>
      <c r="AI15" s="28">
        <f t="shared" si="7"/>
        <v>84845359.12999998</v>
      </c>
      <c r="AJ15" s="28">
        <f t="shared" si="7"/>
        <v>18296402.329999987</v>
      </c>
      <c r="AK15" s="28">
        <f t="shared" si="7"/>
        <v>119315834.69000006</v>
      </c>
      <c r="AL15" s="28">
        <f t="shared" si="7"/>
        <v>57006600.750000015</v>
      </c>
      <c r="AM15" s="28">
        <f t="shared" si="7"/>
        <v>30740871.670000017</v>
      </c>
      <c r="AN15" s="28">
        <f t="shared" si="7"/>
        <v>3446503.4400000009</v>
      </c>
      <c r="AO15" s="28">
        <f t="shared" si="7"/>
        <v>101927060.95999998</v>
      </c>
      <c r="AP15" s="28">
        <f t="shared" si="7"/>
        <v>78944639.309999987</v>
      </c>
      <c r="AQ15" s="28">
        <f t="shared" si="7"/>
        <v>40747397.19000002</v>
      </c>
      <c r="AR15" s="28">
        <f t="shared" si="7"/>
        <v>6568633.9800000051</v>
      </c>
      <c r="AS15" s="28">
        <f t="shared" si="7"/>
        <v>95322786.569999963</v>
      </c>
      <c r="AT15" s="28">
        <f t="shared" si="7"/>
        <v>57174309.780000001</v>
      </c>
      <c r="AU15" s="28">
        <f t="shared" si="7"/>
        <v>25944036.719999988</v>
      </c>
      <c r="AV15" s="28">
        <f t="shared" si="7"/>
        <v>3035638.5300000021</v>
      </c>
      <c r="AW15" s="28">
        <f t="shared" si="7"/>
        <v>47207619.649999984</v>
      </c>
      <c r="AX15" s="28">
        <f t="shared" si="7"/>
        <v>49842729.319999993</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115150947.36004357</v>
      </c>
      <c r="C16" s="26">
        <f t="shared" ref="C16:BN16" si="9">C15*C41</f>
        <v>170961895.95790765</v>
      </c>
      <c r="D16" s="26">
        <f t="shared" si="9"/>
        <v>55594143.081869066</v>
      </c>
      <c r="E16" s="26">
        <f t="shared" si="9"/>
        <v>315628591.18260831</v>
      </c>
      <c r="F16" s="26">
        <f t="shared" si="9"/>
        <v>141098723.65033275</v>
      </c>
      <c r="G16" s="26">
        <f t="shared" si="9"/>
        <v>165466360.02721018</v>
      </c>
      <c r="H16" s="26">
        <f t="shared" si="9"/>
        <v>34053620.974319428</v>
      </c>
      <c r="I16" s="26">
        <f t="shared" si="9"/>
        <v>185929320.63998577</v>
      </c>
      <c r="J16" s="26">
        <f t="shared" si="9"/>
        <v>70923899.063471839</v>
      </c>
      <c r="K16" s="26">
        <f t="shared" si="9"/>
        <v>101410105.0392873</v>
      </c>
      <c r="L16" s="26">
        <f t="shared" si="9"/>
        <v>31127129.350232709</v>
      </c>
      <c r="M16" s="26">
        <f t="shared" si="9"/>
        <v>185164167.26770565</v>
      </c>
      <c r="N16" s="26">
        <f t="shared" si="9"/>
        <v>107394155.68131018</v>
      </c>
      <c r="O16" s="26">
        <f t="shared" si="9"/>
        <v>69072807.167946726</v>
      </c>
      <c r="P16" s="26">
        <f t="shared" si="9"/>
        <v>9687777.5300603714</v>
      </c>
      <c r="Q16" s="26">
        <f t="shared" si="9"/>
        <v>106163626.3424983</v>
      </c>
      <c r="R16" s="26">
        <f t="shared" si="9"/>
        <v>66762754.384335406</v>
      </c>
      <c r="S16" s="26">
        <f t="shared" si="9"/>
        <v>47419657.933140628</v>
      </c>
      <c r="T16" s="26">
        <f t="shared" si="9"/>
        <v>36152244.221174121</v>
      </c>
      <c r="U16" s="26">
        <f t="shared" si="9"/>
        <v>-4798102.0726138884</v>
      </c>
      <c r="V16" s="26">
        <f t="shared" si="9"/>
        <v>76877219.612817079</v>
      </c>
      <c r="W16" s="26">
        <f t="shared" si="9"/>
        <v>46070555.936118305</v>
      </c>
      <c r="X16" s="26">
        <f t="shared" si="9"/>
        <v>18762568.889464013</v>
      </c>
      <c r="Y16" s="26">
        <f t="shared" si="9"/>
        <v>56899450.28339044</v>
      </c>
      <c r="Z16" s="26">
        <f t="shared" si="9"/>
        <v>49949795.926423736</v>
      </c>
      <c r="AA16" s="26">
        <f t="shared" si="9"/>
        <v>32063299.102922261</v>
      </c>
      <c r="AB16" s="26">
        <f t="shared" si="9"/>
        <v>8794774.6491791233</v>
      </c>
      <c r="AC16" s="26">
        <f t="shared" si="9"/>
        <v>37076093.58667431</v>
      </c>
      <c r="AD16" s="26">
        <f t="shared" si="9"/>
        <v>31506691.28493657</v>
      </c>
      <c r="AE16" s="26">
        <f t="shared" si="9"/>
        <v>17351140.175205015</v>
      </c>
      <c r="AF16" s="26">
        <f t="shared" si="9"/>
        <v>3993172.2485471247</v>
      </c>
      <c r="AG16" s="26">
        <f t="shared" si="9"/>
        <v>27495512.001129564</v>
      </c>
      <c r="AH16" s="26">
        <f t="shared" si="9"/>
        <v>14061624.760472763</v>
      </c>
      <c r="AI16" s="26">
        <f t="shared" si="9"/>
        <v>8476173.122147562</v>
      </c>
      <c r="AJ16" s="26">
        <f t="shared" si="9"/>
        <v>1471021.0322550088</v>
      </c>
      <c r="AK16" s="26">
        <f t="shared" si="9"/>
        <v>10058853.58735723</v>
      </c>
      <c r="AL16" s="26">
        <f t="shared" si="9"/>
        <v>4152488.7669223151</v>
      </c>
      <c r="AM16" s="26">
        <f t="shared" si="9"/>
        <v>2173467.8248031889</v>
      </c>
      <c r="AN16" s="26">
        <f t="shared" si="9"/>
        <v>28091.696908106456</v>
      </c>
      <c r="AO16" s="26">
        <f t="shared" si="9"/>
        <v>6356210.553576868</v>
      </c>
      <c r="AP16" s="26">
        <f t="shared" si="9"/>
        <v>8315394.4696871387</v>
      </c>
      <c r="AQ16" s="26">
        <f t="shared" si="9"/>
        <v>6662947.8256561421</v>
      </c>
      <c r="AR16" s="26">
        <f t="shared" si="9"/>
        <v>1417718.1223826141</v>
      </c>
      <c r="AS16" s="26">
        <f t="shared" si="9"/>
        <v>11263650.461339863</v>
      </c>
      <c r="AT16" s="26">
        <f t="shared" si="9"/>
        <v>2715767.5418948471</v>
      </c>
      <c r="AU16" s="26">
        <f t="shared" si="9"/>
        <v>2128534.2120008771</v>
      </c>
      <c r="AV16" s="26">
        <f t="shared" si="9"/>
        <v>0</v>
      </c>
      <c r="AW16" s="26">
        <f t="shared" si="9"/>
        <v>3343582.4238827475</v>
      </c>
      <c r="AX16" s="26">
        <f t="shared" si="9"/>
        <v>3094063.193650478</v>
      </c>
      <c r="AY16" s="26" t="e">
        <f t="shared" si="9"/>
        <v>#DIV/0!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2550578641.4799566</v>
      </c>
      <c r="C17" s="27">
        <f t="shared" ref="C17:BN17" si="11">C15-C16</f>
        <v>837939178.38209128</v>
      </c>
      <c r="D17" s="27">
        <f t="shared" si="11"/>
        <v>275665751.67813092</v>
      </c>
      <c r="E17" s="27">
        <f t="shared" si="11"/>
        <v>1778713684.7073917</v>
      </c>
      <c r="F17" s="27">
        <f t="shared" si="11"/>
        <v>1047025464.7696679</v>
      </c>
      <c r="G17" s="27">
        <f t="shared" si="11"/>
        <v>685964958.3927896</v>
      </c>
      <c r="H17" s="27">
        <f t="shared" si="11"/>
        <v>291367407.32568061</v>
      </c>
      <c r="I17" s="27">
        <f t="shared" si="11"/>
        <v>1730276469.0900147</v>
      </c>
      <c r="J17" s="27">
        <f t="shared" si="11"/>
        <v>1022001432.9065278</v>
      </c>
      <c r="K17" s="27">
        <f t="shared" si="11"/>
        <v>677629154.23071277</v>
      </c>
      <c r="L17" s="27">
        <f t="shared" si="11"/>
        <v>217840781.12976724</v>
      </c>
      <c r="M17" s="27">
        <f t="shared" si="11"/>
        <v>1291646938.2622943</v>
      </c>
      <c r="N17" s="27">
        <f t="shared" si="11"/>
        <v>696034140.3386898</v>
      </c>
      <c r="O17" s="27">
        <f t="shared" si="11"/>
        <v>441428316.99205339</v>
      </c>
      <c r="P17" s="27">
        <f t="shared" si="11"/>
        <v>91970363.149939656</v>
      </c>
      <c r="Q17" s="27">
        <f t="shared" si="11"/>
        <v>1114427116.4475014</v>
      </c>
      <c r="R17" s="27">
        <f t="shared" si="11"/>
        <v>706986505.10566437</v>
      </c>
      <c r="S17" s="27">
        <f t="shared" si="11"/>
        <v>492879452.33685923</v>
      </c>
      <c r="T17" s="27">
        <f t="shared" si="11"/>
        <v>193092668.64882591</v>
      </c>
      <c r="U17" s="27">
        <f t="shared" si="11"/>
        <v>1095627702.0226142</v>
      </c>
      <c r="V17" s="27">
        <f t="shared" si="11"/>
        <v>598811887.87718284</v>
      </c>
      <c r="W17" s="27">
        <f t="shared" si="11"/>
        <v>380434143.12388164</v>
      </c>
      <c r="X17" s="27">
        <f t="shared" si="11"/>
        <v>141140712.56053603</v>
      </c>
      <c r="Y17" s="27">
        <f t="shared" si="11"/>
        <v>686958680.1566093</v>
      </c>
      <c r="Z17" s="27">
        <f t="shared" si="11"/>
        <v>369037928.54357636</v>
      </c>
      <c r="AA17" s="27">
        <f t="shared" si="11"/>
        <v>222262445.72707796</v>
      </c>
      <c r="AB17" s="27">
        <f t="shared" si="11"/>
        <v>65153106.610820882</v>
      </c>
      <c r="AC17" s="27">
        <f t="shared" si="11"/>
        <v>369799329.02332556</v>
      </c>
      <c r="AD17" s="27">
        <f t="shared" si="11"/>
        <v>199307045.53506339</v>
      </c>
      <c r="AE17" s="27">
        <f t="shared" si="11"/>
        <v>128525302.304795</v>
      </c>
      <c r="AF17" s="27">
        <f t="shared" si="11"/>
        <v>38697728.441452906</v>
      </c>
      <c r="AG17" s="27">
        <f t="shared" si="11"/>
        <v>251901390.20887047</v>
      </c>
      <c r="AH17" s="27">
        <f t="shared" si="11"/>
        <v>136029781.56952721</v>
      </c>
      <c r="AI17" s="27">
        <f t="shared" si="11"/>
        <v>76369186.00785242</v>
      </c>
      <c r="AJ17" s="27">
        <f t="shared" si="11"/>
        <v>16825381.297744978</v>
      </c>
      <c r="AK17" s="27">
        <f t="shared" si="11"/>
        <v>109256981.10264283</v>
      </c>
      <c r="AL17" s="27">
        <f t="shared" si="11"/>
        <v>52854111.983077697</v>
      </c>
      <c r="AM17" s="27">
        <f t="shared" si="11"/>
        <v>28567403.845196828</v>
      </c>
      <c r="AN17" s="27">
        <f t="shared" si="11"/>
        <v>3418411.7430918943</v>
      </c>
      <c r="AO17" s="27">
        <f t="shared" si="11"/>
        <v>95570850.406423107</v>
      </c>
      <c r="AP17" s="27">
        <f t="shared" si="11"/>
        <v>70629244.840312853</v>
      </c>
      <c r="AQ17" s="27">
        <f t="shared" si="11"/>
        <v>34084449.364343882</v>
      </c>
      <c r="AR17" s="27">
        <f t="shared" si="11"/>
        <v>5150915.8576173913</v>
      </c>
      <c r="AS17" s="27">
        <f t="shared" si="11"/>
        <v>84059136.108660102</v>
      </c>
      <c r="AT17" s="27">
        <f t="shared" si="11"/>
        <v>54458542.238105156</v>
      </c>
      <c r="AU17" s="27">
        <f t="shared" si="11"/>
        <v>23815502.507999111</v>
      </c>
      <c r="AV17" s="27">
        <f t="shared" si="11"/>
        <v>3035638.5300000021</v>
      </c>
      <c r="AW17" s="27">
        <f t="shared" si="11"/>
        <v>43864037.226117238</v>
      </c>
      <c r="AX17" s="27">
        <f t="shared" si="11"/>
        <v>46748666.126349516</v>
      </c>
      <c r="AY17" s="27" t="e">
        <f t="shared" si="11"/>
        <v>#DIV/0!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16.969094647680866</v>
      </c>
      <c r="C18" s="57">
        <f t="shared" ref="C18:D18" si="13">C17/C4*100</f>
        <v>8.5381663708839461</v>
      </c>
      <c r="D18" s="57">
        <f t="shared" si="13"/>
        <v>7.6200170440200736</v>
      </c>
      <c r="E18" s="57">
        <f>E17/E4</f>
        <v>9.4389219346671563E-2</v>
      </c>
      <c r="F18" s="57">
        <f t="shared" ref="F18:BQ18" si="14">F17/F4</f>
        <v>8.9311535312541407E-2</v>
      </c>
      <c r="G18" s="57">
        <f t="shared" si="14"/>
        <v>9.1894942964344112E-2</v>
      </c>
      <c r="H18" s="57">
        <f t="shared" si="14"/>
        <v>0.1100075666775305</v>
      </c>
      <c r="I18" s="57">
        <f t="shared" si="14"/>
        <v>0.12981200880460808</v>
      </c>
      <c r="J18" s="57">
        <f t="shared" si="14"/>
        <v>0.12825301868316152</v>
      </c>
      <c r="K18" s="57">
        <f t="shared" si="14"/>
        <v>0.13690177889031305</v>
      </c>
      <c r="L18" s="57">
        <f t="shared" si="14"/>
        <v>0.12219517907771041</v>
      </c>
      <c r="M18" s="57">
        <f t="shared" si="14"/>
        <v>0.12816712502204508</v>
      </c>
      <c r="N18" s="57">
        <f t="shared" si="14"/>
        <v>0.11938438395937562</v>
      </c>
      <c r="O18" s="57">
        <f t="shared" si="14"/>
        <v>0.12725358021895927</v>
      </c>
      <c r="P18" s="57">
        <f t="shared" si="14"/>
        <v>7.6476360017598111E-2</v>
      </c>
      <c r="Q18" s="57">
        <f t="shared" si="14"/>
        <v>0.1519974271446492</v>
      </c>
      <c r="R18" s="57">
        <f t="shared" si="14"/>
        <v>0.15212277574996141</v>
      </c>
      <c r="S18" s="57">
        <f t="shared" si="14"/>
        <v>0.16199700964827565</v>
      </c>
      <c r="T18" s="57">
        <f t="shared" si="14"/>
        <v>0.16866625574222124</v>
      </c>
      <c r="U18" s="57">
        <f t="shared" si="14"/>
        <v>0.20251546338288251</v>
      </c>
      <c r="V18" s="57">
        <f t="shared" si="14"/>
        <v>0.18373128779143877</v>
      </c>
      <c r="W18" s="57">
        <f t="shared" si="14"/>
        <v>0.18725934766795502</v>
      </c>
      <c r="X18" s="57">
        <f t="shared" si="14"/>
        <v>0.17900643911817007</v>
      </c>
      <c r="Y18" s="57">
        <f t="shared" si="14"/>
        <v>0.19453892865404357</v>
      </c>
      <c r="Z18" s="57">
        <f t="shared" si="14"/>
        <v>0.16828892926615827</v>
      </c>
      <c r="AA18" s="57">
        <f t="shared" si="14"/>
        <v>0.17138364401423534</v>
      </c>
      <c r="AB18" s="57">
        <f t="shared" si="14"/>
        <v>0.13082176474519375</v>
      </c>
      <c r="AC18" s="57">
        <f t="shared" si="14"/>
        <v>0.16769361180320969</v>
      </c>
      <c r="AD18" s="57">
        <f t="shared" si="14"/>
        <v>0.13644627753251992</v>
      </c>
      <c r="AE18" s="57">
        <f t="shared" si="14"/>
        <v>0.14372243425303119</v>
      </c>
      <c r="AF18" s="57">
        <f t="shared" si="14"/>
        <v>0.11775294607242956</v>
      </c>
      <c r="AG18" s="57">
        <f t="shared" si="14"/>
        <v>0.16613168208516982</v>
      </c>
      <c r="AH18" s="57">
        <f t="shared" si="14"/>
        <v>0.14199719647308995</v>
      </c>
      <c r="AI18" s="57">
        <f t="shared" si="14"/>
        <v>0.13382861853097713</v>
      </c>
      <c r="AJ18" s="57">
        <f t="shared" si="14"/>
        <v>7.9093029287247249E-2</v>
      </c>
      <c r="AK18" s="57">
        <f t="shared" si="14"/>
        <v>0.13069922516532209</v>
      </c>
      <c r="AL18" s="57">
        <f t="shared" si="14"/>
        <v>0.10198360649260334</v>
      </c>
      <c r="AM18" s="57">
        <f t="shared" si="14"/>
        <v>9.5538088361335247E-2</v>
      </c>
      <c r="AN18" s="57">
        <f t="shared" si="14"/>
        <v>2.6316344459852998E-2</v>
      </c>
      <c r="AO18" s="57">
        <f t="shared" si="14"/>
        <v>0.15121529974782433</v>
      </c>
      <c r="AP18" s="57">
        <f t="shared" si="14"/>
        <v>0.1589478752649835</v>
      </c>
      <c r="AQ18" s="57">
        <f t="shared" si="14"/>
        <v>0.12870914771480518</v>
      </c>
      <c r="AR18" s="57">
        <f t="shared" si="14"/>
        <v>6.5051137786290944E-2</v>
      </c>
      <c r="AS18" s="57">
        <f t="shared" si="14"/>
        <v>0.20745856848361163</v>
      </c>
      <c r="AT18" s="57">
        <f t="shared" si="14"/>
        <v>0.21133381216670735</v>
      </c>
      <c r="AU18" s="57">
        <f t="shared" si="14"/>
        <v>0.17024001248979842</v>
      </c>
      <c r="AV18" s="57">
        <f t="shared" si="14"/>
        <v>5.9627529188087371E-2</v>
      </c>
      <c r="AW18" s="57">
        <f t="shared" si="14"/>
        <v>9.8451783999324208E-2</v>
      </c>
      <c r="AX18" s="57">
        <f t="shared" si="14"/>
        <v>0.15947306428753463</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-32224908.629999999</v>
      </c>
      <c r="C20" s="190">
        <v>-25567280.91</v>
      </c>
      <c r="D20" s="190">
        <v>-11061652.58</v>
      </c>
      <c r="E20" s="190">
        <v>-37464812.350000001</v>
      </c>
      <c r="F20" s="190">
        <v>-28341585.190000001</v>
      </c>
      <c r="G20" s="190">
        <v>-18719464.170000002</v>
      </c>
      <c r="H20" s="190">
        <v>-9332581.2400000002</v>
      </c>
      <c r="I20" s="190">
        <v>1658248.41</v>
      </c>
      <c r="J20" s="190">
        <v>-10234573.880000001</v>
      </c>
      <c r="K20" s="190">
        <v>-5409647.9800000004</v>
      </c>
      <c r="L20" s="190">
        <v>-169168.62</v>
      </c>
      <c r="M20" s="190">
        <v>715015.65</v>
      </c>
      <c r="N20" s="190">
        <v>353243.58</v>
      </c>
      <c r="O20" s="190">
        <v>-173161.17</v>
      </c>
      <c r="P20" s="190">
        <v>-298639.57</v>
      </c>
      <c r="Q20" s="190">
        <v>-787545.47</v>
      </c>
      <c r="R20" s="190">
        <v>-580024.36</v>
      </c>
      <c r="S20" s="190">
        <v>-429691.77</v>
      </c>
      <c r="T20" s="190">
        <v>-281505.40000000002</v>
      </c>
      <c r="U20" s="190">
        <v>-1246471.45</v>
      </c>
      <c r="V20" s="190">
        <v>-818882.48</v>
      </c>
      <c r="W20" s="190">
        <v>-475924.3</v>
      </c>
      <c r="X20" s="190">
        <v>-438718.13</v>
      </c>
      <c r="Y20" s="190">
        <v>-1010471.67</v>
      </c>
      <c r="Z20" s="190">
        <v>-808000.98</v>
      </c>
      <c r="AA20" s="190">
        <v>-906511.98</v>
      </c>
      <c r="AB20" s="190">
        <v>-435336.88</v>
      </c>
      <c r="AC20" s="190">
        <v>365449.12</v>
      </c>
      <c r="AD20" s="190">
        <v>-49865.34</v>
      </c>
      <c r="AE20" s="190">
        <v>-49865.34</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-64861287.240000002</v>
      </c>
      <c r="C22" s="190">
        <v>-41332765.270000003</v>
      </c>
      <c r="D22" s="190">
        <v>2692200</v>
      </c>
      <c r="E22" s="190">
        <v>0</v>
      </c>
      <c r="F22" s="190">
        <v>0</v>
      </c>
      <c r="G22" s="190">
        <v>0</v>
      </c>
      <c r="H22" s="190">
        <v>55635.96</v>
      </c>
      <c r="I22" s="190">
        <v>2851456</v>
      </c>
      <c r="J22" s="190">
        <v>2851456</v>
      </c>
      <c r="K22" s="190">
        <v>2851456</v>
      </c>
      <c r="L22" s="190">
        <v>660960</v>
      </c>
      <c r="M22" s="190">
        <v>-5228415.6500000004</v>
      </c>
      <c r="N22" s="190">
        <v>-2119005.65</v>
      </c>
      <c r="O22" s="190">
        <v>118161.95</v>
      </c>
      <c r="P22" s="190">
        <v>-1793411.03</v>
      </c>
      <c r="Q22" s="190">
        <v>894483.21</v>
      </c>
      <c r="R22" s="190">
        <v>-253574.76</v>
      </c>
      <c r="S22" s="190">
        <v>65830.36</v>
      </c>
      <c r="T22" s="190">
        <v>151295.04000000001</v>
      </c>
      <c r="U22" s="190">
        <v>3973172.57</v>
      </c>
      <c r="V22" s="190">
        <v>2971940.31</v>
      </c>
      <c r="W22" s="190">
        <v>987831.88</v>
      </c>
      <c r="X22" s="190">
        <v>2095942.22</v>
      </c>
      <c r="Y22" s="190">
        <v>-1835136.12</v>
      </c>
      <c r="Z22" s="190">
        <v>-145118.14000000001</v>
      </c>
      <c r="AA22" s="190">
        <v>3824216.4</v>
      </c>
      <c r="AB22" s="190">
        <v>508160</v>
      </c>
      <c r="AC22" s="190">
        <v>-927288.22</v>
      </c>
      <c r="AD22" s="190">
        <v>-2191740.96</v>
      </c>
      <c r="AE22" s="190">
        <v>-1238622.69</v>
      </c>
      <c r="AF22" s="190">
        <v>-807590.03</v>
      </c>
      <c r="AG22" s="190">
        <v>271728.21000000002</v>
      </c>
      <c r="AH22" s="190">
        <v>0</v>
      </c>
      <c r="AI22" s="190">
        <v>0</v>
      </c>
      <c r="AJ22" s="190">
        <v>0</v>
      </c>
      <c r="AK22" s="190">
        <v>13200</v>
      </c>
      <c r="AL22" s="190">
        <v>0</v>
      </c>
      <c r="AM22" s="190">
        <v>0</v>
      </c>
      <c r="AN22" s="190">
        <v>0</v>
      </c>
      <c r="AO22" s="190">
        <v>-13200</v>
      </c>
      <c r="AP22" s="190">
        <v>0</v>
      </c>
      <c r="AQ22" s="190">
        <v>0</v>
      </c>
      <c r="AR22" s="190">
        <v>0</v>
      </c>
      <c r="AS22" s="190">
        <v>0</v>
      </c>
      <c r="AT22" s="190">
        <v>0</v>
      </c>
      <c r="AU22" s="190">
        <v>0</v>
      </c>
      <c r="AV22" s="190">
        <v>0</v>
      </c>
      <c r="AW22" s="190">
        <v>0</v>
      </c>
      <c r="AX22" s="190">
        <v>0</v>
      </c>
      <c r="AY22" s="190">
        <v>0</v>
      </c>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54757215.68</v>
      </c>
      <c r="F23" s="29">
        <f t="shared" si="16"/>
        <v>34414</v>
      </c>
      <c r="G23" s="29">
        <f t="shared" si="16"/>
        <v>23309</v>
      </c>
      <c r="H23" s="29">
        <f t="shared" si="16"/>
        <v>16814</v>
      </c>
      <c r="I23" s="29">
        <f t="shared" si="16"/>
        <v>-49185181</v>
      </c>
      <c r="J23" s="29">
        <f t="shared" si="16"/>
        <v>0</v>
      </c>
      <c r="K23" s="29">
        <f t="shared" si="16"/>
        <v>0</v>
      </c>
      <c r="L23" s="29">
        <f t="shared" si="16"/>
        <v>0</v>
      </c>
      <c r="M23" s="29">
        <f t="shared" si="16"/>
        <v>31138619.23</v>
      </c>
      <c r="N23" s="29">
        <f t="shared" si="16"/>
        <v>0</v>
      </c>
      <c r="O23" s="29">
        <f t="shared" si="16"/>
        <v>0</v>
      </c>
      <c r="P23" s="29">
        <f t="shared" si="16"/>
        <v>0</v>
      </c>
      <c r="Q23" s="29">
        <f t="shared" si="16"/>
        <v>33601521.979999997</v>
      </c>
      <c r="R23" s="29">
        <f t="shared" si="16"/>
        <v>0</v>
      </c>
      <c r="S23" s="29">
        <f t="shared" si="16"/>
        <v>0</v>
      </c>
      <c r="T23" s="29">
        <f t="shared" si="16"/>
        <v>0</v>
      </c>
      <c r="U23" s="29">
        <f t="shared" si="16"/>
        <v>35822455.520000003</v>
      </c>
      <c r="V23" s="29">
        <f t="shared" si="16"/>
        <v>0</v>
      </c>
      <c r="W23" s="29">
        <f t="shared" si="16"/>
        <v>0</v>
      </c>
      <c r="X23" s="29">
        <f t="shared" si="16"/>
        <v>0</v>
      </c>
      <c r="Y23" s="29">
        <f t="shared" si="16"/>
        <v>15933252.109999999</v>
      </c>
      <c r="Z23" s="29">
        <f t="shared" si="16"/>
        <v>0</v>
      </c>
      <c r="AA23" s="29">
        <f t="shared" si="16"/>
        <v>0</v>
      </c>
      <c r="AB23" s="29">
        <f t="shared" si="16"/>
        <v>0</v>
      </c>
      <c r="AC23" s="29">
        <f t="shared" si="16"/>
        <v>12408768.15</v>
      </c>
      <c r="AD23" s="29">
        <f t="shared" si="16"/>
        <v>0</v>
      </c>
      <c r="AE23" s="29">
        <f t="shared" si="16"/>
        <v>0</v>
      </c>
      <c r="AF23" s="29">
        <f t="shared" si="16"/>
        <v>0</v>
      </c>
      <c r="AG23" s="29">
        <f t="shared" si="16"/>
        <v>8746811.5899999999</v>
      </c>
      <c r="AH23" s="29">
        <f t="shared" si="16"/>
        <v>0</v>
      </c>
      <c r="AI23" s="29">
        <f t="shared" si="16"/>
        <v>0</v>
      </c>
      <c r="AJ23" s="29">
        <f t="shared" si="16"/>
        <v>0</v>
      </c>
      <c r="AK23" s="29">
        <f t="shared" si="16"/>
        <v>8748265.7300000004</v>
      </c>
      <c r="AL23" s="29">
        <f t="shared" si="16"/>
        <v>0</v>
      </c>
      <c r="AM23" s="29">
        <f t="shared" si="16"/>
        <v>0</v>
      </c>
      <c r="AN23" s="29">
        <f t="shared" si="16"/>
        <v>0</v>
      </c>
      <c r="AO23" s="29">
        <f t="shared" si="16"/>
        <v>7643076.0800000001</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-19897750.529999997</v>
      </c>
      <c r="C24" s="26">
        <f t="shared" ref="C24:BN24" si="18">C67</f>
        <v>4699404.6000000015</v>
      </c>
      <c r="D24" s="26">
        <f t="shared" si="18"/>
        <v>620911.00999999978</v>
      </c>
      <c r="E24" s="26">
        <f>E67</f>
        <v>7954159.200000003</v>
      </c>
      <c r="F24" s="26">
        <f t="shared" si="18"/>
        <v>7106960.7699999996</v>
      </c>
      <c r="G24" s="26">
        <f t="shared" si="18"/>
        <v>4700921.5200000014</v>
      </c>
      <c r="H24" s="26">
        <f t="shared" si="18"/>
        <v>1965588.6100000003</v>
      </c>
      <c r="I24" s="26">
        <f t="shared" si="18"/>
        <v>4984524.08</v>
      </c>
      <c r="J24" s="26">
        <f t="shared" si="18"/>
        <v>20509584.18</v>
      </c>
      <c r="K24" s="26">
        <f t="shared" si="18"/>
        <v>18191712.310000002</v>
      </c>
      <c r="L24" s="26">
        <f t="shared" si="18"/>
        <v>1068709.6299999999</v>
      </c>
      <c r="M24" s="26">
        <f t="shared" si="18"/>
        <v>13298448.32</v>
      </c>
      <c r="N24" s="26">
        <f t="shared" si="18"/>
        <v>11093750.859999999</v>
      </c>
      <c r="O24" s="26">
        <f t="shared" si="18"/>
        <v>9790630.0500000007</v>
      </c>
      <c r="P24" s="26">
        <f t="shared" si="18"/>
        <v>6255490.8100000005</v>
      </c>
      <c r="Q24" s="26">
        <f t="shared" si="18"/>
        <v>8344965.1099999994</v>
      </c>
      <c r="R24" s="26">
        <f t="shared" si="18"/>
        <v>362467.12</v>
      </c>
      <c r="S24" s="26">
        <f t="shared" si="18"/>
        <v>109387.98000000004</v>
      </c>
      <c r="T24" s="26">
        <f t="shared" si="18"/>
        <v>-947664.22000000009</v>
      </c>
      <c r="U24" s="26">
        <f t="shared" si="18"/>
        <v>8999852.5600000005</v>
      </c>
      <c r="V24" s="26">
        <f t="shared" si="18"/>
        <v>4116569.9899999998</v>
      </c>
      <c r="W24" s="26">
        <f t="shared" si="18"/>
        <v>3211056.9299999997</v>
      </c>
      <c r="X24" s="26">
        <f t="shared" si="18"/>
        <v>1787710.27</v>
      </c>
      <c r="Y24" s="26">
        <f t="shared" si="18"/>
        <v>-17269.919999999925</v>
      </c>
      <c r="Z24" s="26">
        <f t="shared" si="18"/>
        <v>-567760.01</v>
      </c>
      <c r="AA24" s="26">
        <f t="shared" si="18"/>
        <v>-567760.01</v>
      </c>
      <c r="AB24" s="26">
        <f t="shared" si="18"/>
        <v>-422160</v>
      </c>
      <c r="AC24" s="26">
        <f t="shared" si="18"/>
        <v>-4407423.7</v>
      </c>
      <c r="AD24" s="26">
        <f t="shared" si="18"/>
        <v>-2087071.1300000001</v>
      </c>
      <c r="AE24" s="26">
        <f t="shared" si="18"/>
        <v>-1001600.0000000001</v>
      </c>
      <c r="AF24" s="26">
        <f t="shared" si="18"/>
        <v>0</v>
      </c>
      <c r="AG24" s="26">
        <f t="shared" si="18"/>
        <v>-3317.31</v>
      </c>
      <c r="AH24" s="26">
        <f t="shared" si="18"/>
        <v>0</v>
      </c>
      <c r="AI24" s="26">
        <f t="shared" si="18"/>
        <v>0</v>
      </c>
      <c r="AJ24" s="26">
        <f t="shared" si="18"/>
        <v>0</v>
      </c>
      <c r="AK24" s="26">
        <f t="shared" si="18"/>
        <v>4797</v>
      </c>
      <c r="AL24" s="26">
        <f t="shared" si="18"/>
        <v>0</v>
      </c>
      <c r="AM24" s="26">
        <f t="shared" si="18"/>
        <v>0</v>
      </c>
      <c r="AN24" s="26">
        <f t="shared" si="18"/>
        <v>0</v>
      </c>
      <c r="AO24" s="26">
        <f t="shared" si="18"/>
        <v>-522181.7</v>
      </c>
      <c r="AP24" s="26">
        <f t="shared" si="18"/>
        <v>0</v>
      </c>
      <c r="AQ24" s="26">
        <f t="shared" si="18"/>
        <v>0</v>
      </c>
      <c r="AR24" s="26">
        <f t="shared" si="18"/>
        <v>0</v>
      </c>
      <c r="AS24" s="26">
        <f t="shared" si="18"/>
        <v>927230.07</v>
      </c>
      <c r="AT24" s="26">
        <f t="shared" si="18"/>
        <v>127436.54</v>
      </c>
      <c r="AU24" s="26">
        <f t="shared" si="18"/>
        <v>916908.43</v>
      </c>
      <c r="AV24" s="26">
        <f t="shared" si="18"/>
        <v>0</v>
      </c>
      <c r="AW24" s="26">
        <f t="shared" si="18"/>
        <v>7180688.6900000004</v>
      </c>
      <c r="AX24" s="26">
        <f t="shared" si="18"/>
        <v>0</v>
      </c>
      <c r="AY24" s="26">
        <f t="shared" si="18"/>
        <v>0</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-140569791.31</v>
      </c>
      <c r="F25" s="29">
        <f t="shared" si="20"/>
        <v>-2684</v>
      </c>
      <c r="G25" s="29">
        <f t="shared" si="20"/>
        <v>377</v>
      </c>
      <c r="H25" s="29">
        <f t="shared" si="20"/>
        <v>-1008</v>
      </c>
      <c r="I25" s="29">
        <f t="shared" si="20"/>
        <v>73133226.620000005</v>
      </c>
      <c r="J25" s="29">
        <f t="shared" si="20"/>
        <v>0</v>
      </c>
      <c r="K25" s="29">
        <f t="shared" si="20"/>
        <v>0</v>
      </c>
      <c r="L25" s="29">
        <f t="shared" si="20"/>
        <v>0</v>
      </c>
      <c r="M25" s="29">
        <f>-M53</f>
        <v>-2772474.67</v>
      </c>
      <c r="N25" s="29">
        <f t="shared" si="20"/>
        <v>0</v>
      </c>
      <c r="O25" s="29">
        <f t="shared" si="20"/>
        <v>0</v>
      </c>
      <c r="P25" s="29">
        <f t="shared" si="20"/>
        <v>0</v>
      </c>
      <c r="Q25" s="29">
        <f t="shared" si="20"/>
        <v>-2351578.33</v>
      </c>
      <c r="R25" s="29">
        <f t="shared" si="20"/>
        <v>0</v>
      </c>
      <c r="S25" s="29">
        <f t="shared" si="20"/>
        <v>0</v>
      </c>
      <c r="T25" s="29">
        <f t="shared" si="20"/>
        <v>0</v>
      </c>
      <c r="U25" s="29">
        <f t="shared" si="20"/>
        <v>-9386038.4000000004</v>
      </c>
      <c r="V25" s="29">
        <f t="shared" si="20"/>
        <v>0</v>
      </c>
      <c r="W25" s="29">
        <f t="shared" si="20"/>
        <v>0</v>
      </c>
      <c r="X25" s="29">
        <f t="shared" si="20"/>
        <v>0</v>
      </c>
      <c r="Y25" s="29">
        <f t="shared" si="20"/>
        <v>4009741.63</v>
      </c>
      <c r="Z25" s="29">
        <f t="shared" si="20"/>
        <v>0</v>
      </c>
      <c r="AA25" s="29">
        <f t="shared" si="20"/>
        <v>0</v>
      </c>
      <c r="AB25" s="29">
        <f t="shared" si="20"/>
        <v>0</v>
      </c>
      <c r="AC25" s="29">
        <f t="shared" si="20"/>
        <v>2527681.56</v>
      </c>
      <c r="AD25" s="29">
        <f t="shared" si="20"/>
        <v>0</v>
      </c>
      <c r="AE25" s="29">
        <f t="shared" si="20"/>
        <v>0</v>
      </c>
      <c r="AF25" s="29">
        <f t="shared" si="20"/>
        <v>0</v>
      </c>
      <c r="AG25" s="29">
        <f t="shared" si="20"/>
        <v>2580054.4500000002</v>
      </c>
      <c r="AH25" s="29">
        <f t="shared" si="20"/>
        <v>0</v>
      </c>
      <c r="AI25" s="29">
        <f t="shared" si="20"/>
        <v>0</v>
      </c>
      <c r="AJ25" s="29">
        <f t="shared" si="20"/>
        <v>0</v>
      </c>
      <c r="AK25" s="29">
        <f t="shared" si="20"/>
        <v>52229.09</v>
      </c>
      <c r="AL25" s="29">
        <f t="shared" si="20"/>
        <v>0</v>
      </c>
      <c r="AM25" s="29">
        <f t="shared" si="20"/>
        <v>0</v>
      </c>
      <c r="AN25" s="29">
        <f t="shared" si="20"/>
        <v>0</v>
      </c>
      <c r="AO25" s="29">
        <f t="shared" si="20"/>
        <v>2523687.75</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-2235307.1</v>
      </c>
      <c r="C26" s="190">
        <v>8393760.0199999996</v>
      </c>
      <c r="D26" s="190">
        <v>5546042.6699999999</v>
      </c>
      <c r="E26" s="190">
        <v>4365067.32</v>
      </c>
      <c r="F26" s="190">
        <v>1037096.85</v>
      </c>
      <c r="G26" s="190">
        <v>366120.29</v>
      </c>
      <c r="H26" s="190">
        <v>-224596.5</v>
      </c>
      <c r="I26" s="190">
        <v>3020626.04</v>
      </c>
      <c r="J26" s="190">
        <v>296689.55</v>
      </c>
      <c r="K26" s="190">
        <v>560712.03</v>
      </c>
      <c r="L26" s="190">
        <v>-98614.93</v>
      </c>
      <c r="M26" s="190">
        <v>-670492.91</v>
      </c>
      <c r="N26" s="190">
        <v>-543429.56000000006</v>
      </c>
      <c r="O26" s="190">
        <v>-56495.07</v>
      </c>
      <c r="P26" s="190">
        <v>-32632.880000000001</v>
      </c>
      <c r="Q26" s="190">
        <v>-55011.41</v>
      </c>
      <c r="R26" s="190">
        <v>-7279.9</v>
      </c>
      <c r="S26" s="190">
        <v>0</v>
      </c>
      <c r="T26" s="190">
        <v>0</v>
      </c>
      <c r="U26" s="190">
        <v>190.82</v>
      </c>
      <c r="V26" s="190">
        <v>561.46</v>
      </c>
      <c r="W26" s="190">
        <v>-838.63</v>
      </c>
      <c r="X26" s="190">
        <v>-272.93</v>
      </c>
      <c r="Y26" s="190">
        <v>-190.82</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-86971812.86999999</v>
      </c>
      <c r="C27" s="26">
        <f t="shared" ref="C27:BN27" si="22">SUM(C22:C26)</f>
        <v>-28210458.650000002</v>
      </c>
      <c r="D27" s="26">
        <f t="shared" si="22"/>
        <v>8894810.6799999997</v>
      </c>
      <c r="E27" s="26">
        <f t="shared" si="22"/>
        <v>-73493349.110000014</v>
      </c>
      <c r="F27" s="26">
        <f t="shared" si="22"/>
        <v>8175787.6199999992</v>
      </c>
      <c r="G27" s="26">
        <f t="shared" si="22"/>
        <v>5090727.8100000015</v>
      </c>
      <c r="H27" s="26">
        <f t="shared" si="22"/>
        <v>1812434.0700000003</v>
      </c>
      <c r="I27" s="26">
        <f t="shared" si="22"/>
        <v>34804651.740000002</v>
      </c>
      <c r="J27" s="26">
        <f t="shared" si="22"/>
        <v>23657729.73</v>
      </c>
      <c r="K27" s="26">
        <f t="shared" si="22"/>
        <v>21603880.340000004</v>
      </c>
      <c r="L27" s="26">
        <f t="shared" si="22"/>
        <v>1631054.7</v>
      </c>
      <c r="M27" s="26">
        <f t="shared" si="22"/>
        <v>35765684.32</v>
      </c>
      <c r="N27" s="26">
        <f t="shared" si="22"/>
        <v>8431315.6499999985</v>
      </c>
      <c r="O27" s="26">
        <f t="shared" si="22"/>
        <v>9852296.9299999997</v>
      </c>
      <c r="P27" s="26">
        <f t="shared" si="22"/>
        <v>4429446.9000000004</v>
      </c>
      <c r="Q27" s="26">
        <f t="shared" si="22"/>
        <v>40434380.560000002</v>
      </c>
      <c r="R27" s="26">
        <f t="shared" si="22"/>
        <v>101612.45999999999</v>
      </c>
      <c r="S27" s="26">
        <f t="shared" si="22"/>
        <v>175218.34000000003</v>
      </c>
      <c r="T27" s="26">
        <f t="shared" si="22"/>
        <v>-796369.18</v>
      </c>
      <c r="U27" s="26">
        <f t="shared" si="22"/>
        <v>39409633.070000008</v>
      </c>
      <c r="V27" s="26">
        <f t="shared" si="22"/>
        <v>7089071.7599999998</v>
      </c>
      <c r="W27" s="26">
        <f t="shared" si="22"/>
        <v>4198050.18</v>
      </c>
      <c r="X27" s="26">
        <f t="shared" si="22"/>
        <v>3883379.56</v>
      </c>
      <c r="Y27" s="26">
        <f t="shared" si="22"/>
        <v>18090396.879999999</v>
      </c>
      <c r="Z27" s="26">
        <f t="shared" si="22"/>
        <v>-712878.15</v>
      </c>
      <c r="AA27" s="26">
        <f t="shared" si="22"/>
        <v>3256456.3899999997</v>
      </c>
      <c r="AB27" s="26">
        <f t="shared" si="22"/>
        <v>86000</v>
      </c>
      <c r="AC27" s="26">
        <f t="shared" si="22"/>
        <v>9601737.7899999991</v>
      </c>
      <c r="AD27" s="26">
        <f t="shared" si="22"/>
        <v>-4278812.09</v>
      </c>
      <c r="AE27" s="26">
        <f t="shared" si="22"/>
        <v>-2240222.69</v>
      </c>
      <c r="AF27" s="26">
        <f t="shared" si="22"/>
        <v>-807590.03</v>
      </c>
      <c r="AG27" s="26">
        <f t="shared" si="22"/>
        <v>11595276.940000001</v>
      </c>
      <c r="AH27" s="26">
        <f t="shared" si="22"/>
        <v>0</v>
      </c>
      <c r="AI27" s="26">
        <f t="shared" si="22"/>
        <v>0</v>
      </c>
      <c r="AJ27" s="26">
        <f t="shared" si="22"/>
        <v>0</v>
      </c>
      <c r="AK27" s="26">
        <f t="shared" si="22"/>
        <v>8818491.8200000003</v>
      </c>
      <c r="AL27" s="26">
        <f t="shared" si="22"/>
        <v>0</v>
      </c>
      <c r="AM27" s="26">
        <f t="shared" si="22"/>
        <v>0</v>
      </c>
      <c r="AN27" s="26">
        <f t="shared" si="22"/>
        <v>0</v>
      </c>
      <c r="AO27" s="26">
        <f t="shared" si="22"/>
        <v>9631382.129999999</v>
      </c>
      <c r="AP27" s="26">
        <f t="shared" si="22"/>
        <v>0</v>
      </c>
      <c r="AQ27" s="26">
        <f t="shared" si="22"/>
        <v>0</v>
      </c>
      <c r="AR27" s="26">
        <f t="shared" si="22"/>
        <v>0</v>
      </c>
      <c r="AS27" s="26">
        <f t="shared" si="22"/>
        <v>927230.07</v>
      </c>
      <c r="AT27" s="26">
        <f t="shared" si="22"/>
        <v>127436.54</v>
      </c>
      <c r="AU27" s="26">
        <f t="shared" si="22"/>
        <v>916908.43</v>
      </c>
      <c r="AV27" s="26">
        <f t="shared" si="22"/>
        <v>0</v>
      </c>
      <c r="AW27" s="26">
        <f t="shared" si="22"/>
        <v>7180688.6900000004</v>
      </c>
      <c r="AX27" s="26">
        <f t="shared" si="22"/>
        <v>0</v>
      </c>
      <c r="AY27" s="26">
        <f t="shared" si="22"/>
        <v>0</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-3660344.6036855141</v>
      </c>
      <c r="C28" s="26">
        <f t="shared" ref="C28:BN28" si="24">SUM(C22:C25)*C41</f>
        <v>-6202715.7895285618</v>
      </c>
      <c r="D28" s="26">
        <f t="shared" si="24"/>
        <v>562011.55298563605</v>
      </c>
      <c r="E28" s="26">
        <f t="shared" si="24"/>
        <v>-11733680.102058185</v>
      </c>
      <c r="F28" s="26">
        <f t="shared" si="24"/>
        <v>847773.46172952896</v>
      </c>
      <c r="G28" s="26">
        <f t="shared" si="24"/>
        <v>918175.77293527639</v>
      </c>
      <c r="H28" s="26">
        <f t="shared" si="24"/>
        <v>213164.67256668018</v>
      </c>
      <c r="I28" s="26">
        <f t="shared" si="24"/>
        <v>3084001.9048463097</v>
      </c>
      <c r="J28" s="26">
        <f t="shared" si="24"/>
        <v>1515982.846474557</v>
      </c>
      <c r="K28" s="26">
        <f t="shared" si="24"/>
        <v>2739258.4947209982</v>
      </c>
      <c r="L28" s="26">
        <f t="shared" si="24"/>
        <v>216251.3642918017</v>
      </c>
      <c r="M28" s="26">
        <f t="shared" si="24"/>
        <v>4568407.1510216817</v>
      </c>
      <c r="N28" s="26">
        <f t="shared" si="24"/>
        <v>1199653.0232473162</v>
      </c>
      <c r="O28" s="26">
        <f t="shared" si="24"/>
        <v>1340698.4758544455</v>
      </c>
      <c r="P28" s="26">
        <f t="shared" si="24"/>
        <v>425225.52489025827</v>
      </c>
      <c r="Q28" s="26">
        <f t="shared" si="24"/>
        <v>3521655.9730025576</v>
      </c>
      <c r="R28" s="26">
        <f t="shared" si="24"/>
        <v>9395.7490696694967</v>
      </c>
      <c r="S28" s="26">
        <f t="shared" si="24"/>
        <v>15378.137014256119</v>
      </c>
      <c r="T28" s="26">
        <f t="shared" si="24"/>
        <v>-125588.53640474316</v>
      </c>
      <c r="U28" s="26">
        <f t="shared" si="24"/>
        <v>-173345.61378692841</v>
      </c>
      <c r="V28" s="26">
        <f t="shared" si="24"/>
        <v>806502.51279784169</v>
      </c>
      <c r="W28" s="26">
        <f t="shared" si="24"/>
        <v>453559.22740591579</v>
      </c>
      <c r="X28" s="26">
        <f t="shared" si="24"/>
        <v>455696.0728110401</v>
      </c>
      <c r="Y28" s="26">
        <f t="shared" si="24"/>
        <v>1383791.4157429412</v>
      </c>
      <c r="Z28" s="26">
        <f t="shared" si="24"/>
        <v>-84986.065302865609</v>
      </c>
      <c r="AA28" s="26">
        <f t="shared" si="24"/>
        <v>410547.25040905864</v>
      </c>
      <c r="AB28" s="26">
        <f t="shared" si="24"/>
        <v>10228.15808839855</v>
      </c>
      <c r="AC28" s="26">
        <f t="shared" si="24"/>
        <v>874948.22521628987</v>
      </c>
      <c r="AD28" s="26">
        <f t="shared" si="24"/>
        <v>-584069.27353295579</v>
      </c>
      <c r="AE28" s="26">
        <f t="shared" si="24"/>
        <v>-266461.24115066807</v>
      </c>
      <c r="AF28" s="26">
        <f t="shared" si="24"/>
        <v>-75539.425120508924</v>
      </c>
      <c r="AG28" s="26">
        <f t="shared" si="24"/>
        <v>1141093.8122018303</v>
      </c>
      <c r="AH28" s="26">
        <f t="shared" si="24"/>
        <v>0</v>
      </c>
      <c r="AI28" s="26">
        <f t="shared" si="24"/>
        <v>0</v>
      </c>
      <c r="AJ28" s="26">
        <f t="shared" si="24"/>
        <v>0</v>
      </c>
      <c r="AK28" s="26">
        <f t="shared" si="24"/>
        <v>743437.93771508301</v>
      </c>
      <c r="AL28" s="26">
        <f t="shared" si="24"/>
        <v>0</v>
      </c>
      <c r="AM28" s="26">
        <f t="shared" si="24"/>
        <v>0</v>
      </c>
      <c r="AN28" s="26">
        <f t="shared" si="24"/>
        <v>0</v>
      </c>
      <c r="AO28" s="26">
        <f t="shared" si="24"/>
        <v>600616.67788363213</v>
      </c>
      <c r="AP28" s="26">
        <f t="shared" si="24"/>
        <v>0</v>
      </c>
      <c r="AQ28" s="26">
        <f t="shared" si="24"/>
        <v>0</v>
      </c>
      <c r="AR28" s="26">
        <f t="shared" si="24"/>
        <v>0</v>
      </c>
      <c r="AS28" s="26">
        <f t="shared" si="24"/>
        <v>109564.52052578404</v>
      </c>
      <c r="AT28" s="26">
        <f t="shared" si="24"/>
        <v>6053.2085182154397</v>
      </c>
      <c r="AU28" s="26">
        <f t="shared" si="24"/>
        <v>75226.187180905763</v>
      </c>
      <c r="AV28" s="26">
        <f t="shared" si="24"/>
        <v>0</v>
      </c>
      <c r="AW28" s="26">
        <f t="shared" si="24"/>
        <v>508587.90748746507</v>
      </c>
      <c r="AX28" s="26">
        <f t="shared" si="24"/>
        <v>0</v>
      </c>
      <c r="AY28" s="26" t="e">
        <f t="shared" si="24"/>
        <v>#DIV/0!</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-83311468.266314477</v>
      </c>
      <c r="C29" s="28">
        <f t="shared" ref="C29:BN29" si="26">C27-C28</f>
        <v>-22007742.860471442</v>
      </c>
      <c r="D29" s="28">
        <f t="shared" si="26"/>
        <v>8332799.1270143632</v>
      </c>
      <c r="E29" s="28">
        <f t="shared" si="26"/>
        <v>-61759669.007941827</v>
      </c>
      <c r="F29" s="28">
        <f t="shared" si="26"/>
        <v>7328014.1582704699</v>
      </c>
      <c r="G29" s="28">
        <f t="shared" si="26"/>
        <v>4172552.0370647251</v>
      </c>
      <c r="H29" s="28">
        <f t="shared" si="26"/>
        <v>1599269.3974333201</v>
      </c>
      <c r="I29" s="28">
        <f t="shared" si="26"/>
        <v>31720649.835153691</v>
      </c>
      <c r="J29" s="28">
        <f t="shared" si="26"/>
        <v>22141746.883525442</v>
      </c>
      <c r="K29" s="28">
        <f t="shared" si="26"/>
        <v>18864621.845279004</v>
      </c>
      <c r="L29" s="28">
        <f t="shared" si="26"/>
        <v>1414803.3357081981</v>
      </c>
      <c r="M29" s="28">
        <f t="shared" si="26"/>
        <v>31197277.168978319</v>
      </c>
      <c r="N29" s="28">
        <f t="shared" si="26"/>
        <v>7231662.626752682</v>
      </c>
      <c r="O29" s="28">
        <f t="shared" si="26"/>
        <v>8511598.4541455545</v>
      </c>
      <c r="P29" s="28">
        <f t="shared" si="26"/>
        <v>4004221.3751097419</v>
      </c>
      <c r="Q29" s="28">
        <f t="shared" si="26"/>
        <v>36912724.586997442</v>
      </c>
      <c r="R29" s="28">
        <f t="shared" si="26"/>
        <v>92216.71093033049</v>
      </c>
      <c r="S29" s="28">
        <f t="shared" si="26"/>
        <v>159840.2029857439</v>
      </c>
      <c r="T29" s="28">
        <f t="shared" si="26"/>
        <v>-670780.64359525684</v>
      </c>
      <c r="U29" s="28">
        <f t="shared" si="26"/>
        <v>39582978.683786936</v>
      </c>
      <c r="V29" s="28">
        <f t="shared" si="26"/>
        <v>6282569.247202158</v>
      </c>
      <c r="W29" s="28">
        <f t="shared" si="26"/>
        <v>3744490.9525940837</v>
      </c>
      <c r="X29" s="28">
        <f t="shared" si="26"/>
        <v>3427683.48718896</v>
      </c>
      <c r="Y29" s="28">
        <f t="shared" si="26"/>
        <v>16706605.464257058</v>
      </c>
      <c r="Z29" s="28">
        <f t="shared" si="26"/>
        <v>-627892.08469713444</v>
      </c>
      <c r="AA29" s="28">
        <f t="shared" si="26"/>
        <v>2845909.1395909409</v>
      </c>
      <c r="AB29" s="28">
        <f t="shared" si="26"/>
        <v>75771.841911601456</v>
      </c>
      <c r="AC29" s="28">
        <f t="shared" si="26"/>
        <v>8726789.5647837091</v>
      </c>
      <c r="AD29" s="28">
        <f t="shared" si="26"/>
        <v>-3694742.8164670439</v>
      </c>
      <c r="AE29" s="28">
        <f t="shared" si="26"/>
        <v>-1973761.4488493318</v>
      </c>
      <c r="AF29" s="28">
        <f t="shared" si="26"/>
        <v>-732050.60487949115</v>
      </c>
      <c r="AG29" s="28">
        <f t="shared" si="26"/>
        <v>10454183.127798172</v>
      </c>
      <c r="AH29" s="28">
        <f t="shared" si="26"/>
        <v>0</v>
      </c>
      <c r="AI29" s="28">
        <f t="shared" si="26"/>
        <v>0</v>
      </c>
      <c r="AJ29" s="28">
        <f t="shared" si="26"/>
        <v>0</v>
      </c>
      <c r="AK29" s="28">
        <f t="shared" si="26"/>
        <v>8075053.8822849169</v>
      </c>
      <c r="AL29" s="28">
        <f t="shared" si="26"/>
        <v>0</v>
      </c>
      <c r="AM29" s="28">
        <f t="shared" si="26"/>
        <v>0</v>
      </c>
      <c r="AN29" s="28">
        <f t="shared" si="26"/>
        <v>0</v>
      </c>
      <c r="AO29" s="28">
        <f t="shared" si="26"/>
        <v>9030765.4521163665</v>
      </c>
      <c r="AP29" s="28">
        <f t="shared" si="26"/>
        <v>0</v>
      </c>
      <c r="AQ29" s="28">
        <f t="shared" si="26"/>
        <v>0</v>
      </c>
      <c r="AR29" s="28">
        <f t="shared" si="26"/>
        <v>0</v>
      </c>
      <c r="AS29" s="28">
        <f t="shared" si="26"/>
        <v>817665.54947421595</v>
      </c>
      <c r="AT29" s="28">
        <f t="shared" si="26"/>
        <v>121383.33148178455</v>
      </c>
      <c r="AU29" s="28">
        <f t="shared" si="26"/>
        <v>841682.24281909433</v>
      </c>
      <c r="AV29" s="28">
        <f t="shared" si="26"/>
        <v>0</v>
      </c>
      <c r="AW29" s="28">
        <f t="shared" si="26"/>
        <v>6672100.7825125353</v>
      </c>
      <c r="AX29" s="28">
        <f t="shared" si="26"/>
        <v>0</v>
      </c>
      <c r="AY29" s="28" t="e">
        <f t="shared" si="26"/>
        <v>#DIV/0!</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2546532867.3400002</v>
      </c>
      <c r="C31" s="26">
        <f t="shared" ref="C31:BN31" si="28">C15+C20+C27</f>
        <v>955123334.77999902</v>
      </c>
      <c r="D31" s="26">
        <f t="shared" si="28"/>
        <v>329093052.86000001</v>
      </c>
      <c r="E31" s="26">
        <f t="shared" si="28"/>
        <v>1983384114.4300003</v>
      </c>
      <c r="F31" s="26">
        <f t="shared" si="28"/>
        <v>1167958390.8500004</v>
      </c>
      <c r="G31" s="26">
        <f t="shared" si="28"/>
        <v>837802582.05999982</v>
      </c>
      <c r="H31" s="26">
        <f t="shared" si="28"/>
        <v>317900881.13</v>
      </c>
      <c r="I31" s="26">
        <f t="shared" si="28"/>
        <v>1952668689.8800006</v>
      </c>
      <c r="J31" s="26">
        <f t="shared" si="28"/>
        <v>1106348487.8199995</v>
      </c>
      <c r="K31" s="26">
        <f t="shared" si="28"/>
        <v>795233491.63000011</v>
      </c>
      <c r="L31" s="26">
        <f t="shared" si="28"/>
        <v>250429796.55999994</v>
      </c>
      <c r="M31" s="26">
        <f t="shared" si="28"/>
        <v>1513291805.5</v>
      </c>
      <c r="N31" s="26">
        <f t="shared" si="28"/>
        <v>812212855.25</v>
      </c>
      <c r="O31" s="26">
        <f t="shared" si="28"/>
        <v>520180259.92000008</v>
      </c>
      <c r="P31" s="26">
        <f t="shared" si="28"/>
        <v>105788948.01000004</v>
      </c>
      <c r="Q31" s="26">
        <f t="shared" si="28"/>
        <v>1260237577.8799996</v>
      </c>
      <c r="R31" s="26">
        <f t="shared" si="28"/>
        <v>773270847.58999979</v>
      </c>
      <c r="S31" s="26">
        <f t="shared" si="28"/>
        <v>540044636.83999991</v>
      </c>
      <c r="T31" s="26">
        <f t="shared" si="28"/>
        <v>228167038.29000002</v>
      </c>
      <c r="U31" s="26">
        <f t="shared" si="28"/>
        <v>1128992761.5700002</v>
      </c>
      <c r="V31" s="26">
        <f t="shared" si="28"/>
        <v>681959296.76999986</v>
      </c>
      <c r="W31" s="26">
        <f t="shared" si="28"/>
        <v>430226824.93999994</v>
      </c>
      <c r="X31" s="26">
        <f t="shared" si="28"/>
        <v>163347942.88000005</v>
      </c>
      <c r="Y31" s="26">
        <f t="shared" si="28"/>
        <v>760938055.64999974</v>
      </c>
      <c r="Z31" s="26">
        <f t="shared" si="28"/>
        <v>417466845.34000009</v>
      </c>
      <c r="AA31" s="26">
        <f t="shared" si="28"/>
        <v>256675689.24000022</v>
      </c>
      <c r="AB31" s="26">
        <f t="shared" si="28"/>
        <v>73598544.38000001</v>
      </c>
      <c r="AC31" s="26">
        <f t="shared" si="28"/>
        <v>416842609.51999992</v>
      </c>
      <c r="AD31" s="26">
        <f t="shared" si="28"/>
        <v>226485059.38999996</v>
      </c>
      <c r="AE31" s="26">
        <f t="shared" si="28"/>
        <v>143586354.45000002</v>
      </c>
      <c r="AF31" s="26">
        <f t="shared" si="28"/>
        <v>41883310.660000026</v>
      </c>
      <c r="AG31" s="26">
        <f t="shared" si="28"/>
        <v>290992179.15000004</v>
      </c>
      <c r="AH31" s="26">
        <f t="shared" si="28"/>
        <v>150091406.32999998</v>
      </c>
      <c r="AI31" s="26">
        <f t="shared" si="28"/>
        <v>84845359.12999998</v>
      </c>
      <c r="AJ31" s="26">
        <f t="shared" si="28"/>
        <v>18296402.329999987</v>
      </c>
      <c r="AK31" s="26">
        <f t="shared" si="28"/>
        <v>128134326.51000005</v>
      </c>
      <c r="AL31" s="26">
        <f t="shared" si="28"/>
        <v>57006600.750000015</v>
      </c>
      <c r="AM31" s="26">
        <f t="shared" si="28"/>
        <v>30740871.670000017</v>
      </c>
      <c r="AN31" s="26">
        <f t="shared" si="28"/>
        <v>3446503.4400000009</v>
      </c>
      <c r="AO31" s="26">
        <f t="shared" si="28"/>
        <v>111558443.08999997</v>
      </c>
      <c r="AP31" s="26">
        <f t="shared" si="28"/>
        <v>78944639.309999987</v>
      </c>
      <c r="AQ31" s="26">
        <f t="shared" si="28"/>
        <v>40747397.19000002</v>
      </c>
      <c r="AR31" s="26">
        <f t="shared" si="28"/>
        <v>6568633.9800000051</v>
      </c>
      <c r="AS31" s="26">
        <f t="shared" si="28"/>
        <v>96250016.639999956</v>
      </c>
      <c r="AT31" s="26">
        <f t="shared" si="28"/>
        <v>57301746.32</v>
      </c>
      <c r="AU31" s="26">
        <f t="shared" si="28"/>
        <v>26860945.149999987</v>
      </c>
      <c r="AV31" s="26">
        <f t="shared" si="28"/>
        <v>3035638.5300000021</v>
      </c>
      <c r="AW31" s="26">
        <f t="shared" si="28"/>
        <v>54388308.339999981</v>
      </c>
      <c r="AX31" s="26">
        <f t="shared" si="28"/>
        <v>49842729.319999993</v>
      </c>
      <c r="AY31" s="26">
        <f t="shared" si="28"/>
        <v>0</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16.942177961722805</v>
      </c>
      <c r="C32" s="57">
        <f t="shared" ref="C32:D32" si="30">C31/C4*100</f>
        <v>9.7322122505489563</v>
      </c>
      <c r="D32" s="57">
        <f t="shared" si="30"/>
        <v>9.0968669723970628</v>
      </c>
      <c r="E32" s="57">
        <f>E31/E4</f>
        <v>0.10525026024997065</v>
      </c>
      <c r="F32" s="57">
        <f t="shared" ref="F32:BQ32" si="31">F31/F4</f>
        <v>9.9627144303435056E-2</v>
      </c>
      <c r="G32" s="57">
        <f t="shared" si="31"/>
        <v>0.11223579215208083</v>
      </c>
      <c r="H32" s="57">
        <f t="shared" si="31"/>
        <v>0.12002544381590428</v>
      </c>
      <c r="I32" s="57">
        <f t="shared" si="31"/>
        <v>0.14649673025750332</v>
      </c>
      <c r="J32" s="57">
        <f t="shared" si="31"/>
        <v>0.138837900525178</v>
      </c>
      <c r="K32" s="57">
        <f t="shared" si="31"/>
        <v>0.16066144580348921</v>
      </c>
      <c r="L32" s="57">
        <f t="shared" si="31"/>
        <v>0.14047559726116962</v>
      </c>
      <c r="M32" s="57">
        <f t="shared" si="31"/>
        <v>0.15016043028855042</v>
      </c>
      <c r="N32" s="57">
        <f t="shared" si="31"/>
        <v>0.1393114586602367</v>
      </c>
      <c r="O32" s="57">
        <f t="shared" si="31"/>
        <v>0.1499559450220781</v>
      </c>
      <c r="P32" s="57">
        <f t="shared" si="31"/>
        <v>8.7966964539500578E-2</v>
      </c>
      <c r="Q32" s="57">
        <f t="shared" si="31"/>
        <v>0.17188460923257526</v>
      </c>
      <c r="R32" s="57">
        <f t="shared" si="31"/>
        <v>0.16638522361093036</v>
      </c>
      <c r="S32" s="57">
        <f t="shared" si="31"/>
        <v>0.1774990128516796</v>
      </c>
      <c r="T32" s="57">
        <f t="shared" si="31"/>
        <v>0.1993036830526001</v>
      </c>
      <c r="U32" s="57">
        <f t="shared" si="31"/>
        <v>0.20868264999432223</v>
      </c>
      <c r="V32" s="57">
        <f t="shared" si="31"/>
        <v>0.20924310681453054</v>
      </c>
      <c r="W32" s="57">
        <f t="shared" si="31"/>
        <v>0.21176857031280086</v>
      </c>
      <c r="X32" s="57">
        <f t="shared" si="31"/>
        <v>0.20717150325910191</v>
      </c>
      <c r="Y32" s="57">
        <f t="shared" si="31"/>
        <v>0.2154890510801819</v>
      </c>
      <c r="Z32" s="57">
        <f t="shared" si="31"/>
        <v>0.19037351711693701</v>
      </c>
      <c r="AA32" s="57">
        <f t="shared" si="31"/>
        <v>0.19791924275787562</v>
      </c>
      <c r="AB32" s="57">
        <f t="shared" si="31"/>
        <v>0.14777946838332279</v>
      </c>
      <c r="AC32" s="57">
        <f t="shared" si="31"/>
        <v>0.18902641854029606</v>
      </c>
      <c r="AD32" s="57">
        <f t="shared" si="31"/>
        <v>0.15505243774766872</v>
      </c>
      <c r="AE32" s="57">
        <f t="shared" si="31"/>
        <v>0.16056434038282477</v>
      </c>
      <c r="AF32" s="57">
        <f t="shared" si="31"/>
        <v>0.12744632359864247</v>
      </c>
      <c r="AG32" s="57">
        <f t="shared" si="31"/>
        <v>0.19191247875104514</v>
      </c>
      <c r="AH32" s="57">
        <f t="shared" si="31"/>
        <v>0.15667568283692465</v>
      </c>
      <c r="AI32" s="57">
        <f t="shared" si="31"/>
        <v>0.14868218184183618</v>
      </c>
      <c r="AJ32" s="57">
        <f t="shared" si="31"/>
        <v>8.6008029163172531E-2</v>
      </c>
      <c r="AK32" s="57">
        <f t="shared" si="31"/>
        <v>0.15328134662813137</v>
      </c>
      <c r="AL32" s="57">
        <f t="shared" si="31"/>
        <v>0.10999595906994583</v>
      </c>
      <c r="AM32" s="57">
        <f t="shared" si="31"/>
        <v>0.10280682591346949</v>
      </c>
      <c r="AN32" s="57">
        <f t="shared" si="31"/>
        <v>2.6532605936777032E-2</v>
      </c>
      <c r="AO32" s="57">
        <f t="shared" si="31"/>
        <v>0.17651138751530032</v>
      </c>
      <c r="AP32" s="57">
        <f t="shared" si="31"/>
        <v>0.17766128903480727</v>
      </c>
      <c r="AQ32" s="57">
        <f t="shared" si="31"/>
        <v>0.15386966378303724</v>
      </c>
      <c r="AR32" s="57">
        <f t="shared" si="31"/>
        <v>8.2955560896765188E-2</v>
      </c>
      <c r="AS32" s="57">
        <f t="shared" si="31"/>
        <v>0.23754575163425953</v>
      </c>
      <c r="AT32" s="57">
        <f t="shared" si="31"/>
        <v>0.22236725398686591</v>
      </c>
      <c r="AU32" s="57">
        <f t="shared" si="31"/>
        <v>0.19200970612683402</v>
      </c>
      <c r="AV32" s="57">
        <f t="shared" si="31"/>
        <v>5.9627529188087371E-2</v>
      </c>
      <c r="AW32" s="57">
        <f t="shared" si="31"/>
        <v>0.1220732591752887</v>
      </c>
      <c r="AX32" s="57">
        <f t="shared" si="31"/>
        <v>0.17002779834683659</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2435042264.583642</v>
      </c>
      <c r="C33" s="26">
        <f t="shared" ref="C33:BN33" si="33">C17+C20+C29</f>
        <v>790364154.61161983</v>
      </c>
      <c r="D33" s="26">
        <f t="shared" si="33"/>
        <v>272936898.22514528</v>
      </c>
      <c r="E33" s="26">
        <f t="shared" si="33"/>
        <v>1679489203.3494501</v>
      </c>
      <c r="F33" s="26">
        <f t="shared" si="33"/>
        <v>1026011893.7379383</v>
      </c>
      <c r="G33" s="26">
        <f t="shared" si="33"/>
        <v>671418046.25985432</v>
      </c>
      <c r="H33" s="26">
        <f t="shared" si="33"/>
        <v>283634095.48311394</v>
      </c>
      <c r="I33" s="26">
        <f t="shared" si="33"/>
        <v>1763655367.3351684</v>
      </c>
      <c r="J33" s="26">
        <f t="shared" si="33"/>
        <v>1033908605.9100533</v>
      </c>
      <c r="K33" s="26">
        <f t="shared" si="33"/>
        <v>691084128.09599173</v>
      </c>
      <c r="L33" s="26">
        <f t="shared" si="33"/>
        <v>219086415.84547544</v>
      </c>
      <c r="M33" s="26">
        <f t="shared" si="33"/>
        <v>1323559231.0812726</v>
      </c>
      <c r="N33" s="26">
        <f t="shared" si="33"/>
        <v>703619046.54544258</v>
      </c>
      <c r="O33" s="26">
        <f t="shared" si="33"/>
        <v>449766754.27619892</v>
      </c>
      <c r="P33" s="26">
        <f t="shared" si="33"/>
        <v>95675944.95504941</v>
      </c>
      <c r="Q33" s="26">
        <f t="shared" si="33"/>
        <v>1150552295.5644989</v>
      </c>
      <c r="R33" s="26">
        <f t="shared" si="33"/>
        <v>706498697.45659471</v>
      </c>
      <c r="S33" s="26">
        <f t="shared" si="33"/>
        <v>492609600.76984501</v>
      </c>
      <c r="T33" s="26">
        <f t="shared" si="33"/>
        <v>192140382.60523066</v>
      </c>
      <c r="U33" s="26">
        <f t="shared" si="33"/>
        <v>1133964209.2564011</v>
      </c>
      <c r="V33" s="26">
        <f t="shared" si="33"/>
        <v>604275574.64438498</v>
      </c>
      <c r="W33" s="26">
        <f t="shared" si="33"/>
        <v>383702709.77647573</v>
      </c>
      <c r="X33" s="26">
        <f t="shared" si="33"/>
        <v>144129677.917725</v>
      </c>
      <c r="Y33" s="26">
        <f t="shared" si="33"/>
        <v>702654813.95086634</v>
      </c>
      <c r="Z33" s="26">
        <f t="shared" si="33"/>
        <v>367602035.47887921</v>
      </c>
      <c r="AA33" s="26">
        <f t="shared" si="33"/>
        <v>224201842.88666892</v>
      </c>
      <c r="AB33" s="26">
        <f t="shared" si="33"/>
        <v>64793541.572732478</v>
      </c>
      <c r="AC33" s="26">
        <f t="shared" si="33"/>
        <v>378891567.70810926</v>
      </c>
      <c r="AD33" s="26">
        <f t="shared" si="33"/>
        <v>195562437.37859634</v>
      </c>
      <c r="AE33" s="26">
        <f t="shared" si="33"/>
        <v>126501675.51594566</v>
      </c>
      <c r="AF33" s="26">
        <f t="shared" si="33"/>
        <v>37965677.836573415</v>
      </c>
      <c r="AG33" s="26">
        <f t="shared" si="33"/>
        <v>262355573.33666864</v>
      </c>
      <c r="AH33" s="26">
        <f t="shared" si="33"/>
        <v>136029781.56952721</v>
      </c>
      <c r="AI33" s="26">
        <f t="shared" si="33"/>
        <v>76369186.00785242</v>
      </c>
      <c r="AJ33" s="26">
        <f t="shared" si="33"/>
        <v>16825381.297744978</v>
      </c>
      <c r="AK33" s="26">
        <f t="shared" si="33"/>
        <v>117332034.98492774</v>
      </c>
      <c r="AL33" s="26">
        <f t="shared" si="33"/>
        <v>52854111.983077697</v>
      </c>
      <c r="AM33" s="26">
        <f t="shared" si="33"/>
        <v>28567403.845196828</v>
      </c>
      <c r="AN33" s="26">
        <f t="shared" si="33"/>
        <v>3418411.7430918943</v>
      </c>
      <c r="AO33" s="26">
        <f t="shared" si="33"/>
        <v>104601615.85853948</v>
      </c>
      <c r="AP33" s="26">
        <f t="shared" si="33"/>
        <v>70629244.840312853</v>
      </c>
      <c r="AQ33" s="26">
        <f t="shared" si="33"/>
        <v>34084449.364343882</v>
      </c>
      <c r="AR33" s="26">
        <f t="shared" si="33"/>
        <v>5150915.8576173913</v>
      </c>
      <c r="AS33" s="26">
        <f t="shared" si="33"/>
        <v>84876801.658134311</v>
      </c>
      <c r="AT33" s="26">
        <f t="shared" si="33"/>
        <v>54579925.56958694</v>
      </c>
      <c r="AU33" s="26">
        <f t="shared" si="33"/>
        <v>24657184.750818204</v>
      </c>
      <c r="AV33" s="26">
        <f t="shared" si="33"/>
        <v>3035638.5300000021</v>
      </c>
      <c r="AW33" s="26">
        <f t="shared" si="33"/>
        <v>50536138.008629777</v>
      </c>
      <c r="AX33" s="26">
        <f t="shared" si="33"/>
        <v>46748666.126349516</v>
      </c>
      <c r="AY33" s="26" t="e">
        <f t="shared" si="33"/>
        <v>#DIV/0!</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16.200426831319753</v>
      </c>
      <c r="C34" s="57">
        <f t="shared" ref="C34:D34" si="35">C33/C4*100</f>
        <v>8.0534015114160429</v>
      </c>
      <c r="D34" s="57">
        <f t="shared" si="35"/>
        <v>7.5445854400003522</v>
      </c>
      <c r="E34" s="57">
        <f>E33/E4</f>
        <v>8.9123773077282128E-2</v>
      </c>
      <c r="F34" s="57">
        <f t="shared" ref="F34:BQ34" si="36">F33/F4</f>
        <v>8.7519072421817182E-2</v>
      </c>
      <c r="G34" s="57">
        <f t="shared" si="36"/>
        <v>8.9946173359704978E-2</v>
      </c>
      <c r="H34" s="57">
        <f t="shared" si="36"/>
        <v>0.10708780696257934</v>
      </c>
      <c r="I34" s="57">
        <f t="shared" si="36"/>
        <v>0.13231622238567053</v>
      </c>
      <c r="J34" s="57">
        <f t="shared" si="36"/>
        <v>0.12974727381090795</v>
      </c>
      <c r="K34" s="57">
        <f t="shared" si="36"/>
        <v>0.13962009442555667</v>
      </c>
      <c r="L34" s="57">
        <f t="shared" si="36"/>
        <v>0.12289390296385322</v>
      </c>
      <c r="M34" s="57">
        <f t="shared" si="36"/>
        <v>0.13133370770211764</v>
      </c>
      <c r="N34" s="57">
        <f t="shared" si="36"/>
        <v>0.12068535369979985</v>
      </c>
      <c r="O34" s="57">
        <f t="shared" si="36"/>
        <v>0.12965735894586383</v>
      </c>
      <c r="P34" s="57">
        <f t="shared" si="36"/>
        <v>7.9557672284901265E-2</v>
      </c>
      <c r="Q34" s="57">
        <f t="shared" si="36"/>
        <v>0.15692456342829139</v>
      </c>
      <c r="R34" s="57">
        <f t="shared" si="36"/>
        <v>0.15201781384040214</v>
      </c>
      <c r="S34" s="57">
        <f t="shared" si="36"/>
        <v>0.16190831626351809</v>
      </c>
      <c r="T34" s="57">
        <f t="shared" si="36"/>
        <v>0.16783443482176519</v>
      </c>
      <c r="U34" s="57">
        <f t="shared" si="36"/>
        <v>0.20960157074635927</v>
      </c>
      <c r="V34" s="57">
        <f t="shared" si="36"/>
        <v>0.1854076910595599</v>
      </c>
      <c r="W34" s="57">
        <f t="shared" si="36"/>
        <v>0.18886821919075808</v>
      </c>
      <c r="X34" s="57">
        <f t="shared" si="36"/>
        <v>0.1827972946093416</v>
      </c>
      <c r="Y34" s="57">
        <f t="shared" si="36"/>
        <v>0.19898389621984997</v>
      </c>
      <c r="Z34" s="57">
        <f t="shared" si="36"/>
        <v>0.16763413232603819</v>
      </c>
      <c r="AA34" s="57">
        <f t="shared" si="36"/>
        <v>0.17287908761611892</v>
      </c>
      <c r="AB34" s="57">
        <f t="shared" si="36"/>
        <v>0.13009978945851439</v>
      </c>
      <c r="AC34" s="57">
        <f t="shared" si="36"/>
        <v>0.17181668673808084</v>
      </c>
      <c r="AD34" s="57">
        <f t="shared" si="36"/>
        <v>0.1338827061224066</v>
      </c>
      <c r="AE34" s="57">
        <f t="shared" si="36"/>
        <v>0.14145952910597034</v>
      </c>
      <c r="AF34" s="57">
        <f t="shared" si="36"/>
        <v>0.115525396320276</v>
      </c>
      <c r="AG34" s="57">
        <f t="shared" si="36"/>
        <v>0.17302632854348202</v>
      </c>
      <c r="AH34" s="57">
        <f t="shared" si="36"/>
        <v>0.14199719647308995</v>
      </c>
      <c r="AI34" s="57">
        <f t="shared" si="36"/>
        <v>0.13382861853097713</v>
      </c>
      <c r="AJ34" s="57">
        <f t="shared" si="36"/>
        <v>7.9093029287247249E-2</v>
      </c>
      <c r="AK34" s="57">
        <f t="shared" si="36"/>
        <v>0.14035904987337761</v>
      </c>
      <c r="AL34" s="57">
        <f t="shared" si="36"/>
        <v>0.10198360649260334</v>
      </c>
      <c r="AM34" s="57">
        <f t="shared" si="36"/>
        <v>9.5538088361335247E-2</v>
      </c>
      <c r="AN34" s="57">
        <f t="shared" si="36"/>
        <v>2.6316344459852998E-2</v>
      </c>
      <c r="AO34" s="57">
        <f t="shared" si="36"/>
        <v>0.16550406979629398</v>
      </c>
      <c r="AP34" s="57">
        <f t="shared" si="36"/>
        <v>0.1589478752649835</v>
      </c>
      <c r="AQ34" s="57">
        <f t="shared" si="36"/>
        <v>0.12870914771480518</v>
      </c>
      <c r="AR34" s="57">
        <f t="shared" si="36"/>
        <v>6.5051137786290944E-2</v>
      </c>
      <c r="AS34" s="57">
        <f t="shared" si="36"/>
        <v>0.20947657309613832</v>
      </c>
      <c r="AT34" s="57">
        <f t="shared" si="36"/>
        <v>0.21180485676542948</v>
      </c>
      <c r="AU34" s="57">
        <f t="shared" si="36"/>
        <v>0.17625659750545519</v>
      </c>
      <c r="AV34" s="57">
        <f t="shared" si="36"/>
        <v>5.9627529188087371E-2</v>
      </c>
      <c r="AW34" s="57">
        <f t="shared" si="36"/>
        <v>0.11342715486351204</v>
      </c>
      <c r="AX34" s="57">
        <f t="shared" si="36"/>
        <v>0.15947306428753463</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-189699284.00999999</v>
      </c>
      <c r="C35" s="26">
        <f t="shared" ref="C35:BN35" si="38">C23+C68</f>
        <v>-22852677.850000001</v>
      </c>
      <c r="D35" s="26">
        <f t="shared" si="38"/>
        <v>120887434.44</v>
      </c>
      <c r="E35" s="26">
        <f t="shared" si="38"/>
        <v>222189137.37</v>
      </c>
      <c r="F35" s="26">
        <f t="shared" si="38"/>
        <v>108797737.84999999</v>
      </c>
      <c r="G35" s="26">
        <f t="shared" si="38"/>
        <v>48662860.950000003</v>
      </c>
      <c r="H35" s="26">
        <f t="shared" si="38"/>
        <v>9878121.6199999992</v>
      </c>
      <c r="I35" s="26">
        <f t="shared" si="38"/>
        <v>-131072182.77</v>
      </c>
      <c r="J35" s="26">
        <f t="shared" si="38"/>
        <v>-33439424.32</v>
      </c>
      <c r="K35" s="26">
        <f t="shared" si="38"/>
        <v>-22092119.710000001</v>
      </c>
      <c r="L35" s="26">
        <f t="shared" si="38"/>
        <v>5484056.1399999997</v>
      </c>
      <c r="M35" s="26">
        <f t="shared" si="38"/>
        <v>-58903758.890000001</v>
      </c>
      <c r="N35" s="26">
        <f t="shared" si="38"/>
        <v>-64587342.210000001</v>
      </c>
      <c r="O35" s="26">
        <f t="shared" si="38"/>
        <v>-15569165.390000001</v>
      </c>
      <c r="P35" s="26">
        <f t="shared" si="38"/>
        <v>-8564667.7100000009</v>
      </c>
      <c r="Q35" s="26">
        <f t="shared" si="38"/>
        <v>11872258.819999997</v>
      </c>
      <c r="R35" s="26">
        <f t="shared" si="38"/>
        <v>-20960342.390000001</v>
      </c>
      <c r="S35" s="26">
        <f t="shared" si="38"/>
        <v>-15428329.050000001</v>
      </c>
      <c r="T35" s="26">
        <f t="shared" si="38"/>
        <v>-11138672.43</v>
      </c>
      <c r="U35" s="26">
        <f t="shared" si="38"/>
        <v>14859750.050000004</v>
      </c>
      <c r="V35" s="26">
        <f t="shared" si="38"/>
        <v>-11942853.220000001</v>
      </c>
      <c r="W35" s="26">
        <f t="shared" si="38"/>
        <v>-1925040.49</v>
      </c>
      <c r="X35" s="26">
        <f t="shared" si="38"/>
        <v>2417553.9</v>
      </c>
      <c r="Y35" s="26">
        <f t="shared" si="38"/>
        <v>3590370.5199999996</v>
      </c>
      <c r="Z35" s="26">
        <f t="shared" si="38"/>
        <v>-8505196.5999999996</v>
      </c>
      <c r="AA35" s="26">
        <f t="shared" si="38"/>
        <v>511672.92</v>
      </c>
      <c r="AB35" s="26">
        <f t="shared" si="38"/>
        <v>-1363805.98</v>
      </c>
      <c r="AC35" s="26">
        <f t="shared" si="38"/>
        <v>2140198.1400000006</v>
      </c>
      <c r="AD35" s="26">
        <f t="shared" si="38"/>
        <v>-8997256.5600000005</v>
      </c>
      <c r="AE35" s="26">
        <f t="shared" si="38"/>
        <v>-2460201.9500000002</v>
      </c>
      <c r="AF35" s="26">
        <f t="shared" si="38"/>
        <v>-1294444.6000000001</v>
      </c>
      <c r="AG35" s="26">
        <f t="shared" si="38"/>
        <v>915951.39999999944</v>
      </c>
      <c r="AH35" s="26">
        <f t="shared" si="38"/>
        <v>-4939759.43</v>
      </c>
      <c r="AI35" s="26">
        <f t="shared" si="38"/>
        <v>-2208846.33</v>
      </c>
      <c r="AJ35" s="26">
        <f t="shared" si="38"/>
        <v>-1801939.36</v>
      </c>
      <c r="AK35" s="26">
        <f t="shared" si="38"/>
        <v>735065.81000000052</v>
      </c>
      <c r="AL35" s="26">
        <f t="shared" si="38"/>
        <v>-7599665.3399999999</v>
      </c>
      <c r="AM35" s="26">
        <f t="shared" si="38"/>
        <v>-5789724.8099999996</v>
      </c>
      <c r="AN35" s="26">
        <f t="shared" si="38"/>
        <v>-2833976.44</v>
      </c>
      <c r="AO35" s="26">
        <f t="shared" si="38"/>
        <v>-1808663.0199999996</v>
      </c>
      <c r="AP35" s="26">
        <f t="shared" si="38"/>
        <v>-3562277.59</v>
      </c>
      <c r="AQ35" s="26">
        <f t="shared" si="38"/>
        <v>-2731595.38</v>
      </c>
      <c r="AR35" s="26">
        <f t="shared" si="38"/>
        <v>-640609.03</v>
      </c>
      <c r="AS35" s="26">
        <f t="shared" si="38"/>
        <v>-1017209.97</v>
      </c>
      <c r="AT35" s="26">
        <f t="shared" si="38"/>
        <v>-252639.65</v>
      </c>
      <c r="AU35" s="26">
        <f t="shared" si="38"/>
        <v>268541.38</v>
      </c>
      <c r="AV35" s="26">
        <f t="shared" si="38"/>
        <v>319724.84999999998</v>
      </c>
      <c r="AW35" s="26">
        <f t="shared" si="38"/>
        <v>1921764.18</v>
      </c>
      <c r="AX35" s="26">
        <f t="shared" si="38"/>
        <v>1053896.44</v>
      </c>
      <c r="AY35" s="26">
        <f t="shared" si="38"/>
        <v>0</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-8194399.1463811481</v>
      </c>
      <c r="C36" s="26">
        <f t="shared" ref="C36:BN36" si="40">C35*C41</f>
        <v>-3872468.0073386915</v>
      </c>
      <c r="D36" s="26">
        <f t="shared" si="40"/>
        <v>20288098.358319439</v>
      </c>
      <c r="E36" s="26">
        <f t="shared" si="40"/>
        <v>33485092.294367403</v>
      </c>
      <c r="F36" s="26">
        <f t="shared" si="40"/>
        <v>12920553.336341854</v>
      </c>
      <c r="G36" s="26">
        <f t="shared" si="40"/>
        <v>9457094.5368194561</v>
      </c>
      <c r="H36" s="26">
        <f t="shared" si="40"/>
        <v>1033694.1387684447</v>
      </c>
      <c r="I36" s="26">
        <f t="shared" si="40"/>
        <v>-12717925.197721057</v>
      </c>
      <c r="J36" s="26">
        <f t="shared" si="40"/>
        <v>-2170005.8419703525</v>
      </c>
      <c r="K36" s="26">
        <f t="shared" si="40"/>
        <v>-2875803.9516916592</v>
      </c>
      <c r="L36" s="26">
        <f t="shared" si="40"/>
        <v>685642.27616566978</v>
      </c>
      <c r="M36" s="26">
        <f t="shared" si="40"/>
        <v>-7385416.7421704838</v>
      </c>
      <c r="N36" s="26">
        <f t="shared" si="40"/>
        <v>-8633381.6206171159</v>
      </c>
      <c r="O36" s="26">
        <f t="shared" si="40"/>
        <v>-2106569.227479877</v>
      </c>
      <c r="P36" s="26">
        <f t="shared" si="40"/>
        <v>-816192.33677067887</v>
      </c>
      <c r="Q36" s="26">
        <f t="shared" si="40"/>
        <v>1032616.4250000045</v>
      </c>
      <c r="R36" s="26">
        <f t="shared" si="40"/>
        <v>-1808557.7125043178</v>
      </c>
      <c r="S36" s="26">
        <f t="shared" si="40"/>
        <v>-1354076.0518101468</v>
      </c>
      <c r="T36" s="26">
        <f t="shared" si="40"/>
        <v>-1756584.2615551294</v>
      </c>
      <c r="U36" s="26">
        <f t="shared" si="40"/>
        <v>-65361.810420891976</v>
      </c>
      <c r="V36" s="26">
        <f t="shared" si="40"/>
        <v>-1358810.3457937834</v>
      </c>
      <c r="W36" s="26">
        <f t="shared" si="40"/>
        <v>-207940.6997608745</v>
      </c>
      <c r="X36" s="26">
        <f t="shared" si="40"/>
        <v>283668.4849830665</v>
      </c>
      <c r="Y36" s="26">
        <f t="shared" si="40"/>
        <v>274635.84861383575</v>
      </c>
      <c r="Z36" s="26">
        <f t="shared" si="40"/>
        <v>-1013950.5519439901</v>
      </c>
      <c r="AA36" s="26">
        <f t="shared" si="40"/>
        <v>64507.515304012486</v>
      </c>
      <c r="AB36" s="26">
        <f t="shared" si="40"/>
        <v>-162200.26936445708</v>
      </c>
      <c r="AC36" s="26">
        <f t="shared" si="40"/>
        <v>195023.29736127958</v>
      </c>
      <c r="AD36" s="26">
        <f t="shared" si="40"/>
        <v>-1228149.5406330922</v>
      </c>
      <c r="AE36" s="26">
        <f t="shared" si="40"/>
        <v>-292626.47325400222</v>
      </c>
      <c r="AF36" s="26">
        <f t="shared" si="40"/>
        <v>-121078.26657338394</v>
      </c>
      <c r="AG36" s="26">
        <f t="shared" si="40"/>
        <v>90138.983331397932</v>
      </c>
      <c r="AH36" s="26">
        <f t="shared" si="40"/>
        <v>-462791.60952723434</v>
      </c>
      <c r="AI36" s="26">
        <f t="shared" si="40"/>
        <v>-220666.91785243773</v>
      </c>
      <c r="AJ36" s="26">
        <f t="shared" si="40"/>
        <v>-144874.96774499121</v>
      </c>
      <c r="AK36" s="26">
        <f t="shared" si="40"/>
        <v>61969.305072311945</v>
      </c>
      <c r="AL36" s="26">
        <f t="shared" si="40"/>
        <v>-553576.6830776846</v>
      </c>
      <c r="AM36" s="26">
        <f t="shared" si="40"/>
        <v>-409350.15519681096</v>
      </c>
      <c r="AN36" s="26">
        <f t="shared" si="40"/>
        <v>-23099.12309189354</v>
      </c>
      <c r="AO36" s="26">
        <f t="shared" si="40"/>
        <v>-112788.91853950116</v>
      </c>
      <c r="AP36" s="26">
        <f t="shared" si="40"/>
        <v>-375221.72031285998</v>
      </c>
      <c r="AQ36" s="26">
        <f t="shared" si="40"/>
        <v>-446666.01434385643</v>
      </c>
      <c r="AR36" s="26">
        <f t="shared" si="40"/>
        <v>-138263.60761738577</v>
      </c>
      <c r="AS36" s="26">
        <f t="shared" si="40"/>
        <v>-120196.83813435555</v>
      </c>
      <c r="AT36" s="26">
        <f t="shared" si="40"/>
        <v>-12000.329586937682</v>
      </c>
      <c r="AU36" s="26">
        <f t="shared" si="40"/>
        <v>22032.019181783227</v>
      </c>
      <c r="AV36" s="26">
        <f t="shared" si="40"/>
        <v>0</v>
      </c>
      <c r="AW36" s="26">
        <f t="shared" si="40"/>
        <v>136113.13137021181</v>
      </c>
      <c r="AX36" s="26">
        <f t="shared" si="40"/>
        <v>65422.223650477848</v>
      </c>
      <c r="AY36" s="26" t="e">
        <f t="shared" si="40"/>
        <v>#DIV/0!</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-181504884.86361885</v>
      </c>
      <c r="C37" s="26">
        <f t="shared" ref="C37:BN37" si="42">C35-C36</f>
        <v>-18980209.84266131</v>
      </c>
      <c r="D37" s="26">
        <f t="shared" si="42"/>
        <v>100599336.08168057</v>
      </c>
      <c r="E37" s="26">
        <f t="shared" si="42"/>
        <v>188704045.0756326</v>
      </c>
      <c r="F37" s="26">
        <f t="shared" si="42"/>
        <v>95877184.513658136</v>
      </c>
      <c r="G37" s="26">
        <f t="shared" si="42"/>
        <v>39205766.413180545</v>
      </c>
      <c r="H37" s="26">
        <f t="shared" si="42"/>
        <v>8844427.4812315553</v>
      </c>
      <c r="I37" s="26">
        <f t="shared" si="42"/>
        <v>-118354257.57227895</v>
      </c>
      <c r="J37" s="26">
        <f t="shared" si="42"/>
        <v>-31269418.478029646</v>
      </c>
      <c r="K37" s="26">
        <f t="shared" si="42"/>
        <v>-19216315.758308344</v>
      </c>
      <c r="L37" s="26">
        <f t="shared" si="42"/>
        <v>4798413.8638343299</v>
      </c>
      <c r="M37" s="26">
        <f t="shared" si="42"/>
        <v>-51518342.147829518</v>
      </c>
      <c r="N37" s="26">
        <f t="shared" si="42"/>
        <v>-55953960.589382887</v>
      </c>
      <c r="O37" s="26">
        <f t="shared" si="42"/>
        <v>-13462596.162520124</v>
      </c>
      <c r="P37" s="26">
        <f t="shared" si="42"/>
        <v>-7748475.373229322</v>
      </c>
      <c r="Q37" s="26">
        <f t="shared" si="42"/>
        <v>10839642.394999992</v>
      </c>
      <c r="R37" s="26">
        <f t="shared" si="42"/>
        <v>-19151784.677495684</v>
      </c>
      <c r="S37" s="26">
        <f t="shared" si="42"/>
        <v>-14074252.998189854</v>
      </c>
      <c r="T37" s="26">
        <f t="shared" si="42"/>
        <v>-9382088.16844487</v>
      </c>
      <c r="U37" s="26">
        <f t="shared" si="42"/>
        <v>14925111.860420896</v>
      </c>
      <c r="V37" s="26">
        <f t="shared" si="42"/>
        <v>-10584042.874206217</v>
      </c>
      <c r="W37" s="26">
        <f t="shared" si="42"/>
        <v>-1717099.7902391255</v>
      </c>
      <c r="X37" s="26">
        <f t="shared" si="42"/>
        <v>2133885.4150169333</v>
      </c>
      <c r="Y37" s="26">
        <f t="shared" si="42"/>
        <v>3315734.6713861637</v>
      </c>
      <c r="Z37" s="26">
        <f t="shared" si="42"/>
        <v>-7491246.0480560092</v>
      </c>
      <c r="AA37" s="26">
        <f t="shared" si="42"/>
        <v>447165.40469598747</v>
      </c>
      <c r="AB37" s="26">
        <f t="shared" si="42"/>
        <v>-1201605.7106355429</v>
      </c>
      <c r="AC37" s="26">
        <f t="shared" si="42"/>
        <v>1945174.842638721</v>
      </c>
      <c r="AD37" s="26">
        <f t="shared" si="42"/>
        <v>-7769107.0193669088</v>
      </c>
      <c r="AE37" s="26">
        <f t="shared" si="42"/>
        <v>-2167575.476745998</v>
      </c>
      <c r="AF37" s="26">
        <f t="shared" si="42"/>
        <v>-1173366.3334266162</v>
      </c>
      <c r="AG37" s="26">
        <f t="shared" si="42"/>
        <v>825812.41666860157</v>
      </c>
      <c r="AH37" s="26">
        <f t="shared" si="42"/>
        <v>-4476967.8204727657</v>
      </c>
      <c r="AI37" s="26">
        <f t="shared" si="42"/>
        <v>-1988179.4121475623</v>
      </c>
      <c r="AJ37" s="26">
        <f t="shared" si="42"/>
        <v>-1657064.3922550089</v>
      </c>
      <c r="AK37" s="26">
        <f t="shared" si="42"/>
        <v>673096.50492768863</v>
      </c>
      <c r="AL37" s="26">
        <f t="shared" si="42"/>
        <v>-7046088.6569223152</v>
      </c>
      <c r="AM37" s="26">
        <f t="shared" si="42"/>
        <v>-5380374.6548031885</v>
      </c>
      <c r="AN37" s="26">
        <f t="shared" si="42"/>
        <v>-2810877.3169081062</v>
      </c>
      <c r="AO37" s="26">
        <f t="shared" si="42"/>
        <v>-1695874.1014604983</v>
      </c>
      <c r="AP37" s="26">
        <f t="shared" si="42"/>
        <v>-3187055.86968714</v>
      </c>
      <c r="AQ37" s="26">
        <f t="shared" si="42"/>
        <v>-2284929.3656561435</v>
      </c>
      <c r="AR37" s="26">
        <f t="shared" si="42"/>
        <v>-502345.42238261423</v>
      </c>
      <c r="AS37" s="26">
        <f t="shared" si="42"/>
        <v>-897013.13186564436</v>
      </c>
      <c r="AT37" s="26">
        <f t="shared" si="42"/>
        <v>-240639.32041306232</v>
      </c>
      <c r="AU37" s="26">
        <f t="shared" si="42"/>
        <v>246509.36081821678</v>
      </c>
      <c r="AV37" s="26">
        <f t="shared" si="42"/>
        <v>319724.84999999998</v>
      </c>
      <c r="AW37" s="26">
        <f t="shared" si="42"/>
        <v>1785651.0486297882</v>
      </c>
      <c r="AX37" s="26">
        <f t="shared" si="42"/>
        <v>988474.21634952212</v>
      </c>
      <c r="AY37" s="26" t="e">
        <f t="shared" si="42"/>
        <v>#DIV/0!</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2736232151.3500004</v>
      </c>
      <c r="C38" s="28">
        <f t="shared" ref="C38:BN38" si="44">C31-C35</f>
        <v>977976012.62999904</v>
      </c>
      <c r="D38" s="28">
        <f t="shared" si="44"/>
        <v>208205618.42000002</v>
      </c>
      <c r="E38" s="28">
        <f t="shared" si="44"/>
        <v>1761194977.0600004</v>
      </c>
      <c r="F38" s="28">
        <f t="shared" si="44"/>
        <v>1059160653.0000004</v>
      </c>
      <c r="G38" s="28">
        <f t="shared" si="44"/>
        <v>789139721.10999978</v>
      </c>
      <c r="H38" s="28">
        <f t="shared" si="44"/>
        <v>308022759.50999999</v>
      </c>
      <c r="I38" s="28">
        <f t="shared" si="44"/>
        <v>2083740872.6500006</v>
      </c>
      <c r="J38" s="28">
        <f t="shared" si="44"/>
        <v>1139787912.1399994</v>
      </c>
      <c r="K38" s="28">
        <f t="shared" si="44"/>
        <v>817325611.34000015</v>
      </c>
      <c r="L38" s="28">
        <f t="shared" si="44"/>
        <v>244945740.41999996</v>
      </c>
      <c r="M38" s="28">
        <f t="shared" si="44"/>
        <v>1572195564.3900001</v>
      </c>
      <c r="N38" s="28">
        <f t="shared" si="44"/>
        <v>876800197.46000004</v>
      </c>
      <c r="O38" s="28">
        <f t="shared" si="44"/>
        <v>535749425.31000006</v>
      </c>
      <c r="P38" s="28">
        <f t="shared" si="44"/>
        <v>114353615.72000003</v>
      </c>
      <c r="Q38" s="28">
        <f t="shared" si="44"/>
        <v>1248365319.0599997</v>
      </c>
      <c r="R38" s="28">
        <f t="shared" si="44"/>
        <v>794231189.97999978</v>
      </c>
      <c r="S38" s="28">
        <f t="shared" si="44"/>
        <v>555472965.88999987</v>
      </c>
      <c r="T38" s="28">
        <f t="shared" si="44"/>
        <v>239305710.72000003</v>
      </c>
      <c r="U38" s="28">
        <f t="shared" si="44"/>
        <v>1114133011.5200002</v>
      </c>
      <c r="V38" s="28">
        <f t="shared" si="44"/>
        <v>693902149.98999989</v>
      </c>
      <c r="W38" s="28">
        <f t="shared" si="44"/>
        <v>432151865.42999995</v>
      </c>
      <c r="X38" s="28">
        <f t="shared" si="44"/>
        <v>160930388.98000005</v>
      </c>
      <c r="Y38" s="28">
        <f t="shared" si="44"/>
        <v>757347685.12999976</v>
      </c>
      <c r="Z38" s="28">
        <f t="shared" si="44"/>
        <v>425972041.94000012</v>
      </c>
      <c r="AA38" s="28">
        <f t="shared" si="44"/>
        <v>256164016.32000023</v>
      </c>
      <c r="AB38" s="28">
        <f t="shared" si="44"/>
        <v>74962350.360000014</v>
      </c>
      <c r="AC38" s="28">
        <f t="shared" si="44"/>
        <v>414702411.37999994</v>
      </c>
      <c r="AD38" s="28">
        <f t="shared" si="44"/>
        <v>235482315.94999996</v>
      </c>
      <c r="AE38" s="28">
        <f t="shared" si="44"/>
        <v>146046556.40000001</v>
      </c>
      <c r="AF38" s="28">
        <f t="shared" si="44"/>
        <v>43177755.260000028</v>
      </c>
      <c r="AG38" s="28">
        <f t="shared" si="44"/>
        <v>290076227.75000006</v>
      </c>
      <c r="AH38" s="28">
        <f t="shared" si="44"/>
        <v>155031165.75999999</v>
      </c>
      <c r="AI38" s="28">
        <f t="shared" si="44"/>
        <v>87054205.459999979</v>
      </c>
      <c r="AJ38" s="28">
        <f t="shared" si="44"/>
        <v>20098341.689999986</v>
      </c>
      <c r="AK38" s="28">
        <f t="shared" si="44"/>
        <v>127399260.70000005</v>
      </c>
      <c r="AL38" s="28">
        <f t="shared" si="44"/>
        <v>64606266.090000018</v>
      </c>
      <c r="AM38" s="28">
        <f t="shared" si="44"/>
        <v>36530596.480000019</v>
      </c>
      <c r="AN38" s="28">
        <f t="shared" si="44"/>
        <v>6280479.8800000008</v>
      </c>
      <c r="AO38" s="28">
        <f t="shared" si="44"/>
        <v>113367106.10999997</v>
      </c>
      <c r="AP38" s="28">
        <f t="shared" si="44"/>
        <v>82506916.899999991</v>
      </c>
      <c r="AQ38" s="28">
        <f t="shared" si="44"/>
        <v>43478992.570000023</v>
      </c>
      <c r="AR38" s="28">
        <f t="shared" si="44"/>
        <v>7209243.0100000054</v>
      </c>
      <c r="AS38" s="28">
        <f t="shared" si="44"/>
        <v>97267226.609999955</v>
      </c>
      <c r="AT38" s="28">
        <f t="shared" si="44"/>
        <v>57554385.969999999</v>
      </c>
      <c r="AU38" s="28">
        <f t="shared" si="44"/>
        <v>26592403.769999988</v>
      </c>
      <c r="AV38" s="28">
        <f t="shared" si="44"/>
        <v>2715913.680000002</v>
      </c>
      <c r="AW38" s="28">
        <f t="shared" si="44"/>
        <v>52466544.159999982</v>
      </c>
      <c r="AX38" s="28">
        <f t="shared" si="44"/>
        <v>48788832.879999995</v>
      </c>
      <c r="AY38" s="28">
        <f t="shared" si="44"/>
        <v>0</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18.204254359843649</v>
      </c>
      <c r="C39" s="57">
        <f t="shared" ref="C39:D39" si="46">C38/C4*100</f>
        <v>9.9650692054895949</v>
      </c>
      <c r="D39" s="57">
        <f t="shared" si="46"/>
        <v>5.7552682963445632</v>
      </c>
      <c r="E39" s="57">
        <f>E38/E4</f>
        <v>9.3459571616957351E-2</v>
      </c>
      <c r="F39" s="57">
        <f t="shared" ref="F39:BQ39" si="47">F38/F4</f>
        <v>9.034666991874328E-2</v>
      </c>
      <c r="G39" s="57">
        <f t="shared" si="47"/>
        <v>0.1057166970047724</v>
      </c>
      <c r="H39" s="57">
        <f t="shared" si="47"/>
        <v>0.11629589790431827</v>
      </c>
      <c r="I39" s="57">
        <f t="shared" si="47"/>
        <v>0.1563302705314035</v>
      </c>
      <c r="J39" s="57">
        <f t="shared" si="47"/>
        <v>0.14303428124831477</v>
      </c>
      <c r="K39" s="57">
        <f t="shared" si="47"/>
        <v>0.16512472851332227</v>
      </c>
      <c r="L39" s="57">
        <f t="shared" si="47"/>
        <v>0.13739938160208087</v>
      </c>
      <c r="M39" s="57">
        <f t="shared" si="47"/>
        <v>0.15600531344220828</v>
      </c>
      <c r="N39" s="57">
        <f t="shared" si="47"/>
        <v>0.15038953603380087</v>
      </c>
      <c r="O39" s="57">
        <f t="shared" si="47"/>
        <v>0.15444417552436884</v>
      </c>
      <c r="P39" s="57">
        <f t="shared" si="47"/>
        <v>9.5088765397818562E-2</v>
      </c>
      <c r="Q39" s="57">
        <f t="shared" si="47"/>
        <v>0.17026534425920689</v>
      </c>
      <c r="R39" s="57">
        <f t="shared" si="47"/>
        <v>0.17089527499382037</v>
      </c>
      <c r="S39" s="57">
        <f t="shared" si="47"/>
        <v>0.18256991438372691</v>
      </c>
      <c r="T39" s="57">
        <f t="shared" si="47"/>
        <v>0.20903330244132998</v>
      </c>
      <c r="U39" s="57">
        <f t="shared" si="47"/>
        <v>0.20593597869204128</v>
      </c>
      <c r="V39" s="57">
        <f t="shared" si="47"/>
        <v>0.21290748931333756</v>
      </c>
      <c r="W39" s="57">
        <f t="shared" si="47"/>
        <v>0.21271612413494667</v>
      </c>
      <c r="X39" s="57">
        <f t="shared" si="47"/>
        <v>0.20410535949969844</v>
      </c>
      <c r="Y39" s="57">
        <f t="shared" si="47"/>
        <v>0.21447229875634108</v>
      </c>
      <c r="Z39" s="57">
        <f t="shared" si="47"/>
        <v>0.19425206270345971</v>
      </c>
      <c r="AA39" s="57">
        <f t="shared" si="47"/>
        <v>0.19752469850958329</v>
      </c>
      <c r="AB39" s="57">
        <f t="shared" si="47"/>
        <v>0.15051787203519126</v>
      </c>
      <c r="AC39" s="57">
        <f t="shared" si="47"/>
        <v>0.18805589878024406</v>
      </c>
      <c r="AD39" s="57">
        <f t="shared" si="47"/>
        <v>0.16121199002200651</v>
      </c>
      <c r="AE39" s="57">
        <f t="shared" si="47"/>
        <v>0.16331544235782369</v>
      </c>
      <c r="AF39" s="57">
        <f t="shared" si="47"/>
        <v>0.13138517663514968</v>
      </c>
      <c r="AG39" s="57">
        <f t="shared" si="47"/>
        <v>0.19130839892971471</v>
      </c>
      <c r="AH39" s="57">
        <f t="shared" si="47"/>
        <v>0.16183214182861241</v>
      </c>
      <c r="AI39" s="57">
        <f t="shared" si="47"/>
        <v>0.15255294265969699</v>
      </c>
      <c r="AJ39" s="57">
        <f t="shared" si="47"/>
        <v>9.4478615359838689E-2</v>
      </c>
      <c r="AK39" s="57">
        <f t="shared" si="47"/>
        <v>0.15240202037508158</v>
      </c>
      <c r="AL39" s="57">
        <f t="shared" si="47"/>
        <v>0.12465974302980466</v>
      </c>
      <c r="AM39" s="57">
        <f t="shared" si="47"/>
        <v>0.12216942685134215</v>
      </c>
      <c r="AN39" s="57">
        <f t="shared" si="47"/>
        <v>4.8349726222787895E-2</v>
      </c>
      <c r="AO39" s="57">
        <f t="shared" si="47"/>
        <v>0.17937311281699045</v>
      </c>
      <c r="AP39" s="57">
        <f t="shared" si="47"/>
        <v>0.18567803132498376</v>
      </c>
      <c r="AQ39" s="57">
        <f t="shared" si="47"/>
        <v>0.16418467018091945</v>
      </c>
      <c r="AR39" s="57">
        <f t="shared" si="47"/>
        <v>9.1045839874249426E-2</v>
      </c>
      <c r="AS39" s="57">
        <f t="shared" si="47"/>
        <v>0.2400562333497826</v>
      </c>
      <c r="AT39" s="57">
        <f t="shared" si="47"/>
        <v>0.22334765665915052</v>
      </c>
      <c r="AU39" s="57">
        <f t="shared" si="47"/>
        <v>0.19009009566008564</v>
      </c>
      <c r="AV39" s="57">
        <f t="shared" si="47"/>
        <v>5.33473338890997E-2</v>
      </c>
      <c r="AW39" s="57">
        <f t="shared" si="47"/>
        <v>0.11775990536857742</v>
      </c>
      <c r="AX39" s="57">
        <f t="shared" si="47"/>
        <v>0.16643265631060655</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118196431.38</v>
      </c>
      <c r="C40" s="26">
        <f t="shared" ref="C40:BN40" si="49">C60</f>
        <v>165721533.63</v>
      </c>
      <c r="D40" s="26">
        <f t="shared" si="49"/>
        <v>34942391.530000001</v>
      </c>
      <c r="E40" s="26">
        <f t="shared" si="49"/>
        <v>265421510.03999999</v>
      </c>
      <c r="F40" s="26">
        <f t="shared" si="49"/>
        <v>125783329.5</v>
      </c>
      <c r="G40" s="26">
        <f t="shared" si="49"/>
        <v>153360669.71000001</v>
      </c>
      <c r="H40" s="26">
        <f t="shared" si="49"/>
        <v>32232982.48</v>
      </c>
      <c r="I40" s="26">
        <f t="shared" si="49"/>
        <v>202185238.62</v>
      </c>
      <c r="J40" s="26">
        <f t="shared" si="49"/>
        <v>73964982.299999997</v>
      </c>
      <c r="K40" s="26">
        <f t="shared" si="49"/>
        <v>106393965.53</v>
      </c>
      <c r="L40" s="26">
        <f t="shared" si="49"/>
        <v>30624258.890000001</v>
      </c>
      <c r="M40" s="26">
        <f t="shared" si="49"/>
        <v>197123573.47</v>
      </c>
      <c r="N40" s="26">
        <f t="shared" si="49"/>
        <v>117201768.19</v>
      </c>
      <c r="O40" s="26">
        <f t="shared" si="49"/>
        <v>72489001.480000004</v>
      </c>
      <c r="P40" s="26">
        <f t="shared" si="49"/>
        <v>10897625.92</v>
      </c>
      <c r="Q40" s="26">
        <f t="shared" si="49"/>
        <v>108579382.61</v>
      </c>
      <c r="R40" s="26">
        <f t="shared" si="49"/>
        <v>68530032.450000003</v>
      </c>
      <c r="S40" s="26">
        <f t="shared" si="49"/>
        <v>48751399.979999997</v>
      </c>
      <c r="T40" s="26">
        <f t="shared" si="49"/>
        <v>37738846.149999999</v>
      </c>
      <c r="U40" s="26">
        <f t="shared" si="49"/>
        <v>-4900604.01</v>
      </c>
      <c r="V40" s="26">
        <f t="shared" si="49"/>
        <v>78949427.159999996</v>
      </c>
      <c r="W40" s="26">
        <f t="shared" si="49"/>
        <v>46680556.469999999</v>
      </c>
      <c r="X40" s="26">
        <f t="shared" si="49"/>
        <v>18883086.59</v>
      </c>
      <c r="Y40" s="26">
        <f t="shared" si="49"/>
        <v>57931297.909999996</v>
      </c>
      <c r="Z40" s="26">
        <f t="shared" si="49"/>
        <v>50782434.240000002</v>
      </c>
      <c r="AA40" s="26">
        <f t="shared" si="49"/>
        <v>32295053.260000002</v>
      </c>
      <c r="AB40" s="26">
        <f t="shared" si="49"/>
        <v>8915427.5600000005</v>
      </c>
      <c r="AC40" s="26">
        <f t="shared" si="49"/>
        <v>37789319.68</v>
      </c>
      <c r="AD40" s="26">
        <f t="shared" si="49"/>
        <v>32143964.800000001</v>
      </c>
      <c r="AE40" s="26">
        <f t="shared" si="49"/>
        <v>17371374.219999999</v>
      </c>
      <c r="AF40" s="26">
        <f t="shared" si="49"/>
        <v>4038711.09</v>
      </c>
      <c r="AG40" s="26">
        <f t="shared" si="49"/>
        <v>28546466.829999998</v>
      </c>
      <c r="AH40" s="26">
        <f t="shared" si="49"/>
        <v>14524416.369999999</v>
      </c>
      <c r="AI40" s="26">
        <f t="shared" si="49"/>
        <v>8696840.0399999991</v>
      </c>
      <c r="AJ40" s="26">
        <f t="shared" si="49"/>
        <v>1615896</v>
      </c>
      <c r="AK40" s="26">
        <f t="shared" si="49"/>
        <v>10740322.220000001</v>
      </c>
      <c r="AL40" s="26">
        <f t="shared" si="49"/>
        <v>4706065.45</v>
      </c>
      <c r="AM40" s="26">
        <f t="shared" si="49"/>
        <v>2582817.98</v>
      </c>
      <c r="AN40" s="26">
        <f t="shared" si="49"/>
        <v>51190.82</v>
      </c>
      <c r="AO40" s="26">
        <f t="shared" si="49"/>
        <v>7069616.1500000004</v>
      </c>
      <c r="AP40" s="26">
        <f t="shared" si="49"/>
        <v>8690616.1899999995</v>
      </c>
      <c r="AQ40" s="26">
        <f t="shared" si="49"/>
        <v>7109613.8399999999</v>
      </c>
      <c r="AR40" s="26">
        <f t="shared" si="49"/>
        <v>1555981.73</v>
      </c>
      <c r="AS40" s="26">
        <f t="shared" si="49"/>
        <v>11493411.82</v>
      </c>
      <c r="AT40" s="26">
        <f t="shared" si="49"/>
        <v>2733821.08</v>
      </c>
      <c r="AU40" s="26">
        <f t="shared" si="49"/>
        <v>2181728.38</v>
      </c>
      <c r="AV40" s="26">
        <f t="shared" si="49"/>
        <v>0</v>
      </c>
      <c r="AW40" s="26">
        <f t="shared" si="49"/>
        <v>3716057.2</v>
      </c>
      <c r="AX40" s="26">
        <f t="shared" si="49"/>
        <v>3028640.97</v>
      </c>
      <c r="AY40" s="26">
        <f t="shared" si="49"/>
        <v>0</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4.319678479097043E-2</v>
      </c>
      <c r="C41" s="57">
        <f t="shared" ref="C41:BN41" si="51">C40/C38</f>
        <v>0.169453577071218</v>
      </c>
      <c r="D41" s="57">
        <f t="shared" si="51"/>
        <v>0.16782636220465927</v>
      </c>
      <c r="E41" s="57">
        <f t="shared" si="51"/>
        <v>0.15070535261409482</v>
      </c>
      <c r="F41" s="57">
        <f t="shared" si="51"/>
        <v>0.11875755499765527</v>
      </c>
      <c r="G41" s="57">
        <f t="shared" si="51"/>
        <v>0.19433905759335457</v>
      </c>
      <c r="H41" s="57">
        <f t="shared" si="51"/>
        <v>0.10464480784236839</v>
      </c>
      <c r="I41" s="57">
        <f t="shared" si="51"/>
        <v>9.7029933651428854E-2</v>
      </c>
      <c r="J41" s="57">
        <f t="shared" si="51"/>
        <v>6.4893636361810197E-2</v>
      </c>
      <c r="K41" s="57">
        <f t="shared" si="51"/>
        <v>0.1301732920807018</v>
      </c>
      <c r="L41" s="57">
        <f t="shared" si="51"/>
        <v>0.12502466398268305</v>
      </c>
      <c r="M41" s="57">
        <f t="shared" si="51"/>
        <v>0.1253810772239918</v>
      </c>
      <c r="N41" s="57">
        <f t="shared" si="51"/>
        <v>0.13366986974857153</v>
      </c>
      <c r="O41" s="57">
        <f t="shared" si="51"/>
        <v>0.13530392764874322</v>
      </c>
      <c r="P41" s="57">
        <f t="shared" si="51"/>
        <v>9.5297606913307645E-2</v>
      </c>
      <c r="Q41" s="57">
        <f t="shared" si="51"/>
        <v>8.6977250130401446E-2</v>
      </c>
      <c r="R41" s="57">
        <f t="shared" si="51"/>
        <v>8.628474090991782E-2</v>
      </c>
      <c r="S41" s="57">
        <f t="shared" si="51"/>
        <v>8.7765567315933463E-2</v>
      </c>
      <c r="T41" s="57">
        <f t="shared" si="51"/>
        <v>0.15770140226263296</v>
      </c>
      <c r="U41" s="57">
        <f t="shared" si="51"/>
        <v>-4.3985807433478304E-3</v>
      </c>
      <c r="V41" s="57">
        <f t="shared" si="51"/>
        <v>0.11377602326370911</v>
      </c>
      <c r="W41" s="57">
        <f t="shared" si="51"/>
        <v>0.10801887068924691</v>
      </c>
      <c r="X41" s="57">
        <f t="shared" si="51"/>
        <v>0.11733698470303662</v>
      </c>
      <c r="Y41" s="57">
        <f t="shared" si="51"/>
        <v>7.6492341691195648E-2</v>
      </c>
      <c r="Z41" s="57">
        <f t="shared" si="51"/>
        <v>0.11921541613088521</v>
      </c>
      <c r="AA41" s="57">
        <f t="shared" si="51"/>
        <v>0.12607177902636021</v>
      </c>
      <c r="AB41" s="57">
        <f t="shared" si="51"/>
        <v>0.11893207079533197</v>
      </c>
      <c r="AC41" s="57">
        <f t="shared" si="51"/>
        <v>9.1123944889177189E-2</v>
      </c>
      <c r="AD41" s="57">
        <f t="shared" si="51"/>
        <v>0.13650266972414668</v>
      </c>
      <c r="AE41" s="57">
        <f t="shared" si="51"/>
        <v>0.11894408638038931</v>
      </c>
      <c r="AF41" s="57">
        <f t="shared" si="51"/>
        <v>9.3536847056555322E-2</v>
      </c>
      <c r="AG41" s="57">
        <f t="shared" si="51"/>
        <v>9.8410224965427187E-2</v>
      </c>
      <c r="AH41" s="57">
        <f t="shared" si="51"/>
        <v>9.3687074458853631E-2</v>
      </c>
      <c r="AI41" s="57">
        <f t="shared" si="51"/>
        <v>9.9901434905359729E-2</v>
      </c>
      <c r="AJ41" s="57">
        <f t="shared" si="51"/>
        <v>8.0399469017087902E-2</v>
      </c>
      <c r="AK41" s="57">
        <f t="shared" si="51"/>
        <v>8.4304431289372442E-2</v>
      </c>
      <c r="AL41" s="57">
        <f t="shared" si="51"/>
        <v>7.2842244797806405E-2</v>
      </c>
      <c r="AM41" s="57">
        <f t="shared" si="51"/>
        <v>7.0702869070699573E-2</v>
      </c>
      <c r="AN41" s="57">
        <f t="shared" si="51"/>
        <v>8.1507816246678255E-3</v>
      </c>
      <c r="AO41" s="57">
        <f t="shared" si="51"/>
        <v>6.2360382941594718E-2</v>
      </c>
      <c r="AP41" s="57">
        <f t="shared" si="51"/>
        <v>0.10533197114289457</v>
      </c>
      <c r="AQ41" s="57">
        <f t="shared" si="51"/>
        <v>0.16351836645142387</v>
      </c>
      <c r="AR41" s="57">
        <f t="shared" si="51"/>
        <v>0.21583149962370304</v>
      </c>
      <c r="AS41" s="57">
        <f t="shared" si="51"/>
        <v>0.11816325211043258</v>
      </c>
      <c r="AT41" s="57">
        <f t="shared" si="51"/>
        <v>4.7499787095721842E-2</v>
      </c>
      <c r="AU41" s="57">
        <f t="shared" si="51"/>
        <v>8.2043293222754818E-2</v>
      </c>
      <c r="AV41" s="57">
        <f t="shared" si="51"/>
        <v>0</v>
      </c>
      <c r="AW41" s="57">
        <f t="shared" si="51"/>
        <v>7.0827176813240328E-2</v>
      </c>
      <c r="AX41" s="57">
        <f t="shared" si="51"/>
        <v>6.2076520203899588E-2</v>
      </c>
      <c r="AY41" s="57" t="e">
        <f t="shared" si="51"/>
        <v>#DIV/0!</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2618035719.9700003</v>
      </c>
      <c r="C42" s="28">
        <f t="shared" ref="C42:BN42" si="53">C38-C40</f>
        <v>812254478.99999905</v>
      </c>
      <c r="D42" s="28">
        <f t="shared" si="53"/>
        <v>173263226.89000002</v>
      </c>
      <c r="E42" s="28">
        <f t="shared" si="53"/>
        <v>1495773467.0200005</v>
      </c>
      <c r="F42" s="28">
        <f t="shared" si="53"/>
        <v>933377323.50000036</v>
      </c>
      <c r="G42" s="28">
        <f t="shared" si="53"/>
        <v>635779051.39999974</v>
      </c>
      <c r="H42" s="28">
        <f t="shared" si="53"/>
        <v>275789777.02999997</v>
      </c>
      <c r="I42" s="28">
        <f t="shared" si="53"/>
        <v>1881555634.0300007</v>
      </c>
      <c r="J42" s="28">
        <f t="shared" si="53"/>
        <v>1065822929.8399994</v>
      </c>
      <c r="K42" s="28">
        <f t="shared" si="53"/>
        <v>710931645.81000018</v>
      </c>
      <c r="L42" s="28">
        <f t="shared" si="53"/>
        <v>214321481.52999997</v>
      </c>
      <c r="M42" s="28">
        <f t="shared" si="53"/>
        <v>1375071990.9200001</v>
      </c>
      <c r="N42" s="28">
        <f t="shared" si="53"/>
        <v>759598429.26999998</v>
      </c>
      <c r="O42" s="28">
        <f t="shared" si="53"/>
        <v>463260423.83000004</v>
      </c>
      <c r="P42" s="28">
        <f t="shared" si="53"/>
        <v>103455989.80000003</v>
      </c>
      <c r="Q42" s="28">
        <f t="shared" si="53"/>
        <v>1139785936.4499998</v>
      </c>
      <c r="R42" s="28">
        <f t="shared" si="53"/>
        <v>725701157.52999973</v>
      </c>
      <c r="S42" s="28">
        <f t="shared" si="53"/>
        <v>506721565.90999985</v>
      </c>
      <c r="T42" s="28">
        <f t="shared" si="53"/>
        <v>201566864.57000002</v>
      </c>
      <c r="U42" s="28">
        <f t="shared" si="53"/>
        <v>1119033615.5300002</v>
      </c>
      <c r="V42" s="28">
        <f t="shared" si="53"/>
        <v>614952722.82999992</v>
      </c>
      <c r="W42" s="28">
        <f t="shared" si="53"/>
        <v>385471308.95999992</v>
      </c>
      <c r="X42" s="28">
        <f t="shared" si="53"/>
        <v>142047302.39000005</v>
      </c>
      <c r="Y42" s="28">
        <f t="shared" si="53"/>
        <v>699416387.21999979</v>
      </c>
      <c r="Z42" s="28">
        <f t="shared" si="53"/>
        <v>375189607.70000011</v>
      </c>
      <c r="AA42" s="28">
        <f t="shared" si="53"/>
        <v>223868963.06000024</v>
      </c>
      <c r="AB42" s="28">
        <f t="shared" si="53"/>
        <v>66046922.800000012</v>
      </c>
      <c r="AC42" s="28">
        <f t="shared" si="53"/>
        <v>376913091.69999993</v>
      </c>
      <c r="AD42" s="28">
        <f t="shared" si="53"/>
        <v>203338351.14999995</v>
      </c>
      <c r="AE42" s="28">
        <f t="shared" si="53"/>
        <v>128675182.18000001</v>
      </c>
      <c r="AF42" s="28">
        <f t="shared" si="53"/>
        <v>39139044.170000032</v>
      </c>
      <c r="AG42" s="28">
        <f t="shared" si="53"/>
        <v>261529760.92000008</v>
      </c>
      <c r="AH42" s="28">
        <f t="shared" si="53"/>
        <v>140506749.38999999</v>
      </c>
      <c r="AI42" s="28">
        <f t="shared" si="53"/>
        <v>78357365.419999987</v>
      </c>
      <c r="AJ42" s="28">
        <f t="shared" si="53"/>
        <v>18482445.689999986</v>
      </c>
      <c r="AK42" s="28">
        <f t="shared" si="53"/>
        <v>116658938.48000005</v>
      </c>
      <c r="AL42" s="28">
        <f t="shared" si="53"/>
        <v>59900200.640000015</v>
      </c>
      <c r="AM42" s="28">
        <f t="shared" si="53"/>
        <v>33947778.500000022</v>
      </c>
      <c r="AN42" s="28">
        <f t="shared" si="53"/>
        <v>6229289.0600000005</v>
      </c>
      <c r="AO42" s="28">
        <f t="shared" si="53"/>
        <v>106297489.95999996</v>
      </c>
      <c r="AP42" s="28">
        <f t="shared" si="53"/>
        <v>73816300.709999993</v>
      </c>
      <c r="AQ42" s="28">
        <f t="shared" si="53"/>
        <v>36369378.730000019</v>
      </c>
      <c r="AR42" s="28">
        <f t="shared" si="53"/>
        <v>5653261.2800000049</v>
      </c>
      <c r="AS42" s="28">
        <f t="shared" si="53"/>
        <v>85773814.789999962</v>
      </c>
      <c r="AT42" s="28">
        <f t="shared" si="53"/>
        <v>54820564.890000001</v>
      </c>
      <c r="AU42" s="28">
        <f t="shared" si="53"/>
        <v>24410675.389999989</v>
      </c>
      <c r="AV42" s="28">
        <f t="shared" si="53"/>
        <v>2715913.680000002</v>
      </c>
      <c r="AW42" s="28">
        <f t="shared" si="53"/>
        <v>48750486.959999979</v>
      </c>
      <c r="AX42" s="28">
        <f t="shared" si="53"/>
        <v>45760191.909999996</v>
      </c>
      <c r="AY42" s="28">
        <f t="shared" si="53"/>
        <v>0</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17.417889101981398</v>
      </c>
      <c r="C43" s="57">
        <f t="shared" ref="C43:D43" si="55">C42/C4*100</f>
        <v>8.2764525828571447</v>
      </c>
      <c r="D43" s="57">
        <f t="shared" si="55"/>
        <v>4.7893825546572479</v>
      </c>
      <c r="E43" s="57">
        <f>E42/E4</f>
        <v>7.9374713921261539E-2</v>
      </c>
      <c r="F43" s="57">
        <f t="shared" ref="F43:BQ43" si="56">F42/F4</f>
        <v>7.9617320297013114E-2</v>
      </c>
      <c r="G43" s="57">
        <f t="shared" si="56"/>
        <v>8.5171813736982724E-2</v>
      </c>
      <c r="H43" s="57">
        <f t="shared" si="56"/>
        <v>0.10412613601526519</v>
      </c>
      <c r="I43" s="57">
        <f t="shared" si="56"/>
        <v>0.1411615547540315</v>
      </c>
      <c r="J43" s="57">
        <f t="shared" si="56"/>
        <v>0.13375226661371376</v>
      </c>
      <c r="K43" s="57">
        <f t="shared" si="56"/>
        <v>0.14362989899881098</v>
      </c>
      <c r="L43" s="57">
        <f t="shared" si="56"/>
        <v>0.12022107008585227</v>
      </c>
      <c r="M43" s="57">
        <f t="shared" si="56"/>
        <v>0.13644519919015771</v>
      </c>
      <c r="N43" s="57">
        <f t="shared" si="56"/>
        <v>0.13028698634061459</v>
      </c>
      <c r="O43" s="57">
        <f t="shared" si="56"/>
        <v>0.13354727197344984</v>
      </c>
      <c r="P43" s="57">
        <f t="shared" si="56"/>
        <v>8.6027033611065507E-2</v>
      </c>
      <c r="Q43" s="57">
        <f t="shared" si="56"/>
        <v>0.15545613282303494</v>
      </c>
      <c r="R43" s="57">
        <f t="shared" si="56"/>
        <v>0.15614962046824943</v>
      </c>
      <c r="S43" s="57">
        <f t="shared" si="56"/>
        <v>0.1665465622730177</v>
      </c>
      <c r="T43" s="57">
        <f t="shared" si="56"/>
        <v>0.17606845752674316</v>
      </c>
      <c r="U43" s="57">
        <f t="shared" si="56"/>
        <v>0.20684180472227856</v>
      </c>
      <c r="V43" s="57">
        <f t="shared" si="56"/>
        <v>0.18868372185620536</v>
      </c>
      <c r="W43" s="57">
        <f t="shared" si="56"/>
        <v>0.18973876862849606</v>
      </c>
      <c r="X43" s="57">
        <f t="shared" si="56"/>
        <v>0.18015625205427452</v>
      </c>
      <c r="Y43" s="57">
        <f t="shared" si="56"/>
        <v>0.19806681039657487</v>
      </c>
      <c r="Z43" s="57">
        <f t="shared" si="56"/>
        <v>0.17109422221398396</v>
      </c>
      <c r="AA43" s="57">
        <f t="shared" si="56"/>
        <v>0.17262240836683471</v>
      </c>
      <c r="AB43" s="57">
        <f t="shared" si="56"/>
        <v>0.13261646982233918</v>
      </c>
      <c r="AC43" s="57">
        <f t="shared" si="56"/>
        <v>0.1709195034237084</v>
      </c>
      <c r="AD43" s="57">
        <f t="shared" si="56"/>
        <v>0.1392061229924601</v>
      </c>
      <c r="AE43" s="57">
        <f t="shared" si="56"/>
        <v>0.14389003627476321</v>
      </c>
      <c r="AF43" s="57">
        <f t="shared" si="56"/>
        <v>0.11909582146272918</v>
      </c>
      <c r="AG43" s="57">
        <f t="shared" si="56"/>
        <v>0.1724816963532658</v>
      </c>
      <c r="AH43" s="57">
        <f t="shared" si="56"/>
        <v>0.14667056190727945</v>
      </c>
      <c r="AI43" s="57">
        <f t="shared" si="56"/>
        <v>0.13731268478895819</v>
      </c>
      <c r="AJ43" s="57">
        <f t="shared" si="56"/>
        <v>8.6882584851437961E-2</v>
      </c>
      <c r="AK43" s="57">
        <f t="shared" si="56"/>
        <v>0.13955385472000897</v>
      </c>
      <c r="AL43" s="57">
        <f t="shared" si="56"/>
        <v>0.11557924751159598</v>
      </c>
      <c r="AM43" s="57">
        <f t="shared" si="56"/>
        <v>0.11353169786022931</v>
      </c>
      <c r="AN43" s="57">
        <f t="shared" si="56"/>
        <v>4.7955638162733474E-2</v>
      </c>
      <c r="AO43" s="57">
        <f t="shared" si="56"/>
        <v>0.16818733681229706</v>
      </c>
      <c r="AP43" s="57">
        <f t="shared" si="56"/>
        <v>0.16612019828759109</v>
      </c>
      <c r="AQ43" s="57">
        <f t="shared" si="56"/>
        <v>0.13733746111656966</v>
      </c>
      <c r="AR43" s="57">
        <f t="shared" si="56"/>
        <v>7.1395279719690632E-2</v>
      </c>
      <c r="AS43" s="57">
        <f t="shared" si="56"/>
        <v>0.21169040812779144</v>
      </c>
      <c r="AT43" s="57">
        <f t="shared" si="56"/>
        <v>0.2127386905195125</v>
      </c>
      <c r="AU43" s="57">
        <f t="shared" si="56"/>
        <v>0.17449447820310374</v>
      </c>
      <c r="AV43" s="57">
        <f t="shared" si="56"/>
        <v>5.33473338890997E-2</v>
      </c>
      <c r="AW43" s="57">
        <f t="shared" si="56"/>
        <v>0.10941930372952674</v>
      </c>
      <c r="AX43" s="57">
        <f t="shared" si="56"/>
        <v>0.1561010961585525</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932970252.55760002</v>
      </c>
      <c r="C45" s="26">
        <f t="shared" ref="C45:BN45" si="58">C70*C69</f>
        <v>890992713.08640003</v>
      </c>
      <c r="D45" s="26">
        <f t="shared" si="58"/>
        <v>871965172.84640002</v>
      </c>
      <c r="E45" s="26">
        <f t="shared" si="58"/>
        <v>847458400.99919999</v>
      </c>
      <c r="F45" s="26">
        <f t="shared" si="58"/>
        <v>772561693.29199994</v>
      </c>
      <c r="G45" s="26">
        <f t="shared" si="58"/>
        <v>734271589.34000003</v>
      </c>
      <c r="H45" s="26">
        <f t="shared" si="58"/>
        <v>698325087.5072</v>
      </c>
      <c r="I45" s="26">
        <f t="shared" si="58"/>
        <v>674062770.82239997</v>
      </c>
      <c r="J45" s="26">
        <f t="shared" si="58"/>
        <v>613955850.56239998</v>
      </c>
      <c r="K45" s="26">
        <f t="shared" si="58"/>
        <v>583459447.13279998</v>
      </c>
      <c r="L45" s="26">
        <f t="shared" si="58"/>
        <v>540014417.0776</v>
      </c>
      <c r="M45" s="26">
        <f t="shared" si="58"/>
        <v>525310988.55199999</v>
      </c>
      <c r="N45" s="26">
        <f t="shared" si="58"/>
        <v>469907632.884</v>
      </c>
      <c r="O45" s="26">
        <f t="shared" si="58"/>
        <v>446187413.1864</v>
      </c>
      <c r="P45" s="26">
        <f t="shared" si="58"/>
        <v>425559994.34400004</v>
      </c>
      <c r="Q45" s="26">
        <f t="shared" si="58"/>
        <v>416883064.22640002</v>
      </c>
      <c r="R45" s="26">
        <f t="shared" si="58"/>
        <v>424118718.19519997</v>
      </c>
      <c r="S45" s="26">
        <f t="shared" si="58"/>
        <v>405783999.97600001</v>
      </c>
      <c r="T45" s="26">
        <f t="shared" si="58"/>
        <v>350035707.264</v>
      </c>
      <c r="U45" s="26">
        <f t="shared" si="58"/>
        <v>333910358.0984</v>
      </c>
      <c r="V45" s="26">
        <f t="shared" si="58"/>
        <v>292695462.39279997</v>
      </c>
      <c r="W45" s="26">
        <f t="shared" si="58"/>
        <v>274336949.28320003</v>
      </c>
      <c r="X45" s="26">
        <f t="shared" si="58"/>
        <v>183226375.1288</v>
      </c>
      <c r="Y45" s="26">
        <f t="shared" si="58"/>
        <v>171812244.84</v>
      </c>
      <c r="Z45" s="26">
        <f t="shared" si="58"/>
        <v>145989105.9048</v>
      </c>
      <c r="AA45" s="26">
        <f t="shared" si="58"/>
        <v>133761639.11280002</v>
      </c>
      <c r="AB45" s="26">
        <f t="shared" si="58"/>
        <v>126595668.67120001</v>
      </c>
      <c r="AC45" s="26">
        <f t="shared" si="58"/>
        <v>121190099.62639999</v>
      </c>
      <c r="AD45" s="26">
        <f t="shared" si="58"/>
        <v>106729546.0288</v>
      </c>
      <c r="AE45" s="26">
        <f t="shared" si="58"/>
        <v>100113738.752</v>
      </c>
      <c r="AF45" s="26">
        <f t="shared" si="58"/>
        <v>97649701.952000007</v>
      </c>
      <c r="AG45" s="26">
        <f t="shared" si="58"/>
        <v>93947824.659199998</v>
      </c>
      <c r="AH45" s="26">
        <f t="shared" si="58"/>
        <v>83550454.321600005</v>
      </c>
      <c r="AI45" s="26">
        <f t="shared" si="58"/>
        <v>69765510.738399997</v>
      </c>
      <c r="AJ45" s="26">
        <f t="shared" si="58"/>
        <v>67892790.044799998</v>
      </c>
      <c r="AK45" s="26">
        <f t="shared" si="58"/>
        <v>66262194.389600001</v>
      </c>
      <c r="AL45" s="26">
        <f t="shared" si="58"/>
        <v>61687206.234399997</v>
      </c>
      <c r="AM45" s="26">
        <f t="shared" si="58"/>
        <v>59611012.463199995</v>
      </c>
      <c r="AN45" s="26">
        <f t="shared" si="58"/>
        <v>58595933.308000006</v>
      </c>
      <c r="AO45" s="26">
        <f t="shared" si="58"/>
        <v>58097590.183200002</v>
      </c>
      <c r="AP45" s="26">
        <f t="shared" si="58"/>
        <v>55409728.577600002</v>
      </c>
      <c r="AQ45" s="26">
        <f t="shared" si="58"/>
        <v>52413974.819200002</v>
      </c>
      <c r="AR45" s="26">
        <f t="shared" si="58"/>
        <v>18789866.9296</v>
      </c>
      <c r="AS45" s="26">
        <f t="shared" si="58"/>
        <v>18340187.240800001</v>
      </c>
      <c r="AT45" s="26">
        <f t="shared" si="58"/>
        <v>11484336.036800001</v>
      </c>
      <c r="AU45" s="26">
        <f t="shared" si="58"/>
        <v>11731647.4416</v>
      </c>
      <c r="AV45" s="26">
        <f t="shared" si="58"/>
        <v>0</v>
      </c>
      <c r="AW45" s="26">
        <f t="shared" si="58"/>
        <v>0</v>
      </c>
      <c r="AX45" s="26">
        <f t="shared" si="58"/>
        <v>0</v>
      </c>
      <c r="AY45" s="26">
        <f t="shared" si="58"/>
        <v>0</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1685065467.4124002</v>
      </c>
      <c r="C47" s="28">
        <f t="shared" ref="C47:BN47" si="62">C42-C45</f>
        <v>-78738234.086400986</v>
      </c>
      <c r="D47" s="28">
        <f t="shared" si="62"/>
        <v>-698701945.95640004</v>
      </c>
      <c r="E47" s="28">
        <f t="shared" si="62"/>
        <v>648315066.02080047</v>
      </c>
      <c r="F47" s="28">
        <f t="shared" si="62"/>
        <v>160815630.20800042</v>
      </c>
      <c r="G47" s="28">
        <f t="shared" si="62"/>
        <v>-98492537.940000296</v>
      </c>
      <c r="H47" s="28">
        <f t="shared" si="62"/>
        <v>-422535310.47720003</v>
      </c>
      <c r="I47" s="28">
        <f t="shared" si="62"/>
        <v>1207492863.2076006</v>
      </c>
      <c r="J47" s="28">
        <f t="shared" si="62"/>
        <v>451867079.27759945</v>
      </c>
      <c r="K47" s="28">
        <f t="shared" si="62"/>
        <v>127472198.6772002</v>
      </c>
      <c r="L47" s="28">
        <f t="shared" si="62"/>
        <v>-325692935.54760003</v>
      </c>
      <c r="M47" s="28">
        <f t="shared" si="62"/>
        <v>849761002.36800003</v>
      </c>
      <c r="N47" s="28">
        <f t="shared" si="62"/>
        <v>289690796.38599998</v>
      </c>
      <c r="O47" s="28">
        <f t="shared" si="62"/>
        <v>17073010.643600047</v>
      </c>
      <c r="P47" s="28">
        <f t="shared" si="62"/>
        <v>-322104004.54400003</v>
      </c>
      <c r="Q47" s="28">
        <f t="shared" si="62"/>
        <v>722902872.22359979</v>
      </c>
      <c r="R47" s="28">
        <f t="shared" si="62"/>
        <v>301582439.33479977</v>
      </c>
      <c r="S47" s="28">
        <f t="shared" si="62"/>
        <v>100937565.93399984</v>
      </c>
      <c r="T47" s="28">
        <f t="shared" si="62"/>
        <v>-148468842.69399998</v>
      </c>
      <c r="U47" s="28">
        <f t="shared" si="62"/>
        <v>785123257.43160021</v>
      </c>
      <c r="V47" s="28">
        <f t="shared" si="62"/>
        <v>322257260.43719995</v>
      </c>
      <c r="W47" s="28">
        <f t="shared" si="62"/>
        <v>111134359.67679989</v>
      </c>
      <c r="X47" s="28">
        <f t="shared" si="62"/>
        <v>-41179072.738799959</v>
      </c>
      <c r="Y47" s="28">
        <f t="shared" si="62"/>
        <v>527604142.37999976</v>
      </c>
      <c r="Z47" s="28">
        <f t="shared" si="62"/>
        <v>229200501.79520011</v>
      </c>
      <c r="AA47" s="28">
        <f t="shared" si="62"/>
        <v>90107323.947200224</v>
      </c>
      <c r="AB47" s="28">
        <f t="shared" si="62"/>
        <v>-60548745.871199995</v>
      </c>
      <c r="AC47" s="28">
        <f t="shared" si="62"/>
        <v>255722992.07359993</v>
      </c>
      <c r="AD47" s="28">
        <f t="shared" si="62"/>
        <v>96608805.121199951</v>
      </c>
      <c r="AE47" s="28">
        <f t="shared" si="62"/>
        <v>28561443.428000003</v>
      </c>
      <c r="AF47" s="28">
        <f t="shared" si="62"/>
        <v>-58510657.781999975</v>
      </c>
      <c r="AG47" s="28">
        <f t="shared" si="62"/>
        <v>167581936.26080006</v>
      </c>
      <c r="AH47" s="28">
        <f t="shared" si="62"/>
        <v>56956295.068399981</v>
      </c>
      <c r="AI47" s="28">
        <f t="shared" si="62"/>
        <v>8591854.6815999895</v>
      </c>
      <c r="AJ47" s="28">
        <f t="shared" si="62"/>
        <v>-49410344.354800016</v>
      </c>
      <c r="AK47" s="28">
        <f t="shared" si="62"/>
        <v>50396744.090400048</v>
      </c>
      <c r="AL47" s="28">
        <f t="shared" si="62"/>
        <v>-1787005.5943999812</v>
      </c>
      <c r="AM47" s="28">
        <f t="shared" si="62"/>
        <v>-25663233.963199973</v>
      </c>
      <c r="AN47" s="28">
        <f t="shared" si="62"/>
        <v>-52366644.248000003</v>
      </c>
      <c r="AO47" s="28">
        <f t="shared" si="62"/>
        <v>48199899.776799962</v>
      </c>
      <c r="AP47" s="28">
        <f t="shared" si="62"/>
        <v>18406572.132399991</v>
      </c>
      <c r="AQ47" s="28">
        <f t="shared" si="62"/>
        <v>-16044596.089199983</v>
      </c>
      <c r="AR47" s="28">
        <f t="shared" si="62"/>
        <v>-13136605.649599995</v>
      </c>
      <c r="AS47" s="28">
        <f t="shared" si="62"/>
        <v>67433627.549199969</v>
      </c>
      <c r="AT47" s="28">
        <f t="shared" si="62"/>
        <v>43336228.853200004</v>
      </c>
      <c r="AU47" s="28">
        <f t="shared" si="62"/>
        <v>12679027.948399989</v>
      </c>
      <c r="AV47" s="28">
        <f t="shared" si="62"/>
        <v>2715913.680000002</v>
      </c>
      <c r="AW47" s="28">
        <f t="shared" si="62"/>
        <v>48750486.959999979</v>
      </c>
      <c r="AX47" s="28">
        <f t="shared" si="62"/>
        <v>45760191.909999996</v>
      </c>
      <c r="AY47" s="28">
        <f t="shared" si="62"/>
        <v>0</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20051231</v>
      </c>
      <c r="AY51" s="190">
        <v>19700101</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-54757215.68</v>
      </c>
      <c r="F52" s="42">
        <v>-34414</v>
      </c>
      <c r="G52" s="42">
        <v>-23309</v>
      </c>
      <c r="H52" s="42">
        <v>-16814</v>
      </c>
      <c r="I52" s="42">
        <v>49185181</v>
      </c>
      <c r="J52" s="42"/>
      <c r="K52" s="42"/>
      <c r="M52" s="43">
        <v>-31138619.23</v>
      </c>
      <c r="Q52" s="43">
        <v>-33601521.979999997</v>
      </c>
      <c r="U52" s="43">
        <v>-35822455.520000003</v>
      </c>
      <c r="Y52" s="43">
        <v>-15933252.109999999</v>
      </c>
      <c r="AC52" s="43">
        <v>-12408768.15</v>
      </c>
      <c r="AG52" s="43">
        <v>-8746811.5899999999</v>
      </c>
      <c r="AK52" s="43">
        <v>-8748265.7300000004</v>
      </c>
      <c r="AO52" s="43">
        <v>-7643076.0800000001</v>
      </c>
    </row>
    <row r="53" spans="1:89" s="43" customFormat="1" x14ac:dyDescent="0.25">
      <c r="A53" s="132" t="s">
        <v>90</v>
      </c>
      <c r="B53" s="42">
        <v>217</v>
      </c>
      <c r="C53" s="42">
        <v>189</v>
      </c>
      <c r="D53" s="42"/>
      <c r="E53" s="42">
        <v>73301999.989999995</v>
      </c>
      <c r="F53" s="42"/>
      <c r="G53" s="42"/>
      <c r="H53" s="42"/>
      <c r="I53" s="42">
        <v>35680898.909999996</v>
      </c>
      <c r="J53" s="42"/>
      <c r="K53" s="42"/>
      <c r="M53" s="43">
        <v>2772474.67</v>
      </c>
      <c r="Q53" s="43">
        <v>7448678.2800000003</v>
      </c>
      <c r="U53" s="43">
        <v>3754446.43</v>
      </c>
      <c r="Y53" s="43">
        <v>6355714.4000000004</v>
      </c>
      <c r="AC53" s="43">
        <v>3492440.71</v>
      </c>
      <c r="AD53" s="42"/>
      <c r="AE53" s="42"/>
      <c r="AF53" s="42"/>
      <c r="AG53" s="42">
        <v>2814100.53</v>
      </c>
      <c r="AH53" s="42"/>
      <c r="AI53" s="42"/>
      <c r="AJ53" s="42"/>
      <c r="AK53" s="42">
        <v>284427.03999999998</v>
      </c>
      <c r="AL53" s="42"/>
      <c r="AM53" s="42"/>
      <c r="AN53" s="42"/>
      <c r="AO53" s="42">
        <v>450566</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140569791.31</v>
      </c>
      <c r="F54" s="42">
        <v>2684</v>
      </c>
      <c r="G54" s="42">
        <v>-377</v>
      </c>
      <c r="H54" s="42">
        <v>1008</v>
      </c>
      <c r="I54" s="42">
        <v>-73133226.620000005</v>
      </c>
      <c r="J54" s="42"/>
      <c r="K54" s="42"/>
      <c r="M54" s="157">
        <v>-64284784.960000001</v>
      </c>
      <c r="Q54" s="43">
        <v>2351578.33</v>
      </c>
      <c r="U54" s="43">
        <v>9386038.4000000004</v>
      </c>
      <c r="Y54" s="43">
        <v>-4009741.63</v>
      </c>
      <c r="AC54" s="43">
        <v>-2527681.56</v>
      </c>
      <c r="AG54" s="43">
        <v>-2580054.4500000002</v>
      </c>
      <c r="AK54" s="43">
        <v>-52229.09</v>
      </c>
      <c r="AO54" s="43">
        <v>-2523687.75</v>
      </c>
    </row>
    <row r="55" spans="1:89" s="43" customFormat="1" x14ac:dyDescent="0.25">
      <c r="A55" s="132" t="s">
        <v>92</v>
      </c>
      <c r="B55" s="42">
        <v>463</v>
      </c>
      <c r="C55" s="42">
        <v>603</v>
      </c>
      <c r="D55" s="42">
        <v>653</v>
      </c>
      <c r="E55" s="42">
        <v>8317346.0700000003</v>
      </c>
      <c r="F55" s="42">
        <v>1204</v>
      </c>
      <c r="G55" s="42">
        <v>868</v>
      </c>
      <c r="H55" s="42">
        <v>644</v>
      </c>
      <c r="I55" s="42">
        <v>4750506.9400000004</v>
      </c>
      <c r="J55" s="42"/>
      <c r="K55" s="42"/>
      <c r="M55" s="43">
        <v>2608551.4</v>
      </c>
      <c r="Q55" s="43">
        <v>2072002.21</v>
      </c>
      <c r="U55" s="43">
        <v>1719265.22</v>
      </c>
      <c r="Y55" s="43">
        <v>1244397.75</v>
      </c>
      <c r="AC55" s="43">
        <v>1175438.99</v>
      </c>
      <c r="AG55" s="43">
        <v>681905.32</v>
      </c>
      <c r="AK55" s="43">
        <v>502867.86</v>
      </c>
      <c r="AO55" s="43">
        <v>264458.73</v>
      </c>
    </row>
    <row r="56" spans="1:89" s="26" customFormat="1" x14ac:dyDescent="0.25">
      <c r="A56" s="133" t="s">
        <v>93</v>
      </c>
      <c r="B56" s="44">
        <f>SUM(B52:B55)</f>
        <v>-21852</v>
      </c>
      <c r="C56" s="44">
        <f t="shared" ref="C56:D56" si="64">SUM(C52:C55)</f>
        <v>-28350</v>
      </c>
      <c r="D56" s="44">
        <f t="shared" si="64"/>
        <v>-35004</v>
      </c>
      <c r="E56" s="44">
        <f>SUM(E52:E55)</f>
        <v>167431921.69</v>
      </c>
      <c r="F56" s="44">
        <f t="shared" ref="F56:BQ56" si="65">SUM(F52:F55)</f>
        <v>-30526</v>
      </c>
      <c r="G56" s="44">
        <f t="shared" si="65"/>
        <v>-22818</v>
      </c>
      <c r="H56" s="44">
        <f t="shared" si="65"/>
        <v>-15162</v>
      </c>
      <c r="I56" s="44">
        <f t="shared" si="65"/>
        <v>16483360.229999993</v>
      </c>
      <c r="J56" s="44">
        <f t="shared" si="65"/>
        <v>0</v>
      </c>
      <c r="K56" s="44">
        <f t="shared" si="65"/>
        <v>0</v>
      </c>
      <c r="L56" s="44">
        <f t="shared" si="65"/>
        <v>0</v>
      </c>
      <c r="M56" s="44">
        <f t="shared" si="65"/>
        <v>-90042378.120000005</v>
      </c>
      <c r="N56" s="44">
        <f t="shared" si="65"/>
        <v>0</v>
      </c>
      <c r="O56" s="44">
        <f t="shared" si="65"/>
        <v>0</v>
      </c>
      <c r="P56" s="44">
        <f t="shared" si="65"/>
        <v>0</v>
      </c>
      <c r="Q56" s="44">
        <f t="shared" si="65"/>
        <v>-21729263.159999996</v>
      </c>
      <c r="R56" s="44">
        <f t="shared" si="65"/>
        <v>0</v>
      </c>
      <c r="S56" s="44">
        <f t="shared" si="65"/>
        <v>0</v>
      </c>
      <c r="T56" s="44">
        <f t="shared" si="65"/>
        <v>0</v>
      </c>
      <c r="U56" s="44">
        <f t="shared" si="65"/>
        <v>-20962705.470000006</v>
      </c>
      <c r="V56" s="44">
        <f t="shared" si="65"/>
        <v>0</v>
      </c>
      <c r="W56" s="44">
        <f t="shared" si="65"/>
        <v>0</v>
      </c>
      <c r="X56" s="44">
        <f t="shared" si="65"/>
        <v>0</v>
      </c>
      <c r="Y56" s="44">
        <f t="shared" si="65"/>
        <v>-12342881.59</v>
      </c>
      <c r="Z56" s="44">
        <f t="shared" si="65"/>
        <v>0</v>
      </c>
      <c r="AA56" s="44">
        <f t="shared" si="65"/>
        <v>0</v>
      </c>
      <c r="AB56" s="44">
        <f t="shared" si="65"/>
        <v>0</v>
      </c>
      <c r="AC56" s="44">
        <f t="shared" si="65"/>
        <v>-10268570.010000002</v>
      </c>
      <c r="AD56" s="44">
        <f t="shared" si="65"/>
        <v>0</v>
      </c>
      <c r="AE56" s="44">
        <f t="shared" si="65"/>
        <v>0</v>
      </c>
      <c r="AF56" s="44">
        <f t="shared" si="65"/>
        <v>0</v>
      </c>
      <c r="AG56" s="44">
        <f t="shared" si="65"/>
        <v>-7830860.1900000013</v>
      </c>
      <c r="AH56" s="44">
        <f t="shared" si="65"/>
        <v>0</v>
      </c>
      <c r="AI56" s="44">
        <f t="shared" si="65"/>
        <v>0</v>
      </c>
      <c r="AJ56" s="44">
        <f t="shared" si="65"/>
        <v>0</v>
      </c>
      <c r="AK56" s="44">
        <f t="shared" si="65"/>
        <v>-8013199.9200000009</v>
      </c>
      <c r="AL56" s="44">
        <f t="shared" si="65"/>
        <v>0</v>
      </c>
      <c r="AM56" s="44">
        <f t="shared" si="65"/>
        <v>0</v>
      </c>
      <c r="AN56" s="44">
        <f t="shared" si="65"/>
        <v>0</v>
      </c>
      <c r="AO56" s="44">
        <f t="shared" si="65"/>
        <v>-9451739.0999999996</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1576141432.6800001</v>
      </c>
      <c r="C59" s="190">
        <v>1088763872.1700001</v>
      </c>
      <c r="D59" s="190">
        <v>296388605.42000002</v>
      </c>
      <c r="E59" s="190">
        <v>2376786346.0999999</v>
      </c>
      <c r="F59" s="190">
        <v>1443905470.23</v>
      </c>
      <c r="G59" s="190">
        <v>979823725.38999999</v>
      </c>
      <c r="H59" s="190">
        <v>276016025.52999997</v>
      </c>
      <c r="I59" s="190">
        <v>1810152288.3099999</v>
      </c>
      <c r="J59" s="190">
        <v>1065526240.29</v>
      </c>
      <c r="K59" s="190">
        <v>710370933.77999997</v>
      </c>
      <c r="L59" s="190">
        <v>214420096.46000001</v>
      </c>
      <c r="M59" s="190">
        <v>1381123509.9000001</v>
      </c>
      <c r="N59" s="190">
        <v>760141858.83000004</v>
      </c>
      <c r="O59" s="190">
        <v>463316918.89999998</v>
      </c>
      <c r="P59" s="190">
        <v>103488622.68000001</v>
      </c>
      <c r="Q59" s="190">
        <v>1144264528.4000001</v>
      </c>
      <c r="R59" s="190">
        <v>725708437.42999995</v>
      </c>
      <c r="S59" s="190">
        <v>506721565.91000003</v>
      </c>
      <c r="T59" s="190">
        <v>201566864.56999999</v>
      </c>
      <c r="U59" s="190">
        <v>1130138728.3299999</v>
      </c>
      <c r="V59" s="190">
        <v>614952161.37</v>
      </c>
      <c r="W59" s="190">
        <v>385472147.58999997</v>
      </c>
      <c r="X59" s="190">
        <v>142047575.31999999</v>
      </c>
      <c r="Y59" s="190">
        <v>696651234.15999997</v>
      </c>
      <c r="Z59" s="190">
        <v>375189607.69999999</v>
      </c>
      <c r="AA59" s="190">
        <v>223868963.06</v>
      </c>
      <c r="AB59" s="190">
        <v>66046922.799999997</v>
      </c>
      <c r="AC59" s="190">
        <v>375560849.13</v>
      </c>
      <c r="AD59" s="190">
        <v>203338351.15000001</v>
      </c>
      <c r="AE59" s="190">
        <v>128675182.18000001</v>
      </c>
      <c r="AF59" s="190">
        <v>39139044.170000002</v>
      </c>
      <c r="AG59" s="190">
        <v>259631611.78999999</v>
      </c>
      <c r="AH59" s="190">
        <v>140506749.38999999</v>
      </c>
      <c r="AI59" s="190">
        <v>78357365.420000002</v>
      </c>
      <c r="AJ59" s="190">
        <v>18482445.690000001</v>
      </c>
      <c r="AK59" s="190">
        <v>117109577.25</v>
      </c>
      <c r="AL59" s="190">
        <v>59900200.640000001</v>
      </c>
      <c r="AM59" s="190">
        <v>33947778.5</v>
      </c>
      <c r="AN59" s="190">
        <v>6229289.0599999996</v>
      </c>
      <c r="AO59" s="190">
        <v>104038260.94</v>
      </c>
      <c r="AP59" s="190">
        <v>73816300.709999993</v>
      </c>
      <c r="AQ59" s="190">
        <v>36369378.729999997</v>
      </c>
      <c r="AR59" s="190">
        <v>5653261.2800000003</v>
      </c>
      <c r="AS59" s="190">
        <v>85773814.790000007</v>
      </c>
      <c r="AT59" s="190">
        <v>54820564.890000001</v>
      </c>
      <c r="AU59" s="190">
        <v>24410675.390000001</v>
      </c>
      <c r="AV59" s="190">
        <v>2715913.68</v>
      </c>
      <c r="AW59" s="190">
        <v>48750486.960000001</v>
      </c>
      <c r="AX59" s="190">
        <v>45760191.909999996</v>
      </c>
      <c r="AY59" s="190">
        <v>0</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118196431.38</v>
      </c>
      <c r="C60" s="190">
        <v>165721533.63</v>
      </c>
      <c r="D60" s="190">
        <v>34942391.530000001</v>
      </c>
      <c r="E60" s="190">
        <v>265421510.03999999</v>
      </c>
      <c r="F60" s="190">
        <v>125783329.5</v>
      </c>
      <c r="G60" s="190">
        <v>153360669.71000001</v>
      </c>
      <c r="H60" s="190">
        <v>32232982.48</v>
      </c>
      <c r="I60" s="190">
        <v>202185238.62</v>
      </c>
      <c r="J60" s="190">
        <v>73964982.299999997</v>
      </c>
      <c r="K60" s="190">
        <v>106393965.53</v>
      </c>
      <c r="L60" s="190">
        <v>30624258.890000001</v>
      </c>
      <c r="M60" s="190">
        <v>197123573.47</v>
      </c>
      <c r="N60" s="190">
        <v>117201768.19</v>
      </c>
      <c r="O60" s="190">
        <v>72489001.480000004</v>
      </c>
      <c r="P60" s="190">
        <v>10897625.92</v>
      </c>
      <c r="Q60" s="190">
        <v>108579382.61</v>
      </c>
      <c r="R60" s="190">
        <v>68530032.450000003</v>
      </c>
      <c r="S60" s="190">
        <v>48751399.979999997</v>
      </c>
      <c r="T60" s="190">
        <v>37738846.149999999</v>
      </c>
      <c r="U60" s="190">
        <v>-4900604.01</v>
      </c>
      <c r="V60" s="190">
        <v>78949427.159999996</v>
      </c>
      <c r="W60" s="190">
        <v>46680556.469999999</v>
      </c>
      <c r="X60" s="190">
        <v>18883086.59</v>
      </c>
      <c r="Y60" s="190">
        <v>57931297.909999996</v>
      </c>
      <c r="Z60" s="190">
        <v>50782434.240000002</v>
      </c>
      <c r="AA60" s="190">
        <v>32295053.260000002</v>
      </c>
      <c r="AB60" s="190">
        <v>8915427.5600000005</v>
      </c>
      <c r="AC60" s="190">
        <v>37789319.68</v>
      </c>
      <c r="AD60" s="190">
        <v>32143964.800000001</v>
      </c>
      <c r="AE60" s="190">
        <v>17371374.219999999</v>
      </c>
      <c r="AF60" s="190">
        <v>4038711.09</v>
      </c>
      <c r="AG60" s="190">
        <v>28546466.829999998</v>
      </c>
      <c r="AH60" s="190">
        <v>14524416.369999999</v>
      </c>
      <c r="AI60" s="190">
        <v>8696840.0399999991</v>
      </c>
      <c r="AJ60" s="190">
        <v>1615896</v>
      </c>
      <c r="AK60" s="190">
        <v>10740322.220000001</v>
      </c>
      <c r="AL60" s="190">
        <v>4706065.45</v>
      </c>
      <c r="AM60" s="190">
        <v>2582817.98</v>
      </c>
      <c r="AN60" s="190">
        <v>51190.82</v>
      </c>
      <c r="AO60" s="190">
        <v>7069616.1500000004</v>
      </c>
      <c r="AP60" s="190">
        <v>8690616.1899999995</v>
      </c>
      <c r="AQ60" s="190">
        <v>7109613.8399999999</v>
      </c>
      <c r="AR60" s="190">
        <v>1555981.73</v>
      </c>
      <c r="AS60" s="190">
        <v>11493411.82</v>
      </c>
      <c r="AT60" s="190">
        <v>2733821.08</v>
      </c>
      <c r="AU60" s="190">
        <v>2181728.38</v>
      </c>
      <c r="AV60" s="190">
        <v>0</v>
      </c>
      <c r="AW60" s="190">
        <v>3716057.2</v>
      </c>
      <c r="AX60" s="190">
        <v>3028640.97</v>
      </c>
      <c r="AY60" s="190">
        <v>0</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1694337864.0599999</v>
      </c>
      <c r="C61" s="190">
        <v>1254485405.8</v>
      </c>
      <c r="D61" s="190">
        <v>331330996.94999999</v>
      </c>
      <c r="E61" s="190">
        <v>2642207856.1399999</v>
      </c>
      <c r="F61" s="190">
        <v>1569688799.73</v>
      </c>
      <c r="G61" s="190">
        <v>1133184395.0999999</v>
      </c>
      <c r="H61" s="190">
        <v>308249008.00999999</v>
      </c>
      <c r="I61" s="190">
        <v>2012337526.9300001</v>
      </c>
      <c r="J61" s="190">
        <v>1139491222.5899999</v>
      </c>
      <c r="K61" s="190">
        <v>816764899.30999994</v>
      </c>
      <c r="L61" s="190">
        <v>245044355.34999999</v>
      </c>
      <c r="M61" s="190">
        <v>1578247083.3699999</v>
      </c>
      <c r="N61" s="190">
        <v>877343627.01999998</v>
      </c>
      <c r="O61" s="190">
        <v>535805920.38</v>
      </c>
      <c r="P61" s="190">
        <v>114386248.59999999</v>
      </c>
      <c r="Q61" s="190">
        <v>1252843911.01</v>
      </c>
      <c r="R61" s="190">
        <v>794238469.88</v>
      </c>
      <c r="S61" s="190">
        <v>555472965.88999999</v>
      </c>
      <c r="T61" s="190">
        <v>239305710.72</v>
      </c>
      <c r="U61" s="190">
        <v>1125238124.3199999</v>
      </c>
      <c r="V61" s="190">
        <v>693901588.52999997</v>
      </c>
      <c r="W61" s="190">
        <v>432152704.06</v>
      </c>
      <c r="X61" s="190">
        <v>160930661.91</v>
      </c>
      <c r="Y61" s="190">
        <v>754582532.07000005</v>
      </c>
      <c r="Z61" s="190">
        <v>425972041.94</v>
      </c>
      <c r="AA61" s="190">
        <v>256164016.31999999</v>
      </c>
      <c r="AB61" s="190">
        <v>74962350.359999999</v>
      </c>
      <c r="AC61" s="190">
        <v>413350168.81</v>
      </c>
      <c r="AD61" s="190">
        <v>235482315.94999999</v>
      </c>
      <c r="AE61" s="190">
        <v>146046556.40000001</v>
      </c>
      <c r="AF61" s="190">
        <v>43177755.259999998</v>
      </c>
      <c r="AG61" s="190">
        <v>288178078.62</v>
      </c>
      <c r="AH61" s="190">
        <v>155031165.75999999</v>
      </c>
      <c r="AI61" s="190">
        <v>87054205.459999993</v>
      </c>
      <c r="AJ61" s="190">
        <v>20098341.690000001</v>
      </c>
      <c r="AK61" s="190">
        <v>127849899.47</v>
      </c>
      <c r="AL61" s="190">
        <v>64606266.090000004</v>
      </c>
      <c r="AM61" s="190">
        <v>36530596.479999997</v>
      </c>
      <c r="AN61" s="190">
        <v>6280479.8799999999</v>
      </c>
      <c r="AO61" s="190">
        <v>111107877.09</v>
      </c>
      <c r="AP61" s="190">
        <v>82506916.900000006</v>
      </c>
      <c r="AQ61" s="190">
        <v>43478992.57</v>
      </c>
      <c r="AR61" s="190">
        <v>7209243.0099999998</v>
      </c>
      <c r="AS61" s="190">
        <v>97267226.609999999</v>
      </c>
      <c r="AT61" s="190">
        <v>57554385.969999999</v>
      </c>
      <c r="AU61" s="190">
        <v>26592403.77</v>
      </c>
      <c r="AV61" s="190">
        <v>2715913.68</v>
      </c>
      <c r="AW61" s="190">
        <v>52466544.159999996</v>
      </c>
      <c r="AX61" s="190">
        <v>48788832.880000003</v>
      </c>
      <c r="AY61" s="190">
        <v>0</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-52122659.159999996</v>
      </c>
      <c r="C65" s="190">
        <v>-20867876.309999999</v>
      </c>
      <c r="D65" s="190">
        <v>-10440741.57</v>
      </c>
      <c r="E65" s="190">
        <v>-29510653.149999999</v>
      </c>
      <c r="F65" s="190">
        <v>-21234624.420000002</v>
      </c>
      <c r="G65" s="190">
        <v>-14018542.65</v>
      </c>
      <c r="H65" s="190">
        <v>-7366992.6299999999</v>
      </c>
      <c r="I65" s="190">
        <v>6642772.4900000002</v>
      </c>
      <c r="J65" s="190">
        <v>10275010.300000001</v>
      </c>
      <c r="K65" s="190">
        <v>12782064.33</v>
      </c>
      <c r="L65" s="190">
        <v>899541.01</v>
      </c>
      <c r="M65" s="190">
        <v>14013463.970000001</v>
      </c>
      <c r="N65" s="190">
        <v>11446994.439999999</v>
      </c>
      <c r="O65" s="190">
        <v>9617468.8800000008</v>
      </c>
      <c r="P65" s="190">
        <v>5956851.2400000002</v>
      </c>
      <c r="Q65" s="190">
        <v>7557419.6399999997</v>
      </c>
      <c r="R65" s="190">
        <v>-217557.24</v>
      </c>
      <c r="S65" s="190">
        <v>-320303.78999999998</v>
      </c>
      <c r="T65" s="190">
        <v>-1229169.6200000001</v>
      </c>
      <c r="U65" s="190">
        <v>7753381.1100000003</v>
      </c>
      <c r="V65" s="190">
        <v>3297687.51</v>
      </c>
      <c r="W65" s="190">
        <v>2735132.63</v>
      </c>
      <c r="X65" s="190">
        <v>1348992.14</v>
      </c>
      <c r="Y65" s="190">
        <v>-1027741.59</v>
      </c>
      <c r="Z65" s="190">
        <v>-1375760.99</v>
      </c>
      <c r="AA65" s="190">
        <v>-1474271.99</v>
      </c>
      <c r="AB65" s="190">
        <v>-857496.88</v>
      </c>
      <c r="AC65" s="190">
        <v>-4041974.58</v>
      </c>
      <c r="AD65" s="190">
        <v>-2136936.4700000002</v>
      </c>
      <c r="AE65" s="190">
        <v>-1051465.3400000001</v>
      </c>
      <c r="AF65" s="190">
        <v>0</v>
      </c>
      <c r="AG65" s="190">
        <v>-3317.31</v>
      </c>
      <c r="AH65" s="190">
        <v>0</v>
      </c>
      <c r="AI65" s="190">
        <v>0</v>
      </c>
      <c r="AJ65" s="190">
        <v>0</v>
      </c>
      <c r="AK65" s="190">
        <v>4797</v>
      </c>
      <c r="AL65" s="190">
        <v>0</v>
      </c>
      <c r="AM65" s="190">
        <v>0</v>
      </c>
      <c r="AN65" s="190">
        <v>0</v>
      </c>
      <c r="AO65" s="190">
        <v>-522181.7</v>
      </c>
      <c r="AP65" s="190">
        <v>0</v>
      </c>
      <c r="AQ65" s="190">
        <v>0</v>
      </c>
      <c r="AR65" s="190">
        <v>0</v>
      </c>
      <c r="AS65" s="190">
        <v>927230.07</v>
      </c>
      <c r="AT65" s="190">
        <v>127436.54</v>
      </c>
      <c r="AU65" s="190">
        <v>916908.43</v>
      </c>
      <c r="AV65" s="190">
        <v>0</v>
      </c>
      <c r="AW65" s="190">
        <v>7180688.6900000004</v>
      </c>
      <c r="AX65" s="190">
        <v>0</v>
      </c>
      <c r="AY65" s="190">
        <v>0</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-32224908.629999999</v>
      </c>
      <c r="C66" s="190">
        <v>-25567280.91</v>
      </c>
      <c r="D66" s="190">
        <v>-11061652.58</v>
      </c>
      <c r="E66" s="190">
        <v>-37464812.350000001</v>
      </c>
      <c r="F66" s="190">
        <v>-28341585.190000001</v>
      </c>
      <c r="G66" s="190">
        <v>-18719464.170000002</v>
      </c>
      <c r="H66" s="190">
        <v>-9332581.2400000002</v>
      </c>
      <c r="I66" s="190">
        <v>1658248.41</v>
      </c>
      <c r="J66" s="190">
        <v>-10234573.880000001</v>
      </c>
      <c r="K66" s="190">
        <v>-5409647.9800000004</v>
      </c>
      <c r="L66" s="190">
        <v>-169168.62</v>
      </c>
      <c r="M66" s="190">
        <v>715015.65</v>
      </c>
      <c r="N66" s="190">
        <v>353243.58</v>
      </c>
      <c r="O66" s="190">
        <v>-173161.17</v>
      </c>
      <c r="P66" s="190">
        <v>-298639.57</v>
      </c>
      <c r="Q66" s="190">
        <v>-787545.47</v>
      </c>
      <c r="R66" s="190">
        <v>-580024.36</v>
      </c>
      <c r="S66" s="190">
        <v>-429691.77</v>
      </c>
      <c r="T66" s="190">
        <v>-281505.40000000002</v>
      </c>
      <c r="U66" s="190">
        <v>-1246471.45</v>
      </c>
      <c r="V66" s="190">
        <v>-818882.48</v>
      </c>
      <c r="W66" s="190">
        <v>-475924.3</v>
      </c>
      <c r="X66" s="190">
        <v>-438718.13</v>
      </c>
      <c r="Y66" s="190">
        <v>-1010471.67</v>
      </c>
      <c r="Z66" s="190">
        <v>-808000.98</v>
      </c>
      <c r="AA66" s="190">
        <v>-906511.98</v>
      </c>
      <c r="AB66" s="190">
        <v>-435336.88</v>
      </c>
      <c r="AC66" s="190">
        <v>365449.12</v>
      </c>
      <c r="AD66" s="190">
        <v>-49865.34</v>
      </c>
      <c r="AE66" s="190">
        <v>-49865.34</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-19897750.529999997</v>
      </c>
      <c r="C67" s="4">
        <f t="shared" ref="C67:BN67" si="67">C65-C66</f>
        <v>4699404.6000000015</v>
      </c>
      <c r="D67" s="4">
        <f t="shared" si="67"/>
        <v>620911.00999999978</v>
      </c>
      <c r="E67" s="4">
        <f t="shared" si="67"/>
        <v>7954159.200000003</v>
      </c>
      <c r="F67" s="4">
        <f t="shared" si="67"/>
        <v>7106960.7699999996</v>
      </c>
      <c r="G67" s="4">
        <f t="shared" si="67"/>
        <v>4700921.5200000014</v>
      </c>
      <c r="H67" s="4">
        <f t="shared" si="67"/>
        <v>1965588.6100000003</v>
      </c>
      <c r="I67" s="4">
        <f t="shared" si="67"/>
        <v>4984524.08</v>
      </c>
      <c r="J67" s="4">
        <f t="shared" si="67"/>
        <v>20509584.18</v>
      </c>
      <c r="K67" s="4">
        <f t="shared" si="67"/>
        <v>18191712.310000002</v>
      </c>
      <c r="L67" s="4">
        <f t="shared" si="67"/>
        <v>1068709.6299999999</v>
      </c>
      <c r="M67" s="4">
        <f t="shared" si="67"/>
        <v>13298448.32</v>
      </c>
      <c r="N67" s="4">
        <f t="shared" si="67"/>
        <v>11093750.859999999</v>
      </c>
      <c r="O67" s="4">
        <f t="shared" si="67"/>
        <v>9790630.0500000007</v>
      </c>
      <c r="P67" s="4">
        <f t="shared" si="67"/>
        <v>6255490.8100000005</v>
      </c>
      <c r="Q67" s="4">
        <f t="shared" si="67"/>
        <v>8344965.1099999994</v>
      </c>
      <c r="R67" s="4">
        <f t="shared" si="67"/>
        <v>362467.12</v>
      </c>
      <c r="S67" s="4">
        <f t="shared" si="67"/>
        <v>109387.98000000004</v>
      </c>
      <c r="T67" s="4">
        <f t="shared" si="67"/>
        <v>-947664.22000000009</v>
      </c>
      <c r="U67" s="4">
        <f t="shared" si="67"/>
        <v>8999852.5600000005</v>
      </c>
      <c r="V67" s="4">
        <f t="shared" si="67"/>
        <v>4116569.9899999998</v>
      </c>
      <c r="W67" s="4">
        <f t="shared" si="67"/>
        <v>3211056.9299999997</v>
      </c>
      <c r="X67" s="4">
        <f t="shared" si="67"/>
        <v>1787710.27</v>
      </c>
      <c r="Y67" s="4">
        <f t="shared" si="67"/>
        <v>-17269.919999999925</v>
      </c>
      <c r="Z67" s="4">
        <f t="shared" si="67"/>
        <v>-567760.01</v>
      </c>
      <c r="AA67" s="4">
        <f t="shared" si="67"/>
        <v>-567760.01</v>
      </c>
      <c r="AB67" s="4">
        <f t="shared" si="67"/>
        <v>-422160</v>
      </c>
      <c r="AC67" s="4">
        <f t="shared" si="67"/>
        <v>-4407423.7</v>
      </c>
      <c r="AD67" s="4">
        <f t="shared" si="67"/>
        <v>-2087071.1300000001</v>
      </c>
      <c r="AE67" s="4">
        <f t="shared" si="67"/>
        <v>-1001600.0000000001</v>
      </c>
      <c r="AF67" s="4">
        <f t="shared" si="67"/>
        <v>0</v>
      </c>
      <c r="AG67" s="4">
        <f t="shared" si="67"/>
        <v>-3317.31</v>
      </c>
      <c r="AH67" s="4">
        <f t="shared" si="67"/>
        <v>0</v>
      </c>
      <c r="AI67" s="4">
        <f t="shared" si="67"/>
        <v>0</v>
      </c>
      <c r="AJ67" s="4">
        <f t="shared" si="67"/>
        <v>0</v>
      </c>
      <c r="AK67" s="4">
        <f t="shared" si="67"/>
        <v>4797</v>
      </c>
      <c r="AL67" s="4">
        <f t="shared" si="67"/>
        <v>0</v>
      </c>
      <c r="AM67" s="4">
        <f t="shared" si="67"/>
        <v>0</v>
      </c>
      <c r="AN67" s="4">
        <f t="shared" si="67"/>
        <v>0</v>
      </c>
      <c r="AO67" s="4">
        <f t="shared" si="67"/>
        <v>-522181.7</v>
      </c>
      <c r="AP67" s="4">
        <f t="shared" si="67"/>
        <v>0</v>
      </c>
      <c r="AQ67" s="4">
        <f t="shared" si="67"/>
        <v>0</v>
      </c>
      <c r="AR67" s="4">
        <f t="shared" si="67"/>
        <v>0</v>
      </c>
      <c r="AS67" s="4">
        <f t="shared" si="67"/>
        <v>927230.07</v>
      </c>
      <c r="AT67" s="4">
        <f t="shared" si="67"/>
        <v>127436.54</v>
      </c>
      <c r="AU67" s="4">
        <f t="shared" si="67"/>
        <v>916908.43</v>
      </c>
      <c r="AV67" s="4">
        <f t="shared" si="67"/>
        <v>0</v>
      </c>
      <c r="AW67" s="4">
        <f t="shared" si="67"/>
        <v>7180688.6900000004</v>
      </c>
      <c r="AX67" s="4">
        <f t="shared" si="67"/>
        <v>0</v>
      </c>
      <c r="AY67" s="4">
        <f t="shared" si="67"/>
        <v>0</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-189724920.00999999</v>
      </c>
      <c r="C68" s="190">
        <v>-22880395.850000001</v>
      </c>
      <c r="D68" s="190">
        <v>120852117.44</v>
      </c>
      <c r="E68" s="190">
        <v>167431921.69</v>
      </c>
      <c r="F68" s="190">
        <v>108763323.84999999</v>
      </c>
      <c r="G68" s="190">
        <v>48639551.950000003</v>
      </c>
      <c r="H68" s="190">
        <v>9861307.6199999992</v>
      </c>
      <c r="I68" s="190">
        <v>-81887001.769999996</v>
      </c>
      <c r="J68" s="190">
        <v>-33439424.32</v>
      </c>
      <c r="K68" s="190">
        <v>-22092119.710000001</v>
      </c>
      <c r="L68" s="190">
        <v>5484056.1399999997</v>
      </c>
      <c r="M68" s="190">
        <v>-90042378.120000005</v>
      </c>
      <c r="N68" s="190">
        <v>-64587342.210000001</v>
      </c>
      <c r="O68" s="190">
        <v>-15569165.390000001</v>
      </c>
      <c r="P68" s="190">
        <v>-8564667.7100000009</v>
      </c>
      <c r="Q68" s="190">
        <v>-21729263.16</v>
      </c>
      <c r="R68" s="190">
        <v>-20960342.390000001</v>
      </c>
      <c r="S68" s="190">
        <v>-15428329.050000001</v>
      </c>
      <c r="T68" s="190">
        <v>-11138672.43</v>
      </c>
      <c r="U68" s="190">
        <v>-20962705.469999999</v>
      </c>
      <c r="V68" s="190">
        <v>-11942853.220000001</v>
      </c>
      <c r="W68" s="190">
        <v>-1925040.49</v>
      </c>
      <c r="X68" s="190">
        <v>2417553.9</v>
      </c>
      <c r="Y68" s="190">
        <v>-12342881.59</v>
      </c>
      <c r="Z68" s="190">
        <v>-8505196.5999999996</v>
      </c>
      <c r="AA68" s="190">
        <v>511672.92</v>
      </c>
      <c r="AB68" s="190">
        <v>-1363805.98</v>
      </c>
      <c r="AC68" s="190">
        <v>-10268570.01</v>
      </c>
      <c r="AD68" s="190">
        <v>-8997256.5600000005</v>
      </c>
      <c r="AE68" s="190">
        <v>-2460201.9500000002</v>
      </c>
      <c r="AF68" s="190">
        <v>-1294444.6000000001</v>
      </c>
      <c r="AG68" s="190">
        <v>-7830860.1900000004</v>
      </c>
      <c r="AH68" s="190">
        <v>-4939759.43</v>
      </c>
      <c r="AI68" s="190">
        <v>-2208846.33</v>
      </c>
      <c r="AJ68" s="190">
        <v>-1801939.36</v>
      </c>
      <c r="AK68" s="190">
        <v>-8013199.9199999999</v>
      </c>
      <c r="AL68" s="190">
        <v>-7599665.3399999999</v>
      </c>
      <c r="AM68" s="190">
        <v>-5789724.8099999996</v>
      </c>
      <c r="AN68" s="190">
        <v>-2833976.44</v>
      </c>
      <c r="AO68" s="190">
        <v>-9451739.0999999996</v>
      </c>
      <c r="AP68" s="190">
        <v>-3562277.59</v>
      </c>
      <c r="AQ68" s="190">
        <v>-2731595.38</v>
      </c>
      <c r="AR68" s="190">
        <v>-640609.03</v>
      </c>
      <c r="AS68" s="190">
        <v>-1017209.97</v>
      </c>
      <c r="AT68" s="190">
        <v>-252639.65</v>
      </c>
      <c r="AU68" s="190">
        <v>268541.38</v>
      </c>
      <c r="AV68" s="190">
        <v>319724.84999999998</v>
      </c>
      <c r="AW68" s="190">
        <v>1921764.18</v>
      </c>
      <c r="AX68" s="190">
        <v>1053896.44</v>
      </c>
      <c r="AY68" s="190">
        <v>0</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11662128156.969999</v>
      </c>
      <c r="C70" s="190">
        <v>11137408913.58</v>
      </c>
      <c r="D70" s="190">
        <v>10899564660.58</v>
      </c>
      <c r="E70" s="190">
        <v>10593230012.49</v>
      </c>
      <c r="F70" s="190">
        <v>9657021166.1499996</v>
      </c>
      <c r="G70" s="190">
        <v>9178394866.75</v>
      </c>
      <c r="H70" s="190">
        <v>8729063593.8400002</v>
      </c>
      <c r="I70" s="190">
        <v>8425784635.2799997</v>
      </c>
      <c r="J70" s="190">
        <v>7674448132.0299997</v>
      </c>
      <c r="K70" s="190">
        <v>7293243089.1599998</v>
      </c>
      <c r="L70" s="190">
        <v>6750180213.4700003</v>
      </c>
      <c r="M70" s="190">
        <v>6566387356.8999996</v>
      </c>
      <c r="N70" s="190">
        <v>5873845411.0500002</v>
      </c>
      <c r="O70" s="190">
        <v>5577342664.8299999</v>
      </c>
      <c r="P70" s="190">
        <v>5319499929.3000002</v>
      </c>
      <c r="Q70" s="190">
        <v>5211038302.8299999</v>
      </c>
      <c r="R70" s="190">
        <v>5301483977.4399996</v>
      </c>
      <c r="S70" s="190">
        <v>5072299999.6999998</v>
      </c>
      <c r="T70" s="190">
        <v>4375446340.8000002</v>
      </c>
      <c r="U70" s="190">
        <v>4173879476.23</v>
      </c>
      <c r="V70" s="190">
        <v>3658693279.9099998</v>
      </c>
      <c r="W70" s="190">
        <v>3429211866.04</v>
      </c>
      <c r="X70" s="190">
        <v>2290329689.1100001</v>
      </c>
      <c r="Y70" s="190">
        <v>2147653060.5</v>
      </c>
      <c r="Z70" s="190">
        <v>1824863823.8099999</v>
      </c>
      <c r="AA70" s="190">
        <v>1672020488.9100001</v>
      </c>
      <c r="AB70" s="190">
        <v>1582445858.3900001</v>
      </c>
      <c r="AC70" s="190">
        <v>1514876245.3299999</v>
      </c>
      <c r="AD70" s="190">
        <v>1334119325.3599999</v>
      </c>
      <c r="AE70" s="190">
        <v>1251421734.4000001</v>
      </c>
      <c r="AF70" s="190">
        <v>1220621274.4000001</v>
      </c>
      <c r="AG70" s="190">
        <v>1174347808.24</v>
      </c>
      <c r="AH70" s="190">
        <v>1044380679.02</v>
      </c>
      <c r="AI70" s="190">
        <v>872068884.23000002</v>
      </c>
      <c r="AJ70" s="190">
        <v>848659875.55999994</v>
      </c>
      <c r="AK70" s="190">
        <v>828277429.87</v>
      </c>
      <c r="AL70" s="190">
        <v>771090077.92999995</v>
      </c>
      <c r="AM70" s="190">
        <v>745137655.78999996</v>
      </c>
      <c r="AN70" s="190">
        <v>732449166.35000002</v>
      </c>
      <c r="AO70" s="190">
        <v>726219877.28999996</v>
      </c>
      <c r="AP70" s="190">
        <v>692621607.22000003</v>
      </c>
      <c r="AQ70" s="190">
        <v>655174685.24000001</v>
      </c>
      <c r="AR70" s="190">
        <v>234873336.62</v>
      </c>
      <c r="AS70" s="190">
        <v>229252340.50999999</v>
      </c>
      <c r="AT70" s="190">
        <v>143554200.46000001</v>
      </c>
      <c r="AU70" s="190">
        <v>146645593.02000001</v>
      </c>
      <c r="AV70" s="190">
        <v>0</v>
      </c>
      <c r="AW70" s="190"/>
      <c r="AX70" s="190"/>
      <c r="AY70" s="190"/>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3" width="20.33203125" hidden="1" customWidth="1"/>
    <col min="24" max="24" width="18.109375" hidden="1" customWidth="1"/>
    <col min="25" max="25" width="22.5546875"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8.109375" bestFit="1" customWidth="1"/>
    <col min="42" max="44" width="18.109375" hidden="1" customWidth="1"/>
    <col min="45" max="45" width="18.109375" bestFit="1" customWidth="1"/>
    <col min="46" max="47" width="18.109375" hidden="1" customWidth="1"/>
    <col min="48" max="48" width="20.33203125" hidden="1" customWidth="1"/>
    <col min="49" max="50" width="20.33203125" bestFit="1" customWidth="1"/>
    <col min="51"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552893.76</v>
      </c>
      <c r="C3" s="190">
        <v>330762.69</v>
      </c>
      <c r="D3" s="190">
        <v>164288.72</v>
      </c>
      <c r="E3" s="190">
        <v>2547995.1</v>
      </c>
      <c r="F3" s="190">
        <v>1552766.02</v>
      </c>
      <c r="G3" s="190">
        <v>714022.92</v>
      </c>
      <c r="H3" s="190">
        <v>24189.24</v>
      </c>
      <c r="I3" s="190">
        <v>716079.32</v>
      </c>
      <c r="J3" s="190">
        <v>650622.89</v>
      </c>
      <c r="K3" s="190">
        <v>102337.87</v>
      </c>
      <c r="L3" s="190">
        <v>25875.11</v>
      </c>
      <c r="M3" s="190">
        <v>582223.51</v>
      </c>
      <c r="N3" s="190">
        <v>182704.23</v>
      </c>
      <c r="O3" s="190">
        <v>0</v>
      </c>
      <c r="P3" s="190">
        <v>0</v>
      </c>
      <c r="Q3" s="190">
        <v>1042019.36</v>
      </c>
      <c r="R3" s="190">
        <v>83067.95</v>
      </c>
      <c r="S3" s="190">
        <v>2164764.6</v>
      </c>
      <c r="T3" s="190">
        <v>2151736.34</v>
      </c>
      <c r="U3" s="190">
        <v>1338054.26</v>
      </c>
      <c r="V3" s="190">
        <v>265096.48</v>
      </c>
      <c r="W3" s="190">
        <v>4867.6099999999997</v>
      </c>
      <c r="X3" s="190">
        <v>304.85000000000002</v>
      </c>
      <c r="Y3" s="190">
        <v>748604.01</v>
      </c>
      <c r="Z3" s="190">
        <v>41069.99</v>
      </c>
      <c r="AA3" s="190">
        <v>30356.47</v>
      </c>
      <c r="AB3" s="190">
        <v>8500</v>
      </c>
      <c r="AC3" s="190">
        <v>1197916.1399999999</v>
      </c>
      <c r="AD3" s="190">
        <v>567999.73</v>
      </c>
      <c r="AE3" s="190">
        <v>298000</v>
      </c>
      <c r="AF3" s="190">
        <v>137000</v>
      </c>
      <c r="AG3" s="190">
        <v>775314.74</v>
      </c>
      <c r="AH3" s="190">
        <v>29134.97</v>
      </c>
      <c r="AI3" s="190">
        <v>25851.73</v>
      </c>
      <c r="AJ3" s="190">
        <v>0</v>
      </c>
      <c r="AK3" s="190">
        <v>524379.92000000004</v>
      </c>
      <c r="AL3" s="190">
        <v>-1998.25</v>
      </c>
      <c r="AM3" s="190">
        <v>-1998.25</v>
      </c>
      <c r="AN3" s="190">
        <v>-1998.25</v>
      </c>
      <c r="AO3" s="190">
        <v>194314.06</v>
      </c>
      <c r="AP3" s="190">
        <v>71609.460000000006</v>
      </c>
      <c r="AQ3" s="190">
        <v>71609.460000000006</v>
      </c>
      <c r="AR3" s="190">
        <v>57926.43</v>
      </c>
      <c r="AS3" s="190">
        <v>673522.25</v>
      </c>
      <c r="AT3" s="190">
        <v>565557.55000000005</v>
      </c>
      <c r="AU3" s="190">
        <v>160380.26999999999</v>
      </c>
      <c r="AV3" s="190">
        <v>5965</v>
      </c>
      <c r="AW3" s="190">
        <v>1646770.39</v>
      </c>
      <c r="AX3" s="190">
        <v>698757.83</v>
      </c>
      <c r="AY3" s="190">
        <v>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389636120.06999999</v>
      </c>
      <c r="C4" s="190">
        <v>223433215.09999999</v>
      </c>
      <c r="D4" s="190">
        <v>101042468.25</v>
      </c>
      <c r="E4" s="190">
        <v>287810123.74000001</v>
      </c>
      <c r="F4" s="190">
        <v>242841832.28</v>
      </c>
      <c r="G4" s="190">
        <v>187854034.66</v>
      </c>
      <c r="H4" s="190">
        <v>104712518.73999999</v>
      </c>
      <c r="I4" s="190">
        <v>564313794.78999996</v>
      </c>
      <c r="J4" s="190">
        <v>361283407.95999998</v>
      </c>
      <c r="K4" s="190">
        <v>239590052.13</v>
      </c>
      <c r="L4" s="190">
        <v>125927432.59999999</v>
      </c>
      <c r="M4" s="190">
        <v>367979973.50999999</v>
      </c>
      <c r="N4" s="190">
        <v>295879244.04000002</v>
      </c>
      <c r="O4" s="190">
        <v>171479291.13999999</v>
      </c>
      <c r="P4" s="190">
        <v>141981679.83000001</v>
      </c>
      <c r="Q4" s="190">
        <v>127315815.44</v>
      </c>
      <c r="R4" s="190">
        <v>97175100.299999997</v>
      </c>
      <c r="S4" s="190">
        <v>68362328.120000005</v>
      </c>
      <c r="T4" s="190">
        <v>26857448.579999998</v>
      </c>
      <c r="U4" s="190">
        <v>165559396.94999999</v>
      </c>
      <c r="V4" s="190">
        <v>148357430.72</v>
      </c>
      <c r="W4" s="190">
        <v>94951447.780000001</v>
      </c>
      <c r="X4" s="190">
        <v>45447333.359999999</v>
      </c>
      <c r="Y4" s="190">
        <v>181125202.30000001</v>
      </c>
      <c r="Z4" s="190">
        <v>102932076.68000001</v>
      </c>
      <c r="AA4" s="190">
        <v>58029928.170000002</v>
      </c>
      <c r="AB4" s="190">
        <v>26470040.370000001</v>
      </c>
      <c r="AC4" s="190">
        <v>107846940.93000001</v>
      </c>
      <c r="AD4" s="190">
        <v>78818465.359999999</v>
      </c>
      <c r="AE4" s="190">
        <v>48286434.340000004</v>
      </c>
      <c r="AF4" s="190">
        <v>9069217.1899999995</v>
      </c>
      <c r="AG4" s="190">
        <v>29366658.870000001</v>
      </c>
      <c r="AH4" s="190">
        <v>15338799.66</v>
      </c>
      <c r="AI4" s="190">
        <v>6942100.1900000004</v>
      </c>
      <c r="AJ4" s="190">
        <v>2621647.7999999998</v>
      </c>
      <c r="AK4" s="190">
        <v>22038243.18</v>
      </c>
      <c r="AL4" s="190">
        <v>14828094.779999999</v>
      </c>
      <c r="AM4" s="190">
        <v>12913619.93</v>
      </c>
      <c r="AN4" s="190">
        <v>11535717.689999999</v>
      </c>
      <c r="AO4" s="190">
        <v>36231357.960000001</v>
      </c>
      <c r="AP4" s="190">
        <v>7936894</v>
      </c>
      <c r="AQ4" s="190">
        <v>6103762.4199999999</v>
      </c>
      <c r="AR4" s="190">
        <v>1571371.91</v>
      </c>
      <c r="AS4" s="190">
        <v>20745609.5</v>
      </c>
      <c r="AT4" s="190">
        <v>1809525.76</v>
      </c>
      <c r="AU4" s="190">
        <v>1027807.31</v>
      </c>
      <c r="AV4" s="190">
        <v>115247</v>
      </c>
      <c r="AW4" s="190">
        <v>13557954.130000001</v>
      </c>
      <c r="AX4" s="190">
        <v>28426742.109999999</v>
      </c>
      <c r="AY4" s="190">
        <v>0</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285262128.63999999</v>
      </c>
      <c r="F5" s="47">
        <f t="shared" ref="F5:AR5" si="0">F4-F3</f>
        <v>241289066.25999999</v>
      </c>
      <c r="G5" s="47">
        <f t="shared" si="0"/>
        <v>187140011.74000001</v>
      </c>
      <c r="H5" s="47">
        <f t="shared" si="0"/>
        <v>104688329.5</v>
      </c>
      <c r="I5" s="47">
        <f t="shared" si="0"/>
        <v>563597715.46999991</v>
      </c>
      <c r="J5" s="47">
        <f t="shared" si="0"/>
        <v>360632785.06999999</v>
      </c>
      <c r="K5" s="47">
        <f t="shared" si="0"/>
        <v>239487714.25999999</v>
      </c>
      <c r="L5" s="47">
        <f t="shared" si="0"/>
        <v>125901557.48999999</v>
      </c>
      <c r="M5" s="47">
        <f t="shared" si="0"/>
        <v>367397750</v>
      </c>
      <c r="N5" s="47">
        <f t="shared" si="0"/>
        <v>295696539.81</v>
      </c>
      <c r="O5" s="47">
        <f t="shared" si="0"/>
        <v>171479291.13999999</v>
      </c>
      <c r="P5" s="47">
        <f t="shared" si="0"/>
        <v>141981679.83000001</v>
      </c>
      <c r="Q5" s="47">
        <f t="shared" si="0"/>
        <v>126273796.08</v>
      </c>
      <c r="R5" s="47">
        <f t="shared" si="0"/>
        <v>97092032.349999994</v>
      </c>
      <c r="S5" s="47">
        <f t="shared" si="0"/>
        <v>66197563.520000003</v>
      </c>
      <c r="T5" s="47">
        <f t="shared" si="0"/>
        <v>24705712.239999998</v>
      </c>
      <c r="U5" s="47">
        <f t="shared" si="0"/>
        <v>164221342.69</v>
      </c>
      <c r="V5" s="47">
        <f t="shared" si="0"/>
        <v>148092334.24000001</v>
      </c>
      <c r="W5" s="47">
        <f t="shared" si="0"/>
        <v>94946580.170000002</v>
      </c>
      <c r="X5" s="47">
        <f t="shared" si="0"/>
        <v>45447028.509999998</v>
      </c>
      <c r="Y5" s="47">
        <f t="shared" si="0"/>
        <v>180376598.29000002</v>
      </c>
      <c r="Z5" s="47">
        <f t="shared" si="0"/>
        <v>102891006.69000001</v>
      </c>
      <c r="AA5" s="47">
        <f t="shared" si="0"/>
        <v>57999571.700000003</v>
      </c>
      <c r="AB5" s="47">
        <f t="shared" si="0"/>
        <v>26461540.370000001</v>
      </c>
      <c r="AC5" s="47">
        <f t="shared" si="0"/>
        <v>106649024.79000001</v>
      </c>
      <c r="AD5" s="47">
        <f t="shared" si="0"/>
        <v>78250465.629999995</v>
      </c>
      <c r="AE5" s="47">
        <f t="shared" si="0"/>
        <v>47988434.340000004</v>
      </c>
      <c r="AF5" s="47">
        <f t="shared" si="0"/>
        <v>8932217.1899999995</v>
      </c>
      <c r="AG5" s="47">
        <f t="shared" si="0"/>
        <v>28591344.130000003</v>
      </c>
      <c r="AH5" s="47">
        <f t="shared" si="0"/>
        <v>15309664.689999999</v>
      </c>
      <c r="AI5" s="47">
        <f t="shared" si="0"/>
        <v>6916248.46</v>
      </c>
      <c r="AJ5" s="47">
        <f t="shared" si="0"/>
        <v>2621647.7999999998</v>
      </c>
      <c r="AK5" s="47">
        <f t="shared" si="0"/>
        <v>21513863.259999998</v>
      </c>
      <c r="AL5" s="47">
        <f t="shared" si="0"/>
        <v>14830093.029999999</v>
      </c>
      <c r="AM5" s="47">
        <f t="shared" si="0"/>
        <v>12915618.18</v>
      </c>
      <c r="AN5" s="47">
        <f t="shared" si="0"/>
        <v>11537715.939999999</v>
      </c>
      <c r="AO5" s="47">
        <f t="shared" si="0"/>
        <v>36037043.899999999</v>
      </c>
      <c r="AP5" s="47">
        <f t="shared" si="0"/>
        <v>7865284.54</v>
      </c>
      <c r="AQ5" s="47">
        <f t="shared" si="0"/>
        <v>6032152.96</v>
      </c>
      <c r="AR5" s="47">
        <f t="shared" si="0"/>
        <v>1513445.48</v>
      </c>
    </row>
    <row r="6" spans="1:74" s="105" customFormat="1" x14ac:dyDescent="0.25">
      <c r="A6" s="136" t="s">
        <v>305</v>
      </c>
      <c r="B6" s="190">
        <v>0</v>
      </c>
      <c r="C6" s="190">
        <v>88783393.120000005</v>
      </c>
      <c r="D6" s="190">
        <v>0</v>
      </c>
      <c r="E6" s="190">
        <v>134488131.80000001</v>
      </c>
      <c r="F6" s="190">
        <v>0</v>
      </c>
      <c r="G6" s="190">
        <v>60312525.479999997</v>
      </c>
      <c r="H6" s="190">
        <v>0</v>
      </c>
      <c r="I6" s="190">
        <v>103583804.51000001</v>
      </c>
      <c r="J6" s="190">
        <v>0</v>
      </c>
      <c r="K6" s="190">
        <v>42431745.079999998</v>
      </c>
      <c r="L6" s="190">
        <v>0</v>
      </c>
      <c r="M6" s="190">
        <v>84781587.469999999</v>
      </c>
      <c r="N6" s="190">
        <v>0</v>
      </c>
      <c r="O6" s="190">
        <v>41093208.020000003</v>
      </c>
      <c r="P6" s="190">
        <v>0</v>
      </c>
      <c r="Q6" s="190">
        <v>73180404.730000004</v>
      </c>
      <c r="R6" s="190">
        <v>0</v>
      </c>
      <c r="S6" s="190">
        <v>35501617.990000002</v>
      </c>
      <c r="T6" s="190">
        <v>0</v>
      </c>
      <c r="U6" s="190">
        <v>40771661.840000004</v>
      </c>
      <c r="V6" s="190">
        <v>0</v>
      </c>
      <c r="W6" s="190">
        <v>17725216.16</v>
      </c>
      <c r="X6" s="190">
        <v>0</v>
      </c>
      <c r="Y6" s="190">
        <v>30712112.989999998</v>
      </c>
      <c r="Z6" s="190">
        <v>0</v>
      </c>
      <c r="AA6" s="190">
        <v>13944945.220000001</v>
      </c>
      <c r="AB6" s="190">
        <v>0</v>
      </c>
      <c r="AC6" s="190">
        <v>21124733.309999999</v>
      </c>
      <c r="AD6" s="190">
        <v>0</v>
      </c>
      <c r="AE6" s="190">
        <v>0</v>
      </c>
      <c r="AF6" s="190">
        <v>0</v>
      </c>
      <c r="AG6" s="190">
        <v>14528799.33</v>
      </c>
      <c r="AH6" s="190">
        <v>0</v>
      </c>
      <c r="AI6" s="190">
        <v>0</v>
      </c>
      <c r="AJ6" s="190">
        <v>0</v>
      </c>
      <c r="AK6" s="190">
        <v>11213136.289999999</v>
      </c>
      <c r="AL6" s="190">
        <v>0</v>
      </c>
      <c r="AM6" s="190">
        <v>0</v>
      </c>
      <c r="AN6" s="190">
        <v>0</v>
      </c>
      <c r="AO6" s="190">
        <v>7484607.7400000002</v>
      </c>
      <c r="AP6" s="190">
        <v>0</v>
      </c>
      <c r="AQ6" s="190">
        <v>0</v>
      </c>
      <c r="AR6" s="190">
        <v>0</v>
      </c>
      <c r="AS6" s="190">
        <v>4774098.32</v>
      </c>
      <c r="AT6" s="190">
        <v>0</v>
      </c>
      <c r="AU6" s="190">
        <v>0</v>
      </c>
      <c r="AV6" s="190">
        <v>0</v>
      </c>
      <c r="AW6" s="190">
        <v>5525838.7599999998</v>
      </c>
      <c r="AX6" s="190">
        <v>2967454.89</v>
      </c>
      <c r="AY6" s="190">
        <v>0</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15655020.869999999</v>
      </c>
      <c r="D7" s="190">
        <v>0</v>
      </c>
      <c r="E7" s="190">
        <v>27767397.350000001</v>
      </c>
      <c r="F7" s="190">
        <v>0</v>
      </c>
      <c r="G7" s="190">
        <v>10024296.75</v>
      </c>
      <c r="H7" s="190">
        <v>0</v>
      </c>
      <c r="I7" s="190">
        <v>14591618.01</v>
      </c>
      <c r="J7" s="190">
        <v>0</v>
      </c>
      <c r="K7" s="190">
        <v>5579119.8099999996</v>
      </c>
      <c r="L7" s="190">
        <v>0</v>
      </c>
      <c r="M7" s="190">
        <v>6315165.0099999998</v>
      </c>
      <c r="N7" s="190">
        <v>0</v>
      </c>
      <c r="O7" s="190">
        <v>1814630.73</v>
      </c>
      <c r="P7" s="190">
        <v>0</v>
      </c>
      <c r="Q7" s="190">
        <v>5835105.4800000004</v>
      </c>
      <c r="R7" s="190">
        <v>0</v>
      </c>
      <c r="S7" s="190">
        <v>3085553.71</v>
      </c>
      <c r="T7" s="190">
        <v>0</v>
      </c>
      <c r="U7" s="190">
        <v>5652308.1600000001</v>
      </c>
      <c r="V7" s="190">
        <v>0</v>
      </c>
      <c r="W7" s="190">
        <v>2814257.28</v>
      </c>
      <c r="X7" s="190">
        <v>0</v>
      </c>
      <c r="Y7" s="190">
        <v>5594314.6500000004</v>
      </c>
      <c r="Z7" s="190">
        <v>0</v>
      </c>
      <c r="AA7" s="190">
        <v>2742297.02</v>
      </c>
      <c r="AB7" s="190">
        <v>0</v>
      </c>
      <c r="AC7" s="190">
        <v>4946596.43</v>
      </c>
      <c r="AD7" s="190">
        <v>0</v>
      </c>
      <c r="AE7" s="190">
        <v>0</v>
      </c>
      <c r="AF7" s="190">
        <v>0</v>
      </c>
      <c r="AG7" s="190">
        <v>4372512.25</v>
      </c>
      <c r="AH7" s="190">
        <v>0</v>
      </c>
      <c r="AI7" s="190">
        <v>0</v>
      </c>
      <c r="AJ7" s="190">
        <v>0</v>
      </c>
      <c r="AK7" s="190">
        <v>2706968.23</v>
      </c>
      <c r="AL7" s="190">
        <v>0</v>
      </c>
      <c r="AM7" s="190">
        <v>0</v>
      </c>
      <c r="AN7" s="190">
        <v>0</v>
      </c>
      <c r="AO7" s="190">
        <v>903541.1</v>
      </c>
      <c r="AP7" s="190">
        <v>0</v>
      </c>
      <c r="AQ7" s="190">
        <v>0</v>
      </c>
      <c r="AR7" s="190">
        <v>0</v>
      </c>
      <c r="AS7" s="190">
        <v>270317.88</v>
      </c>
      <c r="AT7" s="190">
        <v>0</v>
      </c>
      <c r="AU7" s="190">
        <v>0</v>
      </c>
      <c r="AV7" s="190">
        <v>0</v>
      </c>
      <c r="AW7" s="190">
        <v>1532176.84</v>
      </c>
      <c r="AX7" s="190">
        <v>14167.63</v>
      </c>
      <c r="AY7" s="190">
        <v>0</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3088553.94</v>
      </c>
      <c r="D8" s="190">
        <v>0</v>
      </c>
      <c r="E8" s="190">
        <v>0</v>
      </c>
      <c r="F8" s="190">
        <v>0</v>
      </c>
      <c r="G8" s="190">
        <v>0</v>
      </c>
      <c r="H8" s="190">
        <v>0</v>
      </c>
      <c r="I8" s="190">
        <v>647458.78</v>
      </c>
      <c r="J8" s="190">
        <v>0</v>
      </c>
      <c r="K8" s="190">
        <v>371889.9</v>
      </c>
      <c r="L8" s="190">
        <v>0</v>
      </c>
      <c r="M8" s="190">
        <v>743779.8</v>
      </c>
      <c r="N8" s="190">
        <v>0</v>
      </c>
      <c r="O8" s="190">
        <v>371889.9</v>
      </c>
      <c r="P8" s="190">
        <v>0</v>
      </c>
      <c r="Q8" s="190">
        <v>743779.79</v>
      </c>
      <c r="R8" s="190">
        <v>0</v>
      </c>
      <c r="S8" s="190">
        <v>371889.89</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13024.74</v>
      </c>
      <c r="D9" s="190">
        <v>0</v>
      </c>
      <c r="E9" s="190">
        <v>-774332.5</v>
      </c>
      <c r="F9" s="190">
        <v>0</v>
      </c>
      <c r="G9" s="190">
        <v>112665.22</v>
      </c>
      <c r="H9" s="190">
        <v>0</v>
      </c>
      <c r="I9" s="190">
        <v>346741.78</v>
      </c>
      <c r="J9" s="190">
        <v>0</v>
      </c>
      <c r="K9" s="190">
        <v>255697.64</v>
      </c>
      <c r="L9" s="190">
        <v>0</v>
      </c>
      <c r="M9" s="190">
        <v>-174927.99</v>
      </c>
      <c r="N9" s="190">
        <v>0</v>
      </c>
      <c r="O9" s="190">
        <v>38900.35</v>
      </c>
      <c r="P9" s="190">
        <v>0</v>
      </c>
      <c r="Q9" s="190">
        <v>77974.710000000006</v>
      </c>
      <c r="R9" s="190">
        <v>0</v>
      </c>
      <c r="S9" s="190">
        <v>46386.78</v>
      </c>
      <c r="T9" s="190">
        <v>0</v>
      </c>
      <c r="U9" s="190">
        <v>-94715.38</v>
      </c>
      <c r="V9" s="190">
        <v>0</v>
      </c>
      <c r="W9" s="190">
        <v>66772.899999999994</v>
      </c>
      <c r="X9" s="190">
        <v>0</v>
      </c>
      <c r="Y9" s="190">
        <v>161660.29</v>
      </c>
      <c r="Z9" s="190">
        <v>0</v>
      </c>
      <c r="AA9" s="190">
        <v>94799.83</v>
      </c>
      <c r="AB9" s="190">
        <v>0</v>
      </c>
      <c r="AC9" s="190">
        <v>258214.11</v>
      </c>
      <c r="AD9" s="190">
        <v>0</v>
      </c>
      <c r="AE9" s="190">
        <v>0</v>
      </c>
      <c r="AF9" s="190">
        <v>0</v>
      </c>
      <c r="AG9" s="190">
        <v>172138.23</v>
      </c>
      <c r="AH9" s="190">
        <v>0</v>
      </c>
      <c r="AI9" s="190">
        <v>0</v>
      </c>
      <c r="AJ9" s="190">
        <v>0</v>
      </c>
      <c r="AK9" s="190">
        <v>255412.67</v>
      </c>
      <c r="AL9" s="190">
        <v>0</v>
      </c>
      <c r="AM9" s="190">
        <v>0</v>
      </c>
      <c r="AN9" s="190">
        <v>0</v>
      </c>
      <c r="AO9" s="190">
        <v>507553.89</v>
      </c>
      <c r="AP9" s="190">
        <v>0</v>
      </c>
      <c r="AQ9" s="190">
        <v>0</v>
      </c>
      <c r="AR9" s="190">
        <v>0</v>
      </c>
      <c r="AS9" s="190">
        <v>143499.57999999999</v>
      </c>
      <c r="AT9" s="190">
        <v>0</v>
      </c>
      <c r="AU9" s="190">
        <v>0</v>
      </c>
      <c r="AV9" s="190">
        <v>0</v>
      </c>
      <c r="AW9" s="190">
        <v>359656.46</v>
      </c>
      <c r="AX9" s="190">
        <v>0</v>
      </c>
      <c r="AY9" s="190">
        <v>0</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962518.09</v>
      </c>
      <c r="D10" s="190">
        <v>0</v>
      </c>
      <c r="E10" s="190">
        <v>9227666.0600000005</v>
      </c>
      <c r="F10" s="190">
        <v>0</v>
      </c>
      <c r="G10" s="190">
        <v>0</v>
      </c>
      <c r="H10" s="190">
        <v>0</v>
      </c>
      <c r="I10" s="190">
        <v>0</v>
      </c>
      <c r="J10" s="190">
        <v>0</v>
      </c>
      <c r="K10" s="190">
        <v>0</v>
      </c>
      <c r="L10" s="190">
        <v>0</v>
      </c>
      <c r="M10" s="190">
        <v>0</v>
      </c>
      <c r="N10" s="190">
        <v>0</v>
      </c>
      <c r="O10" s="190">
        <v>0</v>
      </c>
      <c r="P10" s="190">
        <v>0</v>
      </c>
      <c r="Q10" s="190">
        <v>1961.16</v>
      </c>
      <c r="R10" s="190">
        <v>0</v>
      </c>
      <c r="S10" s="190">
        <v>0</v>
      </c>
      <c r="T10" s="190">
        <v>0</v>
      </c>
      <c r="U10" s="190">
        <v>7068.71</v>
      </c>
      <c r="V10" s="190">
        <v>0</v>
      </c>
      <c r="W10" s="190">
        <v>0</v>
      </c>
      <c r="X10" s="190">
        <v>0</v>
      </c>
      <c r="Y10" s="190">
        <v>10554.48</v>
      </c>
      <c r="Z10" s="190">
        <v>0</v>
      </c>
      <c r="AA10" s="190">
        <v>0</v>
      </c>
      <c r="AB10" s="190">
        <v>0</v>
      </c>
      <c r="AC10" s="190">
        <v>1484.38</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219933.85</v>
      </c>
      <c r="AT10" s="190">
        <v>0</v>
      </c>
      <c r="AU10" s="190">
        <v>0</v>
      </c>
      <c r="AV10" s="190">
        <v>0</v>
      </c>
      <c r="AW10" s="190">
        <v>0</v>
      </c>
      <c r="AX10" s="190">
        <v>0</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114553265.92999998</v>
      </c>
      <c r="F11" s="47">
        <f t="shared" ref="F11:BQ11" si="1">F5-F6-F7-F8-F9-F10</f>
        <v>241289066.25999999</v>
      </c>
      <c r="G11" s="47">
        <f t="shared" si="1"/>
        <v>116690524.29000002</v>
      </c>
      <c r="H11" s="47">
        <f t="shared" si="1"/>
        <v>104688329.5</v>
      </c>
      <c r="I11" s="47">
        <f t="shared" si="1"/>
        <v>444428092.38999999</v>
      </c>
      <c r="J11" s="47">
        <f t="shared" si="1"/>
        <v>360632785.06999999</v>
      </c>
      <c r="K11" s="47">
        <f t="shared" si="1"/>
        <v>190849261.83000001</v>
      </c>
      <c r="L11" s="47">
        <f t="shared" si="1"/>
        <v>125901557.48999999</v>
      </c>
      <c r="M11" s="47">
        <f t="shared" si="1"/>
        <v>275732145.70999998</v>
      </c>
      <c r="N11" s="47">
        <f t="shared" si="1"/>
        <v>295696539.81</v>
      </c>
      <c r="O11" s="47">
        <f t="shared" si="1"/>
        <v>128160662.13999997</v>
      </c>
      <c r="P11" s="47">
        <f t="shared" si="1"/>
        <v>141981679.83000001</v>
      </c>
      <c r="Q11" s="47">
        <f t="shared" si="1"/>
        <v>46434570.209999993</v>
      </c>
      <c r="R11" s="47">
        <f t="shared" si="1"/>
        <v>97092032.349999994</v>
      </c>
      <c r="S11" s="47">
        <f t="shared" si="1"/>
        <v>27192115.149999999</v>
      </c>
      <c r="T11" s="47">
        <f t="shared" si="1"/>
        <v>24705712.239999998</v>
      </c>
      <c r="U11" s="47">
        <f t="shared" si="1"/>
        <v>117885019.36</v>
      </c>
      <c r="V11" s="47">
        <f t="shared" si="1"/>
        <v>148092334.24000001</v>
      </c>
      <c r="W11" s="47">
        <f t="shared" si="1"/>
        <v>74340333.829999998</v>
      </c>
      <c r="X11" s="47">
        <f t="shared" si="1"/>
        <v>45447028.509999998</v>
      </c>
      <c r="Y11" s="47">
        <f t="shared" si="1"/>
        <v>143897955.88000003</v>
      </c>
      <c r="Z11" s="47">
        <f t="shared" si="1"/>
        <v>102891006.69000001</v>
      </c>
      <c r="AA11" s="47">
        <f t="shared" si="1"/>
        <v>41217529.630000003</v>
      </c>
      <c r="AB11" s="47">
        <f t="shared" si="1"/>
        <v>26461540.370000001</v>
      </c>
      <c r="AC11" s="47">
        <f t="shared" si="1"/>
        <v>80317996.560000017</v>
      </c>
      <c r="AD11" s="47">
        <f t="shared" si="1"/>
        <v>78250465.629999995</v>
      </c>
      <c r="AE11" s="47">
        <f t="shared" si="1"/>
        <v>47988434.340000004</v>
      </c>
      <c r="AF11" s="47">
        <f t="shared" si="1"/>
        <v>8932217.1899999995</v>
      </c>
      <c r="AG11" s="47">
        <f t="shared" si="1"/>
        <v>9517894.3200000022</v>
      </c>
      <c r="AH11" s="47">
        <f t="shared" si="1"/>
        <v>15309664.689999999</v>
      </c>
      <c r="AI11" s="47">
        <f t="shared" si="1"/>
        <v>6916248.46</v>
      </c>
      <c r="AJ11" s="47">
        <f t="shared" si="1"/>
        <v>2621647.7999999998</v>
      </c>
      <c r="AK11" s="47">
        <f t="shared" si="1"/>
        <v>7338346.0699999984</v>
      </c>
      <c r="AL11" s="47">
        <f t="shared" si="1"/>
        <v>14830093.029999999</v>
      </c>
      <c r="AM11" s="47">
        <f t="shared" si="1"/>
        <v>12915618.18</v>
      </c>
      <c r="AN11" s="47">
        <f t="shared" si="1"/>
        <v>11537715.939999999</v>
      </c>
      <c r="AO11" s="47">
        <f t="shared" si="1"/>
        <v>27141341.169999994</v>
      </c>
      <c r="AP11" s="47">
        <f t="shared" si="1"/>
        <v>7865284.54</v>
      </c>
      <c r="AQ11" s="47">
        <f t="shared" si="1"/>
        <v>6032152.96</v>
      </c>
      <c r="AR11" s="47">
        <f t="shared" si="1"/>
        <v>1513445.48</v>
      </c>
      <c r="AS11" s="47">
        <f t="shared" si="1"/>
        <v>-5407849.6299999999</v>
      </c>
      <c r="AT11" s="47">
        <f t="shared" si="1"/>
        <v>0</v>
      </c>
      <c r="AU11" s="47">
        <f t="shared" si="1"/>
        <v>0</v>
      </c>
      <c r="AV11" s="47">
        <f t="shared" si="1"/>
        <v>0</v>
      </c>
      <c r="AW11" s="47">
        <f t="shared" si="1"/>
        <v>-7417672.0599999996</v>
      </c>
      <c r="AX11" s="47">
        <f t="shared" si="1"/>
        <v>-2981622.52</v>
      </c>
      <c r="AY11" s="47">
        <f t="shared" si="1"/>
        <v>0</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2219549248.0799999</v>
      </c>
      <c r="F12" s="26">
        <f t="shared" si="3"/>
        <v>1828281329.0400002</v>
      </c>
      <c r="G12" s="26">
        <f t="shared" si="3"/>
        <v>1728168710.3500001</v>
      </c>
      <c r="H12" s="26">
        <f t="shared" si="3"/>
        <v>1522882146.6300001</v>
      </c>
      <c r="I12" s="26">
        <f t="shared" si="3"/>
        <v>1462282642.25</v>
      </c>
      <c r="J12" s="26">
        <f t="shared" si="3"/>
        <v>1308798771.3</v>
      </c>
      <c r="K12" s="26">
        <f t="shared" si="3"/>
        <v>1221836189.01</v>
      </c>
      <c r="L12" s="26">
        <f t="shared" si="3"/>
        <v>1191918980.8099999</v>
      </c>
      <c r="M12" s="26">
        <f t="shared" si="3"/>
        <v>1173428885.27</v>
      </c>
      <c r="N12" s="26">
        <f t="shared" si="3"/>
        <v>910875994.70000005</v>
      </c>
      <c r="O12" s="26">
        <f t="shared" si="3"/>
        <v>903770249.20000005</v>
      </c>
      <c r="P12" s="26">
        <f t="shared" si="3"/>
        <v>868751993.70000005</v>
      </c>
      <c r="Q12" s="26">
        <f t="shared" si="3"/>
        <v>852868225.57000005</v>
      </c>
      <c r="R12" s="193">
        <f t="shared" ref="R12" si="4">V34</f>
        <v>729112941.21000004</v>
      </c>
      <c r="S12" s="193">
        <f t="shared" ref="S12" si="5">W34</f>
        <v>691741943.66999996</v>
      </c>
      <c r="T12" s="193">
        <f t="shared" ref="T12" si="6">X34</f>
        <v>709883314.5</v>
      </c>
      <c r="U12" s="193">
        <f t="shared" ref="U12" si="7">Y34</f>
        <v>676964992.89999998</v>
      </c>
      <c r="V12" s="193">
        <f t="shared" ref="V12" si="8">Z34</f>
        <v>451082821.42000002</v>
      </c>
      <c r="W12" s="193">
        <f t="shared" ref="W12" si="9">AA34</f>
        <v>429458828.76999998</v>
      </c>
      <c r="X12" s="193">
        <f t="shared" ref="X12" si="10">AB34</f>
        <v>384667688.93000001</v>
      </c>
      <c r="Y12" s="193">
        <f t="shared" ref="Y12" si="11">AC34</f>
        <v>402427239.94</v>
      </c>
      <c r="Z12" s="193">
        <f t="shared" ref="Z12" si="12">AD34</f>
        <v>321252009.73000002</v>
      </c>
      <c r="AA12" s="193">
        <f t="shared" ref="AA12" si="13">AE34</f>
        <v>296454889.19</v>
      </c>
      <c r="AB12" s="193">
        <f t="shared" ref="AB12" si="14">AF34</f>
        <v>239368765.31999999</v>
      </c>
      <c r="AC12" s="193">
        <f t="shared" ref="AC12" si="15">AG34</f>
        <v>235369060.86000001</v>
      </c>
      <c r="AD12" s="193">
        <f t="shared" ref="AD12" si="16">AH34</f>
        <v>152947493.09</v>
      </c>
      <c r="AE12" s="193">
        <f t="shared" ref="AE12" si="17">AI34</f>
        <v>146478208.94</v>
      </c>
      <c r="AF12" s="193">
        <f t="shared" ref="AF12" si="18">AJ34</f>
        <v>144013461.78999999</v>
      </c>
      <c r="AG12" s="193">
        <f t="shared" ref="AG12" si="19">AK34</f>
        <v>146241749.06</v>
      </c>
      <c r="AH12" s="193">
        <f t="shared" ref="AH12" si="20">AL34</f>
        <v>126021866.06999999</v>
      </c>
      <c r="AI12" s="193">
        <f t="shared" ref="AI12" si="21">AM34</f>
        <v>125887914.90000001</v>
      </c>
      <c r="AJ12" s="193">
        <f t="shared" ref="AJ12" si="22">AN34</f>
        <v>126512716.43000001</v>
      </c>
      <c r="AK12" s="193">
        <f t="shared" ref="AK12" si="23">AO34</f>
        <v>127521857.90000001</v>
      </c>
      <c r="AL12" s="193">
        <f t="shared" ref="AL12" si="24">AP34</f>
        <v>73246360.569999993</v>
      </c>
      <c r="AM12" s="193">
        <f t="shared" ref="AM12" si="25">AQ34</f>
        <v>69379634.959999993</v>
      </c>
      <c r="AN12" s="193">
        <f t="shared" ref="AN12" si="26">AR34</f>
        <v>65742909.439999998</v>
      </c>
      <c r="AO12" s="193">
        <f t="shared" ref="AO12" si="27">AS34</f>
        <v>64529562.079999998</v>
      </c>
      <c r="AP12" s="193">
        <f t="shared" ref="AP12" si="28">AT34</f>
        <v>46812926.210000001</v>
      </c>
      <c r="AQ12" s="193">
        <f t="shared" ref="AQ12" si="29">AU34</f>
        <v>50083429.520000003</v>
      </c>
      <c r="AR12" s="193">
        <f t="shared" ref="AR12" si="30">AV34</f>
        <v>0</v>
      </c>
      <c r="AS12" s="193">
        <f t="shared" ref="AS12" si="31">AW34</f>
        <v>0</v>
      </c>
      <c r="AT12" s="193">
        <f t="shared" ref="AT12" si="32">AX34</f>
        <v>0</v>
      </c>
      <c r="AU12" s="193">
        <f t="shared" ref="AU12" si="33">AY34</f>
        <v>0</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73246360.569999993</v>
      </c>
      <c r="BN12" s="193">
        <f t="shared" ref="BN12" si="52">BR34</f>
        <v>69379634.959999993</v>
      </c>
    </row>
    <row r="13" spans="1:74" s="220" customFormat="1" x14ac:dyDescent="0.25">
      <c r="A13" s="220" t="s">
        <v>350</v>
      </c>
      <c r="E13" s="220">
        <f>E11/E12</f>
        <v>5.1611049418747161E-2</v>
      </c>
      <c r="F13" s="220">
        <f t="shared" ref="F13:AR13" si="53">F11/F12</f>
        <v>0.1319758958467824</v>
      </c>
      <c r="G13" s="220">
        <f t="shared" si="53"/>
        <v>6.7522646134686171E-2</v>
      </c>
      <c r="H13" s="220">
        <f t="shared" si="53"/>
        <v>6.874355296085502E-2</v>
      </c>
      <c r="I13" s="220">
        <f t="shared" si="53"/>
        <v>0.30392762626667225</v>
      </c>
      <c r="J13" s="220">
        <f t="shared" si="53"/>
        <v>0.27554486830071795</v>
      </c>
      <c r="K13" s="220">
        <f t="shared" si="53"/>
        <v>0.15619873068634246</v>
      </c>
      <c r="L13" s="220">
        <f t="shared" si="53"/>
        <v>0.10562929151815359</v>
      </c>
      <c r="M13" s="220">
        <f t="shared" si="53"/>
        <v>0.23497985192903736</v>
      </c>
      <c r="N13" s="220">
        <f t="shared" si="53"/>
        <v>0.32462875466093344</v>
      </c>
      <c r="O13" s="220">
        <f t="shared" si="53"/>
        <v>0.14180668400342378</v>
      </c>
      <c r="P13" s="220">
        <f t="shared" si="53"/>
        <v>0.16343177438396711</v>
      </c>
      <c r="Q13" s="220">
        <f t="shared" si="53"/>
        <v>5.4445187213964075E-2</v>
      </c>
      <c r="R13" s="220">
        <f t="shared" si="53"/>
        <v>0.13316459887390125</v>
      </c>
      <c r="S13" s="220">
        <f t="shared" si="53"/>
        <v>3.9309623189442124E-2</v>
      </c>
      <c r="T13" s="220">
        <f t="shared" si="53"/>
        <v>3.4802497446219383E-2</v>
      </c>
      <c r="U13" s="220">
        <f t="shared" si="53"/>
        <v>0.17413754122646893</v>
      </c>
      <c r="V13" s="220">
        <f t="shared" si="53"/>
        <v>0.32830408786973575</v>
      </c>
      <c r="W13" s="220">
        <f t="shared" si="53"/>
        <v>0.17310235312408384</v>
      </c>
      <c r="X13" s="220">
        <f t="shared" si="53"/>
        <v>0.11814620727936999</v>
      </c>
      <c r="Y13" s="220">
        <f t="shared" si="53"/>
        <v>0.35757508835995927</v>
      </c>
      <c r="Z13" s="220">
        <f t="shared" si="53"/>
        <v>0.32028128563763991</v>
      </c>
      <c r="AA13" s="220">
        <f t="shared" si="53"/>
        <v>0.13903474401322288</v>
      </c>
      <c r="AB13" s="220">
        <f t="shared" si="53"/>
        <v>0.11054717324804222</v>
      </c>
      <c r="AC13" s="220">
        <f t="shared" si="53"/>
        <v>0.3412427965958279</v>
      </c>
      <c r="AD13" s="220">
        <f t="shared" si="53"/>
        <v>0.51161652962794557</v>
      </c>
      <c r="AE13" s="220">
        <f t="shared" si="53"/>
        <v>0.32761483559412508</v>
      </c>
      <c r="AF13" s="220">
        <f t="shared" si="53"/>
        <v>6.2023487797445855E-2</v>
      </c>
      <c r="AG13" s="220">
        <f t="shared" si="53"/>
        <v>6.5083291065501439E-2</v>
      </c>
      <c r="AH13" s="220">
        <f t="shared" si="53"/>
        <v>0.12148419292169588</v>
      </c>
      <c r="AI13" s="220">
        <f t="shared" si="53"/>
        <v>5.4939733218188361E-2</v>
      </c>
      <c r="AJ13" s="220">
        <f t="shared" si="53"/>
        <v>2.0722405414878339E-2</v>
      </c>
      <c r="AK13" s="220">
        <f t="shared" si="53"/>
        <v>5.7545790116660452E-2</v>
      </c>
      <c r="AL13" s="220">
        <f t="shared" si="53"/>
        <v>0.20246866758420295</v>
      </c>
      <c r="AM13" s="220">
        <f t="shared" si="53"/>
        <v>0.1861586355628182</v>
      </c>
      <c r="AN13" s="220">
        <f t="shared" si="53"/>
        <v>0.17549749529308328</v>
      </c>
      <c r="AO13" s="220">
        <f t="shared" si="53"/>
        <v>0.42060321339778717</v>
      </c>
      <c r="AP13" s="220">
        <f t="shared" si="53"/>
        <v>0.16801522948419848</v>
      </c>
      <c r="AQ13" s="220">
        <f t="shared" si="53"/>
        <v>0.12044209068372919</v>
      </c>
      <c r="AR13" s="220" t="e">
        <f t="shared" si="53"/>
        <v>#DIV/0!</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56408605.390000001</v>
      </c>
      <c r="C16" s="190">
        <v>56408605.390000001</v>
      </c>
      <c r="D16" s="190">
        <v>93019565.769999996</v>
      </c>
      <c r="E16" s="190">
        <v>0</v>
      </c>
      <c r="F16" s="190">
        <v>0</v>
      </c>
      <c r="G16" s="190">
        <v>0</v>
      </c>
      <c r="H16" s="190">
        <v>0</v>
      </c>
      <c r="I16" s="190">
        <v>1138545.55</v>
      </c>
      <c r="J16" s="190">
        <v>1138545.55</v>
      </c>
      <c r="K16" s="190">
        <v>1138545.55</v>
      </c>
      <c r="L16" s="190">
        <v>1138545.55</v>
      </c>
      <c r="M16" s="190">
        <v>0</v>
      </c>
      <c r="N16" s="190">
        <v>0</v>
      </c>
      <c r="O16" s="190">
        <v>0</v>
      </c>
      <c r="P16" s="190">
        <v>0</v>
      </c>
      <c r="Q16" s="190">
        <v>14434408.84</v>
      </c>
      <c r="R16" s="190">
        <v>14434408.84</v>
      </c>
      <c r="S16" s="190">
        <v>14434408.84</v>
      </c>
      <c r="T16" s="190">
        <v>14434408.84</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30000000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1138545.55</v>
      </c>
      <c r="J17" s="47">
        <f t="shared" si="54"/>
        <v>1138545.55</v>
      </c>
      <c r="K17" s="47">
        <f t="shared" si="54"/>
        <v>1138545.55</v>
      </c>
      <c r="L17" s="47">
        <f t="shared" si="54"/>
        <v>1138545.55</v>
      </c>
      <c r="M17" s="47">
        <f t="shared" si="54"/>
        <v>0</v>
      </c>
      <c r="N17" s="47">
        <f t="shared" si="54"/>
        <v>0</v>
      </c>
      <c r="O17" s="47">
        <f t="shared" si="54"/>
        <v>0</v>
      </c>
      <c r="P17" s="47">
        <f t="shared" si="54"/>
        <v>0</v>
      </c>
      <c r="Q17" s="47">
        <f t="shared" si="54"/>
        <v>14434408.84</v>
      </c>
      <c r="R17" s="47">
        <f t="shared" si="54"/>
        <v>14434408.84</v>
      </c>
      <c r="S17" s="47">
        <f t="shared" si="54"/>
        <v>14434408.84</v>
      </c>
      <c r="T17" s="47">
        <f t="shared" si="54"/>
        <v>14434408.84</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30000000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285262128.63999999</v>
      </c>
      <c r="F19" s="193">
        <f t="shared" ref="F19:AS19" si="55">F5+F17</f>
        <v>241289066.25999999</v>
      </c>
      <c r="G19" s="193">
        <f t="shared" si="55"/>
        <v>187140011.74000001</v>
      </c>
      <c r="H19" s="193">
        <f t="shared" si="55"/>
        <v>104688329.5</v>
      </c>
      <c r="I19" s="193">
        <f t="shared" si="55"/>
        <v>564736261.01999986</v>
      </c>
      <c r="J19" s="193">
        <f t="shared" si="55"/>
        <v>361771330.62</v>
      </c>
      <c r="K19" s="193">
        <f t="shared" si="55"/>
        <v>240626259.81</v>
      </c>
      <c r="L19" s="193">
        <f t="shared" si="55"/>
        <v>127040103.03999999</v>
      </c>
      <c r="M19" s="193">
        <f t="shared" si="55"/>
        <v>367397750</v>
      </c>
      <c r="N19" s="193">
        <f t="shared" si="55"/>
        <v>295696539.81</v>
      </c>
      <c r="O19" s="193">
        <f t="shared" si="55"/>
        <v>171479291.13999999</v>
      </c>
      <c r="P19" s="193">
        <f t="shared" si="55"/>
        <v>141981679.83000001</v>
      </c>
      <c r="Q19" s="193">
        <f t="shared" si="55"/>
        <v>140708204.91999999</v>
      </c>
      <c r="R19" s="193">
        <f t="shared" si="55"/>
        <v>111526441.19</v>
      </c>
      <c r="S19" s="193">
        <f t="shared" si="55"/>
        <v>80631972.359999999</v>
      </c>
      <c r="T19" s="193">
        <f t="shared" si="55"/>
        <v>39140121.079999998</v>
      </c>
      <c r="U19" s="193">
        <f t="shared" si="55"/>
        <v>164221342.69</v>
      </c>
      <c r="V19" s="193">
        <f t="shared" si="55"/>
        <v>148092334.24000001</v>
      </c>
      <c r="W19" s="193">
        <f t="shared" si="55"/>
        <v>94946580.170000002</v>
      </c>
      <c r="X19" s="193">
        <f t="shared" si="55"/>
        <v>45447028.509999998</v>
      </c>
      <c r="Y19" s="193">
        <f t="shared" si="55"/>
        <v>180376598.29000002</v>
      </c>
      <c r="Z19" s="193">
        <f t="shared" si="55"/>
        <v>102891006.69000001</v>
      </c>
      <c r="AA19" s="193">
        <f t="shared" si="55"/>
        <v>57999571.700000003</v>
      </c>
      <c r="AB19" s="193">
        <f t="shared" si="55"/>
        <v>26461540.370000001</v>
      </c>
      <c r="AC19" s="193">
        <f t="shared" si="55"/>
        <v>106649024.79000001</v>
      </c>
      <c r="AD19" s="193">
        <f t="shared" si="55"/>
        <v>78250465.629999995</v>
      </c>
      <c r="AE19" s="193">
        <f t="shared" si="55"/>
        <v>47988434.340000004</v>
      </c>
      <c r="AF19" s="193">
        <f t="shared" si="55"/>
        <v>8932217.1899999995</v>
      </c>
      <c r="AG19" s="193">
        <f t="shared" si="55"/>
        <v>28591344.130000003</v>
      </c>
      <c r="AH19" s="193">
        <f t="shared" si="55"/>
        <v>15309664.689999999</v>
      </c>
      <c r="AI19" s="193">
        <f t="shared" si="55"/>
        <v>6916248.46</v>
      </c>
      <c r="AJ19" s="193">
        <f t="shared" si="55"/>
        <v>2621647.7999999998</v>
      </c>
      <c r="AK19" s="193">
        <f t="shared" si="55"/>
        <v>21513863.259999998</v>
      </c>
      <c r="AL19" s="193">
        <f t="shared" si="55"/>
        <v>14830093.029999999</v>
      </c>
      <c r="AM19" s="193">
        <f t="shared" si="55"/>
        <v>12915618.18</v>
      </c>
      <c r="AN19" s="193">
        <f t="shared" si="55"/>
        <v>11537715.939999999</v>
      </c>
      <c r="AO19" s="193">
        <f t="shared" si="55"/>
        <v>66037043.899999999</v>
      </c>
      <c r="AP19" s="193">
        <f t="shared" si="55"/>
        <v>7865284.54</v>
      </c>
      <c r="AQ19" s="193">
        <f t="shared" si="55"/>
        <v>6032152.96</v>
      </c>
      <c r="AR19" s="193">
        <f t="shared" si="55"/>
        <v>1513445.48</v>
      </c>
      <c r="AS19" s="193">
        <f t="shared" si="55"/>
        <v>0</v>
      </c>
    </row>
    <row r="20" spans="1:74" s="193" customFormat="1" x14ac:dyDescent="0.25">
      <c r="A20" s="193" t="s">
        <v>300</v>
      </c>
      <c r="B20" s="190">
        <v>-1666971869.53</v>
      </c>
      <c r="C20" s="190">
        <v>-1096356837</v>
      </c>
      <c r="D20" s="190">
        <v>-1286295160.1400001</v>
      </c>
      <c r="E20" s="190">
        <v>914231360.00999999</v>
      </c>
      <c r="F20" s="190">
        <v>-1141692905.71</v>
      </c>
      <c r="G20" s="190">
        <v>-921403890.23000002</v>
      </c>
      <c r="H20" s="190">
        <v>-1384225716.4100001</v>
      </c>
      <c r="I20" s="190">
        <v>470737105.33999997</v>
      </c>
      <c r="J20" s="190">
        <v>-793075284.84000003</v>
      </c>
      <c r="K20" s="190">
        <v>-665740138.48000002</v>
      </c>
      <c r="L20" s="190">
        <v>-718084575.94000006</v>
      </c>
      <c r="M20" s="190">
        <v>200763824.86000001</v>
      </c>
      <c r="N20" s="190">
        <v>-675595350.13999999</v>
      </c>
      <c r="O20" s="190">
        <v>-557635269.36000001</v>
      </c>
      <c r="P20" s="190">
        <v>-523948825.60000002</v>
      </c>
      <c r="Q20" s="190">
        <v>-17080921.460000001</v>
      </c>
      <c r="R20" s="190">
        <v>-883339431.94000006</v>
      </c>
      <c r="S20" s="190">
        <v>-940748926.60000002</v>
      </c>
      <c r="T20" s="190">
        <v>-678592075.77999997</v>
      </c>
      <c r="U20" s="190">
        <v>356475220.70999998</v>
      </c>
      <c r="V20" s="190">
        <v>6610104.0899999999</v>
      </c>
      <c r="W20" s="190">
        <v>-78943868.540000007</v>
      </c>
      <c r="X20" s="190">
        <v>-215180758.69999999</v>
      </c>
      <c r="Y20" s="190">
        <v>481913096.22000003</v>
      </c>
      <c r="Z20" s="190">
        <v>12888573.84</v>
      </c>
      <c r="AA20" s="190">
        <v>-144914052.08000001</v>
      </c>
      <c r="AB20" s="190">
        <v>-229913056.03</v>
      </c>
      <c r="AC20" s="190">
        <v>74219234.049999997</v>
      </c>
      <c r="AD20" s="190">
        <v>-167926349</v>
      </c>
      <c r="AE20" s="190">
        <v>-103397414.09</v>
      </c>
      <c r="AF20" s="190">
        <v>-99868660.239999995</v>
      </c>
      <c r="AG20" s="190">
        <v>123564361.27</v>
      </c>
      <c r="AH20" s="190">
        <v>-48166245.409999996</v>
      </c>
      <c r="AI20" s="190">
        <v>-24503888.670000002</v>
      </c>
      <c r="AJ20" s="190">
        <v>-43348772.32</v>
      </c>
      <c r="AK20" s="190">
        <v>46401832.159999996</v>
      </c>
      <c r="AL20" s="190">
        <v>12743802.42</v>
      </c>
      <c r="AM20" s="190">
        <v>3281297.7</v>
      </c>
      <c r="AN20" s="190">
        <v>-12875271.93</v>
      </c>
      <c r="AO20" s="190">
        <v>2666718.48</v>
      </c>
      <c r="AP20" s="190">
        <v>-63868485.759999998</v>
      </c>
      <c r="AQ20" s="190">
        <v>-60757771.719999999</v>
      </c>
      <c r="AR20" s="190">
        <v>-32617886.899999999</v>
      </c>
      <c r="AS20" s="190">
        <v>67798720.739999995</v>
      </c>
      <c r="AT20" s="190">
        <v>3688803.08</v>
      </c>
      <c r="AU20" s="190">
        <v>-21429591.760000002</v>
      </c>
      <c r="AV20" s="190">
        <v>-13087806.460000001</v>
      </c>
      <c r="AW20" s="190">
        <v>-29220660.190000001</v>
      </c>
      <c r="AX20" s="190">
        <v>23617279.260000002</v>
      </c>
      <c r="AY20" s="190">
        <v>0</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3.2048816447126685</v>
      </c>
      <c r="F21" s="221">
        <f t="shared" ref="F21:AS21" si="56">F20/F19</f>
        <v>-4.7316396196741621</v>
      </c>
      <c r="G21" s="221">
        <f t="shared" si="56"/>
        <v>-4.9236070985724734</v>
      </c>
      <c r="H21" s="221">
        <f t="shared" si="56"/>
        <v>-13.22234983613909</v>
      </c>
      <c r="I21" s="221">
        <f t="shared" si="56"/>
        <v>0.83355211597317469</v>
      </c>
      <c r="J21" s="221">
        <f t="shared" si="56"/>
        <v>-2.1922004805655431</v>
      </c>
      <c r="K21" s="221">
        <f t="shared" si="56"/>
        <v>-2.76669777856196</v>
      </c>
      <c r="L21" s="221">
        <f t="shared" si="56"/>
        <v>-5.6524243821960942</v>
      </c>
      <c r="M21" s="221">
        <f t="shared" si="56"/>
        <v>0.54644816104616867</v>
      </c>
      <c r="N21" s="221">
        <f t="shared" si="56"/>
        <v>-2.2847590660820862</v>
      </c>
      <c r="O21" s="221">
        <f t="shared" si="56"/>
        <v>-3.2519102782197336</v>
      </c>
      <c r="P21" s="221">
        <f t="shared" si="56"/>
        <v>-3.6902565614616165</v>
      </c>
      <c r="Q21" s="221">
        <f t="shared" si="56"/>
        <v>-0.12139250493396177</v>
      </c>
      <c r="R21" s="221">
        <f t="shared" si="56"/>
        <v>-7.9204484830204063</v>
      </c>
      <c r="S21" s="221">
        <f t="shared" si="56"/>
        <v>-11.667194774794915</v>
      </c>
      <c r="T21" s="221">
        <f t="shared" si="56"/>
        <v>-17.337505788318833</v>
      </c>
      <c r="U21" s="221">
        <f t="shared" si="56"/>
        <v>2.1706997085203286</v>
      </c>
      <c r="V21" s="221">
        <f t="shared" si="56"/>
        <v>4.4635018577582786E-2</v>
      </c>
      <c r="W21" s="221">
        <f t="shared" si="56"/>
        <v>-0.83145562903532222</v>
      </c>
      <c r="X21" s="221">
        <f t="shared" si="56"/>
        <v>-4.7347596917728607</v>
      </c>
      <c r="Y21" s="221">
        <f t="shared" si="56"/>
        <v>2.6717052033834539</v>
      </c>
      <c r="Z21" s="221">
        <f t="shared" si="56"/>
        <v>0.12526433800800438</v>
      </c>
      <c r="AA21" s="221">
        <f t="shared" si="56"/>
        <v>-2.4985365897107132</v>
      </c>
      <c r="AB21" s="221">
        <f t="shared" si="56"/>
        <v>-8.6885741651932413</v>
      </c>
      <c r="AC21" s="221">
        <f t="shared" si="56"/>
        <v>0.69592041930194182</v>
      </c>
      <c r="AD21" s="221">
        <f t="shared" si="56"/>
        <v>-2.1460108594627925</v>
      </c>
      <c r="AE21" s="221">
        <f t="shared" si="56"/>
        <v>-2.1546319548044668</v>
      </c>
      <c r="AF21" s="221">
        <f t="shared" si="56"/>
        <v>-11.180724574387561</v>
      </c>
      <c r="AG21" s="221">
        <f t="shared" si="56"/>
        <v>4.3217401989977722</v>
      </c>
      <c r="AH21" s="221">
        <f t="shared" si="56"/>
        <v>-3.1461332684484806</v>
      </c>
      <c r="AI21" s="221">
        <f t="shared" si="56"/>
        <v>-3.5429451113154489</v>
      </c>
      <c r="AJ21" s="221">
        <f t="shared" si="56"/>
        <v>-16.534933609312436</v>
      </c>
      <c r="AK21" s="221">
        <f t="shared" si="56"/>
        <v>2.1568340190333628</v>
      </c>
      <c r="AL21" s="221">
        <f t="shared" si="56"/>
        <v>0.85932046375032078</v>
      </c>
      <c r="AM21" s="221">
        <f t="shared" si="56"/>
        <v>0.25405657354296302</v>
      </c>
      <c r="AN21" s="221">
        <f t="shared" si="56"/>
        <v>-1.1159290102959494</v>
      </c>
      <c r="AO21" s="221">
        <f t="shared" si="56"/>
        <v>4.0382160110592112E-2</v>
      </c>
      <c r="AP21" s="221">
        <f t="shared" si="56"/>
        <v>-8.1203019973642299</v>
      </c>
      <c r="AQ21" s="221">
        <f t="shared" si="56"/>
        <v>-10.072319472482341</v>
      </c>
      <c r="AR21" s="221">
        <f t="shared" si="56"/>
        <v>-21.552072625701719</v>
      </c>
      <c r="AS21" s="221" t="e">
        <f t="shared" si="56"/>
        <v>#DIV/0!</v>
      </c>
    </row>
    <row r="22" spans="1:74" s="193" customFormat="1" x14ac:dyDescent="0.25">
      <c r="A22" s="193" t="s">
        <v>301</v>
      </c>
      <c r="E22" s="193">
        <f>I35</f>
        <v>3037245075.1000004</v>
      </c>
      <c r="F22" s="193">
        <f t="shared" ref="F22:Y22" si="57">J35</f>
        <v>1673500141.8899999</v>
      </c>
      <c r="G22" s="193">
        <f t="shared" si="57"/>
        <v>1871522896.27</v>
      </c>
      <c r="H22" s="193">
        <f t="shared" si="57"/>
        <v>2033833378.0599999</v>
      </c>
      <c r="I22" s="193">
        <f t="shared" si="57"/>
        <v>1826613158.1099999</v>
      </c>
      <c r="J22" s="193">
        <f t="shared" si="57"/>
        <v>986468446.34000003</v>
      </c>
      <c r="K22" s="193">
        <f t="shared" si="57"/>
        <v>1120655685.3899999</v>
      </c>
      <c r="L22" s="193">
        <f t="shared" si="57"/>
        <v>1091051519.2299998</v>
      </c>
      <c r="M22" s="193">
        <f t="shared" si="57"/>
        <v>1381369248.71</v>
      </c>
      <c r="N22" s="193">
        <f t="shared" si="57"/>
        <v>1131017534.1099999</v>
      </c>
      <c r="O22" s="193">
        <f t="shared" si="57"/>
        <v>1282047421.76</v>
      </c>
      <c r="P22" s="193">
        <f t="shared" si="57"/>
        <v>1671056463.3600001</v>
      </c>
      <c r="Q22" s="193">
        <f t="shared" si="57"/>
        <v>1836222698.1700001</v>
      </c>
      <c r="R22" s="193">
        <f t="shared" si="57"/>
        <v>1489597110.8000002</v>
      </c>
      <c r="S22" s="193">
        <f t="shared" si="57"/>
        <v>1513976273.0400002</v>
      </c>
      <c r="T22" s="193">
        <f t="shared" si="57"/>
        <v>651410643.10000002</v>
      </c>
      <c r="U22" s="193">
        <f t="shared" si="57"/>
        <v>918039781.38999999</v>
      </c>
      <c r="V22" s="193">
        <f t="shared" si="57"/>
        <v>544741490.14999998</v>
      </c>
      <c r="W22" s="193">
        <f t="shared" si="57"/>
        <v>382829129.23000002</v>
      </c>
      <c r="X22" s="193">
        <f t="shared" si="57"/>
        <v>255240699.55999997</v>
      </c>
      <c r="Y22" s="193">
        <f t="shared" si="57"/>
        <v>503847504.23000002</v>
      </c>
      <c r="Z22" s="193">
        <f t="shared" ref="Z22" si="58">AD35</f>
        <v>336594654.00999999</v>
      </c>
      <c r="AA22" s="193">
        <f t="shared" ref="AA22" si="59">AE35</f>
        <v>470647425.12</v>
      </c>
      <c r="AB22" s="193">
        <f t="shared" ref="AB22" si="60">AF35</f>
        <v>604878278.37</v>
      </c>
      <c r="AC22" s="193">
        <f t="shared" ref="AC22" si="61">AG35</f>
        <v>723497264.2700001</v>
      </c>
      <c r="AD22" s="193">
        <f t="shared" ref="AD22" si="62">AH35</f>
        <v>553542217.47000003</v>
      </c>
      <c r="AE22" s="193">
        <f t="shared" ref="AE22" si="63">AI35</f>
        <v>466859601.65000004</v>
      </c>
      <c r="AF22" s="193">
        <f t="shared" ref="AF22" si="64">AJ35</f>
        <v>480638318.57999998</v>
      </c>
      <c r="AG22" s="193">
        <f t="shared" ref="AG22" si="65">AK35</f>
        <v>483261716.43000001</v>
      </c>
      <c r="AH22" s="193">
        <f t="shared" ref="AH22" si="66">AL35</f>
        <v>426396690.62</v>
      </c>
      <c r="AI22" s="193">
        <f t="shared" ref="AI22" si="67">AM35</f>
        <v>411983945.06999999</v>
      </c>
      <c r="AJ22" s="193">
        <f t="shared" ref="AJ22" si="68">AN35</f>
        <v>396439583.07999998</v>
      </c>
      <c r="AK22" s="193">
        <f t="shared" ref="AK22" si="69">AO35</f>
        <v>419459963.51000005</v>
      </c>
      <c r="AL22" s="193">
        <f t="shared" ref="AL22" si="70">AP35</f>
        <v>371637992.38</v>
      </c>
      <c r="AM22" s="193">
        <f t="shared" ref="AM22" si="71">AQ35</f>
        <v>407778367.36000001</v>
      </c>
      <c r="AN22" s="193">
        <f t="shared" ref="AN22" si="72">AR35</f>
        <v>49633403.07</v>
      </c>
      <c r="AO22" s="193">
        <f t="shared" ref="AO22" si="73">AS35</f>
        <v>88491495.680000007</v>
      </c>
      <c r="AP22" s="193">
        <f t="shared" ref="AP22" si="74">AT35</f>
        <v>29230691.68</v>
      </c>
      <c r="AQ22" s="193">
        <f t="shared" ref="AQ22" si="75">AU35</f>
        <v>68113502.120000005</v>
      </c>
      <c r="AR22" s="193">
        <f t="shared" ref="AR22" si="76">AV35</f>
        <v>0</v>
      </c>
      <c r="AS22" s="193">
        <f t="shared" ref="AS22" si="77">AW35</f>
        <v>0</v>
      </c>
    </row>
    <row r="23" spans="1:74" s="193" customFormat="1" x14ac:dyDescent="0.25">
      <c r="A23" s="193" t="s">
        <v>302</v>
      </c>
      <c r="E23" s="193">
        <f>E20+E22-E19</f>
        <v>3666214306.4700007</v>
      </c>
      <c r="F23" s="193">
        <f t="shared" ref="F23:AS23" si="78">F20+F22-F19</f>
        <v>290518169.91999984</v>
      </c>
      <c r="G23" s="193">
        <f t="shared" si="78"/>
        <v>762978994.29999995</v>
      </c>
      <c r="H23" s="193">
        <f t="shared" si="78"/>
        <v>544919332.14999986</v>
      </c>
      <c r="I23" s="193">
        <f t="shared" si="78"/>
        <v>1732614002.4299998</v>
      </c>
      <c r="J23" s="193">
        <f t="shared" si="78"/>
        <v>-168378169.12</v>
      </c>
      <c r="K23" s="193">
        <f t="shared" si="78"/>
        <v>214289287.09999985</v>
      </c>
      <c r="L23" s="193">
        <f t="shared" si="78"/>
        <v>245926840.24999973</v>
      </c>
      <c r="M23" s="193">
        <f t="shared" si="78"/>
        <v>1214735323.5700002</v>
      </c>
      <c r="N23" s="193">
        <f t="shared" si="78"/>
        <v>159725644.15999991</v>
      </c>
      <c r="O23" s="193">
        <f t="shared" si="78"/>
        <v>552932861.25999999</v>
      </c>
      <c r="P23" s="193">
        <f t="shared" si="78"/>
        <v>1005125957.9300002</v>
      </c>
      <c r="Q23" s="193">
        <f t="shared" si="78"/>
        <v>1678433571.79</v>
      </c>
      <c r="R23" s="193">
        <f t="shared" si="78"/>
        <v>494731237.67000014</v>
      </c>
      <c r="S23" s="193">
        <f t="shared" si="78"/>
        <v>492595374.08000016</v>
      </c>
      <c r="T23" s="193">
        <f t="shared" si="78"/>
        <v>-66321553.759999946</v>
      </c>
      <c r="U23" s="193">
        <f t="shared" si="78"/>
        <v>1110293659.4099998</v>
      </c>
      <c r="V23" s="193">
        <f t="shared" si="78"/>
        <v>403259260</v>
      </c>
      <c r="W23" s="193">
        <f t="shared" si="78"/>
        <v>208938680.51999998</v>
      </c>
      <c r="X23" s="193">
        <f t="shared" si="78"/>
        <v>-5387087.6500000134</v>
      </c>
      <c r="Y23" s="193">
        <f t="shared" si="78"/>
        <v>805384002.16000009</v>
      </c>
      <c r="Z23" s="193">
        <f t="shared" si="78"/>
        <v>246592221.15999997</v>
      </c>
      <c r="AA23" s="193">
        <f t="shared" si="78"/>
        <v>267733801.33999997</v>
      </c>
      <c r="AB23" s="193">
        <f t="shared" si="78"/>
        <v>348503681.97000003</v>
      </c>
      <c r="AC23" s="193">
        <f t="shared" si="78"/>
        <v>691067473.53000009</v>
      </c>
      <c r="AD23" s="193">
        <f t="shared" si="78"/>
        <v>307365402.84000003</v>
      </c>
      <c r="AE23" s="193">
        <f t="shared" si="78"/>
        <v>315473753.22000003</v>
      </c>
      <c r="AF23" s="193">
        <f t="shared" si="78"/>
        <v>371837441.14999998</v>
      </c>
      <c r="AG23" s="193">
        <f t="shared" si="78"/>
        <v>578234733.57000005</v>
      </c>
      <c r="AH23" s="193">
        <f t="shared" si="78"/>
        <v>362920780.52000004</v>
      </c>
      <c r="AI23" s="193">
        <f t="shared" si="78"/>
        <v>380563807.94</v>
      </c>
      <c r="AJ23" s="193">
        <f t="shared" si="78"/>
        <v>350469162.95999998</v>
      </c>
      <c r="AK23" s="193">
        <f t="shared" si="78"/>
        <v>444347932.41000009</v>
      </c>
      <c r="AL23" s="193">
        <f t="shared" si="78"/>
        <v>369551701.77000004</v>
      </c>
      <c r="AM23" s="193">
        <f t="shared" si="78"/>
        <v>398144046.88</v>
      </c>
      <c r="AN23" s="193">
        <f t="shared" si="78"/>
        <v>25220415.200000003</v>
      </c>
      <c r="AO23" s="193">
        <f t="shared" si="78"/>
        <v>25121170.260000013</v>
      </c>
      <c r="AP23" s="193">
        <f t="shared" si="78"/>
        <v>-42503078.619999997</v>
      </c>
      <c r="AQ23" s="193">
        <f t="shared" si="78"/>
        <v>1323577.440000006</v>
      </c>
      <c r="AR23" s="193">
        <f t="shared" si="78"/>
        <v>-34131332.379999995</v>
      </c>
      <c r="AS23" s="193">
        <f t="shared" si="78"/>
        <v>67798720.739999995</v>
      </c>
    </row>
    <row r="24" spans="1:74" s="221" customFormat="1" x14ac:dyDescent="0.25">
      <c r="A24" s="221" t="s">
        <v>303</v>
      </c>
      <c r="B24" s="190">
        <v>581685787.70000005</v>
      </c>
      <c r="C24" s="190">
        <v>233280496.68000001</v>
      </c>
      <c r="D24" s="190">
        <v>313965503.19999999</v>
      </c>
      <c r="E24" s="190">
        <v>444849600.10000002</v>
      </c>
      <c r="F24" s="190">
        <v>976278341.44000006</v>
      </c>
      <c r="G24" s="190">
        <v>673997688.76999998</v>
      </c>
      <c r="H24" s="190">
        <v>1064131646.61</v>
      </c>
      <c r="I24" s="190">
        <v>145588193.24000001</v>
      </c>
      <c r="J24" s="190">
        <v>96493578.920000002</v>
      </c>
      <c r="K24" s="190">
        <v>79526755.090000004</v>
      </c>
      <c r="L24" s="190">
        <v>292008689.81999999</v>
      </c>
      <c r="M24" s="190">
        <v>190807980.41999999</v>
      </c>
      <c r="N24" s="190">
        <v>-200453834.81999999</v>
      </c>
      <c r="O24" s="190">
        <v>-350921976.51999998</v>
      </c>
      <c r="P24" s="190">
        <v>-132508219.7</v>
      </c>
      <c r="Q24" s="190">
        <v>375074009.91000003</v>
      </c>
      <c r="R24" s="190">
        <v>318340094.25</v>
      </c>
      <c r="S24" s="190">
        <v>397346287.06</v>
      </c>
      <c r="T24" s="190">
        <v>540711664.20000005</v>
      </c>
      <c r="U24" s="190">
        <v>905052860.51999998</v>
      </c>
      <c r="V24" s="190">
        <v>905071792.53999996</v>
      </c>
      <c r="W24" s="190">
        <v>899831226.21000004</v>
      </c>
      <c r="X24" s="190">
        <v>3842957.84</v>
      </c>
      <c r="Y24" s="190">
        <v>-78252960.670000002</v>
      </c>
      <c r="Z24" s="190">
        <v>-115407426.42</v>
      </c>
      <c r="AA24" s="190">
        <v>-73395772.409999996</v>
      </c>
      <c r="AB24" s="190">
        <v>-23788044.510000002</v>
      </c>
      <c r="AC24" s="190">
        <v>-60151641.520000003</v>
      </c>
      <c r="AD24" s="190">
        <v>-67287491.530000001</v>
      </c>
      <c r="AE24" s="190">
        <v>-57973673.369999997</v>
      </c>
      <c r="AF24" s="190">
        <v>-2161426.4900000002</v>
      </c>
      <c r="AG24" s="190">
        <v>41128873.109999999</v>
      </c>
      <c r="AH24" s="190">
        <v>136841922.08000001</v>
      </c>
      <c r="AI24" s="190">
        <v>17449023.920000002</v>
      </c>
      <c r="AJ24" s="190">
        <v>44066556.32</v>
      </c>
      <c r="AK24" s="190">
        <v>-1104089.75</v>
      </c>
      <c r="AL24" s="190">
        <v>5504230.5499999998</v>
      </c>
      <c r="AM24" s="190">
        <v>-1429800.62</v>
      </c>
      <c r="AN24" s="190">
        <v>0</v>
      </c>
      <c r="AO24" s="190">
        <v>372207946.39999998</v>
      </c>
      <c r="AP24" s="190">
        <v>384294129.50999999</v>
      </c>
      <c r="AQ24" s="190">
        <v>385541873.43000001</v>
      </c>
      <c r="AR24" s="190">
        <v>-5008061.7699999996</v>
      </c>
      <c r="AS24" s="190">
        <v>-21819336.73</v>
      </c>
      <c r="AT24" s="190">
        <v>-19171891.25</v>
      </c>
      <c r="AU24" s="190">
        <v>31093412.629999999</v>
      </c>
      <c r="AV24" s="190">
        <v>10529299.16</v>
      </c>
      <c r="AW24" s="190">
        <v>10785440.84</v>
      </c>
      <c r="AX24" s="190">
        <v>55227045.149999999</v>
      </c>
      <c r="AY24" s="190">
        <v>0</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73662025.450000003</v>
      </c>
      <c r="F26" s="26">
        <f>现金流量表!F15</f>
        <v>62960476.450000003</v>
      </c>
      <c r="G26" s="26">
        <f>现金流量表!G15</f>
        <v>46000000</v>
      </c>
      <c r="H26" s="26">
        <f>现金流量表!H15</f>
        <v>5000000</v>
      </c>
      <c r="I26" s="26">
        <f>现金流量表!I15</f>
        <v>359200000</v>
      </c>
      <c r="J26" s="26">
        <f>现金流量表!J15</f>
        <v>334200000</v>
      </c>
      <c r="K26" s="26">
        <f>现金流量表!K15</f>
        <v>330200000</v>
      </c>
      <c r="L26" s="26">
        <f>现金流量表!L15</f>
        <v>330200000</v>
      </c>
      <c r="M26" s="26">
        <f>现金流量表!M15</f>
        <v>1963200000</v>
      </c>
      <c r="N26" s="26">
        <f>现金流量表!N15</f>
        <v>1963200000</v>
      </c>
      <c r="O26" s="26">
        <f>现金流量表!O15</f>
        <v>1963200000</v>
      </c>
      <c r="P26" s="26">
        <f>现金流量表!P15</f>
        <v>1559900000</v>
      </c>
      <c r="Q26" s="26">
        <f>现金流量表!Q15</f>
        <v>910000001</v>
      </c>
      <c r="R26" s="26">
        <f>现金流量表!R15</f>
        <v>0</v>
      </c>
      <c r="S26" s="26">
        <f>现金流量表!S15</f>
        <v>0</v>
      </c>
      <c r="T26" s="26">
        <f>现金流量表!T15</f>
        <v>0</v>
      </c>
      <c r="U26" s="26">
        <f>现金流量表!U15</f>
        <v>0</v>
      </c>
      <c r="V26" s="26">
        <f>现金流量表!V15</f>
        <v>854200.62</v>
      </c>
      <c r="W26" s="26">
        <f>现金流量表!W15</f>
        <v>708488.42</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50547</v>
      </c>
      <c r="AL26" s="26">
        <f>现金流量表!AL15</f>
        <v>0</v>
      </c>
      <c r="AM26" s="26">
        <f>现金流量表!AM15</f>
        <v>0</v>
      </c>
      <c r="AN26" s="26">
        <f>现金流量表!AN15</f>
        <v>0</v>
      </c>
      <c r="AO26" s="26">
        <f>现金流量表!AO15</f>
        <v>77792818.870000005</v>
      </c>
      <c r="AP26" s="26">
        <f>现金流量表!AP15</f>
        <v>300000</v>
      </c>
      <c r="AQ26" s="26">
        <f>现金流量表!AQ15</f>
        <v>300000</v>
      </c>
      <c r="AR26" s="26">
        <f>现金流量表!AR15</f>
        <v>300000</v>
      </c>
      <c r="AS26" s="26">
        <f>现金流量表!AS15</f>
        <v>42143185.600000001</v>
      </c>
      <c r="AT26" s="26">
        <f>现金流量表!AT15</f>
        <v>42206636.579999998</v>
      </c>
      <c r="AU26" s="26">
        <f>现金流量表!AU15</f>
        <v>41843185.600000001</v>
      </c>
      <c r="AV26" s="26">
        <f>现金流量表!AV15</f>
        <v>0</v>
      </c>
      <c r="AW26" s="26">
        <f>现金流量表!AW15</f>
        <v>20941137.989999998</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123796449</v>
      </c>
      <c r="F27" s="26">
        <f>现金流量表!F22</f>
        <v>121796449</v>
      </c>
      <c r="G27" s="26">
        <f>现金流量表!G22</f>
        <v>101696449</v>
      </c>
      <c r="H27" s="26">
        <f>现金流量表!H22</f>
        <v>44696449</v>
      </c>
      <c r="I27" s="26">
        <f>现金流量表!I22</f>
        <v>110096000</v>
      </c>
      <c r="J27" s="26">
        <f>现金流量表!J22</f>
        <v>107600000</v>
      </c>
      <c r="K27" s="26">
        <f>现金流量表!K22</f>
        <v>56600000</v>
      </c>
      <c r="L27" s="26">
        <f>现金流量表!L22</f>
        <v>33200000</v>
      </c>
      <c r="M27" s="26">
        <f>现金流量表!M22</f>
        <v>1606700000</v>
      </c>
      <c r="N27" s="26">
        <f>现金流量表!N22</f>
        <v>1268500000</v>
      </c>
      <c r="O27" s="26">
        <f>现金流量表!O22</f>
        <v>1265500000</v>
      </c>
      <c r="P27" s="26">
        <f>现金流量表!P22</f>
        <v>1021300000</v>
      </c>
      <c r="Q27" s="26">
        <f>现金流量表!Q22</f>
        <v>1641700001</v>
      </c>
      <c r="R27" s="26">
        <f>现金流量表!R22</f>
        <v>131000000</v>
      </c>
      <c r="S27" s="26">
        <f>现金流量表!S22</f>
        <v>30000000</v>
      </c>
      <c r="T27" s="26">
        <f>现金流量表!T22</f>
        <v>30000000</v>
      </c>
      <c r="U27" s="26">
        <f>现金流量表!U22</f>
        <v>0</v>
      </c>
      <c r="V27" s="26">
        <f>现金流量表!V22</f>
        <v>0</v>
      </c>
      <c r="W27" s="26">
        <f>现金流量表!W22</f>
        <v>0</v>
      </c>
      <c r="X27" s="26">
        <f>现金流量表!X22</f>
        <v>0</v>
      </c>
      <c r="Y27" s="26">
        <f>现金流量表!Y22</f>
        <v>5900000</v>
      </c>
      <c r="Z27" s="26">
        <f>现金流量表!Z22</f>
        <v>5900000</v>
      </c>
      <c r="AA27" s="26">
        <f>现金流量表!AA22</f>
        <v>900000</v>
      </c>
      <c r="AB27" s="26">
        <f>现金流量表!AB22</f>
        <v>900000</v>
      </c>
      <c r="AC27" s="26">
        <f>现金流量表!AC22</f>
        <v>13600000</v>
      </c>
      <c r="AD27" s="26">
        <f>现金流量表!AD22</f>
        <v>13000000</v>
      </c>
      <c r="AE27" s="26">
        <f>现金流量表!AE22</f>
        <v>12400000</v>
      </c>
      <c r="AF27" s="26">
        <f>现金流量表!AF22</f>
        <v>400000</v>
      </c>
      <c r="AG27" s="26">
        <f>现金流量表!AG22</f>
        <v>400000</v>
      </c>
      <c r="AH27" s="26">
        <f>现金流量表!AH22</f>
        <v>400000</v>
      </c>
      <c r="AI27" s="26">
        <f>现金流量表!AI22</f>
        <v>400000</v>
      </c>
      <c r="AJ27" s="26">
        <f>现金流量表!AJ22</f>
        <v>0</v>
      </c>
      <c r="AK27" s="26">
        <f>现金流量表!AK22</f>
        <v>10000000</v>
      </c>
      <c r="AL27" s="26">
        <f>现金流量表!AL22</f>
        <v>0</v>
      </c>
      <c r="AM27" s="26">
        <f>现金流量表!AM22</f>
        <v>0</v>
      </c>
      <c r="AN27" s="26">
        <f>现金流量表!AN22</f>
        <v>0</v>
      </c>
      <c r="AO27" s="26">
        <f>现金流量表!AO22</f>
        <v>72805391.760000005</v>
      </c>
      <c r="AP27" s="26">
        <f>现金流量表!AP22</f>
        <v>30000000</v>
      </c>
      <c r="AQ27" s="26">
        <f>现金流量表!AQ22</f>
        <v>0</v>
      </c>
      <c r="AR27" s="26">
        <f>现金流量表!AR22</f>
        <v>0</v>
      </c>
      <c r="AS27" s="26">
        <f>现金流量表!AS22</f>
        <v>8500000</v>
      </c>
      <c r="AT27" s="26">
        <f>现金流量表!AT22</f>
        <v>8500000</v>
      </c>
      <c r="AU27" s="26">
        <f>现金流量表!AU22</f>
        <v>8500000</v>
      </c>
      <c r="AV27" s="26">
        <f>现金流量表!AV22</f>
        <v>0</v>
      </c>
      <c r="AW27" s="26">
        <f>现金流量表!AW22</f>
        <v>29777545.34</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50134423.549999997</v>
      </c>
      <c r="F28" s="26">
        <f t="shared" ref="F28:BQ28" si="79">F27-F26</f>
        <v>58835972.549999997</v>
      </c>
      <c r="G28" s="26">
        <f t="shared" si="79"/>
        <v>55696449</v>
      </c>
      <c r="H28" s="26">
        <f t="shared" si="79"/>
        <v>39696449</v>
      </c>
      <c r="I28" s="26">
        <f t="shared" si="79"/>
        <v>-249104000</v>
      </c>
      <c r="J28" s="26">
        <f t="shared" si="79"/>
        <v>-226600000</v>
      </c>
      <c r="K28" s="26">
        <f t="shared" si="79"/>
        <v>-273600000</v>
      </c>
      <c r="L28" s="26">
        <f t="shared" si="79"/>
        <v>-297000000</v>
      </c>
      <c r="M28" s="26">
        <f t="shared" si="79"/>
        <v>-356500000</v>
      </c>
      <c r="N28" s="26">
        <f t="shared" si="79"/>
        <v>-694700000</v>
      </c>
      <c r="O28" s="26">
        <f t="shared" si="79"/>
        <v>-697700000</v>
      </c>
      <c r="P28" s="26">
        <f t="shared" si="79"/>
        <v>-538600000</v>
      </c>
      <c r="Q28" s="26">
        <f t="shared" si="79"/>
        <v>731700000</v>
      </c>
      <c r="R28" s="26">
        <f t="shared" si="79"/>
        <v>131000000</v>
      </c>
      <c r="S28" s="26">
        <f t="shared" si="79"/>
        <v>30000000</v>
      </c>
      <c r="T28" s="26">
        <f t="shared" si="79"/>
        <v>30000000</v>
      </c>
      <c r="U28" s="26">
        <f t="shared" si="79"/>
        <v>0</v>
      </c>
      <c r="V28" s="26">
        <f t="shared" si="79"/>
        <v>-854200.62</v>
      </c>
      <c r="W28" s="26">
        <f t="shared" si="79"/>
        <v>-708488.42</v>
      </c>
      <c r="X28" s="26">
        <f t="shared" si="79"/>
        <v>0</v>
      </c>
      <c r="Y28" s="26">
        <f t="shared" si="79"/>
        <v>5900000</v>
      </c>
      <c r="Z28" s="26">
        <f t="shared" si="79"/>
        <v>5900000</v>
      </c>
      <c r="AA28" s="26">
        <f t="shared" si="79"/>
        <v>900000</v>
      </c>
      <c r="AB28" s="26">
        <f t="shared" si="79"/>
        <v>900000</v>
      </c>
      <c r="AC28" s="26">
        <f t="shared" si="79"/>
        <v>13600000</v>
      </c>
      <c r="AD28" s="26">
        <f t="shared" si="79"/>
        <v>13000000</v>
      </c>
      <c r="AE28" s="26">
        <f t="shared" si="79"/>
        <v>12400000</v>
      </c>
      <c r="AF28" s="26">
        <f t="shared" si="79"/>
        <v>400000</v>
      </c>
      <c r="AG28" s="26">
        <f t="shared" si="79"/>
        <v>400000</v>
      </c>
      <c r="AH28" s="26">
        <f t="shared" si="79"/>
        <v>400000</v>
      </c>
      <c r="AI28" s="26">
        <f t="shared" si="79"/>
        <v>400000</v>
      </c>
      <c r="AJ28" s="26">
        <f t="shared" si="79"/>
        <v>0</v>
      </c>
      <c r="AK28" s="26">
        <f t="shared" si="79"/>
        <v>9949453</v>
      </c>
      <c r="AL28" s="26">
        <f t="shared" si="79"/>
        <v>0</v>
      </c>
      <c r="AM28" s="26">
        <f t="shared" si="79"/>
        <v>0</v>
      </c>
      <c r="AN28" s="26">
        <f t="shared" si="79"/>
        <v>0</v>
      </c>
      <c r="AO28" s="26">
        <f t="shared" si="79"/>
        <v>-4987427.1099999994</v>
      </c>
      <c r="AP28" s="26">
        <f t="shared" si="79"/>
        <v>29700000</v>
      </c>
      <c r="AQ28" s="26">
        <f t="shared" si="79"/>
        <v>-300000</v>
      </c>
      <c r="AR28" s="26">
        <f t="shared" si="79"/>
        <v>-300000</v>
      </c>
      <c r="AS28" s="26">
        <f t="shared" si="79"/>
        <v>-33643185.600000001</v>
      </c>
      <c r="AT28" s="26">
        <f t="shared" si="79"/>
        <v>-33706636.579999998</v>
      </c>
      <c r="AU28" s="26">
        <f t="shared" si="79"/>
        <v>-33343185.600000001</v>
      </c>
      <c r="AV28" s="26">
        <f t="shared" si="79"/>
        <v>0</v>
      </c>
      <c r="AW28" s="26">
        <f t="shared" si="79"/>
        <v>8836407.3500000015</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38717</v>
      </c>
      <c r="AY30" s="1">
        <v>25569</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4351840652.3999996</v>
      </c>
      <c r="C31" s="190">
        <v>4205096458.9200001</v>
      </c>
      <c r="D31" s="190">
        <v>3819603627.4899998</v>
      </c>
      <c r="E31" s="190">
        <v>3777164026.3099999</v>
      </c>
      <c r="F31" s="190">
        <v>2929372421.0599999</v>
      </c>
      <c r="G31" s="190">
        <v>2867601256.6999998</v>
      </c>
      <c r="H31" s="190">
        <v>2662908066.8499999</v>
      </c>
      <c r="I31" s="190">
        <v>2381128529.1700001</v>
      </c>
      <c r="J31" s="190">
        <v>1972364610.1300001</v>
      </c>
      <c r="K31" s="190">
        <v>1872251991.4400001</v>
      </c>
      <c r="L31" s="190">
        <v>1663965427.72</v>
      </c>
      <c r="M31" s="190">
        <v>1527282642.25</v>
      </c>
      <c r="N31" s="190">
        <v>1365798771.3</v>
      </c>
      <c r="O31" s="190">
        <v>1275836189.01</v>
      </c>
      <c r="P31" s="190">
        <v>1245918980.8099999</v>
      </c>
      <c r="Q31" s="190">
        <v>1227428885.27</v>
      </c>
      <c r="R31" s="190">
        <v>960875994.70000005</v>
      </c>
      <c r="S31" s="190">
        <v>903770249.20000005</v>
      </c>
      <c r="T31" s="190">
        <v>868751993.70000005</v>
      </c>
      <c r="U31" s="190">
        <v>852868225.57000005</v>
      </c>
      <c r="V31" s="190">
        <v>729112941.21000004</v>
      </c>
      <c r="W31" s="190">
        <v>691741943.66999996</v>
      </c>
      <c r="X31" s="190">
        <v>709883314.5</v>
      </c>
      <c r="Y31" s="190">
        <v>676964992.89999998</v>
      </c>
      <c r="Z31" s="190">
        <v>451082821.42000002</v>
      </c>
      <c r="AA31" s="190">
        <v>429458828.76999998</v>
      </c>
      <c r="AB31" s="190">
        <v>384667688.93000001</v>
      </c>
      <c r="AC31" s="190">
        <v>402427239.94</v>
      </c>
      <c r="AD31" s="190">
        <v>321252009.73000002</v>
      </c>
      <c r="AE31" s="190">
        <v>296454889.19</v>
      </c>
      <c r="AF31" s="190">
        <v>239368765.31999999</v>
      </c>
      <c r="AG31" s="190">
        <v>235369060.86000001</v>
      </c>
      <c r="AH31" s="190">
        <v>152947493.09</v>
      </c>
      <c r="AI31" s="190">
        <v>146478208.94</v>
      </c>
      <c r="AJ31" s="190">
        <v>144013461.78999999</v>
      </c>
      <c r="AK31" s="190">
        <v>146241749.06</v>
      </c>
      <c r="AL31" s="190">
        <v>126021866.06999999</v>
      </c>
      <c r="AM31" s="190">
        <v>125887914.90000001</v>
      </c>
      <c r="AN31" s="190">
        <v>126512716.43000001</v>
      </c>
      <c r="AO31" s="190">
        <v>127521857.90000001</v>
      </c>
      <c r="AP31" s="190">
        <v>73246360.569999993</v>
      </c>
      <c r="AQ31" s="190">
        <v>69379634.959999993</v>
      </c>
      <c r="AR31" s="190">
        <v>65742909.439999998</v>
      </c>
      <c r="AS31" s="190">
        <v>64529562.079999998</v>
      </c>
      <c r="AT31" s="190">
        <v>46812926.210000001</v>
      </c>
      <c r="AU31" s="190">
        <v>50083429.520000003</v>
      </c>
      <c r="AV31" s="190">
        <v>0</v>
      </c>
      <c r="AW31" s="190"/>
      <c r="AX31" s="190"/>
      <c r="AY31" s="190"/>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96540278.379999995</v>
      </c>
      <c r="C32" s="190">
        <v>96540278.379999995</v>
      </c>
      <c r="D32" s="190">
        <v>96540278.379999995</v>
      </c>
      <c r="E32" s="190">
        <v>71083281.090000004</v>
      </c>
      <c r="F32" s="190">
        <v>71083281.090000004</v>
      </c>
      <c r="G32" s="190">
        <v>71083281.090000004</v>
      </c>
      <c r="H32" s="190">
        <v>71083281.090000004</v>
      </c>
      <c r="I32" s="190">
        <v>71083281.090000004</v>
      </c>
      <c r="J32" s="190">
        <v>71083281.090000004</v>
      </c>
      <c r="K32" s="190">
        <v>71083281.090000004</v>
      </c>
      <c r="L32" s="190">
        <v>71083281.090000004</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c r="AX32" s="190"/>
      <c r="AY32" s="190"/>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82970227</v>
      </c>
      <c r="C33" s="190">
        <v>77970227</v>
      </c>
      <c r="D33" s="190">
        <v>77970227</v>
      </c>
      <c r="E33" s="190">
        <v>77970227</v>
      </c>
      <c r="F33" s="190">
        <v>92970227</v>
      </c>
      <c r="G33" s="190">
        <v>92970227</v>
      </c>
      <c r="H33" s="190">
        <v>90496000</v>
      </c>
      <c r="I33" s="190">
        <v>90496000</v>
      </c>
      <c r="J33" s="190">
        <v>73000000</v>
      </c>
      <c r="K33" s="190">
        <v>73000000</v>
      </c>
      <c r="L33" s="190">
        <v>70000000</v>
      </c>
      <c r="M33" s="190">
        <v>65000000</v>
      </c>
      <c r="N33" s="190">
        <v>57000000</v>
      </c>
      <c r="O33" s="190">
        <v>54000000</v>
      </c>
      <c r="P33" s="190">
        <v>54000000</v>
      </c>
      <c r="Q33" s="190">
        <v>54000000</v>
      </c>
      <c r="R33" s="190">
        <v>50000000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c r="AX33" s="190"/>
      <c r="AY33" s="190"/>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3628110518.2199998</v>
      </c>
      <c r="F34" s="49">
        <f t="shared" ref="F34:BP34" si="81">F31-F32-F33</f>
        <v>2765318912.9699998</v>
      </c>
      <c r="G34" s="49">
        <f t="shared" si="81"/>
        <v>2703547748.6099997</v>
      </c>
      <c r="H34" s="49">
        <f t="shared" si="81"/>
        <v>2501328785.7599998</v>
      </c>
      <c r="I34" s="49">
        <f t="shared" si="81"/>
        <v>2219549248.0799999</v>
      </c>
      <c r="J34" s="49">
        <f t="shared" si="81"/>
        <v>1828281329.0400002</v>
      </c>
      <c r="K34" s="49">
        <f t="shared" si="81"/>
        <v>1728168710.3500001</v>
      </c>
      <c r="L34" s="49">
        <f t="shared" si="81"/>
        <v>1522882146.6300001</v>
      </c>
      <c r="M34" s="49">
        <f t="shared" si="81"/>
        <v>1462282642.25</v>
      </c>
      <c r="N34" s="49">
        <f t="shared" si="81"/>
        <v>1308798771.3</v>
      </c>
      <c r="O34" s="49">
        <f t="shared" si="81"/>
        <v>1221836189.01</v>
      </c>
      <c r="P34" s="49">
        <f t="shared" si="81"/>
        <v>1191918980.8099999</v>
      </c>
      <c r="Q34" s="49">
        <f t="shared" si="81"/>
        <v>1173428885.27</v>
      </c>
      <c r="R34" s="49">
        <f t="shared" si="81"/>
        <v>910875994.70000005</v>
      </c>
      <c r="S34" s="49">
        <f t="shared" si="81"/>
        <v>903770249.20000005</v>
      </c>
      <c r="T34" s="49">
        <f t="shared" si="81"/>
        <v>868751993.70000005</v>
      </c>
      <c r="U34" s="49">
        <f t="shared" si="81"/>
        <v>852868225.57000005</v>
      </c>
      <c r="V34" s="49">
        <f t="shared" si="81"/>
        <v>729112941.21000004</v>
      </c>
      <c r="W34" s="49">
        <f t="shared" si="81"/>
        <v>691741943.66999996</v>
      </c>
      <c r="X34" s="49">
        <f t="shared" si="81"/>
        <v>709883314.5</v>
      </c>
      <c r="Y34" s="49">
        <f t="shared" si="81"/>
        <v>676964992.89999998</v>
      </c>
      <c r="Z34" s="49">
        <f t="shared" si="81"/>
        <v>451082821.42000002</v>
      </c>
      <c r="AA34" s="49">
        <f t="shared" si="81"/>
        <v>429458828.76999998</v>
      </c>
      <c r="AB34" s="49">
        <f t="shared" si="81"/>
        <v>384667688.93000001</v>
      </c>
      <c r="AC34" s="49">
        <f t="shared" si="81"/>
        <v>402427239.94</v>
      </c>
      <c r="AD34" s="49">
        <f t="shared" si="81"/>
        <v>321252009.73000002</v>
      </c>
      <c r="AE34" s="49">
        <f t="shared" si="81"/>
        <v>296454889.19</v>
      </c>
      <c r="AF34" s="49">
        <f t="shared" si="81"/>
        <v>239368765.31999999</v>
      </c>
      <c r="AG34" s="49">
        <f t="shared" si="81"/>
        <v>235369060.86000001</v>
      </c>
      <c r="AH34" s="49">
        <f t="shared" si="81"/>
        <v>152947493.09</v>
      </c>
      <c r="AI34" s="49">
        <f t="shared" si="81"/>
        <v>146478208.94</v>
      </c>
      <c r="AJ34" s="49">
        <f t="shared" si="81"/>
        <v>144013461.78999999</v>
      </c>
      <c r="AK34" s="49">
        <f t="shared" si="81"/>
        <v>146241749.06</v>
      </c>
      <c r="AL34" s="49">
        <f t="shared" si="81"/>
        <v>126021866.06999999</v>
      </c>
      <c r="AM34" s="49">
        <f t="shared" si="81"/>
        <v>125887914.90000001</v>
      </c>
      <c r="AN34" s="49">
        <f t="shared" si="81"/>
        <v>126512716.43000001</v>
      </c>
      <c r="AO34" s="49">
        <f t="shared" si="81"/>
        <v>127521857.90000001</v>
      </c>
      <c r="AP34" s="49">
        <f t="shared" si="81"/>
        <v>73246360.569999993</v>
      </c>
      <c r="AQ34" s="49">
        <f t="shared" si="81"/>
        <v>69379634.959999993</v>
      </c>
      <c r="AR34" s="49">
        <f t="shared" si="81"/>
        <v>65742909.439999998</v>
      </c>
      <c r="AS34" s="49">
        <f t="shared" si="81"/>
        <v>64529562.079999998</v>
      </c>
      <c r="AT34" s="49">
        <f t="shared" si="81"/>
        <v>46812926.210000001</v>
      </c>
      <c r="AU34" s="49">
        <f t="shared" si="81"/>
        <v>50083429.520000003</v>
      </c>
      <c r="AV34" s="49">
        <f t="shared" si="81"/>
        <v>0</v>
      </c>
      <c r="AW34" s="49">
        <f t="shared" si="81"/>
        <v>0</v>
      </c>
      <c r="AX34" s="49">
        <f t="shared" si="81"/>
        <v>0</v>
      </c>
      <c r="AY34" s="49">
        <f t="shared" si="81"/>
        <v>0</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73246360.569999993</v>
      </c>
      <c r="BR34" s="49">
        <f>AQ31-AQ32-AQ33</f>
        <v>69379634.959999993</v>
      </c>
      <c r="BS34" s="49">
        <f>AR31-AR32-AR33</f>
        <v>65742909.439999998</v>
      </c>
      <c r="BT34" s="49"/>
      <c r="BU34" s="50"/>
    </row>
    <row r="35" spans="1:74" s="106" customFormat="1" ht="15" thickBot="1" x14ac:dyDescent="0.3">
      <c r="A35" s="140" t="s">
        <v>317</v>
      </c>
      <c r="B35" s="33">
        <f>SUM(B22:B31)</f>
        <v>4933569813.0999994</v>
      </c>
      <c r="C35" s="33">
        <f>SUM(C22:C31)</f>
        <v>4438420236.6000004</v>
      </c>
      <c r="D35" s="33">
        <f>SUM(D22:D31)</f>
        <v>4133612320.6899996</v>
      </c>
      <c r="E35" s="33">
        <f>资产资本表!E17</f>
        <v>3881176956.04</v>
      </c>
      <c r="F35" s="33">
        <f>资产资本表!F17</f>
        <v>2828544672.0999999</v>
      </c>
      <c r="G35" s="33">
        <f>资产资本表!G17</f>
        <v>2619913583.2399998</v>
      </c>
      <c r="H35" s="33">
        <f>资产资本表!H17</f>
        <v>2235345921.3899999</v>
      </c>
      <c r="I35" s="33">
        <f>资产资本表!I17</f>
        <v>3037245075.1000004</v>
      </c>
      <c r="J35" s="33">
        <f>资产资本表!J17</f>
        <v>1673500141.8899999</v>
      </c>
      <c r="K35" s="33">
        <f>资产资本表!K17</f>
        <v>1871522896.27</v>
      </c>
      <c r="L35" s="33">
        <f>资产资本表!L17</f>
        <v>2033833378.0599999</v>
      </c>
      <c r="M35" s="33">
        <f>资产资本表!M17</f>
        <v>1826613158.1099999</v>
      </c>
      <c r="N35" s="33">
        <f>资产资本表!N17</f>
        <v>986468446.34000003</v>
      </c>
      <c r="O35" s="33">
        <f>资产资本表!O17</f>
        <v>1120655685.3899999</v>
      </c>
      <c r="P35" s="33">
        <f>资产资本表!P17</f>
        <v>1091051519.2299998</v>
      </c>
      <c r="Q35" s="33">
        <f>资产资本表!Q17</f>
        <v>1381369248.71</v>
      </c>
      <c r="R35" s="33">
        <f>资产资本表!R17</f>
        <v>1131017534.1099999</v>
      </c>
      <c r="S35" s="33">
        <f>资产资本表!S17</f>
        <v>1282047421.76</v>
      </c>
      <c r="T35" s="33">
        <f>资产资本表!T17</f>
        <v>1671056463.3600001</v>
      </c>
      <c r="U35" s="33">
        <f>资产资本表!U17</f>
        <v>1836222698.1700001</v>
      </c>
      <c r="V35" s="33">
        <f>资产资本表!V17</f>
        <v>1489597110.8000002</v>
      </c>
      <c r="W35" s="33">
        <f>资产资本表!W17</f>
        <v>1513976273.0400002</v>
      </c>
      <c r="X35" s="33">
        <f>资产资本表!X17</f>
        <v>651410643.10000002</v>
      </c>
      <c r="Y35" s="33">
        <f>资产资本表!Y17</f>
        <v>918039781.38999999</v>
      </c>
      <c r="Z35" s="33">
        <f>资产资本表!Z17</f>
        <v>544741490.14999998</v>
      </c>
      <c r="AA35" s="33">
        <f>资产资本表!AA17</f>
        <v>382829129.23000002</v>
      </c>
      <c r="AB35" s="33">
        <f>资产资本表!AB17</f>
        <v>255240699.55999997</v>
      </c>
      <c r="AC35" s="33">
        <f>资产资本表!AC17</f>
        <v>503847504.23000002</v>
      </c>
      <c r="AD35" s="33">
        <f>资产资本表!AD17</f>
        <v>336594654.00999999</v>
      </c>
      <c r="AE35" s="33">
        <f>资产资本表!AE17</f>
        <v>470647425.12</v>
      </c>
      <c r="AF35" s="33">
        <f>资产资本表!AF17</f>
        <v>604878278.37</v>
      </c>
      <c r="AG35" s="33">
        <f>资产资本表!AG17</f>
        <v>723497264.2700001</v>
      </c>
      <c r="AH35" s="33">
        <f>资产资本表!AH17</f>
        <v>553542217.47000003</v>
      </c>
      <c r="AI35" s="33">
        <f>资产资本表!AI17</f>
        <v>466859601.65000004</v>
      </c>
      <c r="AJ35" s="33">
        <f>资产资本表!AJ17</f>
        <v>480638318.57999998</v>
      </c>
      <c r="AK35" s="33">
        <f>资产资本表!AK17</f>
        <v>483261716.43000001</v>
      </c>
      <c r="AL35" s="33">
        <f>资产资本表!AL17</f>
        <v>426396690.62</v>
      </c>
      <c r="AM35" s="33">
        <f>资产资本表!AM17</f>
        <v>411983945.06999999</v>
      </c>
      <c r="AN35" s="33">
        <f>资产资本表!AN17</f>
        <v>396439583.07999998</v>
      </c>
      <c r="AO35" s="33">
        <f>资产资本表!AO17</f>
        <v>419459963.51000005</v>
      </c>
      <c r="AP35" s="33">
        <f>资产资本表!AP17</f>
        <v>371637992.38</v>
      </c>
      <c r="AQ35" s="33">
        <f>资产资本表!AQ17</f>
        <v>407778367.36000001</v>
      </c>
      <c r="AR35" s="33">
        <f>资产资本表!AR17</f>
        <v>49633403.07</v>
      </c>
      <c r="AS35" s="33">
        <f>资产资本表!AS17</f>
        <v>88491495.680000007</v>
      </c>
      <c r="AT35" s="33">
        <f>资产资本表!AT17</f>
        <v>29230691.68</v>
      </c>
      <c r="AU35" s="33">
        <f>资产资本表!AU17</f>
        <v>68113502.120000005</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77742285.099999994</v>
      </c>
      <c r="C40" s="190">
        <v>28410000</v>
      </c>
      <c r="D40" s="190">
        <v>4400000</v>
      </c>
      <c r="E40" s="190">
        <v>40773116</v>
      </c>
      <c r="F40" s="190">
        <v>40773116</v>
      </c>
      <c r="G40" s="190">
        <v>33003538</v>
      </c>
      <c r="H40" s="190">
        <v>21523538</v>
      </c>
      <c r="I40" s="190">
        <v>138539000</v>
      </c>
      <c r="J40" s="190">
        <v>133089000</v>
      </c>
      <c r="K40" s="190">
        <v>112364000</v>
      </c>
      <c r="L40" s="190">
        <v>81000000</v>
      </c>
      <c r="M40" s="190">
        <v>53250000</v>
      </c>
      <c r="N40" s="190">
        <v>3400000</v>
      </c>
      <c r="O40" s="190">
        <v>3400000</v>
      </c>
      <c r="P40" s="190">
        <v>3400000</v>
      </c>
      <c r="Q40" s="190">
        <v>494389444.86000001</v>
      </c>
      <c r="R40" s="190">
        <v>499576994.86000001</v>
      </c>
      <c r="S40" s="190">
        <v>499971100.86000001</v>
      </c>
      <c r="T40" s="190">
        <v>499971100.86000001</v>
      </c>
      <c r="U40" s="190">
        <v>985338662.66999996</v>
      </c>
      <c r="V40" s="190">
        <v>985338662.66999996</v>
      </c>
      <c r="W40" s="190">
        <v>985338662.66999996</v>
      </c>
      <c r="X40" s="190">
        <v>0</v>
      </c>
      <c r="Y40" s="190">
        <v>0</v>
      </c>
      <c r="Z40" s="190">
        <v>0</v>
      </c>
      <c r="AA40" s="190">
        <v>0</v>
      </c>
      <c r="AB40" s="190">
        <v>0</v>
      </c>
      <c r="AC40" s="190">
        <v>5300000</v>
      </c>
      <c r="AD40" s="190">
        <v>2900000</v>
      </c>
      <c r="AE40" s="190">
        <v>1000000</v>
      </c>
      <c r="AF40" s="190">
        <v>1000000</v>
      </c>
      <c r="AG40" s="190">
        <v>101220144</v>
      </c>
      <c r="AH40" s="190">
        <v>101220144</v>
      </c>
      <c r="AI40" s="190">
        <v>1900000</v>
      </c>
      <c r="AJ40" s="190">
        <v>1900000</v>
      </c>
      <c r="AK40" s="190">
        <v>0</v>
      </c>
      <c r="AL40" s="190">
        <v>0</v>
      </c>
      <c r="AM40" s="190">
        <v>0</v>
      </c>
      <c r="AN40" s="190">
        <v>0</v>
      </c>
      <c r="AO40" s="190">
        <v>389552966</v>
      </c>
      <c r="AP40" s="190">
        <v>389552966</v>
      </c>
      <c r="AQ40" s="190">
        <v>389552966</v>
      </c>
      <c r="AR40" s="190">
        <v>0</v>
      </c>
      <c r="AS40" s="190">
        <v>175000</v>
      </c>
      <c r="AT40" s="190">
        <v>500000</v>
      </c>
      <c r="AU40" s="190">
        <v>175000</v>
      </c>
      <c r="AV40" s="190">
        <v>500000</v>
      </c>
      <c r="AW40" s="190">
        <v>250000</v>
      </c>
      <c r="AX40" s="190">
        <v>26200000</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289941140.5</v>
      </c>
      <c r="I41" s="53">
        <v>231979900.40000001</v>
      </c>
      <c r="M41" s="53">
        <v>115966238.16</v>
      </c>
      <c r="Q41" s="53">
        <v>114613316.7</v>
      </c>
      <c r="U41" s="53">
        <v>89299724.799999997</v>
      </c>
      <c r="Y41" s="53">
        <v>69770100</v>
      </c>
      <c r="AC41" s="53">
        <v>69770100</v>
      </c>
      <c r="AG41" s="53">
        <v>40080000</v>
      </c>
      <c r="AK41" s="53">
        <v>15030000</v>
      </c>
    </row>
    <row r="42" spans="1:74" s="26" customFormat="1" x14ac:dyDescent="0.25">
      <c r="A42" s="17" t="s">
        <v>322</v>
      </c>
      <c r="E42" s="26">
        <f>E40-E41</f>
        <v>-249168024.5</v>
      </c>
      <c r="F42" s="26">
        <f t="shared" ref="F42:Y42" si="82">F40-F41</f>
        <v>40773116</v>
      </c>
      <c r="G42" s="26">
        <f t="shared" si="82"/>
        <v>33003538</v>
      </c>
      <c r="H42" s="26">
        <f t="shared" si="82"/>
        <v>21523538</v>
      </c>
      <c r="I42" s="26">
        <f>I40-I41</f>
        <v>-93440900.400000006</v>
      </c>
      <c r="J42" s="26">
        <f t="shared" si="82"/>
        <v>133089000</v>
      </c>
      <c r="K42" s="26">
        <f t="shared" si="82"/>
        <v>112364000</v>
      </c>
      <c r="L42" s="26">
        <f t="shared" si="82"/>
        <v>81000000</v>
      </c>
      <c r="M42" s="26">
        <f t="shared" si="82"/>
        <v>-62716238.159999996</v>
      </c>
      <c r="N42" s="26">
        <f t="shared" si="82"/>
        <v>3400000</v>
      </c>
      <c r="O42" s="26">
        <f t="shared" si="82"/>
        <v>3400000</v>
      </c>
      <c r="P42" s="26">
        <f t="shared" si="82"/>
        <v>3400000</v>
      </c>
      <c r="Q42" s="26">
        <f t="shared" si="82"/>
        <v>379776128.16000003</v>
      </c>
      <c r="R42" s="26">
        <f t="shared" si="82"/>
        <v>499576994.86000001</v>
      </c>
      <c r="S42" s="26">
        <f t="shared" si="82"/>
        <v>499971100.86000001</v>
      </c>
      <c r="T42" s="26">
        <f t="shared" si="82"/>
        <v>499971100.86000001</v>
      </c>
      <c r="U42" s="26">
        <f t="shared" si="82"/>
        <v>896038937.87</v>
      </c>
      <c r="V42" s="26">
        <f t="shared" si="82"/>
        <v>985338662.66999996</v>
      </c>
      <c r="W42" s="26">
        <f t="shared" si="82"/>
        <v>985338662.66999996</v>
      </c>
      <c r="X42" s="26">
        <f t="shared" si="82"/>
        <v>0</v>
      </c>
      <c r="Y42" s="26">
        <f t="shared" si="82"/>
        <v>-69770100</v>
      </c>
      <c r="Z42" s="26">
        <f t="shared" ref="Z42:BQ42" si="83">Z40-Z41</f>
        <v>0</v>
      </c>
      <c r="AA42" s="26">
        <f t="shared" si="83"/>
        <v>0</v>
      </c>
      <c r="AB42" s="26">
        <f t="shared" si="83"/>
        <v>0</v>
      </c>
      <c r="AC42" s="26">
        <f t="shared" si="83"/>
        <v>-64470100</v>
      </c>
      <c r="AD42" s="26">
        <f t="shared" si="83"/>
        <v>2900000</v>
      </c>
      <c r="AE42" s="26">
        <f t="shared" si="83"/>
        <v>1000000</v>
      </c>
      <c r="AF42" s="26">
        <f t="shared" si="83"/>
        <v>1000000</v>
      </c>
      <c r="AG42" s="26">
        <f t="shared" si="83"/>
        <v>61140144</v>
      </c>
      <c r="AH42" s="26">
        <f t="shared" si="83"/>
        <v>101220144</v>
      </c>
      <c r="AI42" s="26">
        <f t="shared" si="83"/>
        <v>1900000</v>
      </c>
      <c r="AJ42" s="26">
        <f t="shared" si="83"/>
        <v>1900000</v>
      </c>
      <c r="AK42" s="26">
        <f t="shared" si="83"/>
        <v>-15030000</v>
      </c>
      <c r="AL42" s="193">
        <f t="shared" si="83"/>
        <v>0</v>
      </c>
      <c r="AM42" s="193">
        <f t="shared" si="83"/>
        <v>0</v>
      </c>
      <c r="AN42" s="193">
        <f t="shared" si="83"/>
        <v>0</v>
      </c>
      <c r="AO42" s="193">
        <f t="shared" si="83"/>
        <v>389552966</v>
      </c>
      <c r="AP42" s="193">
        <f t="shared" si="83"/>
        <v>389552966</v>
      </c>
      <c r="AQ42" s="193">
        <f t="shared" si="83"/>
        <v>389552966</v>
      </c>
      <c r="AR42" s="193">
        <f t="shared" si="83"/>
        <v>0</v>
      </c>
      <c r="AS42" s="193">
        <f t="shared" si="83"/>
        <v>175000</v>
      </c>
      <c r="AT42" s="193">
        <f t="shared" si="83"/>
        <v>500000</v>
      </c>
      <c r="AU42" s="193">
        <f t="shared" si="83"/>
        <v>175000</v>
      </c>
      <c r="AV42" s="193">
        <f t="shared" si="83"/>
        <v>500000</v>
      </c>
      <c r="AW42" s="193">
        <f t="shared" si="83"/>
        <v>250000</v>
      </c>
      <c r="AX42" s="193">
        <f t="shared" si="83"/>
        <v>26200000</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4608755547.1099997</v>
      </c>
      <c r="C44" s="190">
        <v>2967492895.9000001</v>
      </c>
      <c r="D44" s="190">
        <v>1723234241.0999999</v>
      </c>
      <c r="E44" s="190">
        <v>4857362598.3400002</v>
      </c>
      <c r="F44" s="190">
        <v>3423644986.1900001</v>
      </c>
      <c r="G44" s="190">
        <v>2887563340.8099999</v>
      </c>
      <c r="H44" s="190">
        <v>1382420658.0999999</v>
      </c>
      <c r="I44" s="190">
        <v>1486796728.3499999</v>
      </c>
      <c r="J44" s="190">
        <v>767747449.13</v>
      </c>
      <c r="K44" s="190">
        <v>411969888.89999998</v>
      </c>
      <c r="L44" s="190">
        <v>253247602</v>
      </c>
      <c r="M44" s="190">
        <v>561370000</v>
      </c>
      <c r="N44" s="190">
        <v>253134000</v>
      </c>
      <c r="O44" s="190">
        <v>122566000</v>
      </c>
      <c r="P44" s="190">
        <v>61370000</v>
      </c>
      <c r="Q44" s="190">
        <v>283406575.87</v>
      </c>
      <c r="R44" s="190">
        <v>282964912.74000001</v>
      </c>
      <c r="S44" s="190">
        <v>282964912.74000001</v>
      </c>
      <c r="T44" s="190">
        <v>119704904</v>
      </c>
      <c r="U44" s="190">
        <v>76570593.129999995</v>
      </c>
      <c r="V44" s="190">
        <v>76570313.129999995</v>
      </c>
      <c r="W44" s="190">
        <v>76570313.129999995</v>
      </c>
      <c r="X44" s="190">
        <v>76570313.129999995</v>
      </c>
      <c r="Y44" s="190">
        <v>240454051.40000001</v>
      </c>
      <c r="Z44" s="190">
        <v>239831849.25999999</v>
      </c>
      <c r="AA44" s="190">
        <v>184875088.49000001</v>
      </c>
      <c r="AB44" s="190">
        <v>34205861.420000002</v>
      </c>
      <c r="AC44" s="190">
        <v>176972826.37</v>
      </c>
      <c r="AD44" s="190">
        <v>175020946.16</v>
      </c>
      <c r="AE44" s="190">
        <v>162247546.16</v>
      </c>
      <c r="AF44" s="190">
        <v>111368563.27</v>
      </c>
      <c r="AG44" s="190">
        <v>231324233.16</v>
      </c>
      <c r="AH44" s="190">
        <v>123984464.76000001</v>
      </c>
      <c r="AI44" s="190">
        <v>69510724.370000005</v>
      </c>
      <c r="AJ44" s="190">
        <v>42264095.869999997</v>
      </c>
      <c r="AK44" s="190">
        <v>65089025.039999999</v>
      </c>
      <c r="AL44" s="190">
        <v>20696601.57</v>
      </c>
      <c r="AM44" s="190">
        <v>13663400</v>
      </c>
      <c r="AN44" s="190">
        <v>0</v>
      </c>
      <c r="AO44" s="190">
        <v>6838800</v>
      </c>
      <c r="AP44" s="190">
        <v>6838800</v>
      </c>
      <c r="AQ44" s="190">
        <v>0</v>
      </c>
      <c r="AR44" s="190">
        <v>0</v>
      </c>
      <c r="AS44" s="190">
        <v>72599500</v>
      </c>
      <c r="AT44" s="190">
        <v>69960853</v>
      </c>
      <c r="AU44" s="190">
        <v>60000000</v>
      </c>
      <c r="AV44" s="190">
        <v>20000000</v>
      </c>
      <c r="AW44" s="190">
        <v>135000000</v>
      </c>
      <c r="AX44" s="190">
        <v>64530000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73301999.989999995</v>
      </c>
      <c r="F45" s="193">
        <f>股权价值增加表!F53</f>
        <v>0</v>
      </c>
      <c r="G45" s="193">
        <f>股权价值增加表!G53</f>
        <v>0</v>
      </c>
      <c r="H45" s="193">
        <f>股权价值增加表!H53</f>
        <v>0</v>
      </c>
      <c r="I45" s="193">
        <f>股权价值增加表!I53</f>
        <v>35680898.909999996</v>
      </c>
      <c r="J45" s="193">
        <f>股权价值增加表!J53</f>
        <v>0</v>
      </c>
      <c r="K45" s="193">
        <f>股权价值增加表!K53</f>
        <v>0</v>
      </c>
      <c r="L45" s="193">
        <f>股权价值增加表!L53</f>
        <v>0</v>
      </c>
      <c r="M45" s="193" t="e">
        <f>股权价值增加表!#REF!</f>
        <v>#REF!</v>
      </c>
      <c r="N45" s="193">
        <f>股权价值增加表!N53</f>
        <v>0</v>
      </c>
      <c r="O45" s="193">
        <f>股权价值增加表!O53</f>
        <v>0</v>
      </c>
      <c r="P45" s="193">
        <f>股权价值增加表!P53</f>
        <v>0</v>
      </c>
      <c r="Q45" s="193">
        <f>股权价值增加表!Q53</f>
        <v>7448678.2800000003</v>
      </c>
      <c r="R45" s="193">
        <f>股权价值增加表!R53</f>
        <v>0</v>
      </c>
      <c r="S45" s="193">
        <f>股权价值增加表!S53</f>
        <v>0</v>
      </c>
      <c r="T45" s="193">
        <f>股权价值增加表!T53</f>
        <v>0</v>
      </c>
      <c r="U45" s="193">
        <f>股权价值增加表!U53</f>
        <v>3754446.43</v>
      </c>
      <c r="V45" s="193">
        <f>股权价值增加表!V53</f>
        <v>0</v>
      </c>
      <c r="W45" s="193">
        <f>股权价值增加表!W53</f>
        <v>0</v>
      </c>
      <c r="X45" s="193">
        <f>股权价值增加表!X53</f>
        <v>0</v>
      </c>
      <c r="Y45" s="193">
        <f>股权价值增加表!Y53</f>
        <v>6355714.4000000004</v>
      </c>
      <c r="Z45" s="193">
        <f>股权价值增加表!Z53</f>
        <v>0</v>
      </c>
      <c r="AA45" s="193">
        <f>股权价值增加表!AA53</f>
        <v>0</v>
      </c>
      <c r="AB45" s="193">
        <f>股权价值增加表!AB53</f>
        <v>0</v>
      </c>
      <c r="AC45" s="193">
        <f>股权价值增加表!AC53</f>
        <v>3492440.71</v>
      </c>
      <c r="AD45" s="193">
        <f>股权价值增加表!AD53</f>
        <v>0</v>
      </c>
      <c r="AE45" s="193">
        <f>股权价值增加表!AE53</f>
        <v>0</v>
      </c>
      <c r="AF45" s="193">
        <f>股权价值增加表!AF53</f>
        <v>0</v>
      </c>
      <c r="AG45" s="193">
        <f>股权价值增加表!AG53</f>
        <v>2814100.53</v>
      </c>
      <c r="AH45" s="193">
        <f>股权价值增加表!AH53</f>
        <v>0</v>
      </c>
      <c r="AI45" s="193">
        <f>股权价值增加表!AI53</f>
        <v>0</v>
      </c>
      <c r="AJ45" s="193">
        <f>股权价值增加表!AJ53</f>
        <v>0</v>
      </c>
      <c r="AK45" s="193">
        <f>股权价值增加表!AK53</f>
        <v>284427.03999999998</v>
      </c>
      <c r="AL45" s="193">
        <f>股权价值增加表!AL53</f>
        <v>0</v>
      </c>
      <c r="AM45" s="193">
        <f>股权价值增加表!AM53</f>
        <v>0</v>
      </c>
      <c r="AN45" s="193">
        <f>股权价值增加表!AN53</f>
        <v>0</v>
      </c>
      <c r="AO45" s="193">
        <f>股权价值增加表!AO53</f>
        <v>450566</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6806258.4199999999</v>
      </c>
      <c r="D46" s="190">
        <v>6643974.5599999996</v>
      </c>
      <c r="E46" s="190">
        <v>3694476.25</v>
      </c>
      <c r="F46" s="190">
        <v>5212060.4400000004</v>
      </c>
      <c r="G46" s="190">
        <v>3349765.57</v>
      </c>
      <c r="H46" s="190">
        <v>2456733.4</v>
      </c>
      <c r="I46" s="190">
        <v>1037775.33</v>
      </c>
      <c r="J46" s="190">
        <v>270118.55</v>
      </c>
      <c r="K46" s="190">
        <v>646032.55000000005</v>
      </c>
      <c r="L46" s="190">
        <v>530765.74</v>
      </c>
      <c r="M46" s="190">
        <v>347577.41</v>
      </c>
      <c r="N46" s="190">
        <v>192275.20000000001</v>
      </c>
      <c r="O46" s="190">
        <v>5752.22</v>
      </c>
      <c r="P46" s="190">
        <v>0</v>
      </c>
      <c r="Q46" s="190">
        <v>0</v>
      </c>
      <c r="R46" s="190">
        <v>603773.71</v>
      </c>
      <c r="S46" s="190">
        <v>1446633.95</v>
      </c>
      <c r="T46" s="190">
        <v>496080.16</v>
      </c>
      <c r="U46" s="190">
        <v>500237.1</v>
      </c>
      <c r="V46" s="190">
        <v>353755.92</v>
      </c>
      <c r="W46" s="190">
        <v>975240.95</v>
      </c>
      <c r="X46" s="190">
        <v>3962060.87</v>
      </c>
      <c r="Y46" s="190">
        <v>5469617.8499999996</v>
      </c>
      <c r="Z46" s="190">
        <v>4452841.5599999996</v>
      </c>
      <c r="AA46" s="190">
        <v>1139449.19</v>
      </c>
      <c r="AB46" s="190">
        <v>486496.1</v>
      </c>
      <c r="AC46" s="190">
        <v>862179.78</v>
      </c>
      <c r="AD46" s="190">
        <v>2139663.0299999998</v>
      </c>
      <c r="AE46" s="190">
        <v>1588690.25</v>
      </c>
      <c r="AF46" s="190">
        <v>1062604.73</v>
      </c>
      <c r="AG46" s="190">
        <v>1308131.6100000001</v>
      </c>
      <c r="AH46" s="190">
        <v>0</v>
      </c>
      <c r="AI46" s="190">
        <v>0</v>
      </c>
      <c r="AJ46" s="190">
        <v>23975.14</v>
      </c>
      <c r="AK46" s="190">
        <v>23975.14</v>
      </c>
      <c r="AL46" s="190">
        <v>108321.59</v>
      </c>
      <c r="AM46" s="190">
        <v>16119.62</v>
      </c>
      <c r="AN46" s="190">
        <v>0</v>
      </c>
      <c r="AO46" s="190">
        <v>0</v>
      </c>
      <c r="AP46" s="190">
        <v>15677.62</v>
      </c>
      <c r="AQ46" s="190">
        <v>12778.31</v>
      </c>
      <c r="AR46" s="190">
        <v>7650</v>
      </c>
      <c r="AS46" s="190">
        <v>19512.5</v>
      </c>
      <c r="AT46" s="190">
        <v>42900</v>
      </c>
      <c r="AU46" s="190">
        <v>31900</v>
      </c>
      <c r="AV46" s="190">
        <v>0</v>
      </c>
      <c r="AW46" s="190"/>
      <c r="AX46" s="190"/>
      <c r="AY46" s="190"/>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3615177763.8099999</v>
      </c>
      <c r="C47" s="190">
        <v>2210534089.02</v>
      </c>
      <c r="D47" s="190">
        <v>1073430976.54</v>
      </c>
      <c r="E47" s="190">
        <v>3847629805.5999999</v>
      </c>
      <c r="F47" s="190">
        <v>1878090687.3099999</v>
      </c>
      <c r="G47" s="190">
        <v>1569019325.26</v>
      </c>
      <c r="H47" s="190">
        <v>454136620</v>
      </c>
      <c r="I47" s="190">
        <v>977125255.92999995</v>
      </c>
      <c r="J47" s="190">
        <v>316985977.79000002</v>
      </c>
      <c r="K47" s="190">
        <v>32895000</v>
      </c>
      <c r="L47" s="190">
        <v>0</v>
      </c>
      <c r="M47" s="190">
        <v>61172000</v>
      </c>
      <c r="N47" s="190">
        <v>61172000</v>
      </c>
      <c r="O47" s="190">
        <v>0</v>
      </c>
      <c r="P47" s="190">
        <v>0</v>
      </c>
      <c r="Q47" s="190">
        <v>326145428.29000002</v>
      </c>
      <c r="R47" s="190">
        <v>287116288.17000002</v>
      </c>
      <c r="S47" s="190">
        <v>162834400</v>
      </c>
      <c r="T47" s="190">
        <v>42834400</v>
      </c>
      <c r="U47" s="190">
        <v>246079528.56999999</v>
      </c>
      <c r="V47" s="190">
        <v>247258250.49000001</v>
      </c>
      <c r="W47" s="190">
        <v>186531230.72</v>
      </c>
      <c r="X47" s="190">
        <v>76367199.480000004</v>
      </c>
      <c r="Y47" s="190">
        <v>61374675.649999999</v>
      </c>
      <c r="Z47" s="190">
        <v>37893200</v>
      </c>
      <c r="AA47" s="190">
        <v>37893200</v>
      </c>
      <c r="AB47" s="190">
        <v>25302800</v>
      </c>
      <c r="AC47" s="190">
        <v>281033008.44</v>
      </c>
      <c r="AD47" s="190">
        <v>230112010.62</v>
      </c>
      <c r="AE47" s="190">
        <v>193052307.50999999</v>
      </c>
      <c r="AF47" s="190">
        <v>121425877.98999999</v>
      </c>
      <c r="AG47" s="190">
        <v>145572547.28</v>
      </c>
      <c r="AH47" s="190">
        <v>47785801.57</v>
      </c>
      <c r="AI47" s="190">
        <v>13652600</v>
      </c>
      <c r="AJ47" s="190">
        <v>0</v>
      </c>
      <c r="AK47" s="190">
        <v>0</v>
      </c>
      <c r="AL47" s="190">
        <v>0</v>
      </c>
      <c r="AM47" s="190">
        <v>0</v>
      </c>
      <c r="AN47" s="190">
        <v>0</v>
      </c>
      <c r="AO47" s="190">
        <v>18675300</v>
      </c>
      <c r="AP47" s="190">
        <v>11838800</v>
      </c>
      <c r="AQ47" s="190">
        <v>5000000</v>
      </c>
      <c r="AR47" s="190">
        <v>5000000</v>
      </c>
      <c r="AS47" s="190">
        <v>85000000</v>
      </c>
      <c r="AT47" s="190">
        <v>80000000</v>
      </c>
      <c r="AU47" s="190">
        <v>20000000</v>
      </c>
      <c r="AV47" s="190">
        <v>10000000</v>
      </c>
      <c r="AW47" s="190">
        <v>90000000</v>
      </c>
      <c r="AX47" s="190">
        <v>34530000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932736316.50000048</v>
      </c>
      <c r="F49" s="193">
        <f t="shared" ref="F49:BQ49" si="85">F44+F48-F45-F46-F47</f>
        <v>1540342238.4400001</v>
      </c>
      <c r="G49" s="193">
        <f t="shared" si="85"/>
        <v>1315194249.9799998</v>
      </c>
      <c r="H49" s="193">
        <f t="shared" si="85"/>
        <v>925827304.69999981</v>
      </c>
      <c r="I49" s="193">
        <f t="shared" si="85"/>
        <v>472952798.17999995</v>
      </c>
      <c r="J49" s="193">
        <f t="shared" si="85"/>
        <v>450491352.79000002</v>
      </c>
      <c r="K49" s="193">
        <f t="shared" si="85"/>
        <v>378428856.34999996</v>
      </c>
      <c r="L49" s="193">
        <f t="shared" si="85"/>
        <v>252716836.25999999</v>
      </c>
      <c r="M49" s="193" t="e">
        <f t="shared" si="85"/>
        <v>#REF!</v>
      </c>
      <c r="N49" s="193">
        <f t="shared" si="85"/>
        <v>191769724.80000001</v>
      </c>
      <c r="O49" s="193">
        <f t="shared" si="85"/>
        <v>122560247.78</v>
      </c>
      <c r="P49" s="193">
        <f t="shared" si="85"/>
        <v>61370000</v>
      </c>
      <c r="Q49" s="193">
        <f t="shared" si="85"/>
        <v>-50187530.699999988</v>
      </c>
      <c r="R49" s="193">
        <f t="shared" si="85"/>
        <v>-4755149.1399999857</v>
      </c>
      <c r="S49" s="193">
        <f t="shared" si="85"/>
        <v>118683878.79000002</v>
      </c>
      <c r="T49" s="193">
        <f t="shared" si="85"/>
        <v>76374423.840000004</v>
      </c>
      <c r="U49" s="193">
        <f t="shared" si="85"/>
        <v>-173763618.97</v>
      </c>
      <c r="V49" s="193">
        <f t="shared" si="85"/>
        <v>-171041693.28000003</v>
      </c>
      <c r="W49" s="193">
        <f t="shared" si="85"/>
        <v>-110936158.54000001</v>
      </c>
      <c r="X49" s="193">
        <f t="shared" si="85"/>
        <v>-3758947.2200000137</v>
      </c>
      <c r="Y49" s="193">
        <f t="shared" si="85"/>
        <v>167254043.5</v>
      </c>
      <c r="Z49" s="193">
        <f t="shared" si="85"/>
        <v>197485807.69999999</v>
      </c>
      <c r="AA49" s="193">
        <f t="shared" si="85"/>
        <v>145842439.30000001</v>
      </c>
      <c r="AB49" s="193">
        <f t="shared" si="85"/>
        <v>8416565.3200000003</v>
      </c>
      <c r="AC49" s="193">
        <f t="shared" si="85"/>
        <v>-108414802.56</v>
      </c>
      <c r="AD49" s="193">
        <f t="shared" si="85"/>
        <v>-57230727.49000001</v>
      </c>
      <c r="AE49" s="193">
        <f t="shared" si="85"/>
        <v>-32393451.599999994</v>
      </c>
      <c r="AF49" s="193">
        <f t="shared" si="85"/>
        <v>-11119919.450000003</v>
      </c>
      <c r="AG49" s="193">
        <f t="shared" si="85"/>
        <v>81629453.73999998</v>
      </c>
      <c r="AH49" s="193">
        <f t="shared" si="85"/>
        <v>76198663.189999998</v>
      </c>
      <c r="AI49" s="193">
        <f t="shared" si="85"/>
        <v>55858124.370000005</v>
      </c>
      <c r="AJ49" s="193">
        <f t="shared" si="85"/>
        <v>42240120.729999997</v>
      </c>
      <c r="AK49" s="193">
        <f t="shared" si="85"/>
        <v>64780622.859999999</v>
      </c>
      <c r="AL49" s="193">
        <f t="shared" si="85"/>
        <v>20588279.98</v>
      </c>
      <c r="AM49" s="193">
        <f t="shared" si="85"/>
        <v>13647280.380000001</v>
      </c>
      <c r="AN49" s="193">
        <f t="shared" si="85"/>
        <v>0</v>
      </c>
      <c r="AO49" s="193">
        <f t="shared" si="85"/>
        <v>-12287066</v>
      </c>
      <c r="AP49" s="193">
        <f t="shared" si="85"/>
        <v>-5015677.62</v>
      </c>
      <c r="AQ49" s="193">
        <f t="shared" si="85"/>
        <v>-5012778.3099999996</v>
      </c>
      <c r="AR49" s="193">
        <f t="shared" si="85"/>
        <v>-5007650</v>
      </c>
      <c r="AS49" s="193">
        <f t="shared" si="85"/>
        <v>-12420012.5</v>
      </c>
      <c r="AT49" s="193">
        <f t="shared" si="85"/>
        <v>-10082047</v>
      </c>
      <c r="AU49" s="193">
        <f t="shared" si="85"/>
        <v>39968100</v>
      </c>
      <c r="AV49" s="193">
        <f t="shared" si="85"/>
        <v>10000000</v>
      </c>
      <c r="AW49" s="193">
        <f t="shared" si="85"/>
        <v>45000000</v>
      </c>
      <c r="AX49" s="193">
        <f t="shared" si="85"/>
        <v>30000000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4" sqref="A14:AG14"/>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19.33203125" hidden="1" customWidth="1"/>
    <col min="35"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7" width="17.21875" hidden="1" customWidth="1"/>
    <col min="48" max="48" width="9.5546875" hidden="1" customWidth="1"/>
    <col min="49" max="50" width="19.33203125" bestFit="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73301999.989999995</v>
      </c>
      <c r="F3" s="26">
        <f>股权价值增加表!F53</f>
        <v>0</v>
      </c>
      <c r="G3" s="26">
        <f>股权价值增加表!G53</f>
        <v>0</v>
      </c>
      <c r="H3" s="26">
        <f>股权价值增加表!H53</f>
        <v>0</v>
      </c>
      <c r="I3" s="26">
        <f>股权价值增加表!I53</f>
        <v>35680898.909999996</v>
      </c>
      <c r="J3" s="193">
        <f>股权价值增加表!J53</f>
        <v>0</v>
      </c>
      <c r="K3" s="193">
        <f>股权价值增加表!K53</f>
        <v>0</v>
      </c>
      <c r="L3" s="193">
        <f>股权价值增加表!L53</f>
        <v>0</v>
      </c>
      <c r="M3" s="193">
        <f>股权价值增加表!M53</f>
        <v>2772474.67</v>
      </c>
      <c r="N3" s="193">
        <f>股权价值增加表!N53</f>
        <v>0</v>
      </c>
      <c r="O3" s="193">
        <f>股权价值增加表!O53</f>
        <v>0</v>
      </c>
      <c r="P3" s="193">
        <f>股权价值增加表!P53</f>
        <v>0</v>
      </c>
      <c r="Q3" s="193">
        <f>股权价值增加表!Q53</f>
        <v>7448678.2800000003</v>
      </c>
      <c r="R3" s="26">
        <f>股权价值增加表!R53</f>
        <v>0</v>
      </c>
      <c r="S3" s="26">
        <f>股权价值增加表!S53</f>
        <v>0</v>
      </c>
      <c r="T3" s="26">
        <f>股权价值增加表!T53</f>
        <v>0</v>
      </c>
      <c r="U3" s="26">
        <f>股权价值增加表!U53</f>
        <v>3754446.43</v>
      </c>
      <c r="V3" s="26">
        <f>股权价值增加表!V53</f>
        <v>0</v>
      </c>
      <c r="W3" s="26">
        <f>股权价值增加表!W53</f>
        <v>0</v>
      </c>
      <c r="X3" s="26">
        <f>股权价值增加表!X53</f>
        <v>0</v>
      </c>
      <c r="Y3" s="26">
        <f>股权价值增加表!Y53</f>
        <v>6355714.4000000004</v>
      </c>
      <c r="Z3" s="26">
        <f>股权价值增加表!Z53</f>
        <v>0</v>
      </c>
      <c r="AA3" s="26">
        <f>股权价值增加表!AA53</f>
        <v>0</v>
      </c>
      <c r="AB3" s="26">
        <f>股权价值增加表!AB53</f>
        <v>0</v>
      </c>
      <c r="AC3" s="26">
        <f>股权价值增加表!AC53</f>
        <v>3492440.71</v>
      </c>
      <c r="AD3" s="26">
        <f>股权价值增加表!AD53</f>
        <v>0</v>
      </c>
      <c r="AE3" s="26">
        <f>股权价值增加表!AE53</f>
        <v>0</v>
      </c>
      <c r="AF3" s="26">
        <f>股权价值增加表!AF53</f>
        <v>0</v>
      </c>
      <c r="AG3" s="26">
        <f>股权价值增加表!AG53</f>
        <v>2814100.53</v>
      </c>
      <c r="AH3" s="26">
        <f>股权价值增加表!AH53</f>
        <v>0</v>
      </c>
      <c r="AI3" s="26">
        <f>股权价值增加表!AI53</f>
        <v>0</v>
      </c>
      <c r="AJ3" s="26">
        <f>股权价值增加表!AJ53</f>
        <v>0</v>
      </c>
      <c r="AK3" s="26">
        <f>股权价值增加表!AK53</f>
        <v>284427.03999999998</v>
      </c>
      <c r="AL3" s="26">
        <f>股权价值增加表!AL53</f>
        <v>0</v>
      </c>
      <c r="AM3" s="26">
        <f>股权价值增加表!AM53</f>
        <v>0</v>
      </c>
      <c r="AN3" s="26">
        <f>股权价值增加表!AN53</f>
        <v>0</v>
      </c>
      <c r="AO3" s="26">
        <f>股权价值增加表!AO53</f>
        <v>450566</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2425669668.6900001</v>
      </c>
      <c r="F4" s="26">
        <f>资产资本表!F89</f>
        <v>2720631933.0100002</v>
      </c>
      <c r="G4" s="26">
        <f>资产资本表!G89</f>
        <v>2497933043.3299999</v>
      </c>
      <c r="H4" s="26">
        <f>资产资本表!H89</f>
        <v>1999601815.03</v>
      </c>
      <c r="I4" s="26">
        <f>资产资本表!I89</f>
        <v>1073159247.7500001</v>
      </c>
      <c r="J4" s="26">
        <f>资产资本表!J89</f>
        <v>956814994.92999995</v>
      </c>
      <c r="K4" s="26">
        <f>资产资本表!K89</f>
        <v>883231910.88999999</v>
      </c>
      <c r="L4" s="26">
        <f>资产资本表!L89</f>
        <v>755703101.74000001</v>
      </c>
      <c r="M4" s="26">
        <f>资产资本表!M89</f>
        <v>503199033.41000003</v>
      </c>
      <c r="N4" s="26">
        <f>资产资本表!N89</f>
        <v>480798924.59999996</v>
      </c>
      <c r="O4" s="26">
        <f>资产资本表!O89</f>
        <v>407464901.62</v>
      </c>
      <c r="P4" s="26">
        <f>资产资本表!P89</f>
        <v>351417517.80000001</v>
      </c>
      <c r="Q4" s="26">
        <f>资产资本表!Q89</f>
        <v>492889444.86000001</v>
      </c>
      <c r="R4" s="26">
        <f>资产资本表!R89</f>
        <v>100969519.31999999</v>
      </c>
      <c r="S4" s="26">
        <f>资产资本表!S89</f>
        <v>243075229.66</v>
      </c>
      <c r="T4" s="26">
        <f>资产资本表!T89</f>
        <v>198447571.94</v>
      </c>
      <c r="U4" s="26">
        <f>资产资本表!U89</f>
        <v>43178537.100000001</v>
      </c>
      <c r="V4" s="26">
        <f>资产资本表!V89</f>
        <v>43389755.920000002</v>
      </c>
      <c r="W4" s="26">
        <f>资产资本表!W89</f>
        <v>107120788.43000001</v>
      </c>
      <c r="X4" s="26">
        <f>资产资本表!X89</f>
        <v>220283448.87</v>
      </c>
      <c r="Y4" s="26">
        <f>资产资本表!Y89</f>
        <v>223969414.22</v>
      </c>
      <c r="Z4" s="26">
        <f>资产资本表!Z89</f>
        <v>244893350.22</v>
      </c>
      <c r="AA4" s="26">
        <f>资产资本表!AA89</f>
        <v>185519335.66999999</v>
      </c>
      <c r="AB4" s="26">
        <f>资产资本表!AB89</f>
        <v>47372079.759999998</v>
      </c>
      <c r="AC4" s="26">
        <f>资产资本表!AC89</f>
        <v>39323139.789999999</v>
      </c>
      <c r="AD4" s="26">
        <f>资产资本表!AD89</f>
        <v>93241394.019999996</v>
      </c>
      <c r="AE4" s="26">
        <f>资产资本表!AE89</f>
        <v>118751534.33</v>
      </c>
      <c r="AF4" s="26">
        <f>资产资本表!AF89</f>
        <v>138285955.23999998</v>
      </c>
      <c r="AG4" s="26">
        <f>资产资本表!AG89</f>
        <v>148484834.28</v>
      </c>
      <c r="AH4" s="26">
        <f>资产资本表!AH89</f>
        <v>139418856.71000001</v>
      </c>
      <c r="AI4" s="26">
        <f>资产资本表!AI89</f>
        <v>120517437.26000001</v>
      </c>
      <c r="AJ4" s="26">
        <f>资产资本表!AJ89</f>
        <v>107300598.81</v>
      </c>
      <c r="AK4" s="26">
        <f>资产资本表!AK89</f>
        <v>65052150.950000003</v>
      </c>
      <c r="AL4" s="26">
        <f>资产资本表!AL89</f>
        <v>20755616.18</v>
      </c>
      <c r="AM4" s="26">
        <f>资产资本表!AM89</f>
        <v>13681119.619999999</v>
      </c>
      <c r="AN4" s="26">
        <f>资产资本表!AN89</f>
        <v>0</v>
      </c>
      <c r="AO4" s="26">
        <f>资产资本表!AO89</f>
        <v>0</v>
      </c>
      <c r="AP4" s="26">
        <f>资产资本表!AP89</f>
        <v>6840677.6200000001</v>
      </c>
      <c r="AQ4" s="26">
        <f>资产资本表!AQ89</f>
        <v>6869778.3099999996</v>
      </c>
      <c r="AR4" s="26">
        <f>资产资本表!AR89</f>
        <v>7607150</v>
      </c>
      <c r="AS4" s="26">
        <f>资产资本表!AS89</f>
        <v>12324112.5</v>
      </c>
      <c r="AT4" s="26">
        <f>资产资本表!AT89</f>
        <v>25042900</v>
      </c>
      <c r="AU4" s="26">
        <f>资产资本表!AU89</f>
        <v>30031900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4.1900876973763872E-2</v>
      </c>
      <c r="F5" s="63">
        <f t="shared" ref="F5:BQ5" si="0">IF(F4+J4=0,0,F3/((F4+J4)/2))</f>
        <v>0</v>
      </c>
      <c r="G5" s="63">
        <f t="shared" si="0"/>
        <v>0</v>
      </c>
      <c r="H5" s="63">
        <f t="shared" si="0"/>
        <v>0</v>
      </c>
      <c r="I5" s="63">
        <f t="shared" si="0"/>
        <v>4.5270037067643494E-2</v>
      </c>
      <c r="J5" s="63">
        <f t="shared" si="0"/>
        <v>0</v>
      </c>
      <c r="K5" s="63">
        <f t="shared" si="0"/>
        <v>0</v>
      </c>
      <c r="L5" s="63">
        <f t="shared" si="0"/>
        <v>0</v>
      </c>
      <c r="M5" s="63">
        <f t="shared" si="0"/>
        <v>5.5667237007202735E-3</v>
      </c>
      <c r="N5" s="63">
        <f t="shared" si="0"/>
        <v>0</v>
      </c>
      <c r="O5" s="63">
        <f t="shared" si="0"/>
        <v>0</v>
      </c>
      <c r="P5" s="63">
        <f t="shared" si="0"/>
        <v>0</v>
      </c>
      <c r="Q5" s="63">
        <f t="shared" si="0"/>
        <v>2.7790051003478141E-2</v>
      </c>
      <c r="R5" s="63">
        <f t="shared" si="0"/>
        <v>0</v>
      </c>
      <c r="S5" s="63">
        <f t="shared" si="0"/>
        <v>0</v>
      </c>
      <c r="T5" s="63">
        <f t="shared" si="0"/>
        <v>0</v>
      </c>
      <c r="U5" s="63">
        <f t="shared" si="0"/>
        <v>2.8107619103563936E-2</v>
      </c>
      <c r="V5" s="63">
        <f t="shared" si="0"/>
        <v>0</v>
      </c>
      <c r="W5" s="63">
        <f t="shared" si="0"/>
        <v>0</v>
      </c>
      <c r="X5" s="63">
        <f t="shared" si="0"/>
        <v>0</v>
      </c>
      <c r="Y5" s="63">
        <f t="shared" si="0"/>
        <v>4.8278724963552191E-2</v>
      </c>
      <c r="Z5" s="63">
        <f t="shared" si="0"/>
        <v>0</v>
      </c>
      <c r="AA5" s="63">
        <f t="shared" si="0"/>
        <v>0</v>
      </c>
      <c r="AB5" s="63">
        <f t="shared" si="0"/>
        <v>0</v>
      </c>
      <c r="AC5" s="63">
        <f t="shared" si="0"/>
        <v>3.7191612627675688E-2</v>
      </c>
      <c r="AD5" s="63">
        <f t="shared" si="0"/>
        <v>0</v>
      </c>
      <c r="AE5" s="63">
        <f t="shared" si="0"/>
        <v>0</v>
      </c>
      <c r="AF5" s="63">
        <f t="shared" si="0"/>
        <v>0</v>
      </c>
      <c r="AG5" s="63">
        <f t="shared" si="0"/>
        <v>2.6357031564990401E-2</v>
      </c>
      <c r="AH5" s="63">
        <f t="shared" si="0"/>
        <v>0</v>
      </c>
      <c r="AI5" s="63">
        <f t="shared" si="0"/>
        <v>0</v>
      </c>
      <c r="AJ5" s="63">
        <f t="shared" si="0"/>
        <v>0</v>
      </c>
      <c r="AK5" s="63">
        <f t="shared" si="0"/>
        <v>8.744585254947668E-3</v>
      </c>
      <c r="AL5" s="63">
        <f t="shared" si="0"/>
        <v>0</v>
      </c>
      <c r="AM5" s="63">
        <f t="shared" si="0"/>
        <v>0</v>
      </c>
      <c r="AN5" s="63">
        <f t="shared" si="0"/>
        <v>0</v>
      </c>
      <c r="AO5" s="63">
        <f t="shared" si="0"/>
        <v>7.3119423406756465E-2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0.15070535261409482</v>
      </c>
      <c r="F6" s="63">
        <f>股权价值增加表!F41</f>
        <v>0.11875755499765527</v>
      </c>
      <c r="G6" s="63">
        <f>股权价值增加表!G41</f>
        <v>0.19433905759335457</v>
      </c>
      <c r="H6" s="63">
        <f>股权价值增加表!H41</f>
        <v>0.10464480784236839</v>
      </c>
      <c r="I6" s="63">
        <f>股权价值增加表!I41</f>
        <v>9.7029933651428854E-2</v>
      </c>
      <c r="J6" s="63">
        <f>股权价值增加表!J41</f>
        <v>6.4893636361810197E-2</v>
      </c>
      <c r="K6" s="63">
        <f>股权价值增加表!K41</f>
        <v>0.1301732920807018</v>
      </c>
      <c r="L6" s="63">
        <f>股权价值增加表!L41</f>
        <v>0.12502466398268305</v>
      </c>
      <c r="M6" s="63">
        <f>股权价值增加表!M41</f>
        <v>0.1253810772239918</v>
      </c>
      <c r="N6" s="63">
        <f>股权价值增加表!N41</f>
        <v>0.13366986974857153</v>
      </c>
      <c r="O6" s="63">
        <f>股权价值增加表!O41</f>
        <v>0.13530392764874322</v>
      </c>
      <c r="P6" s="63">
        <f>股权价值增加表!P41</f>
        <v>9.5297606913307645E-2</v>
      </c>
      <c r="Q6" s="63">
        <f>股权价值增加表!Q41</f>
        <v>8.6977250130401446E-2</v>
      </c>
      <c r="R6" s="63">
        <f>股权价值增加表!R41</f>
        <v>8.628474090991782E-2</v>
      </c>
      <c r="S6" s="63">
        <f>股权价值增加表!S41</f>
        <v>8.7765567315933463E-2</v>
      </c>
      <c r="T6" s="63">
        <f>股权价值增加表!T41</f>
        <v>0.15770140226263296</v>
      </c>
      <c r="U6" s="63">
        <f>股权价值增加表!U41</f>
        <v>-4.3985807433478304E-3</v>
      </c>
      <c r="V6" s="63">
        <f>股权价值增加表!V41</f>
        <v>0.11377602326370911</v>
      </c>
      <c r="W6" s="63">
        <f>股权价值增加表!W41</f>
        <v>0.10801887068924691</v>
      </c>
      <c r="X6" s="63">
        <f>股权价值增加表!X41</f>
        <v>0.11733698470303662</v>
      </c>
      <c r="Y6" s="63">
        <f>股权价值增加表!Y41</f>
        <v>7.6492341691195648E-2</v>
      </c>
      <c r="Z6" s="63">
        <f>股权价值增加表!Z41</f>
        <v>0.11921541613088521</v>
      </c>
      <c r="AA6" s="63">
        <f>股权价值增加表!AA41</f>
        <v>0.12607177902636021</v>
      </c>
      <c r="AB6" s="63">
        <f>股权价值增加表!AB41</f>
        <v>0.11893207079533197</v>
      </c>
      <c r="AC6" s="63">
        <f>股权价值增加表!AC41</f>
        <v>9.1123944889177189E-2</v>
      </c>
      <c r="AD6" s="63">
        <f>股权价值增加表!AD41</f>
        <v>0.13650266972414668</v>
      </c>
      <c r="AE6" s="63">
        <f>股权价值增加表!AE41</f>
        <v>0.11894408638038931</v>
      </c>
      <c r="AF6" s="63">
        <f>股权价值增加表!AF41</f>
        <v>9.3536847056555322E-2</v>
      </c>
      <c r="AG6" s="63">
        <f>股权价值增加表!AG41</f>
        <v>9.8410224965427187E-2</v>
      </c>
      <c r="AH6" s="63">
        <f>股权价值增加表!AH41</f>
        <v>9.3687074458853631E-2</v>
      </c>
      <c r="AI6" s="63">
        <f>股权价值增加表!AI41</f>
        <v>9.9901434905359729E-2</v>
      </c>
      <c r="AJ6" s="63">
        <f>股权价值增加表!AJ41</f>
        <v>8.0399469017087902E-2</v>
      </c>
      <c r="AK6" s="63">
        <f>股权价值增加表!AK41</f>
        <v>8.4304431289372442E-2</v>
      </c>
      <c r="AL6" s="63">
        <f>股权价值增加表!AL41</f>
        <v>7.2842244797806405E-2</v>
      </c>
      <c r="AM6" s="63">
        <f>股权价值增加表!AM41</f>
        <v>7.0702869070699573E-2</v>
      </c>
      <c r="AN6" s="63">
        <f>股权价值增加表!AN41</f>
        <v>8.1507816246678255E-3</v>
      </c>
      <c r="AO6" s="63">
        <f>股权价值增加表!AO41</f>
        <v>6.2360382941594718E-2</v>
      </c>
      <c r="AP6" s="63">
        <f>股权价值增加表!AP41</f>
        <v>0.10533197114289457</v>
      </c>
      <c r="AQ6" s="63">
        <f>股权价值增加表!AQ41</f>
        <v>0.16351836645142387</v>
      </c>
      <c r="AR6" s="63">
        <f>股权价值增加表!AR41</f>
        <v>0.21583149962370304</v>
      </c>
      <c r="AS6" s="63">
        <f>股权价值增加表!AS41</f>
        <v>0.11816325211043258</v>
      </c>
      <c r="AT6" s="63">
        <f>股权价值增加表!AT41</f>
        <v>4.7499787095721842E-2</v>
      </c>
      <c r="AU6" s="63">
        <f>股权价值增加表!AU41</f>
        <v>8.2043293222754818E-2</v>
      </c>
      <c r="AV6" s="63">
        <f>股权价值增加表!AV41</f>
        <v>0</v>
      </c>
      <c r="AW6" s="63">
        <f>股权价值增加表!AW41</f>
        <v>7.0827176813240328E-2</v>
      </c>
      <c r="AX6" s="63">
        <f>股权价值增加表!AX41</f>
        <v>6.2076520203899588E-2</v>
      </c>
      <c r="AY6" s="63" t="e">
        <f>股权价值增加表!AY41</f>
        <v>#DIV/0!</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3.5586190534592985E-2</v>
      </c>
      <c r="F7" s="63">
        <f t="shared" ref="F7:BQ7" si="2">F5*(1-F6)</f>
        <v>0</v>
      </c>
      <c r="G7" s="63">
        <f t="shared" si="2"/>
        <v>0</v>
      </c>
      <c r="H7" s="63">
        <f t="shared" si="2"/>
        <v>0</v>
      </c>
      <c r="I7" s="63">
        <f t="shared" si="2"/>
        <v>4.0877488374572321E-2</v>
      </c>
      <c r="J7" s="63">
        <f t="shared" si="2"/>
        <v>0</v>
      </c>
      <c r="K7" s="63">
        <f t="shared" si="2"/>
        <v>0</v>
      </c>
      <c r="L7" s="63">
        <f t="shared" si="2"/>
        <v>0</v>
      </c>
      <c r="M7" s="63">
        <f t="shared" si="2"/>
        <v>4.8687618865156396E-3</v>
      </c>
      <c r="N7" s="63">
        <f t="shared" si="2"/>
        <v>0</v>
      </c>
      <c r="O7" s="63">
        <f t="shared" si="2"/>
        <v>0</v>
      </c>
      <c r="P7" s="63">
        <f t="shared" si="2"/>
        <v>0</v>
      </c>
      <c r="Q7" s="63">
        <f t="shared" si="2"/>
        <v>2.5372948786212008E-2</v>
      </c>
      <c r="R7" s="63">
        <f t="shared" si="2"/>
        <v>0</v>
      </c>
      <c r="S7" s="63">
        <f t="shared" si="2"/>
        <v>0</v>
      </c>
      <c r="T7" s="63">
        <f t="shared" si="2"/>
        <v>0</v>
      </c>
      <c r="U7" s="63">
        <f t="shared" si="2"/>
        <v>2.8231252735694226E-2</v>
      </c>
      <c r="V7" s="63">
        <f t="shared" si="2"/>
        <v>0</v>
      </c>
      <c r="W7" s="63">
        <f t="shared" si="2"/>
        <v>0</v>
      </c>
      <c r="X7" s="63">
        <f t="shared" si="2"/>
        <v>0</v>
      </c>
      <c r="Y7" s="63">
        <f t="shared" si="2"/>
        <v>4.4585772237224902E-2</v>
      </c>
      <c r="Z7" s="63">
        <f t="shared" si="2"/>
        <v>0</v>
      </c>
      <c r="AA7" s="63">
        <f t="shared" si="2"/>
        <v>0</v>
      </c>
      <c r="AB7" s="63">
        <f t="shared" si="2"/>
        <v>0</v>
      </c>
      <c r="AC7" s="63">
        <f t="shared" si="2"/>
        <v>3.3802566168251745E-2</v>
      </c>
      <c r="AD7" s="63">
        <f t="shared" si="2"/>
        <v>0</v>
      </c>
      <c r="AE7" s="63">
        <f t="shared" si="2"/>
        <v>0</v>
      </c>
      <c r="AF7" s="63">
        <f t="shared" si="2"/>
        <v>0</v>
      </c>
      <c r="AG7" s="63">
        <f t="shared" si="2"/>
        <v>2.3763230159258832E-2</v>
      </c>
      <c r="AH7" s="63">
        <f t="shared" si="2"/>
        <v>0</v>
      </c>
      <c r="AI7" s="63">
        <f t="shared" si="2"/>
        <v>0</v>
      </c>
      <c r="AJ7" s="63">
        <f t="shared" si="2"/>
        <v>0</v>
      </c>
      <c r="AK7" s="63">
        <f t="shared" si="2"/>
        <v>8.0073779681678718E-3</v>
      </c>
      <c r="AL7" s="63">
        <f t="shared" si="2"/>
        <v>0</v>
      </c>
      <c r="AM7" s="63">
        <f t="shared" si="2"/>
        <v>0</v>
      </c>
      <c r="AN7" s="63">
        <f t="shared" si="2"/>
        <v>0</v>
      </c>
      <c r="AO7" s="63">
        <f t="shared" si="2"/>
        <v>6.8559668162642529E-2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t="e">
        <f t="shared" si="2"/>
        <v>#DIV/0!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10593230012.49</v>
      </c>
      <c r="F8" s="26">
        <f>资产资本表!F107</f>
        <v>9657021166.1500015</v>
      </c>
      <c r="G8" s="26">
        <f>资产资本表!G107</f>
        <v>9178394866.75</v>
      </c>
      <c r="H8" s="26">
        <f>资产资本表!H107</f>
        <v>8729063593.8400002</v>
      </c>
      <c r="I8" s="26">
        <f>资产资本表!I107</f>
        <v>8425784635.2799997</v>
      </c>
      <c r="J8" s="26">
        <f>资产资本表!J107</f>
        <v>7674448132.0299997</v>
      </c>
      <c r="K8" s="26">
        <f>资产资本表!K107</f>
        <v>7293243089.1599998</v>
      </c>
      <c r="L8" s="26">
        <f>资产资本表!L107</f>
        <v>6750180213.4700003</v>
      </c>
      <c r="M8" s="26">
        <f>资产资本表!M107</f>
        <v>6566387356.9000006</v>
      </c>
      <c r="N8" s="26">
        <f>资产资本表!N107</f>
        <v>5873845411.0500002</v>
      </c>
      <c r="O8" s="26">
        <f>资产资本表!O107</f>
        <v>5577342664.8299999</v>
      </c>
      <c r="P8" s="26">
        <f>资产资本表!P107</f>
        <v>5319499929.3000002</v>
      </c>
      <c r="Q8" s="26">
        <f>资产资本表!Q107</f>
        <v>5211038302.8299999</v>
      </c>
      <c r="R8" s="26">
        <f>资产资本表!R107</f>
        <v>5301483977.4399996</v>
      </c>
      <c r="S8" s="26">
        <f>资产资本表!S107</f>
        <v>5072299999.6999998</v>
      </c>
      <c r="T8" s="26">
        <f>资产资本表!T107</f>
        <v>4375446340.8000002</v>
      </c>
      <c r="U8" s="26">
        <f>资产资本表!U107</f>
        <v>4173879476.23</v>
      </c>
      <c r="V8" s="26">
        <f>资产资本表!V107</f>
        <v>3658693279.9099998</v>
      </c>
      <c r="W8" s="26">
        <f>资产资本表!W107</f>
        <v>3429211866.04</v>
      </c>
      <c r="X8" s="26">
        <f>资产资本表!X107</f>
        <v>2290329689.1099997</v>
      </c>
      <c r="Y8" s="26">
        <f>资产资本表!Y107</f>
        <v>2147653060.5</v>
      </c>
      <c r="Z8" s="26">
        <f>资产资本表!Z107</f>
        <v>1824863823.8099999</v>
      </c>
      <c r="AA8" s="26">
        <f>资产资本表!AA107</f>
        <v>1672020488.9099998</v>
      </c>
      <c r="AB8" s="26">
        <f>资产资本表!AB107</f>
        <v>1582445858.3900001</v>
      </c>
      <c r="AC8" s="26">
        <f>资产资本表!AC107</f>
        <v>1514876245.3300002</v>
      </c>
      <c r="AD8" s="26">
        <f>资产资本表!AD107</f>
        <v>1334119325.3600001</v>
      </c>
      <c r="AE8" s="26">
        <f>资产资本表!AE107</f>
        <v>1251421734.3999999</v>
      </c>
      <c r="AF8" s="26">
        <f>资产资本表!AF107</f>
        <v>1220621274.3999999</v>
      </c>
      <c r="AG8" s="26">
        <f>资产资本表!AG107</f>
        <v>1174347808.24</v>
      </c>
      <c r="AH8" s="26">
        <f>资产资本表!AH107</f>
        <v>1044380679.0200001</v>
      </c>
      <c r="AI8" s="26">
        <f>资产资本表!AI107</f>
        <v>872068884.23000002</v>
      </c>
      <c r="AJ8" s="26">
        <f>资产资本表!AJ107</f>
        <v>848659875.55999994</v>
      </c>
      <c r="AK8" s="26">
        <f>资产资本表!AK107</f>
        <v>828277429.87</v>
      </c>
      <c r="AL8" s="26">
        <f>资产资本表!AL107</f>
        <v>771090077.93000007</v>
      </c>
      <c r="AM8" s="26">
        <f>资产资本表!AM107</f>
        <v>745137655.79000008</v>
      </c>
      <c r="AN8" s="26">
        <f>资产资本表!AN107</f>
        <v>732449166.35000002</v>
      </c>
      <c r="AO8" s="26">
        <f>资产资本表!AO107</f>
        <v>726219877.28999996</v>
      </c>
      <c r="AP8" s="26">
        <f>资产资本表!AP107</f>
        <v>692621607.21999991</v>
      </c>
      <c r="AQ8" s="26">
        <f>资产资本表!AQ107</f>
        <v>655174685.24000001</v>
      </c>
      <c r="AR8" s="26">
        <f>资产资本表!AR107</f>
        <v>234873336.62</v>
      </c>
      <c r="AS8" s="26">
        <f>资产资本表!AS107</f>
        <v>229252340.51000002</v>
      </c>
      <c r="AT8" s="26">
        <f>资产资本表!AT107</f>
        <v>143554200.46000001</v>
      </c>
      <c r="AU8" s="26">
        <f>资产资本表!AU107</f>
        <v>146645593.01999998</v>
      </c>
      <c r="AV8" s="26">
        <f>资产资本表!AV107</f>
        <v>0</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13146898570.789997</v>
      </c>
      <c r="F10" s="26">
        <f>资产资本表!F70</f>
        <v>12482420508.929998</v>
      </c>
      <c r="G10" s="26">
        <f>资产资本表!G70</f>
        <v>11787124503.309999</v>
      </c>
      <c r="H10" s="26">
        <f>资产资本表!H70</f>
        <v>10843985630.030001</v>
      </c>
      <c r="I10" s="26">
        <f>资产资本表!I70</f>
        <v>9616417688.5900002</v>
      </c>
      <c r="J10" s="26">
        <f>资产资本表!J70</f>
        <v>8791820953.9199982</v>
      </c>
      <c r="K10" s="26">
        <f>资产资本表!K70</f>
        <v>8336997619.2600002</v>
      </c>
      <c r="L10" s="26">
        <f>资产资本表!L70</f>
        <v>7832021095.5700016</v>
      </c>
      <c r="M10" s="26">
        <f>资产资本表!M70</f>
        <v>7163868697.7999992</v>
      </c>
      <c r="N10" s="26">
        <f>资产资本表!N70</f>
        <v>6420439797.3399992</v>
      </c>
      <c r="O10" s="26">
        <f>资产资本表!O70</f>
        <v>6049441127.2799997</v>
      </c>
      <c r="P10" s="26">
        <f>资产资本表!P70</f>
        <v>5742690271.0400009</v>
      </c>
      <c r="Q10" s="26">
        <f>资产资本表!Q70</f>
        <v>5776822006.6100006</v>
      </c>
      <c r="R10" s="26">
        <f>资产资本表!R70</f>
        <v>5433108775.7999992</v>
      </c>
      <c r="S10" s="26">
        <f>资产资本表!S70</f>
        <v>5343290039.3199997</v>
      </c>
      <c r="T10" s="26">
        <f>资产资本表!T70</f>
        <v>4597922917.6199999</v>
      </c>
      <c r="U10" s="26">
        <f>资产资本表!U70</f>
        <v>4237146423.2299995</v>
      </c>
      <c r="V10" s="26">
        <f>资产资本表!V70</f>
        <v>3708480980.3600006</v>
      </c>
      <c r="W10" s="26">
        <f>资产资本表!W70</f>
        <v>3542832117.9800005</v>
      </c>
      <c r="X10" s="26">
        <f>资产资本表!X70</f>
        <v>2516812601.4900002</v>
      </c>
      <c r="Y10" s="26">
        <f>资产资本表!Y70</f>
        <v>2377544938.23</v>
      </c>
      <c r="Z10" s="26">
        <f>资产资本表!Z70</f>
        <v>2072206037.54</v>
      </c>
      <c r="AA10" s="26">
        <f>资产资本表!AA70</f>
        <v>1859988688.0899999</v>
      </c>
      <c r="AB10" s="26">
        <f>资产资本表!AB70</f>
        <v>1632266801.6599998</v>
      </c>
      <c r="AC10" s="26">
        <f>资产资本表!AC70</f>
        <v>1556648248.6300001</v>
      </c>
      <c r="AD10" s="26">
        <f>资产资本表!AD70</f>
        <v>1431377749.2600002</v>
      </c>
      <c r="AE10" s="26">
        <f>资产资本表!AE70</f>
        <v>1374190298.6100001</v>
      </c>
      <c r="AF10" s="26">
        <f>资产资本表!AF70</f>
        <v>1362924259.52</v>
      </c>
      <c r="AG10" s="26">
        <f>资产资本表!AG70</f>
        <v>1326849672.4000001</v>
      </c>
      <c r="AH10" s="26">
        <f>资产资本表!AH70</f>
        <v>1183799535.73</v>
      </c>
      <c r="AI10" s="26">
        <f>资产资本表!AI70</f>
        <v>992586321.49000001</v>
      </c>
      <c r="AJ10" s="26">
        <f>资产资本表!AJ70</f>
        <v>955960474.36999989</v>
      </c>
      <c r="AK10" s="26">
        <f>资产资本表!AK70</f>
        <v>893329580.81999993</v>
      </c>
      <c r="AL10" s="26">
        <f>资产资本表!AL70</f>
        <v>791845694.1099999</v>
      </c>
      <c r="AM10" s="26">
        <f>资产资本表!AM70</f>
        <v>758818775.40999997</v>
      </c>
      <c r="AN10" s="26">
        <f>资产资本表!AN70</f>
        <v>732449166.3499999</v>
      </c>
      <c r="AO10" s="26">
        <f>资产资本表!AO70</f>
        <v>726219877.28999996</v>
      </c>
      <c r="AP10" s="26">
        <f>资产资本表!AP70</f>
        <v>699462284.84000003</v>
      </c>
      <c r="AQ10" s="26">
        <f>资产资本表!AQ70</f>
        <v>662044463.54999995</v>
      </c>
      <c r="AR10" s="26">
        <f>资产资本表!AR70</f>
        <v>242480486.62</v>
      </c>
      <c r="AS10" s="26">
        <f>资产资本表!AS70</f>
        <v>241576453.01000002</v>
      </c>
      <c r="AT10" s="26">
        <f>资产资本表!AT70</f>
        <v>168626455.53</v>
      </c>
      <c r="AU10" s="26">
        <f>资产资本表!AU70</f>
        <v>176706848.08999997</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0.18450508731233342</v>
      </c>
      <c r="F11" s="63">
        <f t="shared" ref="F11:BQ11" si="3">F4/F10</f>
        <v>0.21795708060497113</v>
      </c>
      <c r="G11" s="63">
        <f t="shared" si="3"/>
        <v>0.21192047667168895</v>
      </c>
      <c r="H11" s="63">
        <f t="shared" si="3"/>
        <v>0.18439731324362404</v>
      </c>
      <c r="I11" s="63">
        <f t="shared" si="3"/>
        <v>0.11159657187346562</v>
      </c>
      <c r="J11" s="63">
        <f t="shared" si="3"/>
        <v>0.10883012744969357</v>
      </c>
      <c r="K11" s="63">
        <f t="shared" si="3"/>
        <v>0.10594124542504026</v>
      </c>
      <c r="L11" s="63">
        <f t="shared" si="3"/>
        <v>9.6488900185348794E-2</v>
      </c>
      <c r="M11" s="63">
        <f t="shared" si="3"/>
        <v>7.0241241797819501E-2</v>
      </c>
      <c r="N11" s="63">
        <f t="shared" si="3"/>
        <v>7.4885668237119188E-2</v>
      </c>
      <c r="O11" s="63">
        <f t="shared" si="3"/>
        <v>6.7355792551238164E-2</v>
      </c>
      <c r="P11" s="63">
        <f t="shared" si="3"/>
        <v>6.1193883217448591E-2</v>
      </c>
      <c r="Q11" s="63">
        <f t="shared" si="3"/>
        <v>8.532190264751488E-2</v>
      </c>
      <c r="R11" s="63">
        <f t="shared" si="3"/>
        <v>1.8584115188294333E-2</v>
      </c>
      <c r="S11" s="63">
        <f t="shared" si="3"/>
        <v>4.5491677949590463E-2</v>
      </c>
      <c r="T11" s="63">
        <f t="shared" si="3"/>
        <v>4.3160265079589769E-2</v>
      </c>
      <c r="U11" s="63">
        <f t="shared" si="3"/>
        <v>1.0190475567064488E-2</v>
      </c>
      <c r="V11" s="63">
        <f t="shared" si="3"/>
        <v>1.1700142497640084E-2</v>
      </c>
      <c r="W11" s="63">
        <f t="shared" si="3"/>
        <v>3.0235919982309675E-2</v>
      </c>
      <c r="X11" s="63">
        <f t="shared" si="3"/>
        <v>8.7524771903791362E-2</v>
      </c>
      <c r="Y11" s="63">
        <f t="shared" si="3"/>
        <v>9.4201968853946244E-2</v>
      </c>
      <c r="Z11" s="63">
        <f t="shared" si="3"/>
        <v>0.11818001964260409</v>
      </c>
      <c r="AA11" s="63">
        <f t="shared" si="3"/>
        <v>9.9742184916461821E-2</v>
      </c>
      <c r="AB11" s="63">
        <f t="shared" si="3"/>
        <v>2.9022265056069904E-2</v>
      </c>
      <c r="AC11" s="63">
        <f t="shared" si="3"/>
        <v>2.5261416524001577E-2</v>
      </c>
      <c r="AD11" s="63">
        <f t="shared" si="3"/>
        <v>6.5141011216783506E-2</v>
      </c>
      <c r="AE11" s="63">
        <f t="shared" si="3"/>
        <v>8.6415640141047217E-2</v>
      </c>
      <c r="AF11" s="63">
        <f t="shared" si="3"/>
        <v>0.1014626853063002</v>
      </c>
      <c r="AG11" s="63">
        <f t="shared" si="3"/>
        <v>0.11190780490710847</v>
      </c>
      <c r="AH11" s="63">
        <f t="shared" si="3"/>
        <v>0.1177723529212454</v>
      </c>
      <c r="AI11" s="63">
        <f t="shared" si="3"/>
        <v>0.12141758822455642</v>
      </c>
      <c r="AJ11" s="63">
        <f t="shared" si="3"/>
        <v>0.11224376079012428</v>
      </c>
      <c r="AK11" s="63">
        <f t="shared" si="3"/>
        <v>7.2819877844286438E-2</v>
      </c>
      <c r="AL11" s="63">
        <f t="shared" si="3"/>
        <v>2.6211692927532313E-2</v>
      </c>
      <c r="AM11" s="63">
        <f t="shared" si="3"/>
        <v>1.8029495399093026E-2</v>
      </c>
      <c r="AN11" s="63">
        <f t="shared" si="3"/>
        <v>0</v>
      </c>
      <c r="AO11" s="63">
        <f t="shared" si="3"/>
        <v>0</v>
      </c>
      <c r="AP11" s="63">
        <f t="shared" si="3"/>
        <v>9.7799091791843859E-3</v>
      </c>
      <c r="AQ11" s="63">
        <f t="shared" si="3"/>
        <v>1.0376611675238592E-2</v>
      </c>
      <c r="AR11" s="63">
        <f t="shared" si="3"/>
        <v>3.137221516682883E-2</v>
      </c>
      <c r="AS11" s="63">
        <f t="shared" si="3"/>
        <v>5.1015371516734062E-2</v>
      </c>
      <c r="AT11" s="63">
        <f t="shared" si="3"/>
        <v>0.14851109762871501</v>
      </c>
      <c r="AU11" s="63">
        <f t="shared" si="3"/>
        <v>0.16995323228618855</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0.80575886057463153</v>
      </c>
      <c r="F12" s="63">
        <f t="shared" ref="F12:BQ12" si="4">F8/F10</f>
        <v>0.77364972276341037</v>
      </c>
      <c r="G12" s="63">
        <f t="shared" si="4"/>
        <v>0.77867972499760829</v>
      </c>
      <c r="H12" s="63">
        <f t="shared" si="4"/>
        <v>0.80496820003770608</v>
      </c>
      <c r="I12" s="63">
        <f t="shared" si="4"/>
        <v>0.87618746482666809</v>
      </c>
      <c r="J12" s="63">
        <f t="shared" si="4"/>
        <v>0.87290769139335156</v>
      </c>
      <c r="K12" s="63">
        <f t="shared" si="4"/>
        <v>0.87480450663812892</v>
      </c>
      <c r="L12" s="63">
        <f t="shared" si="4"/>
        <v>0.8618695137693233</v>
      </c>
      <c r="M12" s="63">
        <f t="shared" si="4"/>
        <v>0.91659794922211746</v>
      </c>
      <c r="N12" s="63">
        <f t="shared" si="4"/>
        <v>0.91486651949973052</v>
      </c>
      <c r="O12" s="63">
        <f t="shared" si="4"/>
        <v>0.92195998729187256</v>
      </c>
      <c r="P12" s="63">
        <f t="shared" si="4"/>
        <v>0.92630799820876275</v>
      </c>
      <c r="Q12" s="63">
        <f t="shared" si="4"/>
        <v>0.90205969594828861</v>
      </c>
      <c r="R12" s="63">
        <f t="shared" si="4"/>
        <v>0.97577357572035384</v>
      </c>
      <c r="S12" s="63">
        <f t="shared" si="4"/>
        <v>0.94928404828750668</v>
      </c>
      <c r="T12" s="63">
        <f t="shared" si="4"/>
        <v>0.95161367843566214</v>
      </c>
      <c r="U12" s="63">
        <f t="shared" si="4"/>
        <v>0.98506850113719435</v>
      </c>
      <c r="V12" s="63">
        <f t="shared" si="4"/>
        <v>0.98657463777927545</v>
      </c>
      <c r="W12" s="63">
        <f t="shared" si="4"/>
        <v>0.96792954106874729</v>
      </c>
      <c r="X12" s="63">
        <f t="shared" si="4"/>
        <v>0.91001200794770398</v>
      </c>
      <c r="Y12" s="63">
        <f t="shared" si="4"/>
        <v>0.90330703153768921</v>
      </c>
      <c r="Z12" s="63">
        <f t="shared" si="4"/>
        <v>0.88063821393763042</v>
      </c>
      <c r="AA12" s="63">
        <f t="shared" si="4"/>
        <v>0.89894121379145464</v>
      </c>
      <c r="AB12" s="63">
        <f t="shared" si="4"/>
        <v>0.96947745110092765</v>
      </c>
      <c r="AC12" s="63">
        <f t="shared" si="4"/>
        <v>0.97316541913899735</v>
      </c>
      <c r="AD12" s="63">
        <f t="shared" si="4"/>
        <v>0.93205258084367937</v>
      </c>
      <c r="AE12" s="63">
        <f t="shared" si="4"/>
        <v>0.91066116218824911</v>
      </c>
      <c r="AF12" s="63">
        <f t="shared" si="4"/>
        <v>0.89558995364121197</v>
      </c>
      <c r="AG12" s="63">
        <f t="shared" si="4"/>
        <v>0.88506470074778298</v>
      </c>
      <c r="AH12" s="63">
        <f t="shared" si="4"/>
        <v>0.88222764707875467</v>
      </c>
      <c r="AI12" s="63">
        <f t="shared" si="4"/>
        <v>0.87858241177544361</v>
      </c>
      <c r="AJ12" s="63">
        <f t="shared" si="4"/>
        <v>0.88775623920987579</v>
      </c>
      <c r="AK12" s="63">
        <f t="shared" si="4"/>
        <v>0.92718012215571366</v>
      </c>
      <c r="AL12" s="63">
        <f t="shared" si="4"/>
        <v>0.97378830707246788</v>
      </c>
      <c r="AM12" s="63">
        <f t="shared" si="4"/>
        <v>0.98197050460090707</v>
      </c>
      <c r="AN12" s="63">
        <f t="shared" si="4"/>
        <v>1.0000000000000002</v>
      </c>
      <c r="AO12" s="63">
        <f t="shared" si="4"/>
        <v>1</v>
      </c>
      <c r="AP12" s="63">
        <f t="shared" si="4"/>
        <v>0.99022009082081541</v>
      </c>
      <c r="AQ12" s="63">
        <f t="shared" si="4"/>
        <v>0.98962338832476149</v>
      </c>
      <c r="AR12" s="63">
        <f t="shared" si="4"/>
        <v>0.96862778483317113</v>
      </c>
      <c r="AS12" s="63">
        <f t="shared" si="4"/>
        <v>0.94898462848326592</v>
      </c>
      <c r="AT12" s="63">
        <f t="shared" si="4"/>
        <v>0.85131481895176619</v>
      </c>
      <c r="AU12" s="63">
        <f t="shared" si="4"/>
        <v>0.82988064472357481</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7.1026542037668935E-2</v>
      </c>
      <c r="F13" s="63">
        <f t="shared" ref="F13:J13" si="5">F5*F11*(1-F6)+F9*F12</f>
        <v>6.1891977821072829E-2</v>
      </c>
      <c r="G13" s="63">
        <f t="shared" si="5"/>
        <v>6.2294377999808664E-2</v>
      </c>
      <c r="H13" s="63">
        <f t="shared" si="5"/>
        <v>6.4397456003016482E-2</v>
      </c>
      <c r="I13" s="63">
        <f t="shared" si="5"/>
        <v>7.4656784755533168E-2</v>
      </c>
      <c r="J13" s="63">
        <f t="shared" si="5"/>
        <v>6.983261531146813E-2</v>
      </c>
      <c r="K13" s="63">
        <f t="shared" ref="K13" si="6">K5*K11*(1-K6)+K9*K12</f>
        <v>6.998436053105031E-2</v>
      </c>
      <c r="L13" s="63">
        <f t="shared" ref="L13" si="7">L5*L11*(1-L6)+L9*L12</f>
        <v>6.8949561101545861E-2</v>
      </c>
      <c r="M13" s="63">
        <f t="shared" ref="M13" si="8">M5*M11*(1-M6)+M9*M12</f>
        <v>7.3669823818696148E-2</v>
      </c>
      <c r="N13" s="63">
        <f t="shared" ref="N13:O13" si="9">N5*N11*(1-N6)+N9*N12</f>
        <v>7.318932155997844E-2</v>
      </c>
      <c r="O13" s="63">
        <f t="shared" si="9"/>
        <v>7.3756798983349803E-2</v>
      </c>
      <c r="P13" s="63">
        <f t="shared" ref="P13" si="10">P5*P11*(1-P6)+P9*P12</f>
        <v>7.4104639856701016E-2</v>
      </c>
      <c r="Q13" s="63">
        <f t="shared" ref="Q13" si="11">Q5*Q11*(1-Q6)+Q9*Q12</f>
        <v>7.432964394208065E-2</v>
      </c>
      <c r="R13" s="63">
        <f t="shared" ref="R13" si="12">R5*R11*(1-R6)+R9*R12</f>
        <v>7.8061886057628302E-2</v>
      </c>
      <c r="S13" s="63">
        <f t="shared" ref="S13:T13" si="13">S5*S11*(1-S6)+S9*S12</f>
        <v>7.5942723863000536E-2</v>
      </c>
      <c r="T13" s="63">
        <f t="shared" si="13"/>
        <v>7.6129094274852968E-2</v>
      </c>
      <c r="U13" s="63">
        <f t="shared" ref="U13" si="14">U5*U11*(1-U6)+U9*U12</f>
        <v>7.9093169982206252E-2</v>
      </c>
      <c r="V13" s="63">
        <f t="shared" ref="V13" si="15">V5*V11*(1-V6)+V9*V12</f>
        <v>7.8925971022342042E-2</v>
      </c>
      <c r="W13" s="63">
        <f t="shared" ref="W13" si="16">W5*W11*(1-W6)+W9*W12</f>
        <v>7.7434363285499783E-2</v>
      </c>
      <c r="X13" s="63">
        <f t="shared" ref="X13:Y13" si="17">X5*X11*(1-X6)+X9*X12</f>
        <v>7.2800960635816314E-2</v>
      </c>
      <c r="Y13" s="63">
        <f t="shared" si="17"/>
        <v>7.6464630050635335E-2</v>
      </c>
      <c r="Z13" s="63">
        <f t="shared" ref="Z13" si="18">Z5*Z11*(1-Z6)+Z9*Z12</f>
        <v>7.0451057115010429E-2</v>
      </c>
      <c r="AA13" s="63">
        <f t="shared" ref="AA13" si="19">AA5*AA11*(1-AA6)+AA9*AA12</f>
        <v>7.1915297103316372E-2</v>
      </c>
      <c r="AB13" s="63">
        <f t="shared" ref="AB13" si="20">AB5*AB11*(1-AB6)+AB9*AB12</f>
        <v>7.7558196088074211E-2</v>
      </c>
      <c r="AC13" s="63">
        <f t="shared" ref="AC13:AD13" si="21">AC5*AC11*(1-AC6)+AC9*AC12</f>
        <v>7.8707134234676124E-2</v>
      </c>
      <c r="AD13" s="63">
        <f t="shared" si="21"/>
        <v>7.4564206467494357E-2</v>
      </c>
      <c r="AE13" s="63">
        <f t="shared" ref="AE13" si="22">AE5*AE11*(1-AE6)+AE9*AE12</f>
        <v>7.2852892975059924E-2</v>
      </c>
      <c r="AF13" s="63">
        <f t="shared" ref="AF13" si="23">AF5*AF11*(1-AF6)+AF9*AF12</f>
        <v>7.1647196291296955E-2</v>
      </c>
      <c r="AG13" s="63">
        <f t="shared" ref="AG13" si="24">AG5*AG11*(1-AG6)+AG9*AG12</f>
        <v>7.3464466984447696E-2</v>
      </c>
      <c r="AH13" s="63">
        <f t="shared" ref="AH13:AI13" si="25">AH5*AH11*(1-AH6)+AH9*AH12</f>
        <v>7.0578211766300372E-2</v>
      </c>
      <c r="AI13" s="63">
        <f t="shared" si="25"/>
        <v>7.0286592942035486E-2</v>
      </c>
      <c r="AJ13" s="63">
        <f t="shared" ref="AJ13" si="26">AJ5*AJ11*(1-AJ6)+AJ9*AJ12</f>
        <v>7.1020499136790066E-2</v>
      </c>
      <c r="AK13" s="63">
        <f t="shared" ref="AK13" si="27">AK5*AK11*(1-AK6)+AK9*AK12</f>
        <v>7.4757506057952117E-2</v>
      </c>
      <c r="AL13" s="63">
        <f t="shared" ref="AL13" si="28">AL5*AL11*(1-AL6)+AL9*AL12</f>
        <v>7.7903064565797431E-2</v>
      </c>
      <c r="AM13" s="63">
        <f t="shared" ref="AM13:AN13" si="29">AM5*AM11*(1-AM6)+AM9*AM12</f>
        <v>7.855764036807257E-2</v>
      </c>
      <c r="AN13" s="63">
        <f t="shared" si="29"/>
        <v>8.0000000000000016E-2</v>
      </c>
      <c r="AO13" s="63">
        <f t="shared" ref="AO13" si="30">AO5*AO11*(1-AO6)+AO9*AO12</f>
        <v>0.08</v>
      </c>
      <c r="AP13" s="63">
        <f t="shared" ref="AP13" si="31">AP5*AP11*(1-AP6)+AP9*AP12</f>
        <v>7.9217607265665235E-2</v>
      </c>
      <c r="AQ13" s="63">
        <f t="shared" ref="AQ13" si="32">AQ5*AQ11*(1-AQ6)+AQ9*AQ12</f>
        <v>7.9169871065980918E-2</v>
      </c>
      <c r="AR13" s="63">
        <f t="shared" ref="AR13:AS13" si="33">AR5*AR11*(1-AR6)+AR9*AR12</f>
        <v>7.7490222786653698E-2</v>
      </c>
      <c r="AS13" s="63">
        <f t="shared" si="33"/>
        <v>7.5918770278661271E-2</v>
      </c>
      <c r="AT13" s="63">
        <f t="shared" ref="AT13" si="34">AT5*AT11*(1-AT6)+AT9*AT12</f>
        <v>6.8105185516141295E-2</v>
      </c>
      <c r="AU13" s="63">
        <f t="shared" ref="AU13" si="35">AU5*AU11*(1-AU6)+AU9*AU12</f>
        <v>6.6390451577885992E-2</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4" width="21.44140625" hidden="1" customWidth="1"/>
    <col min="35" max="36" width="19" hidden="1" customWidth="1"/>
    <col min="37" max="37" width="19" bestFit="1" customWidth="1"/>
    <col min="38" max="40" width="19" hidden="1" customWidth="1"/>
    <col min="41" max="41" width="19" bestFit="1" customWidth="1"/>
    <col min="42" max="44" width="19" hidden="1" customWidth="1"/>
    <col min="45" max="47" width="19" bestFit="1" customWidth="1"/>
    <col min="48" max="48" width="9.5546875" hidden="1" customWidth="1"/>
    <col min="49" max="90" width="8.5546875" bestFit="1" customWidth="1"/>
  </cols>
  <sheetData>
    <row r="1" spans="1:90"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39082</v>
      </c>
      <c r="AU1" s="1">
        <v>38717</v>
      </c>
      <c r="AV1" s="1">
        <v>25569</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3881176956.04</v>
      </c>
      <c r="F2" s="26">
        <f>资产资本表!F17</f>
        <v>2828544672.0999999</v>
      </c>
      <c r="G2" s="26">
        <f>资产资本表!G17</f>
        <v>2619913583.2399998</v>
      </c>
      <c r="H2" s="26">
        <f>资产资本表!H17</f>
        <v>2235345921.3899999</v>
      </c>
      <c r="I2" s="26">
        <f>资产资本表!I17</f>
        <v>3037245075.1000004</v>
      </c>
      <c r="J2" s="26">
        <f>资产资本表!J17</f>
        <v>1673500141.8899999</v>
      </c>
      <c r="K2" s="26">
        <f>资产资本表!K17</f>
        <v>1871522896.27</v>
      </c>
      <c r="L2" s="26">
        <f>资产资本表!L17</f>
        <v>2033833378.0599999</v>
      </c>
      <c r="M2" s="26">
        <f>资产资本表!M17</f>
        <v>1826613158.1099999</v>
      </c>
      <c r="N2" s="26">
        <f>资产资本表!N17</f>
        <v>986468446.34000003</v>
      </c>
      <c r="O2" s="26">
        <f>资产资本表!O17</f>
        <v>1120655685.3899999</v>
      </c>
      <c r="P2" s="26">
        <f>资产资本表!P17</f>
        <v>1091051519.2299998</v>
      </c>
      <c r="Q2" s="26">
        <f>资产资本表!Q17</f>
        <v>1381369248.71</v>
      </c>
      <c r="R2" s="26">
        <f>资产资本表!R17</f>
        <v>1131017534.1099999</v>
      </c>
      <c r="S2" s="26">
        <f>资产资本表!S17</f>
        <v>1282047421.76</v>
      </c>
      <c r="T2" s="26">
        <f>资产资本表!T17</f>
        <v>1671056463.3600001</v>
      </c>
      <c r="U2" s="26">
        <f>资产资本表!U17</f>
        <v>1836222698.1700001</v>
      </c>
      <c r="V2" s="26">
        <f>资产资本表!V17</f>
        <v>1489597110.8000002</v>
      </c>
      <c r="W2" s="26">
        <f>资产资本表!W17</f>
        <v>1513976273.0400002</v>
      </c>
      <c r="X2" s="26">
        <f>资产资本表!X17</f>
        <v>651410643.10000002</v>
      </c>
      <c r="Y2" s="26">
        <f>资产资本表!Y17</f>
        <v>918039781.38999999</v>
      </c>
      <c r="Z2" s="26">
        <f>资产资本表!Z17</f>
        <v>544741490.14999998</v>
      </c>
      <c r="AA2" s="26">
        <f>资产资本表!AA17</f>
        <v>382829129.23000002</v>
      </c>
      <c r="AB2" s="26">
        <f>资产资本表!AB17</f>
        <v>255240699.55999997</v>
      </c>
      <c r="AC2" s="26">
        <f>资产资本表!AC17</f>
        <v>503847504.23000002</v>
      </c>
      <c r="AD2" s="26">
        <f>资产资本表!AD17</f>
        <v>336594654.00999999</v>
      </c>
      <c r="AE2" s="26">
        <f>资产资本表!AE17</f>
        <v>470647425.12</v>
      </c>
      <c r="AF2" s="26">
        <f>资产资本表!AF17</f>
        <v>604878278.37</v>
      </c>
      <c r="AG2" s="26">
        <f>资产资本表!AG17</f>
        <v>723497264.2700001</v>
      </c>
      <c r="AH2" s="26">
        <f>资产资本表!AH17</f>
        <v>553542217.47000003</v>
      </c>
      <c r="AI2" s="26">
        <f>资产资本表!AI17</f>
        <v>466859601.65000004</v>
      </c>
      <c r="AJ2" s="26">
        <f>资产资本表!AJ17</f>
        <v>480638318.57999998</v>
      </c>
      <c r="AK2" s="26">
        <f>资产资本表!AK17</f>
        <v>483261716.43000001</v>
      </c>
      <c r="AL2" s="26">
        <f>资产资本表!AL17</f>
        <v>426396690.62</v>
      </c>
      <c r="AM2" s="26">
        <f>资产资本表!AM17</f>
        <v>411983945.06999999</v>
      </c>
      <c r="AN2" s="26">
        <f>资产资本表!AN17</f>
        <v>396439583.07999998</v>
      </c>
      <c r="AO2" s="26">
        <f>资产资本表!AO17</f>
        <v>419459963.51000005</v>
      </c>
      <c r="AP2" s="26">
        <f>资产资本表!AP17</f>
        <v>371637992.38</v>
      </c>
      <c r="AQ2" s="26">
        <f>资产资本表!AQ17</f>
        <v>407778367.36000001</v>
      </c>
      <c r="AR2" s="26">
        <f>资产资本表!AR17</f>
        <v>49633403.07</v>
      </c>
      <c r="AS2" s="26">
        <f>资产资本表!AS17</f>
        <v>88491495.680000007</v>
      </c>
      <c r="AT2" s="26">
        <f>资产资本表!AT17</f>
        <v>29230691.68</v>
      </c>
      <c r="AU2" s="26">
        <f>资产资本表!AU17</f>
        <v>68113502.120000005</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61272885.409999996</v>
      </c>
      <c r="F3" s="26">
        <f>资产资本表!F19</f>
        <v>68008814.140000001</v>
      </c>
      <c r="G3" s="26">
        <f>资产资本表!G19</f>
        <v>77630935.159999996</v>
      </c>
      <c r="H3" s="26">
        <f>资产资本表!H19</f>
        <v>65306685.609999999</v>
      </c>
      <c r="I3" s="26">
        <f>资产资本表!I19</f>
        <v>37128177.329999998</v>
      </c>
      <c r="J3" s="26">
        <f>资产资本表!J19</f>
        <v>55567186.75</v>
      </c>
      <c r="K3" s="26">
        <f>资产资本表!K19</f>
        <v>50392112.649999999</v>
      </c>
      <c r="L3" s="26">
        <f>资产资本表!L19</f>
        <v>35232592.009999998</v>
      </c>
      <c r="M3" s="26">
        <f>资产资本表!M19</f>
        <v>7201760.6299999999</v>
      </c>
      <c r="N3" s="26">
        <f>资产资本表!N19</f>
        <v>6839988.5700000003</v>
      </c>
      <c r="O3" s="26">
        <f>资产资本表!O19</f>
        <v>6313583.8099999996</v>
      </c>
      <c r="P3" s="26">
        <f>资产资本表!P19</f>
        <v>6188105.4100000001</v>
      </c>
      <c r="Q3" s="26">
        <f>资产资本表!Q19</f>
        <v>6486744.9800000004</v>
      </c>
      <c r="R3" s="26">
        <f>资产资本表!R19</f>
        <v>6694266.0899999999</v>
      </c>
      <c r="S3" s="26">
        <f>资产资本表!S19</f>
        <v>56844598.68</v>
      </c>
      <c r="T3" s="26">
        <f>资产资本表!T19</f>
        <v>56992785.049999997</v>
      </c>
      <c r="U3" s="26">
        <f>资产资本表!U19</f>
        <v>27274290.449999999</v>
      </c>
      <c r="V3" s="26">
        <f>资产资本表!V19</f>
        <v>26847678.800000001</v>
      </c>
      <c r="W3" s="26">
        <f>资产资本表!W19</f>
        <v>27336349.18</v>
      </c>
      <c r="X3" s="26">
        <f>资产资本表!X19</f>
        <v>28082043.77</v>
      </c>
      <c r="Y3" s="26">
        <f>资产资本表!Y19</f>
        <v>28520761.899999999</v>
      </c>
      <c r="Z3" s="26">
        <f>资产资本表!Z19</f>
        <v>28723232.59</v>
      </c>
      <c r="AA3" s="26">
        <f>资产资本表!AA19</f>
        <v>23624721.59</v>
      </c>
      <c r="AB3" s="26">
        <f>资产资本表!AB19</f>
        <v>24095896.690000001</v>
      </c>
      <c r="AC3" s="26">
        <f>资产资本表!AC19</f>
        <v>23631233.57</v>
      </c>
      <c r="AD3" s="26">
        <f>资产资本表!AD19</f>
        <v>23346817.350000001</v>
      </c>
      <c r="AE3" s="26">
        <f>资产资本表!AE19</f>
        <v>22746817.350000001</v>
      </c>
      <c r="AF3" s="26">
        <f>资产资本表!AF19</f>
        <v>10796682.689999999</v>
      </c>
      <c r="AG3" s="26">
        <f>资产资本表!AG19</f>
        <v>10396682.689999999</v>
      </c>
      <c r="AH3" s="26">
        <f>资产资本表!AH19</f>
        <v>10400000</v>
      </c>
      <c r="AI3" s="26">
        <f>资产资本表!AI19</f>
        <v>10400000</v>
      </c>
      <c r="AJ3" s="26">
        <f>资产资本表!AJ19</f>
        <v>10000000</v>
      </c>
      <c r="AK3" s="26">
        <f>资产资本表!AK19</f>
        <v>10000000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7273994042.2999954</v>
      </c>
      <c r="F4" s="26">
        <f>资产资本表!F50</f>
        <v>7783242437.9899988</v>
      </c>
      <c r="G4" s="26">
        <f>资产资本表!G50</f>
        <v>7334480934.4500008</v>
      </c>
      <c r="H4" s="26">
        <f>资产资本表!H50</f>
        <v>6913530864.3000011</v>
      </c>
      <c r="I4" s="26">
        <f>资产资本表!I50</f>
        <v>4961213626.71</v>
      </c>
      <c r="J4" s="26">
        <f>资产资本表!J50</f>
        <v>5557949585.6599979</v>
      </c>
      <c r="K4" s="26">
        <f>资产资本表!K50</f>
        <v>5010439008.5</v>
      </c>
      <c r="L4" s="26">
        <f>资产资本表!L50</f>
        <v>4461631593.7700014</v>
      </c>
      <c r="M4" s="26">
        <f>资产资本表!M50</f>
        <v>4195604300.9199991</v>
      </c>
      <c r="N4" s="26">
        <f>资产资本表!N50</f>
        <v>4416950189.9699993</v>
      </c>
      <c r="O4" s="26">
        <f>资产资本表!O50</f>
        <v>4011624634.8699999</v>
      </c>
      <c r="P4" s="26">
        <f>资产资本表!P50</f>
        <v>3770255006.8900003</v>
      </c>
      <c r="Q4" s="26">
        <f>资产资本表!Q50</f>
        <v>3596661975.46</v>
      </c>
      <c r="R4" s="26">
        <f>资产资本表!R50</f>
        <v>3552918006.1699996</v>
      </c>
      <c r="S4" s="26">
        <f>资产资本表!S50</f>
        <v>3306636255.5</v>
      </c>
      <c r="T4" s="26">
        <f>资产资本表!T50</f>
        <v>2212456326.0699997</v>
      </c>
      <c r="U4" s="26">
        <f>资产资本表!U50</f>
        <v>1686033842.1799998</v>
      </c>
      <c r="V4" s="26">
        <f>资产资本表!V50</f>
        <v>1653260042.97</v>
      </c>
      <c r="W4" s="26">
        <f>资产资本表!W50</f>
        <v>1509789017.5800002</v>
      </c>
      <c r="X4" s="26">
        <f>资产资本表!X50</f>
        <v>1329991225.7500005</v>
      </c>
      <c r="Y4" s="26">
        <f>资产资本表!Y50</f>
        <v>960085015.67000008</v>
      </c>
      <c r="Z4" s="26">
        <f>资产资本表!Z50</f>
        <v>1136394271.8499999</v>
      </c>
      <c r="AA4" s="26">
        <f>资产资本表!AA50</f>
        <v>1116331588.4400001</v>
      </c>
      <c r="AB4" s="26">
        <f>资产资本表!AB50</f>
        <v>1061945460.2499999</v>
      </c>
      <c r="AC4" s="26">
        <f>资产资本表!AC50</f>
        <v>719960551.5400002</v>
      </c>
      <c r="AD4" s="26">
        <f>资产资本表!AD50</f>
        <v>823734941.91000009</v>
      </c>
      <c r="AE4" s="26">
        <f>资产资本表!AE50</f>
        <v>665724463.47000027</v>
      </c>
      <c r="AF4" s="26">
        <f>资产资本表!AF50</f>
        <v>577313695</v>
      </c>
      <c r="AG4" s="26">
        <f>资产资本表!AG50</f>
        <v>426619826.43999994</v>
      </c>
      <c r="AH4" s="26">
        <f>资产资本表!AH50</f>
        <v>477309825.17000002</v>
      </c>
      <c r="AI4" s="26">
        <f>资产资本表!AI50</f>
        <v>379248510.89999998</v>
      </c>
      <c r="AJ4" s="26">
        <f>资产资本表!AJ50</f>
        <v>331308693.99999994</v>
      </c>
      <c r="AK4" s="26">
        <f>资产资本表!AK50</f>
        <v>263826115.32999998</v>
      </c>
      <c r="AL4" s="26">
        <f>资产资本表!AL50</f>
        <v>239427137.41999996</v>
      </c>
      <c r="AM4" s="26">
        <f>资产资本表!AM50</f>
        <v>220946915.43999997</v>
      </c>
      <c r="AN4" s="26">
        <f>资产资本表!AN50</f>
        <v>209496866.84</v>
      </c>
      <c r="AO4" s="26">
        <f>资产资本表!AO50</f>
        <v>179238055.88</v>
      </c>
      <c r="AP4" s="26">
        <f>资产资本表!AP50</f>
        <v>255117275.52000001</v>
      </c>
      <c r="AQ4" s="26">
        <f>资产资本表!AQ50</f>
        <v>185425804.85999998</v>
      </c>
      <c r="AR4" s="26">
        <f>资产资本表!AR50</f>
        <v>127643517.74000001</v>
      </c>
      <c r="AS4" s="26">
        <f>资产资本表!AS50</f>
        <v>89094738.879999995</v>
      </c>
      <c r="AT4" s="26">
        <f>资产资本表!AT50</f>
        <v>92882837.640000001</v>
      </c>
      <c r="AU4" s="26">
        <f>资产资本表!AU50</f>
        <v>58509916.449999973</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15415105088.709997</v>
      </c>
      <c r="F5" s="26">
        <f>资产资本表!F33</f>
        <v>14166739799.139999</v>
      </c>
      <c r="G5" s="26">
        <f>资产资本表!G33</f>
        <v>12527054257.290001</v>
      </c>
      <c r="H5" s="26">
        <f>资产资本表!H33</f>
        <v>10941786465.170002</v>
      </c>
      <c r="I5" s="26">
        <f>资产资本表!I33</f>
        <v>10687488431.950001</v>
      </c>
      <c r="J5" s="26">
        <f>资产资本表!J33</f>
        <v>9687123116.4199982</v>
      </c>
      <c r="K5" s="26">
        <f>资产资本表!K33</f>
        <v>8546804146.8599997</v>
      </c>
      <c r="L5" s="26">
        <f>资产资本表!L33</f>
        <v>7659749918.3100014</v>
      </c>
      <c r="M5" s="26">
        <f>资产资本表!M33</f>
        <v>8519845981.7199993</v>
      </c>
      <c r="N5" s="26">
        <f>资产资本表!N33</f>
        <v>6872065247.7399988</v>
      </c>
      <c r="O5" s="26">
        <f>资产资本表!O33</f>
        <v>6354948477.21</v>
      </c>
      <c r="P5" s="26">
        <f>资产资本表!P33</f>
        <v>5518266763.6800003</v>
      </c>
      <c r="Q5" s="26">
        <f>资产资本表!Q33</f>
        <v>5785371889.4099998</v>
      </c>
      <c r="R5" s="26">
        <f>资产资本表!R33</f>
        <v>4799923449.8499994</v>
      </c>
      <c r="S5" s="26">
        <f>资产资本表!S33</f>
        <v>4721745038.8800001</v>
      </c>
      <c r="T5" s="26">
        <f>资产资本表!T33</f>
        <v>4088454217.0899997</v>
      </c>
      <c r="U5" s="26">
        <f>资产资本表!U33</f>
        <v>3471224325.48</v>
      </c>
      <c r="V5" s="26">
        <f>资产资本表!V33</f>
        <v>2783603575.79</v>
      </c>
      <c r="W5" s="26">
        <f>资产资本表!W33</f>
        <v>2473696100.2200003</v>
      </c>
      <c r="X5" s="26">
        <f>资产资本表!X33</f>
        <v>2165372328.5200005</v>
      </c>
      <c r="Y5" s="26">
        <f>资产资本表!Y33</f>
        <v>1972900638.1400001</v>
      </c>
      <c r="Z5" s="26">
        <f>资产资本表!Z33</f>
        <v>1952653306.78</v>
      </c>
      <c r="AA5" s="26">
        <f>资产资本表!AA33</f>
        <v>1847960004.8400002</v>
      </c>
      <c r="AB5" s="26">
        <f>资产资本表!AB33</f>
        <v>1691546161.8299999</v>
      </c>
      <c r="AC5" s="26">
        <f>资产资本表!AC33</f>
        <v>1428561393.2100003</v>
      </c>
      <c r="AD5" s="26">
        <f>资产资本表!AD33</f>
        <v>1285499151.9400001</v>
      </c>
      <c r="AE5" s="26">
        <f>资产资本表!AE33</f>
        <v>1183074162.5400002</v>
      </c>
      <c r="AF5" s="26">
        <f>资产资本表!AF33</f>
        <v>965268009.20999992</v>
      </c>
      <c r="AG5" s="26">
        <f>资产资本表!AG33</f>
        <v>874047656.77999985</v>
      </c>
      <c r="AH5" s="26">
        <f>资产资本表!AH33</f>
        <v>877802889.37</v>
      </c>
      <c r="AI5" s="26">
        <f>资产资本表!AI33</f>
        <v>767536870.52999997</v>
      </c>
      <c r="AJ5" s="26">
        <f>资产资本表!AJ33</f>
        <v>601152875.06999993</v>
      </c>
      <c r="AK5" s="26">
        <f>资产资本表!AK33</f>
        <v>530654812.49000001</v>
      </c>
      <c r="AL5" s="26">
        <f>资产资本表!AL33</f>
        <v>456863806.01999998</v>
      </c>
      <c r="AM5" s="26">
        <f>资产资本表!AM33</f>
        <v>369253181.51999998</v>
      </c>
      <c r="AN5" s="26">
        <f>资产资本表!AN33</f>
        <v>347138057.56</v>
      </c>
      <c r="AO5" s="26">
        <f>资产资本表!AO33</f>
        <v>317811203.25</v>
      </c>
      <c r="AP5" s="26">
        <f>资产资本表!AP33</f>
        <v>394378282.81</v>
      </c>
      <c r="AQ5" s="26">
        <f>资产资本表!AQ33</f>
        <v>329927428.12</v>
      </c>
      <c r="AR5" s="26">
        <f>资产资本表!AR33</f>
        <v>270767115.56</v>
      </c>
      <c r="AS5" s="26">
        <f>资产资本表!AS33</f>
        <v>226258160.94999999</v>
      </c>
      <c r="AT5" s="26">
        <f>资产资本表!AT33</f>
        <v>223223237.06</v>
      </c>
      <c r="AU5" s="26">
        <f>资产资本表!AU33</f>
        <v>189170199.82999998</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8141111046.4100018</v>
      </c>
      <c r="F6" s="26">
        <f>资产资本表!F49</f>
        <v>6383497361.1500006</v>
      </c>
      <c r="G6" s="26">
        <f>资产资本表!G49</f>
        <v>5192573322.8400002</v>
      </c>
      <c r="H6" s="26">
        <f>资产资本表!H49</f>
        <v>4028255600.8700004</v>
      </c>
      <c r="I6" s="26">
        <f>资产资本表!I49</f>
        <v>5726274805.2400007</v>
      </c>
      <c r="J6" s="26">
        <f>资产资本表!J49</f>
        <v>4129173530.7599998</v>
      </c>
      <c r="K6" s="26">
        <f>资产资本表!K49</f>
        <v>3536365138.3600001</v>
      </c>
      <c r="L6" s="26">
        <f>资产资本表!L49</f>
        <v>3198118324.54</v>
      </c>
      <c r="M6" s="26">
        <f>资产资本表!M49</f>
        <v>4324241680.8000002</v>
      </c>
      <c r="N6" s="26">
        <f>资产资本表!N49</f>
        <v>2455115057.77</v>
      </c>
      <c r="O6" s="26">
        <f>资产资本表!O49</f>
        <v>2343323842.3400002</v>
      </c>
      <c r="P6" s="26">
        <f>资产资本表!P49</f>
        <v>1748011756.7900002</v>
      </c>
      <c r="Q6" s="26">
        <f>资产资本表!Q49</f>
        <v>2188709913.9499998</v>
      </c>
      <c r="R6" s="26">
        <f>资产资本表!R49</f>
        <v>1247005443.6799998</v>
      </c>
      <c r="S6" s="26">
        <f>资产资本表!S49</f>
        <v>1415108783.3800001</v>
      </c>
      <c r="T6" s="26">
        <f>资产资本表!T49</f>
        <v>1875997891.0200002</v>
      </c>
      <c r="U6" s="26">
        <f>资产资本表!U49</f>
        <v>1785190483.3000002</v>
      </c>
      <c r="V6" s="26">
        <f>资产资本表!V49</f>
        <v>1130343532.8199999</v>
      </c>
      <c r="W6" s="26">
        <f>资产资本表!W49</f>
        <v>963907082.6400001</v>
      </c>
      <c r="X6" s="26">
        <f>资产资本表!X49</f>
        <v>835381102.76999998</v>
      </c>
      <c r="Y6" s="26">
        <f>资产资本表!Y49</f>
        <v>1012815622.47</v>
      </c>
      <c r="Z6" s="26">
        <f>资产资本表!Z49</f>
        <v>816259034.92999995</v>
      </c>
      <c r="AA6" s="26">
        <f>资产资本表!AA49</f>
        <v>731628416.4000001</v>
      </c>
      <c r="AB6" s="26">
        <f>资产资本表!AB49</f>
        <v>629600701.58000004</v>
      </c>
      <c r="AC6" s="26">
        <f>资产资本表!AC49</f>
        <v>708600841.67000008</v>
      </c>
      <c r="AD6" s="26">
        <f>资产资本表!AD49</f>
        <v>461764210.02999997</v>
      </c>
      <c r="AE6" s="26">
        <f>资产资本表!AE49</f>
        <v>517349699.06999999</v>
      </c>
      <c r="AF6" s="26">
        <f>资产资本表!AF49</f>
        <v>387954314.20999998</v>
      </c>
      <c r="AG6" s="26">
        <f>资产资本表!AG49</f>
        <v>447427830.33999991</v>
      </c>
      <c r="AH6" s="26">
        <f>资产资本表!AH49</f>
        <v>400493064.19999999</v>
      </c>
      <c r="AI6" s="26">
        <f>资产资本表!AI49</f>
        <v>388288359.63</v>
      </c>
      <c r="AJ6" s="26">
        <f>资产资本表!AJ49</f>
        <v>269844181.06999999</v>
      </c>
      <c r="AK6" s="26">
        <f>资产资本表!AK49</f>
        <v>266828697.16000003</v>
      </c>
      <c r="AL6" s="26">
        <f>资产资本表!AL49</f>
        <v>217436668.60000002</v>
      </c>
      <c r="AM6" s="26">
        <f>资产资本表!AM49</f>
        <v>148306266.08000001</v>
      </c>
      <c r="AN6" s="26">
        <f>资产资本表!AN49</f>
        <v>137641190.72</v>
      </c>
      <c r="AO6" s="26">
        <f>资产资本表!AO49</f>
        <v>138573147.37</v>
      </c>
      <c r="AP6" s="26">
        <f>资产资本表!AP49</f>
        <v>139261007.28999999</v>
      </c>
      <c r="AQ6" s="26">
        <f>资产资本表!AQ49</f>
        <v>144501623.26000002</v>
      </c>
      <c r="AR6" s="26">
        <f>资产资本表!AR49</f>
        <v>143123597.81999999</v>
      </c>
      <c r="AS6" s="26">
        <f>资产资本表!AS49</f>
        <v>137163422.06999999</v>
      </c>
      <c r="AT6" s="26">
        <f>资产资本表!AT49</f>
        <v>130340399.42</v>
      </c>
      <c r="AU6" s="26">
        <f>资产资本表!AU49</f>
        <v>130660283.38000001</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1930454687.04</v>
      </c>
      <c r="F7" s="26">
        <f>资产资本表!F68</f>
        <v>1802624584.7</v>
      </c>
      <c r="G7" s="26">
        <f>资产资本表!G68</f>
        <v>1755099050.4599998</v>
      </c>
      <c r="H7" s="26">
        <f>资产资本表!H68</f>
        <v>1629802158.7299998</v>
      </c>
      <c r="I7" s="26">
        <f>资产资本表!I68</f>
        <v>1580830809.45</v>
      </c>
      <c r="J7" s="26">
        <f>资产资本表!J68</f>
        <v>1504804039.6199999</v>
      </c>
      <c r="K7" s="26">
        <f>资产资本表!K68</f>
        <v>1404643601.8399999</v>
      </c>
      <c r="L7" s="26">
        <f>资产资本表!L68</f>
        <v>1301323531.73</v>
      </c>
      <c r="M7" s="26">
        <f>资产资本表!M68</f>
        <v>1134449478.1399999</v>
      </c>
      <c r="N7" s="26">
        <f>资产资本表!N68</f>
        <v>1010181172.4600002</v>
      </c>
      <c r="O7" s="26">
        <f>资产资本表!O68</f>
        <v>910847223.2099998</v>
      </c>
      <c r="P7" s="26">
        <f>资产资本表!P68</f>
        <v>875195639.50999999</v>
      </c>
      <c r="Q7" s="26">
        <f>资产资本表!Q68</f>
        <v>792304037.46000004</v>
      </c>
      <c r="R7" s="26">
        <f>资产资本表!R68</f>
        <v>742478969.43000007</v>
      </c>
      <c r="S7" s="26">
        <f>资产资本表!S68</f>
        <v>697761763.38000011</v>
      </c>
      <c r="T7" s="26">
        <f>资产资本表!T68</f>
        <v>657417343.13999999</v>
      </c>
      <c r="U7" s="26">
        <f>资产资本表!U68</f>
        <v>687615592.42999995</v>
      </c>
      <c r="V7" s="26">
        <f>资产资本表!V68</f>
        <v>538776147.78999996</v>
      </c>
      <c r="W7" s="26">
        <f>资产资本表!W68</f>
        <v>491730478.18000001</v>
      </c>
      <c r="X7" s="26">
        <f>资产资本表!X68</f>
        <v>507328688.86999995</v>
      </c>
      <c r="Y7" s="26">
        <f>资产资本表!Y68</f>
        <v>470899379.27000004</v>
      </c>
      <c r="Z7" s="26">
        <f>资产资本表!Z68</f>
        <v>362347042.94999999</v>
      </c>
      <c r="AA7" s="26">
        <f>资产资本表!AA68</f>
        <v>337203248.82999998</v>
      </c>
      <c r="AB7" s="26">
        <f>资产资本表!AB68</f>
        <v>290984745.16000009</v>
      </c>
      <c r="AC7" s="26">
        <f>资产资本表!AC68</f>
        <v>309208959.29000002</v>
      </c>
      <c r="AD7" s="26">
        <f>资产资本表!AD68</f>
        <v>247701335.99000004</v>
      </c>
      <c r="AE7" s="26">
        <f>资产资本表!AE68</f>
        <v>215071592.66999999</v>
      </c>
      <c r="AF7" s="26">
        <f>资产资本表!AF68</f>
        <v>169935603.45999998</v>
      </c>
      <c r="AG7" s="26">
        <f>资产资本表!AG68</f>
        <v>166335899</v>
      </c>
      <c r="AH7" s="26">
        <f>资产资本表!AH68</f>
        <v>142547493.09</v>
      </c>
      <c r="AI7" s="26">
        <f>资产资本表!AI68</f>
        <v>136078208.94</v>
      </c>
      <c r="AJ7" s="26">
        <f>资产资本表!AJ68</f>
        <v>134013461.79000002</v>
      </c>
      <c r="AK7" s="26">
        <f>资产资本表!AK68</f>
        <v>136241749.06</v>
      </c>
      <c r="AL7" s="26">
        <f>资产资本表!AL68</f>
        <v>126021866.06999998</v>
      </c>
      <c r="AM7" s="26">
        <f>资产资本表!AM68</f>
        <v>125887914.89999999</v>
      </c>
      <c r="AN7" s="26">
        <f>资产资本表!AN68</f>
        <v>126512716.42999999</v>
      </c>
      <c r="AO7" s="26">
        <f>资产资本表!AO68</f>
        <v>127521857.89999999</v>
      </c>
      <c r="AP7" s="26">
        <f>资产资本表!AP68</f>
        <v>72707016.939999998</v>
      </c>
      <c r="AQ7" s="26">
        <f>资产资本表!AQ68</f>
        <v>68840291.329999998</v>
      </c>
      <c r="AR7" s="26">
        <f>资产资本表!AR68</f>
        <v>65203565.810000002</v>
      </c>
      <c r="AS7" s="26">
        <f>资产资本表!AS68</f>
        <v>63990218.45000001</v>
      </c>
      <c r="AT7" s="26">
        <f>资产资本表!AT68</f>
        <v>46512926.210000001</v>
      </c>
      <c r="AU7" s="26">
        <f>资产资本表!AU68</f>
        <v>50083429.519999996</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9204448729.3399963</v>
      </c>
      <c r="F8" s="26">
        <f>资产资本表!F69</f>
        <v>9585867022.6899986</v>
      </c>
      <c r="G8" s="26">
        <f>资产资本表!G69</f>
        <v>9089579984.9099998</v>
      </c>
      <c r="H8" s="26">
        <f>资产资本表!H69</f>
        <v>8543333023.0300007</v>
      </c>
      <c r="I8" s="26">
        <f>资产资本表!I69</f>
        <v>6542044436.1599998</v>
      </c>
      <c r="J8" s="26">
        <f>资产资本表!J69</f>
        <v>7062753625.2799978</v>
      </c>
      <c r="K8" s="26">
        <f>资产资本表!K69</f>
        <v>6415082610.3400002</v>
      </c>
      <c r="L8" s="26">
        <f>资产资本表!L69</f>
        <v>5762955125.5000019</v>
      </c>
      <c r="M8" s="26">
        <f>资产资本表!M69</f>
        <v>5330053779.0599995</v>
      </c>
      <c r="N8" s="26">
        <f>资产资本表!N69</f>
        <v>5427131362.4299994</v>
      </c>
      <c r="O8" s="26">
        <f>资产资本表!O69</f>
        <v>4922471858.0799999</v>
      </c>
      <c r="P8" s="26">
        <f>资产资本表!P69</f>
        <v>4645450646.4000006</v>
      </c>
      <c r="Q8" s="26">
        <f>资产资本表!Q69</f>
        <v>4388966012.9200001</v>
      </c>
      <c r="R8" s="26">
        <f>资产资本表!R69</f>
        <v>4295396975.5999994</v>
      </c>
      <c r="S8" s="26">
        <f>资产资本表!S69</f>
        <v>4004398018.8800001</v>
      </c>
      <c r="T8" s="26">
        <f>资产资本表!T69</f>
        <v>2869873669.2099996</v>
      </c>
      <c r="U8" s="26">
        <f>资产资本表!U69</f>
        <v>2373649434.6099997</v>
      </c>
      <c r="V8" s="26">
        <f>资产资本表!V69</f>
        <v>2192036190.7600002</v>
      </c>
      <c r="W8" s="26">
        <f>资产资本表!W69</f>
        <v>2001519495.7600002</v>
      </c>
      <c r="X8" s="26">
        <f>资产资本表!X69</f>
        <v>1837319914.6200004</v>
      </c>
      <c r="Y8" s="26">
        <f>资产资本表!Y69</f>
        <v>1430984394.9400001</v>
      </c>
      <c r="Z8" s="26">
        <f>资产资本表!Z69</f>
        <v>1498741314.8</v>
      </c>
      <c r="AA8" s="26">
        <f>资产资本表!AA69</f>
        <v>1453534837.27</v>
      </c>
      <c r="AB8" s="26">
        <f>资产资本表!AB69</f>
        <v>1352930205.4099998</v>
      </c>
      <c r="AC8" s="26">
        <f>资产资本表!AC69</f>
        <v>1029169510.8300002</v>
      </c>
      <c r="AD8" s="26">
        <f>资产资本表!AD69</f>
        <v>1071436277.9000001</v>
      </c>
      <c r="AE8" s="26">
        <f>资产资本表!AE69</f>
        <v>880796056.14000022</v>
      </c>
      <c r="AF8" s="26">
        <f>资产资本表!AF69</f>
        <v>747249298.46000004</v>
      </c>
      <c r="AG8" s="26">
        <f>资产资本表!AG69</f>
        <v>592955725.43999994</v>
      </c>
      <c r="AH8" s="26">
        <f>资产资本表!AH69</f>
        <v>619857318.25999999</v>
      </c>
      <c r="AI8" s="26">
        <f>资产资本表!AI69</f>
        <v>515326719.83999997</v>
      </c>
      <c r="AJ8" s="26">
        <f>资产资本表!AJ69</f>
        <v>465322155.78999996</v>
      </c>
      <c r="AK8" s="26">
        <f>资产资本表!AK69</f>
        <v>400067864.38999999</v>
      </c>
      <c r="AL8" s="26">
        <f>资产资本表!AL69</f>
        <v>365449003.48999995</v>
      </c>
      <c r="AM8" s="26">
        <f>资产资本表!AM69</f>
        <v>346834830.33999997</v>
      </c>
      <c r="AN8" s="26">
        <f>资产资本表!AN69</f>
        <v>336009583.26999998</v>
      </c>
      <c r="AO8" s="26">
        <f>资产资本表!AO69</f>
        <v>306759913.77999997</v>
      </c>
      <c r="AP8" s="26">
        <f>资产资本表!AP69</f>
        <v>327824292.46000004</v>
      </c>
      <c r="AQ8" s="26">
        <f>资产资本表!AQ69</f>
        <v>254266096.19</v>
      </c>
      <c r="AR8" s="26">
        <f>资产资本表!AR69</f>
        <v>192847083.55000001</v>
      </c>
      <c r="AS8" s="26">
        <f>资产资本表!AS69</f>
        <v>153084957.33000001</v>
      </c>
      <c r="AT8" s="26">
        <f>资产资本表!AT69</f>
        <v>139395763.84999999</v>
      </c>
      <c r="AU8" s="26">
        <f>资产资本表!AU69</f>
        <v>108593345.96999997</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13146898570.789997</v>
      </c>
      <c r="F9" s="48">
        <f>资产资本表!F70</f>
        <v>12482420508.929998</v>
      </c>
      <c r="G9" s="48">
        <f>资产资本表!G70</f>
        <v>11787124503.309999</v>
      </c>
      <c r="H9" s="48">
        <f>资产资本表!H70</f>
        <v>10843985630.030001</v>
      </c>
      <c r="I9" s="48">
        <f>资产资本表!I70</f>
        <v>9616417688.5900002</v>
      </c>
      <c r="J9" s="48">
        <f>资产资本表!J70</f>
        <v>8791820953.9199982</v>
      </c>
      <c r="K9" s="48">
        <f>资产资本表!K70</f>
        <v>8336997619.2600002</v>
      </c>
      <c r="L9" s="48">
        <f>资产资本表!L70</f>
        <v>7832021095.5700016</v>
      </c>
      <c r="M9" s="48">
        <f>资产资本表!M70</f>
        <v>7163868697.7999992</v>
      </c>
      <c r="N9" s="48">
        <f>资产资本表!N70</f>
        <v>6420439797.3399992</v>
      </c>
      <c r="O9" s="48">
        <f>资产资本表!O70</f>
        <v>6049441127.2799997</v>
      </c>
      <c r="P9" s="48">
        <f>资产资本表!P70</f>
        <v>5742690271.0400009</v>
      </c>
      <c r="Q9" s="48">
        <f>资产资本表!Q70</f>
        <v>5776822006.6100006</v>
      </c>
      <c r="R9" s="48">
        <f>资产资本表!R70</f>
        <v>5433108775.7999992</v>
      </c>
      <c r="S9" s="48">
        <f>资产资本表!S70</f>
        <v>5343290039.3199997</v>
      </c>
      <c r="T9" s="48">
        <f>资产资本表!T70</f>
        <v>4597922917.6199999</v>
      </c>
      <c r="U9" s="48">
        <f>资产资本表!U70</f>
        <v>4237146423.2299995</v>
      </c>
      <c r="V9" s="48">
        <f>资产资本表!V70</f>
        <v>3708480980.3600006</v>
      </c>
      <c r="W9" s="48">
        <f>资产资本表!W70</f>
        <v>3542832117.9800005</v>
      </c>
      <c r="X9" s="48">
        <f>资产资本表!X70</f>
        <v>2516812601.4900002</v>
      </c>
      <c r="Y9" s="48">
        <f>资产资本表!Y70</f>
        <v>2377544938.23</v>
      </c>
      <c r="Z9" s="48">
        <f>资产资本表!Z70</f>
        <v>2072206037.54</v>
      </c>
      <c r="AA9" s="48">
        <f>资产资本表!AA70</f>
        <v>1859988688.0899999</v>
      </c>
      <c r="AB9" s="48">
        <f>资产资本表!AB70</f>
        <v>1632266801.6599998</v>
      </c>
      <c r="AC9" s="48">
        <f>资产资本表!AC70</f>
        <v>1556648248.6300001</v>
      </c>
      <c r="AD9" s="48">
        <f>资产资本表!AD70</f>
        <v>1431377749.2600002</v>
      </c>
      <c r="AE9" s="48">
        <f>资产资本表!AE70</f>
        <v>1374190298.6100001</v>
      </c>
      <c r="AF9" s="48">
        <f>资产资本表!AF70</f>
        <v>1362924259.52</v>
      </c>
      <c r="AG9" s="48">
        <f>资产资本表!AG70</f>
        <v>1326849672.4000001</v>
      </c>
      <c r="AH9" s="48">
        <f>资产资本表!AH70</f>
        <v>1183799535.73</v>
      </c>
      <c r="AI9" s="48">
        <f>资产资本表!AI70</f>
        <v>992586321.49000001</v>
      </c>
      <c r="AJ9" s="48">
        <f>资产资本表!AJ70</f>
        <v>955960474.36999989</v>
      </c>
      <c r="AK9" s="48">
        <f>资产资本表!AK70</f>
        <v>893329580.81999993</v>
      </c>
      <c r="AL9" s="48">
        <f>资产资本表!AL70</f>
        <v>791845694.1099999</v>
      </c>
      <c r="AM9" s="48">
        <f>资产资本表!AM70</f>
        <v>758818775.40999997</v>
      </c>
      <c r="AN9" s="48">
        <f>资产资本表!AN70</f>
        <v>732449166.3499999</v>
      </c>
      <c r="AO9" s="48">
        <f>资产资本表!AO70</f>
        <v>726219877.28999996</v>
      </c>
      <c r="AP9" s="48">
        <f>资产资本表!AP70</f>
        <v>699462284.84000003</v>
      </c>
      <c r="AQ9" s="48">
        <f>资产资本表!AQ70</f>
        <v>662044463.54999995</v>
      </c>
      <c r="AR9" s="48">
        <f>资产资本表!AR70</f>
        <v>242480486.62</v>
      </c>
      <c r="AS9" s="48">
        <f>资产资本表!AS70</f>
        <v>241576453.01000002</v>
      </c>
      <c r="AT9" s="48">
        <f>资产资本表!AT70</f>
        <v>168626455.53</v>
      </c>
      <c r="AU9" s="48">
        <f>资产资本表!AU70</f>
        <v>176706848.08999997</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1837068732.1500001</v>
      </c>
      <c r="F10" s="26">
        <f>资产资本表!F72</f>
        <v>2380631933.0100002</v>
      </c>
      <c r="G10" s="26">
        <f>资产资本表!G72</f>
        <v>2161904895.5299997</v>
      </c>
      <c r="H10" s="26">
        <f>资产资本表!H72</f>
        <v>1810505278.72</v>
      </c>
      <c r="I10" s="26">
        <f>资产资本表!I72</f>
        <v>1020417469.1800001</v>
      </c>
      <c r="J10" s="26">
        <f>资产资本表!J72</f>
        <v>951814994.92999995</v>
      </c>
      <c r="K10" s="26">
        <f>资产资本表!K72</f>
        <v>883231910.88999999</v>
      </c>
      <c r="L10" s="26">
        <f>资产资本表!L72</f>
        <v>755703101.74000001</v>
      </c>
      <c r="M10" s="26">
        <f>资产资本表!M72</f>
        <v>503199033.41000003</v>
      </c>
      <c r="N10" s="26">
        <f>资产资本表!N72</f>
        <v>338205349.89999998</v>
      </c>
      <c r="O10" s="26">
        <f>资产资本表!O72</f>
        <v>264871326.91999999</v>
      </c>
      <c r="P10" s="26">
        <f>资产资本表!P72</f>
        <v>61370000</v>
      </c>
      <c r="Q10" s="26">
        <f>资产资本表!Q72</f>
        <v>197155777.94</v>
      </c>
      <c r="R10" s="26">
        <f>资产资本表!R72</f>
        <v>100969519.31999999</v>
      </c>
      <c r="S10" s="26">
        <f>资产资本表!S72</f>
        <v>243075229.66</v>
      </c>
      <c r="T10" s="26">
        <f>资产资本表!T72</f>
        <v>198447571.94</v>
      </c>
      <c r="U10" s="26">
        <f>资产资本表!U72</f>
        <v>43178537.100000001</v>
      </c>
      <c r="V10" s="26">
        <f>资产资本表!V72</f>
        <v>43389755.920000002</v>
      </c>
      <c r="W10" s="26">
        <f>资产资本表!W72</f>
        <v>107120788.43000001</v>
      </c>
      <c r="X10" s="26">
        <f>资产资本表!X72</f>
        <v>220283448.87</v>
      </c>
      <c r="Y10" s="26">
        <f>资产资本表!Y72</f>
        <v>223969414.22</v>
      </c>
      <c r="Z10" s="26">
        <f>资产资本表!Z72</f>
        <v>244893350.22</v>
      </c>
      <c r="AA10" s="26">
        <f>资产资本表!AA72</f>
        <v>185519335.66999999</v>
      </c>
      <c r="AB10" s="26">
        <f>资产资本表!AB72</f>
        <v>47372079.759999998</v>
      </c>
      <c r="AC10" s="26">
        <f>资产资本表!AC72</f>
        <v>39323139.789999999</v>
      </c>
      <c r="AD10" s="26">
        <f>资产资本表!AD72</f>
        <v>93241394.019999996</v>
      </c>
      <c r="AE10" s="26">
        <f>资产资本表!AE72</f>
        <v>118751534.33</v>
      </c>
      <c r="AF10" s="26">
        <f>资产资本表!AF72</f>
        <v>138285955.23999998</v>
      </c>
      <c r="AG10" s="26">
        <f>资产资本表!AG72</f>
        <v>148484834.28</v>
      </c>
      <c r="AH10" s="26">
        <f>资产资本表!AH72</f>
        <v>139418856.71000001</v>
      </c>
      <c r="AI10" s="26">
        <f>资产资本表!AI72</f>
        <v>120517437.26000001</v>
      </c>
      <c r="AJ10" s="26">
        <f>资产资本表!AJ72</f>
        <v>107300598.81</v>
      </c>
      <c r="AK10" s="26">
        <f>资产资本表!AK72</f>
        <v>65052150.950000003</v>
      </c>
      <c r="AL10" s="26">
        <f>资产资本表!AL72</f>
        <v>20755616.18</v>
      </c>
      <c r="AM10" s="26">
        <f>资产资本表!AM72</f>
        <v>13681119.619999999</v>
      </c>
      <c r="AN10" s="26">
        <f>资产资本表!AN72</f>
        <v>0</v>
      </c>
      <c r="AO10" s="26">
        <f>资产资本表!AO72</f>
        <v>0</v>
      </c>
      <c r="AP10" s="26">
        <f>资产资本表!AP72</f>
        <v>6840677.6200000001</v>
      </c>
      <c r="AQ10" s="26">
        <f>资产资本表!AQ72</f>
        <v>6869778.3099999996</v>
      </c>
      <c r="AR10" s="26">
        <f>资产资本表!AR72</f>
        <v>7607150</v>
      </c>
      <c r="AS10" s="26">
        <f>资产资本表!AS72</f>
        <v>12324112.5</v>
      </c>
      <c r="AT10" s="26">
        <f>资产资本表!AT72</f>
        <v>25042900</v>
      </c>
      <c r="AU10" s="26">
        <f>资产资本表!AU72</f>
        <v>30031900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588600936.53999996</v>
      </c>
      <c r="F11" s="26">
        <f>资产资本表!F81</f>
        <v>340000000</v>
      </c>
      <c r="G11" s="26">
        <f>资产资本表!G81</f>
        <v>336028147.80000001</v>
      </c>
      <c r="H11" s="26">
        <f>资产资本表!H81</f>
        <v>189096536.31</v>
      </c>
      <c r="I11" s="26">
        <f>资产资本表!I81</f>
        <v>52741778.57</v>
      </c>
      <c r="J11" s="26">
        <f>资产资本表!J81</f>
        <v>5000000</v>
      </c>
      <c r="K11" s="26">
        <f>资产资本表!K81</f>
        <v>0</v>
      </c>
      <c r="L11" s="26">
        <f>资产资本表!L81</f>
        <v>0</v>
      </c>
      <c r="M11" s="26">
        <f>资产资本表!M81</f>
        <v>0</v>
      </c>
      <c r="N11" s="26">
        <f>资产资本表!N81</f>
        <v>142593574.69999999</v>
      </c>
      <c r="O11" s="26">
        <f>资产资本表!O81</f>
        <v>142593574.69999999</v>
      </c>
      <c r="P11" s="26">
        <f>资产资本表!P81</f>
        <v>290047517.80000001</v>
      </c>
      <c r="Q11" s="26">
        <f>资产资本表!Q81</f>
        <v>295733666.92000002</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2425669668.6900001</v>
      </c>
      <c r="F12" s="26">
        <f>资产资本表!F89</f>
        <v>2720631933.0100002</v>
      </c>
      <c r="G12" s="26">
        <f>资产资本表!G89</f>
        <v>2497933043.3299999</v>
      </c>
      <c r="H12" s="26">
        <f>资产资本表!H89</f>
        <v>1999601815.03</v>
      </c>
      <c r="I12" s="26">
        <f>资产资本表!I89</f>
        <v>1073159247.7500001</v>
      </c>
      <c r="J12" s="26">
        <f>资产资本表!J89</f>
        <v>956814994.92999995</v>
      </c>
      <c r="K12" s="26">
        <f>资产资本表!K89</f>
        <v>883231910.88999999</v>
      </c>
      <c r="L12" s="26">
        <f>资产资本表!L89</f>
        <v>755703101.74000001</v>
      </c>
      <c r="M12" s="26">
        <f>资产资本表!M89</f>
        <v>503199033.41000003</v>
      </c>
      <c r="N12" s="26">
        <f>资产资本表!N89</f>
        <v>480798924.59999996</v>
      </c>
      <c r="O12" s="26">
        <f>资产资本表!O89</f>
        <v>407464901.62</v>
      </c>
      <c r="P12" s="26">
        <f>资产资本表!P89</f>
        <v>351417517.80000001</v>
      </c>
      <c r="Q12" s="26">
        <f>资产资本表!Q89</f>
        <v>492889444.86000001</v>
      </c>
      <c r="R12" s="26">
        <f>资产资本表!R89</f>
        <v>100969519.31999999</v>
      </c>
      <c r="S12" s="26">
        <f>资产资本表!S89</f>
        <v>243075229.66</v>
      </c>
      <c r="T12" s="26">
        <f>资产资本表!T89</f>
        <v>198447571.94</v>
      </c>
      <c r="U12" s="26">
        <f>资产资本表!U89</f>
        <v>43178537.100000001</v>
      </c>
      <c r="V12" s="26">
        <f>资产资本表!V89</f>
        <v>43389755.920000002</v>
      </c>
      <c r="W12" s="26">
        <f>资产资本表!W89</f>
        <v>107120788.43000001</v>
      </c>
      <c r="X12" s="26">
        <f>资产资本表!X89</f>
        <v>220283448.87</v>
      </c>
      <c r="Y12" s="26">
        <f>资产资本表!Y89</f>
        <v>223969414.22</v>
      </c>
      <c r="Z12" s="26">
        <f>资产资本表!Z89</f>
        <v>244893350.22</v>
      </c>
      <c r="AA12" s="26">
        <f>资产资本表!AA89</f>
        <v>185519335.66999999</v>
      </c>
      <c r="AB12" s="26">
        <f>资产资本表!AB89</f>
        <v>47372079.759999998</v>
      </c>
      <c r="AC12" s="26">
        <f>资产资本表!AC89</f>
        <v>39323139.789999999</v>
      </c>
      <c r="AD12" s="26">
        <f>资产资本表!AD89</f>
        <v>93241394.019999996</v>
      </c>
      <c r="AE12" s="26">
        <f>资产资本表!AE89</f>
        <v>118751534.33</v>
      </c>
      <c r="AF12" s="26">
        <f>资产资本表!AF89</f>
        <v>138285955.23999998</v>
      </c>
      <c r="AG12" s="26">
        <f>资产资本表!AG89</f>
        <v>148484834.28</v>
      </c>
      <c r="AH12" s="26">
        <f>资产资本表!AH89</f>
        <v>139418856.71000001</v>
      </c>
      <c r="AI12" s="26">
        <f>资产资本表!AI89</f>
        <v>120517437.26000001</v>
      </c>
      <c r="AJ12" s="26">
        <f>资产资本表!AJ89</f>
        <v>107300598.81</v>
      </c>
      <c r="AK12" s="26">
        <f>资产资本表!AK89</f>
        <v>65052150.950000003</v>
      </c>
      <c r="AL12" s="26">
        <f>资产资本表!AL89</f>
        <v>20755616.18</v>
      </c>
      <c r="AM12" s="26">
        <f>资产资本表!AM89</f>
        <v>13681119.619999999</v>
      </c>
      <c r="AN12" s="26">
        <f>资产资本表!AN89</f>
        <v>0</v>
      </c>
      <c r="AO12" s="26">
        <f>资产资本表!AO89</f>
        <v>0</v>
      </c>
      <c r="AP12" s="26">
        <f>资产资本表!AP89</f>
        <v>6840677.6200000001</v>
      </c>
      <c r="AQ12" s="26">
        <f>资产资本表!AQ89</f>
        <v>6869778.3099999996</v>
      </c>
      <c r="AR12" s="26">
        <f>资产资本表!AR89</f>
        <v>7607150</v>
      </c>
      <c r="AS12" s="26">
        <f>资产资本表!AS89</f>
        <v>12324112.5</v>
      </c>
      <c r="AT12" s="26">
        <f>资产资本表!AT89</f>
        <v>25042900</v>
      </c>
      <c r="AU12" s="26">
        <f>资产资本表!AU89</f>
        <v>30031900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10721228902.099997</v>
      </c>
      <c r="F13" s="26">
        <f t="shared" ref="F13:BQ13" si="0">F9-F12</f>
        <v>9761788575.9199982</v>
      </c>
      <c r="G13" s="26">
        <f t="shared" si="0"/>
        <v>9289191459.9799995</v>
      </c>
      <c r="H13" s="26">
        <f t="shared" si="0"/>
        <v>8844383815</v>
      </c>
      <c r="I13" s="26">
        <f t="shared" si="0"/>
        <v>8543258440.8400002</v>
      </c>
      <c r="J13" s="26">
        <f t="shared" si="0"/>
        <v>7835005958.9899979</v>
      </c>
      <c r="K13" s="26">
        <f t="shared" si="0"/>
        <v>7453765708.3699999</v>
      </c>
      <c r="L13" s="26">
        <f t="shared" si="0"/>
        <v>7076317993.8300018</v>
      </c>
      <c r="M13" s="26">
        <f t="shared" si="0"/>
        <v>6660669664.3899994</v>
      </c>
      <c r="N13" s="26">
        <f t="shared" si="0"/>
        <v>5939640872.7399988</v>
      </c>
      <c r="O13" s="26">
        <f t="shared" si="0"/>
        <v>5641976225.6599998</v>
      </c>
      <c r="P13" s="26">
        <f t="shared" si="0"/>
        <v>5391272753.2400007</v>
      </c>
      <c r="Q13" s="26">
        <f t="shared" si="0"/>
        <v>5283932561.750001</v>
      </c>
      <c r="R13" s="26">
        <f t="shared" si="0"/>
        <v>5332139256.4799995</v>
      </c>
      <c r="S13" s="26">
        <f t="shared" si="0"/>
        <v>5100214809.6599998</v>
      </c>
      <c r="T13" s="26">
        <f t="shared" si="0"/>
        <v>4399475345.6800003</v>
      </c>
      <c r="U13" s="26">
        <f t="shared" si="0"/>
        <v>4193967886.1299996</v>
      </c>
      <c r="V13" s="26">
        <f t="shared" si="0"/>
        <v>3665091224.4400005</v>
      </c>
      <c r="W13" s="26">
        <f t="shared" si="0"/>
        <v>3435711329.5500007</v>
      </c>
      <c r="X13" s="26">
        <f t="shared" si="0"/>
        <v>2296529152.6200004</v>
      </c>
      <c r="Y13" s="26">
        <f t="shared" si="0"/>
        <v>2153575524.0100002</v>
      </c>
      <c r="Z13" s="26">
        <f t="shared" si="0"/>
        <v>1827312687.3199999</v>
      </c>
      <c r="AA13" s="26">
        <f t="shared" si="0"/>
        <v>1674469352.4199998</v>
      </c>
      <c r="AB13" s="26">
        <f t="shared" si="0"/>
        <v>1584894721.8999999</v>
      </c>
      <c r="AC13" s="26">
        <f t="shared" si="0"/>
        <v>1517325108.8400002</v>
      </c>
      <c r="AD13" s="26">
        <f t="shared" si="0"/>
        <v>1338136355.2400002</v>
      </c>
      <c r="AE13" s="26">
        <f t="shared" si="0"/>
        <v>1255438764.2800002</v>
      </c>
      <c r="AF13" s="26">
        <f t="shared" si="0"/>
        <v>1224638304.28</v>
      </c>
      <c r="AG13" s="26">
        <f t="shared" si="0"/>
        <v>1178364838.1200001</v>
      </c>
      <c r="AH13" s="26">
        <f t="shared" si="0"/>
        <v>1044380679.02</v>
      </c>
      <c r="AI13" s="26">
        <f t="shared" si="0"/>
        <v>872068884.23000002</v>
      </c>
      <c r="AJ13" s="26">
        <f t="shared" si="0"/>
        <v>848659875.55999994</v>
      </c>
      <c r="AK13" s="26">
        <f t="shared" si="0"/>
        <v>828277429.86999989</v>
      </c>
      <c r="AL13" s="26">
        <f t="shared" si="0"/>
        <v>771090077.92999995</v>
      </c>
      <c r="AM13" s="26">
        <f t="shared" si="0"/>
        <v>745137655.78999996</v>
      </c>
      <c r="AN13" s="26">
        <f t="shared" si="0"/>
        <v>732449166.3499999</v>
      </c>
      <c r="AO13" s="26">
        <f t="shared" si="0"/>
        <v>726219877.28999996</v>
      </c>
      <c r="AP13" s="26">
        <f t="shared" si="0"/>
        <v>692621607.22000003</v>
      </c>
      <c r="AQ13" s="26">
        <f t="shared" si="0"/>
        <v>655174685.24000001</v>
      </c>
      <c r="AR13" s="26">
        <f t="shared" si="0"/>
        <v>234873336.62</v>
      </c>
      <c r="AS13" s="26">
        <f t="shared" si="0"/>
        <v>229252340.51000002</v>
      </c>
      <c r="AT13" s="26">
        <f t="shared" si="0"/>
        <v>143583555.53</v>
      </c>
      <c r="AU13" s="26">
        <f t="shared" si="0"/>
        <v>146674948.08999997</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13146898570.789997</v>
      </c>
      <c r="F14" s="48">
        <f t="shared" ref="F14:BQ14" si="2">F9</f>
        <v>12482420508.929998</v>
      </c>
      <c r="G14" s="48">
        <f t="shared" si="2"/>
        <v>11787124503.309999</v>
      </c>
      <c r="H14" s="48">
        <f t="shared" si="2"/>
        <v>10843985630.030001</v>
      </c>
      <c r="I14" s="48">
        <f t="shared" si="2"/>
        <v>9616417688.5900002</v>
      </c>
      <c r="J14" s="48">
        <f t="shared" si="2"/>
        <v>8791820953.9199982</v>
      </c>
      <c r="K14" s="48">
        <f t="shared" si="2"/>
        <v>8336997619.2600002</v>
      </c>
      <c r="L14" s="48">
        <f t="shared" si="2"/>
        <v>7832021095.5700016</v>
      </c>
      <c r="M14" s="48">
        <f t="shared" si="2"/>
        <v>7163868697.7999992</v>
      </c>
      <c r="N14" s="48">
        <f t="shared" si="2"/>
        <v>6420439797.3399992</v>
      </c>
      <c r="O14" s="48">
        <f t="shared" si="2"/>
        <v>6049441127.2799997</v>
      </c>
      <c r="P14" s="48">
        <f t="shared" si="2"/>
        <v>5742690271.0400009</v>
      </c>
      <c r="Q14" s="48">
        <f t="shared" si="2"/>
        <v>5776822006.6100006</v>
      </c>
      <c r="R14" s="48">
        <f t="shared" si="2"/>
        <v>5433108775.7999992</v>
      </c>
      <c r="S14" s="48">
        <f t="shared" si="2"/>
        <v>5343290039.3199997</v>
      </c>
      <c r="T14" s="48">
        <f t="shared" si="2"/>
        <v>4597922917.6199999</v>
      </c>
      <c r="U14" s="48">
        <f t="shared" si="2"/>
        <v>4237146423.2299995</v>
      </c>
      <c r="V14" s="48">
        <f t="shared" si="2"/>
        <v>3708480980.3600006</v>
      </c>
      <c r="W14" s="48">
        <f t="shared" si="2"/>
        <v>3542832117.9800005</v>
      </c>
      <c r="X14" s="48">
        <f t="shared" si="2"/>
        <v>2516812601.4900002</v>
      </c>
      <c r="Y14" s="48">
        <f t="shared" si="2"/>
        <v>2377544938.23</v>
      </c>
      <c r="Z14" s="48">
        <f t="shared" si="2"/>
        <v>2072206037.54</v>
      </c>
      <c r="AA14" s="48">
        <f t="shared" si="2"/>
        <v>1859988688.0899999</v>
      </c>
      <c r="AB14" s="48">
        <f t="shared" si="2"/>
        <v>1632266801.6599998</v>
      </c>
      <c r="AC14" s="48">
        <f t="shared" si="2"/>
        <v>1556648248.6300001</v>
      </c>
      <c r="AD14" s="48">
        <f t="shared" si="2"/>
        <v>1431377749.2600002</v>
      </c>
      <c r="AE14" s="48">
        <f t="shared" si="2"/>
        <v>1374190298.6100001</v>
      </c>
      <c r="AF14" s="48">
        <f t="shared" si="2"/>
        <v>1362924259.52</v>
      </c>
      <c r="AG14" s="48">
        <f t="shared" si="2"/>
        <v>1326849672.4000001</v>
      </c>
      <c r="AH14" s="48">
        <f t="shared" si="2"/>
        <v>1183799535.73</v>
      </c>
      <c r="AI14" s="48">
        <f t="shared" si="2"/>
        <v>992586321.49000001</v>
      </c>
      <c r="AJ14" s="48">
        <f t="shared" si="2"/>
        <v>955960474.36999989</v>
      </c>
      <c r="AK14" s="48">
        <f t="shared" si="2"/>
        <v>893329580.81999993</v>
      </c>
      <c r="AL14" s="48">
        <f t="shared" si="2"/>
        <v>791845694.1099999</v>
      </c>
      <c r="AM14" s="48">
        <f t="shared" si="2"/>
        <v>758818775.40999997</v>
      </c>
      <c r="AN14" s="48">
        <f t="shared" si="2"/>
        <v>732449166.3499999</v>
      </c>
      <c r="AO14" s="48">
        <f t="shared" si="2"/>
        <v>726219877.28999996</v>
      </c>
      <c r="AP14" s="48">
        <f t="shared" si="2"/>
        <v>699462284.84000003</v>
      </c>
      <c r="AQ14" s="48">
        <f t="shared" si="2"/>
        <v>662044463.54999995</v>
      </c>
      <c r="AR14" s="48">
        <f t="shared" si="2"/>
        <v>242480486.62</v>
      </c>
      <c r="AS14" s="48">
        <f t="shared" si="2"/>
        <v>241576453.01000002</v>
      </c>
      <c r="AT14" s="48">
        <f t="shared" si="2"/>
        <v>168626455.53</v>
      </c>
      <c r="AU14" s="48">
        <f t="shared" si="2"/>
        <v>176706848.08999997</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2044108223.8900003</v>
      </c>
      <c r="F15" s="58">
        <f t="shared" ref="F15:BQ15" si="4">F11+F13-F3-F4-F7</f>
        <v>447912739.08999991</v>
      </c>
      <c r="G15" s="58">
        <f t="shared" si="4"/>
        <v>458008687.70999837</v>
      </c>
      <c r="H15" s="58">
        <f t="shared" si="4"/>
        <v>424840642.66999793</v>
      </c>
      <c r="I15" s="58">
        <f t="shared" si="4"/>
        <v>2016827605.9199998</v>
      </c>
      <c r="J15" s="58">
        <f t="shared" si="4"/>
        <v>721685146.96000004</v>
      </c>
      <c r="K15" s="58">
        <f t="shared" si="4"/>
        <v>988290985.38000035</v>
      </c>
      <c r="L15" s="58">
        <f t="shared" si="4"/>
        <v>1278130276.3200002</v>
      </c>
      <c r="M15" s="58">
        <f t="shared" si="4"/>
        <v>1323414124.7000003</v>
      </c>
      <c r="N15" s="58">
        <f t="shared" si="4"/>
        <v>648263096.43999946</v>
      </c>
      <c r="O15" s="58">
        <f t="shared" si="4"/>
        <v>855784358.46999955</v>
      </c>
      <c r="P15" s="58">
        <f t="shared" si="4"/>
        <v>1029681519.2300007</v>
      </c>
      <c r="Q15" s="58">
        <f t="shared" si="4"/>
        <v>1184213470.7700014</v>
      </c>
      <c r="R15" s="58">
        <f t="shared" si="4"/>
        <v>1030048014.7899997</v>
      </c>
      <c r="S15" s="58">
        <f t="shared" si="4"/>
        <v>1038972192.0999994</v>
      </c>
      <c r="T15" s="58">
        <f t="shared" si="4"/>
        <v>1472608891.4200006</v>
      </c>
      <c r="U15" s="58">
        <f t="shared" si="4"/>
        <v>1793044161.0700002</v>
      </c>
      <c r="V15" s="58">
        <f t="shared" si="4"/>
        <v>1446207354.8800004</v>
      </c>
      <c r="W15" s="58">
        <f t="shared" si="4"/>
        <v>1406855484.6100006</v>
      </c>
      <c r="X15" s="58">
        <f t="shared" si="4"/>
        <v>431127194.22999996</v>
      </c>
      <c r="Y15" s="58">
        <f t="shared" si="4"/>
        <v>694070367.17000008</v>
      </c>
      <c r="Z15" s="58">
        <f t="shared" si="4"/>
        <v>299848139.93000013</v>
      </c>
      <c r="AA15" s="58">
        <f t="shared" si="4"/>
        <v>197309793.55999988</v>
      </c>
      <c r="AB15" s="58">
        <f t="shared" si="4"/>
        <v>207868619.79999983</v>
      </c>
      <c r="AC15" s="58">
        <f t="shared" si="4"/>
        <v>464524364.44</v>
      </c>
      <c r="AD15" s="58">
        <f t="shared" si="4"/>
        <v>243353259.99000022</v>
      </c>
      <c r="AE15" s="58">
        <f t="shared" si="4"/>
        <v>351895890.79000008</v>
      </c>
      <c r="AF15" s="58">
        <f t="shared" si="4"/>
        <v>466592323.12999994</v>
      </c>
      <c r="AG15" s="58">
        <f t="shared" si="4"/>
        <v>575012429.99000013</v>
      </c>
      <c r="AH15" s="58">
        <f t="shared" si="4"/>
        <v>414123360.75999987</v>
      </c>
      <c r="AI15" s="58">
        <f t="shared" si="4"/>
        <v>346342164.39000005</v>
      </c>
      <c r="AJ15" s="58">
        <f t="shared" si="4"/>
        <v>373337719.76999998</v>
      </c>
      <c r="AK15" s="58">
        <f t="shared" si="4"/>
        <v>418209565.47999996</v>
      </c>
      <c r="AL15" s="58">
        <f t="shared" si="4"/>
        <v>405641074.44</v>
      </c>
      <c r="AM15" s="58">
        <f t="shared" si="4"/>
        <v>398302825.45000005</v>
      </c>
      <c r="AN15" s="58">
        <f t="shared" si="4"/>
        <v>396439583.07999986</v>
      </c>
      <c r="AO15" s="58">
        <f t="shared" si="4"/>
        <v>419459963.50999999</v>
      </c>
      <c r="AP15" s="58">
        <f t="shared" si="4"/>
        <v>364797314.76000005</v>
      </c>
      <c r="AQ15" s="58">
        <f t="shared" si="4"/>
        <v>400908589.05000001</v>
      </c>
      <c r="AR15" s="58">
        <f t="shared" si="4"/>
        <v>42026253.069999993</v>
      </c>
      <c r="AS15" s="58">
        <f t="shared" si="4"/>
        <v>76167383.180000007</v>
      </c>
      <c r="AT15" s="58">
        <f t="shared" si="4"/>
        <v>4187791.6799999997</v>
      </c>
      <c r="AU15" s="58">
        <f t="shared" si="4"/>
        <v>38081602.120000005</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-2044108223.8899999</v>
      </c>
      <c r="F16" s="58">
        <f t="shared" ref="F16:BQ16" si="6">F10-F2</f>
        <v>-447912739.08999968</v>
      </c>
      <c r="G16" s="58">
        <f t="shared" si="6"/>
        <v>-458008687.71000004</v>
      </c>
      <c r="H16" s="58">
        <f t="shared" si="6"/>
        <v>-424840642.66999984</v>
      </c>
      <c r="I16" s="58">
        <f t="shared" si="6"/>
        <v>-2016827605.9200003</v>
      </c>
      <c r="J16" s="58">
        <f t="shared" si="6"/>
        <v>-721685146.95999992</v>
      </c>
      <c r="K16" s="58">
        <f t="shared" si="6"/>
        <v>-988290985.38</v>
      </c>
      <c r="L16" s="58">
        <f t="shared" si="6"/>
        <v>-1278130276.3199999</v>
      </c>
      <c r="M16" s="58">
        <f t="shared" si="6"/>
        <v>-1323414124.6999998</v>
      </c>
      <c r="N16" s="58">
        <f t="shared" si="6"/>
        <v>-648263096.44000006</v>
      </c>
      <c r="O16" s="58">
        <f t="shared" si="6"/>
        <v>-855784358.46999991</v>
      </c>
      <c r="P16" s="58">
        <f t="shared" si="6"/>
        <v>-1029681519.2299998</v>
      </c>
      <c r="Q16" s="58">
        <f t="shared" si="6"/>
        <v>-1184213470.77</v>
      </c>
      <c r="R16" s="58">
        <f t="shared" si="6"/>
        <v>-1030048014.79</v>
      </c>
      <c r="S16" s="58">
        <f t="shared" si="6"/>
        <v>-1038972192.1</v>
      </c>
      <c r="T16" s="58">
        <f t="shared" si="6"/>
        <v>-1472608891.4200001</v>
      </c>
      <c r="U16" s="58">
        <f t="shared" si="6"/>
        <v>-1793044161.0700002</v>
      </c>
      <c r="V16" s="58">
        <f t="shared" si="6"/>
        <v>-1446207354.8800001</v>
      </c>
      <c r="W16" s="58">
        <f t="shared" si="6"/>
        <v>-1406855484.6100001</v>
      </c>
      <c r="X16" s="58">
        <f t="shared" si="6"/>
        <v>-431127194.23000002</v>
      </c>
      <c r="Y16" s="58">
        <f t="shared" si="6"/>
        <v>-694070367.16999996</v>
      </c>
      <c r="Z16" s="58">
        <f t="shared" si="6"/>
        <v>-299848139.92999995</v>
      </c>
      <c r="AA16" s="58">
        <f t="shared" si="6"/>
        <v>-197309793.56000003</v>
      </c>
      <c r="AB16" s="58">
        <f t="shared" si="6"/>
        <v>-207868619.79999998</v>
      </c>
      <c r="AC16" s="58">
        <f t="shared" si="6"/>
        <v>-464524364.44</v>
      </c>
      <c r="AD16" s="58">
        <f t="shared" si="6"/>
        <v>-243353259.99000001</v>
      </c>
      <c r="AE16" s="58">
        <f t="shared" si="6"/>
        <v>-351895890.79000002</v>
      </c>
      <c r="AF16" s="58">
        <f t="shared" si="6"/>
        <v>-466592323.13</v>
      </c>
      <c r="AG16" s="58">
        <f t="shared" si="6"/>
        <v>-575012429.99000013</v>
      </c>
      <c r="AH16" s="58">
        <f t="shared" si="6"/>
        <v>-414123360.75999999</v>
      </c>
      <c r="AI16" s="58">
        <f t="shared" si="6"/>
        <v>-346342164.39000005</v>
      </c>
      <c r="AJ16" s="58">
        <f t="shared" si="6"/>
        <v>-373337719.76999998</v>
      </c>
      <c r="AK16" s="58">
        <f t="shared" si="6"/>
        <v>-418209565.48000002</v>
      </c>
      <c r="AL16" s="58">
        <f t="shared" si="6"/>
        <v>-405641074.44</v>
      </c>
      <c r="AM16" s="58">
        <f t="shared" si="6"/>
        <v>-398302825.44999999</v>
      </c>
      <c r="AN16" s="58">
        <f t="shared" si="6"/>
        <v>-396439583.07999998</v>
      </c>
      <c r="AO16" s="58">
        <f t="shared" si="6"/>
        <v>-419459963.51000005</v>
      </c>
      <c r="AP16" s="58">
        <f t="shared" si="6"/>
        <v>-364797314.75999999</v>
      </c>
      <c r="AQ16" s="58">
        <f t="shared" si="6"/>
        <v>-400908589.05000001</v>
      </c>
      <c r="AR16" s="58">
        <f t="shared" si="6"/>
        <v>-42026253.07</v>
      </c>
      <c r="AS16" s="58">
        <f t="shared" si="6"/>
        <v>-76167383.180000007</v>
      </c>
      <c r="AT16" s="58">
        <f t="shared" si="6"/>
        <v>-4187791.6799999997</v>
      </c>
      <c r="AU16" s="58">
        <f t="shared" si="6"/>
        <v>-38081602.120000005</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1.2810159332002511</v>
      </c>
      <c r="F17" s="59">
        <f t="shared" ref="F17:BQ17" si="8">(F11+F13-F7-F3)/F4</f>
        <v>1.0575483473190732</v>
      </c>
      <c r="G17" s="59">
        <f t="shared" si="8"/>
        <v>1.0624459579080416</v>
      </c>
      <c r="H17" s="59">
        <f t="shared" si="8"/>
        <v>1.0614506033181663</v>
      </c>
      <c r="I17" s="59">
        <f t="shared" si="8"/>
        <v>1.40651900072633</v>
      </c>
      <c r="J17" s="59">
        <f t="shared" si="8"/>
        <v>1.1298473719196755</v>
      </c>
      <c r="K17" s="59">
        <f t="shared" si="8"/>
        <v>1.1972463857365405</v>
      </c>
      <c r="L17" s="59">
        <f t="shared" si="8"/>
        <v>1.2864714957874868</v>
      </c>
      <c r="M17" s="59">
        <f t="shared" si="8"/>
        <v>1.3154287272538563</v>
      </c>
      <c r="N17" s="59">
        <f t="shared" si="8"/>
        <v>1.146767128574842</v>
      </c>
      <c r="O17" s="59">
        <f t="shared" si="8"/>
        <v>1.2133261300250571</v>
      </c>
      <c r="P17" s="59">
        <f t="shared" si="8"/>
        <v>1.2731065981872038</v>
      </c>
      <c r="Q17" s="59">
        <f t="shared" si="8"/>
        <v>1.329253479712545</v>
      </c>
      <c r="R17" s="59">
        <f t="shared" si="8"/>
        <v>1.2899160670190579</v>
      </c>
      <c r="S17" s="59">
        <f t="shared" si="8"/>
        <v>1.3142081897795241</v>
      </c>
      <c r="T17" s="59">
        <f t="shared" si="8"/>
        <v>1.6655990783039796</v>
      </c>
      <c r="U17" s="59">
        <f t="shared" si="8"/>
        <v>2.0634686660569272</v>
      </c>
      <c r="V17" s="59">
        <f t="shared" si="8"/>
        <v>1.8747609675982735</v>
      </c>
      <c r="W17" s="59">
        <f t="shared" si="8"/>
        <v>1.9318225713848491</v>
      </c>
      <c r="X17" s="59">
        <f t="shared" si="8"/>
        <v>1.3241579236636554</v>
      </c>
      <c r="Y17" s="59">
        <f t="shared" si="8"/>
        <v>1.7229259449337824</v>
      </c>
      <c r="Z17" s="59">
        <f t="shared" si="8"/>
        <v>1.2638592496967276</v>
      </c>
      <c r="AA17" s="59">
        <f t="shared" si="8"/>
        <v>1.1767483744106242</v>
      </c>
      <c r="AB17" s="59">
        <f t="shared" si="8"/>
        <v>1.1957432161827446</v>
      </c>
      <c r="AC17" s="59">
        <f t="shared" si="8"/>
        <v>1.6452080790348576</v>
      </c>
      <c r="AD17" s="59">
        <f t="shared" si="8"/>
        <v>1.2954266568147943</v>
      </c>
      <c r="AE17" s="59">
        <f t="shared" si="8"/>
        <v>1.5285908962332395</v>
      </c>
      <c r="AF17" s="59">
        <f t="shared" si="8"/>
        <v>1.8082128090344365</v>
      </c>
      <c r="AG17" s="59">
        <f t="shared" si="8"/>
        <v>2.3478333503350908</v>
      </c>
      <c r="AH17" s="59">
        <f t="shared" si="8"/>
        <v>1.8676196024511009</v>
      </c>
      <c r="AI17" s="59">
        <f t="shared" si="8"/>
        <v>1.9132327601447676</v>
      </c>
      <c r="AJ17" s="59">
        <f t="shared" si="8"/>
        <v>2.1268575999698944</v>
      </c>
      <c r="AK17" s="59">
        <f t="shared" si="8"/>
        <v>2.585171221419432</v>
      </c>
      <c r="AL17" s="59">
        <f t="shared" si="8"/>
        <v>2.6942151120005655</v>
      </c>
      <c r="AM17" s="59">
        <f t="shared" si="8"/>
        <v>2.8027082417367466</v>
      </c>
      <c r="AN17" s="59">
        <f t="shared" si="8"/>
        <v>2.8923413464831174</v>
      </c>
      <c r="AO17" s="59">
        <f t="shared" si="8"/>
        <v>3.340239417631425</v>
      </c>
      <c r="AP17" s="59">
        <f t="shared" si="8"/>
        <v>2.4299200789771742</v>
      </c>
      <c r="AQ17" s="59">
        <f t="shared" si="8"/>
        <v>3.1620970681653162</v>
      </c>
      <c r="AR17" s="59">
        <f t="shared" si="8"/>
        <v>1.3292470609874936</v>
      </c>
      <c r="AS17" s="59">
        <f t="shared" si="8"/>
        <v>1.8549032651926665</v>
      </c>
      <c r="AT17" s="59">
        <f t="shared" si="8"/>
        <v>1.045086818904384</v>
      </c>
      <c r="AU17" s="59">
        <f t="shared" si="8"/>
        <v>1.6508572295183994</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0.25415140213721843</v>
      </c>
      <c r="F20" s="115"/>
      <c r="G20" s="115"/>
      <c r="H20" s="115"/>
      <c r="I20" s="115">
        <f>POWER(E9/Y9,1/6)-1</f>
        <v>0.32978806156063767</v>
      </c>
      <c r="M20" s="115">
        <f>POWER(E9/AC9,1/7)-1</f>
        <v>0.35636357350752101</v>
      </c>
    </row>
    <row r="21" spans="1:90" s="63" customFormat="1" ht="14.25" customHeight="1" x14ac:dyDescent="0.25">
      <c r="A21" s="113" t="s">
        <v>573</v>
      </c>
      <c r="B21" s="115"/>
      <c r="C21" s="115"/>
      <c r="D21" s="115"/>
      <c r="E21" s="115">
        <f>POWER(E4/U4,1/5)-1</f>
        <v>0.33961909907829235</v>
      </c>
      <c r="F21" s="115"/>
      <c r="G21" s="115"/>
      <c r="H21" s="115"/>
      <c r="I21" s="115">
        <f>POWER(E4/Y4,1/6)-1</f>
        <v>0.40144871029897411</v>
      </c>
      <c r="M21" s="115">
        <f>POWER(E4/AC4,1/7)-1</f>
        <v>0.39153742621538368</v>
      </c>
    </row>
    <row r="22" spans="1:90" s="63" customFormat="1" ht="14.25" customHeight="1" x14ac:dyDescent="0.25">
      <c r="A22" s="113" t="s">
        <v>576</v>
      </c>
      <c r="B22" s="115"/>
      <c r="C22" s="115"/>
      <c r="D22" s="115"/>
      <c r="E22" s="115">
        <f>POWER(E5/U5,1/5)-1</f>
        <v>0.34738826894421604</v>
      </c>
      <c r="F22" s="115"/>
      <c r="G22" s="115"/>
      <c r="H22" s="115"/>
      <c r="I22" s="115">
        <f>POWER(E5/Y5,1/6)-1</f>
        <v>0.40866226000989991</v>
      </c>
      <c r="M22" s="115">
        <f>POWER(E5/AC5,1/7)-1</f>
        <v>0.40468267443123462</v>
      </c>
    </row>
    <row r="23" spans="1:90" s="63" customFormat="1" ht="14.25" customHeight="1" x14ac:dyDescent="0.25">
      <c r="A23" s="113" t="s">
        <v>577</v>
      </c>
      <c r="B23" s="115"/>
      <c r="C23" s="115"/>
      <c r="D23" s="115"/>
      <c r="E23" s="115">
        <f>POWER(E6/U6,1/5)-1</f>
        <v>0.35456491659158651</v>
      </c>
      <c r="F23" s="115"/>
      <c r="G23" s="115"/>
      <c r="H23" s="115"/>
      <c r="I23" s="115">
        <f>POWER(E6/Y6,1/6)-1</f>
        <v>0.41533380933172448</v>
      </c>
      <c r="M23" s="115">
        <f>POWER(E6/AC6,1/7)-1</f>
        <v>0.4173230797667149</v>
      </c>
    </row>
    <row r="24" spans="1:90" s="63" customFormat="1" ht="14.25" customHeight="1" x14ac:dyDescent="0.25">
      <c r="A24" s="113" t="s">
        <v>578</v>
      </c>
      <c r="B24" s="115"/>
      <c r="C24" s="115"/>
      <c r="D24" s="115"/>
      <c r="E24" s="115">
        <f>POWER(E7/U7,1/5)-1</f>
        <v>0.22931386289055844</v>
      </c>
      <c r="F24" s="115"/>
      <c r="G24" s="115"/>
      <c r="H24" s="115"/>
      <c r="I24" s="115">
        <f>POWER(E7/Y7,1/6)-1</f>
        <v>0.26509143563733772</v>
      </c>
      <c r="M24" s="115">
        <f>POWER(E7/AC7,1/7)-1</f>
        <v>0.29906131192128305</v>
      </c>
    </row>
    <row r="25" spans="1:90" s="107" customFormat="1" x14ac:dyDescent="0.25">
      <c r="A25" s="143" t="s">
        <v>554</v>
      </c>
      <c r="B25" s="108"/>
      <c r="C25" s="108"/>
      <c r="D25" s="108"/>
      <c r="E25" s="108">
        <f>(E2-I2)/I2</f>
        <v>0.27786097600708543</v>
      </c>
      <c r="F25" s="108">
        <f t="shared" ref="F25:BQ25" si="10">(F2-J2)/J2</f>
        <v>0.69019685227246419</v>
      </c>
      <c r="G25" s="108">
        <f t="shared" si="10"/>
        <v>0.39988326536723884</v>
      </c>
      <c r="H25" s="108">
        <f t="shared" si="10"/>
        <v>9.9080163352523717E-2</v>
      </c>
      <c r="I25" s="108">
        <f t="shared" si="10"/>
        <v>0.66277411372785888</v>
      </c>
      <c r="J25" s="107">
        <f t="shared" si="10"/>
        <v>0.69645582491667946</v>
      </c>
      <c r="K25" s="107">
        <f t="shared" si="10"/>
        <v>0.67002489762829387</v>
      </c>
      <c r="L25" s="107">
        <f t="shared" si="10"/>
        <v>0.8641038871339094</v>
      </c>
      <c r="M25" s="108">
        <f t="shared" si="10"/>
        <v>0.32232070448635913</v>
      </c>
      <c r="N25" s="108">
        <f t="shared" si="10"/>
        <v>-0.12780446227453568</v>
      </c>
      <c r="O25" s="108">
        <f t="shared" si="10"/>
        <v>-0.12588593341456972</v>
      </c>
      <c r="P25" s="108">
        <f t="shared" si="10"/>
        <v>-0.3470887769787156</v>
      </c>
      <c r="Q25" s="108">
        <f t="shared" si="10"/>
        <v>-0.24771148396831824</v>
      </c>
      <c r="R25" s="108">
        <f t="shared" si="10"/>
        <v>-0.24072252429210353</v>
      </c>
      <c r="S25" s="108">
        <f t="shared" si="10"/>
        <v>-0.15319186661644102</v>
      </c>
      <c r="T25" s="108">
        <f t="shared" si="10"/>
        <v>1.5652888559014091</v>
      </c>
      <c r="U25" s="108">
        <f t="shared" si="10"/>
        <v>1.0001559141476237</v>
      </c>
      <c r="V25" s="107">
        <f t="shared" si="10"/>
        <v>1.734502764586235</v>
      </c>
      <c r="W25" s="107">
        <f t="shared" si="10"/>
        <v>2.9547050039925722</v>
      </c>
      <c r="X25" s="107">
        <f t="shared" si="10"/>
        <v>1.5521425235980892</v>
      </c>
      <c r="Y25" s="107">
        <f t="shared" si="10"/>
        <v>0.82205880486196958</v>
      </c>
      <c r="Z25" s="107">
        <f t="shared" si="10"/>
        <v>0.61839020216231977</v>
      </c>
      <c r="AA25" s="107">
        <f t="shared" si="10"/>
        <v>-0.186590409726791</v>
      </c>
      <c r="AB25" s="107">
        <f t="shared" si="10"/>
        <v>-0.57802964879510699</v>
      </c>
      <c r="AC25" s="107">
        <f t="shared" si="10"/>
        <v>-0.30359445831716309</v>
      </c>
      <c r="AD25" s="107">
        <f t="shared" si="10"/>
        <v>-0.39192595724960727</v>
      </c>
      <c r="AE25" s="107">
        <f t="shared" si="10"/>
        <v>8.1134102342820882E-3</v>
      </c>
      <c r="AF25" s="107">
        <f t="shared" si="10"/>
        <v>0.25848950237062895</v>
      </c>
      <c r="AG25" s="107">
        <f t="shared" si="10"/>
        <v>0.49711272313207949</v>
      </c>
      <c r="AH25" s="107">
        <f t="shared" si="10"/>
        <v>0.29818600764730302</v>
      </c>
      <c r="AI25" s="107">
        <f t="shared" si="10"/>
        <v>0.13319853173083274</v>
      </c>
      <c r="AJ25" s="107">
        <f t="shared" si="10"/>
        <v>0.21238730715496948</v>
      </c>
      <c r="AK25" s="107">
        <f t="shared" si="10"/>
        <v>0.15210451168238587</v>
      </c>
      <c r="AL25" s="107">
        <f t="shared" si="10"/>
        <v>0.1473441880614004</v>
      </c>
      <c r="AM25" s="107">
        <f t="shared" si="10"/>
        <v>1.0313390916804464E-2</v>
      </c>
      <c r="AN25" s="107">
        <f t="shared" si="10"/>
        <v>6.9873544540334089</v>
      </c>
      <c r="AO25" s="107">
        <f t="shared" si="10"/>
        <v>3.7401161014029776</v>
      </c>
      <c r="AP25" s="107">
        <f t="shared" si="10"/>
        <v>11.713965049081589</v>
      </c>
      <c r="AQ25" s="107">
        <f t="shared" si="10"/>
        <v>4.9867479232177816</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0.29521616335150441</v>
      </c>
      <c r="F26" s="108">
        <f t="shared" ref="F26:BQ26" si="12">F2/F9</f>
        <v>0.22660225795761665</v>
      </c>
      <c r="G26" s="108">
        <f t="shared" si="12"/>
        <v>0.22226910240103845</v>
      </c>
      <c r="H26" s="108">
        <f t="shared" si="12"/>
        <v>0.20613693135111757</v>
      </c>
      <c r="I26" s="108">
        <f t="shared" si="12"/>
        <v>0.31583955413082043</v>
      </c>
      <c r="J26" s="108">
        <f t="shared" si="12"/>
        <v>0.19034738658364495</v>
      </c>
      <c r="K26" s="108">
        <f t="shared" si="12"/>
        <v>0.22448403870794414</v>
      </c>
      <c r="L26" s="108">
        <f t="shared" si="12"/>
        <v>0.25968180540402142</v>
      </c>
      <c r="M26" s="108">
        <f t="shared" si="12"/>
        <v>0.25497580080870924</v>
      </c>
      <c r="N26" s="108">
        <f t="shared" si="12"/>
        <v>0.15364499590023348</v>
      </c>
      <c r="O26" s="108">
        <f t="shared" si="12"/>
        <v>0.18524945723273423</v>
      </c>
      <c r="P26" s="108">
        <f t="shared" si="12"/>
        <v>0.18998961597007918</v>
      </c>
      <c r="Q26" s="108">
        <f t="shared" si="12"/>
        <v>0.2391226953382671</v>
      </c>
      <c r="R26" s="108">
        <f t="shared" si="12"/>
        <v>0.20817133997900916</v>
      </c>
      <c r="S26" s="108">
        <f t="shared" si="12"/>
        <v>0.23993595936692902</v>
      </c>
      <c r="T26" s="108">
        <f t="shared" si="12"/>
        <v>0.36343725053680997</v>
      </c>
      <c r="U26" s="108">
        <f t="shared" si="12"/>
        <v>0.43336305021298688</v>
      </c>
      <c r="V26" s="108">
        <f t="shared" si="12"/>
        <v>0.40167311594392957</v>
      </c>
      <c r="W26" s="108">
        <f t="shared" si="12"/>
        <v>0.42733503102123188</v>
      </c>
      <c r="X26" s="108">
        <f t="shared" si="12"/>
        <v>0.25882365763519805</v>
      </c>
      <c r="Y26" s="108">
        <f t="shared" si="12"/>
        <v>0.38612930785377664</v>
      </c>
      <c r="Z26" s="108">
        <f t="shared" si="12"/>
        <v>0.26287998407565916</v>
      </c>
      <c r="AA26" s="108">
        <f t="shared" si="12"/>
        <v>0.20582336423944741</v>
      </c>
      <c r="AB26" s="108">
        <f t="shared" si="12"/>
        <v>0.15637192357304738</v>
      </c>
      <c r="AC26" s="108">
        <f t="shared" si="12"/>
        <v>0.32367460322101294</v>
      </c>
      <c r="AD26" s="108">
        <f t="shared" si="12"/>
        <v>0.23515431491373548</v>
      </c>
      <c r="AE26" s="108">
        <f t="shared" si="12"/>
        <v>0.34249072024163035</v>
      </c>
      <c r="AF26" s="108">
        <f t="shared" si="12"/>
        <v>0.443809165582707</v>
      </c>
      <c r="AG26" s="108">
        <f t="shared" si="12"/>
        <v>0.54527447933219242</v>
      </c>
      <c r="AH26" s="108">
        <f t="shared" si="12"/>
        <v>0.46759793424707968</v>
      </c>
      <c r="AI26" s="108">
        <f t="shared" si="12"/>
        <v>0.47034660013164759</v>
      </c>
      <c r="AJ26" s="108">
        <f t="shared" si="12"/>
        <v>0.50278053482990681</v>
      </c>
      <c r="AK26" s="108">
        <f t="shared" si="12"/>
        <v>0.54096688031578133</v>
      </c>
      <c r="AL26" s="108">
        <f t="shared" si="12"/>
        <v>0.53848457318348031</v>
      </c>
      <c r="AM26" s="108">
        <f t="shared" si="12"/>
        <v>0.54292798019843347</v>
      </c>
      <c r="AN26" s="108">
        <f t="shared" si="12"/>
        <v>0.54125200941325369</v>
      </c>
      <c r="AO26" s="108">
        <f t="shared" si="12"/>
        <v>0.57759361403777432</v>
      </c>
      <c r="AP26" s="108">
        <f t="shared" si="12"/>
        <v>0.53131955851631241</v>
      </c>
      <c r="AQ26" s="108">
        <f t="shared" si="12"/>
        <v>0.6159380371122205</v>
      </c>
      <c r="AR26" s="108">
        <f t="shared" si="12"/>
        <v>0.20469029801883529</v>
      </c>
      <c r="AS26" s="108">
        <f t="shared" si="12"/>
        <v>0.36630844843283178</v>
      </c>
      <c r="AT26" s="108">
        <f t="shared" si="12"/>
        <v>0.17334582280180599</v>
      </c>
      <c r="AU26" s="108">
        <f t="shared" si="12"/>
        <v>0.38546045530339929</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0.65030685092345741</v>
      </c>
      <c r="F27" s="109">
        <f t="shared" ref="F27:BQ27" si="14">(F3-J3)/J3</f>
        <v>0.22390241647423334</v>
      </c>
      <c r="G27" s="109">
        <f t="shared" si="14"/>
        <v>0.54053741900420205</v>
      </c>
      <c r="H27" s="109">
        <f t="shared" si="14"/>
        <v>0.85358731459394555</v>
      </c>
      <c r="I27" s="109">
        <f t="shared" si="14"/>
        <v>4.1554306283573323</v>
      </c>
      <c r="J27" s="109">
        <f t="shared" si="14"/>
        <v>7.1238712874047971</v>
      </c>
      <c r="K27" s="109">
        <f t="shared" si="14"/>
        <v>6.9815385629608038</v>
      </c>
      <c r="L27" s="109">
        <f t="shared" si="14"/>
        <v>4.6935991996943045</v>
      </c>
      <c r="M27" s="109">
        <f t="shared" si="14"/>
        <v>0.11022718670219704</v>
      </c>
      <c r="N27" s="109">
        <f t="shared" si="14"/>
        <v>2.1768253314233054E-2</v>
      </c>
      <c r="O27" s="109">
        <f t="shared" si="14"/>
        <v>-0.88893256427859435</v>
      </c>
      <c r="P27" s="109">
        <f t="shared" si="14"/>
        <v>-0.89142300372632877</v>
      </c>
      <c r="Q27" s="109">
        <f t="shared" si="14"/>
        <v>-0.76216631586102357</v>
      </c>
      <c r="R27" s="109">
        <f t="shared" si="14"/>
        <v>-0.7506575469757184</v>
      </c>
      <c r="S27" s="109">
        <f t="shared" si="14"/>
        <v>1.0794510015108023</v>
      </c>
      <c r="T27" s="109">
        <f t="shared" si="14"/>
        <v>1.0295098717453497</v>
      </c>
      <c r="U27" s="109">
        <f t="shared" si="14"/>
        <v>-4.3704002521755887E-2</v>
      </c>
      <c r="V27" s="109">
        <f t="shared" si="14"/>
        <v>-6.5297448124030918E-2</v>
      </c>
      <c r="W27" s="109">
        <f t="shared" si="14"/>
        <v>0.15710778117999399</v>
      </c>
      <c r="X27" s="109">
        <f t="shared" si="14"/>
        <v>0.16542845992754784</v>
      </c>
      <c r="Y27" s="109">
        <f t="shared" si="14"/>
        <v>0.20690956803064589</v>
      </c>
      <c r="Z27" s="109">
        <f t="shared" si="14"/>
        <v>0.23028471758699898</v>
      </c>
      <c r="AA27" s="109">
        <f t="shared" si="14"/>
        <v>3.8594596619469415E-2</v>
      </c>
      <c r="AB27" s="109">
        <f t="shared" si="14"/>
        <v>1.2317870573632652</v>
      </c>
      <c r="AC27" s="109">
        <f t="shared" si="14"/>
        <v>1.27295900765824</v>
      </c>
      <c r="AD27" s="109">
        <f t="shared" si="14"/>
        <v>1.2448862836538463</v>
      </c>
      <c r="AE27" s="109">
        <f t="shared" si="14"/>
        <v>1.1871939759615386</v>
      </c>
      <c r="AF27" s="109">
        <f t="shared" si="14"/>
        <v>7.9668268999999944E-2</v>
      </c>
      <c r="AG27" s="109">
        <f t="shared" si="14"/>
        <v>3.966826899999995E-2</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4.660634223354939E-3</v>
      </c>
      <c r="F28" s="109">
        <f t="shared" ref="F28:BQ28" si="16">F3/F9</f>
        <v>5.4483674934157275E-3</v>
      </c>
      <c r="G28" s="109">
        <f t="shared" si="16"/>
        <v>6.5860791695379209E-3</v>
      </c>
      <c r="H28" s="109">
        <f t="shared" si="16"/>
        <v>6.0223876937966145E-3</v>
      </c>
      <c r="I28" s="109">
        <f t="shared" si="16"/>
        <v>3.8609156270378153E-3</v>
      </c>
      <c r="J28" s="109">
        <f t="shared" si="16"/>
        <v>6.3203273862423607E-3</v>
      </c>
      <c r="K28" s="109">
        <f t="shared" si="16"/>
        <v>6.0443957107034476E-3</v>
      </c>
      <c r="L28" s="109">
        <f t="shared" si="16"/>
        <v>4.4985312960824997E-3</v>
      </c>
      <c r="M28" s="109">
        <f t="shared" si="16"/>
        <v>1.0052893113760776E-3</v>
      </c>
      <c r="N28" s="109">
        <f t="shared" si="16"/>
        <v>1.0653457996497096E-3</v>
      </c>
      <c r="O28" s="109">
        <f t="shared" si="16"/>
        <v>1.0436639810459261E-3</v>
      </c>
      <c r="P28" s="109">
        <f t="shared" si="16"/>
        <v>1.0775621038115529E-3</v>
      </c>
      <c r="Q28" s="109">
        <f t="shared" si="16"/>
        <v>1.1228916128240901E-3</v>
      </c>
      <c r="R28" s="109">
        <f t="shared" si="16"/>
        <v>1.2321244367161231E-3</v>
      </c>
      <c r="S28" s="109">
        <f t="shared" si="16"/>
        <v>1.0638501421725965E-2</v>
      </c>
      <c r="T28" s="109">
        <f t="shared" si="16"/>
        <v>1.2395332864671184E-2</v>
      </c>
      <c r="U28" s="109">
        <f t="shared" si="16"/>
        <v>6.4369478242407921E-3</v>
      </c>
      <c r="V28" s="109">
        <f t="shared" si="16"/>
        <v>7.239535255050375E-3</v>
      </c>
      <c r="W28" s="109">
        <f t="shared" si="16"/>
        <v>7.7159595119585386E-3</v>
      </c>
      <c r="X28" s="109">
        <f t="shared" si="16"/>
        <v>1.1157780977961928E-2</v>
      </c>
      <c r="Y28" s="109">
        <f t="shared" si="16"/>
        <v>1.1995887623992806E-2</v>
      </c>
      <c r="Z28" s="109">
        <f t="shared" si="16"/>
        <v>1.3861185649327862E-2</v>
      </c>
      <c r="AA28" s="109">
        <f t="shared" si="16"/>
        <v>1.2701540467033669E-2</v>
      </c>
      <c r="AB28" s="109">
        <f t="shared" si="16"/>
        <v>1.4762229229617795E-2</v>
      </c>
      <c r="AC28" s="109">
        <f t="shared" si="16"/>
        <v>1.5180843579015205E-2</v>
      </c>
      <c r="AD28" s="109">
        <f t="shared" si="16"/>
        <v>1.6310730945810734E-2</v>
      </c>
      <c r="AE28" s="109">
        <f t="shared" si="16"/>
        <v>1.6552887451620427E-2</v>
      </c>
      <c r="AF28" s="109">
        <f t="shared" si="16"/>
        <v>7.9217040966035913E-3</v>
      </c>
      <c r="AG28" s="109">
        <f t="shared" si="16"/>
        <v>7.8356146187943988E-3</v>
      </c>
      <c r="AH28" s="109">
        <f t="shared" si="16"/>
        <v>8.7852712271818487E-3</v>
      </c>
      <c r="AI28" s="109">
        <f t="shared" si="16"/>
        <v>1.0477678137240759E-2</v>
      </c>
      <c r="AJ28" s="109">
        <f t="shared" si="16"/>
        <v>1.0460683540907099E-2</v>
      </c>
      <c r="AK28" s="109">
        <f t="shared" si="16"/>
        <v>1.1194076872301551E-2</v>
      </c>
      <c r="AL28" s="109">
        <f t="shared" si="16"/>
        <v>0</v>
      </c>
      <c r="AM28" s="109">
        <f t="shared" si="16"/>
        <v>0</v>
      </c>
      <c r="AN28" s="109">
        <f t="shared" si="16"/>
        <v>0</v>
      </c>
      <c r="AO28" s="109">
        <f t="shared" si="16"/>
        <v>0</v>
      </c>
      <c r="AP28" s="109">
        <f t="shared" si="16"/>
        <v>0</v>
      </c>
      <c r="AQ28" s="109">
        <f t="shared" si="16"/>
        <v>0</v>
      </c>
      <c r="AR28" s="109">
        <f t="shared" si="16"/>
        <v>0</v>
      </c>
      <c r="AS28" s="109">
        <f t="shared" si="16"/>
        <v>0</v>
      </c>
      <c r="AT28" s="109">
        <f t="shared" si="16"/>
        <v>0</v>
      </c>
      <c r="AU28" s="109">
        <f t="shared" si="16"/>
        <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0.46617230976278323</v>
      </c>
      <c r="F29" s="108">
        <f t="shared" ref="F29:BQ29" si="18">(F4-J4)/J4</f>
        <v>0.40038017942290327</v>
      </c>
      <c r="G29" s="108">
        <f t="shared" si="18"/>
        <v>0.46383997929270487</v>
      </c>
      <c r="H29" s="108">
        <f t="shared" si="18"/>
        <v>0.54955215799388479</v>
      </c>
      <c r="I29" s="108">
        <f t="shared" si="18"/>
        <v>0.18247891623671958</v>
      </c>
      <c r="J29" s="108">
        <f t="shared" si="18"/>
        <v>0.25832290304766792</v>
      </c>
      <c r="K29" s="108">
        <f t="shared" si="18"/>
        <v>0.24898001795782859</v>
      </c>
      <c r="L29" s="108">
        <f t="shared" si="18"/>
        <v>0.18337661129460373</v>
      </c>
      <c r="M29" s="108">
        <f t="shared" si="18"/>
        <v>0.16652727711043697</v>
      </c>
      <c r="N29" s="108">
        <f t="shared" si="18"/>
        <v>0.24318945224728544</v>
      </c>
      <c r="O29" s="108">
        <f t="shared" si="18"/>
        <v>0.21320409167998972</v>
      </c>
      <c r="P29" s="108">
        <f t="shared" si="18"/>
        <v>0.70410369798672068</v>
      </c>
      <c r="Q29" s="108">
        <f t="shared" si="18"/>
        <v>1.1332086494833375</v>
      </c>
      <c r="R29" s="108">
        <f t="shared" si="18"/>
        <v>1.1490376068046488</v>
      </c>
      <c r="S29" s="108">
        <f t="shared" si="18"/>
        <v>1.1901313474912658</v>
      </c>
      <c r="T29" s="108">
        <f t="shared" si="18"/>
        <v>0.66351197153377073</v>
      </c>
      <c r="U29" s="108">
        <f t="shared" si="18"/>
        <v>0.75612973295223529</v>
      </c>
      <c r="V29" s="108">
        <f t="shared" si="18"/>
        <v>0.45482961673026157</v>
      </c>
      <c r="W29" s="108">
        <f t="shared" si="18"/>
        <v>0.35245569794350351</v>
      </c>
      <c r="X29" s="108">
        <f t="shared" si="18"/>
        <v>0.25241010535220715</v>
      </c>
      <c r="Y29" s="108">
        <f t="shared" si="18"/>
        <v>0.33352447382897871</v>
      </c>
      <c r="Z29" s="108">
        <f t="shared" si="18"/>
        <v>0.37956302935873326</v>
      </c>
      <c r="AA29" s="108">
        <f t="shared" si="18"/>
        <v>0.67686730726593713</v>
      </c>
      <c r="AB29" s="108">
        <f t="shared" si="18"/>
        <v>0.83946001878580045</v>
      </c>
      <c r="AC29" s="108">
        <f t="shared" si="18"/>
        <v>0.68759280961654012</v>
      </c>
      <c r="AD29" s="108">
        <f t="shared" si="18"/>
        <v>0.72578668712008243</v>
      </c>
      <c r="AE29" s="108">
        <f t="shared" si="18"/>
        <v>0.7553779232782224</v>
      </c>
      <c r="AF29" s="108">
        <f t="shared" si="18"/>
        <v>0.74252503920105428</v>
      </c>
      <c r="AG29" s="108">
        <f t="shared" si="18"/>
        <v>0.61704926711434049</v>
      </c>
      <c r="AH29" s="108">
        <f t="shared" si="18"/>
        <v>0.99354939591792957</v>
      </c>
      <c r="AI29" s="108">
        <f t="shared" si="18"/>
        <v>0.71646890903524818</v>
      </c>
      <c r="AJ29" s="108">
        <f t="shared" si="18"/>
        <v>0.58144939825296693</v>
      </c>
      <c r="AK29" s="108">
        <f t="shared" si="18"/>
        <v>0.47193135985938028</v>
      </c>
      <c r="AL29" s="108">
        <f t="shared" si="18"/>
        <v>-6.1501668469997516E-2</v>
      </c>
      <c r="AM29" s="108">
        <f t="shared" si="18"/>
        <v>0.19156508775474426</v>
      </c>
      <c r="AN29" s="108">
        <f t="shared" si="18"/>
        <v>0.64126522481720494</v>
      </c>
      <c r="AO29" s="108">
        <f t="shared" si="18"/>
        <v>1.0117692484784351</v>
      </c>
      <c r="AP29" s="108">
        <f t="shared" si="18"/>
        <v>1.7466567775286586</v>
      </c>
      <c r="AQ29" s="108">
        <f t="shared" si="18"/>
        <v>2.1691346717005962</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0.44235057533507077</v>
      </c>
      <c r="F30" s="108">
        <f t="shared" ref="F30:BQ30" si="20">(F5-J5)/J5</f>
        <v>0.46243003509751013</v>
      </c>
      <c r="G30" s="108">
        <f t="shared" si="20"/>
        <v>0.46570040006033142</v>
      </c>
      <c r="H30" s="108">
        <f t="shared" si="20"/>
        <v>0.42847829000455517</v>
      </c>
      <c r="I30" s="108">
        <f t="shared" si="20"/>
        <v>0.25442272722779835</v>
      </c>
      <c r="J30" s="108">
        <f t="shared" si="20"/>
        <v>0.40963782606775762</v>
      </c>
      <c r="K30" s="108">
        <f t="shared" si="20"/>
        <v>0.34490534069794465</v>
      </c>
      <c r="L30" s="108">
        <f t="shared" si="20"/>
        <v>0.38807169829569765</v>
      </c>
      <c r="M30" s="108">
        <f t="shared" si="20"/>
        <v>0.4726531231839039</v>
      </c>
      <c r="N30" s="108">
        <f t="shared" si="20"/>
        <v>0.43170309267218732</v>
      </c>
      <c r="O30" s="108">
        <f t="shared" si="20"/>
        <v>0.34588979813221693</v>
      </c>
      <c r="P30" s="108">
        <f t="shared" si="20"/>
        <v>0.34971959343785552</v>
      </c>
      <c r="Q30" s="108">
        <f t="shared" si="20"/>
        <v>0.66666609442188673</v>
      </c>
      <c r="R30" s="108">
        <f t="shared" si="20"/>
        <v>0.72435597209195213</v>
      </c>
      <c r="S30" s="108">
        <f t="shared" si="20"/>
        <v>0.90878137312827867</v>
      </c>
      <c r="T30" s="108">
        <f t="shared" si="20"/>
        <v>0.88810679957492433</v>
      </c>
      <c r="U30" s="108">
        <f t="shared" si="20"/>
        <v>0.75945217836848633</v>
      </c>
      <c r="V30" s="108">
        <f t="shared" si="20"/>
        <v>0.4255493108401659</v>
      </c>
      <c r="W30" s="108">
        <f t="shared" si="20"/>
        <v>0.33860911152900058</v>
      </c>
      <c r="X30" s="108">
        <f t="shared" si="20"/>
        <v>0.28011423949399733</v>
      </c>
      <c r="Y30" s="108">
        <f t="shared" si="20"/>
        <v>0.38104014816392373</v>
      </c>
      <c r="Z30" s="108">
        <f t="shared" si="20"/>
        <v>0.51898451572929472</v>
      </c>
      <c r="AA30" s="108">
        <f t="shared" si="20"/>
        <v>0.5619984472254248</v>
      </c>
      <c r="AB30" s="108">
        <f t="shared" si="20"/>
        <v>0.75241088038792947</v>
      </c>
      <c r="AC30" s="108">
        <f t="shared" si="20"/>
        <v>0.63442048282908792</v>
      </c>
      <c r="AD30" s="108">
        <f t="shared" si="20"/>
        <v>0.46445080952354129</v>
      </c>
      <c r="AE30" s="108">
        <f t="shared" si="20"/>
        <v>0.54139065882667392</v>
      </c>
      <c r="AF30" s="108">
        <f t="shared" si="20"/>
        <v>0.6056947396244281</v>
      </c>
      <c r="AG30" s="108">
        <f t="shared" si="20"/>
        <v>0.64711152373930647</v>
      </c>
      <c r="AH30" s="108">
        <f t="shared" si="20"/>
        <v>0.92136666946116696</v>
      </c>
      <c r="AI30" s="108">
        <f t="shared" si="20"/>
        <v>1.0786195189178827</v>
      </c>
      <c r="AJ30" s="108">
        <f t="shared" si="20"/>
        <v>0.73174004399127435</v>
      </c>
      <c r="AK30" s="108">
        <f t="shared" si="20"/>
        <v>0.66971713729226445</v>
      </c>
      <c r="AL30" s="108">
        <f t="shared" si="20"/>
        <v>0.15844057833200639</v>
      </c>
      <c r="AM30" s="108">
        <f t="shared" si="20"/>
        <v>0.11919516247584168</v>
      </c>
      <c r="AN30" s="108">
        <f t="shared" si="20"/>
        <v>0.28205397779582564</v>
      </c>
      <c r="AO30" s="108">
        <f t="shared" si="20"/>
        <v>0.40463973505128953</v>
      </c>
      <c r="AP30" s="108">
        <f t="shared" si="20"/>
        <v>0.7667438569757653</v>
      </c>
      <c r="AQ30" s="108">
        <f t="shared" si="20"/>
        <v>0.74407717714784438</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0.42171155302575281</v>
      </c>
      <c r="F31" s="108">
        <f t="shared" ref="F31:BQ31" si="22">(F6-J6)/J6</f>
        <v>0.54595037326393947</v>
      </c>
      <c r="G31" s="108">
        <f t="shared" si="22"/>
        <v>0.46833630569270668</v>
      </c>
      <c r="H31" s="108">
        <f t="shared" si="22"/>
        <v>0.25957053244720169</v>
      </c>
      <c r="I31" s="108">
        <f t="shared" si="22"/>
        <v>0.32422635641877895</v>
      </c>
      <c r="J31" s="108">
        <f t="shared" si="22"/>
        <v>0.6818655882101754</v>
      </c>
      <c r="K31" s="108">
        <f t="shared" si="22"/>
        <v>0.5091235255083868</v>
      </c>
      <c r="L31" s="108">
        <f t="shared" si="22"/>
        <v>0.82957483673504284</v>
      </c>
      <c r="M31" s="108">
        <f t="shared" si="22"/>
        <v>0.97570342841640989</v>
      </c>
      <c r="N31" s="108">
        <f t="shared" si="22"/>
        <v>0.96880861283554998</v>
      </c>
      <c r="O31" s="108">
        <f t="shared" si="22"/>
        <v>0.65593194661893761</v>
      </c>
      <c r="P31" s="108">
        <f t="shared" si="22"/>
        <v>-6.8222962745663099E-2</v>
      </c>
      <c r="Q31" s="108">
        <f t="shared" si="22"/>
        <v>0.22603718450485849</v>
      </c>
      <c r="R31" s="108">
        <f t="shared" si="22"/>
        <v>0.10320925229602528</v>
      </c>
      <c r="S31" s="108">
        <f t="shared" si="22"/>
        <v>0.46809667536026889</v>
      </c>
      <c r="T31" s="108">
        <f t="shared" si="22"/>
        <v>1.2456791095698347</v>
      </c>
      <c r="U31" s="108">
        <f t="shared" si="22"/>
        <v>0.76260164603935909</v>
      </c>
      <c r="V31" s="108">
        <f t="shared" si="22"/>
        <v>0.38478532481657002</v>
      </c>
      <c r="W31" s="108">
        <f t="shared" si="22"/>
        <v>0.31748174487663322</v>
      </c>
      <c r="X31" s="108">
        <f t="shared" si="22"/>
        <v>0.3268427126488081</v>
      </c>
      <c r="Y31" s="108">
        <f t="shared" si="22"/>
        <v>0.4293175549764231</v>
      </c>
      <c r="Z31" s="108">
        <f t="shared" si="22"/>
        <v>0.76769662351477841</v>
      </c>
      <c r="AA31" s="108">
        <f t="shared" si="22"/>
        <v>0.41418544886600411</v>
      </c>
      <c r="AB31" s="108">
        <f t="shared" si="22"/>
        <v>0.62287330883810377</v>
      </c>
      <c r="AC31" s="108">
        <f t="shared" si="22"/>
        <v>0.58372097938461964</v>
      </c>
      <c r="AD31" s="108">
        <f t="shared" si="22"/>
        <v>0.15298928073171855</v>
      </c>
      <c r="AE31" s="108">
        <f t="shared" si="22"/>
        <v>0.33238529108362291</v>
      </c>
      <c r="AF31" s="108">
        <f t="shared" si="22"/>
        <v>0.43769753593226884</v>
      </c>
      <c r="AG31" s="108">
        <f t="shared" si="22"/>
        <v>0.67683549446597269</v>
      </c>
      <c r="AH31" s="108">
        <f t="shared" si="22"/>
        <v>0.8418837391992674</v>
      </c>
      <c r="AI31" s="108">
        <f t="shared" si="22"/>
        <v>1.6181520841509676</v>
      </c>
      <c r="AJ31" s="108">
        <f t="shared" si="22"/>
        <v>0.96049002234321845</v>
      </c>
      <c r="AK31" s="108">
        <f t="shared" si="22"/>
        <v>0.92554403377696781</v>
      </c>
      <c r="AL31" s="108">
        <f t="shared" si="22"/>
        <v>0.5613607342879936</v>
      </c>
      <c r="AM31" s="108">
        <f t="shared" si="22"/>
        <v>2.6329412321924889E-2</v>
      </c>
      <c r="AN31" s="108">
        <f t="shared" si="22"/>
        <v>-3.8305403046777563E-2</v>
      </c>
      <c r="AO31" s="108">
        <f t="shared" si="22"/>
        <v>1.0277705810522666E-2</v>
      </c>
      <c r="AP31" s="108">
        <f t="shared" si="22"/>
        <v>6.8440851107528317E-2</v>
      </c>
      <c r="AQ31" s="108">
        <f t="shared" si="22"/>
        <v>0.10593379657493292</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0.22116464045361087</v>
      </c>
      <c r="F32" s="109">
        <f t="shared" ref="F32:BQ32" si="24">(F7-J7)/J7</f>
        <v>0.19791317489764793</v>
      </c>
      <c r="G32" s="109">
        <f t="shared" si="24"/>
        <v>0.24949777164892503</v>
      </c>
      <c r="H32" s="109">
        <f t="shared" si="24"/>
        <v>0.25241887892653037</v>
      </c>
      <c r="I32" s="109">
        <f t="shared" si="24"/>
        <v>0.39347836982733686</v>
      </c>
      <c r="J32" s="109">
        <f t="shared" si="24"/>
        <v>0.48963778047406159</v>
      </c>
      <c r="K32" s="109">
        <f t="shared" si="24"/>
        <v>0.54212865346371397</v>
      </c>
      <c r="L32" s="109">
        <f t="shared" si="24"/>
        <v>0.48689444163430512</v>
      </c>
      <c r="M32" s="109">
        <f t="shared" si="24"/>
        <v>0.43183604336646242</v>
      </c>
      <c r="N32" s="109">
        <f t="shared" si="24"/>
        <v>0.36055189985450314</v>
      </c>
      <c r="O32" s="109">
        <f t="shared" si="24"/>
        <v>0.3053842600915832</v>
      </c>
      <c r="P32" s="109">
        <f t="shared" si="24"/>
        <v>0.33126338792620375</v>
      </c>
      <c r="Q32" s="109">
        <f t="shared" si="24"/>
        <v>0.1522485036443636</v>
      </c>
      <c r="R32" s="109">
        <f t="shared" si="24"/>
        <v>0.37808433516510798</v>
      </c>
      <c r="S32" s="109">
        <f t="shared" si="24"/>
        <v>0.41899230237378432</v>
      </c>
      <c r="T32" s="109">
        <f t="shared" si="24"/>
        <v>0.29584105445386982</v>
      </c>
      <c r="U32" s="109">
        <f t="shared" si="24"/>
        <v>0.46021766581208662</v>
      </c>
      <c r="V32" s="109">
        <f t="shared" si="24"/>
        <v>0.48690642927185501</v>
      </c>
      <c r="W32" s="109">
        <f t="shared" si="24"/>
        <v>0.45826138949184464</v>
      </c>
      <c r="X32" s="109">
        <f t="shared" si="24"/>
        <v>0.74348895365989565</v>
      </c>
      <c r="Y32" s="109">
        <f t="shared" si="24"/>
        <v>0.5229163487088816</v>
      </c>
      <c r="Z32" s="109">
        <f t="shared" si="24"/>
        <v>0.46283846835863784</v>
      </c>
      <c r="AA32" s="109">
        <f t="shared" si="24"/>
        <v>0.56786512176619952</v>
      </c>
      <c r="AB32" s="109">
        <f t="shared" si="24"/>
        <v>0.712323605150189</v>
      </c>
      <c r="AC32" s="109">
        <f t="shared" si="24"/>
        <v>0.85894302522151289</v>
      </c>
      <c r="AD32" s="109">
        <f t="shared" si="24"/>
        <v>0.73767584838275058</v>
      </c>
      <c r="AE32" s="109">
        <f t="shared" si="24"/>
        <v>0.58049987830770156</v>
      </c>
      <c r="AF32" s="109">
        <f t="shared" si="24"/>
        <v>0.26804875562643243</v>
      </c>
      <c r="AG32" s="109">
        <f t="shared" si="24"/>
        <v>0.22088787135833615</v>
      </c>
      <c r="AH32" s="109">
        <f t="shared" si="24"/>
        <v>0.13113301314567677</v>
      </c>
      <c r="AI32" s="109">
        <f t="shared" si="24"/>
        <v>8.0947357401977324E-2</v>
      </c>
      <c r="AJ32" s="109">
        <f t="shared" si="24"/>
        <v>5.9288469741697644E-2</v>
      </c>
      <c r="AK32" s="109">
        <f t="shared" si="24"/>
        <v>6.837958059580633E-2</v>
      </c>
      <c r="AL32" s="109">
        <f t="shared" si="24"/>
        <v>0.73328340748729914</v>
      </c>
      <c r="AM32" s="109">
        <f t="shared" si="24"/>
        <v>0.82869526650505521</v>
      </c>
      <c r="AN32" s="109">
        <f t="shared" si="24"/>
        <v>0.94027297216615191</v>
      </c>
      <c r="AO32" s="109">
        <f t="shared" si="24"/>
        <v>0.99283360783713603</v>
      </c>
      <c r="AP32" s="109">
        <f t="shared" si="24"/>
        <v>0.56315723099718507</v>
      </c>
      <c r="AQ32" s="109">
        <f t="shared" si="24"/>
        <v>0.37451232852394339</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0.14683726938679798</v>
      </c>
      <c r="F33" s="109">
        <f t="shared" ref="F33:BQ33" si="26">F7/F9</f>
        <v>0.14441306342871493</v>
      </c>
      <c r="G33" s="109">
        <f t="shared" si="26"/>
        <v>0.14889967862536294</v>
      </c>
      <c r="H33" s="109">
        <f t="shared" si="26"/>
        <v>0.15029549229728101</v>
      </c>
      <c r="I33" s="109">
        <f t="shared" si="26"/>
        <v>0.16438874231988443</v>
      </c>
      <c r="J33" s="109">
        <f t="shared" si="26"/>
        <v>0.17115954106743436</v>
      </c>
      <c r="K33" s="109">
        <f t="shared" si="26"/>
        <v>0.16848314776952969</v>
      </c>
      <c r="L33" s="109">
        <f t="shared" si="26"/>
        <v>0.16615424241720481</v>
      </c>
      <c r="M33" s="109">
        <f t="shared" si="26"/>
        <v>0.15835710088996824</v>
      </c>
      <c r="N33" s="109">
        <f t="shared" si="26"/>
        <v>0.15733831393894857</v>
      </c>
      <c r="O33" s="109">
        <f t="shared" si="26"/>
        <v>0.15056716877572832</v>
      </c>
      <c r="P33" s="109">
        <f t="shared" si="26"/>
        <v>0.15240167903944821</v>
      </c>
      <c r="Q33" s="109">
        <f t="shared" si="26"/>
        <v>0.13715223293247111</v>
      </c>
      <c r="R33" s="109">
        <f t="shared" si="26"/>
        <v>0.13665821909127407</v>
      </c>
      <c r="S33" s="109">
        <f t="shared" si="26"/>
        <v>0.13058654092241623</v>
      </c>
      <c r="T33" s="109">
        <f t="shared" si="26"/>
        <v>0.14298137548601961</v>
      </c>
      <c r="U33" s="109">
        <f t="shared" si="26"/>
        <v>0.16228270721544405</v>
      </c>
      <c r="V33" s="109">
        <f t="shared" si="26"/>
        <v>0.14528216556680257</v>
      </c>
      <c r="W33" s="109">
        <f t="shared" si="26"/>
        <v>0.13879587341563551</v>
      </c>
      <c r="X33" s="109">
        <f t="shared" si="26"/>
        <v>0.20157586964148697</v>
      </c>
      <c r="Y33" s="109">
        <f t="shared" si="26"/>
        <v>0.19806118980050419</v>
      </c>
      <c r="Z33" s="109">
        <f t="shared" si="26"/>
        <v>0.17486052853130227</v>
      </c>
      <c r="AA33" s="109">
        <f t="shared" si="26"/>
        <v>0.18129317182905555</v>
      </c>
      <c r="AB33" s="109">
        <f t="shared" si="26"/>
        <v>0.17827033231581466</v>
      </c>
      <c r="AC33" s="109">
        <f t="shared" si="26"/>
        <v>0.19863765597792152</v>
      </c>
      <c r="AD33" s="109">
        <f t="shared" si="26"/>
        <v>0.17305098959241033</v>
      </c>
      <c r="AE33" s="109">
        <f t="shared" si="26"/>
        <v>0.15650786713277332</v>
      </c>
      <c r="AF33" s="109">
        <f t="shared" si="26"/>
        <v>0.12468455401905354</v>
      </c>
      <c r="AG33" s="109">
        <f t="shared" si="26"/>
        <v>0.12536152546891943</v>
      </c>
      <c r="AH33" s="109">
        <f t="shared" si="26"/>
        <v>0.12041522976446928</v>
      </c>
      <c r="AI33" s="109">
        <f t="shared" si="26"/>
        <v>0.13709458411206904</v>
      </c>
      <c r="AJ33" s="109">
        <f t="shared" si="26"/>
        <v>0.14018724140066355</v>
      </c>
      <c r="AK33" s="109">
        <f t="shared" si="26"/>
        <v>0.15251006121944574</v>
      </c>
      <c r="AL33" s="109">
        <f t="shared" si="26"/>
        <v>0.15914952497360368</v>
      </c>
      <c r="AM33" s="109">
        <f t="shared" si="26"/>
        <v>0.16589984193786067</v>
      </c>
      <c r="AN33" s="109">
        <f t="shared" si="26"/>
        <v>0.17272559276768437</v>
      </c>
      <c r="AO33" s="109">
        <f t="shared" si="26"/>
        <v>0.17559676055118076</v>
      </c>
      <c r="AP33" s="109">
        <f t="shared" si="26"/>
        <v>0.10394701546578958</v>
      </c>
      <c r="AQ33" s="109">
        <f t="shared" si="26"/>
        <v>0.10398137152430237</v>
      </c>
      <c r="AR33" s="109">
        <f t="shared" si="26"/>
        <v>0.26890232166262057</v>
      </c>
      <c r="AS33" s="109">
        <f t="shared" si="26"/>
        <v>0.26488599220947723</v>
      </c>
      <c r="AT33" s="109">
        <f t="shared" si="26"/>
        <v>0.27583409770316247</v>
      </c>
      <c r="AU33" s="109">
        <f t="shared" si="26"/>
        <v>0.28342664736168915</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0.80031093903777928</v>
      </c>
      <c r="F34" s="108">
        <f t="shared" ref="F34:BQ34" si="28">(F10-J10)/J10</f>
        <v>1.5011498512744916</v>
      </c>
      <c r="G34" s="108">
        <f t="shared" si="28"/>
        <v>1.4477205464095253</v>
      </c>
      <c r="H34" s="108">
        <f t="shared" si="28"/>
        <v>1.395789132731263</v>
      </c>
      <c r="I34" s="108">
        <f t="shared" si="28"/>
        <v>1.0278605510527228</v>
      </c>
      <c r="J34" s="108">
        <f t="shared" si="28"/>
        <v>1.8143108771384933</v>
      </c>
      <c r="K34" s="108">
        <f t="shared" si="28"/>
        <v>2.3345697367868197</v>
      </c>
      <c r="L34" s="108">
        <f t="shared" si="28"/>
        <v>11.313884662538699</v>
      </c>
      <c r="M34" s="108">
        <f t="shared" si="28"/>
        <v>1.5522915872297567</v>
      </c>
      <c r="N34" s="108">
        <f t="shared" si="28"/>
        <v>2.3495786864958208</v>
      </c>
      <c r="O34" s="108">
        <f t="shared" si="28"/>
        <v>8.9668113408705397E-2</v>
      </c>
      <c r="P34" s="108">
        <f t="shared" si="28"/>
        <v>-0.69074955465539767</v>
      </c>
      <c r="Q34" s="108">
        <f t="shared" si="28"/>
        <v>3.5660596949682208</v>
      </c>
      <c r="R34" s="108">
        <f t="shared" si="28"/>
        <v>1.3270358908255409</v>
      </c>
      <c r="S34" s="108">
        <f t="shared" si="28"/>
        <v>1.269169534901639</v>
      </c>
      <c r="T34" s="108">
        <f t="shared" si="28"/>
        <v>-9.9126271365428009E-2</v>
      </c>
      <c r="U34" s="108">
        <f t="shared" si="28"/>
        <v>-0.80721234972920586</v>
      </c>
      <c r="V34" s="108">
        <f t="shared" si="28"/>
        <v>-0.82282182884500221</v>
      </c>
      <c r="W34" s="108">
        <f t="shared" si="28"/>
        <v>-0.42258962903712938</v>
      </c>
      <c r="X34" s="108">
        <f t="shared" si="28"/>
        <v>3.650069196581966</v>
      </c>
      <c r="Y34" s="108">
        <f t="shared" si="28"/>
        <v>4.6956137128438593</v>
      </c>
      <c r="Z34" s="108">
        <f t="shared" si="28"/>
        <v>1.6264445399376064</v>
      </c>
      <c r="AA34" s="108">
        <f t="shared" si="28"/>
        <v>0.56224790455724283</v>
      </c>
      <c r="AB34" s="108">
        <f t="shared" si="28"/>
        <v>-0.65743390442084926</v>
      </c>
      <c r="AC34" s="108">
        <f t="shared" si="28"/>
        <v>-0.73517066587522484</v>
      </c>
      <c r="AD34" s="108">
        <f t="shared" si="28"/>
        <v>-0.33121389587960859</v>
      </c>
      <c r="AE34" s="108">
        <f t="shared" si="28"/>
        <v>-1.4652675746749505E-2</v>
      </c>
      <c r="AF34" s="108">
        <f t="shared" si="28"/>
        <v>0.2887715145454739</v>
      </c>
      <c r="AG34" s="108">
        <f t="shared" si="28"/>
        <v>1.2825507244814631</v>
      </c>
      <c r="AH34" s="108">
        <f t="shared" si="28"/>
        <v>5.7171629837876488</v>
      </c>
      <c r="AI34" s="108">
        <f t="shared" si="28"/>
        <v>7.8090332229695107</v>
      </c>
      <c r="AJ34" s="108" t="e">
        <f t="shared" si="28"/>
        <v>#DIV/0!</v>
      </c>
      <c r="AK34" s="108" t="e">
        <f t="shared" si="28"/>
        <v>#DIV/0!</v>
      </c>
      <c r="AL34" s="108">
        <f t="shared" si="28"/>
        <v>2.0341462254144345</v>
      </c>
      <c r="AM34" s="108">
        <f t="shared" si="28"/>
        <v>0.9914936119678075</v>
      </c>
      <c r="AN34" s="108">
        <f t="shared" si="28"/>
        <v>-1</v>
      </c>
      <c r="AO34" s="108">
        <f t="shared" si="28"/>
        <v>-1</v>
      </c>
      <c r="AP34" s="108">
        <f t="shared" si="28"/>
        <v>-0.72684163495441823</v>
      </c>
      <c r="AQ34" s="108">
        <f t="shared" si="28"/>
        <v>-0.77125062650048781</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0.75734497399314971</v>
      </c>
      <c r="F35" s="108">
        <f t="shared" ref="F35:BQ35" si="30">F10/F12</f>
        <v>0.87502903429357404</v>
      </c>
      <c r="G35" s="108">
        <f t="shared" si="30"/>
        <v>0.86547752002510026</v>
      </c>
      <c r="H35" s="108">
        <f t="shared" si="30"/>
        <v>0.90543290424690737</v>
      </c>
      <c r="I35" s="108">
        <f t="shared" si="30"/>
        <v>0.95085372587472072</v>
      </c>
      <c r="J35" s="108">
        <f t="shared" si="30"/>
        <v>0.99477432938813237</v>
      </c>
      <c r="K35" s="108">
        <f t="shared" si="30"/>
        <v>1</v>
      </c>
      <c r="L35" s="108">
        <f t="shared" si="30"/>
        <v>1</v>
      </c>
      <c r="M35" s="108">
        <f t="shared" si="30"/>
        <v>1</v>
      </c>
      <c r="N35" s="108">
        <f t="shared" si="30"/>
        <v>0.70342368211694628</v>
      </c>
      <c r="O35" s="108">
        <f t="shared" si="30"/>
        <v>0.65004697549880708</v>
      </c>
      <c r="P35" s="108">
        <f t="shared" si="30"/>
        <v>0.17463557418593775</v>
      </c>
      <c r="Q35" s="108">
        <f t="shared" si="30"/>
        <v>0.39999999999188457</v>
      </c>
      <c r="R35" s="108">
        <f t="shared" si="30"/>
        <v>1</v>
      </c>
      <c r="S35" s="108">
        <f t="shared" si="30"/>
        <v>1</v>
      </c>
      <c r="T35" s="108">
        <f t="shared" si="30"/>
        <v>1</v>
      </c>
      <c r="U35" s="108">
        <f t="shared" si="30"/>
        <v>1</v>
      </c>
      <c r="V35" s="108">
        <f t="shared" si="30"/>
        <v>1</v>
      </c>
      <c r="W35" s="108">
        <f t="shared" si="30"/>
        <v>1</v>
      </c>
      <c r="X35" s="108">
        <f t="shared" si="30"/>
        <v>1</v>
      </c>
      <c r="Y35" s="108">
        <f t="shared" si="30"/>
        <v>1</v>
      </c>
      <c r="Z35" s="108">
        <f t="shared" si="30"/>
        <v>1</v>
      </c>
      <c r="AA35" s="108">
        <f t="shared" si="30"/>
        <v>1</v>
      </c>
      <c r="AB35" s="108">
        <f t="shared" si="30"/>
        <v>1</v>
      </c>
      <c r="AC35" s="108">
        <f t="shared" si="30"/>
        <v>1</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1</v>
      </c>
      <c r="AM35" s="108">
        <f t="shared" si="30"/>
        <v>1</v>
      </c>
      <c r="AN35" s="108" t="e">
        <f t="shared" si="30"/>
        <v>#DIV/0!</v>
      </c>
      <c r="AO35" s="108" t="e">
        <f t="shared" si="30"/>
        <v>#DIV/0!</v>
      </c>
      <c r="AP35" s="108">
        <f t="shared" si="30"/>
        <v>1</v>
      </c>
      <c r="AQ35" s="108">
        <f t="shared" si="30"/>
        <v>1</v>
      </c>
      <c r="AR35" s="108">
        <f t="shared" si="30"/>
        <v>1</v>
      </c>
      <c r="AS35" s="108">
        <f t="shared" si="30"/>
        <v>1</v>
      </c>
      <c r="AT35" s="108">
        <f t="shared" si="30"/>
        <v>1</v>
      </c>
      <c r="AU35" s="108">
        <f t="shared" si="30"/>
        <v>1</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10.160050959578399</v>
      </c>
      <c r="F36" s="108">
        <f t="shared" ref="F36:BQ36" si="32">(F11-J11)/J11</f>
        <v>67</v>
      </c>
      <c r="G36" s="108" t="e">
        <f t="shared" si="32"/>
        <v>#DIV/0!</v>
      </c>
      <c r="H36" s="108" t="e">
        <f t="shared" si="32"/>
        <v>#DIV/0!</v>
      </c>
      <c r="I36" s="108" t="e">
        <f t="shared" si="32"/>
        <v>#DIV/0!</v>
      </c>
      <c r="J36" s="108">
        <f t="shared" si="32"/>
        <v>-0.96493530644336944</v>
      </c>
      <c r="K36" s="108">
        <f t="shared" si="32"/>
        <v>-1</v>
      </c>
      <c r="L36" s="108">
        <f t="shared" si="32"/>
        <v>-1</v>
      </c>
      <c r="M36" s="108">
        <f t="shared" si="32"/>
        <v>-1</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0.24265502600685032</v>
      </c>
      <c r="F37" s="108">
        <f t="shared" ref="F37:BQ37" si="34">F11/F12</f>
        <v>0.12497096570642592</v>
      </c>
      <c r="G37" s="108">
        <f t="shared" si="34"/>
        <v>0.13452247997489963</v>
      </c>
      <c r="H37" s="108">
        <f t="shared" si="34"/>
        <v>9.4567095753092717E-2</v>
      </c>
      <c r="I37" s="108">
        <f t="shared" si="34"/>
        <v>4.9146274125279277E-2</v>
      </c>
      <c r="J37" s="108">
        <f t="shared" si="34"/>
        <v>5.2256706118676546E-3</v>
      </c>
      <c r="K37" s="108">
        <f t="shared" si="34"/>
        <v>0</v>
      </c>
      <c r="L37" s="108">
        <f t="shared" si="34"/>
        <v>0</v>
      </c>
      <c r="M37" s="108">
        <f t="shared" si="34"/>
        <v>0</v>
      </c>
      <c r="N37" s="108">
        <f t="shared" si="34"/>
        <v>0.29657631788305377</v>
      </c>
      <c r="O37" s="110">
        <f t="shared" si="34"/>
        <v>0.34995302450119281</v>
      </c>
      <c r="P37" s="110">
        <f t="shared" si="34"/>
        <v>0.82536442581406222</v>
      </c>
      <c r="Q37" s="110">
        <f t="shared" si="34"/>
        <v>0.60000000000811538</v>
      </c>
      <c r="R37" s="110">
        <f t="shared" si="34"/>
        <v>0</v>
      </c>
      <c r="S37" s="110">
        <f t="shared" si="34"/>
        <v>0</v>
      </c>
      <c r="T37" s="110">
        <f t="shared" si="34"/>
        <v>0</v>
      </c>
      <c r="U37" s="110">
        <f t="shared" si="34"/>
        <v>0</v>
      </c>
      <c r="V37" s="110">
        <f t="shared" si="34"/>
        <v>0</v>
      </c>
      <c r="W37" s="110">
        <f t="shared" si="34"/>
        <v>0</v>
      </c>
      <c r="X37" s="110">
        <f t="shared" si="34"/>
        <v>0</v>
      </c>
      <c r="Y37" s="110">
        <f t="shared" si="34"/>
        <v>0</v>
      </c>
      <c r="Z37" s="110">
        <f t="shared" si="34"/>
        <v>0</v>
      </c>
      <c r="AA37" s="110">
        <f t="shared" si="34"/>
        <v>0</v>
      </c>
      <c r="AB37" s="110">
        <f t="shared" si="34"/>
        <v>0</v>
      </c>
      <c r="AC37" s="110">
        <f t="shared" si="34"/>
        <v>0</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0</v>
      </c>
      <c r="AM37" s="110">
        <f t="shared" si="34"/>
        <v>0</v>
      </c>
      <c r="AN37" s="110" t="e">
        <f t="shared" si="34"/>
        <v>#DIV/0!</v>
      </c>
      <c r="AO37" s="110" t="e">
        <f t="shared" si="34"/>
        <v>#DIV/0!</v>
      </c>
      <c r="AP37" s="110">
        <f t="shared" si="34"/>
        <v>0</v>
      </c>
      <c r="AQ37" s="110">
        <f t="shared" si="34"/>
        <v>0</v>
      </c>
      <c r="AR37" s="110">
        <f t="shared" si="34"/>
        <v>0</v>
      </c>
      <c r="AS37" s="110">
        <f t="shared" si="34"/>
        <v>0</v>
      </c>
      <c r="AT37" s="110">
        <f t="shared" si="34"/>
        <v>0</v>
      </c>
      <c r="AU37" s="110">
        <f t="shared" si="34"/>
        <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0.29521616335150441</v>
      </c>
      <c r="F39" s="224">
        <f t="shared" ref="F39:U39" si="37">F2/F9</f>
        <v>0.22660225795761665</v>
      </c>
      <c r="G39" s="224">
        <f t="shared" si="37"/>
        <v>0.22226910240103845</v>
      </c>
      <c r="H39" s="224">
        <f t="shared" si="37"/>
        <v>0.20613693135111757</v>
      </c>
      <c r="I39" s="224">
        <f t="shared" si="37"/>
        <v>0.31583955413082043</v>
      </c>
      <c r="J39" s="224">
        <f t="shared" si="37"/>
        <v>0.19034738658364495</v>
      </c>
      <c r="K39" s="224">
        <f t="shared" si="37"/>
        <v>0.22448403870794414</v>
      </c>
      <c r="L39" s="224">
        <f t="shared" si="37"/>
        <v>0.25968180540402142</v>
      </c>
      <c r="M39" s="224">
        <f t="shared" si="37"/>
        <v>0.25497580080870924</v>
      </c>
      <c r="N39" s="224">
        <f t="shared" si="37"/>
        <v>0.15364499590023348</v>
      </c>
      <c r="O39" s="224">
        <f t="shared" si="37"/>
        <v>0.18524945723273423</v>
      </c>
      <c r="P39" s="224">
        <f t="shared" si="37"/>
        <v>0.18998961597007918</v>
      </c>
      <c r="Q39" s="224">
        <f t="shared" si="37"/>
        <v>0.2391226953382671</v>
      </c>
      <c r="R39" s="224">
        <f t="shared" si="37"/>
        <v>0.20817133997900916</v>
      </c>
      <c r="S39" s="224">
        <f t="shared" si="37"/>
        <v>0.23993595936692902</v>
      </c>
      <c r="T39" s="224">
        <f t="shared" si="37"/>
        <v>0.36343725053680997</v>
      </c>
      <c r="U39" s="224">
        <f t="shared" si="37"/>
        <v>0.43336305021298688</v>
      </c>
    </row>
    <row r="40" spans="1:89" s="225" customFormat="1" x14ac:dyDescent="0.25">
      <c r="A40" s="222" t="s">
        <v>553</v>
      </c>
      <c r="B40" s="223"/>
      <c r="C40" s="223"/>
      <c r="D40" s="223"/>
      <c r="E40" s="224">
        <f>E3/E9</f>
        <v>4.660634223354939E-3</v>
      </c>
      <c r="F40" s="224">
        <f t="shared" ref="F40:U40" si="38">F3/F9</f>
        <v>5.4483674934157275E-3</v>
      </c>
      <c r="G40" s="224">
        <f t="shared" si="38"/>
        <v>6.5860791695379209E-3</v>
      </c>
      <c r="H40" s="224">
        <f t="shared" si="38"/>
        <v>6.0223876937966145E-3</v>
      </c>
      <c r="I40" s="224">
        <f t="shared" si="38"/>
        <v>3.8609156270378153E-3</v>
      </c>
      <c r="J40" s="224">
        <f t="shared" si="38"/>
        <v>6.3203273862423607E-3</v>
      </c>
      <c r="K40" s="224">
        <f t="shared" si="38"/>
        <v>6.0443957107034476E-3</v>
      </c>
      <c r="L40" s="224">
        <f t="shared" si="38"/>
        <v>4.4985312960824997E-3</v>
      </c>
      <c r="M40" s="224">
        <f t="shared" si="38"/>
        <v>1.0052893113760776E-3</v>
      </c>
      <c r="N40" s="224">
        <f t="shared" si="38"/>
        <v>1.0653457996497096E-3</v>
      </c>
      <c r="O40" s="224">
        <f t="shared" si="38"/>
        <v>1.0436639810459261E-3</v>
      </c>
      <c r="P40" s="224">
        <f t="shared" si="38"/>
        <v>1.0775621038115529E-3</v>
      </c>
      <c r="Q40" s="224">
        <f t="shared" si="38"/>
        <v>1.1228916128240901E-3</v>
      </c>
      <c r="R40" s="224">
        <f t="shared" si="38"/>
        <v>1.2321244367161231E-3</v>
      </c>
      <c r="S40" s="224">
        <f t="shared" si="38"/>
        <v>1.0638501421725965E-2</v>
      </c>
      <c r="T40" s="224">
        <f t="shared" si="38"/>
        <v>1.2395332864671184E-2</v>
      </c>
      <c r="U40" s="224">
        <f t="shared" si="38"/>
        <v>6.4369478242407921E-3</v>
      </c>
    </row>
    <row r="41" spans="1:89" x14ac:dyDescent="0.25">
      <c r="A41" s="184" t="s">
        <v>558</v>
      </c>
      <c r="B41" s="64"/>
      <c r="C41" s="64"/>
      <c r="D41" s="64"/>
      <c r="E41" s="90">
        <f>E4/E9</f>
        <v>0.5532859330383425</v>
      </c>
      <c r="F41" s="90">
        <f t="shared" ref="F41:U41" si="39">F4/F9</f>
        <v>0.62353631112025276</v>
      </c>
      <c r="G41" s="90">
        <f t="shared" si="39"/>
        <v>0.62224513980406071</v>
      </c>
      <c r="H41" s="90">
        <f t="shared" si="39"/>
        <v>0.63754518865780485</v>
      </c>
      <c r="I41" s="90">
        <f t="shared" si="39"/>
        <v>0.51591078792225742</v>
      </c>
      <c r="J41" s="90">
        <f t="shared" si="39"/>
        <v>0.63217274496267828</v>
      </c>
      <c r="K41" s="90">
        <f t="shared" si="39"/>
        <v>0.60098841781182266</v>
      </c>
      <c r="L41" s="90">
        <f t="shared" si="39"/>
        <v>0.56966542088269123</v>
      </c>
      <c r="M41" s="90">
        <f t="shared" si="39"/>
        <v>0.58566180898994635</v>
      </c>
      <c r="N41" s="214">
        <f t="shared" si="39"/>
        <v>0.68795134436116834</v>
      </c>
      <c r="O41" s="214">
        <f t="shared" si="39"/>
        <v>0.66313971001049155</v>
      </c>
      <c r="P41" s="214">
        <f t="shared" si="39"/>
        <v>0.65653114288666092</v>
      </c>
      <c r="Q41" s="214">
        <f t="shared" si="39"/>
        <v>0.62260218011643764</v>
      </c>
      <c r="R41" s="214">
        <f t="shared" si="39"/>
        <v>0.65393831649300072</v>
      </c>
      <c r="S41" s="214">
        <f t="shared" si="39"/>
        <v>0.61883899828892885</v>
      </c>
      <c r="T41" s="214">
        <f t="shared" si="39"/>
        <v>0.48118604111249924</v>
      </c>
      <c r="U41" s="214">
        <f t="shared" si="39"/>
        <v>0.39791729474732834</v>
      </c>
    </row>
    <row r="42" spans="1:89" x14ac:dyDescent="0.25">
      <c r="A42" s="184" t="s">
        <v>334</v>
      </c>
      <c r="B42" s="64"/>
      <c r="C42" s="64"/>
      <c r="D42" s="64"/>
      <c r="E42" s="90">
        <f>E5/E9</f>
        <v>1.1725278783970798</v>
      </c>
      <c r="F42" s="90">
        <f t="shared" ref="F42:U42" si="40">F5/F9</f>
        <v>1.1349353107440203</v>
      </c>
      <c r="G42" s="90">
        <f t="shared" si="40"/>
        <v>1.0627744072587184</v>
      </c>
      <c r="H42" s="90">
        <f t="shared" si="40"/>
        <v>1.0090189012118536</v>
      </c>
      <c r="I42" s="90">
        <f t="shared" si="40"/>
        <v>1.1113793907507614</v>
      </c>
      <c r="J42" s="90">
        <f t="shared" si="40"/>
        <v>1.1018335299584112</v>
      </c>
      <c r="K42" s="90">
        <f t="shared" si="40"/>
        <v>1.0251657175858258</v>
      </c>
      <c r="L42" s="90">
        <f t="shared" si="40"/>
        <v>0.9780042500961289</v>
      </c>
      <c r="M42" s="90">
        <f t="shared" si="40"/>
        <v>1.189280030263036</v>
      </c>
      <c r="N42" s="214">
        <f t="shared" si="40"/>
        <v>1.0703418246499421</v>
      </c>
      <c r="O42" s="214">
        <f t="shared" si="40"/>
        <v>1.0505017477651468</v>
      </c>
      <c r="P42" s="214">
        <f t="shared" si="40"/>
        <v>0.96092014425856231</v>
      </c>
      <c r="Q42" s="214">
        <f t="shared" si="40"/>
        <v>1.0014800322374857</v>
      </c>
      <c r="R42" s="214">
        <f t="shared" si="40"/>
        <v>0.88345800680996556</v>
      </c>
      <c r="S42" s="214">
        <f t="shared" si="40"/>
        <v>0.88367747289288101</v>
      </c>
      <c r="T42" s="214">
        <f t="shared" si="40"/>
        <v>0.88919590222410383</v>
      </c>
      <c r="U42" s="214">
        <f t="shared" si="40"/>
        <v>0.81923633944985719</v>
      </c>
    </row>
    <row r="43" spans="1:89" x14ac:dyDescent="0.25">
      <c r="A43" s="184" t="s">
        <v>335</v>
      </c>
      <c r="B43" s="64"/>
      <c r="C43" s="64"/>
      <c r="D43" s="64"/>
      <c r="E43" s="90">
        <f>E6/E9</f>
        <v>0.61924194535873733</v>
      </c>
      <c r="F43" s="90">
        <f t="shared" ref="F43:U43" si="41">F6/F9</f>
        <v>0.51139899962376756</v>
      </c>
      <c r="G43" s="90">
        <f t="shared" si="41"/>
        <v>0.4405292674546577</v>
      </c>
      <c r="H43" s="90">
        <f t="shared" si="41"/>
        <v>0.37147371255404882</v>
      </c>
      <c r="I43" s="90">
        <f t="shared" si="41"/>
        <v>0.59546860282850411</v>
      </c>
      <c r="J43" s="90">
        <f t="shared" si="41"/>
        <v>0.46966078499573294</v>
      </c>
      <c r="K43" s="90">
        <f t="shared" si="41"/>
        <v>0.4241772997740032</v>
      </c>
      <c r="L43" s="90">
        <f t="shared" si="41"/>
        <v>0.40833882921343767</v>
      </c>
      <c r="M43" s="90">
        <f t="shared" si="41"/>
        <v>0.60361822127308962</v>
      </c>
      <c r="N43" s="214">
        <f t="shared" si="41"/>
        <v>0.38239048028877382</v>
      </c>
      <c r="O43" s="214">
        <f t="shared" si="41"/>
        <v>0.38736203775465539</v>
      </c>
      <c r="P43" s="214">
        <f t="shared" si="41"/>
        <v>0.3043890013719015</v>
      </c>
      <c r="Q43" s="214">
        <f t="shared" si="41"/>
        <v>0.37887785212104802</v>
      </c>
      <c r="R43" s="214">
        <f t="shared" si="41"/>
        <v>0.22951969031696484</v>
      </c>
      <c r="S43" s="214">
        <f t="shared" si="41"/>
        <v>0.26483847460395216</v>
      </c>
      <c r="T43" s="214">
        <f t="shared" si="41"/>
        <v>0.40800986111160464</v>
      </c>
      <c r="U43" s="214">
        <f t="shared" si="41"/>
        <v>0.42131904470252879</v>
      </c>
    </row>
    <row r="44" spans="1:89" x14ac:dyDescent="0.25">
      <c r="A44" s="184" t="s">
        <v>336</v>
      </c>
      <c r="B44" s="64"/>
      <c r="C44" s="64"/>
      <c r="D44" s="64"/>
      <c r="E44" s="90">
        <f>E7/E9</f>
        <v>0.14683726938679798</v>
      </c>
      <c r="F44" s="90">
        <f t="shared" ref="F44:U44" si="42">F7/F9</f>
        <v>0.14441306342871493</v>
      </c>
      <c r="G44" s="90">
        <f t="shared" si="42"/>
        <v>0.14889967862536294</v>
      </c>
      <c r="H44" s="90">
        <f t="shared" si="42"/>
        <v>0.15029549229728101</v>
      </c>
      <c r="I44" s="90">
        <f t="shared" si="42"/>
        <v>0.16438874231988443</v>
      </c>
      <c r="J44" s="90">
        <f t="shared" si="42"/>
        <v>0.17115954106743436</v>
      </c>
      <c r="K44" s="90">
        <f t="shared" si="42"/>
        <v>0.16848314776952969</v>
      </c>
      <c r="L44" s="90">
        <f t="shared" si="42"/>
        <v>0.16615424241720481</v>
      </c>
      <c r="M44" s="90">
        <f t="shared" si="42"/>
        <v>0.15835710088996824</v>
      </c>
      <c r="N44" s="214">
        <f t="shared" si="42"/>
        <v>0.15733831393894857</v>
      </c>
      <c r="O44" s="214">
        <f t="shared" si="42"/>
        <v>0.15056716877572832</v>
      </c>
      <c r="P44" s="214">
        <f t="shared" si="42"/>
        <v>0.15240167903944821</v>
      </c>
      <c r="Q44" s="214">
        <f t="shared" si="42"/>
        <v>0.13715223293247111</v>
      </c>
      <c r="R44" s="214">
        <f t="shared" si="42"/>
        <v>0.13665821909127407</v>
      </c>
      <c r="S44" s="214">
        <f t="shared" si="42"/>
        <v>0.13058654092241623</v>
      </c>
      <c r="T44" s="214">
        <f t="shared" si="42"/>
        <v>0.14298137548601961</v>
      </c>
      <c r="U44" s="214">
        <f t="shared" si="42"/>
        <v>0.16228270721544405</v>
      </c>
    </row>
    <row r="45" spans="1:89" s="225" customFormat="1" x14ac:dyDescent="0.25">
      <c r="A45" s="222" t="s">
        <v>337</v>
      </c>
      <c r="B45" s="223"/>
      <c r="C45" s="223"/>
      <c r="D45" s="223"/>
      <c r="E45" s="224">
        <f>E8/E9</f>
        <v>0.70012320242514059</v>
      </c>
      <c r="F45" s="224">
        <f t="shared" ref="F45:U45" si="43">F8/F9</f>
        <v>0.76794937454896761</v>
      </c>
      <c r="G45" s="224">
        <f t="shared" si="43"/>
        <v>0.77114481842942362</v>
      </c>
      <c r="H45" s="224">
        <f t="shared" si="43"/>
        <v>0.78784068095508575</v>
      </c>
      <c r="I45" s="224">
        <f t="shared" si="43"/>
        <v>0.68029953024214174</v>
      </c>
      <c r="J45" s="224">
        <f t="shared" si="43"/>
        <v>0.80333228603011264</v>
      </c>
      <c r="K45" s="224">
        <f t="shared" si="43"/>
        <v>0.76947156558135243</v>
      </c>
      <c r="L45" s="224">
        <f t="shared" si="43"/>
        <v>0.73581966329989612</v>
      </c>
      <c r="M45" s="224">
        <f t="shared" si="43"/>
        <v>0.7440189098799147</v>
      </c>
      <c r="N45" s="224">
        <f t="shared" si="43"/>
        <v>0.84528965830011682</v>
      </c>
      <c r="O45" s="224">
        <f t="shared" si="43"/>
        <v>0.81370687878621983</v>
      </c>
      <c r="P45" s="224">
        <f t="shared" si="43"/>
        <v>0.80893282192610916</v>
      </c>
      <c r="Q45" s="224">
        <f t="shared" si="43"/>
        <v>0.75975441304890867</v>
      </c>
      <c r="R45" s="224">
        <f t="shared" si="43"/>
        <v>0.79059653558427478</v>
      </c>
      <c r="S45" s="224">
        <f t="shared" si="43"/>
        <v>0.74942553921134514</v>
      </c>
      <c r="T45" s="224">
        <f t="shared" si="43"/>
        <v>0.62416741659851882</v>
      </c>
      <c r="U45" s="224">
        <f t="shared" si="43"/>
        <v>0.56020000196277242</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0.13973400055216298</v>
      </c>
      <c r="F47" s="90">
        <f t="shared" ref="F47:U47" si="45">F10/F14</f>
        <v>0.19071877375921456</v>
      </c>
      <c r="G47" s="90">
        <f t="shared" si="45"/>
        <v>0.18341240859235047</v>
      </c>
      <c r="H47" s="90">
        <f t="shared" si="45"/>
        <v>0.16695939486550124</v>
      </c>
      <c r="I47" s="90">
        <f t="shared" si="45"/>
        <v>0.10611201616073085</v>
      </c>
      <c r="J47" s="90">
        <f t="shared" si="45"/>
        <v>0.1082614170509939</v>
      </c>
      <c r="K47" s="90">
        <f t="shared" si="45"/>
        <v>0.10594124542504026</v>
      </c>
      <c r="L47" s="90">
        <f t="shared" si="45"/>
        <v>9.6488900185348794E-2</v>
      </c>
      <c r="M47" s="90">
        <f t="shared" si="45"/>
        <v>7.0241241797819501E-2</v>
      </c>
      <c r="N47" s="214">
        <f t="shared" si="45"/>
        <v>5.2676352489142431E-2</v>
      </c>
      <c r="O47" s="214">
        <f t="shared" si="45"/>
        <v>4.3784429230257445E-2</v>
      </c>
      <c r="P47" s="214">
        <f t="shared" si="45"/>
        <v>1.0686628932346355E-2</v>
      </c>
      <c r="Q47" s="214">
        <f t="shared" si="45"/>
        <v>3.4128761058313528E-2</v>
      </c>
      <c r="R47" s="214">
        <f t="shared" si="45"/>
        <v>1.8584115188294333E-2</v>
      </c>
      <c r="S47" s="214">
        <f t="shared" si="45"/>
        <v>4.5491677949590463E-2</v>
      </c>
      <c r="T47" s="214">
        <f t="shared" si="45"/>
        <v>4.3160265079589769E-2</v>
      </c>
      <c r="U47" s="214">
        <f t="shared" si="45"/>
        <v>1.0190475567064488E-2</v>
      </c>
    </row>
    <row r="48" spans="1:89" x14ac:dyDescent="0.25">
      <c r="A48" s="184" t="s">
        <v>340</v>
      </c>
      <c r="B48" s="64"/>
      <c r="C48" s="64"/>
      <c r="D48" s="64"/>
      <c r="E48" s="90">
        <f>E11/E14</f>
        <v>4.4771086760170456E-2</v>
      </c>
      <c r="F48" s="90">
        <f t="shared" ref="F48:U48" si="46">F11/F14</f>
        <v>2.7238306845756555E-2</v>
      </c>
      <c r="G48" s="90">
        <f t="shared" si="46"/>
        <v>2.850806807933846E-2</v>
      </c>
      <c r="H48" s="90">
        <f t="shared" si="46"/>
        <v>1.7437918378122828E-2</v>
      </c>
      <c r="I48" s="90">
        <f t="shared" si="46"/>
        <v>5.4845557127347726E-3</v>
      </c>
      <c r="J48" s="90">
        <f t="shared" si="46"/>
        <v>5.687103986996751E-4</v>
      </c>
      <c r="K48" s="90">
        <f t="shared" si="46"/>
        <v>0</v>
      </c>
      <c r="L48" s="90">
        <f t="shared" si="46"/>
        <v>0</v>
      </c>
      <c r="M48" s="90">
        <f t="shared" si="46"/>
        <v>0</v>
      </c>
      <c r="N48" s="214">
        <f t="shared" si="46"/>
        <v>2.2209315747976764E-2</v>
      </c>
      <c r="O48" s="214">
        <f t="shared" si="46"/>
        <v>2.3571363320980712E-2</v>
      </c>
      <c r="P48" s="214">
        <f t="shared" si="46"/>
        <v>5.0507254285102235E-2</v>
      </c>
      <c r="Q48" s="214">
        <f t="shared" si="46"/>
        <v>5.1193141589201352E-2</v>
      </c>
      <c r="R48" s="214">
        <f t="shared" si="46"/>
        <v>0</v>
      </c>
      <c r="S48" s="214">
        <f t="shared" si="46"/>
        <v>0</v>
      </c>
      <c r="T48" s="214">
        <f t="shared" si="46"/>
        <v>0</v>
      </c>
      <c r="U48" s="214">
        <f t="shared" si="46"/>
        <v>0</v>
      </c>
    </row>
    <row r="49" spans="1:21" x14ac:dyDescent="0.25">
      <c r="A49" s="184" t="s">
        <v>341</v>
      </c>
      <c r="B49" s="64"/>
      <c r="C49" s="64"/>
      <c r="D49" s="64"/>
      <c r="E49" s="90">
        <f>E12/E14</f>
        <v>0.18450508731233342</v>
      </c>
      <c r="F49" s="90">
        <f t="shared" ref="F49:U49" si="47">F12/F14</f>
        <v>0.21795708060497113</v>
      </c>
      <c r="G49" s="90">
        <f t="shared" si="47"/>
        <v>0.21192047667168895</v>
      </c>
      <c r="H49" s="90">
        <f t="shared" si="47"/>
        <v>0.18439731324362404</v>
      </c>
      <c r="I49" s="90">
        <f t="shared" si="47"/>
        <v>0.11159657187346562</v>
      </c>
      <c r="J49" s="90">
        <f t="shared" si="47"/>
        <v>0.10883012744969357</v>
      </c>
      <c r="K49" s="90">
        <f t="shared" si="47"/>
        <v>0.10594124542504026</v>
      </c>
      <c r="L49" s="90">
        <f t="shared" si="47"/>
        <v>9.6488900185348794E-2</v>
      </c>
      <c r="M49" s="90">
        <f t="shared" si="47"/>
        <v>7.0241241797819501E-2</v>
      </c>
      <c r="N49" s="214">
        <f t="shared" si="47"/>
        <v>7.4885668237119188E-2</v>
      </c>
      <c r="O49" s="214">
        <f t="shared" si="47"/>
        <v>6.7355792551238164E-2</v>
      </c>
      <c r="P49" s="214">
        <f t="shared" si="47"/>
        <v>6.1193883217448591E-2</v>
      </c>
      <c r="Q49" s="214">
        <f t="shared" si="47"/>
        <v>8.532190264751488E-2</v>
      </c>
      <c r="R49" s="214">
        <f t="shared" si="47"/>
        <v>1.8584115188294333E-2</v>
      </c>
      <c r="S49" s="214">
        <f t="shared" si="47"/>
        <v>4.5491677949590463E-2</v>
      </c>
      <c r="T49" s="214">
        <f t="shared" si="47"/>
        <v>4.3160265079589769E-2</v>
      </c>
      <c r="U49" s="214">
        <f t="shared" si="47"/>
        <v>1.0190475567064488E-2</v>
      </c>
    </row>
    <row r="50" spans="1:21" x14ac:dyDescent="0.25">
      <c r="A50" s="184" t="s">
        <v>345</v>
      </c>
      <c r="B50" s="64"/>
      <c r="C50" s="64"/>
      <c r="D50" s="64"/>
      <c r="E50" s="90">
        <f>E13/E14</f>
        <v>0.8154949126876665</v>
      </c>
      <c r="F50" s="90">
        <f t="shared" ref="F50:U50" si="48">F13/F14</f>
        <v>0.7820429193950289</v>
      </c>
      <c r="G50" s="90">
        <f t="shared" si="48"/>
        <v>0.7880795233283111</v>
      </c>
      <c r="H50" s="90">
        <f t="shared" si="48"/>
        <v>0.81560268675637593</v>
      </c>
      <c r="I50" s="90">
        <f t="shared" si="48"/>
        <v>0.88840342812653439</v>
      </c>
      <c r="J50" s="90">
        <f t="shared" si="48"/>
        <v>0.89116987255030633</v>
      </c>
      <c r="K50" s="90">
        <f t="shared" si="48"/>
        <v>0.89405875457495976</v>
      </c>
      <c r="L50" s="90">
        <f t="shared" si="48"/>
        <v>0.90351109981465128</v>
      </c>
      <c r="M50" s="90">
        <f t="shared" si="48"/>
        <v>0.92975875820218057</v>
      </c>
      <c r="N50" s="214">
        <f t="shared" si="48"/>
        <v>0.92511433176288072</v>
      </c>
      <c r="O50" s="214">
        <f t="shared" si="48"/>
        <v>0.93264420744876186</v>
      </c>
      <c r="P50" s="214">
        <f t="shared" si="48"/>
        <v>0.93880611678255133</v>
      </c>
      <c r="Q50" s="214">
        <f t="shared" si="48"/>
        <v>0.91467809735248518</v>
      </c>
      <c r="R50" s="214">
        <f t="shared" si="48"/>
        <v>0.98141588481170572</v>
      </c>
      <c r="S50" s="214">
        <f t="shared" si="48"/>
        <v>0.95450832205040959</v>
      </c>
      <c r="T50" s="214">
        <f t="shared" si="48"/>
        <v>0.9568397349204103</v>
      </c>
      <c r="U50" s="214">
        <f t="shared" si="48"/>
        <v>0.98980952443293557</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0.29521616335150441</v>
      </c>
      <c r="F55" s="214">
        <f t="shared" ref="F55:U55" si="51">F2/F9</f>
        <v>0.22660225795761665</v>
      </c>
      <c r="G55" s="214">
        <f t="shared" si="51"/>
        <v>0.22226910240103845</v>
      </c>
      <c r="H55" s="214">
        <f t="shared" si="51"/>
        <v>0.20613693135111757</v>
      </c>
      <c r="I55" s="214">
        <f t="shared" si="51"/>
        <v>0.31583955413082043</v>
      </c>
      <c r="J55" s="214">
        <f t="shared" si="51"/>
        <v>0.19034738658364495</v>
      </c>
      <c r="K55" s="214">
        <f t="shared" si="51"/>
        <v>0.22448403870794414</v>
      </c>
      <c r="L55" s="214">
        <f t="shared" si="51"/>
        <v>0.25968180540402142</v>
      </c>
      <c r="M55" s="214">
        <f t="shared" si="51"/>
        <v>0.25497580080870924</v>
      </c>
      <c r="N55" s="214">
        <f t="shared" si="51"/>
        <v>0.15364499590023348</v>
      </c>
      <c r="O55" s="214">
        <f t="shared" si="51"/>
        <v>0.18524945723273423</v>
      </c>
      <c r="P55" s="214">
        <f t="shared" si="51"/>
        <v>0.18998961597007918</v>
      </c>
      <c r="Q55" s="214">
        <f t="shared" si="51"/>
        <v>0.2391226953382671</v>
      </c>
      <c r="R55" s="214">
        <f t="shared" si="51"/>
        <v>0.20817133997900916</v>
      </c>
      <c r="S55" s="214">
        <f t="shared" si="51"/>
        <v>0.23993595936692902</v>
      </c>
      <c r="T55" s="214">
        <f t="shared" si="51"/>
        <v>0.36343725053680997</v>
      </c>
      <c r="U55" s="214">
        <f t="shared" si="51"/>
        <v>0.43336305021298688</v>
      </c>
    </row>
    <row r="56" spans="1:21" x14ac:dyDescent="0.25">
      <c r="A56" s="184" t="s">
        <v>646</v>
      </c>
      <c r="B56" s="64"/>
      <c r="C56" s="64"/>
      <c r="D56" s="64"/>
      <c r="E56" s="214">
        <f>E4/E9</f>
        <v>0.5532859330383425</v>
      </c>
      <c r="F56" s="214">
        <f t="shared" ref="F56:U56" si="52">F4/F9</f>
        <v>0.62353631112025276</v>
      </c>
      <c r="G56" s="214">
        <f t="shared" si="52"/>
        <v>0.62224513980406071</v>
      </c>
      <c r="H56" s="214">
        <f t="shared" si="52"/>
        <v>0.63754518865780485</v>
      </c>
      <c r="I56" s="214">
        <f t="shared" si="52"/>
        <v>0.51591078792225742</v>
      </c>
      <c r="J56" s="214">
        <f t="shared" si="52"/>
        <v>0.63217274496267828</v>
      </c>
      <c r="K56" s="214">
        <f t="shared" si="52"/>
        <v>0.60098841781182266</v>
      </c>
      <c r="L56" s="214">
        <f t="shared" si="52"/>
        <v>0.56966542088269123</v>
      </c>
      <c r="M56" s="214">
        <f t="shared" si="52"/>
        <v>0.58566180898994635</v>
      </c>
      <c r="N56" s="214">
        <f t="shared" si="52"/>
        <v>0.68795134436116834</v>
      </c>
      <c r="O56" s="214">
        <f t="shared" si="52"/>
        <v>0.66313971001049155</v>
      </c>
      <c r="P56" s="214">
        <f t="shared" si="52"/>
        <v>0.65653114288666092</v>
      </c>
      <c r="Q56" s="214">
        <f t="shared" si="52"/>
        <v>0.62260218011643764</v>
      </c>
      <c r="R56" s="214">
        <f t="shared" si="52"/>
        <v>0.65393831649300072</v>
      </c>
      <c r="S56" s="214">
        <f t="shared" si="52"/>
        <v>0.61883899828892885</v>
      </c>
      <c r="T56" s="214">
        <f t="shared" si="52"/>
        <v>0.48118604111249924</v>
      </c>
      <c r="U56" s="214">
        <f t="shared" si="52"/>
        <v>0.39791729474732834</v>
      </c>
    </row>
    <row r="57" spans="1:21" x14ac:dyDescent="0.25">
      <c r="A57" s="184" t="s">
        <v>647</v>
      </c>
      <c r="B57" s="64"/>
      <c r="C57" s="64"/>
      <c r="D57" s="64"/>
      <c r="E57" s="214">
        <f>E5/E9</f>
        <v>1.1725278783970798</v>
      </c>
      <c r="F57" s="214">
        <f t="shared" ref="F57:U57" si="53">F5/F9</f>
        <v>1.1349353107440203</v>
      </c>
      <c r="G57" s="214">
        <f t="shared" si="53"/>
        <v>1.0627744072587184</v>
      </c>
      <c r="H57" s="214">
        <f t="shared" si="53"/>
        <v>1.0090189012118536</v>
      </c>
      <c r="I57" s="214">
        <f t="shared" si="53"/>
        <v>1.1113793907507614</v>
      </c>
      <c r="J57" s="214">
        <f t="shared" si="53"/>
        <v>1.1018335299584112</v>
      </c>
      <c r="K57" s="214">
        <f t="shared" si="53"/>
        <v>1.0251657175858258</v>
      </c>
      <c r="L57" s="214">
        <f t="shared" si="53"/>
        <v>0.9780042500961289</v>
      </c>
      <c r="M57" s="214">
        <f t="shared" si="53"/>
        <v>1.189280030263036</v>
      </c>
      <c r="N57" s="214">
        <f t="shared" si="53"/>
        <v>1.0703418246499421</v>
      </c>
      <c r="O57" s="214">
        <f t="shared" si="53"/>
        <v>1.0505017477651468</v>
      </c>
      <c r="P57" s="214">
        <f t="shared" si="53"/>
        <v>0.96092014425856231</v>
      </c>
      <c r="Q57" s="214">
        <f t="shared" si="53"/>
        <v>1.0014800322374857</v>
      </c>
      <c r="R57" s="214">
        <f t="shared" si="53"/>
        <v>0.88345800680996556</v>
      </c>
      <c r="S57" s="214">
        <f t="shared" si="53"/>
        <v>0.88367747289288101</v>
      </c>
      <c r="T57" s="214">
        <f t="shared" si="53"/>
        <v>0.88919590222410383</v>
      </c>
      <c r="U57" s="214">
        <f t="shared" si="53"/>
        <v>0.81923633944985719</v>
      </c>
    </row>
    <row r="58" spans="1:21" x14ac:dyDescent="0.25">
      <c r="A58" s="184" t="s">
        <v>648</v>
      </c>
      <c r="B58" s="64"/>
      <c r="C58" s="64"/>
      <c r="D58" s="64"/>
      <c r="E58" s="214">
        <f>E6/E9</f>
        <v>0.61924194535873733</v>
      </c>
      <c r="F58" s="214">
        <f t="shared" ref="F58:U58" si="54">F6/F9</f>
        <v>0.51139899962376756</v>
      </c>
      <c r="G58" s="214">
        <f t="shared" si="54"/>
        <v>0.4405292674546577</v>
      </c>
      <c r="H58" s="214">
        <f t="shared" si="54"/>
        <v>0.37147371255404882</v>
      </c>
      <c r="I58" s="214">
        <f t="shared" si="54"/>
        <v>0.59546860282850411</v>
      </c>
      <c r="J58" s="214">
        <f t="shared" si="54"/>
        <v>0.46966078499573294</v>
      </c>
      <c r="K58" s="214">
        <f t="shared" si="54"/>
        <v>0.4241772997740032</v>
      </c>
      <c r="L58" s="214">
        <f t="shared" si="54"/>
        <v>0.40833882921343767</v>
      </c>
      <c r="M58" s="214">
        <f t="shared" si="54"/>
        <v>0.60361822127308962</v>
      </c>
      <c r="N58" s="214">
        <f t="shared" si="54"/>
        <v>0.38239048028877382</v>
      </c>
      <c r="O58" s="214">
        <f t="shared" si="54"/>
        <v>0.38736203775465539</v>
      </c>
      <c r="P58" s="214">
        <f t="shared" si="54"/>
        <v>0.3043890013719015</v>
      </c>
      <c r="Q58" s="214">
        <f t="shared" si="54"/>
        <v>0.37887785212104802</v>
      </c>
      <c r="R58" s="214">
        <f t="shared" si="54"/>
        <v>0.22951969031696484</v>
      </c>
      <c r="S58" s="214">
        <f t="shared" si="54"/>
        <v>0.26483847460395216</v>
      </c>
      <c r="T58" s="214">
        <f t="shared" si="54"/>
        <v>0.40800986111160464</v>
      </c>
      <c r="U58" s="214">
        <f t="shared" si="54"/>
        <v>0.42131904470252879</v>
      </c>
    </row>
    <row r="59" spans="1:21" s="225" customFormat="1" x14ac:dyDescent="0.25">
      <c r="A59" s="227" t="s">
        <v>642</v>
      </c>
      <c r="B59" s="223"/>
      <c r="C59" s="223"/>
      <c r="D59" s="223"/>
      <c r="E59" s="224">
        <f>E55+E56</f>
        <v>0.84850209638984686</v>
      </c>
      <c r="F59" s="224">
        <f t="shared" ref="F59:U59" si="55">F55+F56</f>
        <v>0.85013856907786944</v>
      </c>
      <c r="G59" s="224">
        <f t="shared" si="55"/>
        <v>0.84451424220509919</v>
      </c>
      <c r="H59" s="224">
        <f t="shared" si="55"/>
        <v>0.8436821200089224</v>
      </c>
      <c r="I59" s="224">
        <f t="shared" si="55"/>
        <v>0.83175034205307785</v>
      </c>
      <c r="J59" s="224">
        <f t="shared" si="55"/>
        <v>0.8225201315463232</v>
      </c>
      <c r="K59" s="224">
        <f t="shared" si="55"/>
        <v>0.82547245651976686</v>
      </c>
      <c r="L59" s="224">
        <f t="shared" si="55"/>
        <v>0.82934722628671265</v>
      </c>
      <c r="M59" s="224">
        <f t="shared" si="55"/>
        <v>0.84063760979865565</v>
      </c>
      <c r="N59" s="224">
        <f t="shared" si="55"/>
        <v>0.84159634026140184</v>
      </c>
      <c r="O59" s="224">
        <f t="shared" si="55"/>
        <v>0.84838916724322577</v>
      </c>
      <c r="P59" s="224">
        <f t="shared" si="55"/>
        <v>0.84652075885674005</v>
      </c>
      <c r="Q59" s="224">
        <f t="shared" si="55"/>
        <v>0.86172487545470478</v>
      </c>
      <c r="R59" s="224">
        <f t="shared" si="55"/>
        <v>0.86210965647200988</v>
      </c>
      <c r="S59" s="224">
        <f t="shared" si="55"/>
        <v>0.85877495765585787</v>
      </c>
      <c r="T59" s="224">
        <f t="shared" si="55"/>
        <v>0.84462329164930927</v>
      </c>
      <c r="U59" s="224">
        <f t="shared" si="55"/>
        <v>0.83128034496031522</v>
      </c>
    </row>
    <row r="60" spans="1:21" x14ac:dyDescent="0.25">
      <c r="A60" s="184" t="s">
        <v>649</v>
      </c>
      <c r="B60" s="64"/>
      <c r="C60" s="64"/>
      <c r="D60" s="64"/>
      <c r="E60" s="214">
        <f>E3/E9</f>
        <v>4.660634223354939E-3</v>
      </c>
      <c r="F60" s="214">
        <f t="shared" ref="F60:U60" si="56">F3/F9</f>
        <v>5.4483674934157275E-3</v>
      </c>
      <c r="G60" s="214">
        <f t="shared" si="56"/>
        <v>6.5860791695379209E-3</v>
      </c>
      <c r="H60" s="214">
        <f t="shared" si="56"/>
        <v>6.0223876937966145E-3</v>
      </c>
      <c r="I60" s="214">
        <f t="shared" si="56"/>
        <v>3.8609156270378153E-3</v>
      </c>
      <c r="J60" s="214">
        <f t="shared" si="56"/>
        <v>6.3203273862423607E-3</v>
      </c>
      <c r="K60" s="214">
        <f t="shared" si="56"/>
        <v>6.0443957107034476E-3</v>
      </c>
      <c r="L60" s="214">
        <f t="shared" si="56"/>
        <v>4.4985312960824997E-3</v>
      </c>
      <c r="M60" s="214">
        <f t="shared" si="56"/>
        <v>1.0052893113760776E-3</v>
      </c>
      <c r="N60" s="214">
        <f t="shared" si="56"/>
        <v>1.0653457996497096E-3</v>
      </c>
      <c r="O60" s="214">
        <f t="shared" si="56"/>
        <v>1.0436639810459261E-3</v>
      </c>
      <c r="P60" s="214">
        <f t="shared" si="56"/>
        <v>1.0775621038115529E-3</v>
      </c>
      <c r="Q60" s="214">
        <f t="shared" si="56"/>
        <v>1.1228916128240901E-3</v>
      </c>
      <c r="R60" s="214">
        <f t="shared" si="56"/>
        <v>1.2321244367161231E-3</v>
      </c>
      <c r="S60" s="214">
        <f t="shared" si="56"/>
        <v>1.0638501421725965E-2</v>
      </c>
      <c r="T60" s="214">
        <f t="shared" si="56"/>
        <v>1.2395332864671184E-2</v>
      </c>
      <c r="U60" s="214">
        <f t="shared" si="56"/>
        <v>6.4369478242407921E-3</v>
      </c>
    </row>
    <row r="61" spans="1:21" x14ac:dyDescent="0.25">
      <c r="A61" s="184" t="s">
        <v>650</v>
      </c>
      <c r="B61" s="64"/>
      <c r="C61" s="64"/>
      <c r="D61" s="64"/>
      <c r="E61" s="214">
        <f>E7/E9</f>
        <v>0.14683726938679798</v>
      </c>
      <c r="F61" s="214">
        <f t="shared" ref="F61:U61" si="57">F7/F9</f>
        <v>0.14441306342871493</v>
      </c>
      <c r="G61" s="214">
        <f t="shared" si="57"/>
        <v>0.14889967862536294</v>
      </c>
      <c r="H61" s="214">
        <f t="shared" si="57"/>
        <v>0.15029549229728101</v>
      </c>
      <c r="I61" s="214">
        <f t="shared" si="57"/>
        <v>0.16438874231988443</v>
      </c>
      <c r="J61" s="214">
        <f t="shared" si="57"/>
        <v>0.17115954106743436</v>
      </c>
      <c r="K61" s="214">
        <f t="shared" si="57"/>
        <v>0.16848314776952969</v>
      </c>
      <c r="L61" s="214">
        <f t="shared" si="57"/>
        <v>0.16615424241720481</v>
      </c>
      <c r="M61" s="214">
        <f t="shared" si="57"/>
        <v>0.15835710088996824</v>
      </c>
      <c r="N61" s="214">
        <f t="shared" si="57"/>
        <v>0.15733831393894857</v>
      </c>
      <c r="O61" s="214">
        <f t="shared" si="57"/>
        <v>0.15056716877572832</v>
      </c>
      <c r="P61" s="214">
        <f t="shared" si="57"/>
        <v>0.15240167903944821</v>
      </c>
      <c r="Q61" s="214">
        <f t="shared" si="57"/>
        <v>0.13715223293247111</v>
      </c>
      <c r="R61" s="214">
        <f t="shared" si="57"/>
        <v>0.13665821909127407</v>
      </c>
      <c r="S61" s="214">
        <f t="shared" si="57"/>
        <v>0.13058654092241623</v>
      </c>
      <c r="T61" s="214">
        <f t="shared" si="57"/>
        <v>0.14298137548601961</v>
      </c>
      <c r="U61" s="214">
        <f t="shared" si="57"/>
        <v>0.16228270721544405</v>
      </c>
    </row>
    <row r="62" spans="1:21" s="225" customFormat="1" x14ac:dyDescent="0.25">
      <c r="A62" s="227" t="s">
        <v>643</v>
      </c>
      <c r="B62" s="223"/>
      <c r="C62" s="223"/>
      <c r="D62" s="223"/>
      <c r="E62" s="224">
        <f>E60+E61</f>
        <v>0.15149790361015292</v>
      </c>
      <c r="F62" s="224">
        <f t="shared" ref="F62:M62" si="58">F60+F61</f>
        <v>0.14986143092213067</v>
      </c>
      <c r="G62" s="224">
        <f t="shared" si="58"/>
        <v>0.15548575779490087</v>
      </c>
      <c r="H62" s="224">
        <f t="shared" si="58"/>
        <v>0.15631787999107763</v>
      </c>
      <c r="I62" s="224">
        <f t="shared" si="58"/>
        <v>0.16824965794692223</v>
      </c>
      <c r="J62" s="224">
        <f t="shared" si="58"/>
        <v>0.17747986845367672</v>
      </c>
      <c r="K62" s="224">
        <f t="shared" si="58"/>
        <v>0.17452754348023314</v>
      </c>
      <c r="L62" s="224">
        <f t="shared" si="58"/>
        <v>0.1706527737132873</v>
      </c>
      <c r="M62" s="224">
        <f t="shared" si="58"/>
        <v>0.15936239020134432</v>
      </c>
      <c r="N62" s="224">
        <f t="shared" ref="N62" si="59">N60+N61</f>
        <v>0.15840365973859827</v>
      </c>
      <c r="O62" s="224">
        <f t="shared" ref="O62" si="60">O60+O61</f>
        <v>0.15161083275677426</v>
      </c>
      <c r="P62" s="224">
        <f t="shared" ref="P62" si="61">P60+P61</f>
        <v>0.15347924114325975</v>
      </c>
      <c r="Q62" s="224">
        <f t="shared" ref="Q62" si="62">Q60+Q61</f>
        <v>0.1382751245452952</v>
      </c>
      <c r="R62" s="224">
        <f t="shared" ref="R62" si="63">R60+R61</f>
        <v>0.13789034352799021</v>
      </c>
      <c r="S62" s="224">
        <f t="shared" ref="S62" si="64">S60+S61</f>
        <v>0.14122504234414218</v>
      </c>
      <c r="T62" s="224">
        <f t="shared" ref="T62" si="65">T60+T61</f>
        <v>0.15537670835069078</v>
      </c>
      <c r="U62" s="224">
        <f t="shared" ref="U62" si="66">U60+U61</f>
        <v>0.16871965503968483</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1837068732.1500001</v>
      </c>
      <c r="F67" s="193">
        <f t="shared" ref="F67:U67" si="68">F10</f>
        <v>2380631933.0100002</v>
      </c>
      <c r="G67" s="193">
        <f t="shared" si="68"/>
        <v>2161904895.5299997</v>
      </c>
      <c r="H67" s="193">
        <f t="shared" si="68"/>
        <v>1810505278.72</v>
      </c>
      <c r="I67" s="193">
        <f t="shared" si="68"/>
        <v>1020417469.1800001</v>
      </c>
      <c r="J67" s="193">
        <f t="shared" si="68"/>
        <v>951814994.92999995</v>
      </c>
      <c r="K67" s="193">
        <f t="shared" si="68"/>
        <v>883231910.88999999</v>
      </c>
      <c r="L67" s="193">
        <f t="shared" si="68"/>
        <v>755703101.74000001</v>
      </c>
      <c r="M67" s="193">
        <f t="shared" si="68"/>
        <v>503199033.41000003</v>
      </c>
      <c r="N67" s="193">
        <f t="shared" si="68"/>
        <v>338205349.89999998</v>
      </c>
      <c r="O67" s="193">
        <f t="shared" si="68"/>
        <v>264871326.91999999</v>
      </c>
      <c r="P67" s="193">
        <f t="shared" si="68"/>
        <v>61370000</v>
      </c>
      <c r="Q67" s="193">
        <f t="shared" si="68"/>
        <v>197155777.94</v>
      </c>
      <c r="R67" s="193">
        <f t="shared" si="68"/>
        <v>100969519.31999999</v>
      </c>
      <c r="S67" s="193">
        <f t="shared" si="68"/>
        <v>243075229.66</v>
      </c>
      <c r="T67" s="193">
        <f t="shared" si="68"/>
        <v>198447571.94</v>
      </c>
      <c r="U67" s="193">
        <f t="shared" si="68"/>
        <v>43178537.100000001</v>
      </c>
    </row>
    <row r="68" spans="1:21" x14ac:dyDescent="0.25">
      <c r="A68" s="17" t="s">
        <v>653</v>
      </c>
      <c r="E68" s="193">
        <f>E11</f>
        <v>588600936.53999996</v>
      </c>
      <c r="F68" s="193">
        <f t="shared" ref="F68:U68" si="69">F11</f>
        <v>340000000</v>
      </c>
      <c r="G68" s="193">
        <f t="shared" si="69"/>
        <v>336028147.80000001</v>
      </c>
      <c r="H68" s="193">
        <f t="shared" si="69"/>
        <v>189096536.31</v>
      </c>
      <c r="I68" s="193">
        <f t="shared" si="69"/>
        <v>52741778.57</v>
      </c>
      <c r="J68" s="193">
        <f t="shared" si="69"/>
        <v>5000000</v>
      </c>
      <c r="K68" s="193">
        <f t="shared" si="69"/>
        <v>0</v>
      </c>
      <c r="L68" s="193">
        <f t="shared" si="69"/>
        <v>0</v>
      </c>
      <c r="M68" s="193">
        <f t="shared" si="69"/>
        <v>0</v>
      </c>
      <c r="N68" s="193">
        <f t="shared" si="69"/>
        <v>142593574.69999999</v>
      </c>
      <c r="O68" s="193">
        <f t="shared" si="69"/>
        <v>142593574.69999999</v>
      </c>
      <c r="P68" s="193">
        <f t="shared" si="69"/>
        <v>290047517.80000001</v>
      </c>
      <c r="Q68" s="193">
        <f t="shared" si="69"/>
        <v>295733666.92000002</v>
      </c>
      <c r="R68" s="193">
        <f t="shared" si="69"/>
        <v>0</v>
      </c>
      <c r="S68" s="193">
        <f t="shared" si="69"/>
        <v>0</v>
      </c>
      <c r="T68" s="193">
        <f t="shared" si="69"/>
        <v>0</v>
      </c>
      <c r="U68" s="193">
        <f t="shared" si="69"/>
        <v>0</v>
      </c>
    </row>
    <row r="69" spans="1:21" x14ac:dyDescent="0.25">
      <c r="A69" s="17" t="s">
        <v>654</v>
      </c>
      <c r="E69" s="193">
        <f>E12</f>
        <v>2425669668.6900001</v>
      </c>
      <c r="F69" s="193">
        <f t="shared" ref="F69:U69" si="70">F12</f>
        <v>2720631933.0100002</v>
      </c>
      <c r="G69" s="193">
        <f t="shared" si="70"/>
        <v>2497933043.3299999</v>
      </c>
      <c r="H69" s="193">
        <f t="shared" si="70"/>
        <v>1999601815.03</v>
      </c>
      <c r="I69" s="193">
        <f t="shared" si="70"/>
        <v>1073159247.7500001</v>
      </c>
      <c r="J69" s="193">
        <f t="shared" si="70"/>
        <v>956814994.92999995</v>
      </c>
      <c r="K69" s="193">
        <f t="shared" si="70"/>
        <v>883231910.88999999</v>
      </c>
      <c r="L69" s="193">
        <f t="shared" si="70"/>
        <v>755703101.74000001</v>
      </c>
      <c r="M69" s="193">
        <f t="shared" si="70"/>
        <v>503199033.41000003</v>
      </c>
      <c r="N69" s="193">
        <f t="shared" si="70"/>
        <v>480798924.59999996</v>
      </c>
      <c r="O69" s="193">
        <f t="shared" si="70"/>
        <v>407464901.62</v>
      </c>
      <c r="P69" s="193">
        <f t="shared" si="70"/>
        <v>351417517.80000001</v>
      </c>
      <c r="Q69" s="193">
        <f t="shared" si="70"/>
        <v>492889444.86000001</v>
      </c>
      <c r="R69" s="193">
        <f t="shared" si="70"/>
        <v>100969519.31999999</v>
      </c>
      <c r="S69" s="193">
        <f t="shared" si="70"/>
        <v>243075229.66</v>
      </c>
      <c r="T69" s="193">
        <f t="shared" si="70"/>
        <v>198447571.94</v>
      </c>
      <c r="U69" s="193">
        <f t="shared" si="70"/>
        <v>43178537.100000001</v>
      </c>
    </row>
    <row r="70" spans="1:21" s="234" customFormat="1" x14ac:dyDescent="0.25">
      <c r="A70" s="234" t="s">
        <v>657</v>
      </c>
      <c r="E70" s="234">
        <f>E69/E74</f>
        <v>0.18450508731233342</v>
      </c>
      <c r="F70" s="234">
        <f t="shared" ref="F70:U70" si="71">F69/F74</f>
        <v>0.21795708060497113</v>
      </c>
      <c r="G70" s="234">
        <f t="shared" si="71"/>
        <v>0.21192047667168895</v>
      </c>
      <c r="H70" s="234">
        <f t="shared" si="71"/>
        <v>0.18439731324362404</v>
      </c>
      <c r="I70" s="234">
        <f t="shared" si="71"/>
        <v>0.11159657187346562</v>
      </c>
      <c r="J70" s="234">
        <f t="shared" si="71"/>
        <v>0.10883012744969357</v>
      </c>
      <c r="K70" s="234">
        <f t="shared" si="71"/>
        <v>0.10594124542504026</v>
      </c>
      <c r="L70" s="234">
        <f t="shared" si="71"/>
        <v>9.6488900185348794E-2</v>
      </c>
      <c r="M70" s="234">
        <f t="shared" si="71"/>
        <v>7.0241241797819501E-2</v>
      </c>
      <c r="N70" s="234">
        <f t="shared" si="71"/>
        <v>7.4885668237119188E-2</v>
      </c>
      <c r="O70" s="234">
        <f t="shared" si="71"/>
        <v>6.7355792551238164E-2</v>
      </c>
      <c r="P70" s="234">
        <f t="shared" si="71"/>
        <v>6.1193883217448591E-2</v>
      </c>
      <c r="Q70" s="234">
        <f t="shared" si="71"/>
        <v>8.532190264751488E-2</v>
      </c>
      <c r="R70" s="234">
        <f t="shared" si="71"/>
        <v>1.8584115188294333E-2</v>
      </c>
      <c r="S70" s="234">
        <f t="shared" si="71"/>
        <v>4.5491677949590463E-2</v>
      </c>
      <c r="T70" s="234">
        <f t="shared" si="71"/>
        <v>4.3160265079589769E-2</v>
      </c>
      <c r="U70" s="234">
        <f t="shared" si="71"/>
        <v>1.0190475567064488E-2</v>
      </c>
    </row>
    <row r="71" spans="1:21" x14ac:dyDescent="0.25">
      <c r="A71" s="17" t="s">
        <v>655</v>
      </c>
      <c r="E71" s="193">
        <f>E13</f>
        <v>10721228902.099997</v>
      </c>
      <c r="F71" s="193">
        <f t="shared" ref="F71:U71" si="72">F13</f>
        <v>9761788575.9199982</v>
      </c>
      <c r="G71" s="193">
        <f t="shared" si="72"/>
        <v>9289191459.9799995</v>
      </c>
      <c r="H71" s="193">
        <f t="shared" si="72"/>
        <v>8844383815</v>
      </c>
      <c r="I71" s="193">
        <f t="shared" si="72"/>
        <v>8543258440.8400002</v>
      </c>
      <c r="J71" s="193">
        <f t="shared" si="72"/>
        <v>7835005958.9899979</v>
      </c>
      <c r="K71" s="193">
        <f t="shared" si="72"/>
        <v>7453765708.3699999</v>
      </c>
      <c r="L71" s="193">
        <f t="shared" si="72"/>
        <v>7076317993.8300018</v>
      </c>
      <c r="M71" s="193">
        <f t="shared" si="72"/>
        <v>6660669664.3899994</v>
      </c>
      <c r="N71" s="193">
        <f t="shared" si="72"/>
        <v>5939640872.7399988</v>
      </c>
      <c r="O71" s="193">
        <f t="shared" si="72"/>
        <v>5641976225.6599998</v>
      </c>
      <c r="P71" s="193">
        <f t="shared" si="72"/>
        <v>5391272753.2400007</v>
      </c>
      <c r="Q71" s="193">
        <f t="shared" si="72"/>
        <v>5283932561.750001</v>
      </c>
      <c r="R71" s="193">
        <f t="shared" si="72"/>
        <v>5332139256.4799995</v>
      </c>
      <c r="S71" s="193">
        <f t="shared" si="72"/>
        <v>5100214809.6599998</v>
      </c>
      <c r="T71" s="193">
        <f t="shared" si="72"/>
        <v>4399475345.6800003</v>
      </c>
      <c r="U71" s="193">
        <f t="shared" si="72"/>
        <v>4193967886.1299996</v>
      </c>
    </row>
    <row r="72" spans="1:21" s="234" customFormat="1" x14ac:dyDescent="0.25">
      <c r="A72" s="234" t="s">
        <v>658</v>
      </c>
      <c r="E72" s="234">
        <f>E71/E74</f>
        <v>0.8154949126876665</v>
      </c>
      <c r="F72" s="234">
        <f t="shared" ref="F72:U72" si="73">F71/F74</f>
        <v>0.7820429193950289</v>
      </c>
      <c r="G72" s="234">
        <f t="shared" si="73"/>
        <v>0.7880795233283111</v>
      </c>
      <c r="H72" s="234">
        <f t="shared" si="73"/>
        <v>0.81560268675637593</v>
      </c>
      <c r="I72" s="234">
        <f t="shared" si="73"/>
        <v>0.88840342812653439</v>
      </c>
      <c r="J72" s="234">
        <f t="shared" si="73"/>
        <v>0.89116987255030633</v>
      </c>
      <c r="K72" s="234">
        <f t="shared" si="73"/>
        <v>0.89405875457495976</v>
      </c>
      <c r="L72" s="234">
        <f t="shared" si="73"/>
        <v>0.90351109981465128</v>
      </c>
      <c r="M72" s="234">
        <f t="shared" si="73"/>
        <v>0.92975875820218057</v>
      </c>
      <c r="N72" s="234">
        <f t="shared" si="73"/>
        <v>0.92511433176288072</v>
      </c>
      <c r="O72" s="234">
        <f t="shared" si="73"/>
        <v>0.93264420744876186</v>
      </c>
      <c r="P72" s="234">
        <f t="shared" si="73"/>
        <v>0.93880611678255133</v>
      </c>
      <c r="Q72" s="234">
        <f t="shared" si="73"/>
        <v>0.91467809735248518</v>
      </c>
      <c r="R72" s="234">
        <f t="shared" si="73"/>
        <v>0.98141588481170572</v>
      </c>
      <c r="S72" s="234">
        <f t="shared" si="73"/>
        <v>0.95450832205040959</v>
      </c>
      <c r="T72" s="234">
        <f t="shared" si="73"/>
        <v>0.9568397349204103</v>
      </c>
      <c r="U72" s="234">
        <f t="shared" si="73"/>
        <v>0.98980952443293557</v>
      </c>
    </row>
    <row r="73" spans="1:21" s="236" customFormat="1" x14ac:dyDescent="0.25">
      <c r="A73" s="235" t="s">
        <v>659</v>
      </c>
      <c r="E73" s="237">
        <f>E74/E71</f>
        <v>1.2262492192676604</v>
      </c>
      <c r="F73" s="237">
        <f t="shared" ref="F73:U73" si="74">F74/F71</f>
        <v>1.278702198050176</v>
      </c>
      <c r="G73" s="237">
        <f t="shared" si="74"/>
        <v>1.2689074774797868</v>
      </c>
      <c r="H73" s="237">
        <f t="shared" si="74"/>
        <v>1.2260871822001542</v>
      </c>
      <c r="I73" s="237">
        <f t="shared" si="74"/>
        <v>1.125614747017355</v>
      </c>
      <c r="J73" s="237">
        <f t="shared" si="74"/>
        <v>1.1221205191084938</v>
      </c>
      <c r="K73" s="237">
        <f t="shared" si="74"/>
        <v>1.1184947240692311</v>
      </c>
      <c r="L73" s="237">
        <f t="shared" si="74"/>
        <v>1.1067932648587746</v>
      </c>
      <c r="M73" s="237">
        <f t="shared" si="74"/>
        <v>1.0755478140734493</v>
      </c>
      <c r="N73" s="237">
        <f t="shared" si="74"/>
        <v>1.0809474739132172</v>
      </c>
      <c r="O73" s="237">
        <f t="shared" si="74"/>
        <v>1.0722202443475086</v>
      </c>
      <c r="P73" s="237">
        <f t="shared" si="74"/>
        <v>1.0651826635164783</v>
      </c>
      <c r="Q73" s="237">
        <f t="shared" si="74"/>
        <v>1.0932807977959427</v>
      </c>
      <c r="R73" s="237">
        <f t="shared" si="74"/>
        <v>1.0189360244478414</v>
      </c>
      <c r="S73" s="237">
        <f t="shared" si="74"/>
        <v>1.0476598023282482</v>
      </c>
      <c r="T73" s="237">
        <f t="shared" si="74"/>
        <v>1.0451070994487701</v>
      </c>
      <c r="U73" s="237">
        <f t="shared" si="74"/>
        <v>1.01029539049233</v>
      </c>
    </row>
    <row r="74" spans="1:21" x14ac:dyDescent="0.25">
      <c r="A74" s="17" t="s">
        <v>656</v>
      </c>
      <c r="E74" s="193">
        <f>E14</f>
        <v>13146898570.789997</v>
      </c>
      <c r="F74" s="193">
        <f t="shared" ref="F74:U74" si="75">F14</f>
        <v>12482420508.929998</v>
      </c>
      <c r="G74" s="193">
        <f t="shared" si="75"/>
        <v>11787124503.309999</v>
      </c>
      <c r="H74" s="193">
        <f t="shared" si="75"/>
        <v>10843985630.030001</v>
      </c>
      <c r="I74" s="193">
        <f t="shared" si="75"/>
        <v>9616417688.5900002</v>
      </c>
      <c r="J74" s="193">
        <f t="shared" si="75"/>
        <v>8791820953.9199982</v>
      </c>
      <c r="K74" s="193">
        <f t="shared" si="75"/>
        <v>8336997619.2600002</v>
      </c>
      <c r="L74" s="193">
        <f t="shared" si="75"/>
        <v>7832021095.5700016</v>
      </c>
      <c r="M74" s="193">
        <f t="shared" si="75"/>
        <v>7163868697.7999992</v>
      </c>
      <c r="N74" s="193">
        <f t="shared" si="75"/>
        <v>6420439797.3399992</v>
      </c>
      <c r="O74" s="193">
        <f t="shared" si="75"/>
        <v>6049441127.2799997</v>
      </c>
      <c r="P74" s="193">
        <f t="shared" si="75"/>
        <v>5742690271.0400009</v>
      </c>
      <c r="Q74" s="193">
        <f t="shared" si="75"/>
        <v>5776822006.6100006</v>
      </c>
      <c r="R74" s="193">
        <f t="shared" si="75"/>
        <v>5433108775.7999992</v>
      </c>
      <c r="S74" s="193">
        <f t="shared" si="75"/>
        <v>5343290039.3199997</v>
      </c>
      <c r="T74" s="193">
        <f t="shared" si="75"/>
        <v>4597922917.6199999</v>
      </c>
      <c r="U74" s="193">
        <f t="shared" si="75"/>
        <v>4237146423.2299995</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1837068732.1500001</v>
      </c>
      <c r="F78" s="89">
        <f t="shared" ref="F78:U78" si="77">F10</f>
        <v>2380631933.0100002</v>
      </c>
      <c r="G78" s="89">
        <f t="shared" si="77"/>
        <v>2161904895.5299997</v>
      </c>
      <c r="H78" s="89">
        <f t="shared" si="77"/>
        <v>1810505278.72</v>
      </c>
      <c r="I78" s="89">
        <f t="shared" si="77"/>
        <v>1020417469.1800001</v>
      </c>
      <c r="J78" s="89">
        <f t="shared" si="77"/>
        <v>951814994.92999995</v>
      </c>
      <c r="K78" s="89">
        <f t="shared" si="77"/>
        <v>883231910.88999999</v>
      </c>
      <c r="L78" s="89">
        <f t="shared" si="77"/>
        <v>755703101.74000001</v>
      </c>
      <c r="M78" s="89">
        <f t="shared" si="77"/>
        <v>503199033.41000003</v>
      </c>
      <c r="N78" s="89">
        <f t="shared" si="77"/>
        <v>338205349.89999998</v>
      </c>
      <c r="O78" s="89">
        <f t="shared" si="77"/>
        <v>264871326.91999999</v>
      </c>
      <c r="P78" s="89">
        <f t="shared" si="77"/>
        <v>61370000</v>
      </c>
      <c r="Q78" s="89">
        <f t="shared" si="77"/>
        <v>197155777.94</v>
      </c>
      <c r="R78" s="89">
        <f t="shared" si="77"/>
        <v>100969519.31999999</v>
      </c>
      <c r="S78" s="89">
        <f t="shared" si="77"/>
        <v>243075229.66</v>
      </c>
      <c r="T78" s="89">
        <f t="shared" si="77"/>
        <v>198447571.94</v>
      </c>
      <c r="U78" s="89">
        <f t="shared" si="77"/>
        <v>43178537.100000001</v>
      </c>
    </row>
    <row r="79" spans="1:21" x14ac:dyDescent="0.25">
      <c r="A79" s="184" t="s">
        <v>661</v>
      </c>
      <c r="B79" s="64"/>
      <c r="C79" s="64"/>
      <c r="D79" s="64"/>
      <c r="E79" s="89">
        <f>E78</f>
        <v>1837068732.1500001</v>
      </c>
      <c r="F79" s="89">
        <f t="shared" ref="F79:U79" si="78">F78</f>
        <v>2380631933.0100002</v>
      </c>
      <c r="G79" s="89">
        <f t="shared" si="78"/>
        <v>2161904895.5299997</v>
      </c>
      <c r="H79" s="89">
        <f t="shared" si="78"/>
        <v>1810505278.72</v>
      </c>
      <c r="I79" s="89">
        <f t="shared" si="78"/>
        <v>1020417469.1800001</v>
      </c>
      <c r="J79" s="89">
        <f t="shared" si="78"/>
        <v>951814994.92999995</v>
      </c>
      <c r="K79" s="89">
        <f t="shared" si="78"/>
        <v>883231910.88999999</v>
      </c>
      <c r="L79" s="89">
        <f t="shared" si="78"/>
        <v>755703101.74000001</v>
      </c>
      <c r="M79" s="89">
        <f t="shared" si="78"/>
        <v>503199033.41000003</v>
      </c>
      <c r="N79" s="89">
        <f t="shared" si="78"/>
        <v>338205349.89999998</v>
      </c>
      <c r="O79" s="89">
        <f t="shared" si="78"/>
        <v>264871326.91999999</v>
      </c>
      <c r="P79" s="89">
        <f t="shared" si="78"/>
        <v>61370000</v>
      </c>
      <c r="Q79" s="89">
        <f t="shared" si="78"/>
        <v>197155777.94</v>
      </c>
      <c r="R79" s="89">
        <f t="shared" si="78"/>
        <v>100969519.31999999</v>
      </c>
      <c r="S79" s="89">
        <f t="shared" si="78"/>
        <v>243075229.66</v>
      </c>
      <c r="T79" s="89">
        <f t="shared" si="78"/>
        <v>198447571.94</v>
      </c>
      <c r="U79" s="89">
        <f t="shared" si="78"/>
        <v>43178537.100000001</v>
      </c>
    </row>
    <row r="80" spans="1:21" s="220" customFormat="1" x14ac:dyDescent="0.25">
      <c r="A80" s="224" t="s">
        <v>662</v>
      </c>
      <c r="B80" s="224"/>
      <c r="C80" s="224"/>
      <c r="D80" s="224"/>
      <c r="E80" s="224">
        <f>E79/E85</f>
        <v>0.13973400055216298</v>
      </c>
      <c r="F80" s="224">
        <f t="shared" ref="F80:U80" si="79">F79/F85</f>
        <v>0.19071877375921456</v>
      </c>
      <c r="G80" s="224">
        <f t="shared" si="79"/>
        <v>0.18341240859235047</v>
      </c>
      <c r="H80" s="224">
        <f t="shared" si="79"/>
        <v>0.16695939486550124</v>
      </c>
      <c r="I80" s="224">
        <f t="shared" si="79"/>
        <v>0.10611201616073085</v>
      </c>
      <c r="J80" s="224">
        <f t="shared" si="79"/>
        <v>0.1082614170509939</v>
      </c>
      <c r="K80" s="224">
        <f t="shared" si="79"/>
        <v>0.10594124542504026</v>
      </c>
      <c r="L80" s="224">
        <f t="shared" si="79"/>
        <v>9.6488900185348794E-2</v>
      </c>
      <c r="M80" s="224">
        <f t="shared" si="79"/>
        <v>7.0241241797819501E-2</v>
      </c>
      <c r="N80" s="224">
        <f t="shared" si="79"/>
        <v>5.2676352489142431E-2</v>
      </c>
      <c r="O80" s="224">
        <f t="shared" si="79"/>
        <v>4.3784429230257445E-2</v>
      </c>
      <c r="P80" s="224">
        <f t="shared" si="79"/>
        <v>1.0686628932346355E-2</v>
      </c>
      <c r="Q80" s="224">
        <f t="shared" si="79"/>
        <v>3.4128761058313528E-2</v>
      </c>
      <c r="R80" s="224">
        <f t="shared" si="79"/>
        <v>1.8584115188294333E-2</v>
      </c>
      <c r="S80" s="224">
        <f t="shared" si="79"/>
        <v>4.5491677949590463E-2</v>
      </c>
      <c r="T80" s="224">
        <f t="shared" si="79"/>
        <v>4.3160265079589769E-2</v>
      </c>
      <c r="U80" s="224">
        <f t="shared" si="79"/>
        <v>1.0190475567064488E-2</v>
      </c>
    </row>
    <row r="81" spans="1:21" x14ac:dyDescent="0.25">
      <c r="A81" s="184" t="s">
        <v>653</v>
      </c>
      <c r="B81" s="64"/>
      <c r="C81" s="64"/>
      <c r="D81" s="64"/>
      <c r="E81" s="89">
        <f>E11</f>
        <v>588600936.53999996</v>
      </c>
      <c r="F81" s="89">
        <f t="shared" ref="F81:U81" si="80">F11</f>
        <v>340000000</v>
      </c>
      <c r="G81" s="89">
        <f t="shared" si="80"/>
        <v>336028147.80000001</v>
      </c>
      <c r="H81" s="89">
        <f t="shared" si="80"/>
        <v>189096536.31</v>
      </c>
      <c r="I81" s="89">
        <f t="shared" si="80"/>
        <v>52741778.57</v>
      </c>
      <c r="J81" s="89">
        <f t="shared" si="80"/>
        <v>5000000</v>
      </c>
      <c r="K81" s="89">
        <f t="shared" si="80"/>
        <v>0</v>
      </c>
      <c r="L81" s="89">
        <f t="shared" si="80"/>
        <v>0</v>
      </c>
      <c r="M81" s="89">
        <f t="shared" si="80"/>
        <v>0</v>
      </c>
      <c r="N81" s="89">
        <f t="shared" si="80"/>
        <v>142593574.69999999</v>
      </c>
      <c r="O81" s="89">
        <f t="shared" si="80"/>
        <v>142593574.69999999</v>
      </c>
      <c r="P81" s="89">
        <f t="shared" si="80"/>
        <v>290047517.80000001</v>
      </c>
      <c r="Q81" s="89">
        <f t="shared" si="80"/>
        <v>295733666.92000002</v>
      </c>
      <c r="R81" s="89">
        <f t="shared" si="80"/>
        <v>0</v>
      </c>
      <c r="S81" s="89">
        <f t="shared" si="80"/>
        <v>0</v>
      </c>
      <c r="T81" s="89">
        <f t="shared" si="80"/>
        <v>0</v>
      </c>
      <c r="U81" s="89">
        <f t="shared" si="80"/>
        <v>0</v>
      </c>
    </row>
    <row r="82" spans="1:21" x14ac:dyDescent="0.25">
      <c r="A82" s="184" t="s">
        <v>655</v>
      </c>
      <c r="B82" s="64"/>
      <c r="C82" s="64"/>
      <c r="D82" s="64"/>
      <c r="E82" s="89">
        <f>E13</f>
        <v>10721228902.099997</v>
      </c>
      <c r="F82" s="89">
        <f t="shared" ref="F82:U82" si="81">F13</f>
        <v>9761788575.9199982</v>
      </c>
      <c r="G82" s="89">
        <f t="shared" si="81"/>
        <v>9289191459.9799995</v>
      </c>
      <c r="H82" s="89">
        <f t="shared" si="81"/>
        <v>8844383815</v>
      </c>
      <c r="I82" s="89">
        <f t="shared" si="81"/>
        <v>8543258440.8400002</v>
      </c>
      <c r="J82" s="89">
        <f t="shared" si="81"/>
        <v>7835005958.9899979</v>
      </c>
      <c r="K82" s="89">
        <f t="shared" si="81"/>
        <v>7453765708.3699999</v>
      </c>
      <c r="L82" s="89">
        <f t="shared" si="81"/>
        <v>7076317993.8300018</v>
      </c>
      <c r="M82" s="89">
        <f t="shared" si="81"/>
        <v>6660669664.3899994</v>
      </c>
      <c r="N82" s="89">
        <f t="shared" si="81"/>
        <v>5939640872.7399988</v>
      </c>
      <c r="O82" s="89">
        <f t="shared" si="81"/>
        <v>5641976225.6599998</v>
      </c>
      <c r="P82" s="89">
        <f t="shared" si="81"/>
        <v>5391272753.2400007</v>
      </c>
      <c r="Q82" s="89">
        <f t="shared" si="81"/>
        <v>5283932561.750001</v>
      </c>
      <c r="R82" s="89">
        <f t="shared" si="81"/>
        <v>5332139256.4799995</v>
      </c>
      <c r="S82" s="89">
        <f t="shared" si="81"/>
        <v>5100214809.6599998</v>
      </c>
      <c r="T82" s="89">
        <f t="shared" si="81"/>
        <v>4399475345.6800003</v>
      </c>
      <c r="U82" s="89">
        <f t="shared" si="81"/>
        <v>4193967886.1299996</v>
      </c>
    </row>
    <row r="83" spans="1:21" x14ac:dyDescent="0.25">
      <c r="A83" s="184" t="s">
        <v>663</v>
      </c>
      <c r="B83" s="64"/>
      <c r="C83" s="64"/>
      <c r="D83" s="64"/>
      <c r="E83" s="89">
        <f>E81+E82</f>
        <v>11309829838.639996</v>
      </c>
      <c r="F83" s="89">
        <f t="shared" ref="F83:U83" si="82">F81+F82</f>
        <v>10101788575.919998</v>
      </c>
      <c r="G83" s="89">
        <f t="shared" si="82"/>
        <v>9625219607.7799988</v>
      </c>
      <c r="H83" s="89">
        <f t="shared" si="82"/>
        <v>9033480351.3099995</v>
      </c>
      <c r="I83" s="89">
        <f t="shared" si="82"/>
        <v>8596000219.4099998</v>
      </c>
      <c r="J83" s="89">
        <f t="shared" si="82"/>
        <v>7840005958.9899979</v>
      </c>
      <c r="K83" s="89">
        <f t="shared" si="82"/>
        <v>7453765708.3699999</v>
      </c>
      <c r="L83" s="89">
        <f t="shared" si="82"/>
        <v>7076317993.8300018</v>
      </c>
      <c r="M83" s="89">
        <f t="shared" si="82"/>
        <v>6660669664.3899994</v>
      </c>
      <c r="N83" s="89">
        <f t="shared" si="82"/>
        <v>6082234447.4399986</v>
      </c>
      <c r="O83" s="89">
        <f t="shared" si="82"/>
        <v>5784569800.3599997</v>
      </c>
      <c r="P83" s="89">
        <f t="shared" si="82"/>
        <v>5681320271.0400009</v>
      </c>
      <c r="Q83" s="89">
        <f t="shared" si="82"/>
        <v>5579666228.670001</v>
      </c>
      <c r="R83" s="89">
        <f t="shared" si="82"/>
        <v>5332139256.4799995</v>
      </c>
      <c r="S83" s="89">
        <f t="shared" si="82"/>
        <v>5100214809.6599998</v>
      </c>
      <c r="T83" s="89">
        <f t="shared" si="82"/>
        <v>4399475345.6800003</v>
      </c>
      <c r="U83" s="89">
        <f t="shared" si="82"/>
        <v>4193967886.1299996</v>
      </c>
    </row>
    <row r="84" spans="1:21" s="220" customFormat="1" x14ac:dyDescent="0.25">
      <c r="A84" s="224" t="s">
        <v>664</v>
      </c>
      <c r="B84" s="224"/>
      <c r="C84" s="224"/>
      <c r="D84" s="224"/>
      <c r="E84" s="224">
        <f>E83/E85</f>
        <v>0.86026599944783688</v>
      </c>
      <c r="F84" s="224">
        <f t="shared" ref="F84:U84" si="83">F83/F85</f>
        <v>0.80928122624078547</v>
      </c>
      <c r="G84" s="224">
        <f t="shared" si="83"/>
        <v>0.81658759140764947</v>
      </c>
      <c r="H84" s="224">
        <f t="shared" si="83"/>
        <v>0.83304060513449862</v>
      </c>
      <c r="I84" s="224">
        <f t="shared" si="83"/>
        <v>0.89388798383926915</v>
      </c>
      <c r="J84" s="224">
        <f t="shared" si="83"/>
        <v>0.8917385829490061</v>
      </c>
      <c r="K84" s="224">
        <f t="shared" si="83"/>
        <v>0.89405875457495976</v>
      </c>
      <c r="L84" s="224">
        <f t="shared" si="83"/>
        <v>0.90351109981465128</v>
      </c>
      <c r="M84" s="224">
        <f t="shared" si="83"/>
        <v>0.92975875820218057</v>
      </c>
      <c r="N84" s="224">
        <f t="shared" si="83"/>
        <v>0.94732364751085751</v>
      </c>
      <c r="O84" s="224">
        <f t="shared" si="83"/>
        <v>0.95621557076974251</v>
      </c>
      <c r="P84" s="224">
        <f t="shared" si="83"/>
        <v>0.9893133710676536</v>
      </c>
      <c r="Q84" s="224">
        <f t="shared" si="83"/>
        <v>0.96587123894168658</v>
      </c>
      <c r="R84" s="224">
        <f t="shared" si="83"/>
        <v>0.98141588481170572</v>
      </c>
      <c r="S84" s="224">
        <f t="shared" si="83"/>
        <v>0.95450832205040959</v>
      </c>
      <c r="T84" s="224">
        <f t="shared" si="83"/>
        <v>0.9568397349204103</v>
      </c>
      <c r="U84" s="224">
        <f t="shared" si="83"/>
        <v>0.98980952443293557</v>
      </c>
    </row>
    <row r="85" spans="1:21" x14ac:dyDescent="0.25">
      <c r="A85" s="184" t="s">
        <v>656</v>
      </c>
      <c r="B85" s="64"/>
      <c r="C85" s="64"/>
      <c r="D85" s="64"/>
      <c r="E85" s="89">
        <f>E14</f>
        <v>13146898570.789997</v>
      </c>
      <c r="F85" s="89">
        <f t="shared" ref="F85:U85" si="84">F14</f>
        <v>12482420508.929998</v>
      </c>
      <c r="G85" s="89">
        <f t="shared" si="84"/>
        <v>11787124503.309999</v>
      </c>
      <c r="H85" s="89">
        <f t="shared" si="84"/>
        <v>10843985630.030001</v>
      </c>
      <c r="I85" s="89">
        <f t="shared" si="84"/>
        <v>9616417688.5900002</v>
      </c>
      <c r="J85" s="89">
        <f t="shared" si="84"/>
        <v>8791820953.9199982</v>
      </c>
      <c r="K85" s="89">
        <f t="shared" si="84"/>
        <v>8336997619.2600002</v>
      </c>
      <c r="L85" s="89">
        <f t="shared" si="84"/>
        <v>7832021095.5700016</v>
      </c>
      <c r="M85" s="89">
        <f t="shared" si="84"/>
        <v>7163868697.7999992</v>
      </c>
      <c r="N85" s="89">
        <f t="shared" si="84"/>
        <v>6420439797.3399992</v>
      </c>
      <c r="O85" s="89">
        <f t="shared" si="84"/>
        <v>6049441127.2799997</v>
      </c>
      <c r="P85" s="89">
        <f t="shared" si="84"/>
        <v>5742690271.0400009</v>
      </c>
      <c r="Q85" s="89">
        <f t="shared" si="84"/>
        <v>5776822006.6100006</v>
      </c>
      <c r="R85" s="89">
        <f t="shared" si="84"/>
        <v>5433108775.7999992</v>
      </c>
      <c r="S85" s="89">
        <f t="shared" si="84"/>
        <v>5343290039.3199997</v>
      </c>
      <c r="T85" s="89">
        <f t="shared" si="84"/>
        <v>4597922917.6199999</v>
      </c>
      <c r="U85" s="89">
        <f t="shared" si="84"/>
        <v>4237146423.2299995</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3" width="19.33203125" hidden="1" customWidth="1"/>
    <col min="24" max="24" width="17.21875" hidden="1" customWidth="1"/>
    <col min="25" max="25" width="19.33203125" bestFit="1" customWidth="1"/>
    <col min="26" max="27" width="19.33203125" hidden="1" customWidth="1"/>
    <col min="28" max="28" width="17.21875" hidden="1" customWidth="1"/>
    <col min="29" max="29" width="19.33203125" bestFit="1" customWidth="1"/>
    <col min="30" max="30" width="19.33203125" hidden="1" customWidth="1"/>
    <col min="31" max="32" width="17.21875" hidden="1" customWidth="1"/>
    <col min="33" max="33" width="19.3320312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7" width="17.21875" hidden="1" customWidth="1"/>
    <col min="48" max="48" width="16.109375" hidden="1" customWidth="1"/>
    <col min="49" max="50" width="17.21875" bestFit="1" customWidth="1"/>
    <col min="51" max="51" width="9.5546875" hidden="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18844458053.779999</v>
      </c>
      <c r="F2" s="26">
        <f>股权价值增加表!F4</f>
        <v>11723294881.290001</v>
      </c>
      <c r="G2" s="26">
        <f>股权价值增加表!G4</f>
        <v>7464664934.3800001</v>
      </c>
      <c r="H2" s="26">
        <f>股权价值增加表!H4</f>
        <v>2648612419.3600001</v>
      </c>
      <c r="I2" s="26">
        <f>股权价值增加表!I4</f>
        <v>13329094010.82</v>
      </c>
      <c r="J2" s="26">
        <f>股权价值增加表!J4</f>
        <v>7968634527.2799997</v>
      </c>
      <c r="K2" s="26">
        <f>股权价值增加表!K4</f>
        <v>4949746889.5100002</v>
      </c>
      <c r="L2" s="26">
        <f>股权价值增加表!L4</f>
        <v>1782728113.9400001</v>
      </c>
      <c r="M2" s="26">
        <f>股权价值增加表!M4</f>
        <v>10077833438.49</v>
      </c>
      <c r="N2" s="26">
        <f>股权价值增加表!N4</f>
        <v>5830194178.29</v>
      </c>
      <c r="O2" s="26">
        <f>股权价值增加表!O4</f>
        <v>3468887211.1300001</v>
      </c>
      <c r="P2" s="26">
        <f>股权价值增加表!P4</f>
        <v>1202598595.55</v>
      </c>
      <c r="Q2" s="26">
        <f>股权价值增加表!Q4</f>
        <v>7331881449.46</v>
      </c>
      <c r="R2" s="26">
        <f>股权价值增加表!R4</f>
        <v>4647473079.6899996</v>
      </c>
      <c r="S2" s="26">
        <f>股权价值增加表!S4</f>
        <v>3042521916.96</v>
      </c>
      <c r="T2" s="26">
        <f>股权价值增加表!T4</f>
        <v>1144820982.71</v>
      </c>
      <c r="U2" s="26">
        <f>股权价值增加表!U4</f>
        <v>5410094042.8000002</v>
      </c>
      <c r="V2" s="26">
        <f>股权价值增加表!V4</f>
        <v>3259172104.4099998</v>
      </c>
      <c r="W2" s="26">
        <f>股权价值增加表!W4</f>
        <v>2031589599.46</v>
      </c>
      <c r="X2" s="26">
        <f>股权价值增加表!X4</f>
        <v>788467237.58000004</v>
      </c>
      <c r="Y2" s="26">
        <f>股权价值增加表!Y4</f>
        <v>3531214471.6199999</v>
      </c>
      <c r="Z2" s="26">
        <f>股权价值增加表!Z4</f>
        <v>2192882979.0100002</v>
      </c>
      <c r="AA2" s="26">
        <f>股权价值增加表!AA4</f>
        <v>1296870812.8800001</v>
      </c>
      <c r="AB2" s="26">
        <f>股权价值增加表!AB4</f>
        <v>498029565.17000002</v>
      </c>
      <c r="AC2" s="26">
        <f>股权价值增加表!AC4</f>
        <v>2205208207.0799999</v>
      </c>
      <c r="AD2" s="26">
        <f>股权价值增加表!AD4</f>
        <v>1460699765.0599999</v>
      </c>
      <c r="AE2" s="26">
        <f>股权价值增加表!AE4</f>
        <v>894260544.45000005</v>
      </c>
      <c r="AF2" s="26">
        <f>股权价值增加表!AF4</f>
        <v>328634906.66000003</v>
      </c>
      <c r="AG2" s="26">
        <f>股权价值增加表!AG4</f>
        <v>1516275445.1600001</v>
      </c>
      <c r="AH2" s="26">
        <f>股权价值增加表!AH4</f>
        <v>957975121.67999995</v>
      </c>
      <c r="AI2" s="26">
        <f>股权价值增加表!AI4</f>
        <v>570649139.51999998</v>
      </c>
      <c r="AJ2" s="26">
        <f>股权价值增加表!AJ4</f>
        <v>212729003.41999999</v>
      </c>
      <c r="AK2" s="26">
        <f>股权价值增加表!AK4</f>
        <v>835942072.07000005</v>
      </c>
      <c r="AL2" s="26">
        <f>股权价值增加表!AL4</f>
        <v>518260863.69</v>
      </c>
      <c r="AM2" s="26">
        <f>股权价值增加表!AM4</f>
        <v>299015862</v>
      </c>
      <c r="AN2" s="26">
        <f>股权价值增加表!AN4</f>
        <v>129896906.78</v>
      </c>
      <c r="AO2" s="26">
        <f>股权价值增加表!AO4</f>
        <v>632018390.76999998</v>
      </c>
      <c r="AP2" s="26">
        <f>股权价值增加表!AP4</f>
        <v>444354759.20999998</v>
      </c>
      <c r="AQ2" s="26">
        <f>股权价值增加表!AQ4</f>
        <v>264817613.74000001</v>
      </c>
      <c r="AR2" s="26">
        <f>股权价值增加表!AR4</f>
        <v>79182563.640000001</v>
      </c>
      <c r="AS2" s="26">
        <f>股权价值增加表!AS4</f>
        <v>405185173.70999998</v>
      </c>
      <c r="AT2" s="26">
        <f>股权价值增加表!AT4</f>
        <v>257689679.09</v>
      </c>
      <c r="AU2" s="26">
        <f>股权价值增加表!AU4</f>
        <v>139893683.97999999</v>
      </c>
      <c r="AV2" s="26">
        <f>股权价值增加表!AV4</f>
        <v>50910017.090000004</v>
      </c>
      <c r="AW2" s="26">
        <f>股权价值增加表!AW4</f>
        <v>445538267</v>
      </c>
      <c r="AX2" s="26">
        <f>股权价值增加表!AX4</f>
        <v>293144590.5</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0.4137838654662393</v>
      </c>
      <c r="F3" s="66">
        <f t="shared" ref="F3:BQ3" si="0">(F2-J2)/J2</f>
        <v>0.47117989175638736</v>
      </c>
      <c r="G3" s="66">
        <f t="shared" si="0"/>
        <v>0.50809023188637514</v>
      </c>
      <c r="H3" s="66">
        <f t="shared" si="0"/>
        <v>0.48570743830718682</v>
      </c>
      <c r="I3" s="66">
        <f t="shared" si="0"/>
        <v>0.32261503349644055</v>
      </c>
      <c r="J3" s="66">
        <f t="shared" si="0"/>
        <v>0.36678715727049865</v>
      </c>
      <c r="K3" s="66">
        <f t="shared" si="0"/>
        <v>0.42689761535878989</v>
      </c>
      <c r="L3" s="66">
        <f t="shared" si="0"/>
        <v>0.48239663719603959</v>
      </c>
      <c r="M3" s="66">
        <f t="shared" si="0"/>
        <v>0.37452214795865824</v>
      </c>
      <c r="N3" s="66">
        <f t="shared" si="0"/>
        <v>0.25448691758293979</v>
      </c>
      <c r="O3" s="66">
        <f t="shared" si="0"/>
        <v>0.14013548819264118</v>
      </c>
      <c r="P3" s="66">
        <f t="shared" si="0"/>
        <v>5.0468687867014604E-2</v>
      </c>
      <c r="Q3" s="66">
        <f t="shared" si="0"/>
        <v>0.35522255093099575</v>
      </c>
      <c r="R3" s="66">
        <f t="shared" si="0"/>
        <v>0.42596737171427174</v>
      </c>
      <c r="S3" s="66">
        <f t="shared" si="0"/>
        <v>0.49760656274707626</v>
      </c>
      <c r="T3" s="66">
        <f t="shared" si="0"/>
        <v>0.4519575806646543</v>
      </c>
      <c r="U3" s="66">
        <f t="shared" si="0"/>
        <v>0.5320774442561782</v>
      </c>
      <c r="V3" s="66">
        <f t="shared" si="0"/>
        <v>0.48624989824189657</v>
      </c>
      <c r="W3" s="66">
        <f t="shared" si="0"/>
        <v>0.56653197780616849</v>
      </c>
      <c r="X3" s="66">
        <f t="shared" si="0"/>
        <v>0.58317355579253716</v>
      </c>
      <c r="Y3" s="66">
        <f t="shared" si="0"/>
        <v>0.60130660691482518</v>
      </c>
      <c r="Z3" s="66">
        <f t="shared" si="0"/>
        <v>0.50125510489140457</v>
      </c>
      <c r="AA3" s="66">
        <f t="shared" si="0"/>
        <v>0.45021584696842326</v>
      </c>
      <c r="AB3" s="66">
        <f t="shared" si="0"/>
        <v>0.51544937886118336</v>
      </c>
      <c r="AC3" s="66">
        <f t="shared" si="0"/>
        <v>0.45435858248519118</v>
      </c>
      <c r="AD3" s="66">
        <f t="shared" si="0"/>
        <v>0.52477839142458349</v>
      </c>
      <c r="AE3" s="66">
        <f t="shared" si="0"/>
        <v>0.56709347744255767</v>
      </c>
      <c r="AF3" s="66">
        <f t="shared" si="0"/>
        <v>0.54485237732798497</v>
      </c>
      <c r="AG3" s="66">
        <f t="shared" si="0"/>
        <v>0.8138522941013433</v>
      </c>
      <c r="AH3" s="66">
        <f t="shared" si="0"/>
        <v>0.84844195037080194</v>
      </c>
      <c r="AI3" s="66">
        <f t="shared" si="0"/>
        <v>0.9084243080054395</v>
      </c>
      <c r="AJ3" s="66">
        <f t="shared" si="0"/>
        <v>0.63767566675231635</v>
      </c>
      <c r="AK3" s="66">
        <f t="shared" si="0"/>
        <v>0.32265466365868878</v>
      </c>
      <c r="AL3" s="66">
        <f t="shared" si="0"/>
        <v>0.16632229755206096</v>
      </c>
      <c r="AM3" s="66">
        <f t="shared" si="0"/>
        <v>0.12913887326836235</v>
      </c>
      <c r="AN3" s="66">
        <f t="shared" si="0"/>
        <v>0.64047361955304327</v>
      </c>
      <c r="AO3" s="66">
        <f t="shared" si="0"/>
        <v>0.55982605430264232</v>
      </c>
      <c r="AP3" s="66">
        <f t="shared" si="0"/>
        <v>0.72437934176946928</v>
      </c>
      <c r="AQ3" s="66">
        <f t="shared" si="0"/>
        <v>0.89299192219328405</v>
      </c>
      <c r="AR3" s="66">
        <f t="shared" si="0"/>
        <v>0.55534348967157254</v>
      </c>
      <c r="AS3" s="66">
        <f t="shared" si="0"/>
        <v>-9.057155418257265E-2</v>
      </c>
      <c r="AT3" s="66">
        <f t="shared" si="0"/>
        <v>-0.12094683838281503</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11639494423.209999</v>
      </c>
      <c r="F4" s="26">
        <f>股权价值增加表!F5</f>
        <v>7135008488.79</v>
      </c>
      <c r="G4" s="26">
        <f>股权价值增加表!G5</f>
        <v>4520040801.1400003</v>
      </c>
      <c r="H4" s="26">
        <f>股权价值增加表!H5</f>
        <v>1595885119.46</v>
      </c>
      <c r="I4" s="26">
        <f>股权价值增加表!I5</f>
        <v>8303330527.9899998</v>
      </c>
      <c r="J4" s="26">
        <f>股权价值增加表!J5</f>
        <v>4896834064.1800003</v>
      </c>
      <c r="K4" s="26">
        <f>股权价值增加表!K5</f>
        <v>3046785118.8600001</v>
      </c>
      <c r="L4" s="26">
        <f>股权价值增加表!L5</f>
        <v>1092805341.8900001</v>
      </c>
      <c r="M4" s="26">
        <f>股权价值增加表!M5</f>
        <v>6326729830.1899996</v>
      </c>
      <c r="N4" s="26">
        <f>股权价值增加表!N5</f>
        <v>3604511249.5</v>
      </c>
      <c r="O4" s="26">
        <f>股权价值增加表!O5</f>
        <v>2145251631.1700001</v>
      </c>
      <c r="P4" s="26">
        <f>股权价值增加表!P5</f>
        <v>747062083.16999996</v>
      </c>
      <c r="Q4" s="26">
        <f>股权价值增加表!Q5</f>
        <v>4535434866.8100004</v>
      </c>
      <c r="R4" s="26">
        <f>股权价值增加表!R5</f>
        <v>2893366049.1599998</v>
      </c>
      <c r="S4" s="26">
        <f>股权价值增加表!S5</f>
        <v>1889810162.6700001</v>
      </c>
      <c r="T4" s="26">
        <f>股权价值增加表!T5</f>
        <v>666508253.00999999</v>
      </c>
      <c r="U4" s="26">
        <f>股权价值增加表!U5</f>
        <v>3093424246.1199999</v>
      </c>
      <c r="V4" s="26">
        <f>股权价值增加表!V5</f>
        <v>1845258095.8399999</v>
      </c>
      <c r="W4" s="26">
        <f>股权价值增加表!W5</f>
        <v>1138758255.5</v>
      </c>
      <c r="X4" s="26">
        <f>股权价值增加表!X5</f>
        <v>455317949.39999998</v>
      </c>
      <c r="Y4" s="26">
        <f>股权价值增加表!Y5</f>
        <v>2024408961.3800001</v>
      </c>
      <c r="Z4" s="26">
        <f>股权价值增加表!Z5</f>
        <v>1266358555.21</v>
      </c>
      <c r="AA4" s="26">
        <f>股权价值增加表!AA5</f>
        <v>756705697.53999996</v>
      </c>
      <c r="AB4" s="26">
        <f>股权价值增加表!AB5</f>
        <v>298068983.63</v>
      </c>
      <c r="AC4" s="26">
        <f>股权价值增加表!AC5</f>
        <v>1273054979.3800001</v>
      </c>
      <c r="AD4" s="26">
        <f>股权价值增加表!AD5</f>
        <v>866086435.67999995</v>
      </c>
      <c r="AE4" s="26">
        <f>股权价值增加表!AE5</f>
        <v>526147755.11000001</v>
      </c>
      <c r="AF4" s="26">
        <f>股权价值增加表!AF5</f>
        <v>189841253.94</v>
      </c>
      <c r="AG4" s="26">
        <f>股权价值增加表!AG5</f>
        <v>860147255.85000002</v>
      </c>
      <c r="AH4" s="26">
        <f>股权价值增加表!AH5</f>
        <v>556344037.27999997</v>
      </c>
      <c r="AI4" s="26">
        <f>股权价值增加表!AI5</f>
        <v>329947315.69</v>
      </c>
      <c r="AJ4" s="26">
        <f>股权价值增加表!AJ5</f>
        <v>123225849.36</v>
      </c>
      <c r="AK4" s="26">
        <f>股权价值增加表!AK5</f>
        <v>511547595.32999998</v>
      </c>
      <c r="AL4" s="26">
        <f>股权价值增加表!AL5</f>
        <v>320126727.70999998</v>
      </c>
      <c r="AM4" s="26">
        <f>股权价值增加表!AM5</f>
        <v>181632798.91999999</v>
      </c>
      <c r="AN4" s="26">
        <f>股权价值增加表!AN5</f>
        <v>77656127.25</v>
      </c>
      <c r="AO4" s="26">
        <f>股权价值增加表!AO5</f>
        <v>386541826.72000003</v>
      </c>
      <c r="AP4" s="26">
        <f>股权价值增加表!AP5</f>
        <v>270913102.88999999</v>
      </c>
      <c r="AQ4" s="26">
        <f>股权价值增加表!AQ5</f>
        <v>165611545.53999999</v>
      </c>
      <c r="AR4" s="26">
        <f>股权价值增加表!AR5</f>
        <v>49485426.049999997</v>
      </c>
      <c r="AS4" s="26">
        <f>股权价值增加表!AS5</f>
        <v>238461729.68000001</v>
      </c>
      <c r="AT4" s="26">
        <f>股权价值增加表!AT5</f>
        <v>152195742.72</v>
      </c>
      <c r="AU4" s="26">
        <f>股权价值增加表!AU5</f>
        <v>83639847.640000001</v>
      </c>
      <c r="AV4" s="26">
        <f>股权价值增加表!AV5</f>
        <v>30839528.030000001</v>
      </c>
      <c r="AW4" s="26">
        <f>股权价值增加表!AW5</f>
        <v>294800132.11000001</v>
      </c>
      <c r="AX4" s="26">
        <f>股权价值增加表!AX5</f>
        <v>193968349.19</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0.61766140421720639</v>
      </c>
      <c r="F5" s="66">
        <f t="shared" si="2"/>
        <v>0.6086180174634388</v>
      </c>
      <c r="G5" s="66">
        <f t="shared" si="2"/>
        <v>0.60552494195982631</v>
      </c>
      <c r="H5" s="66">
        <f t="shared" si="2"/>
        <v>0.60253629704176315</v>
      </c>
      <c r="I5" s="66">
        <f t="shared" si="2"/>
        <v>0.62294785536434094</v>
      </c>
      <c r="J5" s="66">
        <f t="shared" si="2"/>
        <v>0.6145135716057839</v>
      </c>
      <c r="K5" s="66">
        <f t="shared" si="2"/>
        <v>0.61554362008228192</v>
      </c>
      <c r="L5" s="66">
        <f t="shared" si="2"/>
        <v>0.61299607794639843</v>
      </c>
      <c r="M5" s="66">
        <f t="shared" si="2"/>
        <v>0.62778670324382313</v>
      </c>
      <c r="N5" s="66">
        <f t="shared" si="2"/>
        <v>0.61824891920790292</v>
      </c>
      <c r="O5" s="66">
        <f t="shared" si="2"/>
        <v>0.6184264579969373</v>
      </c>
      <c r="P5" s="66">
        <f t="shared" si="2"/>
        <v>0.62120651556917572</v>
      </c>
      <c r="Q5" s="66">
        <f t="shared" si="2"/>
        <v>0.61859086212366943</v>
      </c>
      <c r="R5" s="66">
        <f t="shared" si="2"/>
        <v>0.62256757587351019</v>
      </c>
      <c r="S5" s="66">
        <f t="shared" si="2"/>
        <v>0.62113280175093821</v>
      </c>
      <c r="T5" s="66">
        <f t="shared" si="2"/>
        <v>0.58219430205782341</v>
      </c>
      <c r="U5" s="66">
        <f t="shared" si="2"/>
        <v>0.57178751822934948</v>
      </c>
      <c r="V5" s="66">
        <f t="shared" si="2"/>
        <v>0.56617387383230644</v>
      </c>
      <c r="W5" s="66">
        <f t="shared" si="2"/>
        <v>0.56052573600627009</v>
      </c>
      <c r="X5" s="66">
        <f t="shared" si="2"/>
        <v>0.57747224957308663</v>
      </c>
      <c r="Y5" s="66">
        <f t="shared" si="2"/>
        <v>0.57328972160993408</v>
      </c>
      <c r="Z5" s="66">
        <f t="shared" si="2"/>
        <v>0.5774856968344525</v>
      </c>
      <c r="AA5" s="66">
        <f t="shared" si="2"/>
        <v>0.58348579521159927</v>
      </c>
      <c r="AB5" s="66">
        <f t="shared" si="2"/>
        <v>0.59849656421151542</v>
      </c>
      <c r="AC5" s="66">
        <f t="shared" si="2"/>
        <v>0.57729468595879241</v>
      </c>
      <c r="AD5" s="66">
        <f t="shared" si="2"/>
        <v>0.59292570341751538</v>
      </c>
      <c r="AE5" s="66">
        <f t="shared" si="2"/>
        <v>0.58836069462686447</v>
      </c>
      <c r="AF5" s="66">
        <f t="shared" si="2"/>
        <v>0.57766612764725711</v>
      </c>
      <c r="AG5" s="66">
        <f t="shared" si="2"/>
        <v>0.56727638675124481</v>
      </c>
      <c r="AH5" s="66">
        <f t="shared" si="2"/>
        <v>0.58074998472229633</v>
      </c>
      <c r="AI5" s="66">
        <f t="shared" si="2"/>
        <v>0.57819646581353701</v>
      </c>
      <c r="AJ5" s="66">
        <f t="shared" si="2"/>
        <v>0.57926210050779925</v>
      </c>
      <c r="AK5" s="66">
        <f t="shared" ref="AK5:BP5" si="3">AK4/AK2</f>
        <v>0.61194143998911454</v>
      </c>
      <c r="AL5" s="66">
        <f t="shared" si="3"/>
        <v>0.6176941963757564</v>
      </c>
      <c r="AM5" s="66">
        <f t="shared" si="3"/>
        <v>0.60743533037053399</v>
      </c>
      <c r="AN5" s="66">
        <f t="shared" si="3"/>
        <v>0.59782891813984729</v>
      </c>
      <c r="AO5" s="66">
        <f t="shared" si="3"/>
        <v>0.61159901731509547</v>
      </c>
      <c r="AP5" s="66">
        <f t="shared" si="3"/>
        <v>0.60967750941082577</v>
      </c>
      <c r="AQ5" s="66">
        <f t="shared" si="3"/>
        <v>0.62537964601780116</v>
      </c>
      <c r="AR5" s="66">
        <f t="shared" si="3"/>
        <v>0.62495357279644648</v>
      </c>
      <c r="AS5" s="66">
        <f t="shared" si="3"/>
        <v>0.58852530929641655</v>
      </c>
      <c r="AT5" s="66">
        <f t="shared" si="3"/>
        <v>0.59061636949318608</v>
      </c>
      <c r="AU5" s="66">
        <f t="shared" si="3"/>
        <v>0.59788151445034243</v>
      </c>
      <c r="AV5" s="66">
        <f t="shared" si="3"/>
        <v>0.6057654228534457</v>
      </c>
      <c r="AW5" s="66">
        <f t="shared" si="3"/>
        <v>0.66167185614608504</v>
      </c>
      <c r="AX5" s="66">
        <f t="shared" si="3"/>
        <v>0.66168148918988834</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0.40178623312344397</v>
      </c>
      <c r="F6" s="66">
        <f t="shared" ref="F6:BQ6" si="5">(F4-J4)/J4</f>
        <v>0.45706560509821836</v>
      </c>
      <c r="G6" s="66">
        <f t="shared" si="5"/>
        <v>0.48354433437407646</v>
      </c>
      <c r="H6" s="66">
        <f t="shared" si="5"/>
        <v>0.46035625768439836</v>
      </c>
      <c r="I6" s="66">
        <f t="shared" si="5"/>
        <v>0.31242059497594199</v>
      </c>
      <c r="J6" s="66">
        <f t="shared" si="5"/>
        <v>0.35852927768203385</v>
      </c>
      <c r="K6" s="66">
        <f t="shared" si="5"/>
        <v>0.42024603295526325</v>
      </c>
      <c r="L6" s="66">
        <f t="shared" si="5"/>
        <v>0.46280391751768707</v>
      </c>
      <c r="M6" s="66">
        <f t="shared" si="5"/>
        <v>0.39495550393382828</v>
      </c>
      <c r="N6" s="66">
        <f t="shared" si="5"/>
        <v>0.24578473247325874</v>
      </c>
      <c r="O6" s="66">
        <f t="shared" si="5"/>
        <v>0.13516779280046942</v>
      </c>
      <c r="P6" s="66">
        <f t="shared" si="5"/>
        <v>0.12085946392443452</v>
      </c>
      <c r="Q6" s="66">
        <f t="shared" si="5"/>
        <v>0.46615352630622076</v>
      </c>
      <c r="R6" s="66">
        <f t="shared" si="5"/>
        <v>0.56800073425115061</v>
      </c>
      <c r="S6" s="66">
        <f t="shared" si="5"/>
        <v>0.6595358615777781</v>
      </c>
      <c r="T6" s="66">
        <f t="shared" si="5"/>
        <v>0.46383039343891069</v>
      </c>
      <c r="U6" s="66">
        <f t="shared" si="5"/>
        <v>0.52806290879648787</v>
      </c>
      <c r="V6" s="66">
        <f t="shared" si="5"/>
        <v>0.45713714986037352</v>
      </c>
      <c r="W6" s="66">
        <f t="shared" si="5"/>
        <v>0.5048892313114961</v>
      </c>
      <c r="X6" s="66">
        <f t="shared" si="5"/>
        <v>0.52755896925255663</v>
      </c>
      <c r="Y6" s="66">
        <f t="shared" si="5"/>
        <v>0.59019759096808411</v>
      </c>
      <c r="Z6" s="66">
        <f t="shared" si="5"/>
        <v>0.46216186172657242</v>
      </c>
      <c r="AA6" s="66">
        <f t="shared" si="5"/>
        <v>0.43819999266517434</v>
      </c>
      <c r="AB6" s="66">
        <f t="shared" si="5"/>
        <v>0.57009594829270227</v>
      </c>
      <c r="AC6" s="66">
        <f t="shared" si="5"/>
        <v>0.48004306323335705</v>
      </c>
      <c r="AD6" s="66">
        <f t="shared" si="5"/>
        <v>0.55674614563022817</v>
      </c>
      <c r="AE6" s="66">
        <f t="shared" si="5"/>
        <v>0.59464172032949325</v>
      </c>
      <c r="AF6" s="66">
        <f t="shared" si="5"/>
        <v>0.54059602693737929</v>
      </c>
      <c r="AG6" s="66">
        <f t="shared" si="5"/>
        <v>0.68146085271912571</v>
      </c>
      <c r="AH6" s="66">
        <f t="shared" si="5"/>
        <v>0.73788687142670328</v>
      </c>
      <c r="AI6" s="66">
        <f t="shared" si="5"/>
        <v>0.81656241412282049</v>
      </c>
      <c r="AJ6" s="66">
        <f t="shared" si="5"/>
        <v>0.58681425051363223</v>
      </c>
      <c r="AK6" s="66">
        <f t="shared" si="5"/>
        <v>0.32339519288439283</v>
      </c>
      <c r="AL6" s="66">
        <f t="shared" si="5"/>
        <v>0.18165834097726316</v>
      </c>
      <c r="AM6" s="66">
        <f t="shared" si="5"/>
        <v>9.6739954498706121E-2</v>
      </c>
      <c r="AN6" s="66">
        <f t="shared" si="5"/>
        <v>0.56927268185053859</v>
      </c>
      <c r="AO6" s="66">
        <f t="shared" si="5"/>
        <v>0.62098055414893527</v>
      </c>
      <c r="AP6" s="66">
        <f t="shared" si="5"/>
        <v>0.7800307554489786</v>
      </c>
      <c r="AQ6" s="66">
        <f t="shared" si="5"/>
        <v>0.9800555621863396</v>
      </c>
      <c r="AR6" s="66">
        <f t="shared" si="5"/>
        <v>0.60461035596464652</v>
      </c>
      <c r="AS6" s="66">
        <f t="shared" si="5"/>
        <v>-0.19110711391736493</v>
      </c>
      <c r="AT6" s="66">
        <f t="shared" si="5"/>
        <v>-0.21535784907403635</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7204963630.5699997</v>
      </c>
      <c r="F7" s="27">
        <f>股权价值增加表!F6</f>
        <v>4588286392.500001</v>
      </c>
      <c r="G7" s="27">
        <f>股权价值增加表!G6</f>
        <v>2944624133.2399998</v>
      </c>
      <c r="H7" s="27">
        <f>股权价值增加表!H6</f>
        <v>1052727299.9000001</v>
      </c>
      <c r="I7" s="27">
        <f>股权价值增加表!I6</f>
        <v>5025763482.8299999</v>
      </c>
      <c r="J7" s="27">
        <f>股权价值增加表!J6</f>
        <v>3071800463.0999994</v>
      </c>
      <c r="K7" s="27">
        <f>股权价值增加表!K6</f>
        <v>1902961770.6500001</v>
      </c>
      <c r="L7" s="27">
        <f>股权价值增加表!L6</f>
        <v>689922772.04999995</v>
      </c>
      <c r="M7" s="27">
        <f>股权价值增加表!M6</f>
        <v>3751103608.3000002</v>
      </c>
      <c r="N7" s="27">
        <f>股权价值增加表!N6</f>
        <v>2225682928.79</v>
      </c>
      <c r="O7" s="27">
        <f>股权价值增加表!O6</f>
        <v>1323635579.96</v>
      </c>
      <c r="P7" s="27">
        <f>股权价值增加表!P6</f>
        <v>455536512.38</v>
      </c>
      <c r="Q7" s="27">
        <f>股权价值增加表!Q6</f>
        <v>2796446582.6499996</v>
      </c>
      <c r="R7" s="27">
        <f>股权价值增加表!R6</f>
        <v>1754107030.5299997</v>
      </c>
      <c r="S7" s="27">
        <f>股权价值增加表!S6</f>
        <v>1152711754.29</v>
      </c>
      <c r="T7" s="27">
        <f>股权价值增加表!T6</f>
        <v>478312729.70000005</v>
      </c>
      <c r="U7" s="27">
        <f>股权价值增加表!U6</f>
        <v>2316669796.6800003</v>
      </c>
      <c r="V7" s="27">
        <f>股权价值增加表!V6</f>
        <v>1413914008.5699999</v>
      </c>
      <c r="W7" s="27">
        <f>股权价值增加表!W6</f>
        <v>892831343.96000004</v>
      </c>
      <c r="X7" s="27">
        <f>股权价值增加表!X6</f>
        <v>333149288.18000007</v>
      </c>
      <c r="Y7" s="27">
        <f>股权价值增加表!Y6</f>
        <v>1506805510.2399998</v>
      </c>
      <c r="Z7" s="27">
        <f>股权价值增加表!Z6</f>
        <v>926524423.80000019</v>
      </c>
      <c r="AA7" s="27">
        <f>股权价值增加表!AA6</f>
        <v>540165115.34000015</v>
      </c>
      <c r="AB7" s="27">
        <f>股权价值增加表!AB6</f>
        <v>199960581.54000002</v>
      </c>
      <c r="AC7" s="27">
        <f>股权价值增加表!AC6</f>
        <v>932153227.69999981</v>
      </c>
      <c r="AD7" s="27">
        <f>股权价值增加表!AD6</f>
        <v>594613329.38</v>
      </c>
      <c r="AE7" s="27">
        <f>股权价值增加表!AE6</f>
        <v>368112789.34000003</v>
      </c>
      <c r="AF7" s="27">
        <f>股权价值增加表!AF6</f>
        <v>138793652.72000003</v>
      </c>
      <c r="AG7" s="27">
        <f>股权价值增加表!AG6</f>
        <v>656128189.31000006</v>
      </c>
      <c r="AH7" s="27">
        <f>股权价值增加表!AH6</f>
        <v>401631084.39999998</v>
      </c>
      <c r="AI7" s="27">
        <f>股权价值增加表!AI6</f>
        <v>240701823.82999998</v>
      </c>
      <c r="AJ7" s="27">
        <f>股权价值增加表!AJ6</f>
        <v>89503154.059999987</v>
      </c>
      <c r="AK7" s="27">
        <f>股权价值增加表!AK6</f>
        <v>324394476.74000007</v>
      </c>
      <c r="AL7" s="27">
        <f>股权价值增加表!AL6</f>
        <v>198134135.98000002</v>
      </c>
      <c r="AM7" s="27">
        <f>股权价值增加表!AM6</f>
        <v>117383063.08000001</v>
      </c>
      <c r="AN7" s="27">
        <f>股权价值增加表!AN6</f>
        <v>52240779.530000001</v>
      </c>
      <c r="AO7" s="27">
        <f>股权价值增加表!AO6</f>
        <v>245476564.04999995</v>
      </c>
      <c r="AP7" s="27">
        <f>股权价值增加表!AP6</f>
        <v>173441656.31999999</v>
      </c>
      <c r="AQ7" s="27">
        <f>股权价值增加表!AQ6</f>
        <v>99206068.200000018</v>
      </c>
      <c r="AR7" s="27">
        <f>股权价值增加表!AR6</f>
        <v>29697137.590000004</v>
      </c>
      <c r="AS7" s="27">
        <f>股权价值增加表!AS6</f>
        <v>166723444.02999997</v>
      </c>
      <c r="AT7" s="27">
        <f>股权价值增加表!AT6</f>
        <v>105493936.37</v>
      </c>
      <c r="AU7" s="27">
        <f>股权价值增加表!AU6</f>
        <v>56253836.339999989</v>
      </c>
      <c r="AV7" s="27">
        <f>股权价值增加表!AV6</f>
        <v>20070489.060000002</v>
      </c>
      <c r="AW7" s="27">
        <f>股权价值增加表!AW6</f>
        <v>150738134.88999999</v>
      </c>
      <c r="AX7" s="27">
        <f>股权价值增加表!AX6</f>
        <v>99176241.310000002</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0.38233859578279356</v>
      </c>
      <c r="F8" s="66">
        <f t="shared" ref="F8:BQ8" si="7">F7/F2</f>
        <v>0.39138198253656126</v>
      </c>
      <c r="G8" s="66">
        <f t="shared" si="7"/>
        <v>0.39447505804017369</v>
      </c>
      <c r="H8" s="66">
        <f t="shared" si="7"/>
        <v>0.39746370295823685</v>
      </c>
      <c r="I8" s="66">
        <f t="shared" si="7"/>
        <v>0.37705214463565911</v>
      </c>
      <c r="J8" s="66">
        <f t="shared" si="7"/>
        <v>0.38548642839421604</v>
      </c>
      <c r="K8" s="66">
        <f t="shared" si="7"/>
        <v>0.38445637991771808</v>
      </c>
      <c r="L8" s="66">
        <f t="shared" si="7"/>
        <v>0.38700392205360157</v>
      </c>
      <c r="M8" s="66">
        <f t="shared" si="7"/>
        <v>0.37221329675617681</v>
      </c>
      <c r="N8" s="66">
        <f t="shared" si="7"/>
        <v>0.38175108079209713</v>
      </c>
      <c r="O8" s="66">
        <f t="shared" si="7"/>
        <v>0.38157354200306265</v>
      </c>
      <c r="P8" s="66">
        <f t="shared" si="7"/>
        <v>0.37879348443082422</v>
      </c>
      <c r="Q8" s="66">
        <f t="shared" si="7"/>
        <v>0.38140913787633057</v>
      </c>
      <c r="R8" s="66">
        <f t="shared" si="7"/>
        <v>0.37743242412648981</v>
      </c>
      <c r="S8" s="66">
        <f t="shared" si="7"/>
        <v>0.37886719824906184</v>
      </c>
      <c r="T8" s="66">
        <f t="shared" si="7"/>
        <v>0.41780569794217659</v>
      </c>
      <c r="U8" s="66">
        <f t="shared" si="7"/>
        <v>0.42821248177065058</v>
      </c>
      <c r="V8" s="66">
        <f t="shared" si="7"/>
        <v>0.43382612616769356</v>
      </c>
      <c r="W8" s="66">
        <f t="shared" si="7"/>
        <v>0.43947426399372991</v>
      </c>
      <c r="X8" s="66">
        <f t="shared" si="7"/>
        <v>0.42252775042691337</v>
      </c>
      <c r="Y8" s="66">
        <f t="shared" si="7"/>
        <v>0.42671027839006592</v>
      </c>
      <c r="Z8" s="66">
        <f t="shared" si="7"/>
        <v>0.4225143031655475</v>
      </c>
      <c r="AA8" s="66">
        <f t="shared" si="7"/>
        <v>0.41651420478840079</v>
      </c>
      <c r="AB8" s="66">
        <f t="shared" si="7"/>
        <v>0.40150343578848463</v>
      </c>
      <c r="AC8" s="66">
        <f t="shared" si="7"/>
        <v>0.42270531404120765</v>
      </c>
      <c r="AD8" s="66">
        <f t="shared" si="7"/>
        <v>0.40707429658248462</v>
      </c>
      <c r="AE8" s="66">
        <f t="shared" si="7"/>
        <v>0.41163930537313553</v>
      </c>
      <c r="AF8" s="66">
        <f t="shared" si="7"/>
        <v>0.42233387235274289</v>
      </c>
      <c r="AG8" s="66">
        <f t="shared" si="7"/>
        <v>0.43272361324875525</v>
      </c>
      <c r="AH8" s="66">
        <f t="shared" si="7"/>
        <v>0.41925001527770361</v>
      </c>
      <c r="AI8" s="66">
        <f t="shared" si="7"/>
        <v>0.42180353418646294</v>
      </c>
      <c r="AJ8" s="66">
        <f t="shared" si="7"/>
        <v>0.42073789949220075</v>
      </c>
      <c r="AK8" s="66">
        <f t="shared" si="7"/>
        <v>0.38805856001088546</v>
      </c>
      <c r="AL8" s="66">
        <f t="shared" si="7"/>
        <v>0.3823058036242436</v>
      </c>
      <c r="AM8" s="66">
        <f t="shared" si="7"/>
        <v>0.39256466962946607</v>
      </c>
      <c r="AN8" s="66">
        <f t="shared" si="7"/>
        <v>0.40217108186015266</v>
      </c>
      <c r="AO8" s="66">
        <f t="shared" si="7"/>
        <v>0.38840098268490447</v>
      </c>
      <c r="AP8" s="66">
        <f t="shared" si="7"/>
        <v>0.39032249058917423</v>
      </c>
      <c r="AQ8" s="66">
        <f t="shared" si="7"/>
        <v>0.37462035398219889</v>
      </c>
      <c r="AR8" s="66">
        <f t="shared" si="7"/>
        <v>0.37504642720355352</v>
      </c>
      <c r="AS8" s="66">
        <f t="shared" si="7"/>
        <v>0.41147469070358345</v>
      </c>
      <c r="AT8" s="66">
        <f t="shared" si="7"/>
        <v>0.40938363050681387</v>
      </c>
      <c r="AU8" s="66">
        <f t="shared" si="7"/>
        <v>0.40211848554965757</v>
      </c>
      <c r="AV8" s="66">
        <f t="shared" si="7"/>
        <v>0.39423457714655424</v>
      </c>
      <c r="AW8" s="66">
        <f t="shared" si="7"/>
        <v>0.33832814385391496</v>
      </c>
      <c r="AX8" s="66">
        <f t="shared" si="7"/>
        <v>0.33831851081011166</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0.43360579048039394</v>
      </c>
      <c r="F9" s="66">
        <f t="shared" ref="F9:BQ9" si="9">(F7-J7)/J7</f>
        <v>0.4936798296688823</v>
      </c>
      <c r="G9" s="66">
        <f t="shared" si="9"/>
        <v>0.54739006250987166</v>
      </c>
      <c r="H9" s="66">
        <f t="shared" si="9"/>
        <v>0.52586252048469428</v>
      </c>
      <c r="I9" s="66">
        <f t="shared" si="9"/>
        <v>0.3398092955122814</v>
      </c>
      <c r="J9" s="66">
        <f t="shared" si="9"/>
        <v>0.38016085910763314</v>
      </c>
      <c r="K9" s="66">
        <f t="shared" si="9"/>
        <v>0.43767801308839638</v>
      </c>
      <c r="L9" s="66">
        <f t="shared" si="9"/>
        <v>0.51452793201015545</v>
      </c>
      <c r="M9" s="66">
        <f t="shared" si="9"/>
        <v>0.3413821782160909</v>
      </c>
      <c r="N9" s="66">
        <f t="shared" si="9"/>
        <v>0.26884100573812453</v>
      </c>
      <c r="O9" s="66">
        <f t="shared" si="9"/>
        <v>0.14827976294496859</v>
      </c>
      <c r="P9" s="66">
        <f t="shared" si="9"/>
        <v>-4.7617836419041999E-2</v>
      </c>
      <c r="Q9" s="66">
        <f t="shared" si="9"/>
        <v>0.20709761341800342</v>
      </c>
      <c r="R9" s="66">
        <f t="shared" si="9"/>
        <v>0.2406037565920032</v>
      </c>
      <c r="S9" s="66">
        <f t="shared" si="9"/>
        <v>0.29107447009795268</v>
      </c>
      <c r="T9" s="66">
        <f t="shared" si="9"/>
        <v>0.43573090704479728</v>
      </c>
      <c r="U9" s="66">
        <f t="shared" si="9"/>
        <v>0.53747101463081826</v>
      </c>
      <c r="V9" s="66">
        <f t="shared" si="9"/>
        <v>0.52604073055197498</v>
      </c>
      <c r="W9" s="66">
        <f t="shared" si="9"/>
        <v>0.65288597616678479</v>
      </c>
      <c r="X9" s="66">
        <f t="shared" si="9"/>
        <v>0.66607481141655434</v>
      </c>
      <c r="Y9" s="66">
        <f t="shared" si="9"/>
        <v>0.61647834869155604</v>
      </c>
      <c r="Z9" s="66">
        <f t="shared" si="9"/>
        <v>0.55819652540598452</v>
      </c>
      <c r="AA9" s="66">
        <f t="shared" si="9"/>
        <v>0.4673902428342076</v>
      </c>
      <c r="AB9" s="66">
        <f t="shared" si="9"/>
        <v>0.44070407847394233</v>
      </c>
      <c r="AC9" s="66">
        <f t="shared" si="9"/>
        <v>0.42068766879270075</v>
      </c>
      <c r="AD9" s="66">
        <f t="shared" si="9"/>
        <v>0.48049628745319301</v>
      </c>
      <c r="AE9" s="66">
        <f t="shared" si="9"/>
        <v>0.52933111798931087</v>
      </c>
      <c r="AF9" s="66">
        <f t="shared" si="9"/>
        <v>0.55071242100537932</v>
      </c>
      <c r="AG9" s="66">
        <f t="shared" si="9"/>
        <v>1.0226244167402463</v>
      </c>
      <c r="AH9" s="66">
        <f t="shared" si="9"/>
        <v>1.027066574941641</v>
      </c>
      <c r="AI9" s="66">
        <f t="shared" si="9"/>
        <v>1.0505669004901892</v>
      </c>
      <c r="AJ9" s="66">
        <f t="shared" si="9"/>
        <v>0.71328136496511396</v>
      </c>
      <c r="AK9" s="66">
        <f t="shared" si="9"/>
        <v>0.32148858281202641</v>
      </c>
      <c r="AL9" s="66">
        <f t="shared" si="9"/>
        <v>0.14236764214498956</v>
      </c>
      <c r="AM9" s="66">
        <f t="shared" si="9"/>
        <v>0.18322462738221887</v>
      </c>
      <c r="AN9" s="66">
        <f t="shared" si="9"/>
        <v>0.75911834504855369</v>
      </c>
      <c r="AO9" s="66">
        <f t="shared" si="9"/>
        <v>0.47235780473578304</v>
      </c>
      <c r="AP9" s="66">
        <f t="shared" si="9"/>
        <v>0.64409123678621893</v>
      </c>
      <c r="AQ9" s="66">
        <f t="shared" si="9"/>
        <v>0.7635431582016089</v>
      </c>
      <c r="AR9" s="66">
        <f t="shared" si="9"/>
        <v>0.47964195098691831</v>
      </c>
      <c r="AS9" s="66">
        <f t="shared" si="9"/>
        <v>0.10604688157820942</v>
      </c>
      <c r="AT9" s="66">
        <f t="shared" si="9"/>
        <v>6.3701698880203328E-2</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141633153.19</v>
      </c>
      <c r="F10" s="27">
        <f>股权价值增加表!F8</f>
        <v>83288603.069999993</v>
      </c>
      <c r="G10" s="27">
        <f>股权价值增加表!G8</f>
        <v>54023359.420000002</v>
      </c>
      <c r="H10" s="27">
        <f>股权价值增加表!H8</f>
        <v>18580686.43</v>
      </c>
      <c r="I10" s="27">
        <f>股权价值增加表!I8</f>
        <v>85107746.060000002</v>
      </c>
      <c r="J10" s="27">
        <f>股权价值增加表!J8</f>
        <v>51294526.060000002</v>
      </c>
      <c r="K10" s="27">
        <f>股权价值增加表!K8</f>
        <v>30430834.82</v>
      </c>
      <c r="L10" s="27">
        <f>股权价值增加表!L8</f>
        <v>11974897.26</v>
      </c>
      <c r="M10" s="27">
        <f>股权价值增加表!M8</f>
        <v>78699315.280000001</v>
      </c>
      <c r="N10" s="27">
        <f>股权价值增加表!N8</f>
        <v>44042708.259999998</v>
      </c>
      <c r="O10" s="27">
        <f>股权价值增加表!O8</f>
        <v>27351897.289999999</v>
      </c>
      <c r="P10" s="27">
        <f>股权价值增加表!P8</f>
        <v>12211443.65</v>
      </c>
      <c r="Q10" s="27">
        <f>股权价值增加表!Q8</f>
        <v>61410782.5</v>
      </c>
      <c r="R10" s="27">
        <f>股权价值增加表!R8</f>
        <v>41267809.25</v>
      </c>
      <c r="S10" s="27">
        <f>股权价值增加表!S8</f>
        <v>28526831.390000001</v>
      </c>
      <c r="T10" s="27">
        <f>股权价值增加表!T8</f>
        <v>12848659.390000001</v>
      </c>
      <c r="U10" s="27">
        <f>股权价值增加表!U8</f>
        <v>55153601.189999998</v>
      </c>
      <c r="V10" s="27">
        <f>股权价值增加表!V8</f>
        <v>28967405.219999999</v>
      </c>
      <c r="W10" s="27">
        <f>股权价值增加表!W8</f>
        <v>18442350.48</v>
      </c>
      <c r="X10" s="27">
        <f>股权价值增加表!X8</f>
        <v>9872358.8499999996</v>
      </c>
      <c r="Y10" s="27">
        <f>股权价值增加表!Y8</f>
        <v>27289342.5</v>
      </c>
      <c r="Z10" s="27">
        <f>股权价值增加表!Z8</f>
        <v>17811365.309999999</v>
      </c>
      <c r="AA10" s="27">
        <f>股权价值增加表!AA8</f>
        <v>9463105.6199999992</v>
      </c>
      <c r="AB10" s="27">
        <f>股权价值增加表!AB8</f>
        <v>3482035.7</v>
      </c>
      <c r="AC10" s="27">
        <f>股权价值增加表!AC8</f>
        <v>17227726.309999999</v>
      </c>
      <c r="AD10" s="27">
        <f>股权价值增加表!AD8</f>
        <v>10401952.52</v>
      </c>
      <c r="AE10" s="27">
        <f>股权价值增加表!AE8</f>
        <v>5992899.6500000004</v>
      </c>
      <c r="AF10" s="27">
        <f>股权价值增加表!AF8</f>
        <v>2382414.2400000002</v>
      </c>
      <c r="AG10" s="27">
        <f>股权价值增加表!AG8</f>
        <v>9441419.3499999996</v>
      </c>
      <c r="AH10" s="27">
        <f>股权价值增加表!AH8</f>
        <v>4986975.59</v>
      </c>
      <c r="AI10" s="27">
        <f>股权价值增加表!AI8</f>
        <v>3590251.9</v>
      </c>
      <c r="AJ10" s="27">
        <f>股权价值增加表!AJ8</f>
        <v>1315896.6599999999</v>
      </c>
      <c r="AK10" s="27">
        <f>股权价值增加表!AK8</f>
        <v>5407507.5599999996</v>
      </c>
      <c r="AL10" s="27">
        <f>股权价值增加表!AL8</f>
        <v>3427362.02</v>
      </c>
      <c r="AM10" s="27">
        <f>股权价值增加表!AM8</f>
        <v>2122181.11</v>
      </c>
      <c r="AN10" s="27">
        <f>股权价值增加表!AN8</f>
        <v>830648.85</v>
      </c>
      <c r="AO10" s="27">
        <f>股权价值增加表!AO8</f>
        <v>3928452.96</v>
      </c>
      <c r="AP10" s="27">
        <f>股权价值增加表!AP8</f>
        <v>2480450.9900000002</v>
      </c>
      <c r="AQ10" s="27">
        <f>股权价值增加表!AQ8</f>
        <v>1381418.31</v>
      </c>
      <c r="AR10" s="27">
        <f>股权价值增加表!AR8</f>
        <v>583205.49</v>
      </c>
      <c r="AS10" s="27">
        <f>股权价值增加表!AS8</f>
        <v>3250052.87</v>
      </c>
      <c r="AT10" s="27">
        <f>股权价值增加表!AT8</f>
        <v>2058551.26</v>
      </c>
      <c r="AU10" s="27">
        <f>股权价值增加表!AU8</f>
        <v>1135702.51</v>
      </c>
      <c r="AV10" s="27">
        <f>股权价值增加表!AV8</f>
        <v>456019.99</v>
      </c>
      <c r="AW10" s="27">
        <f>股权价值增加表!AW8</f>
        <v>2404898.59</v>
      </c>
      <c r="AX10" s="27">
        <f>股权价值增加表!AX8</f>
        <v>1114349.1299999999</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7.5159048238901136E-3</v>
      </c>
      <c r="F11" s="57">
        <f t="shared" ref="F11:BQ11" si="11">F10/F2</f>
        <v>7.1045387762894126E-3</v>
      </c>
      <c r="G11" s="57">
        <f t="shared" si="11"/>
        <v>7.2372115687583871E-3</v>
      </c>
      <c r="H11" s="57">
        <f t="shared" si="11"/>
        <v>7.015253079002688E-3</v>
      </c>
      <c r="I11" s="57">
        <f t="shared" si="11"/>
        <v>6.3851110953912623E-3</v>
      </c>
      <c r="J11" s="57">
        <f t="shared" si="11"/>
        <v>6.4370534103926069E-3</v>
      </c>
      <c r="K11" s="57">
        <f t="shared" si="11"/>
        <v>6.1479577641620573E-3</v>
      </c>
      <c r="L11" s="57">
        <f t="shared" si="11"/>
        <v>6.7171753036049499E-3</v>
      </c>
      <c r="M11" s="57">
        <f t="shared" si="11"/>
        <v>7.8091502266177384E-3</v>
      </c>
      <c r="N11" s="57">
        <f t="shared" si="11"/>
        <v>7.5542438061501679E-3</v>
      </c>
      <c r="O11" s="57">
        <f t="shared" si="11"/>
        <v>7.8849197524326654E-3</v>
      </c>
      <c r="P11" s="57">
        <f t="shared" si="11"/>
        <v>1.0154214128626337E-2</v>
      </c>
      <c r="Q11" s="57">
        <f t="shared" si="11"/>
        <v>8.3758559004691712E-3</v>
      </c>
      <c r="R11" s="57">
        <f t="shared" si="11"/>
        <v>8.8796230860045539E-3</v>
      </c>
      <c r="S11" s="57">
        <f t="shared" si="11"/>
        <v>9.3760479525167029E-3</v>
      </c>
      <c r="T11" s="57">
        <f t="shared" si="11"/>
        <v>1.1223291312834676E-2</v>
      </c>
      <c r="U11" s="57">
        <f t="shared" si="11"/>
        <v>1.0194573468348655E-2</v>
      </c>
      <c r="V11" s="57">
        <f t="shared" si="11"/>
        <v>8.8879642719094445E-3</v>
      </c>
      <c r="W11" s="57">
        <f t="shared" si="11"/>
        <v>9.0777933126365718E-3</v>
      </c>
      <c r="X11" s="57">
        <f t="shared" si="11"/>
        <v>1.2520949989375207E-2</v>
      </c>
      <c r="Y11" s="57">
        <f t="shared" si="11"/>
        <v>7.7280331510084085E-3</v>
      </c>
      <c r="Z11" s="57">
        <f t="shared" si="11"/>
        <v>8.1223510239662334E-3</v>
      </c>
      <c r="AA11" s="57">
        <f t="shared" si="11"/>
        <v>7.2968760851244664E-3</v>
      </c>
      <c r="AB11" s="57">
        <f t="shared" si="11"/>
        <v>6.9916244807904605E-3</v>
      </c>
      <c r="AC11" s="57">
        <f t="shared" si="11"/>
        <v>7.8122901296526041E-3</v>
      </c>
      <c r="AD11" s="57">
        <f t="shared" si="11"/>
        <v>7.121211879959964E-3</v>
      </c>
      <c r="AE11" s="57">
        <f t="shared" si="11"/>
        <v>6.7015141025659726E-3</v>
      </c>
      <c r="AF11" s="57">
        <f t="shared" si="11"/>
        <v>7.2494254010113564E-3</v>
      </c>
      <c r="AG11" s="57">
        <f t="shared" si="11"/>
        <v>6.226717830284275E-3</v>
      </c>
      <c r="AH11" s="57">
        <f t="shared" si="11"/>
        <v>5.2057464511754189E-3</v>
      </c>
      <c r="AI11" s="57">
        <f t="shared" si="11"/>
        <v>6.2915224984303507E-3</v>
      </c>
      <c r="AJ11" s="57">
        <f t="shared" si="11"/>
        <v>6.1857886740623175E-3</v>
      </c>
      <c r="AK11" s="57">
        <f t="shared" si="11"/>
        <v>6.4687587102891814E-3</v>
      </c>
      <c r="AL11" s="57">
        <f t="shared" si="11"/>
        <v>6.6131986034934165E-3</v>
      </c>
      <c r="AM11" s="57">
        <f t="shared" si="11"/>
        <v>7.0972191769545657E-3</v>
      </c>
      <c r="AN11" s="57">
        <f t="shared" si="11"/>
        <v>6.3946776762500513E-3</v>
      </c>
      <c r="AO11" s="57">
        <f t="shared" si="11"/>
        <v>6.2157257088894064E-3</v>
      </c>
      <c r="AP11" s="57">
        <f t="shared" si="11"/>
        <v>5.582141157686466E-3</v>
      </c>
      <c r="AQ11" s="57">
        <f t="shared" si="11"/>
        <v>5.2164895321362096E-3</v>
      </c>
      <c r="AR11" s="57">
        <f t="shared" si="11"/>
        <v>7.3653272032403218E-3</v>
      </c>
      <c r="AS11" s="57">
        <f t="shared" si="11"/>
        <v>8.0211544767088017E-3</v>
      </c>
      <c r="AT11" s="57">
        <f t="shared" si="11"/>
        <v>7.9884893615822152E-3</v>
      </c>
      <c r="AU11" s="57">
        <f t="shared" si="11"/>
        <v>8.1183258435196162E-3</v>
      </c>
      <c r="AV11" s="57">
        <f t="shared" si="11"/>
        <v>8.9573725578177762E-3</v>
      </c>
      <c r="AW11" s="57">
        <f t="shared" si="11"/>
        <v>5.397737451809049E-3</v>
      </c>
      <c r="AX11" s="57">
        <f t="shared" si="11"/>
        <v>3.801363443546129E-3</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2416699706</v>
      </c>
      <c r="F12" s="27">
        <f>股权价值增加表!F9</f>
        <v>1591164605.1300001</v>
      </c>
      <c r="G12" s="27">
        <f>股权价值增加表!G9</f>
        <v>946818977.02999997</v>
      </c>
      <c r="H12" s="27">
        <f>股权价值增加表!H9</f>
        <v>403620472.29000002</v>
      </c>
      <c r="I12" s="27">
        <f>股权价值增加表!I9</f>
        <v>1638140112.8399999</v>
      </c>
      <c r="J12" s="27">
        <f>股权价值增加表!J9</f>
        <v>980503448.03999996</v>
      </c>
      <c r="K12" s="27">
        <f>股权价值增加表!K9</f>
        <v>578257111.87</v>
      </c>
      <c r="L12" s="27">
        <f>股权价值增加表!L9</f>
        <v>254657755.58000001</v>
      </c>
      <c r="M12" s="27">
        <f>股权价值增加表!M9</f>
        <v>1142764719.8499999</v>
      </c>
      <c r="N12" s="27">
        <f>股权价值增加表!N9</f>
        <v>697718959.08000004</v>
      </c>
      <c r="O12" s="27">
        <f>股权价值增加表!O9</f>
        <v>389070954.75</v>
      </c>
      <c r="P12" s="27">
        <f>股权价值增加表!P9</f>
        <v>146245938.87</v>
      </c>
      <c r="Q12" s="27">
        <f>股权价值增加表!Q9</f>
        <v>680836838.85000002</v>
      </c>
      <c r="R12" s="27">
        <f>股权价值增加表!R9</f>
        <v>414282545.68000001</v>
      </c>
      <c r="S12" s="27">
        <f>股权价值增加表!S9</f>
        <v>245635008.93000001</v>
      </c>
      <c r="T12" s="27">
        <f>股权价值增加表!T9</f>
        <v>100351943.04000001</v>
      </c>
      <c r="U12" s="27">
        <f>股权价值增加表!U9</f>
        <v>564544190.76999998</v>
      </c>
      <c r="V12" s="27">
        <f>股权价值增加表!V9</f>
        <v>357894654.23000002</v>
      </c>
      <c r="W12" s="27">
        <f>股权价值增加表!W9</f>
        <v>244689701.99000001</v>
      </c>
      <c r="X12" s="27">
        <f>股权价值增加表!X9</f>
        <v>94010036.060000002</v>
      </c>
      <c r="Y12" s="27">
        <f>股权价值增加表!Y9</f>
        <v>461382631.81999999</v>
      </c>
      <c r="Z12" s="27">
        <f>股权价值增加表!Z9</f>
        <v>269341556.05000001</v>
      </c>
      <c r="AA12" s="27">
        <f>股权价值增加表!AA9</f>
        <v>150060759.49000001</v>
      </c>
      <c r="AB12" s="27">
        <f>股权价值增加表!AB9</f>
        <v>60026794.740000002</v>
      </c>
      <c r="AC12" s="27">
        <f>股权价值增加表!AC9</f>
        <v>299484499.39999998</v>
      </c>
      <c r="AD12" s="27">
        <f>股权价值增加表!AD9</f>
        <v>175023462.15000001</v>
      </c>
      <c r="AE12" s="27">
        <f>股权价值增加表!AE9</f>
        <v>107051209.54000001</v>
      </c>
      <c r="AF12" s="27">
        <f>股权价值增加表!AF9</f>
        <v>49198838.969999999</v>
      </c>
      <c r="AG12" s="27">
        <f>股权价值增加表!AG9</f>
        <v>224607629.56999999</v>
      </c>
      <c r="AH12" s="27">
        <f>股权价值增加表!AH9</f>
        <v>139103768.63</v>
      </c>
      <c r="AI12" s="27">
        <f>股权价值增加表!AI9</f>
        <v>84432271.920000002</v>
      </c>
      <c r="AJ12" s="27">
        <f>股权价值增加表!AJ9</f>
        <v>36505898.149999999</v>
      </c>
      <c r="AK12" s="27">
        <f>股权价值增加表!AK9</f>
        <v>133064007.18000001</v>
      </c>
      <c r="AL12" s="27">
        <f>股权价值增加表!AL9</f>
        <v>82453088.370000005</v>
      </c>
      <c r="AM12" s="27">
        <f>股权价值增加表!AM9</f>
        <v>50624102.609999999</v>
      </c>
      <c r="AN12" s="27">
        <f>股权价值增加表!AN9</f>
        <v>25664757.190000001</v>
      </c>
      <c r="AO12" s="27">
        <f>股权价值增加表!AO9</f>
        <v>76310159.140000001</v>
      </c>
      <c r="AP12" s="27">
        <f>股权价值增加表!AP9</f>
        <v>49362866.119999997</v>
      </c>
      <c r="AQ12" s="27">
        <f>股权价值增加表!AQ9</f>
        <v>31192099.93</v>
      </c>
      <c r="AR12" s="27">
        <f>股权价值增加表!AR9</f>
        <v>12283969.810000001</v>
      </c>
      <c r="AS12" s="27">
        <f>股权价值增加表!AS9</f>
        <v>39250233.210000001</v>
      </c>
      <c r="AT12" s="27">
        <f>股权价值增加表!AT9</f>
        <v>26385225.870000001</v>
      </c>
      <c r="AU12" s="27">
        <f>股权价值增加表!AU9</f>
        <v>17413218.129999999</v>
      </c>
      <c r="AV12" s="27">
        <f>股权价值增加表!AV9</f>
        <v>8287984.4900000002</v>
      </c>
      <c r="AW12" s="27">
        <f>股权价值增加表!AW9</f>
        <v>41389646.390000001</v>
      </c>
      <c r="AX12" s="27">
        <f>股权价值增加表!AX9</f>
        <v>23396956.890000001</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0.1282445851774037</v>
      </c>
      <c r="F13" s="57">
        <f t="shared" ref="F13:BQ13" si="13">F12/F2</f>
        <v>0.13572674075352717</v>
      </c>
      <c r="G13" s="57">
        <f t="shared" si="13"/>
        <v>0.12684011745379711</v>
      </c>
      <c r="H13" s="57">
        <f t="shared" si="13"/>
        <v>0.15238940561470643</v>
      </c>
      <c r="I13" s="57">
        <f t="shared" si="13"/>
        <v>0.12289958428609074</v>
      </c>
      <c r="J13" s="57">
        <f t="shared" si="13"/>
        <v>0.12304535296270933</v>
      </c>
      <c r="K13" s="57">
        <f t="shared" si="13"/>
        <v>0.11682559225311105</v>
      </c>
      <c r="L13" s="57">
        <f t="shared" si="13"/>
        <v>0.14284722027364113</v>
      </c>
      <c r="M13" s="57">
        <f t="shared" si="13"/>
        <v>0.11339388836150727</v>
      </c>
      <c r="N13" s="57">
        <f t="shared" si="13"/>
        <v>0.1196733655421133</v>
      </c>
      <c r="O13" s="57">
        <f t="shared" si="13"/>
        <v>0.11216016291958336</v>
      </c>
      <c r="P13" s="57">
        <f t="shared" si="13"/>
        <v>0.12160827345978685</v>
      </c>
      <c r="Q13" s="57">
        <f t="shared" si="13"/>
        <v>9.2859771880264688E-2</v>
      </c>
      <c r="R13" s="57">
        <f t="shared" si="13"/>
        <v>8.914146216154821E-2</v>
      </c>
      <c r="S13" s="57">
        <f t="shared" si="13"/>
        <v>8.0734014621472769E-2</v>
      </c>
      <c r="T13" s="57">
        <f t="shared" si="13"/>
        <v>8.7657323333163104E-2</v>
      </c>
      <c r="U13" s="57">
        <f t="shared" si="13"/>
        <v>0.10435016217903294</v>
      </c>
      <c r="V13" s="57">
        <f t="shared" si="13"/>
        <v>0.10981152352946665</v>
      </c>
      <c r="W13" s="57">
        <f t="shared" si="13"/>
        <v>0.12044248604887471</v>
      </c>
      <c r="X13" s="57">
        <f t="shared" si="13"/>
        <v>0.11923137903426391</v>
      </c>
      <c r="Y13" s="57">
        <f t="shared" si="13"/>
        <v>0.13065834305111848</v>
      </c>
      <c r="Z13" s="57">
        <f t="shared" si="13"/>
        <v>0.12282532110837809</v>
      </c>
      <c r="AA13" s="57">
        <f t="shared" si="13"/>
        <v>0.11570987487701689</v>
      </c>
      <c r="AB13" s="57">
        <f t="shared" si="13"/>
        <v>0.12052857689183602</v>
      </c>
      <c r="AC13" s="57">
        <f t="shared" si="13"/>
        <v>0.13580781099874412</v>
      </c>
      <c r="AD13" s="57">
        <f t="shared" si="13"/>
        <v>0.11982165420750288</v>
      </c>
      <c r="AE13" s="57">
        <f t="shared" si="13"/>
        <v>0.11970919460149061</v>
      </c>
      <c r="AF13" s="57">
        <f t="shared" si="13"/>
        <v>0.14970667440662433</v>
      </c>
      <c r="AG13" s="57">
        <f t="shared" si="13"/>
        <v>0.14813115274467759</v>
      </c>
      <c r="AH13" s="57">
        <f t="shared" si="13"/>
        <v>0.14520603456387662</v>
      </c>
      <c r="AI13" s="57">
        <f t="shared" si="13"/>
        <v>0.14795829183413819</v>
      </c>
      <c r="AJ13" s="57">
        <f t="shared" si="13"/>
        <v>0.17160752677398125</v>
      </c>
      <c r="AK13" s="57">
        <f t="shared" si="13"/>
        <v>0.15917850246548843</v>
      </c>
      <c r="AL13" s="57">
        <f t="shared" si="13"/>
        <v>0.15909572600743335</v>
      </c>
      <c r="AM13" s="57">
        <f t="shared" si="13"/>
        <v>0.1693023984460062</v>
      </c>
      <c r="AN13" s="57">
        <f t="shared" si="13"/>
        <v>0.19757789331709905</v>
      </c>
      <c r="AO13" s="57">
        <f t="shared" si="13"/>
        <v>0.12074040922611427</v>
      </c>
      <c r="AP13" s="57">
        <f t="shared" si="13"/>
        <v>0.1110888655896478</v>
      </c>
      <c r="AQ13" s="57">
        <f t="shared" si="13"/>
        <v>0.11778710445078115</v>
      </c>
      <c r="AR13" s="57">
        <f t="shared" si="13"/>
        <v>0.15513478277678053</v>
      </c>
      <c r="AS13" s="57">
        <f t="shared" si="13"/>
        <v>9.6869865327531127E-2</v>
      </c>
      <c r="AT13" s="57">
        <f t="shared" si="13"/>
        <v>0.10239147319821361</v>
      </c>
      <c r="AU13" s="57">
        <f t="shared" si="13"/>
        <v>0.12447465557122288</v>
      </c>
      <c r="AV13" s="57">
        <f t="shared" si="13"/>
        <v>0.162796733604475</v>
      </c>
      <c r="AW13" s="57">
        <f t="shared" si="13"/>
        <v>9.2898072860708961E-2</v>
      </c>
      <c r="AX13" s="57">
        <f t="shared" si="13"/>
        <v>7.9813708484584842E-2</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2308406879.77</v>
      </c>
      <c r="F14" s="26">
        <f>股权价值增加表!F10</f>
        <v>1597502753.02</v>
      </c>
      <c r="G14" s="26">
        <f>股权价值增加表!G10</f>
        <v>1018690379.2</v>
      </c>
      <c r="H14" s="26">
        <f>股权价值增加表!H10</f>
        <v>478853735.37</v>
      </c>
      <c r="I14" s="26">
        <f>股权价值增加表!I10</f>
        <v>1831477357.29</v>
      </c>
      <c r="J14" s="26">
        <f>股权价值增加表!J10</f>
        <v>1187372179.52</v>
      </c>
      <c r="K14" s="26">
        <f>股权价值增加表!K10</f>
        <v>686703967.53999996</v>
      </c>
      <c r="L14" s="26">
        <f>股权价值增加表!L10</f>
        <v>313527283.43000001</v>
      </c>
      <c r="M14" s="26">
        <f>股权价值增加表!M10</f>
        <v>1234368469.8699999</v>
      </c>
      <c r="N14" s="26">
        <f>股权价值增加表!N10</f>
        <v>827465368.04999995</v>
      </c>
      <c r="O14" s="26">
        <f>股权价值增加表!O10</f>
        <v>501568369.06999999</v>
      </c>
      <c r="P14" s="26">
        <f>股权价值增加表!P10</f>
        <v>220051056.11000001</v>
      </c>
      <c r="Q14" s="26">
        <f>股权价值增加表!Q10</f>
        <v>1077457344.3199999</v>
      </c>
      <c r="R14" s="26">
        <f>股权价值增加表!R10</f>
        <v>718136309.15999997</v>
      </c>
      <c r="S14" s="26">
        <f>股权价值增加表!S10</f>
        <v>439119764.29000002</v>
      </c>
      <c r="T14" s="26">
        <f>股权价值增加表!T10</f>
        <v>205747307.46000001</v>
      </c>
      <c r="U14" s="26">
        <f>股权价值增加表!U10</f>
        <v>693282255.02999997</v>
      </c>
      <c r="V14" s="26">
        <f>股权价值增加表!V10</f>
        <v>415215620.19</v>
      </c>
      <c r="W14" s="26">
        <f>股权价值增加表!W10</f>
        <v>252735106.40000001</v>
      </c>
      <c r="X14" s="26">
        <f>股权价值增加表!X10</f>
        <v>100663678.81999999</v>
      </c>
      <c r="Y14" s="26">
        <f>股权价值增加表!Y10</f>
        <v>385612940.85000002</v>
      </c>
      <c r="Z14" s="26">
        <f>股权价值增加表!Z10</f>
        <v>272510647.97000003</v>
      </c>
      <c r="AA14" s="26">
        <f>股权价值增加表!AA10</f>
        <v>157199752.78999999</v>
      </c>
      <c r="AB14" s="26">
        <f>股权价值增加表!AB10</f>
        <v>70778012.310000002</v>
      </c>
      <c r="AC14" s="26">
        <f>股权价值增加表!AC10</f>
        <v>264044362.47</v>
      </c>
      <c r="AD14" s="26">
        <f>股权价值增加表!AD10</f>
        <v>168350299.63999999</v>
      </c>
      <c r="AE14" s="26">
        <f>股权价值增加表!AE10</f>
        <v>104629083.93000001</v>
      </c>
      <c r="AF14" s="26">
        <f>股权价值增加表!AF10</f>
        <v>48988222.670000002</v>
      </c>
      <c r="AG14" s="26">
        <f>股权价值增加表!AG10</f>
        <v>179333634.15000001</v>
      </c>
      <c r="AH14" s="26">
        <f>股权价值增加表!AH10</f>
        <v>124955300.78</v>
      </c>
      <c r="AI14" s="26">
        <f>股权价值增加表!AI10</f>
        <v>76526083.120000005</v>
      </c>
      <c r="AJ14" s="26">
        <f>股权价值增加表!AJ10</f>
        <v>35462656.850000001</v>
      </c>
      <c r="AK14" s="26">
        <f>股权价值增加表!AK10</f>
        <v>93657293.260000005</v>
      </c>
      <c r="AL14" s="26">
        <f>股权价值增加表!AL10</f>
        <v>65946820.57</v>
      </c>
      <c r="AM14" s="26">
        <f>股权价值增加表!AM10</f>
        <v>40979504.579999998</v>
      </c>
      <c r="AN14" s="26">
        <f>股权价值增加表!AN10</f>
        <v>23079224.809999999</v>
      </c>
      <c r="AO14" s="26">
        <f>股权价值增加表!AO10</f>
        <v>91350676.189999998</v>
      </c>
      <c r="AP14" s="26">
        <f>股权价值增加表!AP10</f>
        <v>51849215.789999999</v>
      </c>
      <c r="AQ14" s="26">
        <f>股权价值增加表!AQ10</f>
        <v>31587847.48</v>
      </c>
      <c r="AR14" s="26">
        <f>股权价值增加表!AR10</f>
        <v>12102380.85</v>
      </c>
      <c r="AS14" s="26">
        <f>股权价值增加表!AS10</f>
        <v>48576518.380000003</v>
      </c>
      <c r="AT14" s="26">
        <f>股权价值增加表!AT10</f>
        <v>32588042.969999999</v>
      </c>
      <c r="AU14" s="26">
        <f>股权价值增加表!AU10</f>
        <v>20881464.859999999</v>
      </c>
      <c r="AV14" s="26">
        <f>股权价值增加表!AV10</f>
        <v>11436637.25</v>
      </c>
      <c r="AW14" s="26">
        <f>股权价值增加表!AW10</f>
        <v>67876147.379999995</v>
      </c>
      <c r="AX14" s="26">
        <f>股权价值增加表!AX10</f>
        <v>36179353.289999999</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0.12249791812436643</v>
      </c>
      <c r="F15" s="57">
        <f t="shared" ref="F15:BQ15" si="15">F14/F2</f>
        <v>0.13626738636162455</v>
      </c>
      <c r="G15" s="57">
        <f t="shared" si="15"/>
        <v>0.13646833289304369</v>
      </c>
      <c r="H15" s="57">
        <f t="shared" si="15"/>
        <v>0.18079418939132977</v>
      </c>
      <c r="I15" s="57">
        <f t="shared" si="15"/>
        <v>0.13740448944266456</v>
      </c>
      <c r="J15" s="57">
        <f t="shared" si="15"/>
        <v>0.14900572682247176</v>
      </c>
      <c r="K15" s="57">
        <f t="shared" si="15"/>
        <v>0.1387351682558419</v>
      </c>
      <c r="L15" s="57">
        <f t="shared" si="15"/>
        <v>0.17586937737638222</v>
      </c>
      <c r="M15" s="57">
        <f t="shared" si="15"/>
        <v>0.122483515668716</v>
      </c>
      <c r="N15" s="57">
        <f t="shared" si="15"/>
        <v>0.14192758298364191</v>
      </c>
      <c r="O15" s="57">
        <f t="shared" si="15"/>
        <v>0.14459056710195331</v>
      </c>
      <c r="P15" s="57">
        <f t="shared" si="15"/>
        <v>0.18297963836334036</v>
      </c>
      <c r="Q15" s="57">
        <f t="shared" si="15"/>
        <v>0.14695509628014453</v>
      </c>
      <c r="R15" s="57">
        <f t="shared" si="15"/>
        <v>0.15452188680733614</v>
      </c>
      <c r="S15" s="57">
        <f t="shared" si="15"/>
        <v>0.14432755992395802</v>
      </c>
      <c r="T15" s="57">
        <f t="shared" si="15"/>
        <v>0.17972007027068862</v>
      </c>
      <c r="U15" s="57">
        <f t="shared" si="15"/>
        <v>0.12814606355182523</v>
      </c>
      <c r="V15" s="57">
        <f t="shared" si="15"/>
        <v>0.1273991083895723</v>
      </c>
      <c r="W15" s="57">
        <f t="shared" si="15"/>
        <v>0.12440263843995727</v>
      </c>
      <c r="X15" s="57">
        <f t="shared" si="15"/>
        <v>0.12767008446535025</v>
      </c>
      <c r="Y15" s="57">
        <f t="shared" si="15"/>
        <v>0.10920122353063819</v>
      </c>
      <c r="Z15" s="57">
        <f t="shared" si="15"/>
        <v>0.12427049257914702</v>
      </c>
      <c r="AA15" s="57">
        <f t="shared" si="15"/>
        <v>0.12121465856795849</v>
      </c>
      <c r="AB15" s="57">
        <f t="shared" si="15"/>
        <v>0.14211608558989919</v>
      </c>
      <c r="AC15" s="57">
        <f t="shared" si="15"/>
        <v>0.11973670405463945</v>
      </c>
      <c r="AD15" s="57">
        <f t="shared" si="15"/>
        <v>0.11525318458107973</v>
      </c>
      <c r="AE15" s="57">
        <f t="shared" si="15"/>
        <v>0.11700067120187034</v>
      </c>
      <c r="AF15" s="57">
        <f t="shared" si="15"/>
        <v>0.14906579209092469</v>
      </c>
      <c r="AG15" s="57">
        <f t="shared" si="15"/>
        <v>0.11827246475727</v>
      </c>
      <c r="AH15" s="57">
        <f t="shared" si="15"/>
        <v>0.13043689543927406</v>
      </c>
      <c r="AI15" s="57">
        <f t="shared" si="15"/>
        <v>0.134103563503784</v>
      </c>
      <c r="AJ15" s="57">
        <f t="shared" si="15"/>
        <v>0.16670344090309377</v>
      </c>
      <c r="AK15" s="57">
        <f t="shared" si="15"/>
        <v>0.11203801840967437</v>
      </c>
      <c r="AL15" s="57">
        <f t="shared" si="15"/>
        <v>0.12724638341483252</v>
      </c>
      <c r="AM15" s="57">
        <f t="shared" si="15"/>
        <v>0.1370479288486709</v>
      </c>
      <c r="AN15" s="57">
        <f t="shared" si="15"/>
        <v>0.17767339794386441</v>
      </c>
      <c r="AO15" s="57">
        <f t="shared" si="15"/>
        <v>0.14453800320383992</v>
      </c>
      <c r="AP15" s="57">
        <f t="shared" si="15"/>
        <v>0.11668428145606133</v>
      </c>
      <c r="AQ15" s="57">
        <f t="shared" si="15"/>
        <v>0.11928151996344621</v>
      </c>
      <c r="AR15" s="57">
        <f t="shared" si="15"/>
        <v>0.15284148799504566</v>
      </c>
      <c r="AS15" s="57">
        <f t="shared" si="15"/>
        <v>0.1198872059784875</v>
      </c>
      <c r="AT15" s="57">
        <f t="shared" si="15"/>
        <v>0.12646235225671723</v>
      </c>
      <c r="AU15" s="57">
        <f t="shared" si="15"/>
        <v>0.14926667356179807</v>
      </c>
      <c r="AV15" s="57">
        <f t="shared" si="15"/>
        <v>0.22464414478160608</v>
      </c>
      <c r="AW15" s="57">
        <f t="shared" si="15"/>
        <v>0.15234639178591589</v>
      </c>
      <c r="AX15" s="57">
        <f t="shared" si="15"/>
        <v>0.12341811673308022</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245506915.74000001</v>
      </c>
      <c r="F16" s="26">
        <f>股权价值增加表!F11</f>
        <v>150811233.36000001</v>
      </c>
      <c r="G16" s="26">
        <f>股权价值增加表!G11</f>
        <v>89628522.590000004</v>
      </c>
      <c r="H16" s="26">
        <f>股权价值增加表!H11</f>
        <v>25377377.359999999</v>
      </c>
      <c r="I16" s="26">
        <f>股权价值增加表!I11</f>
        <v>129145009.23999999</v>
      </c>
      <c r="J16" s="26">
        <f>股权价值增加表!J11</f>
        <v>127308941.34999999</v>
      </c>
      <c r="K16" s="26">
        <f>股权价值增加表!K11</f>
        <v>70488505.819999993</v>
      </c>
      <c r="L16" s="26">
        <f>股权价值增加表!L11</f>
        <v>18402843.719999999</v>
      </c>
      <c r="M16" s="26">
        <f>股权价值增加表!M11</f>
        <v>192281999.66999999</v>
      </c>
      <c r="N16" s="26">
        <f>股权价值增加表!N11</f>
        <v>88375886.900000006</v>
      </c>
      <c r="O16" s="26">
        <f>股权价值增加表!O11</f>
        <v>52332053.640000001</v>
      </c>
      <c r="P16" s="26">
        <f>股权价值增加表!P11</f>
        <v>19946608.52</v>
      </c>
      <c r="Q16" s="26">
        <f>股权价值增加表!Q11</f>
        <v>79357586.120000005</v>
      </c>
      <c r="R16" s="26">
        <f>股权价值增加表!R11</f>
        <v>50033558.490000002</v>
      </c>
      <c r="S16" s="26">
        <f>股权价值增加表!S11</f>
        <v>38982898.960000001</v>
      </c>
      <c r="T16" s="26">
        <f>股权价值增加表!T11</f>
        <v>12697334.300000001</v>
      </c>
      <c r="U16" s="26">
        <f>股权价值增加表!U11</f>
        <v>98559602.459999993</v>
      </c>
      <c r="V16" s="26">
        <f>股权价值增加表!V11</f>
        <v>56659297.18</v>
      </c>
      <c r="W16" s="26">
        <f>股权价值增加表!W11</f>
        <v>36037147.950000003</v>
      </c>
      <c r="X16" s="26">
        <f>股权价值增加表!X11</f>
        <v>11842400.68</v>
      </c>
      <c r="Y16" s="26">
        <f>股权价值增加表!Y11</f>
        <v>37947498.520000003</v>
      </c>
      <c r="Z16" s="26">
        <f>股权价值增加表!Z11</f>
        <v>37149163.07</v>
      </c>
      <c r="AA16" s="26">
        <f>股权价值增加表!AA11</f>
        <v>23698452.280000001</v>
      </c>
      <c r="AB16" s="26">
        <f>股权价值增加表!AB11</f>
        <v>12355054.060000001</v>
      </c>
      <c r="AC16" s="26">
        <f>股权价值增加表!AC11</f>
        <v>26723209</v>
      </c>
      <c r="AD16" s="26">
        <f>股权价值增加表!AD11</f>
        <v>23435900.239999998</v>
      </c>
      <c r="AE16" s="26">
        <f>股权价值增加表!AE11</f>
        <v>17210722.309999999</v>
      </c>
      <c r="AF16" s="26">
        <f>股权价值增加表!AF11</f>
        <v>5911135.2800000003</v>
      </c>
      <c r="AG16" s="26">
        <f>股权价值增加表!AG11</f>
        <v>11339203.859999999</v>
      </c>
      <c r="AH16" s="26">
        <f>股权价值增加表!AH11</f>
        <v>10894890.439999999</v>
      </c>
      <c r="AI16" s="26">
        <f>股权价值增加表!AI11</f>
        <v>6365777.7699999996</v>
      </c>
      <c r="AJ16" s="26">
        <f>股权价值增加表!AJ11</f>
        <v>2862786.84</v>
      </c>
      <c r="AK16" s="26">
        <f>股权价值增加表!AK11</f>
        <v>9330272.8200000003</v>
      </c>
      <c r="AL16" s="26">
        <f>股权价值增加表!AL11</f>
        <v>5729070.1600000001</v>
      </c>
      <c r="AM16" s="26">
        <f>股权价值增加表!AM11</f>
        <v>2035635.44</v>
      </c>
      <c r="AN16" s="26">
        <f>股权价值增加表!AN11</f>
        <v>770002.79</v>
      </c>
      <c r="AO16" s="26">
        <f>股权价值增加表!AO11</f>
        <v>1792035.28</v>
      </c>
      <c r="AP16" s="26">
        <f>股权价值增加表!AP11</f>
        <v>5040587.91</v>
      </c>
      <c r="AQ16" s="26">
        <f>股权价值增加表!AQ11</f>
        <v>3907690.08</v>
      </c>
      <c r="AR16" s="26">
        <f>股权价值增加表!AR11</f>
        <v>0</v>
      </c>
      <c r="AS16" s="26">
        <f>股权价值增加表!AS11</f>
        <v>-296967.21999999997</v>
      </c>
      <c r="AT16" s="26">
        <f>股权价值增加表!AT11</f>
        <v>-2322778.19</v>
      </c>
      <c r="AU16" s="26">
        <f>股权价值增加表!AU11</f>
        <v>-2318314.04</v>
      </c>
      <c r="AV16" s="26">
        <f>股权价值增加表!AV11</f>
        <v>0</v>
      </c>
      <c r="AW16" s="26">
        <f>股权价值增加表!AW11</f>
        <v>12049409.59</v>
      </c>
      <c r="AX16" s="26">
        <f>股权价值增加表!AX11</f>
        <v>3671903.95</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1.3028069846283212E-2</v>
      </c>
      <c r="F17" s="57">
        <f t="shared" ref="F17:BQ17" si="17">F16/F2</f>
        <v>1.2864236111700121E-2</v>
      </c>
      <c r="G17" s="57">
        <f t="shared" si="17"/>
        <v>1.2007038946543737E-2</v>
      </c>
      <c r="H17" s="57">
        <f t="shared" si="17"/>
        <v>9.5813857756251418E-3</v>
      </c>
      <c r="I17" s="57">
        <f t="shared" si="17"/>
        <v>9.6889562887894319E-3</v>
      </c>
      <c r="J17" s="57">
        <f t="shared" si="17"/>
        <v>1.5976255519583406E-2</v>
      </c>
      <c r="K17" s="57">
        <f t="shared" si="17"/>
        <v>1.4240830368394453E-2</v>
      </c>
      <c r="L17" s="57">
        <f t="shared" si="17"/>
        <v>1.0322854941311242E-2</v>
      </c>
      <c r="M17" s="57">
        <f t="shared" si="17"/>
        <v>1.90796961314743E-2</v>
      </c>
      <c r="N17" s="57">
        <f t="shared" si="17"/>
        <v>1.5158309345696735E-2</v>
      </c>
      <c r="O17" s="57">
        <f t="shared" si="17"/>
        <v>1.5086121414409633E-2</v>
      </c>
      <c r="P17" s="57">
        <f t="shared" si="17"/>
        <v>1.6586256290177653E-2</v>
      </c>
      <c r="Q17" s="57">
        <f t="shared" si="17"/>
        <v>1.0823631924087475E-2</v>
      </c>
      <c r="R17" s="57">
        <f t="shared" si="17"/>
        <v>1.0765755418498817E-2</v>
      </c>
      <c r="S17" s="57">
        <f t="shared" si="17"/>
        <v>1.2812692898840508E-2</v>
      </c>
      <c r="T17" s="57">
        <f t="shared" si="17"/>
        <v>1.109110899587383E-2</v>
      </c>
      <c r="U17" s="57">
        <f t="shared" si="17"/>
        <v>1.821772443885104E-2</v>
      </c>
      <c r="V17" s="57">
        <f t="shared" si="17"/>
        <v>1.7384567419233266E-2</v>
      </c>
      <c r="W17" s="57">
        <f t="shared" si="17"/>
        <v>1.7738399507252221E-2</v>
      </c>
      <c r="X17" s="57">
        <f t="shared" si="17"/>
        <v>1.5019521567373226E-2</v>
      </c>
      <c r="Y17" s="57">
        <f t="shared" si="17"/>
        <v>1.0746302391140517E-2</v>
      </c>
      <c r="Z17" s="57">
        <f t="shared" si="17"/>
        <v>1.6940786820631611E-2</v>
      </c>
      <c r="AA17" s="57">
        <f t="shared" si="17"/>
        <v>1.8273564370973956E-2</v>
      </c>
      <c r="AB17" s="57">
        <f t="shared" si="17"/>
        <v>2.4807872712903422E-2</v>
      </c>
      <c r="AC17" s="57">
        <f t="shared" si="17"/>
        <v>1.2118224897859063E-2</v>
      </c>
      <c r="AD17" s="57">
        <f t="shared" si="17"/>
        <v>1.6044296576605079E-2</v>
      </c>
      <c r="AE17" s="57">
        <f t="shared" si="17"/>
        <v>1.9245758315978443E-2</v>
      </c>
      <c r="AF17" s="57">
        <f t="shared" si="17"/>
        <v>1.7986936750196043E-2</v>
      </c>
      <c r="AG17" s="57">
        <f t="shared" si="17"/>
        <v>7.4783271708284286E-3</v>
      </c>
      <c r="AH17" s="57">
        <f t="shared" si="17"/>
        <v>1.1372832335033547E-2</v>
      </c>
      <c r="AI17" s="57">
        <f t="shared" si="17"/>
        <v>1.1155327028714275E-2</v>
      </c>
      <c r="AJ17" s="57">
        <f t="shared" si="17"/>
        <v>1.3457435488229488E-2</v>
      </c>
      <c r="AK17" s="57">
        <f t="shared" si="17"/>
        <v>1.1161386813437837E-2</v>
      </c>
      <c r="AL17" s="57">
        <f t="shared" si="17"/>
        <v>1.1054414024646223E-2</v>
      </c>
      <c r="AM17" s="57">
        <f t="shared" si="17"/>
        <v>6.8077841301944038E-3</v>
      </c>
      <c r="AN17" s="57">
        <f t="shared" si="17"/>
        <v>5.9277992762684943E-3</v>
      </c>
      <c r="AO17" s="57">
        <f t="shared" si="17"/>
        <v>2.8354163520728083E-3</v>
      </c>
      <c r="AP17" s="57">
        <f t="shared" si="17"/>
        <v>1.1343611845097494E-2</v>
      </c>
      <c r="AQ17" s="57">
        <f t="shared" si="17"/>
        <v>1.4756156226966839E-2</v>
      </c>
      <c r="AR17" s="57">
        <f t="shared" si="17"/>
        <v>0</v>
      </c>
      <c r="AS17" s="57">
        <f t="shared" si="17"/>
        <v>-7.3291729132356166E-4</v>
      </c>
      <c r="AT17" s="57">
        <f t="shared" si="17"/>
        <v>-9.0138580567239272E-3</v>
      </c>
      <c r="AU17" s="57">
        <f t="shared" si="17"/>
        <v>-1.657197075696026E-2</v>
      </c>
      <c r="AV17" s="57">
        <f t="shared" si="17"/>
        <v>0</v>
      </c>
      <c r="AW17" s="57">
        <f t="shared" si="17"/>
        <v>2.7044612062469598E-2</v>
      </c>
      <c r="AX17" s="57">
        <f t="shared" si="17"/>
        <v>1.2525914067651881E-2</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8317346.0700000003</v>
      </c>
      <c r="F18" s="26">
        <f>股权价值增加表!F12</f>
        <v>1204</v>
      </c>
      <c r="G18" s="26">
        <f>股权价值增加表!G12</f>
        <v>868</v>
      </c>
      <c r="H18" s="26">
        <f>股权价值增加表!H12</f>
        <v>644</v>
      </c>
      <c r="I18" s="26">
        <f>股权价值增加表!I12</f>
        <v>4750506.9400000004</v>
      </c>
      <c r="J18" s="26">
        <f>股权价值增加表!J12</f>
        <v>0</v>
      </c>
      <c r="K18" s="26">
        <f>股权价值增加表!K12</f>
        <v>0</v>
      </c>
      <c r="L18" s="26">
        <f>股权价值增加表!L12</f>
        <v>0</v>
      </c>
      <c r="M18" s="26">
        <f>股权价值增加表!M12</f>
        <v>2608551.4</v>
      </c>
      <c r="N18" s="26">
        <f>股权价值增加表!N12</f>
        <v>0</v>
      </c>
      <c r="O18" s="26">
        <f>股权价值增加表!O12</f>
        <v>0</v>
      </c>
      <c r="P18" s="26">
        <f>股权价值增加表!P12</f>
        <v>0</v>
      </c>
      <c r="Q18" s="26">
        <f>股权价值增加表!Q12</f>
        <v>2072002.21</v>
      </c>
      <c r="R18" s="26">
        <f>股权价值增加表!R12</f>
        <v>0</v>
      </c>
      <c r="S18" s="26">
        <f>股权价值增加表!S12</f>
        <v>0</v>
      </c>
      <c r="T18" s="26">
        <f>股权价值增加表!T12</f>
        <v>0</v>
      </c>
      <c r="U18" s="26">
        <f>股权价值增加表!U12</f>
        <v>1719265.22</v>
      </c>
      <c r="V18" s="26">
        <f>股权价值增加表!V12</f>
        <v>0</v>
      </c>
      <c r="W18" s="26">
        <f>股权价值增加表!W12</f>
        <v>0</v>
      </c>
      <c r="X18" s="26">
        <f>股权价值增加表!X12</f>
        <v>0</v>
      </c>
      <c r="Y18" s="26">
        <f>股权价值增加表!Y12</f>
        <v>1244397.75</v>
      </c>
      <c r="Z18" s="26">
        <f>股权价值增加表!Z12</f>
        <v>0</v>
      </c>
      <c r="AA18" s="26">
        <f>股权价值增加表!AA12</f>
        <v>0</v>
      </c>
      <c r="AB18" s="26">
        <f>股权价值增加表!AB12</f>
        <v>0</v>
      </c>
      <c r="AC18" s="26">
        <f>股权价值增加表!AC12</f>
        <v>1175438.99</v>
      </c>
      <c r="AD18" s="26">
        <f>股权价值增加表!AD12</f>
        <v>0</v>
      </c>
      <c r="AE18" s="26">
        <f>股权价值增加表!AE12</f>
        <v>0</v>
      </c>
      <c r="AF18" s="26">
        <f>股权价值增加表!AF12</f>
        <v>0</v>
      </c>
      <c r="AG18" s="26">
        <f>股权价值增加表!AG12</f>
        <v>681905.32</v>
      </c>
      <c r="AH18" s="26">
        <f>股权价值增加表!AH12</f>
        <v>0</v>
      </c>
      <c r="AI18" s="26">
        <f>股权价值增加表!AI12</f>
        <v>0</v>
      </c>
      <c r="AJ18" s="26">
        <f>股权价值增加表!AJ12</f>
        <v>0</v>
      </c>
      <c r="AK18" s="26">
        <f>股权价值增加表!AK12</f>
        <v>502867.86</v>
      </c>
      <c r="AL18" s="26">
        <f>股权价值增加表!AL12</f>
        <v>0</v>
      </c>
      <c r="AM18" s="26">
        <f>股权价值增加表!AM12</f>
        <v>0</v>
      </c>
      <c r="AN18" s="26">
        <f>股权价值增加表!AN12</f>
        <v>0</v>
      </c>
      <c r="AO18" s="26">
        <f>股权价值增加表!AO12</f>
        <v>264458.73</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4.4136828165942553E-4</v>
      </c>
      <c r="F19" s="57">
        <f t="shared" ref="F19:BQ19" si="19">F18/F2</f>
        <v>1.0270150262291406E-7</v>
      </c>
      <c r="G19" s="57">
        <f t="shared" si="19"/>
        <v>1.1628117372050462E-7</v>
      </c>
      <c r="H19" s="57">
        <f t="shared" si="19"/>
        <v>2.4314618299479755E-7</v>
      </c>
      <c r="I19" s="57">
        <f t="shared" si="19"/>
        <v>3.564013380162026E-4</v>
      </c>
      <c r="J19" s="57">
        <f t="shared" si="19"/>
        <v>0</v>
      </c>
      <c r="K19" s="57">
        <f t="shared" si="19"/>
        <v>0</v>
      </c>
      <c r="L19" s="57">
        <f t="shared" si="19"/>
        <v>0</v>
      </c>
      <c r="M19" s="57">
        <f t="shared" si="19"/>
        <v>2.5884049542208441E-4</v>
      </c>
      <c r="N19" s="57">
        <f t="shared" si="19"/>
        <v>0</v>
      </c>
      <c r="O19" s="57">
        <f t="shared" si="19"/>
        <v>0</v>
      </c>
      <c r="P19" s="57">
        <f t="shared" si="19"/>
        <v>0</v>
      </c>
      <c r="Q19" s="57">
        <f t="shared" si="19"/>
        <v>2.8260170657186563E-4</v>
      </c>
      <c r="R19" s="57">
        <f t="shared" si="19"/>
        <v>0</v>
      </c>
      <c r="S19" s="57">
        <f t="shared" si="19"/>
        <v>0</v>
      </c>
      <c r="T19" s="57">
        <f t="shared" si="19"/>
        <v>0</v>
      </c>
      <c r="U19" s="57">
        <f t="shared" si="19"/>
        <v>3.1778841668899944E-4</v>
      </c>
      <c r="V19" s="57">
        <f t="shared" si="19"/>
        <v>0</v>
      </c>
      <c r="W19" s="57">
        <f t="shared" si="19"/>
        <v>0</v>
      </c>
      <c r="X19" s="57">
        <f t="shared" si="19"/>
        <v>0</v>
      </c>
      <c r="Y19" s="57">
        <f t="shared" si="19"/>
        <v>3.5239936854617414E-4</v>
      </c>
      <c r="Z19" s="57">
        <f t="shared" si="19"/>
        <v>0</v>
      </c>
      <c r="AA19" s="57">
        <f t="shared" si="19"/>
        <v>0</v>
      </c>
      <c r="AB19" s="57">
        <f t="shared" si="19"/>
        <v>0</v>
      </c>
      <c r="AC19" s="57">
        <f t="shared" si="19"/>
        <v>5.3302857581708505E-4</v>
      </c>
      <c r="AD19" s="57">
        <f t="shared" si="19"/>
        <v>0</v>
      </c>
      <c r="AE19" s="57">
        <f t="shared" si="19"/>
        <v>0</v>
      </c>
      <c r="AF19" s="57">
        <f t="shared" si="19"/>
        <v>0</v>
      </c>
      <c r="AG19" s="57">
        <f t="shared" si="19"/>
        <v>4.4972390879022912E-4</v>
      </c>
      <c r="AH19" s="57">
        <f t="shared" si="19"/>
        <v>0</v>
      </c>
      <c r="AI19" s="57">
        <f t="shared" si="19"/>
        <v>0</v>
      </c>
      <c r="AJ19" s="57">
        <f t="shared" si="19"/>
        <v>0</v>
      </c>
      <c r="AK19" s="57">
        <f t="shared" si="19"/>
        <v>6.0155826199149705E-4</v>
      </c>
      <c r="AL19" s="57">
        <f t="shared" si="19"/>
        <v>0</v>
      </c>
      <c r="AM19" s="57">
        <f t="shared" si="19"/>
        <v>0</v>
      </c>
      <c r="AN19" s="57">
        <f t="shared" si="19"/>
        <v>0</v>
      </c>
      <c r="AO19" s="57">
        <f t="shared" si="19"/>
        <v>4.1843518141585233E-4</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9942646.0899999999</v>
      </c>
      <c r="F20" s="26">
        <f>股权价值增加表!F13-股权价值增加表!F14</f>
        <v>22606194.5</v>
      </c>
      <c r="G20" s="26">
        <f>股权价值增加表!G13-股权价值增加表!G14</f>
        <v>15969291.42</v>
      </c>
      <c r="H20" s="26">
        <f>股权价值增加表!H13-股权价值增加表!H14</f>
        <v>199126643.84999999</v>
      </c>
      <c r="I20" s="26">
        <f>股权价值增加表!I13-股权价值增加表!I14</f>
        <v>579063039.26999998</v>
      </c>
      <c r="J20" s="26">
        <f>股权价值增加表!J13-股权价值增加表!J14</f>
        <v>367603963.83999997</v>
      </c>
      <c r="K20" s="26">
        <f>股权价值增加表!K13-股权价值增加表!K14</f>
        <v>241957908.67000002</v>
      </c>
      <c r="L20" s="26">
        <f>股权价值增加表!L13-股权价值增加表!L14</f>
        <v>157607918.42000002</v>
      </c>
      <c r="M20" s="26">
        <f>股权价值增加表!M13-股权价值增加表!M14</f>
        <v>376430553.30000001</v>
      </c>
      <c r="N20" s="26">
        <f>股权价值增加表!N13-股权价值增加表!N14</f>
        <v>235348289.52000001</v>
      </c>
      <c r="O20" s="26">
        <f>股权价值增加表!O13-股权价值增加表!O14</f>
        <v>157188818.94999999</v>
      </c>
      <c r="P20" s="26">
        <f>股权价值增加表!P13-股权价值增加表!P14</f>
        <v>44576675.449999996</v>
      </c>
      <c r="Q20" s="26">
        <f>股权价值增加表!Q13-股权价值增加表!Q14</f>
        <v>325278714.13999999</v>
      </c>
      <c r="R20" s="26">
        <f>股权价值增加表!R13-股权价值增加表!R14</f>
        <v>243362451.53999999</v>
      </c>
      <c r="S20" s="26">
        <f>股权价值增加表!S13-股权价值增加表!S14</f>
        <v>139851859.55000001</v>
      </c>
      <c r="T20" s="26">
        <f>股权价值增加表!T13-股权价值增加表!T14</f>
        <v>82577427.359999999</v>
      </c>
      <c r="U20" s="26">
        <f>股权价值增加表!U13-股权价值增加表!U14</f>
        <v>187418717.94</v>
      </c>
      <c r="V20" s="26">
        <f>股权价值增加表!V13-股权价值增加表!V14</f>
        <v>120512075.74000001</v>
      </c>
      <c r="W20" s="26">
        <f>股权价值增加表!W13-股权价值增加表!W14</f>
        <v>85577661.919999987</v>
      </c>
      <c r="X20" s="26">
        <f>股权价值增加表!X13-股权价值增加表!X14</f>
        <v>43142467.68</v>
      </c>
      <c r="Y20" s="26">
        <f>股权价值增加表!Y13-股权价值增加表!Y14</f>
        <v>150529431.63999999</v>
      </c>
      <c r="Z20" s="26">
        <f>股权价值增加表!Z13-股权价值增加表!Z14</f>
        <v>89276033.069999993</v>
      </c>
      <c r="AA20" s="26">
        <f>股权价值增加表!AA13-股权价值增加表!AA14</f>
        <v>54582699.669999994</v>
      </c>
      <c r="AB20" s="26">
        <f>股权价值增加表!AB13-股权价值增加表!AB14</f>
        <v>20629196.530000001</v>
      </c>
      <c r="AC20" s="26">
        <f>股权价值增加表!AC13-股权价值增加表!AC14</f>
        <v>83377431.079999998</v>
      </c>
      <c r="AD20" s="26">
        <f>股权价值增加表!AD13-股权价值增加表!AD14</f>
        <v>13412021.989999998</v>
      </c>
      <c r="AE20" s="26">
        <f>股权价值增加表!AE13-股权价值增加表!AE14</f>
        <v>12647568.569999998</v>
      </c>
      <c r="AF20" s="26">
        <f>股权价值增加表!AF13-股权价值增加表!AF14</f>
        <v>10377859.129999999</v>
      </c>
      <c r="AG20" s="26">
        <f>股权价值增加表!AG13-股权价值增加表!AG14</f>
        <v>48672505.149999999</v>
      </c>
      <c r="AH20" s="26">
        <f>股权价值增加表!AH13-股权价值增加表!AH14</f>
        <v>28401257.370000001</v>
      </c>
      <c r="AI20" s="26">
        <f>股权价值增加表!AI13-股权价值增加表!AI14</f>
        <v>15057920.010000002</v>
      </c>
      <c r="AJ20" s="26">
        <f>股权价值增加表!AJ13-股权价值增加表!AJ14</f>
        <v>4940486.7700000005</v>
      </c>
      <c r="AK20" s="26">
        <f>股权价值增加表!AK13-股权价值增加表!AK14</f>
        <v>36883306.630000003</v>
      </c>
      <c r="AL20" s="26">
        <f>股权价值增加表!AL13-股权价值增加表!AL14</f>
        <v>16428805.890000001</v>
      </c>
      <c r="AM20" s="26">
        <f>股权价值增加表!AM13-股权价值增加表!AM14</f>
        <v>9119232.3300000001</v>
      </c>
      <c r="AN20" s="26">
        <f>股权价值增加表!AN13-股权价值增加表!AN14</f>
        <v>1550357.5499999998</v>
      </c>
      <c r="AO20" s="26">
        <f>股权价值增加表!AO13-股权价值增加表!AO14</f>
        <v>30096279.209999997</v>
      </c>
      <c r="AP20" s="26">
        <f>股权价值增加表!AP13-股权价值增加表!AP14</f>
        <v>14236103.800000001</v>
      </c>
      <c r="AQ20" s="26">
        <f>股权价值增加表!AQ13-股权价值增加表!AQ14</f>
        <v>9610384.7899999991</v>
      </c>
      <c r="AR20" s="26">
        <f>股权价值增加表!AR13-股权价值增加表!AR14</f>
        <v>1841052.54</v>
      </c>
      <c r="AS20" s="26">
        <f>股权价值增加表!AS13-股权价值增加表!AS14</f>
        <v>19379179.780000001</v>
      </c>
      <c r="AT20" s="26">
        <f>股权价值增加表!AT13-股权价值增加表!AT14</f>
        <v>10389415.32</v>
      </c>
      <c r="AU20" s="26">
        <f>股权价值增加表!AU13-股权价值增加表!AU14</f>
        <v>6802271.8400000008</v>
      </c>
      <c r="AV20" s="26">
        <f>股权价值增加表!AV13-股权价值增加表!AV14</f>
        <v>3145791.2</v>
      </c>
      <c r="AW20" s="26">
        <f>股权价值增加表!AW13-股权价值增加表!AW14</f>
        <v>20189586.710000001</v>
      </c>
      <c r="AX20" s="26">
        <f>股权价值增加表!AX13-股权价值增加表!AX14</f>
        <v>15029051.27</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5.2761645156495281E-4</v>
      </c>
      <c r="F21" s="57">
        <f t="shared" ref="F21:BQ21" si="21">F20/F2</f>
        <v>1.9283140728703118E-3</v>
      </c>
      <c r="G21" s="57">
        <f t="shared" si="21"/>
        <v>2.1393179145188755E-3</v>
      </c>
      <c r="H21" s="57">
        <f t="shared" si="21"/>
        <v>7.5181495938962686E-2</v>
      </c>
      <c r="I21" s="57">
        <f t="shared" si="21"/>
        <v>4.3443540783787774E-2</v>
      </c>
      <c r="J21" s="57">
        <f t="shared" si="21"/>
        <v>4.613136197695307E-2</v>
      </c>
      <c r="K21" s="57">
        <f t="shared" si="21"/>
        <v>4.8882885139598042E-2</v>
      </c>
      <c r="L21" s="57">
        <f t="shared" si="21"/>
        <v>8.8408275601640343E-2</v>
      </c>
      <c r="M21" s="57">
        <f t="shared" si="21"/>
        <v>3.7352329307439126E-2</v>
      </c>
      <c r="N21" s="57">
        <f t="shared" si="21"/>
        <v>4.036714427048943E-2</v>
      </c>
      <c r="O21" s="57">
        <f t="shared" si="21"/>
        <v>4.531390310000747E-2</v>
      </c>
      <c r="P21" s="57">
        <f t="shared" si="21"/>
        <v>3.70669611746995E-2</v>
      </c>
      <c r="Q21" s="57">
        <f t="shared" si="21"/>
        <v>4.436497185370572E-2</v>
      </c>
      <c r="R21" s="57">
        <f t="shared" si="21"/>
        <v>5.2364467177555551E-2</v>
      </c>
      <c r="S21" s="57">
        <f t="shared" si="21"/>
        <v>4.5965768979483949E-2</v>
      </c>
      <c r="T21" s="57">
        <f t="shared" si="21"/>
        <v>7.2131301406202539E-2</v>
      </c>
      <c r="U21" s="57">
        <f t="shared" si="21"/>
        <v>3.4642414061068931E-2</v>
      </c>
      <c r="V21" s="57">
        <f t="shared" si="21"/>
        <v>3.6976284737137571E-2</v>
      </c>
      <c r="W21" s="57">
        <f t="shared" si="21"/>
        <v>4.2123498733576251E-2</v>
      </c>
      <c r="X21" s="57">
        <f t="shared" si="21"/>
        <v>5.4716880580117505E-2</v>
      </c>
      <c r="Y21" s="57">
        <f t="shared" si="21"/>
        <v>4.262823253863203E-2</v>
      </c>
      <c r="Z21" s="57">
        <f t="shared" si="21"/>
        <v>4.0711717827416664E-2</v>
      </c>
      <c r="AA21" s="57">
        <f t="shared" si="21"/>
        <v>4.2088000692055476E-2</v>
      </c>
      <c r="AB21" s="57">
        <f t="shared" si="21"/>
        <v>4.1421630306141211E-2</v>
      </c>
      <c r="AC21" s="57">
        <f t="shared" si="21"/>
        <v>3.7809323769206912E-2</v>
      </c>
      <c r="AD21" s="57">
        <f t="shared" si="21"/>
        <v>9.1819156207292776E-3</v>
      </c>
      <c r="AE21" s="57">
        <f t="shared" si="21"/>
        <v>1.4143046619348138E-2</v>
      </c>
      <c r="AF21" s="57">
        <f t="shared" si="21"/>
        <v>3.1578687837737068E-2</v>
      </c>
      <c r="AG21" s="57">
        <f t="shared" si="21"/>
        <v>3.2100041786843017E-2</v>
      </c>
      <c r="AH21" s="57">
        <f t="shared" si="21"/>
        <v>2.9647176348580689E-2</v>
      </c>
      <c r="AI21" s="57">
        <f t="shared" si="21"/>
        <v>2.6387352520440024E-2</v>
      </c>
      <c r="AJ21" s="57">
        <f t="shared" si="21"/>
        <v>2.3224321510338604E-2</v>
      </c>
      <c r="AK21" s="57">
        <f t="shared" si="21"/>
        <v>4.4121845116214552E-2</v>
      </c>
      <c r="AL21" s="57">
        <f t="shared" si="21"/>
        <v>3.1699877496107753E-2</v>
      </c>
      <c r="AM21" s="57">
        <f t="shared" si="21"/>
        <v>3.0497486885829487E-2</v>
      </c>
      <c r="AN21" s="57">
        <f t="shared" si="21"/>
        <v>1.193529229010637E-2</v>
      </c>
      <c r="AO21" s="57">
        <f t="shared" si="21"/>
        <v>4.7619309263031304E-2</v>
      </c>
      <c r="AP21" s="57">
        <f t="shared" si="21"/>
        <v>3.2037698494126139E-2</v>
      </c>
      <c r="AQ21" s="57">
        <f t="shared" si="21"/>
        <v>3.6290579974168749E-2</v>
      </c>
      <c r="AR21" s="57">
        <f t="shared" si="21"/>
        <v>2.3250731668278176E-2</v>
      </c>
      <c r="AS21" s="57">
        <f t="shared" si="21"/>
        <v>4.7827958764034416E-2</v>
      </c>
      <c r="AT21" s="57">
        <f t="shared" si="21"/>
        <v>4.0317545338598604E-2</v>
      </c>
      <c r="AU21" s="57">
        <f t="shared" si="21"/>
        <v>4.8624581514148224E-2</v>
      </c>
      <c r="AV21" s="57">
        <f t="shared" si="21"/>
        <v>6.1791202985431955E-2</v>
      </c>
      <c r="AW21" s="57">
        <f t="shared" si="21"/>
        <v>4.5315045205757826E-2</v>
      </c>
      <c r="AX21" s="57">
        <f t="shared" si="21"/>
        <v>5.1268390265588062E-2</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0.27225546270516782</v>
      </c>
      <c r="F22" s="66">
        <f t="shared" ref="F22:BQ22" si="23">F11+F13+F15+F17+F19+F21</f>
        <v>0.29389131877751423</v>
      </c>
      <c r="G22" s="66">
        <f t="shared" si="23"/>
        <v>0.28469213505783558</v>
      </c>
      <c r="H22" s="66">
        <f t="shared" si="23"/>
        <v>0.42496197294580967</v>
      </c>
      <c r="I22" s="66">
        <f t="shared" si="23"/>
        <v>0.3201780832347399</v>
      </c>
      <c r="J22" s="66">
        <f t="shared" si="23"/>
        <v>0.34059575069211018</v>
      </c>
      <c r="K22" s="66">
        <f t="shared" si="23"/>
        <v>0.32483243378110754</v>
      </c>
      <c r="L22" s="66">
        <f t="shared" si="23"/>
        <v>0.42416490349657987</v>
      </c>
      <c r="M22" s="66">
        <f t="shared" si="23"/>
        <v>0.30037742019117653</v>
      </c>
      <c r="N22" s="66">
        <f t="shared" si="23"/>
        <v>0.32468064594809154</v>
      </c>
      <c r="O22" s="66">
        <f t="shared" si="23"/>
        <v>0.32503567428838648</v>
      </c>
      <c r="P22" s="66">
        <f t="shared" si="23"/>
        <v>0.36839534341663066</v>
      </c>
      <c r="Q22" s="66">
        <f t="shared" si="23"/>
        <v>0.3036619295452434</v>
      </c>
      <c r="R22" s="66">
        <f t="shared" si="23"/>
        <v>0.31567319465094329</v>
      </c>
      <c r="S22" s="66">
        <f t="shared" si="23"/>
        <v>0.29321608437627195</v>
      </c>
      <c r="T22" s="66">
        <f t="shared" si="23"/>
        <v>0.36182309531876278</v>
      </c>
      <c r="U22" s="66">
        <f t="shared" si="23"/>
        <v>0.29586872611581583</v>
      </c>
      <c r="V22" s="66">
        <f t="shared" si="23"/>
        <v>0.30045944834731919</v>
      </c>
      <c r="W22" s="66">
        <f t="shared" si="23"/>
        <v>0.31378481604229702</v>
      </c>
      <c r="X22" s="66">
        <f t="shared" si="23"/>
        <v>0.32915881563648008</v>
      </c>
      <c r="Y22" s="66">
        <f t="shared" si="23"/>
        <v>0.30131453403108377</v>
      </c>
      <c r="Z22" s="66">
        <f t="shared" si="23"/>
        <v>0.31287066935953961</v>
      </c>
      <c r="AA22" s="66">
        <f t="shared" si="23"/>
        <v>0.30458297459312927</v>
      </c>
      <c r="AB22" s="66">
        <f t="shared" si="23"/>
        <v>0.3358657899815703</v>
      </c>
      <c r="AC22" s="66">
        <f t="shared" si="23"/>
        <v>0.31381738242591928</v>
      </c>
      <c r="AD22" s="66">
        <f t="shared" si="23"/>
        <v>0.26742226286587689</v>
      </c>
      <c r="AE22" s="66">
        <f t="shared" si="23"/>
        <v>0.27680018484125352</v>
      </c>
      <c r="AF22" s="66">
        <f t="shared" si="23"/>
        <v>0.35558751648649345</v>
      </c>
      <c r="AG22" s="66">
        <f t="shared" si="23"/>
        <v>0.31265842819869349</v>
      </c>
      <c r="AH22" s="66">
        <f t="shared" si="23"/>
        <v>0.32186868513794031</v>
      </c>
      <c r="AI22" s="66">
        <f t="shared" si="23"/>
        <v>0.32589605738550681</v>
      </c>
      <c r="AJ22" s="66">
        <f t="shared" si="23"/>
        <v>0.38117851334970537</v>
      </c>
      <c r="AK22" s="66">
        <f t="shared" si="23"/>
        <v>0.3335700697770958</v>
      </c>
      <c r="AL22" s="66">
        <f t="shared" si="23"/>
        <v>0.3357095995465133</v>
      </c>
      <c r="AM22" s="66">
        <f t="shared" si="23"/>
        <v>0.35075281748765552</v>
      </c>
      <c r="AN22" s="66">
        <f t="shared" si="23"/>
        <v>0.39950906050358836</v>
      </c>
      <c r="AO22" s="66">
        <f t="shared" si="23"/>
        <v>0.32236729893536359</v>
      </c>
      <c r="AP22" s="66">
        <f t="shared" si="23"/>
        <v>0.27673659854261923</v>
      </c>
      <c r="AQ22" s="66">
        <f t="shared" si="23"/>
        <v>0.29333185014749918</v>
      </c>
      <c r="AR22" s="66">
        <f t="shared" si="23"/>
        <v>0.33859232964334468</v>
      </c>
      <c r="AS22" s="66">
        <f t="shared" si="23"/>
        <v>0.27187326725543831</v>
      </c>
      <c r="AT22" s="66">
        <f t="shared" si="23"/>
        <v>0.26814600209838774</v>
      </c>
      <c r="AU22" s="66">
        <f t="shared" si="23"/>
        <v>0.31391226573372849</v>
      </c>
      <c r="AV22" s="66">
        <f t="shared" si="23"/>
        <v>0.4581894539293308</v>
      </c>
      <c r="AW22" s="66">
        <f t="shared" si="23"/>
        <v>0.32300185936666137</v>
      </c>
      <c r="AX22" s="66">
        <f t="shared" si="23"/>
        <v>0.27082749299445114</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1778713684.7073917</v>
      </c>
      <c r="F23" s="27">
        <f>股权价值增加表!F17</f>
        <v>1047025464.7696679</v>
      </c>
      <c r="G23" s="27">
        <f>股权价值增加表!G17</f>
        <v>685964958.3927896</v>
      </c>
      <c r="H23" s="27">
        <f>股权价值增加表!H17</f>
        <v>291367407.32568061</v>
      </c>
      <c r="I23" s="27">
        <f>股权价值增加表!I17</f>
        <v>1730276469.0900147</v>
      </c>
      <c r="J23" s="27">
        <f>股权价值增加表!J17</f>
        <v>1022001432.9065278</v>
      </c>
      <c r="K23" s="27">
        <f>股权价值增加表!K17</f>
        <v>677629154.23071277</v>
      </c>
      <c r="L23" s="27">
        <f>股权价值增加表!L17</f>
        <v>217840781.12976724</v>
      </c>
      <c r="M23" s="27">
        <f>股权价值增加表!M17</f>
        <v>1291646938.2622943</v>
      </c>
      <c r="N23" s="27">
        <f>股权价值增加表!N17</f>
        <v>696034140.3386898</v>
      </c>
      <c r="O23" s="27">
        <f>股权价值增加表!O17</f>
        <v>441428316.99205339</v>
      </c>
      <c r="P23" s="27">
        <f>股权价值增加表!P17</f>
        <v>91970363.149939656</v>
      </c>
      <c r="Q23" s="27">
        <f>股权价值增加表!Q17</f>
        <v>1114427116.4475014</v>
      </c>
      <c r="R23" s="27">
        <f>股权价值增加表!R17</f>
        <v>706986505.10566437</v>
      </c>
      <c r="S23" s="27">
        <f>股权价值增加表!S17</f>
        <v>492879452.33685923</v>
      </c>
      <c r="T23" s="27">
        <f>股权价值增加表!T17</f>
        <v>193092668.64882591</v>
      </c>
      <c r="U23" s="27">
        <f>股权价值增加表!U17</f>
        <v>1095627702.0226142</v>
      </c>
      <c r="V23" s="27">
        <f>股权价值增加表!V17</f>
        <v>598811887.87718284</v>
      </c>
      <c r="W23" s="27">
        <f>股权价值增加表!W17</f>
        <v>380434143.12388164</v>
      </c>
      <c r="X23" s="27">
        <f>股权价值增加表!X17</f>
        <v>141140712.56053603</v>
      </c>
      <c r="Y23" s="27">
        <f>股权价值增加表!Y17</f>
        <v>686958680.1566093</v>
      </c>
      <c r="Z23" s="27">
        <f>股权价值增加表!Z17</f>
        <v>369037928.54357636</v>
      </c>
      <c r="AA23" s="27">
        <f>股权价值增加表!AA17</f>
        <v>222262445.72707796</v>
      </c>
      <c r="AB23" s="27">
        <f>股权价值增加表!AB17</f>
        <v>65153106.610820882</v>
      </c>
      <c r="AC23" s="27">
        <f>股权价值增加表!AC17</f>
        <v>369799329.02332556</v>
      </c>
      <c r="AD23" s="27">
        <f>股权价值增加表!AD17</f>
        <v>199307045.53506339</v>
      </c>
      <c r="AE23" s="27">
        <f>股权价值增加表!AE17</f>
        <v>128525302.304795</v>
      </c>
      <c r="AF23" s="27">
        <f>股权价值增加表!AF17</f>
        <v>38697728.441452906</v>
      </c>
      <c r="AG23" s="27">
        <f>股权价值增加表!AG17</f>
        <v>251901390.20887047</v>
      </c>
      <c r="AH23" s="27">
        <f>股权价值增加表!AH17</f>
        <v>136029781.56952721</v>
      </c>
      <c r="AI23" s="27">
        <f>股权价值增加表!AI17</f>
        <v>76369186.00785242</v>
      </c>
      <c r="AJ23" s="27">
        <f>股权价值增加表!AJ17</f>
        <v>16825381.297744978</v>
      </c>
      <c r="AK23" s="27">
        <f>股权价值增加表!AK17</f>
        <v>109256981.10264283</v>
      </c>
      <c r="AL23" s="27">
        <f>股权价值增加表!AL17</f>
        <v>52854111.983077697</v>
      </c>
      <c r="AM23" s="27">
        <f>股权价值增加表!AM17</f>
        <v>28567403.845196828</v>
      </c>
      <c r="AN23" s="27">
        <f>股权价值增加表!AN17</f>
        <v>3418411.7430918943</v>
      </c>
      <c r="AO23" s="27">
        <f>股权价值增加表!AO17</f>
        <v>95570850.406423107</v>
      </c>
      <c r="AP23" s="27">
        <f>股权价值增加表!AP17</f>
        <v>70629244.840312853</v>
      </c>
      <c r="AQ23" s="27">
        <f>股权价值增加表!AQ17</f>
        <v>34084449.364343882</v>
      </c>
      <c r="AR23" s="27">
        <f>股权价值增加表!AR17</f>
        <v>5150915.8576173913</v>
      </c>
      <c r="AS23" s="27">
        <f>股权价值增加表!AS17</f>
        <v>84059136.108660102</v>
      </c>
      <c r="AT23" s="27">
        <f>股权价值增加表!AT17</f>
        <v>54458542.238105156</v>
      </c>
      <c r="AU23" s="27">
        <f>股权价值增加表!AU17</f>
        <v>23815502.507999111</v>
      </c>
      <c r="AV23" s="27">
        <f>股权价值增加表!AV17</f>
        <v>3035638.5300000021</v>
      </c>
      <c r="AW23" s="27">
        <f>股权价值增加表!AW17</f>
        <v>43864037.226117238</v>
      </c>
      <c r="AX23" s="27">
        <f>股权价值增加表!AX17</f>
        <v>46748666.126349516</v>
      </c>
      <c r="AY23" s="27" t="e">
        <f>股权价值增加表!AY17</f>
        <v>#DIV/0!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9.4389219346671563E-2</v>
      </c>
      <c r="F24" s="57">
        <f t="shared" ref="F24:BQ24" si="25">F23/F2</f>
        <v>8.9311535312541407E-2</v>
      </c>
      <c r="G24" s="57">
        <f t="shared" si="25"/>
        <v>9.1894942964344112E-2</v>
      </c>
      <c r="H24" s="57">
        <f t="shared" si="25"/>
        <v>0.1100075666775305</v>
      </c>
      <c r="I24" s="57">
        <f t="shared" si="25"/>
        <v>0.12981200880460808</v>
      </c>
      <c r="J24" s="57">
        <f t="shared" si="25"/>
        <v>0.12825301868316152</v>
      </c>
      <c r="K24" s="57">
        <f t="shared" si="25"/>
        <v>0.13690177889031305</v>
      </c>
      <c r="L24" s="57">
        <f t="shared" si="25"/>
        <v>0.12219517907771041</v>
      </c>
      <c r="M24" s="57">
        <f t="shared" si="25"/>
        <v>0.12816712502204508</v>
      </c>
      <c r="N24" s="57">
        <f t="shared" si="25"/>
        <v>0.11938438395937562</v>
      </c>
      <c r="O24" s="57">
        <f t="shared" si="25"/>
        <v>0.12725358021895927</v>
      </c>
      <c r="P24" s="57">
        <f t="shared" si="25"/>
        <v>7.6476360017598111E-2</v>
      </c>
      <c r="Q24" s="57">
        <f t="shared" si="25"/>
        <v>0.1519974271446492</v>
      </c>
      <c r="R24" s="57">
        <f t="shared" si="25"/>
        <v>0.15212277574996141</v>
      </c>
      <c r="S24" s="57">
        <f t="shared" si="25"/>
        <v>0.16199700964827565</v>
      </c>
      <c r="T24" s="57">
        <f t="shared" si="25"/>
        <v>0.16866625574222124</v>
      </c>
      <c r="U24" s="57">
        <f t="shared" si="25"/>
        <v>0.20251546338288251</v>
      </c>
      <c r="V24" s="57">
        <f t="shared" si="25"/>
        <v>0.18373128779143877</v>
      </c>
      <c r="W24" s="57">
        <f t="shared" si="25"/>
        <v>0.18725934766795502</v>
      </c>
      <c r="X24" s="57">
        <f t="shared" si="25"/>
        <v>0.17900643911817007</v>
      </c>
      <c r="Y24" s="57">
        <f t="shared" si="25"/>
        <v>0.19453892865404357</v>
      </c>
      <c r="Z24" s="57">
        <f t="shared" si="25"/>
        <v>0.16828892926615827</v>
      </c>
      <c r="AA24" s="57">
        <f t="shared" si="25"/>
        <v>0.17138364401423534</v>
      </c>
      <c r="AB24" s="57">
        <f t="shared" si="25"/>
        <v>0.13082176474519375</v>
      </c>
      <c r="AC24" s="57">
        <f t="shared" si="25"/>
        <v>0.16769361180320969</v>
      </c>
      <c r="AD24" s="57">
        <f t="shared" si="25"/>
        <v>0.13644627753251992</v>
      </c>
      <c r="AE24" s="57">
        <f t="shared" si="25"/>
        <v>0.14372243425303119</v>
      </c>
      <c r="AF24" s="57">
        <f t="shared" si="25"/>
        <v>0.11775294607242956</v>
      </c>
      <c r="AG24" s="57">
        <f t="shared" si="25"/>
        <v>0.16613168208516982</v>
      </c>
      <c r="AH24" s="57">
        <f t="shared" si="25"/>
        <v>0.14199719647308995</v>
      </c>
      <c r="AI24" s="57">
        <f t="shared" si="25"/>
        <v>0.13382861853097713</v>
      </c>
      <c r="AJ24" s="57">
        <f t="shared" si="25"/>
        <v>7.9093029287247249E-2</v>
      </c>
      <c r="AK24" s="57">
        <f t="shared" si="25"/>
        <v>0.13069922516532209</v>
      </c>
      <c r="AL24" s="57">
        <f t="shared" si="25"/>
        <v>0.10198360649260334</v>
      </c>
      <c r="AM24" s="57">
        <f t="shared" si="25"/>
        <v>9.5538088361335247E-2</v>
      </c>
      <c r="AN24" s="57">
        <f t="shared" si="25"/>
        <v>2.6316344459852998E-2</v>
      </c>
      <c r="AO24" s="57">
        <f t="shared" si="25"/>
        <v>0.15121529974782433</v>
      </c>
      <c r="AP24" s="57">
        <f t="shared" si="25"/>
        <v>0.1589478752649835</v>
      </c>
      <c r="AQ24" s="57">
        <f t="shared" si="25"/>
        <v>0.12870914771480518</v>
      </c>
      <c r="AR24" s="57">
        <f t="shared" si="25"/>
        <v>6.5051137786290944E-2</v>
      </c>
      <c r="AS24" s="57">
        <f t="shared" si="25"/>
        <v>0.20745856848361163</v>
      </c>
      <c r="AT24" s="57">
        <f t="shared" si="25"/>
        <v>0.21133381216670735</v>
      </c>
      <c r="AU24" s="57">
        <f t="shared" si="25"/>
        <v>0.17024001248979842</v>
      </c>
      <c r="AV24" s="57">
        <f t="shared" si="25"/>
        <v>5.9627529188087371E-2</v>
      </c>
      <c r="AW24" s="57">
        <f t="shared" si="25"/>
        <v>9.8451783999324208E-2</v>
      </c>
      <c r="AX24" s="57">
        <f t="shared" si="25"/>
        <v>0.15947306428753463</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600</v>
      </c>
      <c r="B26" s="152"/>
      <c r="C26" s="152"/>
      <c r="D26" s="152"/>
      <c r="E26" s="153">
        <f>POWER(E2/Y2,1/6)-1</f>
        <v>0.32193446675951343</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38717</v>
      </c>
      <c r="AY27" s="1">
        <v>25569</v>
      </c>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2094342275.8900001</v>
      </c>
      <c r="F28" s="26">
        <f>股权价值增加表!F15</f>
        <v>1188124188.4200006</v>
      </c>
      <c r="G28" s="26">
        <f>股权价值增加表!G15</f>
        <v>851431318.41999984</v>
      </c>
      <c r="H28" s="26">
        <f>股权价值增加表!H15</f>
        <v>325421028.30000001</v>
      </c>
      <c r="I28" s="26">
        <f>股权价值增加表!I15</f>
        <v>1916205789.7300005</v>
      </c>
      <c r="J28" s="26">
        <f>股权价值增加表!J15</f>
        <v>1092925331.9699996</v>
      </c>
      <c r="K28" s="26">
        <f>股权价值增加表!K15</f>
        <v>779039259.2700001</v>
      </c>
      <c r="L28" s="26">
        <f>股权价值增加表!L15</f>
        <v>248967910.47999996</v>
      </c>
      <c r="M28" s="26">
        <f>股权价值增加表!M15</f>
        <v>1476811105.53</v>
      </c>
      <c r="N28" s="26">
        <f>股权价值增加表!N15</f>
        <v>803428296.01999998</v>
      </c>
      <c r="O28" s="26">
        <f>股权价值增加表!O15</f>
        <v>510501124.16000009</v>
      </c>
      <c r="P28" s="26">
        <f>股权价值增加表!P15</f>
        <v>101658140.68000002</v>
      </c>
      <c r="Q28" s="26">
        <f>股权价值增加表!Q15</f>
        <v>1220590742.7899997</v>
      </c>
      <c r="R28" s="26">
        <f>股权价值增加表!R15</f>
        <v>773749259.48999977</v>
      </c>
      <c r="S28" s="26">
        <f>股权价值增加表!S15</f>
        <v>540299110.26999986</v>
      </c>
      <c r="T28" s="26">
        <f>股权价值增加表!T15</f>
        <v>229244912.87000003</v>
      </c>
      <c r="U28" s="26">
        <f>股权价值增加表!U15</f>
        <v>1090829599.9500003</v>
      </c>
      <c r="V28" s="26">
        <f>股权价值增加表!V15</f>
        <v>675689107.48999989</v>
      </c>
      <c r="W28" s="26">
        <f>股权价值增加表!W15</f>
        <v>426504699.05999994</v>
      </c>
      <c r="X28" s="26">
        <f>股权价值增加表!X15</f>
        <v>159903281.45000005</v>
      </c>
      <c r="Y28" s="26">
        <f>股权价值增加表!Y15</f>
        <v>743858130.4399997</v>
      </c>
      <c r="Z28" s="26">
        <f>股权价值增加表!Z15</f>
        <v>418987724.47000009</v>
      </c>
      <c r="AA28" s="26">
        <f>股权价值增加表!AA15</f>
        <v>254325744.83000022</v>
      </c>
      <c r="AB28" s="26">
        <f>股权价值增加表!AB15</f>
        <v>73947881.260000005</v>
      </c>
      <c r="AC28" s="26">
        <f>股权价值增加表!AC15</f>
        <v>406875422.6099999</v>
      </c>
      <c r="AD28" s="26">
        <f>股权价值增加表!AD15</f>
        <v>230813736.81999996</v>
      </c>
      <c r="AE28" s="26">
        <f>股权价值增加表!AE15</f>
        <v>145876442.48000002</v>
      </c>
      <c r="AF28" s="26">
        <f>股权价值增加表!AF15</f>
        <v>42690900.690000027</v>
      </c>
      <c r="AG28" s="26">
        <f>股权价值增加表!AG15</f>
        <v>279396902.21000004</v>
      </c>
      <c r="AH28" s="26">
        <f>股权价值增加表!AH15</f>
        <v>150091406.32999998</v>
      </c>
      <c r="AI28" s="26">
        <f>股权价值增加表!AI15</f>
        <v>84845359.12999998</v>
      </c>
      <c r="AJ28" s="26">
        <f>股权价值增加表!AJ15</f>
        <v>18296402.329999987</v>
      </c>
      <c r="AK28" s="26">
        <f>股权价值增加表!AK15</f>
        <v>119315834.69000006</v>
      </c>
      <c r="AL28" s="26">
        <f>股权价值增加表!AL15</f>
        <v>57006600.750000015</v>
      </c>
      <c r="AM28" s="26">
        <f>股权价值增加表!AM15</f>
        <v>30740871.670000017</v>
      </c>
      <c r="AN28" s="26">
        <f>股权价值增加表!AN15</f>
        <v>3446503.4400000009</v>
      </c>
      <c r="AO28" s="26">
        <f>股权价值增加表!AO15</f>
        <v>101927060.95999998</v>
      </c>
      <c r="AP28" s="26">
        <f>股权价值增加表!AP15</f>
        <v>78944639.309999987</v>
      </c>
      <c r="AQ28" s="26">
        <f>股权价值增加表!AQ15</f>
        <v>40747397.19000002</v>
      </c>
      <c r="AR28" s="26">
        <f>股权价值增加表!AR15</f>
        <v>6568633.9800000051</v>
      </c>
      <c r="AS28" s="26">
        <f>股权价值增加表!AS15</f>
        <v>95322786.569999963</v>
      </c>
      <c r="AT28" s="26">
        <f>股权价值增加表!AT15</f>
        <v>57174309.780000001</v>
      </c>
      <c r="AU28" s="26">
        <f>股权价值增加表!AU15</f>
        <v>25944036.719999988</v>
      </c>
      <c r="AV28" s="26">
        <f>股权价值增加表!AV15</f>
        <v>3035638.5300000021</v>
      </c>
      <c r="AW28" s="26">
        <f>股权价值增加表!AW15</f>
        <v>47207619.649999984</v>
      </c>
      <c r="AX28" s="26">
        <f>股权价值增加表!AX15</f>
        <v>49842729.319999993</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1.0559438591106634</v>
      </c>
      <c r="F29" s="59">
        <f t="shared" si="27"/>
        <v>1.0172658527289866</v>
      </c>
      <c r="G29" s="59">
        <f t="shared" si="27"/>
        <v>1.0162672408176274</v>
      </c>
      <c r="H29" s="59">
        <f t="shared" si="27"/>
        <v>1.0236556348735781</v>
      </c>
      <c r="I29" s="59">
        <f t="shared" si="27"/>
        <v>0.98132663244974705</v>
      </c>
      <c r="J29" s="59">
        <f t="shared" si="27"/>
        <v>0.98786715397745106</v>
      </c>
      <c r="K29" s="59">
        <f t="shared" si="27"/>
        <v>0.97963587734866842</v>
      </c>
      <c r="L29" s="59">
        <f t="shared" si="27"/>
        <v>0.99416249144438473</v>
      </c>
      <c r="M29" s="59">
        <f t="shared" si="27"/>
        <v>0.97589314906919322</v>
      </c>
      <c r="N29" s="59">
        <f t="shared" si="27"/>
        <v>0.98918441246870425</v>
      </c>
      <c r="O29" s="59">
        <f t="shared" si="27"/>
        <v>0.98139272766427432</v>
      </c>
      <c r="P29" s="59">
        <f t="shared" si="27"/>
        <v>0.96095237349737583</v>
      </c>
      <c r="Q29" s="59">
        <f t="shared" si="27"/>
        <v>0.96854018973414935</v>
      </c>
      <c r="R29" s="59">
        <f t="shared" si="27"/>
        <v>1.0006186860677484</v>
      </c>
      <c r="S29" s="59">
        <f t="shared" si="27"/>
        <v>1.0004712081421434</v>
      </c>
      <c r="T29" s="59">
        <f t="shared" si="27"/>
        <v>1.0047240591282516</v>
      </c>
      <c r="U29" s="59">
        <f t="shared" si="27"/>
        <v>0.96619716005359557</v>
      </c>
      <c r="V29" s="59">
        <f t="shared" si="27"/>
        <v>0.99080562533614869</v>
      </c>
      <c r="W29" s="59">
        <f t="shared" si="27"/>
        <v>0.99134845699005614</v>
      </c>
      <c r="X29" s="59">
        <f t="shared" si="27"/>
        <v>0.97891212237346292</v>
      </c>
      <c r="Y29" s="59">
        <f t="shared" si="27"/>
        <v>0.97755411878380793</v>
      </c>
      <c r="Z29" s="59">
        <f t="shared" si="27"/>
        <v>1.003643113571717</v>
      </c>
      <c r="AA29" s="59">
        <f t="shared" si="27"/>
        <v>0.99084469426396393</v>
      </c>
      <c r="AB29" s="59">
        <f t="shared" si="27"/>
        <v>1.004746518874019</v>
      </c>
      <c r="AC29" s="59">
        <f t="shared" si="27"/>
        <v>0.97608884820705499</v>
      </c>
      <c r="AD29" s="59">
        <f t="shared" si="27"/>
        <v>1.0191124193430621</v>
      </c>
      <c r="AE29" s="59">
        <f t="shared" si="27"/>
        <v>1.0159492037998461</v>
      </c>
      <c r="AF29" s="59">
        <f t="shared" si="27"/>
        <v>1.0192819053048563</v>
      </c>
      <c r="AG29" s="59">
        <f t="shared" si="27"/>
        <v>0.96015261656216921</v>
      </c>
      <c r="AH29" s="59">
        <f t="shared" si="27"/>
        <v>1</v>
      </c>
      <c r="AI29" s="59">
        <f t="shared" si="27"/>
        <v>1</v>
      </c>
      <c r="AJ29" s="59">
        <f t="shared" si="27"/>
        <v>1</v>
      </c>
      <c r="AK29" s="59">
        <f t="shared" ref="AK29:BP29" si="28">AK28/AK34</f>
        <v>0.93117775649828094</v>
      </c>
      <c r="AL29" s="59">
        <f t="shared" si="28"/>
        <v>1</v>
      </c>
      <c r="AM29" s="59">
        <f t="shared" si="28"/>
        <v>1</v>
      </c>
      <c r="AN29" s="59">
        <f t="shared" si="28"/>
        <v>1</v>
      </c>
      <c r="AO29" s="59">
        <f t="shared" si="28"/>
        <v>0.91366514390820375</v>
      </c>
      <c r="AP29" s="59">
        <f t="shared" si="28"/>
        <v>1</v>
      </c>
      <c r="AQ29" s="59">
        <f t="shared" si="28"/>
        <v>1</v>
      </c>
      <c r="AR29" s="59">
        <f t="shared" si="28"/>
        <v>1</v>
      </c>
      <c r="AS29" s="59">
        <f t="shared" si="28"/>
        <v>0.9903664424966484</v>
      </c>
      <c r="AT29" s="59">
        <f t="shared" si="28"/>
        <v>0.997776044393336</v>
      </c>
      <c r="AU29" s="59">
        <f t="shared" si="28"/>
        <v>0.96586462520660776</v>
      </c>
      <c r="AV29" s="59">
        <f t="shared" si="28"/>
        <v>1</v>
      </c>
      <c r="AW29" s="59">
        <f t="shared" si="28"/>
        <v>0.86797367101195633</v>
      </c>
      <c r="AX29" s="59">
        <f t="shared" si="28"/>
        <v>1</v>
      </c>
      <c r="AY29" s="59" t="e">
        <f t="shared" si="28"/>
        <v>#DIV/0!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-37464812.350000001</v>
      </c>
      <c r="F30" s="26">
        <f>股权价值增加表!F20</f>
        <v>-28341585.190000001</v>
      </c>
      <c r="G30" s="26">
        <f>股权价值增加表!G20</f>
        <v>-18719464.170000002</v>
      </c>
      <c r="H30" s="26">
        <f>股权价值增加表!H20</f>
        <v>-9332581.2400000002</v>
      </c>
      <c r="I30" s="26">
        <f>股权价值增加表!I20</f>
        <v>1658248.41</v>
      </c>
      <c r="J30" s="26">
        <f>股权价值增加表!J20</f>
        <v>-10234573.880000001</v>
      </c>
      <c r="K30" s="26">
        <f>股权价值增加表!K20</f>
        <v>-5409647.9800000004</v>
      </c>
      <c r="L30" s="26">
        <f>股权价值增加表!L20</f>
        <v>-169168.62</v>
      </c>
      <c r="M30" s="26">
        <f>股权价值增加表!M20</f>
        <v>715015.65</v>
      </c>
      <c r="N30" s="26">
        <f>股权价值增加表!N20</f>
        <v>353243.58</v>
      </c>
      <c r="O30" s="26">
        <f>股权价值增加表!O20</f>
        <v>-173161.17</v>
      </c>
      <c r="P30" s="26">
        <f>股权价值增加表!P20</f>
        <v>-298639.57</v>
      </c>
      <c r="Q30" s="26">
        <f>股权价值增加表!Q20</f>
        <v>-787545.47</v>
      </c>
      <c r="R30" s="26">
        <f>股权价值增加表!R20</f>
        <v>-580024.36</v>
      </c>
      <c r="S30" s="26">
        <f>股权价值增加表!S20</f>
        <v>-429691.77</v>
      </c>
      <c r="T30" s="26">
        <f>股权价值增加表!T20</f>
        <v>-281505.40000000002</v>
      </c>
      <c r="U30" s="26">
        <f>股权价值增加表!U20</f>
        <v>-1246471.45</v>
      </c>
      <c r="V30" s="26">
        <f>股权价值增加表!V20</f>
        <v>-818882.48</v>
      </c>
      <c r="W30" s="26">
        <f>股权价值增加表!W20</f>
        <v>-475924.3</v>
      </c>
      <c r="X30" s="26">
        <f>股权价值增加表!X20</f>
        <v>-438718.13</v>
      </c>
      <c r="Y30" s="26">
        <f>股权价值增加表!Y20</f>
        <v>-1010471.67</v>
      </c>
      <c r="Z30" s="26">
        <f>股权价值增加表!Z20</f>
        <v>-808000.98</v>
      </c>
      <c r="AA30" s="26">
        <f>股权价值增加表!AA20</f>
        <v>-906511.98</v>
      </c>
      <c r="AB30" s="26">
        <f>股权价值增加表!AB20</f>
        <v>-435336.88</v>
      </c>
      <c r="AC30" s="26">
        <f>股权价值增加表!AC20</f>
        <v>365449.12</v>
      </c>
      <c r="AD30" s="26">
        <f>股权价值增加表!AD20</f>
        <v>-49865.34</v>
      </c>
      <c r="AE30" s="26">
        <f>股权价值增加表!AE20</f>
        <v>-49865.34</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-1.8889337711957485E-2</v>
      </c>
      <c r="F31" s="59">
        <f t="shared" ref="F31:BQ31" si="30">F30/F34</f>
        <v>-2.426592026910647E-2</v>
      </c>
      <c r="G31" s="59">
        <f t="shared" si="30"/>
        <v>-2.2343526471322567E-2</v>
      </c>
      <c r="H31" s="59">
        <f t="shared" si="30"/>
        <v>-2.9356890131372756E-2</v>
      </c>
      <c r="I31" s="59">
        <f t="shared" si="30"/>
        <v>8.492215902237394E-4</v>
      </c>
      <c r="J31" s="59">
        <f t="shared" si="30"/>
        <v>-9.2507686255048644E-3</v>
      </c>
      <c r="K31" s="59">
        <f t="shared" si="30"/>
        <v>-6.8025907320776657E-3</v>
      </c>
      <c r="L31" s="59">
        <f t="shared" si="30"/>
        <v>-6.7551314709257953E-4</v>
      </c>
      <c r="M31" s="59">
        <f t="shared" si="30"/>
        <v>4.7249026750908422E-4</v>
      </c>
      <c r="N31" s="59">
        <f t="shared" si="30"/>
        <v>4.3491503208388797E-4</v>
      </c>
      <c r="O31" s="59">
        <f t="shared" si="30"/>
        <v>-3.3288685354309857E-4</v>
      </c>
      <c r="P31" s="59">
        <f t="shared" si="30"/>
        <v>-2.8229751369847271E-3</v>
      </c>
      <c r="Q31" s="59">
        <f t="shared" si="30"/>
        <v>-6.2491825654399777E-4</v>
      </c>
      <c r="R31" s="59">
        <f t="shared" si="30"/>
        <v>-7.5009210783999177E-4</v>
      </c>
      <c r="S31" s="59">
        <f t="shared" si="30"/>
        <v>-7.9565973011839325E-4</v>
      </c>
      <c r="T31" s="59">
        <f t="shared" si="30"/>
        <v>-1.2337689182002134E-3</v>
      </c>
      <c r="U31" s="59">
        <f t="shared" si="30"/>
        <v>-1.1040561927665785E-3</v>
      </c>
      <c r="V31" s="59">
        <f t="shared" si="30"/>
        <v>-1.2007791137660512E-3</v>
      </c>
      <c r="W31" s="59">
        <f t="shared" si="30"/>
        <v>-1.1062171682725108E-3</v>
      </c>
      <c r="X31" s="59">
        <f t="shared" si="30"/>
        <v>-2.6857891337039642E-3</v>
      </c>
      <c r="Y31" s="59">
        <f t="shared" si="30"/>
        <v>-1.3279289457232449E-3</v>
      </c>
      <c r="Z31" s="59">
        <f t="shared" si="30"/>
        <v>-1.9354853900839352E-3</v>
      </c>
      <c r="AA31" s="59">
        <f t="shared" si="30"/>
        <v>-3.5317407062746072E-3</v>
      </c>
      <c r="AB31" s="59">
        <f t="shared" si="30"/>
        <v>-5.9150202448609891E-3</v>
      </c>
      <c r="AC31" s="59">
        <f t="shared" si="30"/>
        <v>8.7670768691525981E-4</v>
      </c>
      <c r="AD31" s="59">
        <f t="shared" si="30"/>
        <v>-2.2017054959079437E-4</v>
      </c>
      <c r="AE31" s="59">
        <f t="shared" si="30"/>
        <v>-3.472846719384064E-4</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t="e">
        <f t="shared" si="30"/>
        <v>#DIV/0!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-73493349.110000014</v>
      </c>
      <c r="F32" s="26">
        <f>股权价值增加表!F27</f>
        <v>8175787.6199999992</v>
      </c>
      <c r="G32" s="26">
        <f>股权价值增加表!G27</f>
        <v>5090727.8100000015</v>
      </c>
      <c r="H32" s="26">
        <f>股权价值增加表!H27</f>
        <v>1812434.0700000003</v>
      </c>
      <c r="I32" s="26">
        <f>股权价值增加表!I27</f>
        <v>34804651.740000002</v>
      </c>
      <c r="J32" s="26">
        <f>股权价值增加表!J27</f>
        <v>23657729.73</v>
      </c>
      <c r="K32" s="26">
        <f>股权价值增加表!K27</f>
        <v>21603880.340000004</v>
      </c>
      <c r="L32" s="26">
        <f>股权价值增加表!L27</f>
        <v>1631054.7</v>
      </c>
      <c r="M32" s="26">
        <f>股权价值增加表!M27</f>
        <v>35765684.32</v>
      </c>
      <c r="N32" s="26">
        <f>股权价值增加表!N27</f>
        <v>8431315.6499999985</v>
      </c>
      <c r="O32" s="26">
        <f>股权价值增加表!O27</f>
        <v>9852296.9299999997</v>
      </c>
      <c r="P32" s="26">
        <f>股权价值增加表!P27</f>
        <v>4429446.9000000004</v>
      </c>
      <c r="Q32" s="26">
        <f>股权价值增加表!Q27</f>
        <v>40434380.560000002</v>
      </c>
      <c r="R32" s="26">
        <f>股权价值增加表!R27</f>
        <v>101612.45999999999</v>
      </c>
      <c r="S32" s="26">
        <f>股权价值增加表!S27</f>
        <v>175218.34000000003</v>
      </c>
      <c r="T32" s="26">
        <f>股权价值增加表!T27</f>
        <v>-796369.18</v>
      </c>
      <c r="U32" s="26">
        <f>股权价值增加表!U27</f>
        <v>39409633.070000008</v>
      </c>
      <c r="V32" s="26">
        <f>股权价值增加表!V27</f>
        <v>7089071.7599999998</v>
      </c>
      <c r="W32" s="26">
        <f>股权价值增加表!W27</f>
        <v>4198050.18</v>
      </c>
      <c r="X32" s="26">
        <f>股权价值增加表!X27</f>
        <v>3883379.56</v>
      </c>
      <c r="Y32" s="26">
        <f>股权价值增加表!Y27</f>
        <v>18090396.879999999</v>
      </c>
      <c r="Z32" s="26">
        <f>股权价值增加表!Z27</f>
        <v>-712878.15</v>
      </c>
      <c r="AA32" s="26">
        <f>股权价值增加表!AA27</f>
        <v>3256456.3899999997</v>
      </c>
      <c r="AB32" s="26">
        <f>股权价值增加表!AB27</f>
        <v>86000</v>
      </c>
      <c r="AC32" s="26">
        <f>股权价值增加表!AC27</f>
        <v>9601737.7899999991</v>
      </c>
      <c r="AD32" s="26">
        <f>股权价值增加表!AD27</f>
        <v>-4278812.09</v>
      </c>
      <c r="AE32" s="26">
        <f>股权价值增加表!AE27</f>
        <v>-2240222.69</v>
      </c>
      <c r="AF32" s="26">
        <f>股权价值增加表!AF27</f>
        <v>-807590.03</v>
      </c>
      <c r="AG32" s="26">
        <f>股权价值增加表!AG27</f>
        <v>11595276.940000001</v>
      </c>
      <c r="AH32" s="26">
        <f>股权价值增加表!AH27</f>
        <v>0</v>
      </c>
      <c r="AI32" s="26">
        <f>股权价值增加表!AI27</f>
        <v>0</v>
      </c>
      <c r="AJ32" s="26">
        <f>股权价值增加表!AJ27</f>
        <v>0</v>
      </c>
      <c r="AK32" s="26">
        <f>股权价值增加表!AK27</f>
        <v>8818491.8200000003</v>
      </c>
      <c r="AL32" s="26">
        <f>股权价值增加表!AL27</f>
        <v>0</v>
      </c>
      <c r="AM32" s="26">
        <f>股权价值增加表!AM27</f>
        <v>0</v>
      </c>
      <c r="AN32" s="26">
        <f>股权价值增加表!AN27</f>
        <v>0</v>
      </c>
      <c r="AO32" s="26">
        <f>股权价值增加表!AO27</f>
        <v>9631382.129999999</v>
      </c>
      <c r="AP32" s="26">
        <f>股权价值增加表!AP27</f>
        <v>0</v>
      </c>
      <c r="AQ32" s="26">
        <f>股权价值增加表!AQ27</f>
        <v>0</v>
      </c>
      <c r="AR32" s="26">
        <f>股权价值增加表!AR27</f>
        <v>0</v>
      </c>
      <c r="AS32" s="26">
        <f>股权价值增加表!AS27</f>
        <v>927230.07</v>
      </c>
      <c r="AT32" s="26">
        <f>股权价值增加表!AT27</f>
        <v>127436.54</v>
      </c>
      <c r="AU32" s="26">
        <f>股权价值增加表!AU27</f>
        <v>916908.43</v>
      </c>
      <c r="AV32" s="26">
        <f>股权价值增加表!AV27</f>
        <v>0</v>
      </c>
      <c r="AW32" s="26">
        <f>股权价值增加表!AW27</f>
        <v>7180688.6900000004</v>
      </c>
      <c r="AX32" s="26">
        <f>股权价值增加表!AX27</f>
        <v>0</v>
      </c>
      <c r="AY32" s="26">
        <f>股权价值增加表!AY27</f>
        <v>0</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-3.7054521398706013E-2</v>
      </c>
      <c r="F33" s="59">
        <f t="shared" ref="F33:BQ33" si="32">F32/F34</f>
        <v>7.0000675401201053E-3</v>
      </c>
      <c r="G33" s="59">
        <f t="shared" si="32"/>
        <v>6.0762856536952349E-3</v>
      </c>
      <c r="H33" s="59">
        <f t="shared" si="32"/>
        <v>5.7012552577947627E-3</v>
      </c>
      <c r="I33" s="59">
        <f t="shared" si="32"/>
        <v>1.7824145960029139E-2</v>
      </c>
      <c r="J33" s="59">
        <f t="shared" si="32"/>
        <v>2.138361464805388E-2</v>
      </c>
      <c r="K33" s="59">
        <f t="shared" si="32"/>
        <v>2.7166713383409265E-2</v>
      </c>
      <c r="L33" s="59">
        <f t="shared" si="32"/>
        <v>6.5130217027078849E-3</v>
      </c>
      <c r="M33" s="59">
        <f t="shared" si="32"/>
        <v>2.3634360663297729E-2</v>
      </c>
      <c r="N33" s="59">
        <f t="shared" si="32"/>
        <v>1.0380672499211836E-2</v>
      </c>
      <c r="O33" s="59">
        <f t="shared" si="32"/>
        <v>1.8940159189268755E-2</v>
      </c>
      <c r="P33" s="59">
        <f t="shared" si="32"/>
        <v>4.1870601639608825E-2</v>
      </c>
      <c r="Q33" s="59">
        <f t="shared" si="32"/>
        <v>3.2084728522394676E-2</v>
      </c>
      <c r="R33" s="59">
        <f t="shared" si="32"/>
        <v>1.3140604009150039E-4</v>
      </c>
      <c r="S33" s="59">
        <f t="shared" si="32"/>
        <v>3.2445158797477755E-4</v>
      </c>
      <c r="T33" s="59">
        <f t="shared" si="32"/>
        <v>-3.4902902100513566E-3</v>
      </c>
      <c r="U33" s="59">
        <f t="shared" si="32"/>
        <v>3.4906896139171147E-2</v>
      </c>
      <c r="V33" s="59">
        <f t="shared" si="32"/>
        <v>1.0395153777617443E-2</v>
      </c>
      <c r="W33" s="59">
        <f t="shared" si="32"/>
        <v>9.7577601782163764E-3</v>
      </c>
      <c r="X33" s="59">
        <f t="shared" si="32"/>
        <v>2.3773666760240984E-2</v>
      </c>
      <c r="Y33" s="59">
        <f t="shared" si="32"/>
        <v>2.3773810161915255E-2</v>
      </c>
      <c r="Z33" s="59">
        <f t="shared" si="32"/>
        <v>-1.7076281816329781E-3</v>
      </c>
      <c r="AA33" s="59">
        <f t="shared" si="32"/>
        <v>1.2687046442310732E-2</v>
      </c>
      <c r="AB33" s="59">
        <f t="shared" si="32"/>
        <v>1.1685013708419214E-3</v>
      </c>
      <c r="AC33" s="59">
        <f t="shared" si="32"/>
        <v>2.3034444106029693E-2</v>
      </c>
      <c r="AD33" s="59">
        <f t="shared" si="32"/>
        <v>-1.8892248793471289E-2</v>
      </c>
      <c r="AE33" s="59">
        <f t="shared" si="32"/>
        <v>-1.5601919127907768E-2</v>
      </c>
      <c r="AF33" s="59">
        <f t="shared" si="32"/>
        <v>-1.9281905304856326E-2</v>
      </c>
      <c r="AG33" s="59">
        <f t="shared" si="32"/>
        <v>3.9847383437830793E-2</v>
      </c>
      <c r="AH33" s="59">
        <f t="shared" si="32"/>
        <v>0</v>
      </c>
      <c r="AI33" s="59">
        <f t="shared" si="32"/>
        <v>0</v>
      </c>
      <c r="AJ33" s="59">
        <f t="shared" si="32"/>
        <v>0</v>
      </c>
      <c r="AK33" s="59">
        <f t="shared" si="32"/>
        <v>6.8822243501719074E-2</v>
      </c>
      <c r="AL33" s="59">
        <f t="shared" si="32"/>
        <v>0</v>
      </c>
      <c r="AM33" s="59">
        <f t="shared" si="32"/>
        <v>0</v>
      </c>
      <c r="AN33" s="59">
        <f t="shared" si="32"/>
        <v>0</v>
      </c>
      <c r="AO33" s="59">
        <f t="shared" si="32"/>
        <v>8.6334856091796336E-2</v>
      </c>
      <c r="AP33" s="59">
        <f t="shared" si="32"/>
        <v>0</v>
      </c>
      <c r="AQ33" s="59">
        <f t="shared" si="32"/>
        <v>0</v>
      </c>
      <c r="AR33" s="59">
        <f t="shared" si="32"/>
        <v>0</v>
      </c>
      <c r="AS33" s="59">
        <f t="shared" si="32"/>
        <v>9.6335575033517241E-3</v>
      </c>
      <c r="AT33" s="59">
        <f t="shared" si="32"/>
        <v>2.2239556066639609E-3</v>
      </c>
      <c r="AU33" s="59">
        <f t="shared" si="32"/>
        <v>3.4135374793392202E-2</v>
      </c>
      <c r="AV33" s="59">
        <f t="shared" si="32"/>
        <v>0</v>
      </c>
      <c r="AW33" s="59">
        <f t="shared" si="32"/>
        <v>0.13202632898804373</v>
      </c>
      <c r="AX33" s="59">
        <f t="shared" si="32"/>
        <v>0</v>
      </c>
      <c r="AY33" s="59" t="e">
        <f t="shared" si="32"/>
        <v>#DIV/0!</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1983384114.4300003</v>
      </c>
      <c r="F34" s="58">
        <f>股权价值增加表!F31</f>
        <v>1167958390.8500004</v>
      </c>
      <c r="G34" s="58">
        <f>股权价值增加表!G31</f>
        <v>837802582.05999982</v>
      </c>
      <c r="H34" s="58">
        <f>股权价值增加表!H31</f>
        <v>317900881.13</v>
      </c>
      <c r="I34" s="58">
        <f>股权价值增加表!I31</f>
        <v>1952668689.8800006</v>
      </c>
      <c r="J34" s="58">
        <f>股权价值增加表!J31</f>
        <v>1106348487.8199995</v>
      </c>
      <c r="K34" s="58">
        <f>股权价值增加表!K31</f>
        <v>795233491.63000011</v>
      </c>
      <c r="L34" s="58">
        <f>股权价值增加表!L31</f>
        <v>250429796.55999994</v>
      </c>
      <c r="M34" s="58">
        <f>股权价值增加表!M31</f>
        <v>1513291805.5</v>
      </c>
      <c r="N34" s="58">
        <f>股权价值增加表!N31</f>
        <v>812212855.25</v>
      </c>
      <c r="O34" s="58">
        <f>股权价值增加表!O31</f>
        <v>520180259.92000008</v>
      </c>
      <c r="P34" s="58">
        <f>股权价值增加表!P31</f>
        <v>105788948.01000004</v>
      </c>
      <c r="Q34" s="58">
        <f>股权价值增加表!Q31</f>
        <v>1260237577.8799996</v>
      </c>
      <c r="R34" s="58">
        <f>股权价值增加表!R31</f>
        <v>773270847.58999979</v>
      </c>
      <c r="S34" s="58">
        <f>股权价值增加表!S31</f>
        <v>540044636.83999991</v>
      </c>
      <c r="T34" s="58">
        <f>股权价值增加表!T31</f>
        <v>228167038.29000002</v>
      </c>
      <c r="U34" s="58">
        <f>股权价值增加表!U31</f>
        <v>1128992761.5700002</v>
      </c>
      <c r="V34" s="58">
        <f>股权价值增加表!V31</f>
        <v>681959296.76999986</v>
      </c>
      <c r="W34" s="58">
        <f>股权价值增加表!W31</f>
        <v>430226824.93999994</v>
      </c>
      <c r="X34" s="58">
        <f>股权价值增加表!X31</f>
        <v>163347942.88000005</v>
      </c>
      <c r="Y34" s="58">
        <f>股权价值增加表!Y31</f>
        <v>760938055.64999974</v>
      </c>
      <c r="Z34" s="58">
        <f>股权价值增加表!Z31</f>
        <v>417466845.34000009</v>
      </c>
      <c r="AA34" s="58">
        <f>股权价值增加表!AA31</f>
        <v>256675689.24000022</v>
      </c>
      <c r="AB34" s="58">
        <f>股权价值增加表!AB31</f>
        <v>73598544.38000001</v>
      </c>
      <c r="AC34" s="58">
        <f>股权价值增加表!AC31</f>
        <v>416842609.51999992</v>
      </c>
      <c r="AD34" s="58">
        <f>股权价值增加表!AD31</f>
        <v>226485059.38999996</v>
      </c>
      <c r="AE34" s="58">
        <f>股权价值增加表!AE31</f>
        <v>143586354.45000002</v>
      </c>
      <c r="AF34" s="58">
        <f>股权价值增加表!AF31</f>
        <v>41883310.660000026</v>
      </c>
      <c r="AG34" s="58">
        <f>股权价值增加表!AG31</f>
        <v>290992179.15000004</v>
      </c>
      <c r="AH34" s="58">
        <f>股权价值增加表!AH31</f>
        <v>150091406.32999998</v>
      </c>
      <c r="AI34" s="58">
        <f>股权价值增加表!AI31</f>
        <v>84845359.12999998</v>
      </c>
      <c r="AJ34" s="58">
        <f>股权价值增加表!AJ31</f>
        <v>18296402.329999987</v>
      </c>
      <c r="AK34" s="58">
        <f>股权价值增加表!AK31</f>
        <v>128134326.51000005</v>
      </c>
      <c r="AL34" s="58">
        <f>股权价值增加表!AL31</f>
        <v>57006600.750000015</v>
      </c>
      <c r="AM34" s="58">
        <f>股权价值增加表!AM31</f>
        <v>30740871.670000017</v>
      </c>
      <c r="AN34" s="58">
        <f>股权价值增加表!AN31</f>
        <v>3446503.4400000009</v>
      </c>
      <c r="AO34" s="58">
        <f>股权价值增加表!AO31</f>
        <v>111558443.08999997</v>
      </c>
      <c r="AP34" s="58">
        <f>股权价值增加表!AP31</f>
        <v>78944639.309999987</v>
      </c>
      <c r="AQ34" s="58">
        <f>股权价值增加表!AQ31</f>
        <v>40747397.19000002</v>
      </c>
      <c r="AR34" s="58">
        <f>股权价值增加表!AR31</f>
        <v>6568633.9800000051</v>
      </c>
      <c r="AS34" s="58">
        <f>股权价值增加表!AS31</f>
        <v>96250016.639999956</v>
      </c>
      <c r="AT34" s="58">
        <f>股权价值增加表!AT31</f>
        <v>57301746.32</v>
      </c>
      <c r="AU34" s="58">
        <f>股权价值增加表!AU31</f>
        <v>26860945.149999987</v>
      </c>
      <c r="AV34" s="58">
        <f>股权价值增加表!AV31</f>
        <v>3035638.5300000021</v>
      </c>
      <c r="AW34" s="58">
        <f>股权价值增加表!AW31</f>
        <v>54388308.339999981</v>
      </c>
      <c r="AX34" s="58">
        <f>股权价值增加表!AX31</f>
        <v>49842729.319999993</v>
      </c>
      <c r="AY34" s="58">
        <f>股权价值增加表!AY31</f>
        <v>0</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1983384114.4300003</v>
      </c>
      <c r="F39" s="26">
        <f>股权价值增加表!F31</f>
        <v>1167958390.8500004</v>
      </c>
      <c r="G39" s="26">
        <f>股权价值增加表!G31</f>
        <v>837802582.05999982</v>
      </c>
      <c r="H39" s="26">
        <f>股权价值增加表!H31</f>
        <v>317900881.13</v>
      </c>
      <c r="I39" s="26">
        <f>股权价值增加表!I31</f>
        <v>1952668689.8800006</v>
      </c>
      <c r="J39" s="26">
        <f>股权价值增加表!J31</f>
        <v>1106348487.8199995</v>
      </c>
      <c r="K39" s="26">
        <f>股权价值增加表!K31</f>
        <v>795233491.63000011</v>
      </c>
      <c r="L39" s="26">
        <f>股权价值增加表!L31</f>
        <v>250429796.55999994</v>
      </c>
      <c r="M39" s="26">
        <f>股权价值增加表!M31</f>
        <v>1513291805.5</v>
      </c>
      <c r="N39" s="26">
        <f>股权价值增加表!N31</f>
        <v>812212855.25</v>
      </c>
      <c r="O39" s="26">
        <f>股权价值增加表!O31</f>
        <v>520180259.92000008</v>
      </c>
      <c r="P39" s="26">
        <f>股权价值增加表!P31</f>
        <v>105788948.01000004</v>
      </c>
      <c r="Q39" s="26">
        <f>股权价值增加表!Q31</f>
        <v>1260237577.8799996</v>
      </c>
      <c r="R39" s="26">
        <f>股权价值增加表!R31</f>
        <v>773270847.58999979</v>
      </c>
      <c r="S39" s="26">
        <f>股权价值增加表!S31</f>
        <v>540044636.83999991</v>
      </c>
      <c r="T39" s="26">
        <f>股权价值增加表!T31</f>
        <v>228167038.29000002</v>
      </c>
      <c r="U39" s="26">
        <f>股权价值增加表!U31</f>
        <v>1128992761.5700002</v>
      </c>
      <c r="V39" s="26">
        <f>股权价值增加表!V31</f>
        <v>681959296.76999986</v>
      </c>
      <c r="W39" s="26">
        <f>股权价值增加表!W31</f>
        <v>430226824.93999994</v>
      </c>
      <c r="X39" s="26">
        <f>股权价值增加表!X31</f>
        <v>163347942.88000005</v>
      </c>
      <c r="Y39" s="26">
        <f>股权价值增加表!Y31</f>
        <v>760938055.64999974</v>
      </c>
      <c r="Z39" s="26">
        <f>股权价值增加表!Z31</f>
        <v>417466845.34000009</v>
      </c>
      <c r="AA39" s="26">
        <f>股权价值增加表!AA31</f>
        <v>256675689.24000022</v>
      </c>
      <c r="AB39" s="26">
        <f>股权价值增加表!AB31</f>
        <v>73598544.38000001</v>
      </c>
      <c r="AC39" s="26">
        <f>股权价值增加表!AC31</f>
        <v>416842609.51999992</v>
      </c>
      <c r="AD39" s="26">
        <f>股权价值增加表!AD31</f>
        <v>226485059.38999996</v>
      </c>
      <c r="AE39" s="26">
        <f>股权价值增加表!AE31</f>
        <v>143586354.45000002</v>
      </c>
      <c r="AF39" s="26">
        <f>股权价值增加表!AF31</f>
        <v>41883310.660000026</v>
      </c>
      <c r="AG39" s="26">
        <f>股权价值增加表!AG31</f>
        <v>290992179.15000004</v>
      </c>
      <c r="AH39" s="26">
        <f>股权价值增加表!AH31</f>
        <v>150091406.32999998</v>
      </c>
      <c r="AI39" s="26">
        <f>股权价值增加表!AI31</f>
        <v>84845359.12999998</v>
      </c>
      <c r="AJ39" s="26">
        <f>股权价值增加表!AJ31</f>
        <v>18296402.329999987</v>
      </c>
      <c r="AK39" s="26">
        <f>股权价值增加表!AK31</f>
        <v>128134326.51000005</v>
      </c>
      <c r="AL39" s="26">
        <f>股权价值增加表!AL31</f>
        <v>57006600.750000015</v>
      </c>
      <c r="AM39" s="26">
        <f>股权价值增加表!AM31</f>
        <v>30740871.670000017</v>
      </c>
      <c r="AN39" s="26">
        <f>股权价值增加表!AN31</f>
        <v>3446503.4400000009</v>
      </c>
      <c r="AO39" s="26">
        <f>股权价值增加表!AO31</f>
        <v>111558443.08999997</v>
      </c>
      <c r="AP39" s="26">
        <f>股权价值增加表!AP31</f>
        <v>78944639.309999987</v>
      </c>
      <c r="AQ39" s="26">
        <f>股权价值增加表!AQ31</f>
        <v>40747397.19000002</v>
      </c>
      <c r="AR39" s="26">
        <f>股权价值增加表!AR31</f>
        <v>6568633.9800000051</v>
      </c>
      <c r="AS39" s="26">
        <f>股权价值增加表!AS31</f>
        <v>96250016.639999956</v>
      </c>
      <c r="AT39" s="26">
        <f>股权价值增加表!AT31</f>
        <v>57301746.32</v>
      </c>
      <c r="AU39" s="26">
        <f>股权价值增加表!AU31</f>
        <v>26860945.149999987</v>
      </c>
      <c r="AV39" s="26">
        <f>股权价值增加表!AV31</f>
        <v>3035638.5300000021</v>
      </c>
      <c r="AW39" s="26">
        <f>股权价值增加表!AW31</f>
        <v>54388308.339999981</v>
      </c>
      <c r="AX39" s="26">
        <f>股权价值增加表!AX31</f>
        <v>49842729.319999993</v>
      </c>
      <c r="AY39" s="26">
        <f>股权价值增加表!AY31</f>
        <v>0</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1761194977.0600004</v>
      </c>
      <c r="F40" s="26">
        <f>股权价值增加表!F38</f>
        <v>1059160653.0000004</v>
      </c>
      <c r="G40" s="26">
        <f>股权价值增加表!G38</f>
        <v>789139721.10999978</v>
      </c>
      <c r="H40" s="26">
        <f>股权价值增加表!H38</f>
        <v>308022759.50999999</v>
      </c>
      <c r="I40" s="26">
        <f>股权价值增加表!I38</f>
        <v>2083740872.6500006</v>
      </c>
      <c r="J40" s="26">
        <f>股权价值增加表!J38</f>
        <v>1139787912.1399994</v>
      </c>
      <c r="K40" s="26">
        <f>股权价值增加表!K38</f>
        <v>817325611.34000015</v>
      </c>
      <c r="L40" s="26">
        <f>股权价值增加表!L38</f>
        <v>244945740.41999996</v>
      </c>
      <c r="M40" s="26">
        <f>股权价值增加表!M38</f>
        <v>1572195564.3900001</v>
      </c>
      <c r="N40" s="26">
        <f>股权价值增加表!N38</f>
        <v>876800197.46000004</v>
      </c>
      <c r="O40" s="26">
        <f>股权价值增加表!O38</f>
        <v>535749425.31000006</v>
      </c>
      <c r="P40" s="26">
        <f>股权价值增加表!P38</f>
        <v>114353615.72000003</v>
      </c>
      <c r="Q40" s="26">
        <f>股权价值增加表!Q38</f>
        <v>1248365319.0599997</v>
      </c>
      <c r="R40" s="26">
        <f>股权价值增加表!R38</f>
        <v>794231189.97999978</v>
      </c>
      <c r="S40" s="26">
        <f>股权价值增加表!S38</f>
        <v>555472965.88999987</v>
      </c>
      <c r="T40" s="26">
        <f>股权价值增加表!T38</f>
        <v>239305710.72000003</v>
      </c>
      <c r="U40" s="26">
        <f>股权价值增加表!U38</f>
        <v>1114133011.5200002</v>
      </c>
      <c r="V40" s="26">
        <f>股权价值增加表!V38</f>
        <v>693902149.98999989</v>
      </c>
      <c r="W40" s="26">
        <f>股权价值增加表!W38</f>
        <v>432151865.42999995</v>
      </c>
      <c r="X40" s="26">
        <f>股权价值增加表!X38</f>
        <v>160930388.98000005</v>
      </c>
      <c r="Y40" s="26">
        <f>股权价值增加表!Y38</f>
        <v>757347685.12999976</v>
      </c>
      <c r="Z40" s="26">
        <f>股权价值增加表!Z38</f>
        <v>425972041.94000012</v>
      </c>
      <c r="AA40" s="26">
        <f>股权价值增加表!AA38</f>
        <v>256164016.32000023</v>
      </c>
      <c r="AB40" s="26">
        <f>股权价值增加表!AB38</f>
        <v>74962350.360000014</v>
      </c>
      <c r="AC40" s="26">
        <f>股权价值增加表!AC38</f>
        <v>414702411.37999994</v>
      </c>
      <c r="AD40" s="26">
        <f>股权价值增加表!AD38</f>
        <v>235482315.94999996</v>
      </c>
      <c r="AE40" s="26">
        <f>股权价值增加表!AE38</f>
        <v>146046556.40000001</v>
      </c>
      <c r="AF40" s="26">
        <f>股权价值增加表!AF38</f>
        <v>43177755.260000028</v>
      </c>
      <c r="AG40" s="26">
        <f>股权价值增加表!AG38</f>
        <v>290076227.75000006</v>
      </c>
      <c r="AH40" s="26">
        <f>股权价值增加表!AH38</f>
        <v>155031165.75999999</v>
      </c>
      <c r="AI40" s="26">
        <f>股权价值增加表!AI38</f>
        <v>87054205.459999979</v>
      </c>
      <c r="AJ40" s="26">
        <f>股权价值增加表!AJ38</f>
        <v>20098341.689999986</v>
      </c>
      <c r="AK40" s="26">
        <f>股权价值增加表!AK38</f>
        <v>127399260.70000005</v>
      </c>
      <c r="AL40" s="26">
        <f>股权价值增加表!AL38</f>
        <v>64606266.090000018</v>
      </c>
      <c r="AM40" s="26">
        <f>股权价值增加表!AM38</f>
        <v>36530596.480000019</v>
      </c>
      <c r="AN40" s="26">
        <f>股权价值增加表!AN38</f>
        <v>6280479.8800000008</v>
      </c>
      <c r="AO40" s="26">
        <f>股权价值增加表!AO38</f>
        <v>113367106.10999997</v>
      </c>
      <c r="AP40" s="26">
        <f>股权价值增加表!AP38</f>
        <v>82506916.899999991</v>
      </c>
      <c r="AQ40" s="26">
        <f>股权价值增加表!AQ38</f>
        <v>43478992.570000023</v>
      </c>
      <c r="AR40" s="26">
        <f>股权价值增加表!AR38</f>
        <v>7209243.0100000054</v>
      </c>
      <c r="AS40" s="26">
        <f>股权价值增加表!AS38</f>
        <v>97267226.609999955</v>
      </c>
      <c r="AT40" s="26">
        <f>股权价值增加表!AT38</f>
        <v>57554385.969999999</v>
      </c>
      <c r="AU40" s="26">
        <f>股权价值增加表!AU38</f>
        <v>26592403.769999988</v>
      </c>
      <c r="AV40" s="26">
        <f>股权价值增加表!AV38</f>
        <v>2715913.680000002</v>
      </c>
      <c r="AW40" s="26">
        <f>股权价值增加表!AW38</f>
        <v>52466544.159999982</v>
      </c>
      <c r="AX40" s="26">
        <f>股权价值增加表!AX38</f>
        <v>48788832.879999995</v>
      </c>
      <c r="AY40" s="26">
        <f>股权价值增加表!AY38</f>
        <v>0</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0.11202526820371062</v>
      </c>
      <c r="F41" s="59">
        <f t="shared" ref="F41:BQ41" si="34">1-F40/F39</f>
        <v>9.3152066633829911E-2</v>
      </c>
      <c r="G41" s="59">
        <f t="shared" si="34"/>
        <v>5.8083923339490307E-2</v>
      </c>
      <c r="H41" s="59">
        <f t="shared" si="34"/>
        <v>3.1072960807430161E-2</v>
      </c>
      <c r="I41" s="59">
        <f t="shared" si="34"/>
        <v>-6.7124639960327803E-2</v>
      </c>
      <c r="J41" s="59">
        <f t="shared" si="34"/>
        <v>-3.0225037307991975E-2</v>
      </c>
      <c r="K41" s="59">
        <f t="shared" si="34"/>
        <v>-2.7780670636390781E-2</v>
      </c>
      <c r="L41" s="59">
        <f t="shared" si="34"/>
        <v>2.1898576828041638E-2</v>
      </c>
      <c r="M41" s="59">
        <f t="shared" si="34"/>
        <v>-3.8924256826024406E-2</v>
      </c>
      <c r="N41" s="59">
        <f t="shared" si="34"/>
        <v>-7.9520216643357511E-2</v>
      </c>
      <c r="O41" s="59">
        <f t="shared" si="34"/>
        <v>-2.9930327214636065E-2</v>
      </c>
      <c r="P41" s="59">
        <f t="shared" si="34"/>
        <v>-8.0959947812226929E-2</v>
      </c>
      <c r="Q41" s="59">
        <f t="shared" si="34"/>
        <v>9.4206513346251075E-3</v>
      </c>
      <c r="R41" s="59">
        <f t="shared" si="34"/>
        <v>-2.7106081207284083E-2</v>
      </c>
      <c r="S41" s="59">
        <f t="shared" si="34"/>
        <v>-2.8568618216962216E-2</v>
      </c>
      <c r="T41" s="59">
        <f t="shared" si="34"/>
        <v>-4.8818061160274873E-2</v>
      </c>
      <c r="U41" s="59">
        <f t="shared" si="34"/>
        <v>1.3161953340901533E-2</v>
      </c>
      <c r="V41" s="59">
        <f t="shared" si="34"/>
        <v>-1.7512560172675329E-2</v>
      </c>
      <c r="W41" s="59">
        <f t="shared" si="34"/>
        <v>-4.4744780622836267E-3</v>
      </c>
      <c r="X41" s="59">
        <f t="shared" si="34"/>
        <v>1.4800026601963445E-2</v>
      </c>
      <c r="Y41" s="59">
        <f t="shared" si="34"/>
        <v>4.718347956632396E-3</v>
      </c>
      <c r="Z41" s="59">
        <f t="shared" si="34"/>
        <v>-2.0373346278728111E-2</v>
      </c>
      <c r="AA41" s="59">
        <f t="shared" si="34"/>
        <v>1.9934607812489569E-3</v>
      </c>
      <c r="AB41" s="59">
        <f t="shared" si="34"/>
        <v>-1.8530339037121202E-2</v>
      </c>
      <c r="AC41" s="59">
        <f t="shared" si="34"/>
        <v>5.1343075086888179E-3</v>
      </c>
      <c r="AD41" s="59">
        <f t="shared" si="34"/>
        <v>-3.9725607438444888E-2</v>
      </c>
      <c r="AE41" s="59">
        <f t="shared" si="34"/>
        <v>-1.7133953706281124E-2</v>
      </c>
      <c r="AF41" s="59">
        <f t="shared" si="34"/>
        <v>-3.0905976141858416E-2</v>
      </c>
      <c r="AG41" s="59">
        <f t="shared" si="34"/>
        <v>3.1476839091535425E-3</v>
      </c>
      <c r="AH41" s="59">
        <f t="shared" si="34"/>
        <v>-3.2911673964458377E-2</v>
      </c>
      <c r="AI41" s="59">
        <f t="shared" si="34"/>
        <v>-2.6033790800692014E-2</v>
      </c>
      <c r="AJ41" s="59">
        <f t="shared" si="34"/>
        <v>-9.8485993448308662E-2</v>
      </c>
      <c r="AK41" s="59">
        <f t="shared" si="34"/>
        <v>5.7366814187971293E-3</v>
      </c>
      <c r="AL41" s="59">
        <f t="shared" si="34"/>
        <v>-0.13331202422203714</v>
      </c>
      <c r="AM41" s="59">
        <f t="shared" si="34"/>
        <v>-0.18833964346073473</v>
      </c>
      <c r="AN41" s="59">
        <f t="shared" si="34"/>
        <v>-0.82227581934460492</v>
      </c>
      <c r="AO41" s="59">
        <f t="shared" si="34"/>
        <v>-1.6212695067291838E-2</v>
      </c>
      <c r="AP41" s="59">
        <f t="shared" si="34"/>
        <v>-4.5123742677595224E-2</v>
      </c>
      <c r="AQ41" s="59">
        <f t="shared" si="34"/>
        <v>-6.7037297309148647E-2</v>
      </c>
      <c r="AR41" s="59">
        <f t="shared" si="34"/>
        <v>-9.7525456883502448E-2</v>
      </c>
      <c r="AS41" s="59">
        <f t="shared" si="34"/>
        <v>-1.0568413445626978E-2</v>
      </c>
      <c r="AT41" s="59">
        <f t="shared" si="34"/>
        <v>-4.4089345652598144E-3</v>
      </c>
      <c r="AU41" s="59">
        <f t="shared" si="34"/>
        <v>9.9974657816536139E-3</v>
      </c>
      <c r="AV41" s="59">
        <f t="shared" si="34"/>
        <v>0.10532375539455285</v>
      </c>
      <c r="AW41" s="59">
        <f t="shared" si="34"/>
        <v>3.5334141447944889E-2</v>
      </c>
      <c r="AX41" s="59">
        <f t="shared" si="34"/>
        <v>2.1144436799072075E-2</v>
      </c>
      <c r="AY41" s="59" t="e">
        <f t="shared" si="34"/>
        <v>#DIV/0!</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8.9265575171983986</v>
      </c>
      <c r="F42" s="29">
        <f t="shared" ref="F42:BQ42" si="36">F39/(F39-F40)</f>
        <v>10.735134883597215</v>
      </c>
      <c r="G42" s="29">
        <f t="shared" si="36"/>
        <v>17.216467871069529</v>
      </c>
      <c r="H42" s="29">
        <f t="shared" si="36"/>
        <v>32.18232102815513</v>
      </c>
      <c r="I42" s="29">
        <f t="shared" si="36"/>
        <v>-14.897659050253726</v>
      </c>
      <c r="J42" s="29">
        <f t="shared" si="36"/>
        <v>-33.085153537116923</v>
      </c>
      <c r="K42" s="29">
        <f t="shared" si="36"/>
        <v>-35.996251245643769</v>
      </c>
      <c r="L42" s="29">
        <f t="shared" si="36"/>
        <v>45.665068002020966</v>
      </c>
      <c r="M42" s="29">
        <f t="shared" si="36"/>
        <v>-25.690920817566134</v>
      </c>
      <c r="N42" s="29">
        <f t="shared" si="36"/>
        <v>-12.575418455974882</v>
      </c>
      <c r="O42" s="29">
        <f t="shared" si="36"/>
        <v>-33.410927746590055</v>
      </c>
      <c r="P42" s="29">
        <f t="shared" si="36"/>
        <v>-12.351786618234149</v>
      </c>
      <c r="Q42" s="29">
        <f t="shared" si="36"/>
        <v>106.14977292754192</v>
      </c>
      <c r="R42" s="29">
        <f t="shared" si="36"/>
        <v>-36.892090463127225</v>
      </c>
      <c r="S42" s="29">
        <f t="shared" si="36"/>
        <v>-35.003443022885335</v>
      </c>
      <c r="T42" s="29">
        <f t="shared" si="36"/>
        <v>-20.484221950496831</v>
      </c>
      <c r="U42" s="29">
        <f t="shared" si="36"/>
        <v>75.976564731652658</v>
      </c>
      <c r="V42" s="29">
        <f t="shared" si="36"/>
        <v>-57.101873748892835</v>
      </c>
      <c r="W42" s="29">
        <f t="shared" si="36"/>
        <v>-223.48975368304997</v>
      </c>
      <c r="X42" s="29">
        <f t="shared" si="36"/>
        <v>67.567446119815429</v>
      </c>
      <c r="Y42" s="29">
        <f t="shared" si="36"/>
        <v>211.9385872324965</v>
      </c>
      <c r="Z42" s="29">
        <f t="shared" si="36"/>
        <v>-49.083738445269908</v>
      </c>
      <c r="AA42" s="29">
        <f t="shared" si="36"/>
        <v>501.64016739444958</v>
      </c>
      <c r="AB42" s="29">
        <f t="shared" si="36"/>
        <v>-53.965553355323891</v>
      </c>
      <c r="AC42" s="29">
        <f t="shared" si="36"/>
        <v>194.76823277680387</v>
      </c>
      <c r="AD42" s="29">
        <f t="shared" si="36"/>
        <v>-25.172679902994773</v>
      </c>
      <c r="AE42" s="29">
        <f t="shared" si="36"/>
        <v>-58.363645492598977</v>
      </c>
      <c r="AF42" s="29">
        <f t="shared" si="36"/>
        <v>-32.356201771786893</v>
      </c>
      <c r="AG42" s="29">
        <f t="shared" si="36"/>
        <v>317.6939072859189</v>
      </c>
      <c r="AH42" s="29">
        <f t="shared" si="36"/>
        <v>-30.384355444208296</v>
      </c>
      <c r="AI42" s="29">
        <f t="shared" si="36"/>
        <v>-38.411616950283751</v>
      </c>
      <c r="AJ42" s="29">
        <f t="shared" si="36"/>
        <v>-10.153728108808275</v>
      </c>
      <c r="AK42" s="29">
        <f t="shared" si="36"/>
        <v>174.31680914393181</v>
      </c>
      <c r="AL42" s="29">
        <f t="shared" si="36"/>
        <v>-7.5011988291052809</v>
      </c>
      <c r="AM42" s="29">
        <f t="shared" si="36"/>
        <v>-5.309556616042344</v>
      </c>
      <c r="AN42" s="29">
        <f t="shared" si="36"/>
        <v>-1.2161369414912995</v>
      </c>
      <c r="AO42" s="29">
        <f t="shared" si="36"/>
        <v>-61.680059721683385</v>
      </c>
      <c r="AP42" s="29">
        <f t="shared" si="36"/>
        <v>-22.161282301978019</v>
      </c>
      <c r="AQ42" s="29">
        <f t="shared" si="36"/>
        <v>-14.917069156120764</v>
      </c>
      <c r="AR42" s="29">
        <f t="shared" si="36"/>
        <v>-10.253733045255391</v>
      </c>
      <c r="AS42" s="29">
        <f t="shared" si="36"/>
        <v>-94.621582051540514</v>
      </c>
      <c r="AT42" s="29">
        <f t="shared" si="36"/>
        <v>-226.81216634047877</v>
      </c>
      <c r="AU42" s="29">
        <f t="shared" si="36"/>
        <v>100.02534860735463</v>
      </c>
      <c r="AV42" s="29">
        <f t="shared" si="36"/>
        <v>9.4945342221600892</v>
      </c>
      <c r="AW42" s="29">
        <f t="shared" si="36"/>
        <v>28.301239510042272</v>
      </c>
      <c r="AX42" s="29">
        <f t="shared" si="36"/>
        <v>47.293763816110911</v>
      </c>
      <c r="AY42" s="29" t="e">
        <f t="shared" si="36"/>
        <v>#DIV/0!</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38717</v>
      </c>
      <c r="AY46" s="1">
        <v>25569</v>
      </c>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1495773467.0200005</v>
      </c>
      <c r="F47" s="26">
        <f>股权价值增加表!F42</f>
        <v>933377323.50000036</v>
      </c>
      <c r="G47" s="26">
        <f>股权价值增加表!G42</f>
        <v>635779051.39999974</v>
      </c>
      <c r="H47" s="26">
        <f>股权价值增加表!H42</f>
        <v>275789777.02999997</v>
      </c>
      <c r="I47" s="26">
        <f>股权价值增加表!I42</f>
        <v>1881555634.0300007</v>
      </c>
      <c r="J47" s="26">
        <f>股权价值增加表!J42</f>
        <v>1065822929.8399994</v>
      </c>
      <c r="K47" s="26">
        <f>股权价值增加表!K42</f>
        <v>710931645.81000018</v>
      </c>
      <c r="L47" s="26">
        <f>股权价值增加表!L42</f>
        <v>214321481.52999997</v>
      </c>
      <c r="M47" s="26">
        <f>股权价值增加表!M42</f>
        <v>1375071990.9200001</v>
      </c>
      <c r="N47" s="26">
        <f>股权价值增加表!N42</f>
        <v>759598429.26999998</v>
      </c>
      <c r="O47" s="26">
        <f>股权价值增加表!O42</f>
        <v>463260423.83000004</v>
      </c>
      <c r="P47" s="26">
        <f>股权价值增加表!P42</f>
        <v>103455989.80000003</v>
      </c>
      <c r="Q47" s="26">
        <f>股权价值增加表!Q42</f>
        <v>1139785936.4499998</v>
      </c>
      <c r="R47" s="26">
        <f>股权价值增加表!R42</f>
        <v>725701157.52999973</v>
      </c>
      <c r="S47" s="26">
        <f>股权价值增加表!S42</f>
        <v>506721565.90999985</v>
      </c>
      <c r="T47" s="26">
        <f>股权价值增加表!T42</f>
        <v>201566864.57000002</v>
      </c>
      <c r="U47" s="26">
        <f>股权价值增加表!U42</f>
        <v>1119033615.5300002</v>
      </c>
      <c r="V47" s="26">
        <f>股权价值增加表!V42</f>
        <v>614952722.82999992</v>
      </c>
      <c r="W47" s="26">
        <f>股权价值增加表!W42</f>
        <v>385471308.95999992</v>
      </c>
      <c r="X47" s="26">
        <f>股权价值增加表!X42</f>
        <v>142047302.39000005</v>
      </c>
      <c r="Y47" s="26">
        <f>股权价值增加表!Y42</f>
        <v>699416387.21999979</v>
      </c>
      <c r="Z47" s="26">
        <f>股权价值增加表!Z42</f>
        <v>375189607.70000011</v>
      </c>
      <c r="AA47" s="26">
        <f>股权价值增加表!AA42</f>
        <v>223868963.06000024</v>
      </c>
      <c r="AB47" s="26">
        <f>股权价值增加表!AB42</f>
        <v>66046922.800000012</v>
      </c>
      <c r="AC47" s="26">
        <f>股权价值增加表!AC42</f>
        <v>376913091.69999993</v>
      </c>
      <c r="AD47" s="26">
        <f>股权价值增加表!AD42</f>
        <v>203338351.14999995</v>
      </c>
      <c r="AE47" s="26">
        <f>股权价值增加表!AE42</f>
        <v>128675182.18000001</v>
      </c>
      <c r="AF47" s="26">
        <f>股权价值增加表!AF42</f>
        <v>39139044.170000032</v>
      </c>
      <c r="AG47" s="26">
        <f>股权价值增加表!AG42</f>
        <v>261529760.92000008</v>
      </c>
      <c r="AH47" s="26">
        <f>股权价值增加表!AH42</f>
        <v>140506749.38999999</v>
      </c>
      <c r="AI47" s="26">
        <f>股权价值增加表!AI42</f>
        <v>78357365.419999987</v>
      </c>
      <c r="AJ47" s="26">
        <f>股权价值增加表!AJ42</f>
        <v>18482445.689999986</v>
      </c>
      <c r="AK47" s="26">
        <f>股权价值增加表!AK42</f>
        <v>116658938.48000005</v>
      </c>
      <c r="AL47" s="26">
        <f>股权价值增加表!AL42</f>
        <v>59900200.640000015</v>
      </c>
      <c r="AM47" s="26">
        <f>股权价值增加表!AM42</f>
        <v>33947778.500000022</v>
      </c>
      <c r="AN47" s="26">
        <f>股权价值增加表!AN42</f>
        <v>6229289.0600000005</v>
      </c>
      <c r="AO47" s="26">
        <f>股权价值增加表!AO42</f>
        <v>106297489.95999996</v>
      </c>
      <c r="AP47" s="26">
        <f>股权价值增加表!AP42</f>
        <v>73816300.709999993</v>
      </c>
      <c r="AQ47" s="26">
        <f>股权价值增加表!AQ42</f>
        <v>36369378.730000019</v>
      </c>
      <c r="AR47" s="26">
        <f>股权价值增加表!AR42</f>
        <v>5653261.2800000049</v>
      </c>
      <c r="AS47" s="26">
        <f>股权价值增加表!AS42</f>
        <v>85773814.789999962</v>
      </c>
      <c r="AT47" s="26">
        <f>股权价值增加表!AT42</f>
        <v>54820564.890000001</v>
      </c>
      <c r="AU47" s="26">
        <f>股权价值增加表!AU42</f>
        <v>24410675.389999989</v>
      </c>
      <c r="AV47" s="26">
        <f>股权价值增加表!AV42</f>
        <v>2715913.680000002</v>
      </c>
      <c r="AW47" s="26">
        <f>股权价值增加表!AW42</f>
        <v>48750486.959999979</v>
      </c>
      <c r="AX47" s="26">
        <f>股权价值增加表!AX42</f>
        <v>45760191.909999996</v>
      </c>
      <c r="AY47" s="26">
        <f>股权价值增加表!AY42</f>
        <v>0</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7.9374713921261539E-2</v>
      </c>
      <c r="F48" s="63">
        <f>股权价值增加表!F43</f>
        <v>7.9617320297013114E-2</v>
      </c>
      <c r="G48" s="63">
        <f>股权价值增加表!G43</f>
        <v>8.5171813736982724E-2</v>
      </c>
      <c r="H48" s="63">
        <f>股权价值增加表!H43</f>
        <v>0.10412613601526519</v>
      </c>
      <c r="I48" s="63">
        <f>股权价值增加表!I43</f>
        <v>0.1411615547540315</v>
      </c>
      <c r="J48" s="63">
        <f>股权价值增加表!J43</f>
        <v>0.13375226661371376</v>
      </c>
      <c r="K48" s="63">
        <f>股权价值增加表!K43</f>
        <v>0.14362989899881098</v>
      </c>
      <c r="L48" s="63">
        <f>股权价值增加表!L43</f>
        <v>0.12022107008585227</v>
      </c>
      <c r="M48" s="63">
        <f>股权价值增加表!M43</f>
        <v>0.13644519919015771</v>
      </c>
      <c r="N48" s="63">
        <f>股权价值增加表!N43</f>
        <v>0.13028698634061459</v>
      </c>
      <c r="O48" s="63">
        <f>股权价值增加表!O43</f>
        <v>0.13354727197344984</v>
      </c>
      <c r="P48" s="63">
        <f>股权价值增加表!P43</f>
        <v>8.6027033611065507E-2</v>
      </c>
      <c r="Q48" s="63">
        <f>股权价值增加表!Q43</f>
        <v>0.15545613282303494</v>
      </c>
      <c r="R48" s="63">
        <f>股权价值增加表!R43</f>
        <v>0.15614962046824943</v>
      </c>
      <c r="S48" s="63">
        <f>股权价值增加表!S43</f>
        <v>0.1665465622730177</v>
      </c>
      <c r="T48" s="63">
        <f>股权价值增加表!T43</f>
        <v>0.17606845752674316</v>
      </c>
      <c r="U48" s="63">
        <f>股权价值增加表!U43</f>
        <v>0.20684180472227856</v>
      </c>
      <c r="V48" s="63">
        <f>股权价值增加表!V43</f>
        <v>0.18868372185620536</v>
      </c>
      <c r="W48" s="63">
        <f>股权价值增加表!W43</f>
        <v>0.18973876862849606</v>
      </c>
      <c r="X48" s="63">
        <f>股权价值增加表!X43</f>
        <v>0.18015625205427452</v>
      </c>
      <c r="Y48" s="63">
        <f>股权价值增加表!Y43</f>
        <v>0.19806681039657487</v>
      </c>
      <c r="Z48" s="63">
        <f>股权价值增加表!Z43</f>
        <v>0.17109422221398396</v>
      </c>
      <c r="AA48" s="63">
        <f>股权价值增加表!AA43</f>
        <v>0.17262240836683471</v>
      </c>
      <c r="AB48" s="63">
        <f>股权价值增加表!AB43</f>
        <v>0.13261646982233918</v>
      </c>
      <c r="AC48" s="63">
        <f>股权价值增加表!AC43</f>
        <v>0.1709195034237084</v>
      </c>
      <c r="AD48" s="63">
        <f>股权价值增加表!AD43</f>
        <v>0.1392061229924601</v>
      </c>
      <c r="AE48" s="63">
        <f>股权价值增加表!AE43</f>
        <v>0.14389003627476321</v>
      </c>
      <c r="AF48" s="63">
        <f>股权价值增加表!AF43</f>
        <v>0.11909582146272918</v>
      </c>
      <c r="AG48" s="63">
        <f>股权价值增加表!AG43</f>
        <v>0.1724816963532658</v>
      </c>
      <c r="AH48" s="63">
        <f>股权价值增加表!AH43</f>
        <v>0.14667056190727945</v>
      </c>
      <c r="AI48" s="63">
        <f>股权价值增加表!AI43</f>
        <v>0.13731268478895819</v>
      </c>
      <c r="AJ48" s="63">
        <f>股权价值增加表!AJ43</f>
        <v>8.6882584851437961E-2</v>
      </c>
      <c r="AK48" s="63">
        <f>股权价值增加表!AK43</f>
        <v>0.13955385472000897</v>
      </c>
      <c r="AL48" s="63">
        <f>股权价值增加表!AL43</f>
        <v>0.11557924751159598</v>
      </c>
      <c r="AM48" s="63">
        <f>股权价值增加表!AM43</f>
        <v>0.11353169786022931</v>
      </c>
      <c r="AN48" s="63">
        <f>股权价值增加表!AN43</f>
        <v>4.7955638162733474E-2</v>
      </c>
      <c r="AO48" s="63">
        <f>股权价值增加表!AO43</f>
        <v>0.16818733681229706</v>
      </c>
      <c r="AP48" s="63">
        <f>股权价值增加表!AP43</f>
        <v>0.16612019828759109</v>
      </c>
      <c r="AQ48" s="63">
        <f>股权价值增加表!AQ43</f>
        <v>0.13733746111656966</v>
      </c>
      <c r="AR48" s="63">
        <f>股权价值增加表!AR43</f>
        <v>7.1395279719690632E-2</v>
      </c>
      <c r="AS48" s="63">
        <f>股权价值增加表!AS43</f>
        <v>0.21169040812779144</v>
      </c>
      <c r="AT48" s="63">
        <f>股权价值增加表!AT43</f>
        <v>0.2127386905195125</v>
      </c>
      <c r="AU48" s="63">
        <f>股权价值增加表!AU43</f>
        <v>0.17449447820310374</v>
      </c>
      <c r="AV48" s="63">
        <f>股权价值增加表!AV43</f>
        <v>5.33473338890997E-2</v>
      </c>
      <c r="AW48" s="63">
        <f>股权价值增加表!AW43</f>
        <v>0.10941930372952674</v>
      </c>
      <c r="AX48" s="63">
        <f>股权价值增加表!AX43</f>
        <v>0.1561010961585525</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-0.20503362219681731</v>
      </c>
      <c r="F49" s="59">
        <f t="shared" ref="F49:BQ49" si="38">(F47-J47)/J47</f>
        <v>-0.12426605079690087</v>
      </c>
      <c r="G49" s="59">
        <f t="shared" si="38"/>
        <v>-0.10571001425091341</v>
      </c>
      <c r="H49" s="59">
        <f t="shared" si="38"/>
        <v>0.28680417409020142</v>
      </c>
      <c r="I49" s="59">
        <f t="shared" si="38"/>
        <v>0.36833245564920186</v>
      </c>
      <c r="J49" s="59">
        <f t="shared" si="38"/>
        <v>0.40313998656407396</v>
      </c>
      <c r="K49" s="59">
        <f t="shared" si="38"/>
        <v>0.53462633378517699</v>
      </c>
      <c r="L49" s="59">
        <f t="shared" si="38"/>
        <v>1.071619844769973</v>
      </c>
      <c r="M49" s="59">
        <f t="shared" si="38"/>
        <v>0.20643003826036574</v>
      </c>
      <c r="N49" s="59">
        <f t="shared" si="38"/>
        <v>4.6709683990822308E-2</v>
      </c>
      <c r="O49" s="59">
        <f t="shared" si="38"/>
        <v>-8.5769276470303329E-2</v>
      </c>
      <c r="P49" s="59">
        <f t="shared" si="38"/>
        <v>-0.48674108702984814</v>
      </c>
      <c r="Q49" s="59">
        <f t="shared" si="38"/>
        <v>1.8544859271426642E-2</v>
      </c>
      <c r="R49" s="59">
        <f t="shared" si="38"/>
        <v>0.18009259994872087</v>
      </c>
      <c r="S49" s="59">
        <f t="shared" si="38"/>
        <v>0.31455066598116638</v>
      </c>
      <c r="T49" s="59">
        <f t="shared" si="38"/>
        <v>0.41901226688969545</v>
      </c>
      <c r="U49" s="59">
        <f t="shared" si="38"/>
        <v>0.59995338396040587</v>
      </c>
      <c r="V49" s="59">
        <f t="shared" si="38"/>
        <v>0.63904519264220483</v>
      </c>
      <c r="W49" s="59">
        <f t="shared" si="38"/>
        <v>0.72186132320936258</v>
      </c>
      <c r="X49" s="59">
        <f t="shared" si="38"/>
        <v>1.1507028089732596</v>
      </c>
      <c r="Y49" s="59">
        <f t="shared" si="38"/>
        <v>0.85564365531960085</v>
      </c>
      <c r="Z49" s="59">
        <f t="shared" si="38"/>
        <v>0.84514925776705951</v>
      </c>
      <c r="AA49" s="59">
        <f t="shared" si="38"/>
        <v>0.73979907599304107</v>
      </c>
      <c r="AB49" s="59">
        <f t="shared" si="38"/>
        <v>0.68749452626195695</v>
      </c>
      <c r="AC49" s="59">
        <f t="shared" si="38"/>
        <v>0.44118623583835537</v>
      </c>
      <c r="AD49" s="59">
        <f t="shared" si="38"/>
        <v>0.44717853080210646</v>
      </c>
      <c r="AE49" s="59">
        <f t="shared" si="38"/>
        <v>0.64215809822463565</v>
      </c>
      <c r="AF49" s="59">
        <f t="shared" si="38"/>
        <v>1.1176333925967599</v>
      </c>
      <c r="AG49" s="59">
        <f t="shared" si="38"/>
        <v>1.2418321675782831</v>
      </c>
      <c r="AH49" s="59">
        <f t="shared" si="38"/>
        <v>1.3456807805109874</v>
      </c>
      <c r="AI49" s="59">
        <f t="shared" si="38"/>
        <v>1.308173579605509</v>
      </c>
      <c r="AJ49" s="59">
        <f t="shared" si="38"/>
        <v>1.9670232849974671</v>
      </c>
      <c r="AK49" s="59">
        <f t="shared" si="38"/>
        <v>9.7475947210974842E-2</v>
      </c>
      <c r="AL49" s="59">
        <f t="shared" si="38"/>
        <v>-0.18852340114782731</v>
      </c>
      <c r="AM49" s="59">
        <f t="shared" si="38"/>
        <v>-6.658349178790042E-2</v>
      </c>
      <c r="AN49" s="59">
        <f t="shared" si="38"/>
        <v>0.10189300502311033</v>
      </c>
      <c r="AO49" s="59">
        <f t="shared" si="38"/>
        <v>0.23927669790889117</v>
      </c>
      <c r="AP49" s="59">
        <f t="shared" si="38"/>
        <v>0.34650748050691954</v>
      </c>
      <c r="AQ49" s="59">
        <f t="shared" si="38"/>
        <v>0.48989645509353663</v>
      </c>
      <c r="AR49" s="59">
        <f t="shared" si="38"/>
        <v>1.0815320168791229</v>
      </c>
      <c r="AS49" s="59">
        <f t="shared" si="38"/>
        <v>0.75944529252349435</v>
      </c>
      <c r="AT49" s="59">
        <f t="shared" si="38"/>
        <v>0.19799683090970685</v>
      </c>
      <c r="AU49" s="59" t="e">
        <f t="shared" si="38"/>
        <v>#DIV/0!</v>
      </c>
      <c r="AV49" s="59">
        <f t="shared" si="38"/>
        <v>-1.0097720777488643</v>
      </c>
      <c r="AW49" s="59">
        <f t="shared" si="38"/>
        <v>-1.1297939304143012</v>
      </c>
      <c r="AX49" s="59">
        <f t="shared" si="38"/>
        <v>-1.1214090749321568</v>
      </c>
      <c r="AY49" s="59">
        <f t="shared" si="38"/>
        <v>-1</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648315066.02080047</v>
      </c>
      <c r="F50" s="26">
        <f>股权价值增加表!F47</f>
        <v>160815630.20800042</v>
      </c>
      <c r="G50" s="26">
        <f>股权价值增加表!G47</f>
        <v>-98492537.940000296</v>
      </c>
      <c r="H50" s="26">
        <f>股权价值增加表!H47</f>
        <v>-422535310.47720003</v>
      </c>
      <c r="I50" s="26">
        <f>股权价值增加表!I47</f>
        <v>1207492863.2076006</v>
      </c>
      <c r="J50" s="26">
        <f>股权价值增加表!J47</f>
        <v>451867079.27759945</v>
      </c>
      <c r="K50" s="26">
        <f>股权价值增加表!K47</f>
        <v>127472198.6772002</v>
      </c>
      <c r="L50" s="26">
        <f>股权价值增加表!L47</f>
        <v>-325692935.54760003</v>
      </c>
      <c r="M50" s="26">
        <f>股权价值增加表!M47</f>
        <v>849761002.36800003</v>
      </c>
      <c r="N50" s="26">
        <f>股权价值增加表!N47</f>
        <v>289690796.38599998</v>
      </c>
      <c r="O50" s="26">
        <f>股权价值增加表!O47</f>
        <v>17073010.643600047</v>
      </c>
      <c r="P50" s="26">
        <f>股权价值增加表!P47</f>
        <v>-322104004.54400003</v>
      </c>
      <c r="Q50" s="26">
        <f>股权价值增加表!Q47</f>
        <v>722902872.22359979</v>
      </c>
      <c r="R50" s="26">
        <f>股权价值增加表!R47</f>
        <v>301582439.33479977</v>
      </c>
      <c r="S50" s="26">
        <f>股权价值增加表!S47</f>
        <v>100937565.93399984</v>
      </c>
      <c r="T50" s="26">
        <f>股权价值增加表!T47</f>
        <v>-148468842.69399998</v>
      </c>
      <c r="U50" s="26">
        <f>股权价值增加表!U47</f>
        <v>785123257.43160021</v>
      </c>
      <c r="V50" s="26">
        <f>股权价值增加表!V47</f>
        <v>322257260.43719995</v>
      </c>
      <c r="W50" s="26">
        <f>股权价值增加表!W47</f>
        <v>111134359.67679989</v>
      </c>
      <c r="X50" s="26">
        <f>股权价值增加表!X47</f>
        <v>-41179072.738799959</v>
      </c>
      <c r="Y50" s="26">
        <f>股权价值增加表!Y47</f>
        <v>527604142.37999976</v>
      </c>
      <c r="Z50" s="26">
        <f>股权价值增加表!Z47</f>
        <v>229200501.79520011</v>
      </c>
      <c r="AA50" s="26">
        <f>股权价值增加表!AA47</f>
        <v>90107323.947200224</v>
      </c>
      <c r="AB50" s="26">
        <f>股权价值增加表!AB47</f>
        <v>-60548745.871199995</v>
      </c>
      <c r="AC50" s="26">
        <f>股权价值增加表!AC47</f>
        <v>255722992.07359993</v>
      </c>
      <c r="AD50" s="26">
        <f>股权价值增加表!AD47</f>
        <v>96608805.121199951</v>
      </c>
      <c r="AE50" s="26">
        <f>股权价值增加表!AE47</f>
        <v>28561443.428000003</v>
      </c>
      <c r="AF50" s="26">
        <f>股权价值增加表!AF47</f>
        <v>-58510657.781999975</v>
      </c>
      <c r="AG50" s="26">
        <f>股权价值增加表!AG47</f>
        <v>167581936.26080006</v>
      </c>
      <c r="AH50" s="26">
        <f>股权价值增加表!AH47</f>
        <v>56956295.068399981</v>
      </c>
      <c r="AI50" s="26">
        <f>股权价值增加表!AI47</f>
        <v>8591854.6815999895</v>
      </c>
      <c r="AJ50" s="26">
        <f>股权价值增加表!AJ47</f>
        <v>-49410344.354800016</v>
      </c>
      <c r="AK50" s="26">
        <f>股权价值增加表!AK47</f>
        <v>50396744.090400048</v>
      </c>
      <c r="AL50" s="26">
        <f>股权价值增加表!AL47</f>
        <v>-1787005.5943999812</v>
      </c>
      <c r="AM50" s="26">
        <f>股权价值增加表!AM47</f>
        <v>-25663233.963199973</v>
      </c>
      <c r="AN50" s="26">
        <f>股权价值增加表!AN47</f>
        <v>-52366644.248000003</v>
      </c>
      <c r="AO50" s="26">
        <f>股权价值增加表!AO47</f>
        <v>48199899.776799962</v>
      </c>
      <c r="AP50" s="26">
        <f>股权价值增加表!AP47</f>
        <v>18406572.132399991</v>
      </c>
      <c r="AQ50" s="26">
        <f>股权价值增加表!AQ47</f>
        <v>-16044596.089199983</v>
      </c>
      <c r="AR50" s="26">
        <f>股权价值增加表!AR47</f>
        <v>-13136605.649599995</v>
      </c>
      <c r="AS50" s="26">
        <f>股权价值增加表!AS47</f>
        <v>67433627.549199969</v>
      </c>
      <c r="AT50" s="26">
        <f>股权价值增加表!AT47</f>
        <v>43336228.853200004</v>
      </c>
      <c r="AU50" s="26">
        <f>股权价值增加表!AU47</f>
        <v>12679027.948399989</v>
      </c>
      <c r="AV50" s="26">
        <f>股权价值增加表!AV47</f>
        <v>2715913.680000002</v>
      </c>
      <c r="AW50" s="26">
        <f>股权价值增加表!AW47</f>
        <v>48750486.959999979</v>
      </c>
      <c r="AX50" s="26">
        <f>股权价值增加表!AX47</f>
        <v>45760191.909999996</v>
      </c>
      <c r="AY50" s="26">
        <f>股权价值增加表!AY47</f>
        <v>0</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1983384114.4300003</v>
      </c>
      <c r="F54" s="193">
        <f t="shared" ref="F54:AC54" si="41">F39</f>
        <v>1167958390.8500004</v>
      </c>
      <c r="G54" s="193">
        <f t="shared" si="41"/>
        <v>837802582.05999982</v>
      </c>
      <c r="H54" s="193">
        <f t="shared" si="41"/>
        <v>317900881.13</v>
      </c>
      <c r="I54" s="193">
        <f t="shared" si="41"/>
        <v>1952668689.8800006</v>
      </c>
      <c r="J54" s="193">
        <f t="shared" si="41"/>
        <v>1106348487.8199995</v>
      </c>
      <c r="K54" s="193">
        <f t="shared" si="41"/>
        <v>795233491.63000011</v>
      </c>
      <c r="L54" s="193">
        <f t="shared" si="41"/>
        <v>250429796.55999994</v>
      </c>
      <c r="M54" s="193">
        <f t="shared" si="41"/>
        <v>1513291805.5</v>
      </c>
      <c r="N54" s="193">
        <f t="shared" si="41"/>
        <v>812212855.25</v>
      </c>
      <c r="O54" s="193">
        <f t="shared" si="41"/>
        <v>520180259.92000008</v>
      </c>
      <c r="P54" s="193">
        <f t="shared" si="41"/>
        <v>105788948.01000004</v>
      </c>
      <c r="Q54" s="193">
        <f t="shared" si="41"/>
        <v>1260237577.8799996</v>
      </c>
      <c r="R54" s="193">
        <f t="shared" si="41"/>
        <v>773270847.58999979</v>
      </c>
      <c r="S54" s="193">
        <f t="shared" si="41"/>
        <v>540044636.83999991</v>
      </c>
      <c r="T54" s="193">
        <f t="shared" si="41"/>
        <v>228167038.29000002</v>
      </c>
      <c r="U54" s="193">
        <f t="shared" si="41"/>
        <v>1128992761.5700002</v>
      </c>
      <c r="V54" s="193">
        <f t="shared" si="41"/>
        <v>681959296.76999986</v>
      </c>
      <c r="W54" s="193">
        <f t="shared" si="41"/>
        <v>430226824.93999994</v>
      </c>
      <c r="X54" s="193">
        <f t="shared" si="41"/>
        <v>163347942.88000005</v>
      </c>
      <c r="Y54" s="193">
        <f t="shared" si="41"/>
        <v>760938055.64999974</v>
      </c>
      <c r="Z54" s="193">
        <f t="shared" si="41"/>
        <v>417466845.34000009</v>
      </c>
      <c r="AA54" s="193">
        <f t="shared" si="41"/>
        <v>256675689.24000022</v>
      </c>
      <c r="AB54" s="193">
        <f t="shared" si="41"/>
        <v>73598544.38000001</v>
      </c>
      <c r="AC54" s="193">
        <f t="shared" si="41"/>
        <v>416842609.51999992</v>
      </c>
    </row>
    <row r="55" spans="1:88" s="63" customFormat="1" x14ac:dyDescent="0.25">
      <c r="A55" s="63" t="s">
        <v>673</v>
      </c>
      <c r="E55" s="63">
        <f>E54/E2</f>
        <v>0.10525026024997065</v>
      </c>
      <c r="F55" s="63">
        <f t="shared" ref="F55:AC55" si="42">F54/F2</f>
        <v>9.9627144303435056E-2</v>
      </c>
      <c r="G55" s="63">
        <f t="shared" si="42"/>
        <v>0.11223579215208083</v>
      </c>
      <c r="H55" s="63">
        <f t="shared" si="42"/>
        <v>0.12002544381590428</v>
      </c>
      <c r="I55" s="63">
        <f t="shared" si="42"/>
        <v>0.14649673025750332</v>
      </c>
      <c r="J55" s="63">
        <f t="shared" si="42"/>
        <v>0.138837900525178</v>
      </c>
      <c r="K55" s="63">
        <f t="shared" si="42"/>
        <v>0.16066144580348921</v>
      </c>
      <c r="L55" s="63">
        <f t="shared" si="42"/>
        <v>0.14047559726116962</v>
      </c>
      <c r="M55" s="63">
        <f t="shared" si="42"/>
        <v>0.15016043028855042</v>
      </c>
      <c r="N55" s="63">
        <f t="shared" si="42"/>
        <v>0.1393114586602367</v>
      </c>
      <c r="O55" s="63">
        <f t="shared" si="42"/>
        <v>0.1499559450220781</v>
      </c>
      <c r="P55" s="63">
        <f t="shared" si="42"/>
        <v>8.7966964539500578E-2</v>
      </c>
      <c r="Q55" s="63">
        <f t="shared" si="42"/>
        <v>0.17188460923257526</v>
      </c>
      <c r="R55" s="63">
        <f t="shared" si="42"/>
        <v>0.16638522361093036</v>
      </c>
      <c r="S55" s="63">
        <f t="shared" si="42"/>
        <v>0.1774990128516796</v>
      </c>
      <c r="T55" s="63">
        <f t="shared" si="42"/>
        <v>0.1993036830526001</v>
      </c>
      <c r="U55" s="63">
        <f t="shared" si="42"/>
        <v>0.20868264999432223</v>
      </c>
      <c r="V55" s="63">
        <f t="shared" si="42"/>
        <v>0.20924310681453054</v>
      </c>
      <c r="W55" s="63">
        <f t="shared" si="42"/>
        <v>0.21176857031280086</v>
      </c>
      <c r="X55" s="63">
        <f t="shared" si="42"/>
        <v>0.20717150325910191</v>
      </c>
      <c r="Y55" s="63">
        <f t="shared" si="42"/>
        <v>0.2154890510801819</v>
      </c>
      <c r="Z55" s="63">
        <f t="shared" si="42"/>
        <v>0.19037351711693701</v>
      </c>
      <c r="AA55" s="63">
        <f t="shared" si="42"/>
        <v>0.19791924275787562</v>
      </c>
      <c r="AB55" s="63">
        <f t="shared" si="42"/>
        <v>0.14777946838332279</v>
      </c>
      <c r="AC55" s="63">
        <f t="shared" si="42"/>
        <v>0.18902641854029606</v>
      </c>
    </row>
    <row r="56" spans="1:88" x14ac:dyDescent="0.25">
      <c r="A56" s="17" t="s">
        <v>674</v>
      </c>
      <c r="E56" s="193">
        <f>E23</f>
        <v>1778713684.7073917</v>
      </c>
      <c r="F56" s="193">
        <f t="shared" ref="F56:AC56" si="43">F23</f>
        <v>1047025464.7696679</v>
      </c>
      <c r="G56" s="193">
        <f t="shared" si="43"/>
        <v>685964958.3927896</v>
      </c>
      <c r="H56" s="193">
        <f t="shared" si="43"/>
        <v>291367407.32568061</v>
      </c>
      <c r="I56" s="193">
        <f t="shared" si="43"/>
        <v>1730276469.0900147</v>
      </c>
      <c r="J56" s="193">
        <f t="shared" si="43"/>
        <v>1022001432.9065278</v>
      </c>
      <c r="K56" s="193">
        <f t="shared" si="43"/>
        <v>677629154.23071277</v>
      </c>
      <c r="L56" s="193">
        <f t="shared" si="43"/>
        <v>217840781.12976724</v>
      </c>
      <c r="M56" s="193">
        <f t="shared" si="43"/>
        <v>1291646938.2622943</v>
      </c>
      <c r="N56" s="193">
        <f t="shared" si="43"/>
        <v>696034140.3386898</v>
      </c>
      <c r="O56" s="193">
        <f t="shared" si="43"/>
        <v>441428316.99205339</v>
      </c>
      <c r="P56" s="193">
        <f t="shared" si="43"/>
        <v>91970363.149939656</v>
      </c>
      <c r="Q56" s="193">
        <f t="shared" si="43"/>
        <v>1114427116.4475014</v>
      </c>
      <c r="R56" s="193">
        <f t="shared" si="43"/>
        <v>706986505.10566437</v>
      </c>
      <c r="S56" s="193">
        <f t="shared" si="43"/>
        <v>492879452.33685923</v>
      </c>
      <c r="T56" s="193">
        <f t="shared" si="43"/>
        <v>193092668.64882591</v>
      </c>
      <c r="U56" s="193">
        <f t="shared" si="43"/>
        <v>1095627702.0226142</v>
      </c>
      <c r="V56" s="193">
        <f t="shared" si="43"/>
        <v>598811887.87718284</v>
      </c>
      <c r="W56" s="193">
        <f t="shared" si="43"/>
        <v>380434143.12388164</v>
      </c>
      <c r="X56" s="193">
        <f t="shared" si="43"/>
        <v>141140712.56053603</v>
      </c>
      <c r="Y56" s="193">
        <f t="shared" si="43"/>
        <v>686958680.1566093</v>
      </c>
      <c r="Z56" s="193">
        <f t="shared" si="43"/>
        <v>369037928.54357636</v>
      </c>
      <c r="AA56" s="193">
        <f t="shared" si="43"/>
        <v>222262445.72707796</v>
      </c>
      <c r="AB56" s="193">
        <f t="shared" si="43"/>
        <v>65153106.610820882</v>
      </c>
      <c r="AC56" s="193">
        <f t="shared" si="43"/>
        <v>369799329.02332556</v>
      </c>
    </row>
    <row r="57" spans="1:88" s="63" customFormat="1" x14ac:dyDescent="0.25">
      <c r="A57" s="63" t="s">
        <v>675</v>
      </c>
      <c r="E57" s="63">
        <f>E56/E2</f>
        <v>9.4389219346671563E-2</v>
      </c>
      <c r="F57" s="63">
        <f t="shared" ref="F57:AC57" si="44">F56/F2</f>
        <v>8.9311535312541407E-2</v>
      </c>
      <c r="G57" s="63">
        <f t="shared" si="44"/>
        <v>9.1894942964344112E-2</v>
      </c>
      <c r="H57" s="63">
        <f t="shared" si="44"/>
        <v>0.1100075666775305</v>
      </c>
      <c r="I57" s="63">
        <f t="shared" si="44"/>
        <v>0.12981200880460808</v>
      </c>
      <c r="J57" s="63">
        <f t="shared" si="44"/>
        <v>0.12825301868316152</v>
      </c>
      <c r="K57" s="63">
        <f t="shared" si="44"/>
        <v>0.13690177889031305</v>
      </c>
      <c r="L57" s="63">
        <f t="shared" si="44"/>
        <v>0.12219517907771041</v>
      </c>
      <c r="M57" s="63">
        <f t="shared" si="44"/>
        <v>0.12816712502204508</v>
      </c>
      <c r="N57" s="63">
        <f t="shared" si="44"/>
        <v>0.11938438395937562</v>
      </c>
      <c r="O57" s="63">
        <f t="shared" si="44"/>
        <v>0.12725358021895927</v>
      </c>
      <c r="P57" s="63">
        <f t="shared" si="44"/>
        <v>7.6476360017598111E-2</v>
      </c>
      <c r="Q57" s="63">
        <f t="shared" si="44"/>
        <v>0.1519974271446492</v>
      </c>
      <c r="R57" s="63">
        <f t="shared" si="44"/>
        <v>0.15212277574996141</v>
      </c>
      <c r="S57" s="63">
        <f t="shared" si="44"/>
        <v>0.16199700964827565</v>
      </c>
      <c r="T57" s="63">
        <f t="shared" si="44"/>
        <v>0.16866625574222124</v>
      </c>
      <c r="U57" s="63">
        <f t="shared" si="44"/>
        <v>0.20251546338288251</v>
      </c>
      <c r="V57" s="63">
        <f t="shared" si="44"/>
        <v>0.18373128779143877</v>
      </c>
      <c r="W57" s="63">
        <f t="shared" si="44"/>
        <v>0.18725934766795502</v>
      </c>
      <c r="X57" s="63">
        <f t="shared" si="44"/>
        <v>0.17900643911817007</v>
      </c>
      <c r="Y57" s="63">
        <f t="shared" si="44"/>
        <v>0.19453892865404357</v>
      </c>
      <c r="Z57" s="63">
        <f t="shared" si="44"/>
        <v>0.16828892926615827</v>
      </c>
      <c r="AA57" s="63">
        <f t="shared" si="44"/>
        <v>0.17138364401423534</v>
      </c>
      <c r="AB57" s="63">
        <f t="shared" si="44"/>
        <v>0.13082176474519375</v>
      </c>
      <c r="AC57" s="63">
        <f t="shared" si="44"/>
        <v>0.16769361180320969</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1761194977.0600004</v>
      </c>
      <c r="F61" s="89">
        <f>股权价值增加表!F38</f>
        <v>1059160653.0000004</v>
      </c>
      <c r="G61" s="89">
        <f>股权价值增加表!G38</f>
        <v>789139721.10999978</v>
      </c>
      <c r="H61" s="89">
        <f>股权价值增加表!H38</f>
        <v>308022759.50999999</v>
      </c>
      <c r="I61" s="89">
        <f>股权价值增加表!I38</f>
        <v>2083740872.6500006</v>
      </c>
      <c r="J61" s="89">
        <f>股权价值增加表!J38</f>
        <v>1139787912.1399994</v>
      </c>
      <c r="K61" s="89">
        <f>股权价值增加表!K38</f>
        <v>817325611.34000015</v>
      </c>
      <c r="L61" s="89">
        <f>股权价值增加表!L38</f>
        <v>244945740.41999996</v>
      </c>
      <c r="M61" s="89">
        <f>股权价值增加表!M38</f>
        <v>1572195564.3900001</v>
      </c>
      <c r="N61" s="89">
        <f>股权价值增加表!N38</f>
        <v>876800197.46000004</v>
      </c>
      <c r="O61" s="89">
        <f>股权价值增加表!O38</f>
        <v>535749425.31000006</v>
      </c>
      <c r="P61" s="89">
        <f>股权价值增加表!P38</f>
        <v>114353615.72000003</v>
      </c>
      <c r="Q61" s="89">
        <f>股权价值增加表!Q38</f>
        <v>1248365319.0599997</v>
      </c>
      <c r="R61" s="89">
        <f>股权价值增加表!R38</f>
        <v>794231189.97999978</v>
      </c>
      <c r="S61" s="89">
        <f>股权价值增加表!S38</f>
        <v>555472965.88999987</v>
      </c>
      <c r="T61" s="89">
        <f>股权价值增加表!T38</f>
        <v>239305710.72000003</v>
      </c>
      <c r="U61" s="89">
        <f>股权价值增加表!U38</f>
        <v>1114133011.5200002</v>
      </c>
      <c r="V61" s="89">
        <f>股权价值增加表!V38</f>
        <v>693902149.98999989</v>
      </c>
      <c r="W61" s="89">
        <f>股权价值增加表!W38</f>
        <v>432151865.42999995</v>
      </c>
      <c r="X61" s="89">
        <f>股权价值增加表!X38</f>
        <v>160930388.98000005</v>
      </c>
      <c r="Y61" s="89">
        <f>股权价值增加表!Y38</f>
        <v>757347685.12999976</v>
      </c>
      <c r="Z61" s="89">
        <f>股权价值增加表!Z38</f>
        <v>425972041.94000012</v>
      </c>
      <c r="AA61" s="89">
        <f>股权价值增加表!AA38</f>
        <v>256164016.32000023</v>
      </c>
      <c r="AB61" s="89">
        <f>股权价值增加表!AB38</f>
        <v>74962350.360000014</v>
      </c>
      <c r="AC61" s="89">
        <f>股权价值增加表!AC38</f>
        <v>414702411.37999994</v>
      </c>
    </row>
    <row r="62" spans="1:88" s="193" customFormat="1" x14ac:dyDescent="0.25">
      <c r="A62" s="89" t="s">
        <v>680</v>
      </c>
      <c r="B62" s="89"/>
      <c r="C62" s="89"/>
      <c r="D62" s="89"/>
      <c r="E62" s="89">
        <f>股权价值增加表!E40</f>
        <v>265421510.03999999</v>
      </c>
      <c r="F62" s="89">
        <f>股权价值增加表!F40</f>
        <v>125783329.5</v>
      </c>
      <c r="G62" s="89">
        <f>股权价值增加表!G40</f>
        <v>153360669.71000001</v>
      </c>
      <c r="H62" s="89">
        <f>股权价值增加表!H40</f>
        <v>32232982.48</v>
      </c>
      <c r="I62" s="89">
        <f>股权价值增加表!I40</f>
        <v>202185238.62</v>
      </c>
      <c r="J62" s="89">
        <f>股权价值增加表!J40</f>
        <v>73964982.299999997</v>
      </c>
      <c r="K62" s="89">
        <f>股权价值增加表!K40</f>
        <v>106393965.53</v>
      </c>
      <c r="L62" s="89">
        <f>股权价值增加表!L40</f>
        <v>30624258.890000001</v>
      </c>
      <c r="M62" s="89">
        <f>股权价值增加表!M40</f>
        <v>197123573.47</v>
      </c>
      <c r="N62" s="89">
        <f>股权价值增加表!N40</f>
        <v>117201768.19</v>
      </c>
      <c r="O62" s="89">
        <f>股权价值增加表!O40</f>
        <v>72489001.480000004</v>
      </c>
      <c r="P62" s="89">
        <f>股权价值增加表!P40</f>
        <v>10897625.92</v>
      </c>
      <c r="Q62" s="89">
        <f>股权价值增加表!Q40</f>
        <v>108579382.61</v>
      </c>
      <c r="R62" s="89">
        <f>股权价值增加表!R40</f>
        <v>68530032.450000003</v>
      </c>
      <c r="S62" s="89">
        <f>股权价值增加表!S40</f>
        <v>48751399.979999997</v>
      </c>
      <c r="T62" s="89">
        <f>股权价值增加表!T40</f>
        <v>37738846.149999999</v>
      </c>
      <c r="U62" s="89">
        <f>股权价值增加表!U40</f>
        <v>-4900604.01</v>
      </c>
      <c r="V62" s="89">
        <f>股权价值增加表!V40</f>
        <v>78949427.159999996</v>
      </c>
      <c r="W62" s="89">
        <f>股权价值增加表!W40</f>
        <v>46680556.469999999</v>
      </c>
      <c r="X62" s="89">
        <f>股权价值增加表!X40</f>
        <v>18883086.59</v>
      </c>
      <c r="Y62" s="89">
        <f>股权价值增加表!Y40</f>
        <v>57931297.909999996</v>
      </c>
      <c r="Z62" s="89">
        <f>股权价值增加表!Z40</f>
        <v>50782434.240000002</v>
      </c>
      <c r="AA62" s="89">
        <f>股权价值增加表!AA40</f>
        <v>32295053.260000002</v>
      </c>
      <c r="AB62" s="89">
        <f>股权价值增加表!AB40</f>
        <v>8915427.5600000005</v>
      </c>
      <c r="AC62" s="89">
        <f>股权价值增加表!AC40</f>
        <v>37789319.68</v>
      </c>
    </row>
    <row r="63" spans="1:88" x14ac:dyDescent="0.25">
      <c r="A63" s="184" t="s">
        <v>681</v>
      </c>
      <c r="B63" s="64"/>
      <c r="C63" s="64"/>
      <c r="D63" s="64"/>
      <c r="E63" s="64">
        <f>股权价值增加表!E42</f>
        <v>1495773467.0200005</v>
      </c>
      <c r="F63" s="64">
        <f>股权价值增加表!F42</f>
        <v>933377323.50000036</v>
      </c>
      <c r="G63" s="64">
        <f>股权价值增加表!G42</f>
        <v>635779051.39999974</v>
      </c>
      <c r="H63" s="64">
        <f>股权价值增加表!H42</f>
        <v>275789777.02999997</v>
      </c>
      <c r="I63" s="64">
        <f>股权价值增加表!I42</f>
        <v>1881555634.0300007</v>
      </c>
      <c r="J63" s="64">
        <f>股权价值增加表!J42</f>
        <v>1065822929.8399994</v>
      </c>
      <c r="K63" s="64">
        <f>股权价值增加表!K42</f>
        <v>710931645.81000018</v>
      </c>
      <c r="L63" s="64">
        <f>股权价值增加表!L42</f>
        <v>214321481.52999997</v>
      </c>
      <c r="M63" s="64">
        <f>股权价值增加表!M42</f>
        <v>1375071990.9200001</v>
      </c>
      <c r="N63" s="64">
        <f>股权价值增加表!N42</f>
        <v>759598429.26999998</v>
      </c>
      <c r="O63" s="64">
        <f>股权价值增加表!O42</f>
        <v>463260423.83000004</v>
      </c>
      <c r="P63" s="64">
        <f>股权价值增加表!P42</f>
        <v>103455989.80000003</v>
      </c>
      <c r="Q63" s="64">
        <f>股权价值增加表!Q42</f>
        <v>1139785936.4499998</v>
      </c>
      <c r="R63" s="64">
        <f>股权价值增加表!R42</f>
        <v>725701157.52999973</v>
      </c>
      <c r="S63" s="64">
        <f>股权价值增加表!S42</f>
        <v>506721565.90999985</v>
      </c>
      <c r="T63" s="64">
        <f>股权价值增加表!T42</f>
        <v>201566864.57000002</v>
      </c>
      <c r="U63" s="64">
        <f>股权价值增加表!U42</f>
        <v>1119033615.5300002</v>
      </c>
      <c r="V63" s="64">
        <f>股权价值增加表!V42</f>
        <v>614952722.82999992</v>
      </c>
      <c r="W63" s="64">
        <f>股权价值增加表!W42</f>
        <v>385471308.95999992</v>
      </c>
      <c r="X63" s="64">
        <f>股权价值增加表!X42</f>
        <v>142047302.39000005</v>
      </c>
      <c r="Y63" s="64">
        <f>股权价值增加表!Y42</f>
        <v>699416387.21999979</v>
      </c>
      <c r="Z63" s="64">
        <f>股权价值增加表!Z42</f>
        <v>375189607.70000011</v>
      </c>
      <c r="AA63" s="64">
        <f>股权价值增加表!AA42</f>
        <v>223868963.06000024</v>
      </c>
      <c r="AB63" s="64">
        <f>股权价值增加表!AB42</f>
        <v>66046922.800000012</v>
      </c>
      <c r="AC63" s="64">
        <f>股权价值增加表!AC42</f>
        <v>376913091.69999993</v>
      </c>
    </row>
    <row r="64" spans="1:88" s="63" customFormat="1" x14ac:dyDescent="0.25">
      <c r="A64" s="214" t="s">
        <v>682</v>
      </c>
      <c r="B64" s="214"/>
      <c r="C64" s="214"/>
      <c r="D64" s="214"/>
      <c r="E64" s="214">
        <f>1-E63/E61</f>
        <v>0.15070535261409479</v>
      </c>
      <c r="F64" s="214">
        <f t="shared" ref="F64:AC64" si="46">1-F63/F61</f>
        <v>0.11875755499765528</v>
      </c>
      <c r="G64" s="214">
        <f t="shared" si="46"/>
        <v>0.19433905759335457</v>
      </c>
      <c r="H64" s="214">
        <f t="shared" si="46"/>
        <v>0.1046448078423684</v>
      </c>
      <c r="I64" s="214">
        <f t="shared" si="46"/>
        <v>9.7029933651428757E-2</v>
      </c>
      <c r="J64" s="214">
        <f t="shared" si="46"/>
        <v>6.4893636361810114E-2</v>
      </c>
      <c r="K64" s="214">
        <f t="shared" si="46"/>
        <v>0.13017329208070172</v>
      </c>
      <c r="L64" s="214">
        <f t="shared" si="46"/>
        <v>0.12502466398268297</v>
      </c>
      <c r="M64" s="214">
        <f t="shared" si="46"/>
        <v>0.12538107722399183</v>
      </c>
      <c r="N64" s="214">
        <f t="shared" si="46"/>
        <v>0.13366986974857165</v>
      </c>
      <c r="O64" s="214">
        <f t="shared" si="46"/>
        <v>0.13530392764874322</v>
      </c>
      <c r="P64" s="214">
        <f t="shared" si="46"/>
        <v>9.5297606913307686E-2</v>
      </c>
      <c r="Q64" s="214">
        <f t="shared" si="46"/>
        <v>8.6977250130401362E-2</v>
      </c>
      <c r="R64" s="214">
        <f t="shared" si="46"/>
        <v>8.628474090991789E-2</v>
      </c>
      <c r="S64" s="214">
        <f t="shared" si="46"/>
        <v>8.7765567315933546E-2</v>
      </c>
      <c r="T64" s="214">
        <f t="shared" si="46"/>
        <v>0.15770140226263296</v>
      </c>
      <c r="U64" s="214">
        <f t="shared" si="46"/>
        <v>-4.3985807433477575E-3</v>
      </c>
      <c r="V64" s="214">
        <f t="shared" si="46"/>
        <v>0.11377602326370906</v>
      </c>
      <c r="W64" s="214">
        <f t="shared" si="46"/>
        <v>0.10801887068924698</v>
      </c>
      <c r="X64" s="214">
        <f t="shared" si="46"/>
        <v>0.11733698470303666</v>
      </c>
      <c r="Y64" s="214">
        <f t="shared" si="46"/>
        <v>7.6492341691195564E-2</v>
      </c>
      <c r="Z64" s="214">
        <f t="shared" si="46"/>
        <v>0.11921541613088527</v>
      </c>
      <c r="AA64" s="214">
        <f t="shared" si="46"/>
        <v>0.12607177902636013</v>
      </c>
      <c r="AB64" s="214">
        <f t="shared" si="46"/>
        <v>0.11893207079533197</v>
      </c>
      <c r="AC64" s="214">
        <f t="shared" si="46"/>
        <v>9.1123944889177189E-2</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7"/>
      <c r="G69" s="257"/>
      <c r="H69" s="257"/>
      <c r="I69" s="257" t="s">
        <v>707</v>
      </c>
      <c r="J69" s="257"/>
      <c r="K69" s="257"/>
      <c r="L69" s="257"/>
      <c r="M69" s="257" t="s">
        <v>708</v>
      </c>
    </row>
    <row r="70" spans="1:29" ht="57.6" x14ac:dyDescent="0.25">
      <c r="A70" s="287" t="s">
        <v>704</v>
      </c>
      <c r="B70" s="65"/>
      <c r="C70" s="65"/>
      <c r="D70" s="65"/>
      <c r="E70" s="65" t="s">
        <v>705</v>
      </c>
      <c r="F70" s="65"/>
      <c r="G70" s="65"/>
      <c r="H70" s="65"/>
      <c r="I70" s="258" t="s">
        <v>709</v>
      </c>
      <c r="J70" s="259"/>
      <c r="K70" s="259"/>
      <c r="L70" s="259"/>
      <c r="M70" s="258" t="s">
        <v>710</v>
      </c>
    </row>
    <row r="71" spans="1:29" ht="54.6" customHeight="1" x14ac:dyDescent="0.25">
      <c r="A71" s="287"/>
      <c r="B71" s="65"/>
      <c r="C71" s="65"/>
      <c r="D71" s="65"/>
      <c r="E71" s="65" t="s">
        <v>706</v>
      </c>
      <c r="F71" s="65"/>
      <c r="G71" s="65"/>
      <c r="H71" s="65"/>
      <c r="I71" s="258" t="s">
        <v>711</v>
      </c>
      <c r="J71" s="259"/>
      <c r="K71" s="259"/>
      <c r="L71" s="259"/>
      <c r="M71" s="258" t="s">
        <v>712</v>
      </c>
    </row>
    <row r="72" spans="1:29" ht="57.6" x14ac:dyDescent="0.25">
      <c r="A72" s="287" t="s">
        <v>720</v>
      </c>
      <c r="B72" s="65"/>
      <c r="C72" s="65"/>
      <c r="D72" s="65"/>
      <c r="E72" s="65" t="s">
        <v>713</v>
      </c>
      <c r="F72" s="65"/>
      <c r="G72" s="65"/>
      <c r="H72" s="65"/>
      <c r="I72" s="258" t="s">
        <v>721</v>
      </c>
      <c r="J72" s="259"/>
      <c r="K72" s="259"/>
      <c r="L72" s="259"/>
      <c r="M72" s="258" t="s">
        <v>722</v>
      </c>
    </row>
    <row r="73" spans="1:29" ht="43.2" x14ac:dyDescent="0.25">
      <c r="A73" s="287"/>
      <c r="B73" s="65"/>
      <c r="C73" s="65"/>
      <c r="D73" s="65"/>
      <c r="E73" s="65" t="s">
        <v>714</v>
      </c>
      <c r="F73" s="65"/>
      <c r="G73" s="65"/>
      <c r="H73" s="65"/>
      <c r="I73" s="258" t="s">
        <v>723</v>
      </c>
      <c r="J73" s="259"/>
      <c r="K73" s="259"/>
      <c r="L73" s="259"/>
      <c r="M73" s="258" t="s">
        <v>724</v>
      </c>
    </row>
    <row r="74" spans="1:29" ht="72" x14ac:dyDescent="0.25">
      <c r="A74" s="287"/>
      <c r="B74" s="65"/>
      <c r="C74" s="65"/>
      <c r="D74" s="65"/>
      <c r="E74" s="65" t="s">
        <v>715</v>
      </c>
      <c r="F74" s="65"/>
      <c r="G74" s="65"/>
      <c r="H74" s="65"/>
      <c r="I74" s="258" t="s">
        <v>725</v>
      </c>
      <c r="J74" s="259"/>
      <c r="K74" s="259"/>
      <c r="L74" s="259"/>
      <c r="M74" s="258" t="s">
        <v>726</v>
      </c>
    </row>
    <row r="75" spans="1:29" ht="72" x14ac:dyDescent="0.25">
      <c r="A75" s="287"/>
      <c r="B75" s="65"/>
      <c r="C75" s="65"/>
      <c r="D75" s="65"/>
      <c r="E75" s="65" t="s">
        <v>716</v>
      </c>
      <c r="F75" s="65"/>
      <c r="G75" s="65"/>
      <c r="H75" s="65"/>
      <c r="I75" s="258" t="s">
        <v>727</v>
      </c>
      <c r="J75" s="259"/>
      <c r="K75" s="259"/>
      <c r="L75" s="259"/>
      <c r="M75" s="258" t="s">
        <v>728</v>
      </c>
    </row>
    <row r="76" spans="1:29" x14ac:dyDescent="0.25">
      <c r="A76" s="287"/>
      <c r="B76" s="65"/>
      <c r="C76" s="65"/>
      <c r="D76" s="65"/>
      <c r="E76" s="65" t="s">
        <v>717</v>
      </c>
      <c r="F76" s="65"/>
      <c r="G76" s="65"/>
      <c r="H76" s="65"/>
      <c r="I76" s="258" t="s">
        <v>729</v>
      </c>
      <c r="J76" s="259"/>
      <c r="K76" s="259"/>
      <c r="L76" s="259"/>
      <c r="M76" s="258" t="s">
        <v>730</v>
      </c>
    </row>
    <row r="77" spans="1:29" ht="57.6" x14ac:dyDescent="0.25">
      <c r="A77" s="287"/>
      <c r="B77" s="65"/>
      <c r="C77" s="65"/>
      <c r="D77" s="65"/>
      <c r="E77" s="65" t="s">
        <v>718</v>
      </c>
      <c r="F77" s="65"/>
      <c r="G77" s="65"/>
      <c r="H77" s="65"/>
      <c r="I77" s="258" t="s">
        <v>731</v>
      </c>
      <c r="J77" s="259"/>
      <c r="K77" s="259"/>
      <c r="L77" s="259"/>
      <c r="M77" s="258" t="s">
        <v>732</v>
      </c>
    </row>
    <row r="78" spans="1:29" ht="57.6" x14ac:dyDescent="0.25">
      <c r="A78" s="287"/>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19.33203125" bestFit="1" customWidth="1"/>
    <col min="26" max="27" width="20.44140625" hidden="1" customWidth="1"/>
    <col min="28"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8.33203125" hidden="1" customWidth="1"/>
    <col min="45" max="45" width="18.33203125" bestFit="1" customWidth="1"/>
    <col min="46" max="47" width="17.21875" hidden="1" customWidth="1"/>
    <col min="48" max="48" width="16.109375" hidden="1" customWidth="1"/>
    <col min="49" max="50" width="19.33203125" bestFit="1" customWidth="1"/>
    <col min="51" max="51" width="19.33203125" hidden="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1495773467.0200005</v>
      </c>
      <c r="F2" s="26">
        <f>股权价值增加表!F42</f>
        <v>933377323.50000036</v>
      </c>
      <c r="G2" s="26">
        <f>股权价值增加表!G42</f>
        <v>635779051.39999974</v>
      </c>
      <c r="H2" s="26">
        <f>股权价值增加表!H42</f>
        <v>275789777.02999997</v>
      </c>
      <c r="I2" s="26">
        <f>股权价值增加表!I42</f>
        <v>1881555634.0300007</v>
      </c>
      <c r="J2" s="26">
        <f>股权价值增加表!J42</f>
        <v>1065822929.8399994</v>
      </c>
      <c r="K2" s="26">
        <f>股权价值增加表!K42</f>
        <v>710931645.81000018</v>
      </c>
      <c r="L2" s="26">
        <f>股权价值增加表!L42</f>
        <v>214321481.52999997</v>
      </c>
      <c r="M2" s="26">
        <f>股权价值增加表!M42</f>
        <v>1375071990.9200001</v>
      </c>
      <c r="N2" s="26">
        <f>股权价值增加表!N42</f>
        <v>759598429.26999998</v>
      </c>
      <c r="O2" s="26">
        <f>股权价值增加表!O42</f>
        <v>463260423.83000004</v>
      </c>
      <c r="P2" s="26">
        <f>股权价值增加表!P42</f>
        <v>103455989.80000003</v>
      </c>
      <c r="Q2" s="26">
        <f>股权价值增加表!Q42</f>
        <v>1139785936.4499998</v>
      </c>
      <c r="R2" s="26">
        <f>股权价值增加表!R42</f>
        <v>725701157.52999973</v>
      </c>
      <c r="S2" s="26">
        <f>股权价值增加表!S42</f>
        <v>506721565.90999985</v>
      </c>
      <c r="T2" s="26">
        <f>股权价值增加表!T42</f>
        <v>201566864.57000002</v>
      </c>
      <c r="U2" s="26">
        <f>股权价值增加表!U42</f>
        <v>1119033615.5300002</v>
      </c>
      <c r="V2" s="26">
        <f>股权价值增加表!V42</f>
        <v>614952722.82999992</v>
      </c>
      <c r="W2" s="26">
        <f>股权价值增加表!W42</f>
        <v>385471308.95999992</v>
      </c>
      <c r="X2" s="26">
        <f>股权价值增加表!X42</f>
        <v>142047302.39000005</v>
      </c>
      <c r="Y2" s="26">
        <f>股权价值增加表!Y42</f>
        <v>699416387.21999979</v>
      </c>
      <c r="Z2" s="26">
        <f>股权价值增加表!Z42</f>
        <v>375189607.70000011</v>
      </c>
      <c r="AA2" s="26">
        <f>股权价值增加表!AA42</f>
        <v>223868963.06000024</v>
      </c>
      <c r="AB2" s="26">
        <f>股权价值增加表!AB42</f>
        <v>66046922.800000012</v>
      </c>
      <c r="AC2" s="26">
        <f>股权价值增加表!AC42</f>
        <v>376913091.69999993</v>
      </c>
      <c r="AD2" s="26">
        <f>股权价值增加表!AD42</f>
        <v>203338351.14999995</v>
      </c>
      <c r="AE2" s="26">
        <f>股权价值增加表!AE42</f>
        <v>128675182.18000001</v>
      </c>
      <c r="AF2" s="26">
        <f>股权价值增加表!AF42</f>
        <v>39139044.170000032</v>
      </c>
      <c r="AG2" s="26">
        <f>股权价值增加表!AG42</f>
        <v>261529760.92000008</v>
      </c>
      <c r="AH2" s="26">
        <f>股权价值增加表!AH42</f>
        <v>140506749.38999999</v>
      </c>
      <c r="AI2" s="26">
        <f>股权价值增加表!AI42</f>
        <v>78357365.419999987</v>
      </c>
      <c r="AJ2" s="26">
        <f>股权价值增加表!AJ42</f>
        <v>18482445.689999986</v>
      </c>
      <c r="AK2" s="26">
        <f>股权价值增加表!AK42</f>
        <v>116658938.48000005</v>
      </c>
      <c r="AL2" s="26">
        <f>股权价值增加表!AL42</f>
        <v>59900200.640000015</v>
      </c>
      <c r="AM2" s="26">
        <f>股权价值增加表!AM42</f>
        <v>33947778.500000022</v>
      </c>
      <c r="AN2" s="26">
        <f>股权价值增加表!AN42</f>
        <v>6229289.0600000005</v>
      </c>
      <c r="AO2" s="26">
        <f>股权价值增加表!AO42</f>
        <v>106297489.95999996</v>
      </c>
      <c r="AP2" s="26">
        <f>股权价值增加表!AP42</f>
        <v>73816300.709999993</v>
      </c>
      <c r="AQ2" s="26">
        <f>股权价值增加表!AQ42</f>
        <v>36369378.730000019</v>
      </c>
      <c r="AR2" s="26">
        <f>股权价值增加表!AR42</f>
        <v>5653261.2800000049</v>
      </c>
      <c r="AS2" s="26">
        <f>股权价值增加表!AS42</f>
        <v>85773814.789999962</v>
      </c>
      <c r="AT2" s="26">
        <f>股权价值增加表!AT42</f>
        <v>54820564.890000001</v>
      </c>
      <c r="AU2" s="26">
        <f>股权价值增加表!AU42</f>
        <v>24410675.389999989</v>
      </c>
      <c r="AV2" s="26">
        <f>股权价值增加表!AV42</f>
        <v>2715913.680000002</v>
      </c>
      <c r="AW2" s="26">
        <f>股权价值增加表!AW42</f>
        <v>48750486.959999979</v>
      </c>
      <c r="AX2" s="26">
        <f>股权价值增加表!AX42</f>
        <v>45760191.909999996</v>
      </c>
      <c r="AY2" s="26">
        <f>股权价值增加表!AY42</f>
        <v>0</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10593230012.49</v>
      </c>
      <c r="F3" s="26">
        <f>资产资本表!F107</f>
        <v>9657021166.1500015</v>
      </c>
      <c r="G3" s="26">
        <f>资产资本表!G107</f>
        <v>9178394866.75</v>
      </c>
      <c r="H3" s="26">
        <f>资产资本表!H107</f>
        <v>8729063593.8400002</v>
      </c>
      <c r="I3" s="26">
        <f>资产资本表!I107</f>
        <v>8425784635.2799997</v>
      </c>
      <c r="J3" s="26">
        <f>资产资本表!J107</f>
        <v>7674448132.0299997</v>
      </c>
      <c r="K3" s="26">
        <f>资产资本表!K107</f>
        <v>7293243089.1599998</v>
      </c>
      <c r="L3" s="26">
        <f>资产资本表!L107</f>
        <v>6750180213.4700003</v>
      </c>
      <c r="M3" s="26">
        <f>资产资本表!M107</f>
        <v>6566387356.9000006</v>
      </c>
      <c r="N3" s="26">
        <f>资产资本表!N107</f>
        <v>5873845411.0500002</v>
      </c>
      <c r="O3" s="26">
        <f>资产资本表!O107</f>
        <v>5577342664.8299999</v>
      </c>
      <c r="P3" s="26">
        <f>资产资本表!P107</f>
        <v>5319499929.3000002</v>
      </c>
      <c r="Q3" s="26">
        <f>资产资本表!Q107</f>
        <v>5211038302.8299999</v>
      </c>
      <c r="R3" s="26">
        <f>资产资本表!R107</f>
        <v>5301483977.4399996</v>
      </c>
      <c r="S3" s="26">
        <f>资产资本表!S107</f>
        <v>5072299999.6999998</v>
      </c>
      <c r="T3" s="26">
        <f>资产资本表!T107</f>
        <v>4375446340.8000002</v>
      </c>
      <c r="U3" s="26">
        <f>资产资本表!U107</f>
        <v>4173879476.23</v>
      </c>
      <c r="V3" s="26">
        <f>资产资本表!V107</f>
        <v>3658693279.9099998</v>
      </c>
      <c r="W3" s="26">
        <f>资产资本表!W107</f>
        <v>3429211866.04</v>
      </c>
      <c r="X3" s="26">
        <f>资产资本表!X107</f>
        <v>2290329689.1099997</v>
      </c>
      <c r="Y3" s="26">
        <f>资产资本表!Y107</f>
        <v>2147653060.5</v>
      </c>
      <c r="Z3" s="26">
        <f>资产资本表!Z107</f>
        <v>1824863823.8099999</v>
      </c>
      <c r="AA3" s="26">
        <f>资产资本表!AA107</f>
        <v>1672020488.9099998</v>
      </c>
      <c r="AB3" s="26">
        <f>资产资本表!AB107</f>
        <v>1582445858.3900001</v>
      </c>
      <c r="AC3" s="26">
        <f>资产资本表!AC107</f>
        <v>1514876245.3300002</v>
      </c>
      <c r="AD3" s="26">
        <f>资产资本表!AD107</f>
        <v>1334119325.3600001</v>
      </c>
      <c r="AE3" s="26">
        <f>资产资本表!AE107</f>
        <v>1251421734.3999999</v>
      </c>
      <c r="AF3" s="26">
        <f>资产资本表!AF107</f>
        <v>1220621274.3999999</v>
      </c>
      <c r="AG3" s="26">
        <f>资产资本表!AG107</f>
        <v>1174347808.24</v>
      </c>
      <c r="AH3" s="26">
        <f>资产资本表!AH107</f>
        <v>1044380679.0200001</v>
      </c>
      <c r="AI3" s="26">
        <f>资产资本表!AI107</f>
        <v>872068884.23000002</v>
      </c>
      <c r="AJ3" s="26">
        <f>资产资本表!AJ107</f>
        <v>848659875.55999994</v>
      </c>
      <c r="AK3" s="26">
        <f>资产资本表!AK107</f>
        <v>828277429.87</v>
      </c>
      <c r="AL3" s="26">
        <f>资产资本表!AL107</f>
        <v>771090077.93000007</v>
      </c>
      <c r="AM3" s="26">
        <f>资产资本表!AM107</f>
        <v>745137655.79000008</v>
      </c>
      <c r="AN3" s="26">
        <f>资产资本表!AN107</f>
        <v>732449166.35000002</v>
      </c>
      <c r="AO3" s="26">
        <f>资产资本表!AO107</f>
        <v>726219877.28999996</v>
      </c>
      <c r="AP3" s="26">
        <f>资产资本表!AP107</f>
        <v>692621607.21999991</v>
      </c>
      <c r="AQ3" s="26">
        <f>资产资本表!AQ107</f>
        <v>655174685.24000001</v>
      </c>
      <c r="AR3" s="26">
        <f>资产资本表!AR107</f>
        <v>234873336.62</v>
      </c>
      <c r="AS3" s="26">
        <f>资产资本表!AS107</f>
        <v>229252340.51000002</v>
      </c>
      <c r="AT3" s="26">
        <f>资产资本表!AT107</f>
        <v>143554200.46000001</v>
      </c>
      <c r="AU3" s="26">
        <f>资产资本表!AU107</f>
        <v>146645593.01999998</v>
      </c>
      <c r="AV3" s="26">
        <f>资产资本表!AV107</f>
        <v>0</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0.14120088634499595</v>
      </c>
      <c r="F4" s="59">
        <f t="shared" ref="F4:BQ4" si="0">F2/F3</f>
        <v>9.665271592980397E-2</v>
      </c>
      <c r="G4" s="59">
        <f t="shared" si="0"/>
        <v>6.9269089054252497E-2</v>
      </c>
      <c r="H4" s="59">
        <f t="shared" si="0"/>
        <v>3.1594428665249003E-2</v>
      </c>
      <c r="I4" s="59">
        <f t="shared" si="0"/>
        <v>0.22330924839351465</v>
      </c>
      <c r="J4" s="59">
        <f t="shared" si="0"/>
        <v>0.13887942318506155</v>
      </c>
      <c r="K4" s="59">
        <f t="shared" si="0"/>
        <v>9.747812284862177E-2</v>
      </c>
      <c r="L4" s="59">
        <f t="shared" si="0"/>
        <v>3.1750482913377773E-2</v>
      </c>
      <c r="M4" s="59">
        <f t="shared" si="0"/>
        <v>0.20941073320553744</v>
      </c>
      <c r="N4" s="59">
        <f t="shared" si="0"/>
        <v>0.12931876413380367</v>
      </c>
      <c r="O4" s="59">
        <f t="shared" si="0"/>
        <v>8.3061137116652389E-2</v>
      </c>
      <c r="P4" s="59">
        <f t="shared" si="0"/>
        <v>1.9448442743679843E-2</v>
      </c>
      <c r="Q4" s="59">
        <f t="shared" si="0"/>
        <v>0.21872530390555894</v>
      </c>
      <c r="R4" s="59">
        <f t="shared" si="0"/>
        <v>0.13688641908909985</v>
      </c>
      <c r="S4" s="59">
        <f t="shared" si="0"/>
        <v>9.98997626205015E-2</v>
      </c>
      <c r="T4" s="59">
        <f t="shared" si="0"/>
        <v>4.6067726323240847E-2</v>
      </c>
      <c r="U4" s="59">
        <f t="shared" si="0"/>
        <v>0.26810395985385571</v>
      </c>
      <c r="V4" s="59">
        <f t="shared" si="0"/>
        <v>0.16807987873887234</v>
      </c>
      <c r="W4" s="59">
        <f t="shared" si="0"/>
        <v>0.11240813458549476</v>
      </c>
      <c r="X4" s="59">
        <f t="shared" si="0"/>
        <v>6.2020460663546773E-2</v>
      </c>
      <c r="Y4" s="59">
        <f t="shared" si="0"/>
        <v>0.32566544386697499</v>
      </c>
      <c r="Z4" s="59">
        <f t="shared" si="0"/>
        <v>0.20559868786081206</v>
      </c>
      <c r="AA4" s="59">
        <f t="shared" si="0"/>
        <v>0.13389127976891105</v>
      </c>
      <c r="AB4" s="59">
        <f t="shared" si="0"/>
        <v>4.1737240139891399E-2</v>
      </c>
      <c r="AC4" s="59">
        <f t="shared" si="0"/>
        <v>0.24880784345383494</v>
      </c>
      <c r="AD4" s="59">
        <f t="shared" si="0"/>
        <v>0.15241391627029383</v>
      </c>
      <c r="AE4" s="59">
        <f t="shared" si="0"/>
        <v>0.10282319592418933</v>
      </c>
      <c r="AF4" s="59">
        <f t="shared" si="0"/>
        <v>3.2064854997090685E-2</v>
      </c>
      <c r="AG4" s="59">
        <f t="shared" si="0"/>
        <v>0.22270213226859581</v>
      </c>
      <c r="AH4" s="59">
        <f t="shared" si="0"/>
        <v>0.1345359524669158</v>
      </c>
      <c r="AI4" s="59">
        <f t="shared" si="0"/>
        <v>8.9852266073208453E-2</v>
      </c>
      <c r="AJ4" s="59">
        <f t="shared" si="0"/>
        <v>2.1778389932485129E-2</v>
      </c>
      <c r="AK4" s="59">
        <f t="shared" si="0"/>
        <v>0.14084524613728752</v>
      </c>
      <c r="AL4" s="59">
        <f t="shared" si="0"/>
        <v>7.7682494373164254E-2</v>
      </c>
      <c r="AM4" s="59">
        <f t="shared" si="0"/>
        <v>4.5559069839261251E-2</v>
      </c>
      <c r="AN4" s="59">
        <f t="shared" si="0"/>
        <v>8.5047390947856471E-3</v>
      </c>
      <c r="AO4" s="59">
        <f t="shared" si="0"/>
        <v>0.14637094533499306</v>
      </c>
      <c r="AP4" s="59">
        <f t="shared" si="0"/>
        <v>0.10657522078509667</v>
      </c>
      <c r="AQ4" s="59">
        <f t="shared" si="0"/>
        <v>5.5510964555471776E-2</v>
      </c>
      <c r="AR4" s="59">
        <f t="shared" si="0"/>
        <v>2.4069404221673651E-2</v>
      </c>
      <c r="AS4" s="59">
        <f t="shared" si="0"/>
        <v>0.37414586302231667</v>
      </c>
      <c r="AT4" s="59">
        <f t="shared" si="0"/>
        <v>0.38188060477739361</v>
      </c>
      <c r="AU4" s="59">
        <f t="shared" si="0"/>
        <v>0.16646034079367653</v>
      </c>
      <c r="AV4" s="59" t="e">
        <f t="shared" si="0"/>
        <v>#DIV/0!</v>
      </c>
      <c r="AW4" s="59">
        <f t="shared" si="0"/>
        <v>5.8769736713559333E-3</v>
      </c>
      <c r="AX4" s="59">
        <f t="shared" si="0"/>
        <v>5.6218626250799644E-3</v>
      </c>
      <c r="AY4" s="59">
        <f t="shared" si="0"/>
        <v>0</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648315066.02080047</v>
      </c>
      <c r="F5" s="26">
        <f>股权价值增加表!F47</f>
        <v>160815630.20800042</v>
      </c>
      <c r="G5" s="26">
        <f>股权价值增加表!G47</f>
        <v>-98492537.940000296</v>
      </c>
      <c r="H5" s="26">
        <f>股权价值增加表!H47</f>
        <v>-422535310.47720003</v>
      </c>
      <c r="I5" s="26">
        <f>股权价值增加表!I47</f>
        <v>1207492863.2076006</v>
      </c>
      <c r="J5" s="26">
        <f>股权价值增加表!J47</f>
        <v>451867079.27759945</v>
      </c>
      <c r="K5" s="26">
        <f>股权价值增加表!K47</f>
        <v>127472198.6772002</v>
      </c>
      <c r="L5" s="26">
        <f>股权价值增加表!L47</f>
        <v>-325692935.54760003</v>
      </c>
      <c r="M5" s="26">
        <f>股权价值增加表!M47</f>
        <v>849761002.36800003</v>
      </c>
      <c r="N5" s="26">
        <f>股权价值增加表!N47</f>
        <v>289690796.38599998</v>
      </c>
      <c r="O5" s="26">
        <f>股权价值增加表!O47</f>
        <v>17073010.643600047</v>
      </c>
      <c r="P5" s="26">
        <f>股权价值增加表!P47</f>
        <v>-322104004.54400003</v>
      </c>
      <c r="Q5" s="26">
        <f>股权价值增加表!Q47</f>
        <v>722902872.22359979</v>
      </c>
      <c r="R5" s="26">
        <f>股权价值增加表!R47</f>
        <v>301582439.33479977</v>
      </c>
      <c r="S5" s="26">
        <f>股权价值增加表!S47</f>
        <v>100937565.93399984</v>
      </c>
      <c r="T5" s="26">
        <f>股权价值增加表!T47</f>
        <v>-148468842.69399998</v>
      </c>
      <c r="U5" s="26">
        <f>股权价值增加表!U47</f>
        <v>785123257.43160021</v>
      </c>
      <c r="V5" s="26">
        <f>股权价值增加表!V47</f>
        <v>322257260.43719995</v>
      </c>
      <c r="W5" s="26">
        <f>股权价值增加表!W47</f>
        <v>111134359.67679989</v>
      </c>
      <c r="X5" s="26">
        <f>股权价值增加表!X47</f>
        <v>-41179072.738799959</v>
      </c>
      <c r="Y5" s="26">
        <f>股权价值增加表!Y47</f>
        <v>527604142.37999976</v>
      </c>
      <c r="Z5" s="26">
        <f>股权价值增加表!Z47</f>
        <v>229200501.79520011</v>
      </c>
      <c r="AA5" s="26">
        <f>股权价值增加表!AA47</f>
        <v>90107323.947200224</v>
      </c>
      <c r="AB5" s="26">
        <f>股权价值增加表!AB47</f>
        <v>-60548745.871199995</v>
      </c>
      <c r="AC5" s="26">
        <f>股权价值增加表!AC47</f>
        <v>255722992.07359993</v>
      </c>
      <c r="AD5" s="26">
        <f>股权价值增加表!AD47</f>
        <v>96608805.121199951</v>
      </c>
      <c r="AE5" s="26">
        <f>股权价值增加表!AE47</f>
        <v>28561443.428000003</v>
      </c>
      <c r="AF5" s="26">
        <f>股权价值增加表!AF47</f>
        <v>-58510657.781999975</v>
      </c>
      <c r="AG5" s="26">
        <f>股权价值增加表!AG47</f>
        <v>167581936.26080006</v>
      </c>
      <c r="AH5" s="26">
        <f>股权价值增加表!AH47</f>
        <v>56956295.068399981</v>
      </c>
      <c r="AI5" s="26">
        <f>股权价值增加表!AI47</f>
        <v>8591854.6815999895</v>
      </c>
      <c r="AJ5" s="26">
        <f>股权价值增加表!AJ47</f>
        <v>-49410344.354800016</v>
      </c>
      <c r="AK5" s="26">
        <f>股权价值增加表!AK47</f>
        <v>50396744.090400048</v>
      </c>
      <c r="AL5" s="26">
        <f>股权价值增加表!AL47</f>
        <v>-1787005.5943999812</v>
      </c>
      <c r="AM5" s="26">
        <f>股权价值增加表!AM47</f>
        <v>-25663233.963199973</v>
      </c>
      <c r="AN5" s="26">
        <f>股权价值增加表!AN47</f>
        <v>-52366644.248000003</v>
      </c>
      <c r="AO5" s="26">
        <f>股权价值增加表!AO47</f>
        <v>48199899.776799962</v>
      </c>
      <c r="AP5" s="26">
        <f>股权价值增加表!AP47</f>
        <v>18406572.132399991</v>
      </c>
      <c r="AQ5" s="26">
        <f>股权价值增加表!AQ47</f>
        <v>-16044596.089199983</v>
      </c>
      <c r="AR5" s="26">
        <f>股权价值增加表!AR47</f>
        <v>-13136605.649599995</v>
      </c>
      <c r="AS5" s="26">
        <f>股权价值增加表!AS47</f>
        <v>67433627.549199969</v>
      </c>
      <c r="AT5" s="26">
        <f>股权价值增加表!AT47</f>
        <v>43336228.853200004</v>
      </c>
      <c r="AU5" s="26">
        <f>股权价值增加表!AU47</f>
        <v>12679027.948399989</v>
      </c>
      <c r="AV5" s="26">
        <f>股权价值增加表!AV47</f>
        <v>2715913.680000002</v>
      </c>
      <c r="AW5" s="26">
        <f>股权价值增加表!AW47</f>
        <v>48750486.959999979</v>
      </c>
      <c r="AX5" s="26">
        <f>股权价值增加表!AX47</f>
        <v>45760191.909999996</v>
      </c>
      <c r="AY5" s="26">
        <f>股权价值增加表!AY47</f>
        <v>0</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0.10525026024997065</v>
      </c>
      <c r="F6" s="158">
        <f>股权价值增加表!F31/股权价值增加表!F4</f>
        <v>9.9627144303435056E-2</v>
      </c>
      <c r="G6" s="158">
        <f>股权价值增加表!G31/股权价值增加表!G4</f>
        <v>0.11223579215208083</v>
      </c>
      <c r="H6" s="158">
        <f>股权价值增加表!H31/股权价值增加表!H4</f>
        <v>0.12002544381590428</v>
      </c>
      <c r="I6" s="158">
        <f>股权价值增加表!I31/股权价值增加表!I4</f>
        <v>0.14649673025750332</v>
      </c>
      <c r="J6" s="158">
        <f>股权价值增加表!J31/股权价值增加表!J4</f>
        <v>0.138837900525178</v>
      </c>
      <c r="K6" s="158">
        <f>股权价值增加表!K31/股权价值增加表!K4</f>
        <v>0.16066144580348921</v>
      </c>
      <c r="L6" s="158">
        <f>股权价值增加表!L31/股权价值增加表!L4</f>
        <v>0.14047559726116962</v>
      </c>
      <c r="M6" s="158">
        <f>股权价值增加表!M31/股权价值增加表!M4</f>
        <v>0.15016043028855042</v>
      </c>
      <c r="N6" s="158">
        <f>股权价值增加表!N31/股权价值增加表!N4</f>
        <v>0.1393114586602367</v>
      </c>
      <c r="O6" s="158">
        <f>股权价值增加表!O31/股权价值增加表!O4</f>
        <v>0.1499559450220781</v>
      </c>
      <c r="P6" s="158">
        <f>股权价值增加表!P31/股权价值增加表!P4</f>
        <v>8.7966964539500578E-2</v>
      </c>
      <c r="Q6" s="158">
        <f>股权价值增加表!Q31/股权价值增加表!Q4</f>
        <v>0.17188460923257526</v>
      </c>
      <c r="R6" s="158">
        <f>股权价值增加表!R31/股权价值增加表!R4</f>
        <v>0.16638522361093036</v>
      </c>
      <c r="S6" s="158">
        <f>股权价值增加表!S31/股权价值增加表!S4</f>
        <v>0.1774990128516796</v>
      </c>
      <c r="T6" s="158">
        <f>股权价值增加表!T31/股权价值增加表!T4</f>
        <v>0.1993036830526001</v>
      </c>
      <c r="U6" s="158">
        <f>股权价值增加表!U31/股权价值增加表!U4</f>
        <v>0.20868264999432223</v>
      </c>
      <c r="V6" s="158">
        <f>股权价值增加表!V31/股权价值增加表!V4</f>
        <v>0.20924310681453054</v>
      </c>
      <c r="W6" s="158">
        <f>股权价值增加表!W31/股权价值增加表!W4</f>
        <v>0.21176857031280086</v>
      </c>
      <c r="X6" s="158">
        <f>股权价值增加表!X31/股权价值增加表!X4</f>
        <v>0.20717150325910191</v>
      </c>
      <c r="Y6" s="158">
        <f>股权价值增加表!Y31/股权价值增加表!Y4</f>
        <v>0.2154890510801819</v>
      </c>
      <c r="Z6" s="158">
        <f>股权价值增加表!Z31/股权价值增加表!Z4</f>
        <v>0.19037351711693701</v>
      </c>
      <c r="AA6" s="158">
        <f>股权价值增加表!AA31/股权价值增加表!AA4</f>
        <v>0.19791924275787562</v>
      </c>
      <c r="AB6" s="158">
        <f>股权价值增加表!AB31/股权价值增加表!AB4</f>
        <v>0.14777946838332279</v>
      </c>
      <c r="AC6" s="158">
        <f>股权价值增加表!AC31/股权价值增加表!AC4</f>
        <v>0.18902641854029606</v>
      </c>
      <c r="AD6" s="158">
        <f>股权价值增加表!AD31/股权价值增加表!AD4</f>
        <v>0.15505243774766872</v>
      </c>
      <c r="AE6" s="158">
        <f>股权价值增加表!AE31/股权价值增加表!AE4</f>
        <v>0.16056434038282477</v>
      </c>
      <c r="AF6" s="158">
        <f>股权价值增加表!AF31/股权价值增加表!AF4</f>
        <v>0.12744632359864247</v>
      </c>
      <c r="AG6" s="158">
        <f>股权价值增加表!AG31/股权价值增加表!AG4</f>
        <v>0.19191247875104514</v>
      </c>
      <c r="AH6" s="158">
        <f>股权价值增加表!AH31/股权价值增加表!AH4</f>
        <v>0.15667568283692465</v>
      </c>
      <c r="AI6" s="158">
        <f>股权价值增加表!AI31/股权价值增加表!AI4</f>
        <v>0.14868218184183618</v>
      </c>
      <c r="AJ6" s="158">
        <f>股权价值增加表!AJ31/股权价值增加表!AJ4</f>
        <v>8.6008029163172531E-2</v>
      </c>
      <c r="AK6" s="158">
        <f>股权价值增加表!AK31/股权价值增加表!AK4</f>
        <v>0.15328134662813137</v>
      </c>
      <c r="AL6" s="158">
        <f>股权价值增加表!AL31/股权价值增加表!AL4</f>
        <v>0.10999595906994583</v>
      </c>
      <c r="AM6" s="158">
        <f>股权价值增加表!AM31/股权价值增加表!AM4</f>
        <v>0.10280682591346949</v>
      </c>
      <c r="AN6" s="158">
        <f>股权价值增加表!AN31/股权价值增加表!AN4</f>
        <v>2.6532605936777032E-2</v>
      </c>
      <c r="AO6" s="158">
        <f>股权价值增加表!AO31/股权价值增加表!AO4</f>
        <v>0.17651138751530032</v>
      </c>
      <c r="AP6" s="158">
        <f>股权价值增加表!AP31/股权价值增加表!AP4</f>
        <v>0.17766128903480727</v>
      </c>
      <c r="AQ6" s="158">
        <f>股权价值增加表!AQ31/股权价值增加表!AQ4</f>
        <v>0.15386966378303724</v>
      </c>
      <c r="AR6" s="158">
        <f>股权价值增加表!AR31/股权价值增加表!AR4</f>
        <v>8.2955560896765188E-2</v>
      </c>
      <c r="AS6" s="158">
        <f>股权价值增加表!AS31/股权价值增加表!AS4</f>
        <v>0.23754575163425953</v>
      </c>
      <c r="AT6" s="158">
        <f>股权价值增加表!AT31/股权价值增加表!AT4</f>
        <v>0.22236725398686591</v>
      </c>
      <c r="AU6" s="158">
        <f>股权价值增加表!AU31/股权价值增加表!AU4</f>
        <v>0.19200970612683402</v>
      </c>
      <c r="AV6" s="158">
        <f>股权价值增加表!AV31/股权价值增加表!AV4</f>
        <v>5.9627529188087371E-2</v>
      </c>
      <c r="AW6" s="158">
        <f>股权价值增加表!AW31/股权价值增加表!AW4</f>
        <v>0.1220732591752887</v>
      </c>
      <c r="AX6" s="158">
        <f>股权价值增加表!AX31/股权价值增加表!AX4</f>
        <v>0.17002779834683659</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1.4333766973489046</v>
      </c>
      <c r="F7" s="61">
        <f>股权价值增加表!F4/资产资本表!F70</f>
        <v>0.93918442123489476</v>
      </c>
      <c r="G7" s="61">
        <f>股权价值增加表!G4/资产资本表!G70</f>
        <v>0.63328973341070682</v>
      </c>
      <c r="H7" s="61">
        <f>股权价值增加表!H4/资产资本表!H70</f>
        <v>0.24424713474585014</v>
      </c>
      <c r="I7" s="61">
        <f>股权价值增加表!I4/资产资本表!I70</f>
        <v>1.386076857563616</v>
      </c>
      <c r="J7" s="61">
        <f>股权价值增加表!J4/资产资本表!J70</f>
        <v>0.90636906382028115</v>
      </c>
      <c r="K7" s="61">
        <f>股权价值增加表!K4/资产资本表!K70</f>
        <v>0.59370856458866839</v>
      </c>
      <c r="L7" s="61">
        <f>股权价值增加表!L4/资产资本表!L70</f>
        <v>0.22762044332954598</v>
      </c>
      <c r="M7" s="61">
        <f>股权价值增加表!M4/资产资本表!M70</f>
        <v>1.406758535591931</v>
      </c>
      <c r="N7" s="61">
        <f>股权价值增加表!N4/资产资本表!N70</f>
        <v>0.90806772780666223</v>
      </c>
      <c r="O7" s="61">
        <f>股权价值增加表!O4/资产资本表!O70</f>
        <v>0.573422757267118</v>
      </c>
      <c r="P7" s="61">
        <f>股权价值增加表!P4/资产资本表!P70</f>
        <v>0.20941380063880921</v>
      </c>
      <c r="Q7" s="61">
        <f>股权价值增加表!Q4/资产资本表!Q70</f>
        <v>1.2691894334065783</v>
      </c>
      <c r="R7" s="61">
        <f>股权价值增加表!R4/资产资本表!R70</f>
        <v>0.85539849678523716</v>
      </c>
      <c r="S7" s="61">
        <f>股权价值增加表!S4/资产资本表!S70</f>
        <v>0.56940983824026126</v>
      </c>
      <c r="T7" s="61">
        <f>股权价值增加表!T4/资产资本表!T70</f>
        <v>0.24898655397698316</v>
      </c>
      <c r="U7" s="61">
        <f>股权价值增加表!U4/资产资本表!U70</f>
        <v>1.2768248963829427</v>
      </c>
      <c r="V7" s="61">
        <f>股权价值增加表!V4/资产资本表!V70</f>
        <v>0.87884287978567865</v>
      </c>
      <c r="W7" s="61">
        <f>股权价值增加表!W4/资产资本表!W70</f>
        <v>0.57343659868883134</v>
      </c>
      <c r="X7" s="61">
        <f>股权价值增加表!X4/资产资本表!X70</f>
        <v>0.31328007381765838</v>
      </c>
      <c r="Y7" s="61">
        <f>股权价值增加表!Y4/资产资本表!Y70</f>
        <v>1.4852356373330495</v>
      </c>
      <c r="Z7" s="61">
        <f>股权价值增加表!Z4/资产资本表!Z70</f>
        <v>1.0582359761934006</v>
      </c>
      <c r="AA7" s="61">
        <f>股权价值增加表!AA4/资产资本表!AA70</f>
        <v>0.69724661294136214</v>
      </c>
      <c r="AB7" s="61">
        <f>股权价值增加表!AB4/资产资本表!AB70</f>
        <v>0.30511529405824384</v>
      </c>
      <c r="AC7" s="61">
        <f>股权价值增加表!AC4/资产资本表!AC70</f>
        <v>1.4166387358356616</v>
      </c>
      <c r="AD7" s="61">
        <f>股权价值增加表!AD4/资产资本表!AD70</f>
        <v>1.0204851694915327</v>
      </c>
      <c r="AE7" s="61">
        <f>股权价值增加表!AE4/资产资本表!AE70</f>
        <v>0.65075451729978651</v>
      </c>
      <c r="AF7" s="61">
        <f>股权价值增加表!AF4/资产资本表!AF70</f>
        <v>0.24112484928233646</v>
      </c>
      <c r="AG7" s="61">
        <f>股权价值增加表!AG4/资产资本表!AG70</f>
        <v>1.1427635524206503</v>
      </c>
      <c r="AH7" s="61">
        <f>股权价值增加表!AH4/资产资本表!AH70</f>
        <v>0.80923762238955133</v>
      </c>
      <c r="AI7" s="61">
        <f>股权价值增加表!AI4/资产资本表!AI70</f>
        <v>0.57491134742153416</v>
      </c>
      <c r="AJ7" s="61">
        <f>股权价值增加表!AJ4/资产资本表!AJ70</f>
        <v>0.22252907847491638</v>
      </c>
      <c r="AK7" s="61">
        <f>股权价值增加表!AK4/资产资本表!AK70</f>
        <v>0.93575998155426232</v>
      </c>
      <c r="AL7" s="61">
        <f>股权价值增加表!AL4/资产资本表!AL70</f>
        <v>0.65449729353204689</v>
      </c>
      <c r="AM7" s="61">
        <f>股权价值增加表!AM4/资产资本表!AM70</f>
        <v>0.39405437989912379</v>
      </c>
      <c r="AN7" s="61">
        <f>股权价值增加表!AN4/资产资本表!AN70</f>
        <v>0.17734596849541492</v>
      </c>
      <c r="AO7" s="61">
        <f>股权价值增加表!AO4/资产资本表!AO70</f>
        <v>0.87028517193507959</v>
      </c>
      <c r="AP7" s="61">
        <f>股权价值增加表!AP4/资产资本表!AP70</f>
        <v>0.63528051310392641</v>
      </c>
      <c r="AQ7" s="61">
        <f>股权价值增加表!AQ4/资产资本表!AQ70</f>
        <v>0.39999974068206984</v>
      </c>
      <c r="AR7" s="61">
        <f>股权价值增加表!AR4/资产资本表!AR70</f>
        <v>0.32655231249222078</v>
      </c>
      <c r="AS7" s="61">
        <f>股权价值增加表!AS4/资产资本表!AS70</f>
        <v>1.6772544205424997</v>
      </c>
      <c r="AT7" s="61">
        <f>股权价值增加表!AT4/资产资本表!AT70</f>
        <v>1.5281687460017503</v>
      </c>
      <c r="AU7" s="61">
        <f>股权价值增加表!AU4/资产资本表!AU70</f>
        <v>0.79167098214976717</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0.15086327043221562</v>
      </c>
      <c r="F8" s="63">
        <f>股权价值增加表!F31/资产资本表!F70</f>
        <v>9.356826186190699E-2</v>
      </c>
      <c r="G8" s="63">
        <f>股权价值增加表!G31/资产资本表!G70</f>
        <v>7.1077774891130777E-2</v>
      </c>
      <c r="H8" s="63">
        <f>股权价值增加表!H31/资产资本表!H70</f>
        <v>2.9315870748633635E-2</v>
      </c>
      <c r="I8" s="63">
        <f>股权价值增加表!I31/资产资本表!I70</f>
        <v>0.20305572751866491</v>
      </c>
      <c r="J8" s="63">
        <f>股权价值增加表!J31/资产资本表!J70</f>
        <v>0.1258383779217789</v>
      </c>
      <c r="K8" s="63">
        <f>股权价值增加表!K31/资产资本表!K70</f>
        <v>9.5386076372729708E-2</v>
      </c>
      <c r="L8" s="63">
        <f>股权价值增加表!L31/资产资本表!L70</f>
        <v>3.1975117725570178E-2</v>
      </c>
      <c r="M8" s="63">
        <f>股权价值增加表!M31/资产资本表!M70</f>
        <v>0.21123946701657542</v>
      </c>
      <c r="N8" s="63">
        <f>股权价值增加表!N31/资产资本表!N70</f>
        <v>0.1265042397230329</v>
      </c>
      <c r="O8" s="63">
        <f>股权价值增加表!O31/资产资本表!O70</f>
        <v>8.5988151463156373E-2</v>
      </c>
      <c r="P8" s="63">
        <f>股权价值增加表!P31/资产资本表!P70</f>
        <v>1.8421496374876171E-2</v>
      </c>
      <c r="Q8" s="63">
        <f>股权价值增加表!Q31/资产资本表!Q70</f>
        <v>0.21815412980320334</v>
      </c>
      <c r="R8" s="63">
        <f>股权价值增加表!R31/资产资本表!R70</f>
        <v>0.14232567016406539</v>
      </c>
      <c r="S8" s="63">
        <f>股权价值增加表!S31/资产资本表!S70</f>
        <v>0.10106968419568094</v>
      </c>
      <c r="T8" s="63">
        <f>股权价值增加表!T31/资产资本表!T70</f>
        <v>4.9623937238187761E-2</v>
      </c>
      <c r="U8" s="63">
        <f>股权价值增加表!U31/资产资本表!U70</f>
        <v>0.26645120295591834</v>
      </c>
      <c r="V8" s="63">
        <f>股权价值增加表!V31/资产资本表!V70</f>
        <v>0.18389181456818438</v>
      </c>
      <c r="W8" s="63">
        <f>股权价值增加表!W31/资产资本表!W70</f>
        <v>0.12143584866936916</v>
      </c>
      <c r="X8" s="63">
        <f>股权价值增加表!X31/资产资本表!X70</f>
        <v>6.4902703833926698E-2</v>
      </c>
      <c r="Y8" s="63">
        <f>股权价值增加表!Y31/资产资本表!Y70</f>
        <v>0.32005201811936806</v>
      </c>
      <c r="Z8" s="63">
        <f>股权价值增加表!Z31/资产资本表!Z70</f>
        <v>0.20146010472761289</v>
      </c>
      <c r="AA8" s="63">
        <f>股权价值增加表!AA31/资产资本表!AA70</f>
        <v>0.13799852164884799</v>
      </c>
      <c r="AB8" s="63">
        <f>股权价值增加表!AB31/资产资本表!AB70</f>
        <v>4.5089775951548478E-2</v>
      </c>
      <c r="AC8" s="63">
        <f>股权价值增加表!AC31/资产资本表!AC70</f>
        <v>0.26778214660046767</v>
      </c>
      <c r="AD8" s="63">
        <f>股权价值增加表!AD31/资产资本表!AD70</f>
        <v>0.15822871321500503</v>
      </c>
      <c r="AE8" s="63">
        <f>股权价值增加表!AE31/资产资本表!AE70</f>
        <v>0.10448796982138375</v>
      </c>
      <c r="AF8" s="63">
        <f>股权价值增加表!AF31/资产资本表!AF70</f>
        <v>3.0730475569310547E-2</v>
      </c>
      <c r="AG8" s="63">
        <f>股权价值增加表!AG31/资产资本表!AG70</f>
        <v>0.21931058597139691</v>
      </c>
      <c r="AH8" s="63">
        <f>股权价值增加表!AH31/资产资本表!AH70</f>
        <v>0.12678785706521234</v>
      </c>
      <c r="AI8" s="63">
        <f>股权价值增加表!AI31/资产资本表!AI70</f>
        <v>8.5479073500263597E-2</v>
      </c>
      <c r="AJ8" s="63">
        <f>股权价值增加表!AJ31/资产资本表!AJ70</f>
        <v>1.9139287471124516E-2</v>
      </c>
      <c r="AK8" s="63">
        <f>股权价值增加表!AK31/资产资本表!AK70</f>
        <v>0.14343455009335271</v>
      </c>
      <c r="AL8" s="63">
        <f>股权价值增加表!AL31/资产资本表!AL70</f>
        <v>7.199205751074135E-2</v>
      </c>
      <c r="AM8" s="63">
        <f>股权价值增加表!AM31/资产资本表!AM70</f>
        <v>4.0511480034729389E-2</v>
      </c>
      <c r="AN8" s="63">
        <f>股权价值增加表!AN31/资产资本表!AN70</f>
        <v>4.7054506965649185E-3</v>
      </c>
      <c r="AO8" s="63">
        <f>股权价值增加表!AO31/资产资本表!AO70</f>
        <v>0.15361524323225259</v>
      </c>
      <c r="AP8" s="63">
        <f>股权价值增加表!AP31/资产资本表!AP70</f>
        <v>0.11286475485673733</v>
      </c>
      <c r="AQ8" s="63">
        <f>股权价值增加表!AQ31/资产资本表!AQ70</f>
        <v>6.1547825612052159E-2</v>
      </c>
      <c r="AR8" s="63">
        <f>股权价值增加表!AR31/资产资本表!AR70</f>
        <v>2.7089330244927916E-2</v>
      </c>
      <c r="AS8" s="63">
        <f>股权价值增加表!AS31/资产资本表!AS70</f>
        <v>0.39842466200965249</v>
      </c>
      <c r="AT8" s="63">
        <f>股权价值增加表!AT31/资产资本表!AT70</f>
        <v>0.33981468767696155</v>
      </c>
      <c r="AU8" s="63">
        <f>股权价值增加表!AU31/资产资本表!AU70</f>
        <v>0.15200851263171886</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0.88797473179628938</v>
      </c>
      <c r="F9" s="158">
        <f>股权价值增加表!F38/股权价值增加表!F31</f>
        <v>0.90684793336617009</v>
      </c>
      <c r="G9" s="158">
        <f>股权价值增加表!G38/股权价值增加表!G31</f>
        <v>0.94191607666050969</v>
      </c>
      <c r="H9" s="158">
        <f>股权价值增加表!H38/股权价值增加表!H31</f>
        <v>0.96892703919256984</v>
      </c>
      <c r="I9" s="158">
        <f>股权价值增加表!I38/股权价值增加表!I31</f>
        <v>1.0671246399603278</v>
      </c>
      <c r="J9" s="158">
        <f>股权价值增加表!J38/股权价值增加表!J31</f>
        <v>1.030225037307992</v>
      </c>
      <c r="K9" s="158">
        <f>股权价值增加表!K38/股权价值增加表!K31</f>
        <v>1.0277806706363908</v>
      </c>
      <c r="L9" s="158">
        <f>股权价值增加表!L38/股权价值增加表!L31</f>
        <v>0.97810142317195836</v>
      </c>
      <c r="M9" s="158">
        <f>股权价值增加表!M38/股权价值增加表!M31</f>
        <v>1.0389242568260244</v>
      </c>
      <c r="N9" s="158">
        <f>股权价值增加表!N38/股权价值增加表!N31</f>
        <v>1.0795202166433575</v>
      </c>
      <c r="O9" s="158">
        <f>股权价值增加表!O38/股权价值增加表!O31</f>
        <v>1.0299303272146361</v>
      </c>
      <c r="P9" s="158">
        <f>股权价值增加表!P38/股权价值增加表!P31</f>
        <v>1.0809599478122269</v>
      </c>
      <c r="Q9" s="158">
        <f>股权价值增加表!Q38/股权价值增加表!Q31</f>
        <v>0.99057934866537489</v>
      </c>
      <c r="R9" s="158">
        <f>股权价值增加表!R38/股权价值增加表!R31</f>
        <v>1.0271060812072841</v>
      </c>
      <c r="S9" s="158">
        <f>股权价值增加表!S38/股权价值增加表!S31</f>
        <v>1.0285686182169622</v>
      </c>
      <c r="T9" s="158">
        <f>股权价值增加表!T38/股权价值增加表!T31</f>
        <v>1.0488180611602749</v>
      </c>
      <c r="U9" s="158">
        <f>股权价值增加表!U38/股权价值增加表!U31</f>
        <v>0.98683804665909847</v>
      </c>
      <c r="V9" s="158">
        <f>股权价值增加表!V38/股权价值增加表!V31</f>
        <v>1.0175125601726753</v>
      </c>
      <c r="W9" s="158">
        <f>股权价值增加表!W38/股权价值增加表!W31</f>
        <v>1.0044744780622836</v>
      </c>
      <c r="X9" s="158">
        <f>股权价值增加表!X38/股权价值增加表!X31</f>
        <v>0.98519997339803655</v>
      </c>
      <c r="Y9" s="158">
        <f>股权价值增加表!Y38/股权价值增加表!Y31</f>
        <v>0.9952816520433676</v>
      </c>
      <c r="Z9" s="158">
        <f>股权价值增加表!Z38/股权价值增加表!Z31</f>
        <v>1.0203733462787281</v>
      </c>
      <c r="AA9" s="158">
        <f>股权价值增加表!AA38/股权价值增加表!AA31</f>
        <v>0.99800653921875104</v>
      </c>
      <c r="AB9" s="158">
        <f>股权价值增加表!AB38/股权价值增加表!AB31</f>
        <v>1.0185303390371212</v>
      </c>
      <c r="AC9" s="158">
        <f>股权价值增加表!AC38/股权价值增加表!AC31</f>
        <v>0.99486569249131118</v>
      </c>
      <c r="AD9" s="158">
        <f>股权价值增加表!AD38/股权价值增加表!AD31</f>
        <v>1.0397256074384449</v>
      </c>
      <c r="AE9" s="158">
        <f>股权价值增加表!AE38/股权价值增加表!AE31</f>
        <v>1.0171339537062811</v>
      </c>
      <c r="AF9" s="158">
        <f>股权价值增加表!AF38/股权价值增加表!AF31</f>
        <v>1.0309059761418584</v>
      </c>
      <c r="AG9" s="158">
        <f>股权价值增加表!AG38/股权价值增加表!AG31</f>
        <v>0.99685231609084646</v>
      </c>
      <c r="AH9" s="158">
        <f>股权价值增加表!AH38/股权价值增加表!AH31</f>
        <v>1.0329116739644584</v>
      </c>
      <c r="AI9" s="158">
        <f>股权价值增加表!AI38/股权价值增加表!AI31</f>
        <v>1.026033790800692</v>
      </c>
      <c r="AJ9" s="158">
        <f>股权价值增加表!AJ38/股权价值增加表!AJ31</f>
        <v>1.0984859934483087</v>
      </c>
      <c r="AK9" s="158">
        <f>股权价值增加表!AK38/股权价值增加表!AK31</f>
        <v>0.99426331858120287</v>
      </c>
      <c r="AL9" s="158">
        <f>股权价值增加表!AL38/股权价值增加表!AL31</f>
        <v>1.1333120242220371</v>
      </c>
      <c r="AM9" s="158">
        <f>股权价值增加表!AM38/股权价值增加表!AM31</f>
        <v>1.1883396434607347</v>
      </c>
      <c r="AN9" s="158">
        <f>股权价值增加表!AN38/股权价值增加表!AN31</f>
        <v>1.8222758193446049</v>
      </c>
      <c r="AO9" s="158">
        <f>股权价值增加表!AO38/股权价值增加表!AO31</f>
        <v>1.0162126950672918</v>
      </c>
      <c r="AP9" s="158">
        <f>股权价值增加表!AP38/股权价值增加表!AP31</f>
        <v>1.0451237426775952</v>
      </c>
      <c r="AQ9" s="158">
        <f>股权价值增加表!AQ38/股权价值增加表!AQ31</f>
        <v>1.0670372973091486</v>
      </c>
      <c r="AR9" s="158">
        <f>股权价值增加表!AR38/股权价值增加表!AR31</f>
        <v>1.0975254568835024</v>
      </c>
      <c r="AS9" s="158">
        <f>股权价值增加表!AS38/股权价值增加表!AS31</f>
        <v>1.010568413445627</v>
      </c>
      <c r="AT9" s="158">
        <f>股权价值增加表!AT38/股权价值增加表!AT31</f>
        <v>1.0044089345652598</v>
      </c>
      <c r="AU9" s="158">
        <f>股权价值增加表!AU38/股权价值增加表!AU31</f>
        <v>0.99000253421834639</v>
      </c>
      <c r="AV9" s="158">
        <f>股权价值增加表!AV38/股权价值增加表!AV31</f>
        <v>0.89467624460544715</v>
      </c>
      <c r="AW9" s="158">
        <f>股权价值增加表!AW38/股权价值增加表!AW31</f>
        <v>0.96466585855205511</v>
      </c>
      <c r="AX9" s="158">
        <f>股权价值增加表!AX38/股权价值增加表!AX31</f>
        <v>0.97885556320092793</v>
      </c>
      <c r="AY9" s="158" t="e">
        <f>股权价值增加表!AY38/股权价值增加表!AY31</f>
        <v>#DIV/0!</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1.2410660917670135</v>
      </c>
      <c r="F10" s="61">
        <f>资产资本表!F70/资产资本表!F107</f>
        <v>1.2925746246351459</v>
      </c>
      <c r="G10" s="61">
        <f>资产资本表!G70/资产资本表!G107</f>
        <v>1.2842250387385796</v>
      </c>
      <c r="H10" s="61">
        <f>资产资本表!H70/资产资本表!H107</f>
        <v>1.2422850989059671</v>
      </c>
      <c r="I10" s="61">
        <f>资产资本表!I70/资产资本表!I107</f>
        <v>1.1413082703686306</v>
      </c>
      <c r="J10" s="61">
        <f>资产资本表!J70/资产资本表!J107</f>
        <v>1.1455965044869536</v>
      </c>
      <c r="K10" s="61">
        <f>资产资本表!K70/资产资本表!K107</f>
        <v>1.1431125381863851</v>
      </c>
      <c r="L10" s="61">
        <f>资产资本表!L70/资产资本表!L107</f>
        <v>1.1602684443803715</v>
      </c>
      <c r="M10" s="61">
        <f>资产资本表!M70/资产资本表!M107</f>
        <v>1.0909908764782452</v>
      </c>
      <c r="N10" s="61">
        <f>资产资本表!N70/资产资本表!N107</f>
        <v>1.093055630177419</v>
      </c>
      <c r="O10" s="61">
        <f>资产资本表!O70/资产资本表!O107</f>
        <v>1.0846457696470744</v>
      </c>
      <c r="P10" s="61">
        <f>资产资本表!P70/资产资本表!P107</f>
        <v>1.0795545347052367</v>
      </c>
      <c r="Q10" s="61">
        <f>资产资本表!Q70/资产资本表!Q107</f>
        <v>1.1085740827260349</v>
      </c>
      <c r="R10" s="61">
        <f>资产资本表!R70/资产资本表!R107</f>
        <v>1.0248279159043236</v>
      </c>
      <c r="S10" s="61">
        <f>资产资本表!S70/资产资本表!S107</f>
        <v>1.0534254755507417</v>
      </c>
      <c r="T10" s="61">
        <f>资产资本表!T70/资产资本表!T107</f>
        <v>1.0508466015787825</v>
      </c>
      <c r="U10" s="61">
        <f>资产资本表!U70/资产资本表!U107</f>
        <v>1.0151578279536582</v>
      </c>
      <c r="V10" s="61">
        <f>资产资本表!V70/资产资本表!V107</f>
        <v>1.0136080552921412</v>
      </c>
      <c r="W10" s="61">
        <f>资产资本表!W70/资产资本表!W107</f>
        <v>1.0331330510853525</v>
      </c>
      <c r="X10" s="61">
        <f>资产资本表!X70/资产资本表!X107</f>
        <v>1.0988865984914205</v>
      </c>
      <c r="Y10" s="61">
        <f>资产资本表!Y70/资产资本表!Y107</f>
        <v>1.1070433032030222</v>
      </c>
      <c r="Z10" s="61">
        <f>资产资本表!Z70/资产资本表!Z107</f>
        <v>1.1355400937334559</v>
      </c>
      <c r="AA10" s="61">
        <f>资产资本表!AA70/资产资本表!AA107</f>
        <v>1.1124197941512892</v>
      </c>
      <c r="AB10" s="61">
        <f>资产资本表!AB70/资产资本表!AB107</f>
        <v>1.0314835057426155</v>
      </c>
      <c r="AC10" s="61">
        <f>资产资本表!AC70/资产资本表!AC107</f>
        <v>1.027574531866067</v>
      </c>
      <c r="AD10" s="61">
        <f>资产资本表!AD70/资产资本表!AD107</f>
        <v>1.0729008433138136</v>
      </c>
      <c r="AE10" s="61">
        <f>资产资本表!AE70/资产资本表!AE107</f>
        <v>1.098103269933107</v>
      </c>
      <c r="AF10" s="61">
        <f>资产资本表!AF70/资产资本表!AF107</f>
        <v>1.1165824224962404</v>
      </c>
      <c r="AG10" s="61">
        <f>资产资本表!AG70/资产资本表!AG107</f>
        <v>1.1298609007399225</v>
      </c>
      <c r="AH10" s="61">
        <f>资产资本表!AH70/资产资本表!AH107</f>
        <v>1.1334942894968378</v>
      </c>
      <c r="AI10" s="61">
        <f>资产资本表!AI70/资产资本表!AI107</f>
        <v>1.1381971532746658</v>
      </c>
      <c r="AJ10" s="61">
        <f>资产资本表!AJ70/资产资本表!AJ107</f>
        <v>1.1264353387029122</v>
      </c>
      <c r="AK10" s="61">
        <f>资产资本表!AK70/资产资本表!AK107</f>
        <v>1.0785390843744347</v>
      </c>
      <c r="AL10" s="61">
        <f>资产资本表!AL70/资产资本表!AL107</f>
        <v>1.0269172393395574</v>
      </c>
      <c r="AM10" s="61">
        <f>资产资本表!AM70/资产资本表!AM107</f>
        <v>1.018360526425812</v>
      </c>
      <c r="AN10" s="61">
        <f>资产资本表!AN70/资产资本表!AN107</f>
        <v>0.99999999999999989</v>
      </c>
      <c r="AO10" s="61">
        <f>资产资本表!AO70/资产资本表!AO107</f>
        <v>1</v>
      </c>
      <c r="AP10" s="61">
        <f>资产资本表!AP70/资产资本表!AP107</f>
        <v>1.0098765004566588</v>
      </c>
      <c r="AQ10" s="61">
        <f>资产资本表!AQ70/资产资本表!AQ107</f>
        <v>1.0104854147523779</v>
      </c>
      <c r="AR10" s="61">
        <f>资产资本表!AR70/资产资本表!AR107</f>
        <v>1.032388308138644</v>
      </c>
      <c r="AS10" s="61">
        <f>资产资本表!AS70/资产资本表!AS107</f>
        <v>1.0537578481100063</v>
      </c>
      <c r="AT10" s="61">
        <f>资产资本表!AT70/资产资本表!AT107</f>
        <v>1.1746535802481526</v>
      </c>
      <c r="AU10" s="61">
        <f>资产资本表!AU70/资产资本表!AU107</f>
        <v>1.2049925568912265</v>
      </c>
      <c r="AV10" s="61" t="e">
        <f>资产资本表!AV70/资产资本表!AV107</f>
        <v>#DIV/0!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1.102035329978283</v>
      </c>
      <c r="F11" s="28">
        <f t="shared" ref="F11:BQ11" si="2">F9*F10</f>
        <v>1.1721686270719351</v>
      </c>
      <c r="G11" s="28">
        <f t="shared" si="2"/>
        <v>1.2096322100378341</v>
      </c>
      <c r="H11" s="28">
        <f t="shared" si="2"/>
        <v>1.2036836227160075</v>
      </c>
      <c r="I11" s="28">
        <f t="shared" si="2"/>
        <v>1.2179181771008694</v>
      </c>
      <c r="J11" s="28">
        <f t="shared" si="2"/>
        <v>1.180222201574977</v>
      </c>
      <c r="K11" s="28">
        <f t="shared" si="2"/>
        <v>1.1748689711100697</v>
      </c>
      <c r="L11" s="28">
        <f t="shared" si="2"/>
        <v>1.1348602167099555</v>
      </c>
      <c r="M11" s="28">
        <f t="shared" si="2"/>
        <v>1.1334568855491338</v>
      </c>
      <c r="N11" s="28">
        <f t="shared" si="2"/>
        <v>1.1799756506923691</v>
      </c>
      <c r="O11" s="28">
        <f t="shared" si="2"/>
        <v>1.1171095724445821</v>
      </c>
      <c r="P11" s="28">
        <f t="shared" si="2"/>
        <v>1.1669552134954255</v>
      </c>
      <c r="Q11" s="28">
        <f t="shared" si="2"/>
        <v>1.098130592814071</v>
      </c>
      <c r="R11" s="28">
        <f t="shared" si="2"/>
        <v>1.052606984616318</v>
      </c>
      <c r="S11" s="28">
        <f t="shared" si="2"/>
        <v>1.0835203857817728</v>
      </c>
      <c r="T11" s="28">
        <f t="shared" si="2"/>
        <v>1.1021468952447224</v>
      </c>
      <c r="U11" s="28">
        <f t="shared" si="2"/>
        <v>1.0017963679884812</v>
      </c>
      <c r="V11" s="28">
        <f t="shared" si="2"/>
        <v>1.0313589273519532</v>
      </c>
      <c r="W11" s="28">
        <f t="shared" si="2"/>
        <v>1.037755782257854</v>
      </c>
      <c r="X11" s="28">
        <f t="shared" si="2"/>
        <v>1.0826230476012062</v>
      </c>
      <c r="Y11" s="28">
        <f t="shared" si="2"/>
        <v>1.1018198876954506</v>
      </c>
      <c r="Z11" s="28">
        <f t="shared" si="2"/>
        <v>1.158674845276467</v>
      </c>
      <c r="AA11" s="28">
        <f t="shared" si="2"/>
        <v>1.1102022289193636</v>
      </c>
      <c r="AB11" s="28">
        <f t="shared" si="2"/>
        <v>1.0505972448152245</v>
      </c>
      <c r="AC11" s="28">
        <f t="shared" si="2"/>
        <v>1.0222986482313696</v>
      </c>
      <c r="AD11" s="28">
        <f t="shared" si="2"/>
        <v>1.1155224810356748</v>
      </c>
      <c r="AE11" s="28">
        <f t="shared" si="2"/>
        <v>1.1169181205248568</v>
      </c>
      <c r="AF11" s="28">
        <f t="shared" si="2"/>
        <v>1.1510914922063278</v>
      </c>
      <c r="AG11" s="28">
        <f t="shared" si="2"/>
        <v>1.1263044557630817</v>
      </c>
      <c r="AH11" s="28">
        <f t="shared" si="2"/>
        <v>1.1707994839933331</v>
      </c>
      <c r="AI11" s="28">
        <f t="shared" si="2"/>
        <v>1.1678287398529617</v>
      </c>
      <c r="AJ11" s="28">
        <f t="shared" si="2"/>
        <v>1.2373734420903506</v>
      </c>
      <c r="AK11" s="28">
        <f t="shared" si="2"/>
        <v>1.0723518492496573</v>
      </c>
      <c r="AL11" s="28">
        <f t="shared" si="2"/>
        <v>1.1638176552244199</v>
      </c>
      <c r="AM11" s="28">
        <f t="shared" si="2"/>
        <v>1.2101581848873355</v>
      </c>
      <c r="AN11" s="28">
        <f t="shared" si="2"/>
        <v>1.8222758193446047</v>
      </c>
      <c r="AO11" s="28">
        <f t="shared" si="2"/>
        <v>1.0162126950672918</v>
      </c>
      <c r="AP11" s="28">
        <f t="shared" si="2"/>
        <v>1.0554459077994154</v>
      </c>
      <c r="AQ11" s="28">
        <f t="shared" si="2"/>
        <v>1.0782256259276914</v>
      </c>
      <c r="AR11" s="28">
        <f t="shared" si="2"/>
        <v>1.1330724495710514</v>
      </c>
      <c r="AS11" s="28">
        <f t="shared" si="2"/>
        <v>1.064894396720407</v>
      </c>
      <c r="AT11" s="28">
        <f t="shared" si="2"/>
        <v>1.1798325510203149</v>
      </c>
      <c r="AU11" s="28">
        <f t="shared" si="2"/>
        <v>1.1929456850365592</v>
      </c>
      <c r="AV11" s="28" t="e">
        <f t="shared" si="2"/>
        <v>#DIV/0!</v>
      </c>
      <c r="AW11" s="28">
        <f t="shared" si="2"/>
        <v>0</v>
      </c>
      <c r="AX11" s="28">
        <f t="shared" si="2"/>
        <v>0</v>
      </c>
      <c r="AY11" s="28" t="e">
        <f t="shared" si="2"/>
        <v>#DIV/0!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0.84929464738590521</v>
      </c>
      <c r="F12" s="158">
        <f>F2/股权价值增加表!F38</f>
        <v>0.88124244500234472</v>
      </c>
      <c r="G12" s="158">
        <f>G2/股权价值增加表!G38</f>
        <v>0.80566094240664543</v>
      </c>
      <c r="H12" s="158">
        <f>H2/股权价值增加表!H38</f>
        <v>0.8953551921576316</v>
      </c>
      <c r="I12" s="158">
        <f>I2/股权价值增加表!I38</f>
        <v>0.90297006634857124</v>
      </c>
      <c r="J12" s="158">
        <f>J2/股权价值增加表!J38</f>
        <v>0.93510636363818989</v>
      </c>
      <c r="K12" s="158">
        <f>K2/股权价值增加表!K38</f>
        <v>0.86982670791929828</v>
      </c>
      <c r="L12" s="158">
        <f>L2/股权价值增加表!L38</f>
        <v>0.87497533601731703</v>
      </c>
      <c r="M12" s="158">
        <f>M2/股权价值增加表!M38</f>
        <v>0.87461892277600817</v>
      </c>
      <c r="N12" s="158">
        <f>N2/股权价值增加表!N38</f>
        <v>0.86633013025142835</v>
      </c>
      <c r="O12" s="158">
        <f>O2/股权价值增加表!O38</f>
        <v>0.86469607235125678</v>
      </c>
      <c r="P12" s="158">
        <f>P2/股权价值增加表!P38</f>
        <v>0.90470239308669231</v>
      </c>
      <c r="Q12" s="158">
        <f>Q2/股权价值增加表!Q38</f>
        <v>0.91302274986959864</v>
      </c>
      <c r="R12" s="158">
        <f>R2/股权价值增加表!R38</f>
        <v>0.91371525909008211</v>
      </c>
      <c r="S12" s="158">
        <f>S2/股权价值增加表!S38</f>
        <v>0.91223443268406645</v>
      </c>
      <c r="T12" s="158">
        <f>T2/股权价值增加表!T38</f>
        <v>0.84229859773736704</v>
      </c>
      <c r="U12" s="158">
        <f>U2/股权价值增加表!U38</f>
        <v>1.0043985807433478</v>
      </c>
      <c r="V12" s="158">
        <f>V2/股权价值增加表!V38</f>
        <v>0.88622397673629094</v>
      </c>
      <c r="W12" s="158">
        <f>W2/股权价值增加表!W38</f>
        <v>0.89198112931075302</v>
      </c>
      <c r="X12" s="158">
        <f>X2/股权价值增加表!X38</f>
        <v>0.88266301529696334</v>
      </c>
      <c r="Y12" s="158">
        <f>Y2/股权价值增加表!Y38</f>
        <v>0.92350765830880444</v>
      </c>
      <c r="Z12" s="158">
        <f>Z2/股权价值增加表!Z38</f>
        <v>0.88078458386911473</v>
      </c>
      <c r="AA12" s="158">
        <f>AA2/股权价值增加表!AA38</f>
        <v>0.87392822097363987</v>
      </c>
      <c r="AB12" s="158">
        <f>AB2/股权价值增加表!AB38</f>
        <v>0.88106792920466803</v>
      </c>
      <c r="AC12" s="158">
        <f>AC2/股权价值增加表!AC38</f>
        <v>0.90887605511082281</v>
      </c>
      <c r="AD12" s="158">
        <f>AD2/股权价值增加表!AD38</f>
        <v>0.86349733027585329</v>
      </c>
      <c r="AE12" s="158">
        <f>AE2/股权价值增加表!AE38</f>
        <v>0.88105591361961066</v>
      </c>
      <c r="AF12" s="158">
        <f>AF2/股权价值增加表!AF38</f>
        <v>0.90646315294344471</v>
      </c>
      <c r="AG12" s="158">
        <f>AG2/股权价值增加表!AG38</f>
        <v>0.90158977503457283</v>
      </c>
      <c r="AH12" s="158">
        <f>AH2/股权价值增加表!AH38</f>
        <v>0.90631292554114629</v>
      </c>
      <c r="AI12" s="158">
        <f>AI2/股权价值增加表!AI38</f>
        <v>0.90009856509464037</v>
      </c>
      <c r="AJ12" s="158">
        <f>AJ2/股权价值增加表!AJ38</f>
        <v>0.91960053098291206</v>
      </c>
      <c r="AK12" s="158">
        <f>AK2/股权价值增加表!AK38</f>
        <v>0.91569556871062763</v>
      </c>
      <c r="AL12" s="158">
        <f>AL2/股权价值增加表!AL38</f>
        <v>0.92715775520219357</v>
      </c>
      <c r="AM12" s="158">
        <f>AM2/股权价值增加表!AM38</f>
        <v>0.92929713092930055</v>
      </c>
      <c r="AN12" s="158">
        <f>AN2/股权价值增加表!AN38</f>
        <v>0.99184921837533213</v>
      </c>
      <c r="AO12" s="158">
        <f>AO2/股权价值增加表!AO38</f>
        <v>0.93763961705840526</v>
      </c>
      <c r="AP12" s="158">
        <f>AP2/股权价值增加表!AP38</f>
        <v>0.8946680288571055</v>
      </c>
      <c r="AQ12" s="158">
        <f>AQ2/股权价值增加表!AQ38</f>
        <v>0.83648163354857608</v>
      </c>
      <c r="AR12" s="158">
        <f>AR2/股权价值增加表!AR38</f>
        <v>0.78416850037629693</v>
      </c>
      <c r="AS12" s="158">
        <f>AS2/股权价值增加表!AS38</f>
        <v>0.88183674788956745</v>
      </c>
      <c r="AT12" s="158">
        <f>AT2/股权价值增加表!AT38</f>
        <v>0.95250021290427822</v>
      </c>
      <c r="AU12" s="158">
        <f>AU2/股权价值增加表!AU38</f>
        <v>0.91795670677724517</v>
      </c>
      <c r="AV12" s="158">
        <f>AV2/股权价值增加表!AV38</f>
        <v>1</v>
      </c>
      <c r="AW12" s="158">
        <f>AW2/股权价值增加表!AW38</f>
        <v>0.92917282318675964</v>
      </c>
      <c r="AX12" s="158">
        <f>AX2/股权价值增加表!AX38</f>
        <v>0.93792347979610047</v>
      </c>
      <c r="AY12" s="158" t="e">
        <f>AY2/股权价值增加表!AY38</f>
        <v>#DIV/0!</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0.15070535261409479</v>
      </c>
      <c r="F13" s="63">
        <f>1-F2/股权价值增加表!F38</f>
        <v>0.11875755499765528</v>
      </c>
      <c r="G13" s="63">
        <f>1-G2/股权价值增加表!G38</f>
        <v>0.19433905759335457</v>
      </c>
      <c r="H13" s="63">
        <f>1-H2/股权价值增加表!H38</f>
        <v>0.1046448078423684</v>
      </c>
      <c r="I13" s="63">
        <f>1-I2/股权价值增加表!I38</f>
        <v>9.7029933651428757E-2</v>
      </c>
      <c r="J13" s="63">
        <f>1-J2/股权价值增加表!J38</f>
        <v>6.4893636361810114E-2</v>
      </c>
      <c r="K13" s="63">
        <f>1-K2/股权价值增加表!K38</f>
        <v>0.13017329208070172</v>
      </c>
      <c r="L13" s="63">
        <f>1-L2/股权价值增加表!L38</f>
        <v>0.12502466398268297</v>
      </c>
      <c r="M13" s="63">
        <f>1-M2/股权价值增加表!M38</f>
        <v>0.12538107722399183</v>
      </c>
      <c r="N13" s="63">
        <f>1-N2/股权价值增加表!N38</f>
        <v>0.13366986974857165</v>
      </c>
      <c r="O13" s="63">
        <f>1-O2/股权价值增加表!O38</f>
        <v>0.13530392764874322</v>
      </c>
      <c r="P13" s="63">
        <f>1-P2/股权价值增加表!P38</f>
        <v>9.5297606913307686E-2</v>
      </c>
      <c r="Q13" s="63">
        <f>1-Q2/股权价值增加表!Q38</f>
        <v>8.6977250130401362E-2</v>
      </c>
      <c r="R13" s="63">
        <f>1-R2/股权价值增加表!R38</f>
        <v>8.628474090991789E-2</v>
      </c>
      <c r="S13" s="63">
        <f>1-S2/股权价值增加表!S38</f>
        <v>8.7765567315933546E-2</v>
      </c>
      <c r="T13" s="63">
        <f>1-T2/股权价值增加表!T38</f>
        <v>0.15770140226263296</v>
      </c>
      <c r="U13" s="63">
        <f>1-U2/股权价值增加表!U38</f>
        <v>-4.3985807433477575E-3</v>
      </c>
      <c r="V13" s="63">
        <f>1-V2/股权价值增加表!V38</f>
        <v>0.11377602326370906</v>
      </c>
      <c r="W13" s="63">
        <f>1-W2/股权价值增加表!W38</f>
        <v>0.10801887068924698</v>
      </c>
      <c r="X13" s="63">
        <f>1-X2/股权价值增加表!X38</f>
        <v>0.11733698470303666</v>
      </c>
      <c r="Y13" s="63">
        <f>1-Y2/股权价值增加表!Y38</f>
        <v>7.6492341691195564E-2</v>
      </c>
      <c r="Z13" s="63">
        <f>1-Z2/股权价值增加表!Z38</f>
        <v>0.11921541613088527</v>
      </c>
      <c r="AA13" s="63">
        <f>1-AA2/股权价值增加表!AA38</f>
        <v>0.12607177902636013</v>
      </c>
      <c r="AB13" s="63">
        <f>1-AB2/股权价值增加表!AB38</f>
        <v>0.11893207079533197</v>
      </c>
      <c r="AC13" s="63">
        <f>1-AC2/股权价值增加表!AC38</f>
        <v>9.1123944889177189E-2</v>
      </c>
      <c r="AD13" s="63">
        <f>1-AD2/股权价值增加表!AD38</f>
        <v>0.13650266972414671</v>
      </c>
      <c r="AE13" s="63">
        <f>1-AE2/股权价值增加表!AE38</f>
        <v>0.11894408638038934</v>
      </c>
      <c r="AF13" s="63">
        <f>1-AF2/股权价值增加表!AF38</f>
        <v>9.3536847056555295E-2</v>
      </c>
      <c r="AG13" s="63">
        <f>1-AG2/股权价值增加表!AG38</f>
        <v>9.8410224965427173E-2</v>
      </c>
      <c r="AH13" s="63">
        <f>1-AH2/股权价值增加表!AH38</f>
        <v>9.3687074458853714E-2</v>
      </c>
      <c r="AI13" s="63">
        <f>1-AI2/股权价值增加表!AI38</f>
        <v>9.9901434905359632E-2</v>
      </c>
      <c r="AJ13" s="63">
        <f>1-AJ2/股权价值增加表!AJ38</f>
        <v>8.0399469017087943E-2</v>
      </c>
      <c r="AK13" s="63">
        <f>1-AK2/股权价值增加表!AK38</f>
        <v>8.4304431289372372E-2</v>
      </c>
      <c r="AL13" s="63">
        <f>1-AL2/股权价值增加表!AL38</f>
        <v>7.2842244797806432E-2</v>
      </c>
      <c r="AM13" s="63">
        <f>1-AM2/股权价值增加表!AM38</f>
        <v>7.0702869070699448E-2</v>
      </c>
      <c r="AN13" s="63">
        <f>1-AN2/股权价值增加表!AN38</f>
        <v>8.1507816246678688E-3</v>
      </c>
      <c r="AO13" s="63">
        <f>1-AO2/股权价值增加表!AO38</f>
        <v>6.2360382941594739E-2</v>
      </c>
      <c r="AP13" s="63">
        <f>1-AP2/股权价值增加表!AP38</f>
        <v>0.1053319711428945</v>
      </c>
      <c r="AQ13" s="63">
        <f>1-AQ2/股权价值增加表!AQ38</f>
        <v>0.16351836645142392</v>
      </c>
      <c r="AR13" s="63">
        <f>1-AR2/股权价值增加表!AR38</f>
        <v>0.21583149962370307</v>
      </c>
      <c r="AS13" s="63">
        <f>1-AS2/股权价值增加表!AS38</f>
        <v>0.11816325211043255</v>
      </c>
      <c r="AT13" s="63">
        <f>1-AT2/股权价值增加表!AT38</f>
        <v>4.7499787095721779E-2</v>
      </c>
      <c r="AU13" s="63">
        <f>1-AU2/股权价值增加表!AU38</f>
        <v>8.2043293222754832E-2</v>
      </c>
      <c r="AV13" s="63">
        <f>1-AV2/股权价值增加表!AV38</f>
        <v>0</v>
      </c>
      <c r="AW13" s="63">
        <f>1-AW2/股权价值增加表!AW38</f>
        <v>7.0827176813240356E-2</v>
      </c>
      <c r="AX13" s="63">
        <f>1-AX2/股权价值增加表!AX38</f>
        <v>6.2076520203899532E-2</v>
      </c>
      <c r="AY13" s="63" t="e">
        <f>1-AY2/股权价值增加表!AY38</f>
        <v>#DIV/0!</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0.14120088634499597</v>
      </c>
      <c r="F14" s="59">
        <f t="shared" ref="F14:BQ14" si="4">F6*F7*F9*F10*F12</f>
        <v>9.6652715929803956E-2</v>
      </c>
      <c r="G14" s="59">
        <f t="shared" si="4"/>
        <v>6.9269089054252483E-2</v>
      </c>
      <c r="H14" s="59">
        <f t="shared" si="4"/>
        <v>3.1594428665249009E-2</v>
      </c>
      <c r="I14" s="59">
        <f t="shared" si="4"/>
        <v>0.22330924839351463</v>
      </c>
      <c r="J14" s="59">
        <f t="shared" si="4"/>
        <v>0.13887942318506155</v>
      </c>
      <c r="K14" s="59">
        <f t="shared" si="4"/>
        <v>9.7478122848621784E-2</v>
      </c>
      <c r="L14" s="59">
        <f t="shared" si="4"/>
        <v>3.1750482913377773E-2</v>
      </c>
      <c r="M14" s="59">
        <f t="shared" si="4"/>
        <v>0.20941073320553746</v>
      </c>
      <c r="N14" s="59">
        <f t="shared" si="4"/>
        <v>0.12931876413380364</v>
      </c>
      <c r="O14" s="59">
        <f t="shared" si="4"/>
        <v>8.3061137116652389E-2</v>
      </c>
      <c r="P14" s="59">
        <f t="shared" si="4"/>
        <v>1.9448442743679843E-2</v>
      </c>
      <c r="Q14" s="59">
        <f t="shared" si="4"/>
        <v>0.21872530390555892</v>
      </c>
      <c r="R14" s="59">
        <f t="shared" si="4"/>
        <v>0.13688641908909982</v>
      </c>
      <c r="S14" s="59">
        <f t="shared" si="4"/>
        <v>9.9899762620501514E-2</v>
      </c>
      <c r="T14" s="59">
        <f t="shared" si="4"/>
        <v>4.6067726323240847E-2</v>
      </c>
      <c r="U14" s="59">
        <f t="shared" si="4"/>
        <v>0.26810395985385571</v>
      </c>
      <c r="V14" s="59">
        <f t="shared" si="4"/>
        <v>0.16807987873887234</v>
      </c>
      <c r="W14" s="59">
        <f t="shared" si="4"/>
        <v>0.11240813458549473</v>
      </c>
      <c r="X14" s="59">
        <f t="shared" si="4"/>
        <v>6.2020460663546766E-2</v>
      </c>
      <c r="Y14" s="59">
        <f t="shared" si="4"/>
        <v>0.32566544386697499</v>
      </c>
      <c r="Z14" s="59">
        <f t="shared" si="4"/>
        <v>0.20559868786081209</v>
      </c>
      <c r="AA14" s="59">
        <f t="shared" si="4"/>
        <v>0.13389127976891108</v>
      </c>
      <c r="AB14" s="59">
        <f t="shared" si="4"/>
        <v>4.1737240139891399E-2</v>
      </c>
      <c r="AC14" s="59">
        <f t="shared" si="4"/>
        <v>0.24880784345383497</v>
      </c>
      <c r="AD14" s="59">
        <f t="shared" si="4"/>
        <v>0.15241391627029383</v>
      </c>
      <c r="AE14" s="59">
        <f t="shared" si="4"/>
        <v>0.1028231959241893</v>
      </c>
      <c r="AF14" s="59">
        <f t="shared" si="4"/>
        <v>3.2064854997090685E-2</v>
      </c>
      <c r="AG14" s="59">
        <f t="shared" si="4"/>
        <v>0.22270213226859584</v>
      </c>
      <c r="AH14" s="59">
        <f t="shared" si="4"/>
        <v>0.1345359524669158</v>
      </c>
      <c r="AI14" s="59">
        <f t="shared" si="4"/>
        <v>8.9852266073208481E-2</v>
      </c>
      <c r="AJ14" s="59">
        <f t="shared" si="4"/>
        <v>2.1778389932485129E-2</v>
      </c>
      <c r="AK14" s="59">
        <f t="shared" si="4"/>
        <v>0.14084524613728752</v>
      </c>
      <c r="AL14" s="59">
        <f t="shared" si="4"/>
        <v>7.7682494373164254E-2</v>
      </c>
      <c r="AM14" s="59">
        <f t="shared" si="4"/>
        <v>4.5559069839261258E-2</v>
      </c>
      <c r="AN14" s="59">
        <f t="shared" si="4"/>
        <v>8.5047390947856471E-3</v>
      </c>
      <c r="AO14" s="59">
        <f t="shared" si="4"/>
        <v>0.14637094533499306</v>
      </c>
      <c r="AP14" s="59">
        <f t="shared" si="4"/>
        <v>0.10657522078509667</v>
      </c>
      <c r="AQ14" s="59">
        <f t="shared" si="4"/>
        <v>5.551096455547179E-2</v>
      </c>
      <c r="AR14" s="59">
        <f t="shared" si="4"/>
        <v>2.4069404221673654E-2</v>
      </c>
      <c r="AS14" s="59">
        <f t="shared" si="4"/>
        <v>0.37414586302231667</v>
      </c>
      <c r="AT14" s="59">
        <f t="shared" si="4"/>
        <v>0.38188060477739366</v>
      </c>
      <c r="AU14" s="59">
        <f t="shared" si="4"/>
        <v>0.16646034079367653</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38717</v>
      </c>
      <c r="AY18" s="1">
        <v>25569</v>
      </c>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18844458053.779999</v>
      </c>
      <c r="F19" s="76">
        <f>股权价值增加表!F4</f>
        <v>11723294881.290001</v>
      </c>
      <c r="G19" s="76">
        <f>股权价值增加表!G4</f>
        <v>7464664934.3800001</v>
      </c>
      <c r="H19" s="76">
        <f>股权价值增加表!H4</f>
        <v>2648612419.3600001</v>
      </c>
      <c r="I19" s="76">
        <f>股权价值增加表!I4</f>
        <v>13329094010.82</v>
      </c>
      <c r="J19" s="76">
        <f>股权价值增加表!J4</f>
        <v>7968634527.2799997</v>
      </c>
      <c r="K19" s="76">
        <f>股权价值增加表!K4</f>
        <v>4949746889.5100002</v>
      </c>
      <c r="L19" s="76">
        <f>股权价值增加表!L4</f>
        <v>1782728113.9400001</v>
      </c>
      <c r="M19" s="76">
        <f>股权价值增加表!M4</f>
        <v>10077833438.49</v>
      </c>
      <c r="N19" s="76">
        <f>股权价值增加表!N4</f>
        <v>5830194178.29</v>
      </c>
      <c r="O19" s="76">
        <f>股权价值增加表!O4</f>
        <v>3468887211.1300001</v>
      </c>
      <c r="P19" s="76">
        <f>股权价值增加表!P4</f>
        <v>1202598595.55</v>
      </c>
      <c r="Q19" s="76">
        <f>股权价值增加表!Q4</f>
        <v>7331881449.46</v>
      </c>
      <c r="R19" s="76">
        <f>股权价值增加表!R4</f>
        <v>4647473079.6899996</v>
      </c>
      <c r="S19" s="76">
        <f>股权价值增加表!S4</f>
        <v>3042521916.96</v>
      </c>
      <c r="T19" s="76">
        <f>股权价值增加表!T4</f>
        <v>1144820982.71</v>
      </c>
      <c r="U19" s="76">
        <f>股权价值增加表!U4</f>
        <v>5410094042.8000002</v>
      </c>
      <c r="V19" s="76">
        <f>股权价值增加表!V4</f>
        <v>3259172104.4099998</v>
      </c>
      <c r="W19" s="76">
        <f>股权价值增加表!W4</f>
        <v>2031589599.46</v>
      </c>
      <c r="X19" s="76">
        <f>股权价值增加表!X4</f>
        <v>788467237.58000004</v>
      </c>
      <c r="Y19" s="76">
        <f>股权价值增加表!Y4</f>
        <v>3531214471.6199999</v>
      </c>
      <c r="Z19" s="76">
        <f>股权价值增加表!Z4</f>
        <v>2192882979.0100002</v>
      </c>
      <c r="AA19" s="76">
        <f>股权价值增加表!AA4</f>
        <v>1296870812.8800001</v>
      </c>
      <c r="AB19" s="76">
        <f>股权价值增加表!AB4</f>
        <v>498029565.17000002</v>
      </c>
      <c r="AC19" s="76">
        <f>股权价值增加表!AC4</f>
        <v>2205208207.0799999</v>
      </c>
      <c r="AD19" s="76">
        <f>股权价值增加表!AD4</f>
        <v>1460699765.0599999</v>
      </c>
      <c r="AE19" s="76">
        <f>股权价值增加表!AE4</f>
        <v>894260544.45000005</v>
      </c>
      <c r="AF19" s="76">
        <f>股权价值增加表!AF4</f>
        <v>328634906.66000003</v>
      </c>
      <c r="AG19" s="76">
        <f>股权价值增加表!AG4</f>
        <v>1516275445.1600001</v>
      </c>
      <c r="AH19" s="76">
        <f>股权价值增加表!AH4</f>
        <v>957975121.67999995</v>
      </c>
      <c r="AI19" s="76">
        <f>股权价值增加表!AI4</f>
        <v>570649139.51999998</v>
      </c>
      <c r="AJ19" s="76">
        <f>股权价值增加表!AJ4</f>
        <v>212729003.41999999</v>
      </c>
      <c r="AK19" s="76">
        <f>股权价值增加表!AK4</f>
        <v>835942072.07000005</v>
      </c>
      <c r="AL19" s="76">
        <f>股权价值增加表!AL4</f>
        <v>518260863.69</v>
      </c>
      <c r="AM19" s="76">
        <f>股权价值增加表!AM4</f>
        <v>299015862</v>
      </c>
      <c r="AN19" s="76">
        <f>股权价值增加表!AN4</f>
        <v>129896906.78</v>
      </c>
      <c r="AO19" s="76">
        <f>股权价值增加表!AO4</f>
        <v>632018390.76999998</v>
      </c>
      <c r="AP19" s="76">
        <f>股权价值增加表!AP4</f>
        <v>444354759.20999998</v>
      </c>
      <c r="AQ19" s="76">
        <f>股权价值增加表!AQ4</f>
        <v>264817613.74000001</v>
      </c>
      <c r="AR19" s="76">
        <f>股权价值增加表!AR4</f>
        <v>79182563.640000001</v>
      </c>
      <c r="AS19" s="76">
        <f>股权价值增加表!AS4</f>
        <v>405185173.70999998</v>
      </c>
      <c r="AT19" s="76">
        <f>股权价值增加表!AT4</f>
        <v>257689679.09</v>
      </c>
      <c r="AU19" s="76">
        <f>股权价值增加表!AU4</f>
        <v>139893683.97999999</v>
      </c>
      <c r="AV19" s="76">
        <f>股权价值增加表!AV4</f>
        <v>50910017.090000004</v>
      </c>
      <c r="AW19" s="76">
        <f>股权价值增加表!AW4</f>
        <v>445538267</v>
      </c>
      <c r="AX19" s="76">
        <f>股权价值增加表!AX4</f>
        <v>293144590.5</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2094342275.8900001</v>
      </c>
      <c r="F20" s="76">
        <f>股权价值增加表!F15</f>
        <v>1188124188.4200006</v>
      </c>
      <c r="G20" s="76">
        <f>股权价值增加表!G15</f>
        <v>851431318.41999984</v>
      </c>
      <c r="H20" s="76">
        <f>股权价值增加表!H15</f>
        <v>325421028.30000001</v>
      </c>
      <c r="I20" s="76">
        <f>股权价值增加表!I15</f>
        <v>1916205789.7300005</v>
      </c>
      <c r="J20" s="76">
        <f>股权价值增加表!J15</f>
        <v>1092925331.9699996</v>
      </c>
      <c r="K20" s="76">
        <f>股权价值增加表!K15</f>
        <v>779039259.2700001</v>
      </c>
      <c r="L20" s="76">
        <f>股权价值增加表!L15</f>
        <v>248967910.47999996</v>
      </c>
      <c r="M20" s="76">
        <f>股权价值增加表!M15</f>
        <v>1476811105.53</v>
      </c>
      <c r="N20" s="76">
        <f>股权价值增加表!N15</f>
        <v>803428296.01999998</v>
      </c>
      <c r="O20" s="76">
        <f>股权价值增加表!O15</f>
        <v>510501124.16000009</v>
      </c>
      <c r="P20" s="76">
        <f>股权价值增加表!P15</f>
        <v>101658140.68000002</v>
      </c>
      <c r="Q20" s="76">
        <f>股权价值增加表!Q15</f>
        <v>1220590742.7899997</v>
      </c>
      <c r="R20" s="76">
        <f>股权价值增加表!R15</f>
        <v>773749259.48999977</v>
      </c>
      <c r="S20" s="76">
        <f>股权价值增加表!S15</f>
        <v>540299110.26999986</v>
      </c>
      <c r="T20" s="76">
        <f>股权价值增加表!T15</f>
        <v>229244912.87000003</v>
      </c>
      <c r="U20" s="76">
        <f>股权价值增加表!U15</f>
        <v>1090829599.9500003</v>
      </c>
      <c r="V20" s="76">
        <f>股权价值增加表!V15</f>
        <v>675689107.48999989</v>
      </c>
      <c r="W20" s="76">
        <f>股权价值增加表!W15</f>
        <v>426504699.05999994</v>
      </c>
      <c r="X20" s="76">
        <f>股权价值增加表!X15</f>
        <v>159903281.45000005</v>
      </c>
      <c r="Y20" s="76">
        <f>股权价值增加表!Y15</f>
        <v>743858130.4399997</v>
      </c>
      <c r="Z20" s="76">
        <f>股权价值增加表!Z15</f>
        <v>418987724.47000009</v>
      </c>
      <c r="AA20" s="76">
        <f>股权价值增加表!AA15</f>
        <v>254325744.83000022</v>
      </c>
      <c r="AB20" s="76">
        <f>股权价值增加表!AB15</f>
        <v>73947881.260000005</v>
      </c>
      <c r="AC20" s="76">
        <f>股权价值增加表!AC15</f>
        <v>406875422.6099999</v>
      </c>
      <c r="AD20" s="76">
        <f>股权价值增加表!AD15</f>
        <v>230813736.81999996</v>
      </c>
      <c r="AE20" s="76">
        <f>股权价值增加表!AE15</f>
        <v>145876442.48000002</v>
      </c>
      <c r="AF20" s="76">
        <f>股权价值增加表!AF15</f>
        <v>42690900.690000027</v>
      </c>
      <c r="AG20" s="76">
        <f>股权价值增加表!AG15</f>
        <v>279396902.21000004</v>
      </c>
      <c r="AH20" s="76">
        <f>股权价值增加表!AH15</f>
        <v>150091406.32999998</v>
      </c>
      <c r="AI20" s="76">
        <f>股权价值增加表!AI15</f>
        <v>84845359.12999998</v>
      </c>
      <c r="AJ20" s="76">
        <f>股权价值增加表!AJ15</f>
        <v>18296402.329999987</v>
      </c>
      <c r="AK20" s="76">
        <f>股权价值增加表!AK15</f>
        <v>119315834.69000006</v>
      </c>
      <c r="AL20" s="76">
        <f>股权价值增加表!AL15</f>
        <v>57006600.750000015</v>
      </c>
      <c r="AM20" s="76">
        <f>股权价值增加表!AM15</f>
        <v>30740871.670000017</v>
      </c>
      <c r="AN20" s="76">
        <f>股权价值增加表!AN15</f>
        <v>3446503.4400000009</v>
      </c>
      <c r="AO20" s="76">
        <f>股权价值增加表!AO15</f>
        <v>101927060.95999998</v>
      </c>
      <c r="AP20" s="76">
        <f>股权价值增加表!AP15</f>
        <v>78944639.309999987</v>
      </c>
      <c r="AQ20" s="76">
        <f>股权价值增加表!AQ15</f>
        <v>40747397.19000002</v>
      </c>
      <c r="AR20" s="76">
        <f>股权价值增加表!AR15</f>
        <v>6568633.9800000051</v>
      </c>
      <c r="AS20" s="76">
        <f>股权价值增加表!AS15</f>
        <v>95322786.569999963</v>
      </c>
      <c r="AT20" s="76">
        <f>股权价值增加表!AT15</f>
        <v>57174309.780000001</v>
      </c>
      <c r="AU20" s="76">
        <f>股权价值增加表!AU15</f>
        <v>25944036.719999988</v>
      </c>
      <c r="AV20" s="76">
        <f>股权价值增加表!AV15</f>
        <v>3035638.5300000021</v>
      </c>
      <c r="AW20" s="76">
        <f>股权价值增加表!AW15</f>
        <v>47207619.649999984</v>
      </c>
      <c r="AX20" s="76">
        <f>股权价值增加表!AX15</f>
        <v>49842729.319999993</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0.11113836598075566</v>
      </c>
      <c r="F21" s="244">
        <f t="shared" ref="F21:BQ21" si="6">F20/F19</f>
        <v>0.10134729190478764</v>
      </c>
      <c r="G21" s="244">
        <f t="shared" si="6"/>
        <v>0.1140615588113759</v>
      </c>
      <c r="H21" s="244">
        <f t="shared" si="6"/>
        <v>0.12286472189035247</v>
      </c>
      <c r="I21" s="244">
        <f t="shared" si="6"/>
        <v>0.14376114296849471</v>
      </c>
      <c r="J21" s="244">
        <f t="shared" si="6"/>
        <v>0.13715340165601206</v>
      </c>
      <c r="K21" s="244">
        <f t="shared" si="6"/>
        <v>0.15738971641580668</v>
      </c>
      <c r="L21" s="244">
        <f t="shared" si="6"/>
        <v>0.13965556976030238</v>
      </c>
      <c r="M21" s="244">
        <f t="shared" si="6"/>
        <v>0.14654053517987853</v>
      </c>
      <c r="N21" s="244">
        <f t="shared" si="6"/>
        <v>0.13780472338498442</v>
      </c>
      <c r="O21" s="244">
        <f t="shared" si="6"/>
        <v>0.14716567391469118</v>
      </c>
      <c r="P21" s="244">
        <f t="shared" si="6"/>
        <v>8.4532063363592563E-2</v>
      </c>
      <c r="Q21" s="244">
        <f t="shared" si="6"/>
        <v>0.16647715203849858</v>
      </c>
      <c r="R21" s="244">
        <f t="shared" si="6"/>
        <v>0.16648816383065768</v>
      </c>
      <c r="S21" s="244">
        <f t="shared" si="6"/>
        <v>0.17758265183175775</v>
      </c>
      <c r="T21" s="244">
        <f t="shared" si="6"/>
        <v>0.20024520543581889</v>
      </c>
      <c r="U21" s="244">
        <f t="shared" si="6"/>
        <v>0.2016285837769726</v>
      </c>
      <c r="V21" s="244">
        <f t="shared" si="6"/>
        <v>0.20731924729464948</v>
      </c>
      <c r="W21" s="244">
        <f t="shared" si="6"/>
        <v>0.20993644541858533</v>
      </c>
      <c r="X21" s="244">
        <f t="shared" si="6"/>
        <v>0.20280269595066824</v>
      </c>
      <c r="Y21" s="244">
        <f t="shared" si="6"/>
        <v>0.21065220943624621</v>
      </c>
      <c r="Z21" s="244">
        <f t="shared" si="6"/>
        <v>0.1910670694608412</v>
      </c>
      <c r="AA21" s="244">
        <f t="shared" si="6"/>
        <v>0.19610723157938251</v>
      </c>
      <c r="AB21" s="244">
        <f t="shared" si="6"/>
        <v>0.14848090641919673</v>
      </c>
      <c r="AC21" s="244">
        <f t="shared" si="6"/>
        <v>0.18450657915370228</v>
      </c>
      <c r="AD21" s="244">
        <f t="shared" si="6"/>
        <v>0.15801586495806619</v>
      </c>
      <c r="AE21" s="244">
        <f t="shared" si="6"/>
        <v>0.16312521377057831</v>
      </c>
      <c r="AF21" s="244">
        <f t="shared" si="6"/>
        <v>0.12990373154172358</v>
      </c>
      <c r="AG21" s="244">
        <f t="shared" si="6"/>
        <v>0.1842652686237477</v>
      </c>
      <c r="AH21" s="244">
        <f t="shared" si="6"/>
        <v>0.15667568283692465</v>
      </c>
      <c r="AI21" s="244">
        <f t="shared" si="6"/>
        <v>0.14868218184183618</v>
      </c>
      <c r="AJ21" s="244">
        <f t="shared" si="6"/>
        <v>8.6008029163172531E-2</v>
      </c>
      <c r="AK21" s="244">
        <f t="shared" si="6"/>
        <v>0.14273218046621872</v>
      </c>
      <c r="AL21" s="244">
        <f t="shared" si="6"/>
        <v>0.10999595906994583</v>
      </c>
      <c r="AM21" s="244">
        <f t="shared" si="6"/>
        <v>0.10280682591346949</v>
      </c>
      <c r="AN21" s="244">
        <f t="shared" si="6"/>
        <v>2.6532605936777032E-2</v>
      </c>
      <c r="AO21" s="244">
        <f t="shared" si="6"/>
        <v>0.16127230227560357</v>
      </c>
      <c r="AP21" s="244">
        <f t="shared" si="6"/>
        <v>0.17766128903480727</v>
      </c>
      <c r="AQ21" s="244">
        <f t="shared" si="6"/>
        <v>0.15386966378303724</v>
      </c>
      <c r="AR21" s="244">
        <f t="shared" si="6"/>
        <v>8.2955560896765188E-2</v>
      </c>
      <c r="AS21" s="244">
        <f t="shared" si="6"/>
        <v>0.23525734097621401</v>
      </c>
      <c r="AT21" s="244">
        <f t="shared" si="6"/>
        <v>0.22187271908562337</v>
      </c>
      <c r="AU21" s="244">
        <f t="shared" si="6"/>
        <v>0.18545538284422547</v>
      </c>
      <c r="AV21" s="244">
        <f t="shared" si="6"/>
        <v>5.9627529188087371E-2</v>
      </c>
      <c r="AW21" s="244">
        <f t="shared" si="6"/>
        <v>0.10595637489876931</v>
      </c>
      <c r="AX21" s="244">
        <f t="shared" si="6"/>
        <v>0.17002779834683659</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9204448729.3399963</v>
      </c>
      <c r="F22" s="193">
        <f>资产资本表!F69</f>
        <v>9585867022.6899986</v>
      </c>
      <c r="G22" s="193">
        <f>资产资本表!G69</f>
        <v>9089579984.9099998</v>
      </c>
      <c r="H22" s="193">
        <f>资产资本表!H69</f>
        <v>8543333023.0300007</v>
      </c>
      <c r="I22" s="193">
        <f>资产资本表!I69</f>
        <v>6542044436.1599998</v>
      </c>
      <c r="J22" s="193">
        <f>资产资本表!J69</f>
        <v>7062753625.2799978</v>
      </c>
      <c r="K22" s="193">
        <f>资产资本表!K69</f>
        <v>6415082610.3400002</v>
      </c>
      <c r="L22" s="193">
        <f>资产资本表!L69</f>
        <v>5762955125.5000019</v>
      </c>
      <c r="M22" s="193">
        <f>资产资本表!M69</f>
        <v>5330053779.0599995</v>
      </c>
      <c r="N22" s="193">
        <f>资产资本表!N69</f>
        <v>5427131362.4299994</v>
      </c>
      <c r="O22" s="193">
        <f>资产资本表!O69</f>
        <v>4922471858.0799999</v>
      </c>
      <c r="P22" s="193">
        <f>资产资本表!P69</f>
        <v>4645450646.4000006</v>
      </c>
      <c r="Q22" s="193">
        <f>资产资本表!Q69</f>
        <v>4388966012.9200001</v>
      </c>
      <c r="R22" s="193">
        <f>资产资本表!R69</f>
        <v>4295396975.5999994</v>
      </c>
      <c r="S22" s="193">
        <f>资产资本表!S69</f>
        <v>4004398018.8800001</v>
      </c>
      <c r="T22" s="193">
        <f>资产资本表!T69</f>
        <v>2869873669.2099996</v>
      </c>
      <c r="U22" s="193">
        <f>资产资本表!U69</f>
        <v>2373649434.6099997</v>
      </c>
      <c r="V22" s="193">
        <f>资产资本表!V69</f>
        <v>2192036190.7600002</v>
      </c>
      <c r="W22" s="193">
        <f>资产资本表!W69</f>
        <v>2001519495.7600002</v>
      </c>
      <c r="X22" s="193">
        <f>资产资本表!X69</f>
        <v>1837319914.6200004</v>
      </c>
      <c r="Y22" s="193">
        <f>资产资本表!Y69</f>
        <v>1430984394.9400001</v>
      </c>
      <c r="Z22" s="193">
        <f>资产资本表!Z69</f>
        <v>1498741314.8</v>
      </c>
      <c r="AA22" s="193">
        <f>资产资本表!AA69</f>
        <v>1453534837.27</v>
      </c>
      <c r="AB22" s="193">
        <f>资产资本表!AB69</f>
        <v>1352930205.4099998</v>
      </c>
      <c r="AC22" s="193">
        <f>资产资本表!AC69</f>
        <v>1029169510.8300002</v>
      </c>
      <c r="AD22" s="193">
        <f>资产资本表!AD69</f>
        <v>1071436277.9000001</v>
      </c>
      <c r="AE22" s="193">
        <f>资产资本表!AE69</f>
        <v>880796056.14000022</v>
      </c>
      <c r="AF22" s="193">
        <f>资产资本表!AF69</f>
        <v>747249298.46000004</v>
      </c>
      <c r="AG22" s="193">
        <f>资产资本表!AG69</f>
        <v>592955725.43999994</v>
      </c>
      <c r="AH22" s="193">
        <f>资产资本表!AH69</f>
        <v>619857318.25999999</v>
      </c>
      <c r="AI22" s="193">
        <f>资产资本表!AI69</f>
        <v>515326719.83999997</v>
      </c>
      <c r="AJ22" s="193">
        <f>资产资本表!AJ69</f>
        <v>465322155.78999996</v>
      </c>
      <c r="AK22" s="193">
        <f>资产资本表!AK69</f>
        <v>400067864.38999999</v>
      </c>
      <c r="AL22" s="193">
        <f>资产资本表!AL69</f>
        <v>365449003.48999995</v>
      </c>
      <c r="AM22" s="193">
        <f>资产资本表!AM69</f>
        <v>346834830.33999997</v>
      </c>
      <c r="AN22" s="193">
        <f>资产资本表!AN69</f>
        <v>336009583.26999998</v>
      </c>
      <c r="AO22" s="193">
        <f>资产资本表!AO69</f>
        <v>306759913.77999997</v>
      </c>
      <c r="AP22" s="193">
        <f>资产资本表!AP69</f>
        <v>327824292.46000004</v>
      </c>
      <c r="AQ22" s="193">
        <f>资产资本表!AQ69</f>
        <v>254266096.19</v>
      </c>
      <c r="AR22" s="193">
        <f>资产资本表!AR69</f>
        <v>192847083.55000001</v>
      </c>
      <c r="AS22" s="193">
        <f>资产资本表!AS69</f>
        <v>153084957.33000001</v>
      </c>
      <c r="AT22" s="193">
        <f>资产资本表!AT69</f>
        <v>139395763.84999999</v>
      </c>
      <c r="AU22" s="193">
        <f>资产资本表!AU69</f>
        <v>108593345.96999997</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2.0473206606835257</v>
      </c>
      <c r="F23" s="246">
        <f t="shared" ref="F23:BQ23" si="8">F19/F22</f>
        <v>1.2229769986940831</v>
      </c>
      <c r="G23" s="246">
        <f t="shared" si="8"/>
        <v>0.821233208440039</v>
      </c>
      <c r="H23" s="246">
        <f t="shared" si="8"/>
        <v>0.31002097333911915</v>
      </c>
      <c r="I23" s="246">
        <f t="shared" si="8"/>
        <v>2.0374508520831465</v>
      </c>
      <c r="J23" s="246">
        <f t="shared" si="8"/>
        <v>1.1282617163308013</v>
      </c>
      <c r="K23" s="246">
        <f t="shared" si="8"/>
        <v>0.77157960234711043</v>
      </c>
      <c r="L23" s="246">
        <f t="shared" si="8"/>
        <v>0.30934270267900588</v>
      </c>
      <c r="M23" s="246">
        <f t="shared" si="8"/>
        <v>1.8907564269018149</v>
      </c>
      <c r="N23" s="246">
        <f t="shared" si="8"/>
        <v>1.0742681149474755</v>
      </c>
      <c r="O23" s="246">
        <f t="shared" si="8"/>
        <v>0.70470432561965579</v>
      </c>
      <c r="P23" s="246">
        <f t="shared" si="8"/>
        <v>0.25887662728307226</v>
      </c>
      <c r="Q23" s="246">
        <f t="shared" si="8"/>
        <v>1.6705259115419908</v>
      </c>
      <c r="R23" s="246">
        <f t="shared" si="8"/>
        <v>1.0819659058499058</v>
      </c>
      <c r="S23" s="246">
        <f t="shared" si="8"/>
        <v>0.75979508096224924</v>
      </c>
      <c r="T23" s="246">
        <f t="shared" si="8"/>
        <v>0.39890988756489026</v>
      </c>
      <c r="U23" s="246">
        <f t="shared" si="8"/>
        <v>2.2792304389670335</v>
      </c>
      <c r="V23" s="246">
        <f t="shared" si="8"/>
        <v>1.4868240397436199</v>
      </c>
      <c r="W23" s="246">
        <f t="shared" si="8"/>
        <v>1.0150236376731279</v>
      </c>
      <c r="X23" s="246">
        <f t="shared" si="8"/>
        <v>0.42913987450197155</v>
      </c>
      <c r="Y23" s="246">
        <f t="shared" si="8"/>
        <v>2.4676820265171799</v>
      </c>
      <c r="Z23" s="246">
        <f t="shared" si="8"/>
        <v>1.4631497492965491</v>
      </c>
      <c r="AA23" s="246">
        <f t="shared" si="8"/>
        <v>0.8922185967800792</v>
      </c>
      <c r="AB23" s="246">
        <f t="shared" si="8"/>
        <v>0.36811179407371886</v>
      </c>
      <c r="AC23" s="246">
        <f t="shared" si="8"/>
        <v>2.1427065064350312</v>
      </c>
      <c r="AD23" s="246">
        <f t="shared" si="8"/>
        <v>1.3633099748339217</v>
      </c>
      <c r="AE23" s="246">
        <f t="shared" si="8"/>
        <v>1.0152867263836383</v>
      </c>
      <c r="AF23" s="246">
        <f t="shared" si="8"/>
        <v>0.43979286074577922</v>
      </c>
      <c r="AG23" s="246">
        <f t="shared" si="8"/>
        <v>2.5571478275799686</v>
      </c>
      <c r="AH23" s="246">
        <f t="shared" si="8"/>
        <v>1.5454768274239783</v>
      </c>
      <c r="AI23" s="246">
        <f t="shared" si="8"/>
        <v>1.107354067914772</v>
      </c>
      <c r="AJ23" s="246">
        <f t="shared" si="8"/>
        <v>0.45716500014670408</v>
      </c>
      <c r="AK23" s="246">
        <f t="shared" si="8"/>
        <v>2.0895006734534789</v>
      </c>
      <c r="AL23" s="246">
        <f t="shared" si="8"/>
        <v>1.4181482470622786</v>
      </c>
      <c r="AM23" s="246">
        <f t="shared" si="8"/>
        <v>0.86212754845549011</v>
      </c>
      <c r="AN23" s="246">
        <f t="shared" si="8"/>
        <v>0.38658691075373747</v>
      </c>
      <c r="AO23" s="246">
        <f t="shared" si="8"/>
        <v>2.0603030656191499</v>
      </c>
      <c r="AP23" s="246">
        <f t="shared" si="8"/>
        <v>1.3554662342914034</v>
      </c>
      <c r="AQ23" s="246">
        <f t="shared" si="8"/>
        <v>1.0414979334960781</v>
      </c>
      <c r="AR23" s="246">
        <f t="shared" si="8"/>
        <v>0.41059767242718043</v>
      </c>
      <c r="AS23" s="246">
        <f t="shared" si="8"/>
        <v>2.6467994032657054</v>
      </c>
      <c r="AT23" s="246">
        <f t="shared" si="8"/>
        <v>1.8486191543617703</v>
      </c>
      <c r="AU23" s="246">
        <f t="shared" si="8"/>
        <v>1.288234400831954</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0.22753587286700816</v>
      </c>
      <c r="F24" s="161">
        <f t="shared" ref="F24:BQ24" si="10">F21*F23</f>
        <v>0.12394540687949032</v>
      </c>
      <c r="G24" s="161">
        <f t="shared" si="10"/>
        <v>9.3671139902338441E-2</v>
      </c>
      <c r="H24" s="161">
        <f t="shared" si="10"/>
        <v>3.8090640669487252E-2</v>
      </c>
      <c r="I24" s="161">
        <f t="shared" si="10"/>
        <v>0.2929062632376066</v>
      </c>
      <c r="J24" s="161">
        <f t="shared" si="10"/>
        <v>0.15474493235301992</v>
      </c>
      <c r="K24" s="161">
        <f t="shared" si="10"/>
        <v>0.1214386948056326</v>
      </c>
      <c r="L24" s="161">
        <f t="shared" si="10"/>
        <v>4.3201431393828385E-2</v>
      </c>
      <c r="M24" s="161">
        <f t="shared" si="10"/>
        <v>0.27707245869298686</v>
      </c>
      <c r="N24" s="161">
        <f t="shared" si="10"/>
        <v>0.14803922042164552</v>
      </c>
      <c r="O24" s="161">
        <f t="shared" si="10"/>
        <v>0.10370828699041462</v>
      </c>
      <c r="P24" s="161">
        <f t="shared" si="10"/>
        <v>2.1883375460845799E-2</v>
      </c>
      <c r="Q24" s="161">
        <f t="shared" si="10"/>
        <v>0.27810439616002741</v>
      </c>
      <c r="R24" s="161">
        <f t="shared" si="10"/>
        <v>0.18013451699232505</v>
      </c>
      <c r="S24" s="161">
        <f t="shared" si="10"/>
        <v>0.1349264253260013</v>
      </c>
      <c r="T24" s="161">
        <f t="shared" si="10"/>
        <v>7.987979238581086E-2</v>
      </c>
      <c r="U24" s="161">
        <f t="shared" si="10"/>
        <v>0.45955800551029052</v>
      </c>
      <c r="V24" s="161">
        <f t="shared" si="10"/>
        <v>0.30824724077923726</v>
      </c>
      <c r="W24" s="161">
        <f t="shared" si="10"/>
        <v>0.21309045450893854</v>
      </c>
      <c r="X24" s="161">
        <f t="shared" si="10"/>
        <v>8.7030723488931261E-2</v>
      </c>
      <c r="Y24" s="161">
        <f t="shared" si="10"/>
        <v>0.51982267107195745</v>
      </c>
      <c r="Z24" s="161">
        <f t="shared" si="10"/>
        <v>0.27955973478045615</v>
      </c>
      <c r="AA24" s="161">
        <f t="shared" si="10"/>
        <v>0.17497051897818269</v>
      </c>
      <c r="AB24" s="161">
        <f t="shared" si="10"/>
        <v>5.4657572847662469E-2</v>
      </c>
      <c r="AC24" s="161">
        <f t="shared" si="10"/>
        <v>0.39534344763270796</v>
      </c>
      <c r="AD24" s="161">
        <f t="shared" si="10"/>
        <v>0.21542460487934159</v>
      </c>
      <c r="AE24" s="161">
        <f t="shared" si="10"/>
        <v>0.16561886427976164</v>
      </c>
      <c r="AF24" s="161">
        <f t="shared" si="10"/>
        <v>5.7130733716286325E-2</v>
      </c>
      <c r="AG24" s="161">
        <f t="shared" si="10"/>
        <v>0.4711935313596558</v>
      </c>
      <c r="AH24" s="161">
        <f t="shared" si="10"/>
        <v>0.24213863724529575</v>
      </c>
      <c r="AI24" s="161">
        <f t="shared" si="10"/>
        <v>0.16464381888900115</v>
      </c>
      <c r="AJ24" s="161">
        <f t="shared" si="10"/>
        <v>3.9319860664999498E-2</v>
      </c>
      <c r="AK24" s="161">
        <f t="shared" si="10"/>
        <v>0.29823898720764752</v>
      </c>
      <c r="AL24" s="161">
        <f t="shared" si="10"/>
        <v>0.15599057653897783</v>
      </c>
      <c r="AM24" s="161">
        <f t="shared" si="10"/>
        <v>8.8632596789269796E-2</v>
      </c>
      <c r="AN24" s="161">
        <f t="shared" si="10"/>
        <v>1.0257158163344908E-2</v>
      </c>
      <c r="AO24" s="161">
        <f t="shared" si="10"/>
        <v>0.33226981877788425</v>
      </c>
      <c r="AP24" s="161">
        <f t="shared" si="10"/>
        <v>0.24081387842736682</v>
      </c>
      <c r="AQ24" s="161">
        <f t="shared" si="10"/>
        <v>0.16025493685776962</v>
      </c>
      <c r="AR24" s="161">
        <f t="shared" si="10"/>
        <v>3.4061360219103012E-2</v>
      </c>
      <c r="AS24" s="161">
        <f t="shared" si="10"/>
        <v>0.6226789897097198</v>
      </c>
      <c r="AT24" s="161">
        <f t="shared" si="10"/>
        <v>0.41015815833201169</v>
      </c>
      <c r="AU24" s="161">
        <f t="shared" si="10"/>
        <v>0.23891000399939144</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38717</v>
      </c>
      <c r="AY25" s="1">
        <v>25569</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-37464812.350000001</v>
      </c>
      <c r="F26" s="76">
        <f>利润表!F14</f>
        <v>-28341585.190000001</v>
      </c>
      <c r="G26" s="76">
        <f>利润表!G14</f>
        <v>-18719464.170000002</v>
      </c>
      <c r="H26" s="76">
        <f>利润表!H14</f>
        <v>-9332581.2400000002</v>
      </c>
      <c r="I26" s="76">
        <f>利润表!I14</f>
        <v>1658248.41</v>
      </c>
      <c r="J26" s="76">
        <f>利润表!J14</f>
        <v>-10234573.880000001</v>
      </c>
      <c r="K26" s="76">
        <f>利润表!K14</f>
        <v>-5409647.9800000004</v>
      </c>
      <c r="L26" s="76">
        <f>利润表!L14</f>
        <v>-169168.62</v>
      </c>
      <c r="M26" s="76">
        <f>利润表!M14</f>
        <v>715015.65</v>
      </c>
      <c r="N26" s="76">
        <f>利润表!N14</f>
        <v>353243.58</v>
      </c>
      <c r="O26" s="76">
        <f>利润表!O14</f>
        <v>-173161.17</v>
      </c>
      <c r="P26" s="76">
        <f>利润表!P14</f>
        <v>-298639.57</v>
      </c>
      <c r="Q26" s="76">
        <f>利润表!Q14</f>
        <v>-787545.47</v>
      </c>
      <c r="R26" s="76">
        <f>利润表!R14</f>
        <v>-580024.36</v>
      </c>
      <c r="S26" s="76">
        <f>利润表!S14</f>
        <v>-429691.77</v>
      </c>
      <c r="T26" s="76">
        <f>利润表!T14</f>
        <v>-281505.40000000002</v>
      </c>
      <c r="U26" s="76">
        <f>利润表!U14</f>
        <v>-1246471.45</v>
      </c>
      <c r="V26" s="76">
        <f>利润表!V14</f>
        <v>-818882.48</v>
      </c>
      <c r="W26" s="76">
        <f>利润表!W14</f>
        <v>-475924.3</v>
      </c>
      <c r="X26" s="76">
        <f>利润表!X14</f>
        <v>-438718.13</v>
      </c>
      <c r="Y26" s="76">
        <f>利润表!Y14</f>
        <v>-1010471.67</v>
      </c>
      <c r="Z26" s="76">
        <f>利润表!Z14</f>
        <v>-808000.98</v>
      </c>
      <c r="AA26" s="76">
        <f>利润表!AA14</f>
        <v>-906511.98</v>
      </c>
      <c r="AB26" s="76">
        <f>利润表!AB14</f>
        <v>-435336.88</v>
      </c>
      <c r="AC26" s="76">
        <f>利润表!AC14</f>
        <v>365449.12</v>
      </c>
      <c r="AD26" s="76">
        <f>利润表!AD14</f>
        <v>-49865.34</v>
      </c>
      <c r="AE26" s="76">
        <f>利润表!AE14</f>
        <v>-49865.34</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61272885.409999996</v>
      </c>
      <c r="F27" s="76">
        <f>资产资本表!F19</f>
        <v>68008814.140000001</v>
      </c>
      <c r="G27" s="76">
        <f>资产资本表!G19</f>
        <v>77630935.159999996</v>
      </c>
      <c r="H27" s="76">
        <f>资产资本表!H19</f>
        <v>65306685.609999999</v>
      </c>
      <c r="I27" s="76">
        <f>资产资本表!I19</f>
        <v>37128177.329999998</v>
      </c>
      <c r="J27" s="76">
        <f>资产资本表!J19</f>
        <v>55567186.75</v>
      </c>
      <c r="K27" s="76">
        <f>资产资本表!K19</f>
        <v>50392112.649999999</v>
      </c>
      <c r="L27" s="76">
        <f>资产资本表!L19</f>
        <v>35232592.009999998</v>
      </c>
      <c r="M27" s="76">
        <f>资产资本表!M19</f>
        <v>7201760.6299999999</v>
      </c>
      <c r="N27" s="76">
        <f>资产资本表!N19</f>
        <v>6839988.5700000003</v>
      </c>
      <c r="O27" s="76">
        <f>资产资本表!O19</f>
        <v>6313583.8099999996</v>
      </c>
      <c r="P27" s="76">
        <f>资产资本表!P19</f>
        <v>6188105.4100000001</v>
      </c>
      <c r="Q27" s="76">
        <f>资产资本表!Q19</f>
        <v>6486744.9800000004</v>
      </c>
      <c r="R27" s="76">
        <f>资产资本表!R19</f>
        <v>6694266.0899999999</v>
      </c>
      <c r="S27" s="76">
        <f>资产资本表!S19</f>
        <v>56844598.68</v>
      </c>
      <c r="T27" s="76">
        <f>资产资本表!T19</f>
        <v>56992785.049999997</v>
      </c>
      <c r="U27" s="76">
        <f>资产资本表!U19</f>
        <v>27274290.449999999</v>
      </c>
      <c r="V27" s="76">
        <f>资产资本表!V19</f>
        <v>26847678.800000001</v>
      </c>
      <c r="W27" s="76">
        <f>资产资本表!W19</f>
        <v>27336349.18</v>
      </c>
      <c r="X27" s="76">
        <f>资产资本表!X19</f>
        <v>28082043.77</v>
      </c>
      <c r="Y27" s="76">
        <f>资产资本表!Y19</f>
        <v>28520761.899999999</v>
      </c>
      <c r="Z27" s="76">
        <f>资产资本表!Z19</f>
        <v>28723232.59</v>
      </c>
      <c r="AA27" s="76">
        <f>资产资本表!AA19</f>
        <v>23624721.59</v>
      </c>
      <c r="AB27" s="76">
        <f>资产资本表!AB19</f>
        <v>24095896.690000001</v>
      </c>
      <c r="AC27" s="76">
        <f>资产资本表!AC19</f>
        <v>23631233.57</v>
      </c>
      <c r="AD27" s="76">
        <f>资产资本表!AD19</f>
        <v>23346817.350000001</v>
      </c>
      <c r="AE27" s="76">
        <f>资产资本表!AE19</f>
        <v>22746817.350000001</v>
      </c>
      <c r="AF27" s="76">
        <f>资产资本表!AF19</f>
        <v>10796682.689999999</v>
      </c>
      <c r="AG27" s="76">
        <f>资产资本表!AG19</f>
        <v>10396682.689999999</v>
      </c>
      <c r="AH27" s="76">
        <f>资产资本表!AH19</f>
        <v>10400000</v>
      </c>
      <c r="AI27" s="76">
        <f>资产资本表!AI19</f>
        <v>10400000</v>
      </c>
      <c r="AJ27" s="76">
        <f>资产资本表!AJ19</f>
        <v>10000000</v>
      </c>
      <c r="AK27" s="76">
        <f>资产资本表!AK19</f>
        <v>10000000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-0.61144194694453846</v>
      </c>
      <c r="F28" s="110">
        <f t="shared" ref="F28:BQ28" si="12">F26/F27</f>
        <v>-0.41673400056141607</v>
      </c>
      <c r="G28" s="110">
        <f t="shared" si="12"/>
        <v>-0.24113408052367977</v>
      </c>
      <c r="H28" s="110">
        <f t="shared" si="12"/>
        <v>-0.14290391791940765</v>
      </c>
      <c r="I28" s="110">
        <f t="shared" si="12"/>
        <v>4.4662801388316901E-2</v>
      </c>
      <c r="J28" s="110">
        <f t="shared" si="12"/>
        <v>-0.18418376884987794</v>
      </c>
      <c r="K28" s="110">
        <f t="shared" si="12"/>
        <v>-0.10735108522980333</v>
      </c>
      <c r="L28" s="110">
        <f t="shared" si="12"/>
        <v>-4.8014809683030188E-3</v>
      </c>
      <c r="M28" s="110">
        <f t="shared" si="12"/>
        <v>9.928345119129571E-2</v>
      </c>
      <c r="N28" s="110">
        <f t="shared" si="12"/>
        <v>5.1643884545263211E-2</v>
      </c>
      <c r="O28" s="110">
        <f t="shared" si="12"/>
        <v>-2.7426763500902989E-2</v>
      </c>
      <c r="P28" s="110">
        <f t="shared" si="12"/>
        <v>-4.8260259031366437E-2</v>
      </c>
      <c r="Q28" s="110">
        <f t="shared" si="12"/>
        <v>-0.12140842170120274</v>
      </c>
      <c r="R28" s="110">
        <f t="shared" si="12"/>
        <v>-8.6644951396008821E-2</v>
      </c>
      <c r="S28" s="110">
        <f t="shared" si="12"/>
        <v>-7.559060666764479E-3</v>
      </c>
      <c r="T28" s="110">
        <f t="shared" si="12"/>
        <v>-4.9393164372127842E-3</v>
      </c>
      <c r="U28" s="110">
        <f t="shared" si="12"/>
        <v>-4.5701333726172147E-2</v>
      </c>
      <c r="V28" s="110">
        <f t="shared" si="12"/>
        <v>-3.0501053223267852E-2</v>
      </c>
      <c r="W28" s="110">
        <f t="shared" si="12"/>
        <v>-1.7409943693146811E-2</v>
      </c>
      <c r="X28" s="110">
        <f t="shared" si="12"/>
        <v>-1.5622727946485214E-2</v>
      </c>
      <c r="Y28" s="110">
        <f t="shared" si="12"/>
        <v>-3.5429336479261449E-2</v>
      </c>
      <c r="Z28" s="110">
        <f t="shared" si="12"/>
        <v>-2.8130572611151913E-2</v>
      </c>
      <c r="AA28" s="110">
        <f t="shared" si="12"/>
        <v>-3.8371329649180427E-2</v>
      </c>
      <c r="AB28" s="110">
        <f t="shared" si="12"/>
        <v>-1.8066847048720476E-2</v>
      </c>
      <c r="AC28" s="110">
        <f t="shared" si="12"/>
        <v>1.5464665393682197E-2</v>
      </c>
      <c r="AD28" s="110">
        <f t="shared" si="12"/>
        <v>-2.1358517202774104E-3</v>
      </c>
      <c r="AE28" s="110">
        <f t="shared" si="12"/>
        <v>-2.1921897570430877E-3</v>
      </c>
      <c r="AF28" s="110">
        <f t="shared" si="12"/>
        <v>0</v>
      </c>
      <c r="AG28" s="110">
        <f t="shared" si="12"/>
        <v>0</v>
      </c>
      <c r="AH28" s="110">
        <f t="shared" si="12"/>
        <v>0</v>
      </c>
      <c r="AI28" s="110">
        <f t="shared" si="12"/>
        <v>0</v>
      </c>
      <c r="AJ28" s="110">
        <f t="shared" si="12"/>
        <v>0</v>
      </c>
      <c r="AK28" s="110">
        <f t="shared" si="12"/>
        <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38717</v>
      </c>
      <c r="AY31" s="1">
        <v>25569</v>
      </c>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-61759669.007941827</v>
      </c>
      <c r="F32" s="76">
        <f>股权价值增加表!F29</f>
        <v>7328014.1582704699</v>
      </c>
      <c r="G32" s="76">
        <f>股权价值增加表!G29</f>
        <v>4172552.0370647251</v>
      </c>
      <c r="H32" s="76">
        <f>股权价值增加表!H29</f>
        <v>1599269.3974333201</v>
      </c>
      <c r="I32" s="76">
        <f>股权价值增加表!I29</f>
        <v>31720649.835153691</v>
      </c>
      <c r="J32" s="76">
        <f>股权价值增加表!J29</f>
        <v>22141746.883525442</v>
      </c>
      <c r="K32" s="76">
        <f>股权价值增加表!K29</f>
        <v>18864621.845279004</v>
      </c>
      <c r="L32" s="76">
        <f>股权价值增加表!L29</f>
        <v>1414803.3357081981</v>
      </c>
      <c r="M32" s="76">
        <f>股权价值增加表!M29</f>
        <v>31197277.168978319</v>
      </c>
      <c r="N32" s="76">
        <f>股权价值增加表!N29</f>
        <v>7231662.626752682</v>
      </c>
      <c r="O32" s="76">
        <f>股权价值增加表!O29</f>
        <v>8511598.4541455545</v>
      </c>
      <c r="P32" s="76">
        <f>股权价值增加表!P29</f>
        <v>4004221.3751097419</v>
      </c>
      <c r="Q32" s="76">
        <f>股权价值增加表!Q29</f>
        <v>36912724.586997442</v>
      </c>
      <c r="R32" s="76">
        <f>股权价值增加表!R29</f>
        <v>92216.71093033049</v>
      </c>
      <c r="S32" s="76">
        <f>股权价值增加表!S29</f>
        <v>159840.2029857439</v>
      </c>
      <c r="T32" s="76">
        <f>股权价值增加表!T29</f>
        <v>-670780.64359525684</v>
      </c>
      <c r="U32" s="76">
        <f>股权价值增加表!U29</f>
        <v>39582978.683786936</v>
      </c>
      <c r="V32" s="76">
        <f>股权价值增加表!V29</f>
        <v>6282569.247202158</v>
      </c>
      <c r="W32" s="76">
        <f>股权价值增加表!W29</f>
        <v>3744490.9525940837</v>
      </c>
      <c r="X32" s="76">
        <f>股权价值增加表!X29</f>
        <v>3427683.48718896</v>
      </c>
      <c r="Y32" s="76">
        <f>股权价值增加表!Y29</f>
        <v>16706605.464257058</v>
      </c>
      <c r="Z32" s="76">
        <f>股权价值增加表!Z29</f>
        <v>-627892.08469713444</v>
      </c>
      <c r="AA32" s="76">
        <f>股权价值增加表!AA29</f>
        <v>2845909.1395909409</v>
      </c>
      <c r="AB32" s="76">
        <f>股权价值增加表!AB29</f>
        <v>75771.841911601456</v>
      </c>
      <c r="AC32" s="76">
        <f>股权价值增加表!AC29</f>
        <v>8726789.5647837091</v>
      </c>
      <c r="AD32" s="76">
        <f>股权价值增加表!AD29</f>
        <v>-3694742.8164670439</v>
      </c>
      <c r="AE32" s="76">
        <f>股权价值增加表!AE29</f>
        <v>-1973761.4488493318</v>
      </c>
      <c r="AF32" s="76">
        <f>股权价值增加表!AF29</f>
        <v>-732050.60487949115</v>
      </c>
      <c r="AG32" s="76">
        <f>股权价值增加表!AG29</f>
        <v>10454183.127798172</v>
      </c>
      <c r="AH32" s="76">
        <f>股权价值增加表!AH29</f>
        <v>0</v>
      </c>
      <c r="AI32" s="76">
        <f>股权价值增加表!AI29</f>
        <v>0</v>
      </c>
      <c r="AJ32" s="76">
        <f>股权价值增加表!AJ29</f>
        <v>0</v>
      </c>
      <c r="AK32" s="76">
        <f>股权价值增加表!AK29</f>
        <v>8075053.8822849169</v>
      </c>
      <c r="AL32" s="76">
        <f>股权价值增加表!AL29</f>
        <v>0</v>
      </c>
      <c r="AM32" s="76">
        <f>股权价值增加表!AM29</f>
        <v>0</v>
      </c>
      <c r="AN32" s="76">
        <f>股权价值增加表!AN29</f>
        <v>0</v>
      </c>
      <c r="AO32" s="76">
        <f>股权价值增加表!AO29</f>
        <v>9030765.4521163665</v>
      </c>
      <c r="AP32" s="76">
        <f>股权价值增加表!AP29</f>
        <v>0</v>
      </c>
      <c r="AQ32" s="76">
        <f>股权价值增加表!AQ29</f>
        <v>0</v>
      </c>
      <c r="AR32" s="76">
        <f>股权价值增加表!AR29</f>
        <v>0</v>
      </c>
      <c r="AS32" s="76">
        <f>股权价值增加表!AS29</f>
        <v>817665.54947421595</v>
      </c>
      <c r="AT32" s="76">
        <f>股权价值增加表!AT29</f>
        <v>121383.33148178455</v>
      </c>
      <c r="AU32" s="76">
        <f>股权价值增加表!AU29</f>
        <v>841682.24281909433</v>
      </c>
      <c r="AV32" s="76">
        <f>股权价值增加表!AV29</f>
        <v>0</v>
      </c>
      <c r="AW32" s="76">
        <f>股权价值增加表!AW29</f>
        <v>6672100.7825125353</v>
      </c>
      <c r="AX32" s="76">
        <f>股权价值增加表!AX29</f>
        <v>0</v>
      </c>
      <c r="AY32" s="76" t="e">
        <f>股权价值增加表!AY29</f>
        <v>#DIV/0!</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3612937164.1399999</v>
      </c>
      <c r="F34" s="76">
        <f>资产资本表!F4</f>
        <v>2536885532.5500002</v>
      </c>
      <c r="G34" s="76">
        <f>资产资本表!G4</f>
        <v>2331153358.9099998</v>
      </c>
      <c r="H34" s="76">
        <f>资产资本表!H4</f>
        <v>1967394678.29</v>
      </c>
      <c r="I34" s="76">
        <f>资产资本表!I4</f>
        <v>2758794780.21</v>
      </c>
      <c r="J34" s="76">
        <f>资产资本表!J4</f>
        <v>1580924856.3199999</v>
      </c>
      <c r="K34" s="76">
        <f>资产资本表!K4</f>
        <v>1781353970.6900001</v>
      </c>
      <c r="L34" s="76">
        <f>资产资本表!L4</f>
        <v>1950363784.03</v>
      </c>
      <c r="M34" s="76">
        <f>资产资本表!M4</f>
        <v>1755784045.5</v>
      </c>
      <c r="N34" s="76">
        <f>资产资本表!N4</f>
        <v>925113107.87</v>
      </c>
      <c r="O34" s="76">
        <f>资产资本表!O4</f>
        <v>1061070248.9299999</v>
      </c>
      <c r="P34" s="76">
        <f>资产资本表!P4</f>
        <v>1030275767.27</v>
      </c>
      <c r="Q34" s="76">
        <f>资产资本表!Q4</f>
        <v>1320731577.53</v>
      </c>
      <c r="R34" s="76">
        <f>资产资本表!R4</f>
        <v>1075270281.0899999</v>
      </c>
      <c r="S34" s="76">
        <f>资产资本表!S4</f>
        <v>1272267441.1800001</v>
      </c>
      <c r="T34" s="76">
        <f>资产资本表!T4</f>
        <v>1647380325.6900001</v>
      </c>
      <c r="U34" s="76">
        <f>资产资本表!U4</f>
        <v>1818588875.24</v>
      </c>
      <c r="V34" s="76">
        <f>资产资本表!V4</f>
        <v>1479881759.1300001</v>
      </c>
      <c r="W34" s="76">
        <f>资产资本表!W4</f>
        <v>1510368652.4100001</v>
      </c>
      <c r="X34" s="76">
        <f>资产资本表!X4</f>
        <v>642547430.98000002</v>
      </c>
      <c r="Y34" s="76">
        <f>资产资本表!Y4</f>
        <v>909483080.76999998</v>
      </c>
      <c r="Z34" s="76">
        <f>资产资本表!Z4</f>
        <v>538161889.29999995</v>
      </c>
      <c r="AA34" s="76">
        <f>资产资本表!AA4</f>
        <v>376599945.04000002</v>
      </c>
      <c r="AB34" s="76">
        <f>资产资本表!AB4</f>
        <v>253632371.88999999</v>
      </c>
      <c r="AC34" s="76">
        <f>资产资本表!AC4</f>
        <v>502558435.16000003</v>
      </c>
      <c r="AD34" s="76">
        <f>资产资本表!AD4</f>
        <v>334089133.51999998</v>
      </c>
      <c r="AE34" s="76">
        <f>资产资本表!AE4</f>
        <v>465965457.60000002</v>
      </c>
      <c r="AF34" s="76">
        <f>资产资本表!AF4</f>
        <v>600804136.77999997</v>
      </c>
      <c r="AG34" s="76">
        <f>资产资本表!AG4</f>
        <v>720230491.82000005</v>
      </c>
      <c r="AH34" s="76">
        <f>资产资本表!AH4</f>
        <v>552616299.77999997</v>
      </c>
      <c r="AI34" s="76">
        <f>资产资本表!AI4</f>
        <v>465145026.04000002</v>
      </c>
      <c r="AJ34" s="76">
        <f>资产资本表!AJ4</f>
        <v>477574287.62</v>
      </c>
      <c r="AK34" s="76">
        <f>资产资本表!AK4</f>
        <v>479424272.18000001</v>
      </c>
      <c r="AL34" s="76">
        <f>资产资本表!AL4</f>
        <v>418089110.00999999</v>
      </c>
      <c r="AM34" s="76">
        <f>资产资本表!AM4</f>
        <v>403553424.70999998</v>
      </c>
      <c r="AN34" s="76">
        <f>资产资本表!AN4</f>
        <v>390177168.31</v>
      </c>
      <c r="AO34" s="76">
        <f>资产资本表!AO4</f>
        <v>414458908.91000003</v>
      </c>
      <c r="AP34" s="76">
        <f>资产资本表!AP4</f>
        <v>371637992.38</v>
      </c>
      <c r="AQ34" s="76">
        <f>资产资本表!AQ4</f>
        <v>407778367.36000001</v>
      </c>
      <c r="AR34" s="76">
        <f>资产资本表!AR4</f>
        <v>49633403.07</v>
      </c>
      <c r="AS34" s="76">
        <f>资产资本表!AS4</f>
        <v>88491495.680000007</v>
      </c>
      <c r="AT34" s="76">
        <f>资产资本表!AT4</f>
        <v>28930691.68</v>
      </c>
      <c r="AU34" s="76">
        <f>资产资本表!AU4</f>
        <v>68113502.120000005</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55635.96</v>
      </c>
      <c r="I35" s="76">
        <f>利润表!I12</f>
        <v>2851456</v>
      </c>
      <c r="J35" s="76">
        <f>利润表!J12</f>
        <v>2851456</v>
      </c>
      <c r="K35" s="76">
        <f>利润表!K12</f>
        <v>2851456</v>
      </c>
      <c r="L35" s="76">
        <f>利润表!L12</f>
        <v>660960</v>
      </c>
      <c r="M35" s="76">
        <f>利润表!M12</f>
        <v>-5228415.6500000004</v>
      </c>
      <c r="N35" s="76">
        <f>利润表!N12</f>
        <v>-2119005.65</v>
      </c>
      <c r="O35" s="76">
        <f>利润表!O12</f>
        <v>118161.95</v>
      </c>
      <c r="P35" s="76">
        <f>利润表!P12</f>
        <v>-1793411.03</v>
      </c>
      <c r="Q35" s="76">
        <f>利润表!Q12</f>
        <v>894483.21</v>
      </c>
      <c r="R35" s="76">
        <f>利润表!R12</f>
        <v>-253574.76</v>
      </c>
      <c r="S35" s="76">
        <f>利润表!S12</f>
        <v>65830.36</v>
      </c>
      <c r="T35" s="76">
        <f>利润表!T12</f>
        <v>151295.04000000001</v>
      </c>
      <c r="U35" s="76">
        <f>利润表!U12</f>
        <v>3973172.57</v>
      </c>
      <c r="V35" s="76">
        <f>利润表!V12</f>
        <v>2971940.31</v>
      </c>
      <c r="W35" s="76">
        <f>利润表!W12</f>
        <v>987831.88</v>
      </c>
      <c r="X35" s="76">
        <f>利润表!X12</f>
        <v>2095942.22</v>
      </c>
      <c r="Y35" s="76">
        <f>利润表!Y12</f>
        <v>-1835136.12</v>
      </c>
      <c r="Z35" s="76">
        <f>利润表!Z12</f>
        <v>-145118.14000000001</v>
      </c>
      <c r="AA35" s="76">
        <f>利润表!AA12</f>
        <v>3824216.4</v>
      </c>
      <c r="AB35" s="76">
        <f>利润表!AB12</f>
        <v>508160</v>
      </c>
      <c r="AC35" s="76">
        <f>利润表!AC12</f>
        <v>-927288.22</v>
      </c>
      <c r="AD35" s="76">
        <f>利润表!AD12</f>
        <v>-2191740.96</v>
      </c>
      <c r="AE35" s="76">
        <f>利润表!AE12</f>
        <v>-1238622.69</v>
      </c>
      <c r="AF35" s="76">
        <f>利润表!AF12</f>
        <v>-807590.03</v>
      </c>
      <c r="AG35" s="76">
        <f>利润表!AG12</f>
        <v>271728.21000000002</v>
      </c>
      <c r="AH35" s="76">
        <f>利润表!AH12</f>
        <v>0</v>
      </c>
      <c r="AI35" s="76">
        <f>利润表!AI12</f>
        <v>0</v>
      </c>
      <c r="AJ35" s="76">
        <f>利润表!AJ12</f>
        <v>0</v>
      </c>
      <c r="AK35" s="76">
        <f>利润表!AK12</f>
        <v>13200</v>
      </c>
      <c r="AL35" s="76">
        <f>利润表!AL12</f>
        <v>0</v>
      </c>
      <c r="AM35" s="76">
        <f>利润表!AM12</f>
        <v>0</v>
      </c>
      <c r="AN35" s="76">
        <f>利润表!AN12</f>
        <v>0</v>
      </c>
      <c r="AO35" s="76">
        <f>利润表!AO12</f>
        <v>-13200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9219422.6099999994</v>
      </c>
      <c r="F36" s="76">
        <f>资产资本表!F13</f>
        <v>16380200.33</v>
      </c>
      <c r="G36" s="76">
        <f>资产资本表!G13</f>
        <v>11282962.720000001</v>
      </c>
      <c r="H36" s="76">
        <f>资产资本表!H13</f>
        <v>8507518.5199999996</v>
      </c>
      <c r="I36" s="76">
        <f>资产资本表!I13</f>
        <v>17077965.32</v>
      </c>
      <c r="J36" s="76">
        <f>资产资本表!J13</f>
        <v>19575285.57</v>
      </c>
      <c r="K36" s="76">
        <f>资产资本表!K13</f>
        <v>17168925.579999998</v>
      </c>
      <c r="L36" s="76">
        <f>资产资本表!L13</f>
        <v>13469594.029999999</v>
      </c>
      <c r="M36" s="76">
        <f>资产资本表!M13</f>
        <v>5829112.6100000003</v>
      </c>
      <c r="N36" s="76">
        <f>资产资本表!N13</f>
        <v>4097384.47</v>
      </c>
      <c r="O36" s="76">
        <f>资产资本表!O13</f>
        <v>3090314.86</v>
      </c>
      <c r="P36" s="76">
        <f>资产资本表!P13</f>
        <v>6192203.3399999999</v>
      </c>
      <c r="Q36" s="76">
        <f>资产资本表!Q13</f>
        <v>4260711.53</v>
      </c>
      <c r="R36" s="76">
        <f>资产资本表!R13</f>
        <v>4518351.34</v>
      </c>
      <c r="S36" s="76">
        <f>资产资本表!S13</f>
        <v>8231673.7800000003</v>
      </c>
      <c r="T36" s="76">
        <f>资产资本表!T13</f>
        <v>22042366.190000001</v>
      </c>
      <c r="U36" s="76">
        <f>资产资本表!U13</f>
        <v>16151346.49</v>
      </c>
      <c r="V36" s="76">
        <f>资产资本表!V13</f>
        <v>9234107.4499999993</v>
      </c>
      <c r="W36" s="76">
        <f>资产资本表!W13</f>
        <v>3607620.63</v>
      </c>
      <c r="X36" s="76">
        <f>资产资本表!X13</f>
        <v>8863212.1199999992</v>
      </c>
      <c r="Y36" s="76">
        <f>资产资本表!Y13</f>
        <v>8556700.6199999992</v>
      </c>
      <c r="Z36" s="76">
        <f>资产资本表!Z13</f>
        <v>6579600.8499999996</v>
      </c>
      <c r="AA36" s="76">
        <f>资产资本表!AA13</f>
        <v>3060527.8</v>
      </c>
      <c r="AB36" s="76">
        <f>资产资本表!AB13</f>
        <v>1608327.67</v>
      </c>
      <c r="AC36" s="76">
        <f>资产资本表!AC13</f>
        <v>1289069.07</v>
      </c>
      <c r="AD36" s="76">
        <f>资产资本表!AD13</f>
        <v>2505520.4900000002</v>
      </c>
      <c r="AE36" s="76">
        <f>资产资本表!AE13</f>
        <v>4681967.5199999996</v>
      </c>
      <c r="AF36" s="76">
        <f>资产资本表!AF13</f>
        <v>4074141.59</v>
      </c>
      <c r="AG36" s="76">
        <f>资产资本表!AG13</f>
        <v>2995044.24</v>
      </c>
      <c r="AH36" s="76">
        <f>资产资本表!AH13</f>
        <v>925917.69</v>
      </c>
      <c r="AI36" s="76">
        <f>资产资本表!AI13</f>
        <v>1714575.61</v>
      </c>
      <c r="AJ36" s="76">
        <f>资产资本表!AJ13</f>
        <v>3064030.96</v>
      </c>
      <c r="AK36" s="76">
        <f>资产资本表!AK13</f>
        <v>3837444.25</v>
      </c>
      <c r="AL36" s="76">
        <f>资产资本表!AL13</f>
        <v>8275030.6100000003</v>
      </c>
      <c r="AM36" s="76">
        <f>资产资本表!AM13</f>
        <v>8397970.3599999994</v>
      </c>
      <c r="AN36" s="76">
        <f>资产资本表!AN13</f>
        <v>6229864.7699999996</v>
      </c>
      <c r="AO36" s="76">
        <f>资产资本表!AO13</f>
        <v>4968504.5999999996</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77970227</v>
      </c>
      <c r="F38" s="76">
        <f>资产资本表!F8</f>
        <v>92970227</v>
      </c>
      <c r="G38" s="76">
        <f>资产资本表!G8</f>
        <v>92970227</v>
      </c>
      <c r="H38" s="76">
        <f>资产资本表!H8</f>
        <v>90496000</v>
      </c>
      <c r="I38" s="76">
        <f>资产资本表!I8</f>
        <v>90496000</v>
      </c>
      <c r="J38" s="76">
        <f>资产资本表!J8</f>
        <v>73000000</v>
      </c>
      <c r="K38" s="76">
        <f>资产资本表!K8</f>
        <v>73000000</v>
      </c>
      <c r="L38" s="76">
        <f>资产资本表!L8</f>
        <v>70000000</v>
      </c>
      <c r="M38" s="76">
        <f>资产资本表!M8</f>
        <v>65000000</v>
      </c>
      <c r="N38" s="76">
        <f>资产资本表!N8</f>
        <v>57000000</v>
      </c>
      <c r="O38" s="76">
        <f>资产资本表!O8</f>
        <v>54000000</v>
      </c>
      <c r="P38" s="76">
        <f>资产资本表!P8</f>
        <v>54000000</v>
      </c>
      <c r="Q38" s="76">
        <f>资产资本表!Q8</f>
        <v>54000000</v>
      </c>
      <c r="R38" s="76">
        <f>资产资本表!R8</f>
        <v>50000000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300000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181050142.28999999</v>
      </c>
      <c r="F40" s="76">
        <f>资产资本表!F10</f>
        <v>182308712.22</v>
      </c>
      <c r="G40" s="76">
        <f>资产资本表!G10</f>
        <v>184507034.61000001</v>
      </c>
      <c r="H40" s="76">
        <f>资产资本表!H10</f>
        <v>168892088.62</v>
      </c>
      <c r="I40" s="76">
        <f>资产资本表!I10</f>
        <v>170876329.56999999</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3881176956.04</v>
      </c>
      <c r="F43" s="76">
        <f t="shared" ref="F43:BQ43" si="14">SUM(F34:F42)</f>
        <v>2828544672.0999999</v>
      </c>
      <c r="G43" s="76">
        <f t="shared" si="14"/>
        <v>2619913583.2399998</v>
      </c>
      <c r="H43" s="76">
        <f t="shared" si="14"/>
        <v>2235345921.3899999</v>
      </c>
      <c r="I43" s="76">
        <f t="shared" si="14"/>
        <v>3040096531.1000004</v>
      </c>
      <c r="J43" s="76">
        <f t="shared" si="14"/>
        <v>1676351597.8899999</v>
      </c>
      <c r="K43" s="76">
        <f t="shared" si="14"/>
        <v>1874374352.27</v>
      </c>
      <c r="L43" s="76">
        <f t="shared" si="14"/>
        <v>2034494338.0599999</v>
      </c>
      <c r="M43" s="76">
        <f t="shared" si="14"/>
        <v>1821384742.4599998</v>
      </c>
      <c r="N43" s="76">
        <f t="shared" si="14"/>
        <v>984091486.69000006</v>
      </c>
      <c r="O43" s="76">
        <f t="shared" si="14"/>
        <v>1118278725.74</v>
      </c>
      <c r="P43" s="76">
        <f t="shared" si="14"/>
        <v>1088674559.5799999</v>
      </c>
      <c r="Q43" s="76">
        <f t="shared" si="14"/>
        <v>1379886772.27</v>
      </c>
      <c r="R43" s="76">
        <f t="shared" si="14"/>
        <v>1129535057.6699998</v>
      </c>
      <c r="S43" s="76">
        <f t="shared" si="14"/>
        <v>1280564945.3199999</v>
      </c>
      <c r="T43" s="76">
        <f t="shared" si="14"/>
        <v>1669573986.9200001</v>
      </c>
      <c r="U43" s="76">
        <f t="shared" si="14"/>
        <v>1838713394.3</v>
      </c>
      <c r="V43" s="76">
        <f t="shared" si="14"/>
        <v>1492087806.8900001</v>
      </c>
      <c r="W43" s="76">
        <f t="shared" si="14"/>
        <v>1514964104.9200003</v>
      </c>
      <c r="X43" s="76">
        <f t="shared" si="14"/>
        <v>653506585.32000005</v>
      </c>
      <c r="Y43" s="76">
        <f t="shared" si="14"/>
        <v>916204645.26999998</v>
      </c>
      <c r="Z43" s="76">
        <f t="shared" si="14"/>
        <v>544596372.00999999</v>
      </c>
      <c r="AA43" s="76">
        <f t="shared" si="14"/>
        <v>383484689.24000001</v>
      </c>
      <c r="AB43" s="76">
        <f t="shared" si="14"/>
        <v>255748859.55999997</v>
      </c>
      <c r="AC43" s="76">
        <f t="shared" si="14"/>
        <v>502920216.00999999</v>
      </c>
      <c r="AD43" s="76">
        <f t="shared" si="14"/>
        <v>334402913.05000001</v>
      </c>
      <c r="AE43" s="76">
        <f t="shared" si="14"/>
        <v>469408802.43000001</v>
      </c>
      <c r="AF43" s="76">
        <f t="shared" si="14"/>
        <v>604070688.34000003</v>
      </c>
      <c r="AG43" s="76">
        <f t="shared" si="14"/>
        <v>723497264.2700001</v>
      </c>
      <c r="AH43" s="76">
        <f t="shared" si="14"/>
        <v>553542217.47000003</v>
      </c>
      <c r="AI43" s="76">
        <f t="shared" si="14"/>
        <v>466859601.65000004</v>
      </c>
      <c r="AJ43" s="76">
        <f t="shared" si="14"/>
        <v>480638318.57999998</v>
      </c>
      <c r="AK43" s="76">
        <f t="shared" si="14"/>
        <v>483274916.43000001</v>
      </c>
      <c r="AL43" s="76">
        <f t="shared" si="14"/>
        <v>426364140.62</v>
      </c>
      <c r="AM43" s="76">
        <f t="shared" si="14"/>
        <v>411951395.06999999</v>
      </c>
      <c r="AN43" s="76">
        <f t="shared" si="14"/>
        <v>396407033.07999998</v>
      </c>
      <c r="AO43" s="76">
        <f t="shared" si="14"/>
        <v>419414213.51000005</v>
      </c>
      <c r="AP43" s="76">
        <f t="shared" si="14"/>
        <v>371637992.38</v>
      </c>
      <c r="AQ43" s="76">
        <f t="shared" si="14"/>
        <v>407778367.36000001</v>
      </c>
      <c r="AR43" s="76">
        <f t="shared" si="14"/>
        <v>49633403.07</v>
      </c>
      <c r="AS43" s="76">
        <f t="shared" si="14"/>
        <v>88491495.680000007</v>
      </c>
      <c r="AT43" s="76">
        <f t="shared" si="14"/>
        <v>29230691.68</v>
      </c>
      <c r="AU43" s="76">
        <f t="shared" si="14"/>
        <v>68113502.120000005</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-1.5912613546730882E-2</v>
      </c>
      <c r="F44" s="110">
        <f t="shared" ref="F44:BQ44" si="16">F32/F43</f>
        <v>2.5907365828625657E-3</v>
      </c>
      <c r="G44" s="110">
        <f t="shared" si="16"/>
        <v>1.5926296438772631E-3</v>
      </c>
      <c r="H44" s="110">
        <f t="shared" si="16"/>
        <v>7.1544604444883871E-4</v>
      </c>
      <c r="I44" s="110">
        <f t="shared" si="16"/>
        <v>1.0434092967329622E-2</v>
      </c>
      <c r="J44" s="110">
        <f t="shared" si="16"/>
        <v>1.3208295271346981E-2</v>
      </c>
      <c r="K44" s="110">
        <f t="shared" si="16"/>
        <v>1.0064489957639791E-2</v>
      </c>
      <c r="L44" s="110">
        <f t="shared" si="16"/>
        <v>6.9540785110136483E-4</v>
      </c>
      <c r="M44" s="110">
        <f t="shared" si="16"/>
        <v>1.7128329035436322E-2</v>
      </c>
      <c r="N44" s="110">
        <f t="shared" si="16"/>
        <v>7.3485674091912324E-3</v>
      </c>
      <c r="O44" s="110">
        <f t="shared" si="16"/>
        <v>7.6113389785835046E-3</v>
      </c>
      <c r="P44" s="110">
        <f t="shared" si="16"/>
        <v>3.6780701265349048E-3</v>
      </c>
      <c r="Q44" s="110">
        <f t="shared" si="16"/>
        <v>2.6750546007679822E-2</v>
      </c>
      <c r="R44" s="110">
        <f t="shared" si="16"/>
        <v>8.1641300377656924E-5</v>
      </c>
      <c r="S44" s="110">
        <f t="shared" si="16"/>
        <v>1.2482006755682468E-4</v>
      </c>
      <c r="T44" s="110">
        <f t="shared" si="16"/>
        <v>-4.0176754600297821E-4</v>
      </c>
      <c r="U44" s="110">
        <f t="shared" si="16"/>
        <v>2.1527541381105898E-2</v>
      </c>
      <c r="V44" s="110">
        <f t="shared" si="16"/>
        <v>4.2105894962690509E-3</v>
      </c>
      <c r="W44" s="110">
        <f t="shared" si="16"/>
        <v>2.4716697514043191E-3</v>
      </c>
      <c r="X44" s="110">
        <f t="shared" si="16"/>
        <v>5.2450634227511868E-3</v>
      </c>
      <c r="Y44" s="110">
        <f t="shared" si="16"/>
        <v>1.8234578432347635E-2</v>
      </c>
      <c r="Z44" s="110">
        <f t="shared" si="16"/>
        <v>-1.1529494447047198E-3</v>
      </c>
      <c r="AA44" s="110">
        <f t="shared" si="16"/>
        <v>7.4211806088817734E-3</v>
      </c>
      <c r="AB44" s="110">
        <f t="shared" si="16"/>
        <v>2.9627440779975405E-4</v>
      </c>
      <c r="AC44" s="110">
        <f t="shared" si="16"/>
        <v>1.7352234583089789E-2</v>
      </c>
      <c r="AD44" s="110">
        <f t="shared" si="16"/>
        <v>-1.1048775809900331E-2</v>
      </c>
      <c r="AE44" s="110">
        <f t="shared" si="16"/>
        <v>-4.2047815009682663E-3</v>
      </c>
      <c r="AF44" s="110">
        <f t="shared" si="16"/>
        <v>-1.211862483993691E-3</v>
      </c>
      <c r="AG44" s="110">
        <f t="shared" si="16"/>
        <v>1.4449513003129756E-2</v>
      </c>
      <c r="AH44" s="110">
        <f t="shared" si="16"/>
        <v>0</v>
      </c>
      <c r="AI44" s="110">
        <f t="shared" si="16"/>
        <v>0</v>
      </c>
      <c r="AJ44" s="110">
        <f t="shared" si="16"/>
        <v>0</v>
      </c>
      <c r="AK44" s="110">
        <f t="shared" si="16"/>
        <v>1.6709027528132733E-2</v>
      </c>
      <c r="AL44" s="110">
        <f t="shared" si="16"/>
        <v>0</v>
      </c>
      <c r="AM44" s="110">
        <f t="shared" si="16"/>
        <v>0</v>
      </c>
      <c r="AN44" s="110">
        <f t="shared" si="16"/>
        <v>0</v>
      </c>
      <c r="AO44" s="110">
        <f t="shared" si="16"/>
        <v>2.1531853621601326E-2</v>
      </c>
      <c r="AP44" s="110">
        <f t="shared" si="16"/>
        <v>0</v>
      </c>
      <c r="AQ44" s="110">
        <f t="shared" si="16"/>
        <v>0</v>
      </c>
      <c r="AR44" s="110">
        <f t="shared" si="16"/>
        <v>0</v>
      </c>
      <c r="AS44" s="110">
        <f t="shared" si="16"/>
        <v>9.2400466642696463E-3</v>
      </c>
      <c r="AT44" s="110">
        <f t="shared" si="16"/>
        <v>4.1525986730186247E-3</v>
      </c>
      <c r="AU44" s="110">
        <f t="shared" si="16"/>
        <v>1.2357054278845444E-2</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0.29521616335150441</v>
      </c>
      <c r="F46" s="57">
        <f>F43/资产资本表!F70</f>
        <v>0.22660225795761665</v>
      </c>
      <c r="G46" s="57">
        <f>G43/资产资本表!G70</f>
        <v>0.22226910240103845</v>
      </c>
      <c r="H46" s="57">
        <f>H43/资产资本表!H70</f>
        <v>0.20613693135111757</v>
      </c>
      <c r="I46" s="57">
        <f>I43/资产资本表!I70</f>
        <v>0.31613607369687291</v>
      </c>
      <c r="J46" s="57">
        <f>J43/资产资本表!J70</f>
        <v>0.19067171711937186</v>
      </c>
      <c r="K46" s="57">
        <f>K43/资产资本表!K70</f>
        <v>0.22482606303495278</v>
      </c>
      <c r="L46" s="57">
        <f>L43/资产资本表!L70</f>
        <v>0.25976619741368723</v>
      </c>
      <c r="M46" s="57">
        <f>M43/资产资本表!M70</f>
        <v>0.25424596950239209</v>
      </c>
      <c r="N46" s="57">
        <f>N43/资产资本表!N70</f>
        <v>0.15327477832557687</v>
      </c>
      <c r="O46" s="57">
        <f>O43/资产资本表!O70</f>
        <v>0.18485653504372723</v>
      </c>
      <c r="P46" s="57">
        <f>P43/资产资本表!P70</f>
        <v>0.18957570549644862</v>
      </c>
      <c r="Q46" s="57">
        <f>Q43/资产资本表!Q70</f>
        <v>0.23886607042610888</v>
      </c>
      <c r="R46" s="57">
        <f>R43/资产资本表!R70</f>
        <v>0.20789848027728494</v>
      </c>
      <c r="S46" s="57">
        <f>S43/资产资本表!S70</f>
        <v>0.23965851299417162</v>
      </c>
      <c r="T46" s="57">
        <f>T43/资产资本表!T70</f>
        <v>0.36311482746305224</v>
      </c>
      <c r="U46" s="57">
        <f>U43/资产资本表!U70</f>
        <v>0.43395087415892009</v>
      </c>
      <c r="V46" s="57">
        <f>V43/资产资本表!V70</f>
        <v>0.40234473758718203</v>
      </c>
      <c r="W46" s="57">
        <f>W43/资产资本表!W70</f>
        <v>0.42761385650522443</v>
      </c>
      <c r="X46" s="57">
        <f>X43/资产资本表!X70</f>
        <v>0.25965643406788091</v>
      </c>
      <c r="Y46" s="57">
        <f>Y43/资产资本表!Y70</f>
        <v>0.38535744605192729</v>
      </c>
      <c r="Z46" s="57">
        <f>Z43/资产资本表!Z70</f>
        <v>0.26280995332708929</v>
      </c>
      <c r="AA46" s="57">
        <f>AA43/资产资本表!AA70</f>
        <v>0.20617581800123519</v>
      </c>
      <c r="AB46" s="57">
        <f>AB43/资产资本表!AB70</f>
        <v>0.15668324522676427</v>
      </c>
      <c r="AC46" s="57">
        <f>AC43/资产资本表!AC70</f>
        <v>0.32307890780888876</v>
      </c>
      <c r="AD46" s="57">
        <f>AD43/资产资本表!AD70</f>
        <v>0.23362310418956914</v>
      </c>
      <c r="AE46" s="57">
        <f>AE43/资产资本表!AE70</f>
        <v>0.34158937296006908</v>
      </c>
      <c r="AF46" s="57">
        <f>AF43/资产资本表!AF70</f>
        <v>0.44321662346280638</v>
      </c>
      <c r="AG46" s="57">
        <f>AG43/资产资本表!AG70</f>
        <v>0.54527447933219242</v>
      </c>
      <c r="AH46" s="57">
        <f>AH43/资产资本表!AH70</f>
        <v>0.46759793424707968</v>
      </c>
      <c r="AI46" s="57">
        <f>AI43/资产资本表!AI70</f>
        <v>0.47034660013164759</v>
      </c>
      <c r="AJ46" s="57">
        <f>AJ43/资产资本表!AJ70</f>
        <v>0.50278053482990681</v>
      </c>
      <c r="AK46" s="57">
        <f>AK43/资产资本表!AK70</f>
        <v>0.54098165649725272</v>
      </c>
      <c r="AL46" s="57">
        <f>AL43/资产资本表!AL70</f>
        <v>0.53844346668982612</v>
      </c>
      <c r="AM46" s="57">
        <f>AM43/资产资本表!AM70</f>
        <v>0.54288508458085682</v>
      </c>
      <c r="AN46" s="57">
        <f>AN43/资产资本表!AN70</f>
        <v>0.54120756946916559</v>
      </c>
      <c r="AO46" s="57">
        <f>AO43/资产资本表!AO70</f>
        <v>0.57753061658833693</v>
      </c>
      <c r="AP46" s="57">
        <f>AP43/资产资本表!AP70</f>
        <v>0.53131955851631241</v>
      </c>
      <c r="AQ46" s="57">
        <f>AQ43/资产资本表!AQ70</f>
        <v>0.6159380371122205</v>
      </c>
      <c r="AR46" s="57">
        <f>AR43/资产资本表!AR70</f>
        <v>0.20469029801883529</v>
      </c>
      <c r="AS46" s="57">
        <f>AS43/资产资本表!AS70</f>
        <v>0.36630844843283178</v>
      </c>
      <c r="AT46" s="57">
        <f>AT43/资产资本表!AT70</f>
        <v>0.17334582280180599</v>
      </c>
      <c r="AU46" s="57">
        <f>AU43/资产资本表!AU70</f>
        <v>0.38546045530339929</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38717</v>
      </c>
      <c r="AY48" s="1">
        <v>25569</v>
      </c>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18844458053.779999</v>
      </c>
      <c r="F49" s="76">
        <f>利润表!F4</f>
        <v>11723294881.290001</v>
      </c>
      <c r="G49" s="76">
        <f>利润表!G4</f>
        <v>7464664934.3800001</v>
      </c>
      <c r="H49" s="76">
        <f>利润表!H4</f>
        <v>2648612419.3600001</v>
      </c>
      <c r="I49" s="76">
        <f>利润表!I4</f>
        <v>13329094010.82</v>
      </c>
      <c r="J49" s="76">
        <f>利润表!J4</f>
        <v>7968634527.2799997</v>
      </c>
      <c r="K49" s="76">
        <f>利润表!K4</f>
        <v>4949746889.5100002</v>
      </c>
      <c r="L49" s="76">
        <f>利润表!L4</f>
        <v>1782728113.9400001</v>
      </c>
      <c r="M49" s="76">
        <f>利润表!M4</f>
        <v>10077833438.49</v>
      </c>
      <c r="N49" s="76">
        <f>利润表!N4</f>
        <v>5830194178.29</v>
      </c>
      <c r="O49" s="76">
        <f>利润表!O4</f>
        <v>3468887211.1300001</v>
      </c>
      <c r="P49" s="76">
        <f>利润表!P4</f>
        <v>1202598595.55</v>
      </c>
      <c r="Q49" s="76">
        <f>利润表!Q4</f>
        <v>7331881449.46</v>
      </c>
      <c r="R49" s="76">
        <f>利润表!R4</f>
        <v>4647473079.6899996</v>
      </c>
      <c r="S49" s="76">
        <f>利润表!S4</f>
        <v>3042521916.96</v>
      </c>
      <c r="T49" s="76">
        <f>利润表!T4</f>
        <v>1144820982.71</v>
      </c>
      <c r="U49" s="76">
        <f>利润表!U4</f>
        <v>5410094042.8000002</v>
      </c>
      <c r="V49" s="76">
        <f>利润表!V4</f>
        <v>3259172104.4099998</v>
      </c>
      <c r="W49" s="76">
        <f>利润表!W4</f>
        <v>2031589599.46</v>
      </c>
      <c r="X49" s="76">
        <f>利润表!X4</f>
        <v>788467237.58000004</v>
      </c>
      <c r="Y49" s="76">
        <f>利润表!Y4</f>
        <v>3531214471.6199999</v>
      </c>
      <c r="Z49" s="76">
        <f>利润表!Z4</f>
        <v>2192882979.0100002</v>
      </c>
      <c r="AA49" s="76">
        <f>利润表!AA4</f>
        <v>1296870812.8800001</v>
      </c>
      <c r="AB49" s="76">
        <f>利润表!AB4</f>
        <v>498029565.17000002</v>
      </c>
      <c r="AC49" s="76">
        <f>利润表!AC4</f>
        <v>2205208207.0799999</v>
      </c>
      <c r="AD49" s="76">
        <f>利润表!AD4</f>
        <v>1460699765.0599999</v>
      </c>
      <c r="AE49" s="76">
        <f>利润表!AE4</f>
        <v>894260544.45000005</v>
      </c>
      <c r="AF49" s="76">
        <f>利润表!AF4</f>
        <v>328634906.66000003</v>
      </c>
      <c r="AG49" s="76">
        <f>利润表!AG4</f>
        <v>1516275445.1600001</v>
      </c>
      <c r="AH49" s="76">
        <f>利润表!AH4</f>
        <v>957975121.67999995</v>
      </c>
      <c r="AI49" s="76">
        <f>利润表!AI4</f>
        <v>570649139.51999998</v>
      </c>
      <c r="AJ49" s="76">
        <f>利润表!AJ4</f>
        <v>212729003.41999999</v>
      </c>
      <c r="AK49" s="76">
        <f>利润表!AK4</f>
        <v>835942072.07000005</v>
      </c>
      <c r="AL49" s="76">
        <f>利润表!AL4</f>
        <v>518260863.69</v>
      </c>
      <c r="AM49" s="76">
        <f>利润表!AM4</f>
        <v>299015862</v>
      </c>
      <c r="AN49" s="76">
        <f>利润表!AN4</f>
        <v>129896906.78</v>
      </c>
      <c r="AO49" s="76">
        <f>利润表!AO4</f>
        <v>632018390.76999998</v>
      </c>
      <c r="AP49" s="76">
        <f>利润表!AP4</f>
        <v>444354759.20999998</v>
      </c>
      <c r="AQ49" s="76">
        <f>利润表!AQ4</f>
        <v>264817613.74000001</v>
      </c>
      <c r="AR49" s="76">
        <f>利润表!AR4</f>
        <v>79182563.640000001</v>
      </c>
      <c r="AS49" s="76">
        <f>利润表!AS4</f>
        <v>405185173.70999998</v>
      </c>
      <c r="AT49" s="76">
        <f>利润表!AT4</f>
        <v>257689679.09</v>
      </c>
      <c r="AU49" s="76">
        <f>利润表!AU4</f>
        <v>139893683.97999999</v>
      </c>
      <c r="AV49" s="76">
        <f>利润表!AV4</f>
        <v>50910017.090000004</v>
      </c>
      <c r="AW49" s="76">
        <f>利润表!AW4</f>
        <v>445538267</v>
      </c>
      <c r="AX49" s="76">
        <f>利润表!AX4</f>
        <v>293144590.5</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7273994042.2999954</v>
      </c>
      <c r="F50" s="76">
        <f>资产资本表!F50</f>
        <v>7783242437.9899988</v>
      </c>
      <c r="G50" s="76">
        <f>资产资本表!G50</f>
        <v>7334480934.4500008</v>
      </c>
      <c r="H50" s="76">
        <f>资产资本表!H50</f>
        <v>6913530864.3000011</v>
      </c>
      <c r="I50" s="76">
        <f>资产资本表!I50</f>
        <v>4961213626.71</v>
      </c>
      <c r="J50" s="76">
        <f>资产资本表!J50</f>
        <v>5557949585.6599979</v>
      </c>
      <c r="K50" s="76">
        <f>资产资本表!K50</f>
        <v>5010439008.5</v>
      </c>
      <c r="L50" s="76">
        <f>资产资本表!L50</f>
        <v>4461631593.7700014</v>
      </c>
      <c r="M50" s="76">
        <f>资产资本表!M50</f>
        <v>4195604300.9199991</v>
      </c>
      <c r="N50" s="76">
        <f>资产资本表!N50</f>
        <v>4416950189.9699993</v>
      </c>
      <c r="O50" s="76">
        <f>资产资本表!O50</f>
        <v>4011624634.8699999</v>
      </c>
      <c r="P50" s="76">
        <f>资产资本表!P50</f>
        <v>3770255006.8900003</v>
      </c>
      <c r="Q50" s="76">
        <f>资产资本表!Q50</f>
        <v>3596661975.46</v>
      </c>
      <c r="R50" s="76">
        <f>资产资本表!R50</f>
        <v>3552918006.1699996</v>
      </c>
      <c r="S50" s="76">
        <f>资产资本表!S50</f>
        <v>3306636255.5</v>
      </c>
      <c r="T50" s="76">
        <f>资产资本表!T50</f>
        <v>2212456326.0699997</v>
      </c>
      <c r="U50" s="76">
        <f>资产资本表!U50</f>
        <v>1686033842.1799998</v>
      </c>
      <c r="V50" s="76">
        <f>资产资本表!V50</f>
        <v>1653260042.97</v>
      </c>
      <c r="W50" s="76">
        <f>资产资本表!W50</f>
        <v>1509789017.5800002</v>
      </c>
      <c r="X50" s="76">
        <f>资产资本表!X50</f>
        <v>1329991225.7500005</v>
      </c>
      <c r="Y50" s="76">
        <f>资产资本表!Y50</f>
        <v>960085015.67000008</v>
      </c>
      <c r="Z50" s="76">
        <f>资产资本表!Z50</f>
        <v>1136394271.8499999</v>
      </c>
      <c r="AA50" s="76">
        <f>资产资本表!AA50</f>
        <v>1116331588.4400001</v>
      </c>
      <c r="AB50" s="76">
        <f>资产资本表!AB50</f>
        <v>1061945460.2499999</v>
      </c>
      <c r="AC50" s="76">
        <f>资产资本表!AC50</f>
        <v>719960551.5400002</v>
      </c>
      <c r="AD50" s="76">
        <f>资产资本表!AD50</f>
        <v>823734941.91000009</v>
      </c>
      <c r="AE50" s="76">
        <f>资产资本表!AE50</f>
        <v>665724463.47000027</v>
      </c>
      <c r="AF50" s="76">
        <f>资产资本表!AF50</f>
        <v>577313695</v>
      </c>
      <c r="AG50" s="76">
        <f>资产资本表!AG50</f>
        <v>426619826.43999994</v>
      </c>
      <c r="AH50" s="76">
        <f>资产资本表!AH50</f>
        <v>477309825.17000002</v>
      </c>
      <c r="AI50" s="76">
        <f>资产资本表!AI50</f>
        <v>379248510.89999998</v>
      </c>
      <c r="AJ50" s="76">
        <f>资产资本表!AJ50</f>
        <v>331308693.99999994</v>
      </c>
      <c r="AK50" s="76">
        <f>资产资本表!AK50</f>
        <v>263826115.32999998</v>
      </c>
      <c r="AL50" s="76">
        <f>资产资本表!AL50</f>
        <v>239427137.41999996</v>
      </c>
      <c r="AM50" s="76">
        <f>资产资本表!AM50</f>
        <v>220946915.43999997</v>
      </c>
      <c r="AN50" s="76">
        <f>资产资本表!AN50</f>
        <v>209496866.84</v>
      </c>
      <c r="AO50" s="76">
        <f>资产资本表!AO50</f>
        <v>179238055.88</v>
      </c>
      <c r="AP50" s="76">
        <f>资产资本表!AP50</f>
        <v>255117275.52000001</v>
      </c>
      <c r="AQ50" s="76">
        <f>资产资本表!AQ50</f>
        <v>185425804.85999998</v>
      </c>
      <c r="AR50" s="76">
        <f>资产资本表!AR50</f>
        <v>127643517.74000001</v>
      </c>
      <c r="AS50" s="76">
        <f>资产资本表!AS50</f>
        <v>89094738.879999995</v>
      </c>
      <c r="AT50" s="76">
        <f>资产资本表!AT50</f>
        <v>92882837.640000001</v>
      </c>
      <c r="AU50" s="76">
        <f>资产资本表!AU50</f>
        <v>58509916.449999973</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2.5906617388184565</v>
      </c>
      <c r="F51" s="44">
        <f t="shared" ref="F51:BQ51" si="18">F49/F50</f>
        <v>1.5062224997731806</v>
      </c>
      <c r="G51" s="44">
        <f t="shared" si="18"/>
        <v>1.0177495859752701</v>
      </c>
      <c r="H51" s="44">
        <f t="shared" si="18"/>
        <v>0.38310560426320939</v>
      </c>
      <c r="I51" s="44">
        <f t="shared" si="18"/>
        <v>2.68665996139721</v>
      </c>
      <c r="J51" s="44">
        <f t="shared" si="18"/>
        <v>1.4337363814597712</v>
      </c>
      <c r="K51" s="44">
        <f t="shared" si="18"/>
        <v>0.98788686602370812</v>
      </c>
      <c r="L51" s="44">
        <f t="shared" si="18"/>
        <v>0.39956865027343635</v>
      </c>
      <c r="M51" s="44">
        <f t="shared" si="18"/>
        <v>2.4019980712385491</v>
      </c>
      <c r="N51" s="44">
        <f t="shared" si="18"/>
        <v>1.3199592314917183</v>
      </c>
      <c r="O51" s="44">
        <f t="shared" si="18"/>
        <v>0.86470882170221097</v>
      </c>
      <c r="P51" s="44">
        <f t="shared" si="18"/>
        <v>0.31897009442393043</v>
      </c>
      <c r="Q51" s="44">
        <f t="shared" si="18"/>
        <v>2.038523914531134</v>
      </c>
      <c r="R51" s="44">
        <f t="shared" si="18"/>
        <v>1.3080721456614521</v>
      </c>
      <c r="S51" s="44">
        <f t="shared" si="18"/>
        <v>0.92012597753965442</v>
      </c>
      <c r="T51" s="44">
        <f t="shared" si="18"/>
        <v>0.5174434266657606</v>
      </c>
      <c r="U51" s="44">
        <f t="shared" si="18"/>
        <v>3.2087695439166768</v>
      </c>
      <c r="V51" s="44">
        <f t="shared" si="18"/>
        <v>1.9713608384045005</v>
      </c>
      <c r="W51" s="44">
        <f t="shared" si="18"/>
        <v>1.3456115893042988</v>
      </c>
      <c r="X51" s="44">
        <f t="shared" si="18"/>
        <v>0.59283642050749052</v>
      </c>
      <c r="Y51" s="44">
        <f t="shared" si="18"/>
        <v>3.678022689642463</v>
      </c>
      <c r="Z51" s="44">
        <f t="shared" si="18"/>
        <v>1.9296849987109519</v>
      </c>
      <c r="AA51" s="44">
        <f t="shared" si="18"/>
        <v>1.1617254463723379</v>
      </c>
      <c r="AB51" s="44">
        <f t="shared" si="18"/>
        <v>0.46897847753193977</v>
      </c>
      <c r="AC51" s="44">
        <f t="shared" si="18"/>
        <v>3.0629569944673296</v>
      </c>
      <c r="AD51" s="44">
        <f t="shared" si="18"/>
        <v>1.7732642998888271</v>
      </c>
      <c r="AE51" s="44">
        <f t="shared" si="18"/>
        <v>1.3432892938751053</v>
      </c>
      <c r="AF51" s="44">
        <f t="shared" si="18"/>
        <v>0.56924841642635904</v>
      </c>
      <c r="AG51" s="44">
        <f t="shared" si="18"/>
        <v>3.5541607566924691</v>
      </c>
      <c r="AH51" s="44">
        <f t="shared" si="18"/>
        <v>2.007029964947411</v>
      </c>
      <c r="AI51" s="44">
        <f t="shared" si="18"/>
        <v>1.5046839291887646</v>
      </c>
      <c r="AJ51" s="44">
        <f t="shared" si="18"/>
        <v>0.6420869940104863</v>
      </c>
      <c r="AK51" s="44">
        <f t="shared" si="18"/>
        <v>3.1685342105893644</v>
      </c>
      <c r="AL51" s="44">
        <f t="shared" si="18"/>
        <v>2.1645869773770614</v>
      </c>
      <c r="AM51" s="44">
        <f t="shared" si="18"/>
        <v>1.3533380242241957</v>
      </c>
      <c r="AN51" s="44">
        <f t="shared" si="18"/>
        <v>0.62004224091430804</v>
      </c>
      <c r="AO51" s="44">
        <f t="shared" si="18"/>
        <v>3.5261395113163734</v>
      </c>
      <c r="AP51" s="44">
        <f t="shared" si="18"/>
        <v>1.7417666377327106</v>
      </c>
      <c r="AQ51" s="44">
        <f t="shared" si="18"/>
        <v>1.4281594405910352</v>
      </c>
      <c r="AR51" s="44">
        <f t="shared" si="18"/>
        <v>0.62034144030164362</v>
      </c>
      <c r="AS51" s="44">
        <f t="shared" si="18"/>
        <v>4.5478013494796388</v>
      </c>
      <c r="AT51" s="44">
        <f t="shared" si="18"/>
        <v>2.7743519215979027</v>
      </c>
      <c r="AU51" s="44">
        <f t="shared" si="18"/>
        <v>2.3909397324049682</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1930454687.04</v>
      </c>
      <c r="F52" s="76">
        <f>资产资本表!F68</f>
        <v>1802624584.7</v>
      </c>
      <c r="G52" s="76">
        <f>资产资本表!G68</f>
        <v>1755099050.4599998</v>
      </c>
      <c r="H52" s="76">
        <f>资产资本表!H68</f>
        <v>1629802158.7299998</v>
      </c>
      <c r="I52" s="76">
        <f>资产资本表!I68</f>
        <v>1580830809.45</v>
      </c>
      <c r="J52" s="76">
        <f>资产资本表!J68</f>
        <v>1504804039.6199999</v>
      </c>
      <c r="K52" s="76">
        <f>资产资本表!K68</f>
        <v>1404643601.8399999</v>
      </c>
      <c r="L52" s="76">
        <f>资产资本表!L68</f>
        <v>1301323531.73</v>
      </c>
      <c r="M52" s="76">
        <f>资产资本表!M68</f>
        <v>1134449478.1399999</v>
      </c>
      <c r="N52" s="76">
        <f>资产资本表!N68</f>
        <v>1010181172.4600002</v>
      </c>
      <c r="O52" s="76">
        <f>资产资本表!O68</f>
        <v>910847223.2099998</v>
      </c>
      <c r="P52" s="76">
        <f>资产资本表!P68</f>
        <v>875195639.50999999</v>
      </c>
      <c r="Q52" s="76">
        <f>资产资本表!Q68</f>
        <v>792304037.46000004</v>
      </c>
      <c r="R52" s="76">
        <f>资产资本表!R68</f>
        <v>742478969.43000007</v>
      </c>
      <c r="S52" s="76">
        <f>资产资本表!S68</f>
        <v>697761763.38000011</v>
      </c>
      <c r="T52" s="76">
        <f>资产资本表!T68</f>
        <v>657417343.13999999</v>
      </c>
      <c r="U52" s="76">
        <f>资产资本表!U68</f>
        <v>687615592.42999995</v>
      </c>
      <c r="V52" s="76">
        <f>资产资本表!V68</f>
        <v>538776147.78999996</v>
      </c>
      <c r="W52" s="76">
        <f>资产资本表!W68</f>
        <v>491730478.18000001</v>
      </c>
      <c r="X52" s="76">
        <f>资产资本表!X68</f>
        <v>507328688.86999995</v>
      </c>
      <c r="Y52" s="76">
        <f>资产资本表!Y68</f>
        <v>470899379.27000004</v>
      </c>
      <c r="Z52" s="76">
        <f>资产资本表!Z68</f>
        <v>362347042.94999999</v>
      </c>
      <c r="AA52" s="76">
        <f>资产资本表!AA68</f>
        <v>337203248.82999998</v>
      </c>
      <c r="AB52" s="76">
        <f>资产资本表!AB68</f>
        <v>290984745.16000009</v>
      </c>
      <c r="AC52" s="76">
        <f>资产资本表!AC68</f>
        <v>309208959.29000002</v>
      </c>
      <c r="AD52" s="76">
        <f>资产资本表!AD68</f>
        <v>247701335.99000004</v>
      </c>
      <c r="AE52" s="76">
        <f>资产资本表!AE68</f>
        <v>215071592.66999999</v>
      </c>
      <c r="AF52" s="76">
        <f>资产资本表!AF68</f>
        <v>169935603.45999998</v>
      </c>
      <c r="AG52" s="76">
        <f>资产资本表!AG68</f>
        <v>166335899</v>
      </c>
      <c r="AH52" s="76">
        <f>资产资本表!AH68</f>
        <v>142547493.09</v>
      </c>
      <c r="AI52" s="76">
        <f>资产资本表!AI68</f>
        <v>136078208.94</v>
      </c>
      <c r="AJ52" s="76">
        <f>资产资本表!AJ68</f>
        <v>134013461.79000002</v>
      </c>
      <c r="AK52" s="76">
        <f>资产资本表!AK68</f>
        <v>136241749.06</v>
      </c>
      <c r="AL52" s="76">
        <f>资产资本表!AL68</f>
        <v>126021866.06999998</v>
      </c>
      <c r="AM52" s="76">
        <f>资产资本表!AM68</f>
        <v>125887914.89999999</v>
      </c>
      <c r="AN52" s="76">
        <f>资产资本表!AN68</f>
        <v>126512716.42999999</v>
      </c>
      <c r="AO52" s="76">
        <f>资产资本表!AO68</f>
        <v>127521857.89999999</v>
      </c>
      <c r="AP52" s="76">
        <f>资产资本表!AP68</f>
        <v>72707016.939999998</v>
      </c>
      <c r="AQ52" s="76">
        <f>资产资本表!AQ68</f>
        <v>68840291.329999998</v>
      </c>
      <c r="AR52" s="76">
        <f>资产资本表!AR68</f>
        <v>65203565.810000002</v>
      </c>
      <c r="AS52" s="76">
        <f>资产资本表!AS68</f>
        <v>63990218.45000001</v>
      </c>
      <c r="AT52" s="76">
        <f>资产资本表!AT68</f>
        <v>46512926.210000001</v>
      </c>
      <c r="AU52" s="76">
        <f>资产资本表!AU68</f>
        <v>50083429.519999996</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9.7616681605070657</v>
      </c>
      <c r="F53" s="44">
        <f t="shared" ref="F53:BQ53" si="20">F49/F52</f>
        <v>6.5034588903274271</v>
      </c>
      <c r="G53" s="44">
        <f t="shared" si="20"/>
        <v>4.2531302905232389</v>
      </c>
      <c r="H53" s="44">
        <f t="shared" si="20"/>
        <v>1.6251128427906205</v>
      </c>
      <c r="I53" s="44">
        <f t="shared" si="20"/>
        <v>8.4317018185250543</v>
      </c>
      <c r="J53" s="44">
        <f t="shared" si="20"/>
        <v>5.2954632746017056</v>
      </c>
      <c r="K53" s="44">
        <f t="shared" si="20"/>
        <v>3.5238453961034137</v>
      </c>
      <c r="L53" s="44">
        <f t="shared" si="20"/>
        <v>1.3699345861901178</v>
      </c>
      <c r="M53" s="44">
        <f t="shared" si="20"/>
        <v>8.8834572474864473</v>
      </c>
      <c r="N53" s="44">
        <f t="shared" si="20"/>
        <v>5.7714342112437818</v>
      </c>
      <c r="O53" s="44">
        <f t="shared" si="20"/>
        <v>3.8084182755753244</v>
      </c>
      <c r="P53" s="44">
        <f t="shared" si="20"/>
        <v>1.3740911646032705</v>
      </c>
      <c r="Q53" s="44">
        <f t="shared" si="20"/>
        <v>9.2538736429576183</v>
      </c>
      <c r="R53" s="44">
        <f t="shared" si="20"/>
        <v>6.2594002942034273</v>
      </c>
      <c r="S53" s="44">
        <f t="shared" si="20"/>
        <v>4.360402184008823</v>
      </c>
      <c r="T53" s="44">
        <f t="shared" si="20"/>
        <v>1.7413915143187899</v>
      </c>
      <c r="U53" s="44">
        <f t="shared" si="20"/>
        <v>7.8679048328165333</v>
      </c>
      <c r="V53" s="44">
        <f t="shared" si="20"/>
        <v>6.0492137927389003</v>
      </c>
      <c r="W53" s="44">
        <f t="shared" si="20"/>
        <v>4.1315104302245995</v>
      </c>
      <c r="X53" s="44">
        <f t="shared" si="20"/>
        <v>1.5541546434840792</v>
      </c>
      <c r="Y53" s="44">
        <f t="shared" si="20"/>
        <v>7.498872640465521</v>
      </c>
      <c r="Z53" s="44">
        <f t="shared" si="20"/>
        <v>6.0518859520887398</v>
      </c>
      <c r="AA53" s="44">
        <f t="shared" si="20"/>
        <v>3.8459617971646938</v>
      </c>
      <c r="AB53" s="44">
        <f t="shared" si="20"/>
        <v>1.7115315268371021</v>
      </c>
      <c r="AC53" s="44">
        <f t="shared" si="20"/>
        <v>7.131773322944972</v>
      </c>
      <c r="AD53" s="44">
        <f t="shared" si="20"/>
        <v>5.8970201320148306</v>
      </c>
      <c r="AE53" s="44">
        <f t="shared" si="20"/>
        <v>4.1579668116473618</v>
      </c>
      <c r="AF53" s="44">
        <f t="shared" si="20"/>
        <v>1.9338790692990668</v>
      </c>
      <c r="AG53" s="44">
        <f t="shared" si="20"/>
        <v>9.1157438308611898</v>
      </c>
      <c r="AH53" s="44">
        <f t="shared" si="20"/>
        <v>6.7203926278462474</v>
      </c>
      <c r="AI53" s="44">
        <f t="shared" si="20"/>
        <v>4.1935379952833758</v>
      </c>
      <c r="AJ53" s="44">
        <f t="shared" si="20"/>
        <v>1.5873704072606358</v>
      </c>
      <c r="AK53" s="44">
        <f t="shared" si="20"/>
        <v>6.1357262207625984</v>
      </c>
      <c r="AL53" s="44">
        <f t="shared" si="20"/>
        <v>4.1124677792195792</v>
      </c>
      <c r="AM53" s="44">
        <f t="shared" si="20"/>
        <v>2.3752547036586118</v>
      </c>
      <c r="AN53" s="44">
        <f t="shared" si="20"/>
        <v>1.0267498038576421</v>
      </c>
      <c r="AO53" s="44">
        <f t="shared" si="20"/>
        <v>4.9561573300289883</v>
      </c>
      <c r="AP53" s="44">
        <f t="shared" si="20"/>
        <v>6.1115801185557483</v>
      </c>
      <c r="AQ53" s="44">
        <f t="shared" si="20"/>
        <v>3.8468403986052686</v>
      </c>
      <c r="AR53" s="44">
        <f t="shared" si="20"/>
        <v>1.2143900821426563</v>
      </c>
      <c r="AS53" s="44">
        <f t="shared" si="20"/>
        <v>6.3319860991973203</v>
      </c>
      <c r="AT53" s="44">
        <f t="shared" si="20"/>
        <v>5.5401734547201693</v>
      </c>
      <c r="AU53" s="44">
        <f t="shared" si="20"/>
        <v>2.7932129512843313</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3881176956.04</v>
      </c>
      <c r="F54" s="76">
        <f>资产资本表!F17</f>
        <v>2828544672.0999999</v>
      </c>
      <c r="G54" s="76">
        <f>资产资本表!G17</f>
        <v>2619913583.2399998</v>
      </c>
      <c r="H54" s="76">
        <f>资产资本表!H17</f>
        <v>2235345921.3899999</v>
      </c>
      <c r="I54" s="76">
        <f>资产资本表!I17</f>
        <v>3037245075.1000004</v>
      </c>
      <c r="J54" s="76">
        <f>资产资本表!J17</f>
        <v>1673500141.8899999</v>
      </c>
      <c r="K54" s="76">
        <f>资产资本表!K17</f>
        <v>1871522896.27</v>
      </c>
      <c r="L54" s="76">
        <f>资产资本表!L17</f>
        <v>2033833378.0599999</v>
      </c>
      <c r="M54" s="76">
        <f>资产资本表!M17</f>
        <v>1826613158.1099999</v>
      </c>
      <c r="N54" s="76">
        <f>资产资本表!N17</f>
        <v>986468446.34000003</v>
      </c>
      <c r="O54" s="76">
        <f>资产资本表!O17</f>
        <v>1120655685.3899999</v>
      </c>
      <c r="P54" s="76">
        <f>资产资本表!P17</f>
        <v>1091051519.2299998</v>
      </c>
      <c r="Q54" s="76">
        <f>资产资本表!Q17</f>
        <v>1381369248.71</v>
      </c>
      <c r="R54" s="76">
        <f>资产资本表!R17</f>
        <v>1131017534.1099999</v>
      </c>
      <c r="S54" s="76">
        <f>资产资本表!S17</f>
        <v>1282047421.76</v>
      </c>
      <c r="T54" s="76">
        <f>资产资本表!T17</f>
        <v>1671056463.3600001</v>
      </c>
      <c r="U54" s="76">
        <f>资产资本表!U17</f>
        <v>1836222698.1700001</v>
      </c>
      <c r="V54" s="76">
        <f>资产资本表!V17</f>
        <v>1489597110.8000002</v>
      </c>
      <c r="W54" s="76">
        <f>资产资本表!W17</f>
        <v>1513976273.0400002</v>
      </c>
      <c r="X54" s="76">
        <f>资产资本表!X17</f>
        <v>651410643.10000002</v>
      </c>
      <c r="Y54" s="76">
        <f>资产资本表!Y17</f>
        <v>918039781.38999999</v>
      </c>
      <c r="Z54" s="76">
        <f>资产资本表!Z17</f>
        <v>544741490.14999998</v>
      </c>
      <c r="AA54" s="76">
        <f>资产资本表!AA17</f>
        <v>382829129.23000002</v>
      </c>
      <c r="AB54" s="76">
        <f>资产资本表!AB17</f>
        <v>255240699.55999997</v>
      </c>
      <c r="AC54" s="76">
        <f>资产资本表!AC17</f>
        <v>503847504.23000002</v>
      </c>
      <c r="AD54" s="76">
        <f>资产资本表!AD17</f>
        <v>336594654.00999999</v>
      </c>
      <c r="AE54" s="76">
        <f>资产资本表!AE17</f>
        <v>470647425.12</v>
      </c>
      <c r="AF54" s="76">
        <f>资产资本表!AF17</f>
        <v>604878278.37</v>
      </c>
      <c r="AG54" s="76">
        <f>资产资本表!AG17</f>
        <v>723497264.2700001</v>
      </c>
      <c r="AH54" s="76">
        <f>资产资本表!AH17</f>
        <v>553542217.47000003</v>
      </c>
      <c r="AI54" s="76">
        <f>资产资本表!AI17</f>
        <v>466859601.65000004</v>
      </c>
      <c r="AJ54" s="76">
        <f>资产资本表!AJ17</f>
        <v>480638318.57999998</v>
      </c>
      <c r="AK54" s="76">
        <f>资产资本表!AK17</f>
        <v>483261716.43000001</v>
      </c>
      <c r="AL54" s="76">
        <f>资产资本表!AL17</f>
        <v>426396690.62</v>
      </c>
      <c r="AM54" s="76">
        <f>资产资本表!AM17</f>
        <v>411983945.06999999</v>
      </c>
      <c r="AN54" s="76">
        <f>资产资本表!AN17</f>
        <v>396439583.07999998</v>
      </c>
      <c r="AO54" s="76">
        <f>资产资本表!AO17</f>
        <v>419459963.51000005</v>
      </c>
      <c r="AP54" s="76">
        <f>资产资本表!AP17</f>
        <v>371637992.38</v>
      </c>
      <c r="AQ54" s="76">
        <f>资产资本表!AQ17</f>
        <v>407778367.36000001</v>
      </c>
      <c r="AR54" s="76">
        <f>资产资本表!AR17</f>
        <v>49633403.07</v>
      </c>
      <c r="AS54" s="76">
        <f>资产资本表!AS17</f>
        <v>88491495.680000007</v>
      </c>
      <c r="AT54" s="76">
        <f>资产资本表!AT17</f>
        <v>29230691.68</v>
      </c>
      <c r="AU54" s="76">
        <f>资产资本表!AU17</f>
        <v>68113502.120000005</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4.8553462692428146</v>
      </c>
      <c r="F55" s="44">
        <f t="shared" ref="F55:BQ55" si="22">F49/F54</f>
        <v>4.144638406076953</v>
      </c>
      <c r="G55" s="44">
        <f t="shared" si="22"/>
        <v>2.8492027302475313</v>
      </c>
      <c r="H55" s="44">
        <f t="shared" si="22"/>
        <v>1.1848780960546006</v>
      </c>
      <c r="I55" s="44">
        <f t="shared" si="22"/>
        <v>4.3885474109728015</v>
      </c>
      <c r="J55" s="44">
        <f t="shared" si="22"/>
        <v>4.7616575151768243</v>
      </c>
      <c r="K55" s="44">
        <f t="shared" si="22"/>
        <v>2.6447696148281117</v>
      </c>
      <c r="L55" s="44">
        <f t="shared" si="22"/>
        <v>0.87653597053288601</v>
      </c>
      <c r="M55" s="44">
        <f t="shared" si="22"/>
        <v>5.5172237174276972</v>
      </c>
      <c r="N55" s="44">
        <f t="shared" si="22"/>
        <v>5.9101679328124632</v>
      </c>
      <c r="O55" s="44">
        <f t="shared" si="22"/>
        <v>3.0954085687101931</v>
      </c>
      <c r="P55" s="44">
        <f t="shared" si="22"/>
        <v>1.1022381384874691</v>
      </c>
      <c r="Q55" s="44">
        <f t="shared" si="22"/>
        <v>5.30769123194752</v>
      </c>
      <c r="R55" s="44">
        <f t="shared" si="22"/>
        <v>4.1091078957914711</v>
      </c>
      <c r="S55" s="44">
        <f t="shared" si="22"/>
        <v>2.3731742409209899</v>
      </c>
      <c r="T55" s="44">
        <f t="shared" si="22"/>
        <v>0.68508815100604303</v>
      </c>
      <c r="U55" s="44">
        <f t="shared" si="22"/>
        <v>2.9463169408545924</v>
      </c>
      <c r="V55" s="44">
        <f t="shared" si="22"/>
        <v>2.1879554416292035</v>
      </c>
      <c r="W55" s="44">
        <f t="shared" si="22"/>
        <v>1.3418899857529829</v>
      </c>
      <c r="X55" s="44">
        <f t="shared" si="22"/>
        <v>1.2103996855620305</v>
      </c>
      <c r="Y55" s="44">
        <f t="shared" si="22"/>
        <v>3.8464721716889039</v>
      </c>
      <c r="Z55" s="44">
        <f t="shared" si="22"/>
        <v>4.0255479317467966</v>
      </c>
      <c r="AA55" s="44">
        <f t="shared" si="22"/>
        <v>3.3875970083270563</v>
      </c>
      <c r="AB55" s="44">
        <f t="shared" si="22"/>
        <v>1.951215327447914</v>
      </c>
      <c r="AC55" s="44">
        <f t="shared" si="22"/>
        <v>4.3767373829708411</v>
      </c>
      <c r="AD55" s="44">
        <f t="shared" si="22"/>
        <v>4.3396404181054038</v>
      </c>
      <c r="AE55" s="44">
        <f t="shared" si="22"/>
        <v>1.9000646699001749</v>
      </c>
      <c r="AF55" s="44">
        <f t="shared" si="22"/>
        <v>0.54330750237153702</v>
      </c>
      <c r="AG55" s="44">
        <f t="shared" si="22"/>
        <v>2.0957583670892017</v>
      </c>
      <c r="AH55" s="44">
        <f t="shared" si="22"/>
        <v>1.7306270261706258</v>
      </c>
      <c r="AI55" s="44">
        <f t="shared" si="22"/>
        <v>1.222314240733577</v>
      </c>
      <c r="AJ55" s="44">
        <f t="shared" si="22"/>
        <v>0.44259684506322239</v>
      </c>
      <c r="AK55" s="44">
        <f t="shared" si="22"/>
        <v>1.729791629772282</v>
      </c>
      <c r="AL55" s="44">
        <f t="shared" si="22"/>
        <v>1.2154429785475711</v>
      </c>
      <c r="AM55" s="44">
        <f t="shared" si="22"/>
        <v>0.72579493831778896</v>
      </c>
      <c r="AN55" s="44">
        <f t="shared" si="22"/>
        <v>0.32765877153540268</v>
      </c>
      <c r="AO55" s="44">
        <f t="shared" si="22"/>
        <v>1.5067430642994668</v>
      </c>
      <c r="AP55" s="44">
        <f t="shared" si="22"/>
        <v>1.1956655894202739</v>
      </c>
      <c r="AQ55" s="44">
        <f t="shared" si="22"/>
        <v>0.64941555250823402</v>
      </c>
      <c r="AR55" s="44">
        <f t="shared" si="22"/>
        <v>1.5953482683491522</v>
      </c>
      <c r="AS55" s="44">
        <f t="shared" si="22"/>
        <v>4.5788035403449063</v>
      </c>
      <c r="AT55" s="44">
        <f t="shared" si="22"/>
        <v>8.8157229363927261</v>
      </c>
      <c r="AU55" s="44">
        <f t="shared" si="22"/>
        <v>2.0538319074174187</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61272885.409999996</v>
      </c>
      <c r="F56" s="76">
        <f>资产资本表!F19</f>
        <v>68008814.140000001</v>
      </c>
      <c r="G56" s="76">
        <f>资产资本表!G19</f>
        <v>77630935.159999996</v>
      </c>
      <c r="H56" s="76">
        <f>资产资本表!H19</f>
        <v>65306685.609999999</v>
      </c>
      <c r="I56" s="76">
        <f>资产资本表!I19</f>
        <v>37128177.329999998</v>
      </c>
      <c r="J56" s="76">
        <f>资产资本表!J19</f>
        <v>55567186.75</v>
      </c>
      <c r="K56" s="76">
        <f>资产资本表!K19</f>
        <v>50392112.649999999</v>
      </c>
      <c r="L56" s="76">
        <f>资产资本表!L19</f>
        <v>35232592.009999998</v>
      </c>
      <c r="M56" s="76">
        <f>资产资本表!M19</f>
        <v>7201760.6299999999</v>
      </c>
      <c r="N56" s="76">
        <f>资产资本表!N19</f>
        <v>6839988.5700000003</v>
      </c>
      <c r="O56" s="76">
        <f>资产资本表!O19</f>
        <v>6313583.8099999996</v>
      </c>
      <c r="P56" s="76">
        <f>资产资本表!P19</f>
        <v>6188105.4100000001</v>
      </c>
      <c r="Q56" s="76">
        <f>资产资本表!Q19</f>
        <v>6486744.9800000004</v>
      </c>
      <c r="R56" s="76">
        <f>资产资本表!R19</f>
        <v>6694266.0899999999</v>
      </c>
      <c r="S56" s="76">
        <f>资产资本表!S19</f>
        <v>56844598.68</v>
      </c>
      <c r="T56" s="76">
        <f>资产资本表!T19</f>
        <v>56992785.049999997</v>
      </c>
      <c r="U56" s="76">
        <f>资产资本表!U19</f>
        <v>27274290.449999999</v>
      </c>
      <c r="V56" s="76">
        <f>资产资本表!V19</f>
        <v>26847678.800000001</v>
      </c>
      <c r="W56" s="76">
        <f>资产资本表!W19</f>
        <v>27336349.18</v>
      </c>
      <c r="X56" s="76">
        <f>资产资本表!X19</f>
        <v>28082043.77</v>
      </c>
      <c r="Y56" s="76">
        <f>资产资本表!Y19</f>
        <v>28520761.899999999</v>
      </c>
      <c r="Z56" s="76">
        <f>资产资本表!Z19</f>
        <v>28723232.59</v>
      </c>
      <c r="AA56" s="76">
        <f>资产资本表!AA19</f>
        <v>23624721.59</v>
      </c>
      <c r="AB56" s="76">
        <f>资产资本表!AB19</f>
        <v>24095896.690000001</v>
      </c>
      <c r="AC56" s="76">
        <f>资产资本表!AC19</f>
        <v>23631233.57</v>
      </c>
      <c r="AD56" s="76">
        <f>资产资本表!AD19</f>
        <v>23346817.350000001</v>
      </c>
      <c r="AE56" s="76">
        <f>资产资本表!AE19</f>
        <v>22746817.350000001</v>
      </c>
      <c r="AF56" s="76">
        <f>资产资本表!AF19</f>
        <v>10796682.689999999</v>
      </c>
      <c r="AG56" s="76">
        <f>资产资本表!AG19</f>
        <v>10396682.689999999</v>
      </c>
      <c r="AH56" s="76">
        <f>资产资本表!AH19</f>
        <v>10400000</v>
      </c>
      <c r="AI56" s="76">
        <f>资产资本表!AI19</f>
        <v>10400000</v>
      </c>
      <c r="AJ56" s="76">
        <f>资产资本表!AJ19</f>
        <v>10000000</v>
      </c>
      <c r="AK56" s="76">
        <f>资产资本表!AK19</f>
        <v>10000000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307.54970861392638</v>
      </c>
      <c r="F57" s="117">
        <f t="shared" ref="F57:BQ57" si="24">F49/F56</f>
        <v>172.37905159112071</v>
      </c>
      <c r="G57" s="117">
        <f t="shared" si="24"/>
        <v>96.155803340447619</v>
      </c>
      <c r="H57" s="117">
        <f t="shared" si="24"/>
        <v>40.556527936160258</v>
      </c>
      <c r="I57" s="117">
        <f t="shared" si="24"/>
        <v>359.00211023959793</v>
      </c>
      <c r="J57" s="117">
        <f t="shared" si="24"/>
        <v>143.40539792182298</v>
      </c>
      <c r="K57" s="117">
        <f t="shared" si="24"/>
        <v>98.224635348960717</v>
      </c>
      <c r="L57" s="117">
        <f t="shared" si="24"/>
        <v>50.598835119312589</v>
      </c>
      <c r="M57" s="117">
        <f t="shared" si="24"/>
        <v>1399.3569012151409</v>
      </c>
      <c r="N57" s="117">
        <f t="shared" si="24"/>
        <v>852.36899427888955</v>
      </c>
      <c r="O57" s="117">
        <f t="shared" si="24"/>
        <v>549.43235340214801</v>
      </c>
      <c r="P57" s="117">
        <f t="shared" si="24"/>
        <v>194.34035393233546</v>
      </c>
      <c r="Q57" s="117">
        <f t="shared" si="24"/>
        <v>1130.286680309729</v>
      </c>
      <c r="R57" s="117">
        <f t="shared" si="24"/>
        <v>694.24684008788779</v>
      </c>
      <c r="S57" s="117">
        <f t="shared" si="24"/>
        <v>53.523500695070787</v>
      </c>
      <c r="T57" s="117">
        <f t="shared" si="24"/>
        <v>20.087121233076154</v>
      </c>
      <c r="U57" s="117">
        <f t="shared" si="24"/>
        <v>198.35874567362029</v>
      </c>
      <c r="V57" s="117">
        <f t="shared" si="24"/>
        <v>121.39493058930665</v>
      </c>
      <c r="W57" s="117">
        <f t="shared" si="24"/>
        <v>74.318248793308697</v>
      </c>
      <c r="X57" s="117">
        <f t="shared" si="24"/>
        <v>28.077274006043616</v>
      </c>
      <c r="Y57" s="117">
        <f t="shared" si="24"/>
        <v>123.81206659209199</v>
      </c>
      <c r="Z57" s="117">
        <f t="shared" si="24"/>
        <v>76.345271102022579</v>
      </c>
      <c r="AA57" s="117">
        <f t="shared" si="24"/>
        <v>54.89464957034442</v>
      </c>
      <c r="AB57" s="117">
        <f t="shared" si="24"/>
        <v>20.668646266925872</v>
      </c>
      <c r="AC57" s="117">
        <f t="shared" si="24"/>
        <v>93.317524053400476</v>
      </c>
      <c r="AD57" s="117">
        <f t="shared" si="24"/>
        <v>62.565262886249457</v>
      </c>
      <c r="AE57" s="117">
        <f t="shared" si="24"/>
        <v>39.313655650820088</v>
      </c>
      <c r="AF57" s="117">
        <f t="shared" si="24"/>
        <v>30.438507465296272</v>
      </c>
      <c r="AG57" s="117">
        <f t="shared" si="24"/>
        <v>145.84223548713499</v>
      </c>
      <c r="AH57" s="117">
        <f t="shared" si="24"/>
        <v>92.112992469230761</v>
      </c>
      <c r="AI57" s="117">
        <f t="shared" si="24"/>
        <v>54.87010956923077</v>
      </c>
      <c r="AJ57" s="117">
        <f t="shared" si="24"/>
        <v>21.272900342</v>
      </c>
      <c r="AK57" s="117">
        <f t="shared" si="24"/>
        <v>83.594207207000011</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38717</v>
      </c>
      <c r="AY61" s="1">
        <v>25569</v>
      </c>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18844458053.779999</v>
      </c>
      <c r="F63" s="76">
        <f t="shared" ref="F63:BQ63" si="26">F49</f>
        <v>11723294881.290001</v>
      </c>
      <c r="G63" s="76">
        <f t="shared" si="26"/>
        <v>7464664934.3800001</v>
      </c>
      <c r="H63" s="76">
        <f t="shared" si="26"/>
        <v>2648612419.3600001</v>
      </c>
      <c r="I63" s="76">
        <f t="shared" si="26"/>
        <v>13329094010.82</v>
      </c>
      <c r="J63" s="76">
        <f t="shared" si="26"/>
        <v>7968634527.2799997</v>
      </c>
      <c r="K63" s="76">
        <f t="shared" si="26"/>
        <v>4949746889.5100002</v>
      </c>
      <c r="L63" s="76">
        <f t="shared" si="26"/>
        <v>1782728113.9400001</v>
      </c>
      <c r="M63" s="76">
        <f t="shared" si="26"/>
        <v>10077833438.49</v>
      </c>
      <c r="N63" s="76">
        <f t="shared" si="26"/>
        <v>5830194178.29</v>
      </c>
      <c r="O63" s="76">
        <f t="shared" si="26"/>
        <v>3468887211.1300001</v>
      </c>
      <c r="P63" s="76">
        <f t="shared" si="26"/>
        <v>1202598595.55</v>
      </c>
      <c r="Q63" s="76">
        <f t="shared" si="26"/>
        <v>7331881449.46</v>
      </c>
      <c r="R63" s="76">
        <f t="shared" si="26"/>
        <v>4647473079.6899996</v>
      </c>
      <c r="S63" s="76">
        <f t="shared" si="26"/>
        <v>3042521916.96</v>
      </c>
      <c r="T63" s="76">
        <f t="shared" si="26"/>
        <v>1144820982.71</v>
      </c>
      <c r="U63" s="76">
        <f t="shared" si="26"/>
        <v>5410094042.8000002</v>
      </c>
      <c r="V63" s="76">
        <f t="shared" si="26"/>
        <v>3259172104.4099998</v>
      </c>
      <c r="W63" s="76">
        <f t="shared" si="26"/>
        <v>2031589599.46</v>
      </c>
      <c r="X63" s="76">
        <f t="shared" si="26"/>
        <v>788467237.58000004</v>
      </c>
      <c r="Y63" s="76">
        <f t="shared" si="26"/>
        <v>3531214471.6199999</v>
      </c>
      <c r="Z63" s="76">
        <f t="shared" si="26"/>
        <v>2192882979.0100002</v>
      </c>
      <c r="AA63" s="76">
        <f t="shared" si="26"/>
        <v>1296870812.8800001</v>
      </c>
      <c r="AB63" s="76">
        <f t="shared" si="26"/>
        <v>498029565.17000002</v>
      </c>
      <c r="AC63" s="76">
        <f t="shared" si="26"/>
        <v>2205208207.0799999</v>
      </c>
      <c r="AD63" s="76">
        <f t="shared" si="26"/>
        <v>1460699765.0599999</v>
      </c>
      <c r="AE63" s="76">
        <f t="shared" si="26"/>
        <v>894260544.45000005</v>
      </c>
      <c r="AF63" s="76">
        <f t="shared" si="26"/>
        <v>328634906.66000003</v>
      </c>
      <c r="AG63" s="76">
        <f t="shared" si="26"/>
        <v>1516275445.1600001</v>
      </c>
      <c r="AH63" s="76">
        <f t="shared" si="26"/>
        <v>957975121.67999995</v>
      </c>
      <c r="AI63" s="76">
        <f t="shared" si="26"/>
        <v>570649139.51999998</v>
      </c>
      <c r="AJ63" s="76">
        <f t="shared" si="26"/>
        <v>212729003.41999999</v>
      </c>
      <c r="AK63" s="76">
        <f t="shared" si="26"/>
        <v>835942072.07000005</v>
      </c>
      <c r="AL63" s="76">
        <f t="shared" si="26"/>
        <v>518260863.69</v>
      </c>
      <c r="AM63" s="76">
        <f t="shared" si="26"/>
        <v>299015862</v>
      </c>
      <c r="AN63" s="76">
        <f t="shared" si="26"/>
        <v>129896906.78</v>
      </c>
      <c r="AO63" s="76">
        <f t="shared" si="26"/>
        <v>632018390.76999998</v>
      </c>
      <c r="AP63" s="76">
        <f t="shared" si="26"/>
        <v>444354759.20999998</v>
      </c>
      <c r="AQ63" s="76">
        <f t="shared" si="26"/>
        <v>264817613.74000001</v>
      </c>
      <c r="AR63" s="76">
        <f t="shared" si="26"/>
        <v>79182563.640000001</v>
      </c>
      <c r="AS63" s="76">
        <f t="shared" si="26"/>
        <v>405185173.70999998</v>
      </c>
      <c r="AT63" s="76">
        <f t="shared" si="26"/>
        <v>257689679.09</v>
      </c>
      <c r="AU63" s="76">
        <f t="shared" si="26"/>
        <v>139893683.97999999</v>
      </c>
      <c r="AV63" s="76">
        <f t="shared" si="26"/>
        <v>50910017.090000004</v>
      </c>
      <c r="AW63" s="76">
        <f t="shared" si="26"/>
        <v>445538267</v>
      </c>
      <c r="AX63" s="76">
        <f t="shared" si="26"/>
        <v>293144590.5</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9509525504.8900013</v>
      </c>
      <c r="F64" s="76">
        <f>资产资本表!F22+资产资本表!F23-资产资本表!F37</f>
        <v>8464805068.6599998</v>
      </c>
      <c r="G64" s="76">
        <f>资产资本表!G22+资产资本表!G23-资产资本表!G37</f>
        <v>7737104317.9300003</v>
      </c>
      <c r="H64" s="76">
        <f>资产资本表!H22+资产资本表!H23-资产资本表!H37</f>
        <v>6474013111.5200005</v>
      </c>
      <c r="I64" s="76">
        <f>资产资本表!I22+资产资本表!I23-资产资本表!I37</f>
        <v>7022192515.4699993</v>
      </c>
      <c r="J64" s="76">
        <f>资产资本表!J22+资产资本表!J23-资产资本表!J37</f>
        <v>5799304579.0799999</v>
      </c>
      <c r="K64" s="76">
        <f>资产资本表!K22+资产资本表!K23-资产资本表!K37</f>
        <v>5541717592.7299995</v>
      </c>
      <c r="L64" s="76">
        <f>资产资本表!L22+资产资本表!L23-资产资本表!L37</f>
        <v>4895715726.2799997</v>
      </c>
      <c r="M64" s="76">
        <f>资产资本表!M22+资产资本表!M23-资产资本表!M37</f>
        <v>5876150795.4799995</v>
      </c>
      <c r="N64" s="76">
        <f>资产资本表!N22+资产资本表!N23-资产资本表!N37</f>
        <v>4020004195.0899997</v>
      </c>
      <c r="O64" s="76">
        <f>资产资本表!O22+资产资本表!O23-资产资本表!O37</f>
        <v>3587376724.29</v>
      </c>
      <c r="P64" s="76">
        <f>资产资本表!P22+资产资本表!P23-资产资本表!P37</f>
        <v>3047252290.48</v>
      </c>
      <c r="Q64" s="76">
        <f>资产资本表!Q22+资产资本表!Q23-资产资本表!Q37</f>
        <v>3004659528.0800004</v>
      </c>
      <c r="R64" s="76">
        <f>资产资本表!R22+资产资本表!R23-资产资本表!R37</f>
        <v>2505874235.0999999</v>
      </c>
      <c r="S64" s="76">
        <f>资产资本表!S22+资产资本表!S23-资产资本表!S37</f>
        <v>2619803855.1600003</v>
      </c>
      <c r="T64" s="76">
        <f>资产资本表!T22+资产资本表!T23-资产资本表!T37</f>
        <v>2131819912.0999997</v>
      </c>
      <c r="U64" s="76">
        <f>资产资本表!U22+资产资本表!U23-资产资本表!U37</f>
        <v>2097811727.73</v>
      </c>
      <c r="V64" s="76">
        <f>资产资本表!V22+资产资本表!V23-资产资本表!V37</f>
        <v>1438159296.8799999</v>
      </c>
      <c r="W64" s="76">
        <f>资产资本表!W22+资产资本表!W23-资产资本表!W37</f>
        <v>1259507243.8099999</v>
      </c>
      <c r="X64" s="76">
        <f>资产资本表!X22+资产资本表!X23-资产资本表!X37</f>
        <v>873751653.71000016</v>
      </c>
      <c r="Y64" s="76">
        <f>资产资本表!Y22+资产资本表!Y23-资产资本表!Y37</f>
        <v>854056324.55000007</v>
      </c>
      <c r="Z64" s="76">
        <f>资产资本表!Z22+资产资本表!Z23-资产资本表!Z37</f>
        <v>813545962.11000013</v>
      </c>
      <c r="AA64" s="76">
        <f>资产资本表!AA22+资产资本表!AA23-资产资本表!AA37</f>
        <v>704267889.26999998</v>
      </c>
      <c r="AB64" s="76">
        <f>资产资本表!AB22+资产资本表!AB23-资产资本表!AB37</f>
        <v>547262320.50999987</v>
      </c>
      <c r="AC64" s="76">
        <f>资产资本表!AC22+资产资本表!AC23-资产资本表!AC37</f>
        <v>532384047.52000004</v>
      </c>
      <c r="AD64" s="76">
        <f>资产资本表!AD22+资产资本表!AD23-资产资本表!AD37</f>
        <v>550672405.1500001</v>
      </c>
      <c r="AE64" s="76">
        <f>资产资本表!AE22+资产资本表!AE23-资产资本表!AE37</f>
        <v>445879345.59000003</v>
      </c>
      <c r="AF64" s="76">
        <f>资产资本表!AF22+资产资本表!AF23-资产资本表!AF37</f>
        <v>291549895.57999998</v>
      </c>
      <c r="AG64" s="76">
        <f>资产资本表!AG22+资产资本表!AG23-资产资本表!AG37</f>
        <v>293658814.56999999</v>
      </c>
      <c r="AH64" s="76">
        <f>资产资本表!AH22+资产资本表!AH23-资产资本表!AH37</f>
        <v>281780945.15999997</v>
      </c>
      <c r="AI64" s="76">
        <f>资产资本表!AI22+资产资本表!AI23-资产资本表!AI37</f>
        <v>266276989.74000001</v>
      </c>
      <c r="AJ64" s="76">
        <f>资产资本表!AJ22+资产资本表!AJ23-资产资本表!AJ37</f>
        <v>191645671.88999999</v>
      </c>
      <c r="AK64" s="76">
        <f>资产资本表!AK22+资产资本表!AK23-资产资本表!AK37</f>
        <v>217607671.45000005</v>
      </c>
      <c r="AL64" s="76">
        <f>资产资本表!AL22+资产资本表!AL23-资产资本表!AL37</f>
        <v>193916879.71999997</v>
      </c>
      <c r="AM64" s="76">
        <f>资产资本表!AM22+资产资本表!AM23-资产资本表!AM37</f>
        <v>162887953.69</v>
      </c>
      <c r="AN64" s="76">
        <f>资产资本表!AN22+资产资本表!AN23-资产资本表!AN37</f>
        <v>136887501.68000001</v>
      </c>
      <c r="AO64" s="76">
        <f>资产资本表!AO22+资产资本表!AO23-资产资本表!AO37</f>
        <v>129521276.92999999</v>
      </c>
      <c r="AP64" s="76">
        <f>资产资本表!AP22+资产资本表!AP23-资产资本表!AP37</f>
        <v>146266205.37</v>
      </c>
      <c r="AQ64" s="76">
        <f>资产资本表!AQ22+资产资本表!AQ23-资产资本表!AQ37</f>
        <v>135749985.26999998</v>
      </c>
      <c r="AR64" s="76">
        <f>资产资本表!AR22+资产资本表!AR23-资产资本表!AR37</f>
        <v>74926161.390000001</v>
      </c>
      <c r="AS64" s="76">
        <f>资产资本表!AS22+资产资本表!AS23-资产资本表!AS37</f>
        <v>92919156</v>
      </c>
      <c r="AT64" s="76">
        <f>资产资本表!AT22+资产资本表!AT23-资产资本表!AT37</f>
        <v>74512653.689999998</v>
      </c>
      <c r="AU64" s="76">
        <f>资产资本表!AU22+资产资本表!AU23-资产资本表!AU37</f>
        <v>67375243.819999993</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2.2797942755340603</v>
      </c>
      <c r="F65" s="155">
        <f t="shared" ref="F65:BQ65" si="28">F63/(F64+J64)*2</f>
        <v>1.6437471627466682</v>
      </c>
      <c r="G65" s="155">
        <f t="shared" si="28"/>
        <v>1.1242962643225904</v>
      </c>
      <c r="H65" s="155">
        <f t="shared" si="28"/>
        <v>0.46590599602593458</v>
      </c>
      <c r="I65" s="155">
        <f t="shared" si="28"/>
        <v>2.0667916319926634</v>
      </c>
      <c r="J65" s="155">
        <f t="shared" si="28"/>
        <v>1.6230540683763286</v>
      </c>
      <c r="K65" s="155">
        <f t="shared" si="28"/>
        <v>1.0843894733964672</v>
      </c>
      <c r="L65" s="155">
        <f t="shared" si="28"/>
        <v>0.44888210809318835</v>
      </c>
      <c r="M65" s="155">
        <f t="shared" si="28"/>
        <v>2.2695752012075756</v>
      </c>
      <c r="N65" s="155">
        <f t="shared" si="28"/>
        <v>1.7867921508676512</v>
      </c>
      <c r="O65" s="155">
        <f t="shared" si="28"/>
        <v>1.1177013997673537</v>
      </c>
      <c r="P65" s="155">
        <f t="shared" si="28"/>
        <v>0.46440696267988502</v>
      </c>
      <c r="Q65" s="155">
        <f t="shared" si="28"/>
        <v>2.8738550721325282</v>
      </c>
      <c r="R65" s="155">
        <f t="shared" si="28"/>
        <v>2.3567107338242415</v>
      </c>
      <c r="S65" s="155">
        <f t="shared" si="28"/>
        <v>1.5685887722527967</v>
      </c>
      <c r="T65" s="155">
        <f t="shared" si="28"/>
        <v>0.76179918371131605</v>
      </c>
      <c r="U65" s="155">
        <f t="shared" si="28"/>
        <v>3.6655392090586738</v>
      </c>
      <c r="V65" s="155">
        <f t="shared" si="28"/>
        <v>2.8948478859723394</v>
      </c>
      <c r="W65" s="155">
        <f t="shared" si="28"/>
        <v>2.0690654090049905</v>
      </c>
      <c r="X65" s="155">
        <f t="shared" si="28"/>
        <v>1.109724818874906</v>
      </c>
      <c r="Y65" s="155">
        <f t="shared" si="28"/>
        <v>5.0939290902900973</v>
      </c>
      <c r="Z65" s="155">
        <f t="shared" si="28"/>
        <v>3.2148562600199453</v>
      </c>
      <c r="AA65" s="155">
        <f t="shared" si="28"/>
        <v>2.2551387745376088</v>
      </c>
      <c r="AB65" s="155">
        <f t="shared" si="28"/>
        <v>1.1874637865707101</v>
      </c>
      <c r="AC65" s="155">
        <f t="shared" si="28"/>
        <v>5.3392101264588749</v>
      </c>
      <c r="AD65" s="155">
        <f t="shared" si="28"/>
        <v>3.5093852755017325</v>
      </c>
      <c r="AE65" s="155">
        <f t="shared" si="28"/>
        <v>2.5114163845375783</v>
      </c>
      <c r="AF65" s="155">
        <f t="shared" si="28"/>
        <v>1.3602562969719456</v>
      </c>
      <c r="AG65" s="155">
        <f t="shared" si="28"/>
        <v>5.9314486148450003</v>
      </c>
      <c r="AH65" s="155">
        <f t="shared" si="28"/>
        <v>4.0276624006916988</v>
      </c>
      <c r="AI65" s="155">
        <f t="shared" si="28"/>
        <v>2.6593464739184927</v>
      </c>
      <c r="AJ65" s="155">
        <f t="shared" si="28"/>
        <v>1.2950229720084823</v>
      </c>
      <c r="AK65" s="155">
        <f t="shared" si="28"/>
        <v>4.8163201367746433</v>
      </c>
      <c r="AL65" s="155">
        <f t="shared" si="28"/>
        <v>3.0469525758630072</v>
      </c>
      <c r="AM65" s="155">
        <f t="shared" si="28"/>
        <v>2.0025309780888265</v>
      </c>
      <c r="AN65" s="155">
        <f t="shared" si="28"/>
        <v>1.2265205643232919</v>
      </c>
      <c r="AO65" s="155">
        <f t="shared" si="28"/>
        <v>5.6825855123999913</v>
      </c>
      <c r="AP65" s="155">
        <f t="shared" si="28"/>
        <v>4.0253379431518832</v>
      </c>
      <c r="AQ65" s="155">
        <f t="shared" si="28"/>
        <v>2.6074320253213412</v>
      </c>
      <c r="AR65" s="155">
        <f t="shared" si="28"/>
        <v>2.1136159165513604</v>
      </c>
      <c r="AS65" s="155">
        <f t="shared" si="28"/>
        <v>8.7212409400274797</v>
      </c>
      <c r="AT65" s="155">
        <f t="shared" si="28"/>
        <v>6.9166689502720891</v>
      </c>
      <c r="AU65" s="155">
        <f t="shared" si="28"/>
        <v>4.1526731792983362</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160.10216532125284</v>
      </c>
      <c r="F66" s="83">
        <f t="shared" ref="F66:BQ66" si="30">F62/F65</f>
        <v>222.0536152227283</v>
      </c>
      <c r="G66" s="83">
        <f t="shared" si="30"/>
        <v>324.64752537438994</v>
      </c>
      <c r="H66" s="83">
        <f t="shared" si="30"/>
        <v>783.41983815053186</v>
      </c>
      <c r="I66" s="83">
        <f t="shared" si="30"/>
        <v>176.60222460262781</v>
      </c>
      <c r="J66" s="83">
        <f t="shared" si="30"/>
        <v>224.88468321030047</v>
      </c>
      <c r="K66" s="83">
        <f t="shared" si="30"/>
        <v>336.59493102304504</v>
      </c>
      <c r="L66" s="83">
        <f t="shared" si="30"/>
        <v>813.13109482239747</v>
      </c>
      <c r="M66" s="83">
        <f t="shared" si="30"/>
        <v>160.82304732876619</v>
      </c>
      <c r="N66" s="83">
        <f t="shared" si="30"/>
        <v>204.27669766892532</v>
      </c>
      <c r="O66" s="83">
        <f t="shared" si="30"/>
        <v>326.56306959620315</v>
      </c>
      <c r="P66" s="83">
        <f t="shared" si="30"/>
        <v>785.94859537365278</v>
      </c>
      <c r="Q66" s="83">
        <f t="shared" si="30"/>
        <v>127.00710051086668</v>
      </c>
      <c r="R66" s="83">
        <f t="shared" si="30"/>
        <v>154.87687765893671</v>
      </c>
      <c r="S66" s="83">
        <f t="shared" si="30"/>
        <v>232.69323767745033</v>
      </c>
      <c r="T66" s="83">
        <f t="shared" si="30"/>
        <v>479.12889355144915</v>
      </c>
      <c r="U66" s="83">
        <f t="shared" si="30"/>
        <v>99.576073036668888</v>
      </c>
      <c r="V66" s="83">
        <f t="shared" si="30"/>
        <v>126.08607235243434</v>
      </c>
      <c r="W66" s="83">
        <f t="shared" si="30"/>
        <v>176.40814950143493</v>
      </c>
      <c r="X66" s="83">
        <f t="shared" si="30"/>
        <v>328.9103693022339</v>
      </c>
      <c r="Y66" s="83">
        <f t="shared" si="30"/>
        <v>71.653922449716191</v>
      </c>
      <c r="Z66" s="83">
        <f t="shared" si="30"/>
        <v>113.53540266765629</v>
      </c>
      <c r="AA66" s="83">
        <f t="shared" si="30"/>
        <v>161.85256717730783</v>
      </c>
      <c r="AB66" s="83">
        <f t="shared" si="30"/>
        <v>307.37779469813358</v>
      </c>
      <c r="AC66" s="83">
        <f t="shared" si="30"/>
        <v>68.362171810997637</v>
      </c>
      <c r="AD66" s="83">
        <f t="shared" si="30"/>
        <v>104.00681924210114</v>
      </c>
      <c r="AE66" s="83">
        <f t="shared" si="30"/>
        <v>145.33631390129148</v>
      </c>
      <c r="AF66" s="83">
        <f t="shared" si="30"/>
        <v>268.33178483534556</v>
      </c>
      <c r="AG66" s="83">
        <f t="shared" si="30"/>
        <v>61.536400920087566</v>
      </c>
      <c r="AH66" s="83">
        <f t="shared" si="30"/>
        <v>90.623285590499336</v>
      </c>
      <c r="AI66" s="83">
        <f t="shared" si="30"/>
        <v>137.25176601835562</v>
      </c>
      <c r="AJ66" s="83">
        <f t="shared" si="30"/>
        <v>281.84828214584695</v>
      </c>
      <c r="AK66" s="83">
        <f t="shared" si="30"/>
        <v>75.783998910925888</v>
      </c>
      <c r="AL66" s="83">
        <f t="shared" si="30"/>
        <v>119.79182179972683</v>
      </c>
      <c r="AM66" s="83">
        <f t="shared" si="30"/>
        <v>182.26934014691165</v>
      </c>
      <c r="AN66" s="83">
        <f t="shared" si="30"/>
        <v>297.5897923092561</v>
      </c>
      <c r="AO66" s="83">
        <f t="shared" si="30"/>
        <v>64.231325547769075</v>
      </c>
      <c r="AP66" s="83">
        <f t="shared" si="30"/>
        <v>90.675616595361191</v>
      </c>
      <c r="AQ66" s="83">
        <f t="shared" si="30"/>
        <v>139.98447378700783</v>
      </c>
      <c r="AR66" s="83">
        <f t="shared" si="30"/>
        <v>172.68984262549699</v>
      </c>
      <c r="AS66" s="83">
        <f t="shared" si="30"/>
        <v>41.85184224469436</v>
      </c>
      <c r="AT66" s="83">
        <f t="shared" si="30"/>
        <v>52.771066914463439</v>
      </c>
      <c r="AU66" s="83">
        <f t="shared" si="30"/>
        <v>87.8951904569752</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11639494423.209999</v>
      </c>
      <c r="F67" s="76">
        <f>股权价值增加表!F5</f>
        <v>7135008488.79</v>
      </c>
      <c r="G67" s="76">
        <f>股权价值增加表!G5</f>
        <v>4520040801.1400003</v>
      </c>
      <c r="H67" s="76">
        <f>股权价值增加表!H5</f>
        <v>1595885119.46</v>
      </c>
      <c r="I67" s="76">
        <f>股权价值增加表!I5</f>
        <v>8303330527.9899998</v>
      </c>
      <c r="J67" s="76">
        <f>股权价值增加表!J5</f>
        <v>4896834064.1800003</v>
      </c>
      <c r="K67" s="76">
        <f>股权价值增加表!K5</f>
        <v>3046785118.8600001</v>
      </c>
      <c r="L67" s="76">
        <f>股权价值增加表!L5</f>
        <v>1092805341.8900001</v>
      </c>
      <c r="M67" s="76">
        <f>股权价值增加表!M5</f>
        <v>6326729830.1899996</v>
      </c>
      <c r="N67" s="76">
        <f>股权价值增加表!N5</f>
        <v>3604511249.5</v>
      </c>
      <c r="O67" s="76">
        <f>股权价值增加表!O5</f>
        <v>2145251631.1700001</v>
      </c>
      <c r="P67" s="76">
        <f>股权价值增加表!P5</f>
        <v>747062083.16999996</v>
      </c>
      <c r="Q67" s="76">
        <f>股权价值增加表!Q5</f>
        <v>4535434866.8100004</v>
      </c>
      <c r="R67" s="76">
        <f>股权价值增加表!R5</f>
        <v>2893366049.1599998</v>
      </c>
      <c r="S67" s="76">
        <f>股权价值增加表!S5</f>
        <v>1889810162.6700001</v>
      </c>
      <c r="T67" s="76">
        <f>股权价值增加表!T5</f>
        <v>666508253.00999999</v>
      </c>
      <c r="U67" s="76">
        <f>股权价值增加表!U5</f>
        <v>3093424246.1199999</v>
      </c>
      <c r="V67" s="76">
        <f>股权价值增加表!V5</f>
        <v>1845258095.8399999</v>
      </c>
      <c r="W67" s="76">
        <f>股权价值增加表!W5</f>
        <v>1138758255.5</v>
      </c>
      <c r="X67" s="76">
        <f>股权价值增加表!X5</f>
        <v>455317949.39999998</v>
      </c>
      <c r="Y67" s="76">
        <f>股权价值增加表!Y5</f>
        <v>2024408961.3800001</v>
      </c>
      <c r="Z67" s="76">
        <f>股权价值增加表!Z5</f>
        <v>1266358555.21</v>
      </c>
      <c r="AA67" s="76">
        <f>股权价值增加表!AA5</f>
        <v>756705697.53999996</v>
      </c>
      <c r="AB67" s="76">
        <f>股权价值增加表!AB5</f>
        <v>298068983.63</v>
      </c>
      <c r="AC67" s="76">
        <f>股权价值增加表!AC5</f>
        <v>1273054979.3800001</v>
      </c>
      <c r="AD67" s="76">
        <f>股权价值增加表!AD5</f>
        <v>866086435.67999995</v>
      </c>
      <c r="AE67" s="76">
        <f>股权价值增加表!AE5</f>
        <v>526147755.11000001</v>
      </c>
      <c r="AF67" s="76">
        <f>股权价值增加表!AF5</f>
        <v>189841253.94</v>
      </c>
      <c r="AG67" s="76">
        <f>股权价值增加表!AG5</f>
        <v>860147255.85000002</v>
      </c>
      <c r="AH67" s="76">
        <f>股权价值增加表!AH5</f>
        <v>556344037.27999997</v>
      </c>
      <c r="AI67" s="76">
        <f>股权价值增加表!AI5</f>
        <v>329947315.69</v>
      </c>
      <c r="AJ67" s="76">
        <f>股权价值增加表!AJ5</f>
        <v>123225849.36</v>
      </c>
      <c r="AK67" s="76">
        <f>股权价值增加表!AK5</f>
        <v>511547595.32999998</v>
      </c>
      <c r="AL67" s="76">
        <f>股权价值增加表!AL5</f>
        <v>320126727.70999998</v>
      </c>
      <c r="AM67" s="76">
        <f>股权价值增加表!AM5</f>
        <v>181632798.91999999</v>
      </c>
      <c r="AN67" s="76">
        <f>股权价值增加表!AN5</f>
        <v>77656127.25</v>
      </c>
      <c r="AO67" s="76">
        <f>股权价值增加表!AO5</f>
        <v>386541826.72000003</v>
      </c>
      <c r="AP67" s="76">
        <f>股权价值增加表!AP5</f>
        <v>270913102.88999999</v>
      </c>
      <c r="AQ67" s="76">
        <f>股权价值增加表!AQ5</f>
        <v>165611545.53999999</v>
      </c>
      <c r="AR67" s="76">
        <f>股权价值增加表!AR5</f>
        <v>49485426.049999997</v>
      </c>
      <c r="AS67" s="76">
        <f>股权价值增加表!AS5</f>
        <v>238461729.68000001</v>
      </c>
      <c r="AT67" s="76">
        <f>股权价值增加表!AT5</f>
        <v>152195742.72</v>
      </c>
      <c r="AU67" s="76">
        <f>股权价值增加表!AU5</f>
        <v>83639847.640000001</v>
      </c>
      <c r="AV67" s="76">
        <f>股权价值增加表!AV5</f>
        <v>30839528.030000001</v>
      </c>
      <c r="AW67" s="76">
        <f>股权价值增加表!AW5</f>
        <v>294800132.11000001</v>
      </c>
      <c r="AX67" s="76">
        <f>股权价值增加表!AX5</f>
        <v>193968349.19</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2806142598.6500001</v>
      </c>
      <c r="F68" s="76">
        <f>资产资本表!F26</f>
        <v>3479311400.0100002</v>
      </c>
      <c r="G68" s="76">
        <f>资产资本表!G26</f>
        <v>2745628101.04</v>
      </c>
      <c r="H68" s="76">
        <f>资产资本表!H26</f>
        <v>2586011013.75</v>
      </c>
      <c r="I68" s="76">
        <f>资产资本表!I26</f>
        <v>2204641465.3000002</v>
      </c>
      <c r="J68" s="76">
        <f>资产资本表!J26</f>
        <v>2540280856.2399998</v>
      </c>
      <c r="K68" s="76">
        <f>资产资本表!K26</f>
        <v>1852267884.25</v>
      </c>
      <c r="L68" s="76">
        <f>资产资本表!L26</f>
        <v>1846318582.22</v>
      </c>
      <c r="M68" s="76">
        <f>资产资本表!M26</f>
        <v>1517545001.4000001</v>
      </c>
      <c r="N68" s="76">
        <f>资产资本表!N26</f>
        <v>1870082084.49</v>
      </c>
      <c r="O68" s="76">
        <f>资产资本表!O26</f>
        <v>1783036388.74</v>
      </c>
      <c r="P68" s="76">
        <f>资产资本表!P26</f>
        <v>1486550666.3299999</v>
      </c>
      <c r="Q68" s="76">
        <f>资产资本表!Q26</f>
        <v>1261260358.8900001</v>
      </c>
      <c r="R68" s="76">
        <f>资产资本表!R26</f>
        <v>1483368194.6300001</v>
      </c>
      <c r="S68" s="76">
        <f>资产资本表!S26</f>
        <v>1407663741.6800001</v>
      </c>
      <c r="T68" s="76">
        <f>资产资本表!T26</f>
        <v>1483463554.21</v>
      </c>
      <c r="U68" s="76">
        <f>资产资本表!U26</f>
        <v>990448670.03999996</v>
      </c>
      <c r="V68" s="76">
        <f>资产资本表!V26</f>
        <v>901343125.69000006</v>
      </c>
      <c r="W68" s="76">
        <f>资产资本表!W26</f>
        <v>779311698.86000001</v>
      </c>
      <c r="X68" s="76">
        <f>资产资本表!X26</f>
        <v>831236335.62</v>
      </c>
      <c r="Y68" s="76">
        <f>资产资本表!Y26</f>
        <v>711215689.99000001</v>
      </c>
      <c r="Z68" s="76">
        <f>资产资本表!Z26</f>
        <v>749690085.20000005</v>
      </c>
      <c r="AA68" s="76">
        <f>资产资本表!AA26</f>
        <v>791329466.08000004</v>
      </c>
      <c r="AB68" s="76">
        <f>资产资本表!AB26</f>
        <v>762514424.46000004</v>
      </c>
      <c r="AC68" s="76">
        <f>资产资本表!AC26</f>
        <v>605103003.19000006</v>
      </c>
      <c r="AD68" s="76">
        <f>资产资本表!AD26</f>
        <v>513406838.51999998</v>
      </c>
      <c r="AE68" s="76">
        <f>资产资本表!AE26</f>
        <v>491924701.91000003</v>
      </c>
      <c r="AF68" s="76">
        <f>资产资本表!AF26</f>
        <v>432366326.30000001</v>
      </c>
      <c r="AG68" s="76">
        <f>资产资本表!AG26</f>
        <v>373597658.45999998</v>
      </c>
      <c r="AH68" s="76">
        <f>资产资本表!AH26</f>
        <v>417396766.54000002</v>
      </c>
      <c r="AI68" s="76">
        <f>资产资本表!AI26</f>
        <v>349246508.92000002</v>
      </c>
      <c r="AJ68" s="76">
        <f>资产资本表!AJ26</f>
        <v>285806121.82999998</v>
      </c>
      <c r="AK68" s="76">
        <f>资产资本表!AK26</f>
        <v>233104179.59</v>
      </c>
      <c r="AL68" s="76">
        <f>资产资本表!AL26</f>
        <v>187541170.96000001</v>
      </c>
      <c r="AM68" s="76">
        <f>资产资本表!AM26</f>
        <v>156853661.63</v>
      </c>
      <c r="AN68" s="76">
        <f>资产资本表!AN26</f>
        <v>155726839.31</v>
      </c>
      <c r="AO68" s="76">
        <f>资产资本表!AO26</f>
        <v>139642261.81999999</v>
      </c>
      <c r="AP68" s="76">
        <f>资产资本表!AP26</f>
        <v>165087681.63</v>
      </c>
      <c r="AQ68" s="76">
        <f>资产资本表!AQ26</f>
        <v>141179224.08000001</v>
      </c>
      <c r="AR68" s="76">
        <f>资产资本表!AR26</f>
        <v>137301847.91999999</v>
      </c>
      <c r="AS68" s="76">
        <f>资产资本表!AS26</f>
        <v>93540424.439999998</v>
      </c>
      <c r="AT68" s="76">
        <f>资产资本表!AT26</f>
        <v>68346451.510000005</v>
      </c>
      <c r="AU68" s="76">
        <f>资产资本表!AU26</f>
        <v>85661148.629999995</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4.6457776965286293</v>
      </c>
      <c r="F69" s="155">
        <f t="shared" ref="F69:BQ69" si="32">F67/(F68+J68)*2</f>
        <v>2.3705952779050405</v>
      </c>
      <c r="G69" s="155">
        <f t="shared" si="32"/>
        <v>1.966134430009256</v>
      </c>
      <c r="H69" s="155">
        <f t="shared" si="32"/>
        <v>0.72011121235705211</v>
      </c>
      <c r="I69" s="155">
        <f t="shared" si="32"/>
        <v>4.461533887286163</v>
      </c>
      <c r="J69" s="155">
        <f t="shared" si="32"/>
        <v>2.2206036691254623</v>
      </c>
      <c r="K69" s="155">
        <f t="shared" si="32"/>
        <v>1.6762201400842034</v>
      </c>
      <c r="L69" s="155">
        <f t="shared" si="32"/>
        <v>0.65577450562480755</v>
      </c>
      <c r="M69" s="155">
        <f t="shared" si="32"/>
        <v>4.5535609802694017</v>
      </c>
      <c r="N69" s="155">
        <f t="shared" si="32"/>
        <v>2.1497329314486704</v>
      </c>
      <c r="O69" s="155">
        <f t="shared" si="32"/>
        <v>1.3446902206304263</v>
      </c>
      <c r="P69" s="155">
        <f t="shared" si="32"/>
        <v>0.5030697011505697</v>
      </c>
      <c r="Q69" s="155">
        <f t="shared" si="32"/>
        <v>4.0284377852898814</v>
      </c>
      <c r="R69" s="155">
        <f t="shared" si="32"/>
        <v>2.4265964810967091</v>
      </c>
      <c r="S69" s="155">
        <f t="shared" si="32"/>
        <v>1.7282408641986167</v>
      </c>
      <c r="T69" s="155">
        <f t="shared" si="32"/>
        <v>0.5758917222387312</v>
      </c>
      <c r="U69" s="155">
        <f t="shared" si="32"/>
        <v>3.6357631020320169</v>
      </c>
      <c r="V69" s="155">
        <f t="shared" si="32"/>
        <v>2.2352767753778879</v>
      </c>
      <c r="W69" s="155">
        <f t="shared" si="32"/>
        <v>1.4500552779584146</v>
      </c>
      <c r="X69" s="155">
        <f t="shared" si="32"/>
        <v>0.57137911498425864</v>
      </c>
      <c r="Y69" s="155">
        <f t="shared" si="32"/>
        <v>3.0758644876331211</v>
      </c>
      <c r="Z69" s="155">
        <f t="shared" si="32"/>
        <v>2.0051644991429383</v>
      </c>
      <c r="AA69" s="155">
        <f t="shared" si="32"/>
        <v>1.1793543577189405</v>
      </c>
      <c r="AB69" s="155">
        <f t="shared" si="32"/>
        <v>0.49891000995775386</v>
      </c>
      <c r="AC69" s="155">
        <f t="shared" si="32"/>
        <v>2.6015206268150375</v>
      </c>
      <c r="AD69" s="155">
        <f t="shared" si="32"/>
        <v>1.8609434492342167</v>
      </c>
      <c r="AE69" s="155">
        <f t="shared" si="32"/>
        <v>1.2509884987405591</v>
      </c>
      <c r="AF69" s="155">
        <f t="shared" si="32"/>
        <v>0.52867874403791071</v>
      </c>
      <c r="AG69" s="155">
        <f t="shared" si="32"/>
        <v>2.8354859072608014</v>
      </c>
      <c r="AH69" s="155">
        <f t="shared" si="32"/>
        <v>1.8393425268687169</v>
      </c>
      <c r="AI69" s="155">
        <f t="shared" si="32"/>
        <v>1.3038814641434822</v>
      </c>
      <c r="AJ69" s="155">
        <f t="shared" si="32"/>
        <v>0.55817282153450787</v>
      </c>
      <c r="AK69" s="155">
        <f t="shared" si="32"/>
        <v>2.7447483785221527</v>
      </c>
      <c r="AL69" s="155">
        <f t="shared" si="32"/>
        <v>1.8156581650010919</v>
      </c>
      <c r="AM69" s="155">
        <f t="shared" si="32"/>
        <v>1.2188775643821885</v>
      </c>
      <c r="AN69" s="155">
        <f t="shared" si="32"/>
        <v>0.53002405999278313</v>
      </c>
      <c r="AO69" s="155">
        <f t="shared" si="32"/>
        <v>3.3153561520344073</v>
      </c>
      <c r="AP69" s="155">
        <f t="shared" si="32"/>
        <v>2.3211095930647154</v>
      </c>
      <c r="AQ69" s="155">
        <f t="shared" si="32"/>
        <v>1.4601593496032832</v>
      </c>
      <c r="AR69" s="155">
        <f t="shared" si="32"/>
        <v>0.72082680312989045</v>
      </c>
      <c r="AS69" s="155">
        <f t="shared" si="32"/>
        <v>5.0985813055179676</v>
      </c>
      <c r="AT69" s="155">
        <f t="shared" si="32"/>
        <v>4.453654560185373</v>
      </c>
      <c r="AU69" s="155">
        <f t="shared" si="32"/>
        <v>1.9528070537851252</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78.565963298831875</v>
      </c>
      <c r="F70" s="83">
        <f t="shared" ref="F70:BQ70" si="34">F62/F69</f>
        <v>153.96976590730426</v>
      </c>
      <c r="G70" s="83">
        <f t="shared" si="34"/>
        <v>185.64346080765276</v>
      </c>
      <c r="H70" s="83">
        <f t="shared" si="34"/>
        <v>506.86615308389668</v>
      </c>
      <c r="I70" s="83">
        <f t="shared" si="34"/>
        <v>81.810428704828283</v>
      </c>
      <c r="J70" s="83">
        <f t="shared" si="34"/>
        <v>164.36971850260318</v>
      </c>
      <c r="K70" s="83">
        <f t="shared" si="34"/>
        <v>217.75182821849674</v>
      </c>
      <c r="L70" s="83">
        <f t="shared" si="34"/>
        <v>556.59376335808599</v>
      </c>
      <c r="M70" s="83">
        <f t="shared" si="34"/>
        <v>80.157046667771993</v>
      </c>
      <c r="N70" s="83">
        <f t="shared" si="34"/>
        <v>169.78853264067197</v>
      </c>
      <c r="O70" s="83">
        <f t="shared" si="34"/>
        <v>271.43798207209267</v>
      </c>
      <c r="P70" s="83">
        <f t="shared" si="34"/>
        <v>725.54558377340004</v>
      </c>
      <c r="Q70" s="83">
        <f t="shared" si="34"/>
        <v>90.605842625352864</v>
      </c>
      <c r="R70" s="83">
        <f t="shared" si="34"/>
        <v>150.41643835032554</v>
      </c>
      <c r="S70" s="83">
        <f t="shared" si="34"/>
        <v>211.19741325480697</v>
      </c>
      <c r="T70" s="83">
        <f t="shared" si="34"/>
        <v>633.79969863274448</v>
      </c>
      <c r="U70" s="83">
        <f t="shared" si="34"/>
        <v>100.39157936225345</v>
      </c>
      <c r="V70" s="83">
        <f t="shared" si="34"/>
        <v>163.29074055641024</v>
      </c>
      <c r="W70" s="83">
        <f t="shared" si="34"/>
        <v>251.71454188553193</v>
      </c>
      <c r="X70" s="83">
        <f t="shared" si="34"/>
        <v>638.80528781675139</v>
      </c>
      <c r="Y70" s="83">
        <f t="shared" si="34"/>
        <v>118.66582597104843</v>
      </c>
      <c r="Z70" s="83">
        <f t="shared" si="34"/>
        <v>182.02995323127399</v>
      </c>
      <c r="AA70" s="83">
        <f t="shared" si="34"/>
        <v>309.49137348842993</v>
      </c>
      <c r="AB70" s="83">
        <f t="shared" si="34"/>
        <v>731.5948622295773</v>
      </c>
      <c r="AC70" s="83">
        <f t="shared" si="34"/>
        <v>140.30255852587968</v>
      </c>
      <c r="AD70" s="83">
        <f t="shared" si="34"/>
        <v>196.13707238132275</v>
      </c>
      <c r="AE70" s="83">
        <f t="shared" si="34"/>
        <v>291.76926915592441</v>
      </c>
      <c r="AF70" s="83">
        <f t="shared" si="34"/>
        <v>690.40036906387604</v>
      </c>
      <c r="AG70" s="83">
        <f t="shared" si="34"/>
        <v>128.72573235696501</v>
      </c>
      <c r="AH70" s="83">
        <f t="shared" si="34"/>
        <v>198.44047243412203</v>
      </c>
      <c r="AI70" s="83">
        <f t="shared" si="34"/>
        <v>279.9334218925859</v>
      </c>
      <c r="AJ70" s="83">
        <f t="shared" si="34"/>
        <v>653.91933451104921</v>
      </c>
      <c r="AK70" s="83">
        <f t="shared" si="34"/>
        <v>132.98122438331703</v>
      </c>
      <c r="AL70" s="83">
        <f t="shared" si="34"/>
        <v>201.02903015325052</v>
      </c>
      <c r="AM70" s="83">
        <f t="shared" si="34"/>
        <v>299.45583598054594</v>
      </c>
      <c r="AN70" s="83">
        <f t="shared" si="34"/>
        <v>688.64798327262702</v>
      </c>
      <c r="AO70" s="83">
        <f t="shared" si="34"/>
        <v>110.0937526051385</v>
      </c>
      <c r="AP70" s="83">
        <f t="shared" si="34"/>
        <v>157.25237666096851</v>
      </c>
      <c r="AQ70" s="83">
        <f t="shared" si="34"/>
        <v>249.97271708678124</v>
      </c>
      <c r="AR70" s="83">
        <f t="shared" si="34"/>
        <v>506.36296876744785</v>
      </c>
      <c r="AS70" s="83">
        <f t="shared" si="34"/>
        <v>71.588541621367639</v>
      </c>
      <c r="AT70" s="83">
        <f t="shared" si="34"/>
        <v>81.955166272439357</v>
      </c>
      <c r="AU70" s="83">
        <f t="shared" si="34"/>
        <v>186.91042686092342</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5982250217.9000006</v>
      </c>
      <c r="F71" s="76">
        <f>资产资本表!F35+资产资本表!F36-资产资本表!F24</f>
        <v>4704850643.7799997</v>
      </c>
      <c r="G71" s="76">
        <f>资产资本表!G35+资产资本表!G36-资产资本表!G24</f>
        <v>3646147511.6700006</v>
      </c>
      <c r="H71" s="76">
        <f>资产资本表!H35+资产资本表!H36-资产资本表!H24</f>
        <v>2548137918.0400004</v>
      </c>
      <c r="I71" s="76">
        <f>资产资本表!I35+资产资本表!I36-资产资本表!I24</f>
        <v>4021183810.1300001</v>
      </c>
      <c r="J71" s="76">
        <f>资产资本表!J35+资产资本表!J36-资产资本表!J24</f>
        <v>2959952477.8599997</v>
      </c>
      <c r="K71" s="76">
        <f>资产资本表!K35+资产资本表!K36-资产资本表!K24</f>
        <v>2544284394.71</v>
      </c>
      <c r="L71" s="76">
        <f>资产资本表!L35+资产资本表!L36-资产资本表!L24</f>
        <v>2148379734.6300001</v>
      </c>
      <c r="M71" s="76">
        <f>资产资本表!M35+资产资本表!M36-资产资本表!M24</f>
        <v>2930970986.4899998</v>
      </c>
      <c r="N71" s="76">
        <f>资产资本表!N35+资产资本表!N36-资产资本表!N24</f>
        <v>1660264597.7300003</v>
      </c>
      <c r="O71" s="76">
        <f>资产资本表!O35+资产资本表!O36-资产资本表!O24</f>
        <v>1742149923.0699999</v>
      </c>
      <c r="P71" s="76">
        <f>资产资本表!P35+资产资本表!P36-资产资本表!P24</f>
        <v>1242197092.26</v>
      </c>
      <c r="Q71" s="76">
        <f>资产资本表!Q35+资产资本表!Q36-资产资本表!Q24</f>
        <v>1554776672.8700001</v>
      </c>
      <c r="R71" s="76">
        <f>资产资本表!R35+资产资本表!R36-资产资本表!R24</f>
        <v>833132426.57999992</v>
      </c>
      <c r="S71" s="76">
        <f>资产资本表!S35+资产资本表!S36-资产资本表!S24</f>
        <v>1086588204.8199999</v>
      </c>
      <c r="T71" s="76">
        <f>资产资本表!T35+资产资本表!T36-资产资本表!T24</f>
        <v>1174674500.1300001</v>
      </c>
      <c r="U71" s="76">
        <f>资产资本表!U35+资产资本表!U36-资产资本表!U24</f>
        <v>1162873411.4000001</v>
      </c>
      <c r="V71" s="76">
        <f>资产资本表!V35+资产资本表!V36-资产资本表!V24</f>
        <v>721503677.88999999</v>
      </c>
      <c r="W71" s="76">
        <f>资产资本表!W35+资产资本表!W36-资产资本表!W24</f>
        <v>591049396.85000002</v>
      </c>
      <c r="X71" s="76">
        <f>资产资本表!X35+资产资本表!X36-资产资本表!X24</f>
        <v>530428837.88999999</v>
      </c>
      <c r="Y71" s="76">
        <f>资产资本表!Y35+资产资本表!Y36-资产资本表!Y24</f>
        <v>575340243.04999995</v>
      </c>
      <c r="Z71" s="76">
        <f>资产资本表!Z35+资产资本表!Z36-资产资本表!Z24</f>
        <v>412925697.43000001</v>
      </c>
      <c r="AA71" s="76">
        <f>资产资本表!AA35+资产资本表!AA36-资产资本表!AA24</f>
        <v>444395195.05000001</v>
      </c>
      <c r="AB71" s="76">
        <f>资产资本表!AB35+资产资本表!AB36-资产资本表!AB24</f>
        <v>335633825.97999996</v>
      </c>
      <c r="AC71" s="76">
        <f>资产资本表!AC35+资产资本表!AC36-资产资本表!AC24</f>
        <v>412928554.31</v>
      </c>
      <c r="AD71" s="76">
        <f>资产资本表!AD35+资产资本表!AD36-资产资本表!AD24</f>
        <v>279268575.38999999</v>
      </c>
      <c r="AE71" s="76">
        <f>资产资本表!AE35+资产资本表!AE36-资产资本表!AE24</f>
        <v>320734043.92000002</v>
      </c>
      <c r="AF71" s="76">
        <f>资产资本表!AF35+资产资本表!AF36-资产资本表!AF24</f>
        <v>198276625.27000001</v>
      </c>
      <c r="AG71" s="76">
        <f>资产资本表!AG35+资产资本表!AG36-资产资本表!AG24</f>
        <v>216838267.51999998</v>
      </c>
      <c r="AH71" s="76">
        <f>资产资本表!AH35+资产资本表!AH36-资产资本表!AH24</f>
        <v>213862556.44</v>
      </c>
      <c r="AI71" s="76">
        <f>资产资本表!AI35+资产资本表!AI36-资产资本表!AI24</f>
        <v>202566179.75</v>
      </c>
      <c r="AJ71" s="76">
        <f>资产资本表!AJ35+资产资本表!AJ36-资产资本表!AJ24</f>
        <v>120125845.60999998</v>
      </c>
      <c r="AK71" s="76">
        <f>资产资本表!AK35+资产资本表!AK36-资产资本表!AK24</f>
        <v>156735496.71000001</v>
      </c>
      <c r="AL71" s="76">
        <f>资产资本表!AL35+资产资本表!AL36-资产资本表!AL24</f>
        <v>128430682.02000001</v>
      </c>
      <c r="AM71" s="76">
        <f>资产资本表!AM35+资产资本表!AM36-资产资本表!AM24</f>
        <v>87890091.640000001</v>
      </c>
      <c r="AN71" s="76">
        <f>资产资本表!AN35+资产资本表!AN36-资产资本表!AN24</f>
        <v>77677856.320000008</v>
      </c>
      <c r="AO71" s="76">
        <f>资产资本表!AO35+资产资本表!AO36-资产资本表!AO24</f>
        <v>74248972.699999988</v>
      </c>
      <c r="AP71" s="76">
        <f>资产资本表!AP35+资产资本表!AP36-资产资本表!AP24</f>
        <v>85443574.879999995</v>
      </c>
      <c r="AQ71" s="76">
        <f>资产资本表!AQ35+资产资本表!AQ36-资产资本表!AQ24</f>
        <v>85755004.519999996</v>
      </c>
      <c r="AR71" s="76">
        <f>资产资本表!AR35+资产资本表!AR36-资产资本表!AR24</f>
        <v>83353726.939999998</v>
      </c>
      <c r="AS71" s="76">
        <f>资产资本表!AS35+资产资本表!AS36-资产资本表!AS24</f>
        <v>79423142.549999997</v>
      </c>
      <c r="AT71" s="76">
        <f>资产资本表!AT35+资产资本表!AT36-资产资本表!AT24</f>
        <v>73606714.49000001</v>
      </c>
      <c r="AU71" s="76">
        <f>资产资本表!AU35+资产资本表!AU36-资产资本表!AU24</f>
        <v>96768451.540000007</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2.3270997520642802</v>
      </c>
      <c r="F72" s="155">
        <f t="shared" ref="F72:BQ72" si="36">F67/(F71+J71)*2</f>
        <v>1.8617591021081199</v>
      </c>
      <c r="G72" s="155">
        <f t="shared" si="36"/>
        <v>1.4603313208183559</v>
      </c>
      <c r="H72" s="155">
        <f t="shared" si="36"/>
        <v>0.67960358609648974</v>
      </c>
      <c r="I72" s="155">
        <f t="shared" si="36"/>
        <v>2.3887070328258266</v>
      </c>
      <c r="J72" s="155">
        <f t="shared" si="36"/>
        <v>2.1197419879041837</v>
      </c>
      <c r="K72" s="155">
        <f t="shared" si="36"/>
        <v>1.4215942170031757</v>
      </c>
      <c r="L72" s="155">
        <f t="shared" si="36"/>
        <v>0.64461323113116042</v>
      </c>
      <c r="M72" s="155">
        <f t="shared" si="36"/>
        <v>2.8208139693228578</v>
      </c>
      <c r="N72" s="155">
        <f t="shared" si="36"/>
        <v>2.8912453286475537</v>
      </c>
      <c r="O72" s="155">
        <f t="shared" si="36"/>
        <v>1.5167551990895509</v>
      </c>
      <c r="P72" s="155">
        <f t="shared" si="36"/>
        <v>0.61820585381720161</v>
      </c>
      <c r="Q72" s="155">
        <f t="shared" si="36"/>
        <v>3.3377622035018413</v>
      </c>
      <c r="R72" s="155">
        <f t="shared" si="36"/>
        <v>3.7222421901058249</v>
      </c>
      <c r="S72" s="155">
        <f t="shared" si="36"/>
        <v>2.2529420666165247</v>
      </c>
      <c r="T72" s="155">
        <f t="shared" si="36"/>
        <v>0.78178047998423683</v>
      </c>
      <c r="U72" s="155">
        <f t="shared" si="36"/>
        <v>3.5593141708449081</v>
      </c>
      <c r="V72" s="155">
        <f t="shared" si="36"/>
        <v>3.2531916679599191</v>
      </c>
      <c r="W72" s="155">
        <f t="shared" si="36"/>
        <v>2.1995542096761032</v>
      </c>
      <c r="X72" s="155">
        <f t="shared" si="36"/>
        <v>1.0514665240628485</v>
      </c>
      <c r="Y72" s="155">
        <f t="shared" si="36"/>
        <v>4.0968792433554126</v>
      </c>
      <c r="Z72" s="155">
        <f t="shared" si="36"/>
        <v>3.6589686015483904</v>
      </c>
      <c r="AA72" s="155">
        <f t="shared" si="36"/>
        <v>1.9779813892844047</v>
      </c>
      <c r="AB72" s="155">
        <f t="shared" si="36"/>
        <v>1.1165504737064276</v>
      </c>
      <c r="AC72" s="155">
        <f t="shared" si="36"/>
        <v>4.0429407687140753</v>
      </c>
      <c r="AD72" s="155">
        <f t="shared" si="36"/>
        <v>3.5126009281384047</v>
      </c>
      <c r="AE72" s="155">
        <f t="shared" si="36"/>
        <v>2.0108829742897099</v>
      </c>
      <c r="AF72" s="155">
        <f t="shared" si="36"/>
        <v>1.1924609342089412</v>
      </c>
      <c r="AG72" s="155">
        <f t="shared" si="36"/>
        <v>4.6049660774380765</v>
      </c>
      <c r="AH72" s="155">
        <f t="shared" si="36"/>
        <v>3.250686690645884</v>
      </c>
      <c r="AI72" s="155">
        <f t="shared" si="36"/>
        <v>2.2719241978216735</v>
      </c>
      <c r="AJ72" s="155">
        <f t="shared" si="36"/>
        <v>1.2459407802550422</v>
      </c>
      <c r="AK72" s="155">
        <f t="shared" si="36"/>
        <v>4.4292812987525778</v>
      </c>
      <c r="AL72" s="155">
        <f t="shared" si="36"/>
        <v>2.9935975684972673</v>
      </c>
      <c r="AM72" s="155">
        <f t="shared" si="36"/>
        <v>2.0920003263742037</v>
      </c>
      <c r="AN72" s="155">
        <f t="shared" si="36"/>
        <v>0.96448318619108642</v>
      </c>
      <c r="AO72" s="155">
        <f t="shared" si="36"/>
        <v>5.0307347704709882</v>
      </c>
      <c r="AP72" s="155">
        <f t="shared" si="36"/>
        <v>3.4066345174609847</v>
      </c>
      <c r="AQ72" s="155">
        <f t="shared" si="36"/>
        <v>1.8146878118016718</v>
      </c>
      <c r="AR72" s="155">
        <f t="shared" si="36"/>
        <v>1.1873596506517528</v>
      </c>
      <c r="AS72" s="155">
        <f t="shared" si="36"/>
        <v>6.0048424684248412</v>
      </c>
      <c r="AT72" s="155">
        <f t="shared" si="36"/>
        <v>4.1353766099878531</v>
      </c>
      <c r="AU72" s="155">
        <f t="shared" si="36"/>
        <v>1.7286594196544895</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156.84759524219905</v>
      </c>
      <c r="F73" s="83">
        <f t="shared" ref="F73:BQ73" si="38">F62/F72</f>
        <v>196.05114302204871</v>
      </c>
      <c r="G73" s="83">
        <f t="shared" si="38"/>
        <v>249.94327985477804</v>
      </c>
      <c r="H73" s="83">
        <f t="shared" si="38"/>
        <v>537.07780162916549</v>
      </c>
      <c r="I73" s="83">
        <f t="shared" si="38"/>
        <v>152.80232987308079</v>
      </c>
      <c r="J73" s="83">
        <f t="shared" si="38"/>
        <v>172.19076759472989</v>
      </c>
      <c r="K73" s="83">
        <f t="shared" si="38"/>
        <v>256.75399887982564</v>
      </c>
      <c r="L73" s="83">
        <f t="shared" si="38"/>
        <v>566.23100856850533</v>
      </c>
      <c r="M73" s="83">
        <f t="shared" si="38"/>
        <v>129.3952752536953</v>
      </c>
      <c r="N73" s="83">
        <f t="shared" si="38"/>
        <v>126.24317846135081</v>
      </c>
      <c r="O73" s="83">
        <f t="shared" si="38"/>
        <v>240.64529346534977</v>
      </c>
      <c r="P73" s="83">
        <f t="shared" si="38"/>
        <v>590.41822031650884</v>
      </c>
      <c r="Q73" s="83">
        <f t="shared" si="38"/>
        <v>109.35470466321932</v>
      </c>
      <c r="R73" s="83">
        <f t="shared" si="38"/>
        <v>98.059175453498071</v>
      </c>
      <c r="S73" s="83">
        <f t="shared" si="38"/>
        <v>162.01037985329029</v>
      </c>
      <c r="T73" s="83">
        <f t="shared" si="38"/>
        <v>466.88297974305976</v>
      </c>
      <c r="U73" s="83">
        <f t="shared" si="38"/>
        <v>102.5478455905331</v>
      </c>
      <c r="V73" s="83">
        <f t="shared" si="38"/>
        <v>112.19750855592594</v>
      </c>
      <c r="W73" s="83">
        <f t="shared" si="38"/>
        <v>165.94271620782118</v>
      </c>
      <c r="X73" s="83">
        <f t="shared" si="38"/>
        <v>347.13420888536359</v>
      </c>
      <c r="Y73" s="83">
        <f t="shared" si="38"/>
        <v>89.092203679662006</v>
      </c>
      <c r="Z73" s="83">
        <f t="shared" si="38"/>
        <v>99.754887168351345</v>
      </c>
      <c r="AA73" s="83">
        <f t="shared" si="38"/>
        <v>184.53156433997083</v>
      </c>
      <c r="AB73" s="83">
        <f t="shared" si="38"/>
        <v>326.89968666474164</v>
      </c>
      <c r="AC73" s="83">
        <f t="shared" si="38"/>
        <v>90.280818068006056</v>
      </c>
      <c r="AD73" s="83">
        <f t="shared" si="38"/>
        <v>103.91160495235687</v>
      </c>
      <c r="AE73" s="83">
        <f t="shared" si="38"/>
        <v>181.51230313585324</v>
      </c>
      <c r="AF73" s="83">
        <f t="shared" si="38"/>
        <v>306.08969193790398</v>
      </c>
      <c r="AG73" s="83">
        <f t="shared" si="38"/>
        <v>79.262255978020974</v>
      </c>
      <c r="AH73" s="83">
        <f t="shared" si="38"/>
        <v>112.28396789217406</v>
      </c>
      <c r="AI73" s="83">
        <f t="shared" si="38"/>
        <v>160.65676854446238</v>
      </c>
      <c r="AJ73" s="83">
        <f t="shared" si="38"/>
        <v>292.95132303582284</v>
      </c>
      <c r="AK73" s="83">
        <f t="shared" si="38"/>
        <v>82.40614568842021</v>
      </c>
      <c r="AL73" s="83">
        <f t="shared" si="38"/>
        <v>121.92687615764717</v>
      </c>
      <c r="AM73" s="83">
        <f t="shared" si="38"/>
        <v>174.47416016067635</v>
      </c>
      <c r="AN73" s="83">
        <f t="shared" si="38"/>
        <v>378.44101921719249</v>
      </c>
      <c r="AO73" s="83">
        <f t="shared" si="38"/>
        <v>72.554013807773828</v>
      </c>
      <c r="AP73" s="83">
        <f t="shared" si="38"/>
        <v>107.14386827502703</v>
      </c>
      <c r="AQ73" s="83">
        <f t="shared" si="38"/>
        <v>201.13652476544601</v>
      </c>
      <c r="AR73" s="83">
        <f t="shared" si="38"/>
        <v>307.40475288986624</v>
      </c>
      <c r="AS73" s="83">
        <f t="shared" si="38"/>
        <v>60.784275677384237</v>
      </c>
      <c r="AT73" s="83">
        <f t="shared" si="38"/>
        <v>88.262819671234766</v>
      </c>
      <c r="AU73" s="83">
        <f t="shared" si="38"/>
        <v>211.14627661760767</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238.6681286200847</v>
      </c>
      <c r="F74" s="256">
        <f t="shared" ref="F74:BQ74" si="40">F66+F70</f>
        <v>376.02338113003259</v>
      </c>
      <c r="G74" s="256">
        <f t="shared" si="40"/>
        <v>510.29098618204273</v>
      </c>
      <c r="H74" s="256">
        <f t="shared" si="40"/>
        <v>1290.2859912344286</v>
      </c>
      <c r="I74" s="256">
        <f t="shared" si="40"/>
        <v>258.41265330745608</v>
      </c>
      <c r="J74" s="256">
        <f t="shared" si="40"/>
        <v>389.25440171290364</v>
      </c>
      <c r="K74" s="256">
        <f t="shared" si="40"/>
        <v>554.3467592415418</v>
      </c>
      <c r="L74" s="256">
        <f t="shared" si="40"/>
        <v>1369.7248581804834</v>
      </c>
      <c r="M74" s="256">
        <f t="shared" si="40"/>
        <v>240.98009399653819</v>
      </c>
      <c r="N74" s="256">
        <f t="shared" si="40"/>
        <v>374.06523030959727</v>
      </c>
      <c r="O74" s="256">
        <f t="shared" si="40"/>
        <v>598.00105166829576</v>
      </c>
      <c r="P74" s="256">
        <f t="shared" si="40"/>
        <v>1511.4941791470528</v>
      </c>
      <c r="Q74" s="256">
        <f t="shared" si="40"/>
        <v>217.61294313621954</v>
      </c>
      <c r="R74" s="256">
        <f t="shared" si="40"/>
        <v>305.29331600926224</v>
      </c>
      <c r="S74" s="256">
        <f t="shared" si="40"/>
        <v>443.8906509322573</v>
      </c>
      <c r="T74" s="256">
        <f t="shared" si="40"/>
        <v>1112.9285921841936</v>
      </c>
      <c r="U74" s="256">
        <f t="shared" si="40"/>
        <v>199.96765239892233</v>
      </c>
      <c r="V74" s="256">
        <f t="shared" si="40"/>
        <v>289.37681290884461</v>
      </c>
      <c r="W74" s="256">
        <f t="shared" si="40"/>
        <v>428.12269138696684</v>
      </c>
      <c r="X74" s="256">
        <f t="shared" si="40"/>
        <v>967.71565711898529</v>
      </c>
      <c r="Y74" s="256">
        <f t="shared" si="40"/>
        <v>190.31974842076463</v>
      </c>
      <c r="Z74" s="256">
        <f t="shared" si="40"/>
        <v>295.56535589893031</v>
      </c>
      <c r="AA74" s="256">
        <f t="shared" si="40"/>
        <v>471.34394066573776</v>
      </c>
      <c r="AB74" s="256">
        <f t="shared" si="40"/>
        <v>1038.9726569277109</v>
      </c>
      <c r="AC74" s="256">
        <f t="shared" si="40"/>
        <v>208.66473033687731</v>
      </c>
      <c r="AD74" s="256">
        <f t="shared" si="40"/>
        <v>300.14389162342388</v>
      </c>
      <c r="AE74" s="256">
        <f t="shared" si="40"/>
        <v>437.10558305721588</v>
      </c>
      <c r="AF74" s="256">
        <f t="shared" si="40"/>
        <v>958.73215389922166</v>
      </c>
      <c r="AG74" s="256">
        <f t="shared" si="40"/>
        <v>190.26213327705258</v>
      </c>
      <c r="AH74" s="256">
        <f t="shared" si="40"/>
        <v>289.06375802462139</v>
      </c>
      <c r="AI74" s="256">
        <f t="shared" si="40"/>
        <v>417.18518791094152</v>
      </c>
      <c r="AJ74" s="256">
        <f t="shared" si="40"/>
        <v>935.76761665689617</v>
      </c>
      <c r="AK74" s="256">
        <f t="shared" si="40"/>
        <v>208.7652232942429</v>
      </c>
      <c r="AL74" s="256">
        <f t="shared" si="40"/>
        <v>320.82085195297736</v>
      </c>
      <c r="AM74" s="256">
        <f t="shared" si="40"/>
        <v>481.72517612745759</v>
      </c>
      <c r="AN74" s="256">
        <f t="shared" si="40"/>
        <v>986.23777558188317</v>
      </c>
      <c r="AO74" s="256">
        <f t="shared" si="40"/>
        <v>174.32507815290757</v>
      </c>
      <c r="AP74" s="256">
        <f t="shared" si="40"/>
        <v>247.9279932563297</v>
      </c>
      <c r="AQ74" s="256">
        <f t="shared" si="40"/>
        <v>389.95719087378905</v>
      </c>
      <c r="AR74" s="256">
        <f t="shared" si="40"/>
        <v>679.05281139294482</v>
      </c>
      <c r="AS74" s="256">
        <f t="shared" si="40"/>
        <v>113.44038386606201</v>
      </c>
      <c r="AT74" s="256">
        <f t="shared" si="40"/>
        <v>134.72623318690279</v>
      </c>
      <c r="AU74" s="256">
        <f t="shared" si="40"/>
        <v>274.80561731789862</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81.820533377885653</v>
      </c>
      <c r="F75" s="256">
        <f t="shared" ref="F75:BQ75" si="42">F74-F73</f>
        <v>179.97223810798388</v>
      </c>
      <c r="G75" s="256">
        <f t="shared" si="42"/>
        <v>260.34770632726469</v>
      </c>
      <c r="H75" s="256">
        <f t="shared" si="42"/>
        <v>753.2081896052631</v>
      </c>
      <c r="I75" s="256">
        <f t="shared" si="42"/>
        <v>105.61032343437529</v>
      </c>
      <c r="J75" s="256">
        <f t="shared" si="42"/>
        <v>217.06363411817375</v>
      </c>
      <c r="K75" s="256">
        <f t="shared" si="42"/>
        <v>297.59276036171616</v>
      </c>
      <c r="L75" s="256">
        <f t="shared" si="42"/>
        <v>803.49384961197802</v>
      </c>
      <c r="M75" s="256">
        <f t="shared" si="42"/>
        <v>111.58481874284288</v>
      </c>
      <c r="N75" s="256">
        <f t="shared" si="42"/>
        <v>247.82205184824647</v>
      </c>
      <c r="O75" s="256">
        <f t="shared" si="42"/>
        <v>357.35575820294599</v>
      </c>
      <c r="P75" s="256">
        <f t="shared" si="42"/>
        <v>921.07595883054398</v>
      </c>
      <c r="Q75" s="256">
        <f t="shared" si="42"/>
        <v>108.25823847300022</v>
      </c>
      <c r="R75" s="256">
        <f t="shared" si="42"/>
        <v>207.23414055576416</v>
      </c>
      <c r="S75" s="256">
        <f t="shared" si="42"/>
        <v>281.88027107896698</v>
      </c>
      <c r="T75" s="256">
        <f t="shared" si="42"/>
        <v>646.04561244113381</v>
      </c>
      <c r="U75" s="256">
        <f t="shared" si="42"/>
        <v>97.419806808389225</v>
      </c>
      <c r="V75" s="256">
        <f t="shared" si="42"/>
        <v>177.17930435291868</v>
      </c>
      <c r="W75" s="256">
        <f t="shared" si="42"/>
        <v>262.17997517914569</v>
      </c>
      <c r="X75" s="256">
        <f t="shared" si="42"/>
        <v>620.5814482336217</v>
      </c>
      <c r="Y75" s="256">
        <f t="shared" si="42"/>
        <v>101.22754474110262</v>
      </c>
      <c r="Z75" s="256">
        <f t="shared" si="42"/>
        <v>195.81046873057898</v>
      </c>
      <c r="AA75" s="256">
        <f t="shared" si="42"/>
        <v>286.81237632576693</v>
      </c>
      <c r="AB75" s="256">
        <f t="shared" si="42"/>
        <v>712.07297026296919</v>
      </c>
      <c r="AC75" s="256">
        <f t="shared" si="42"/>
        <v>118.38391226887126</v>
      </c>
      <c r="AD75" s="256">
        <f t="shared" si="42"/>
        <v>196.23228667106702</v>
      </c>
      <c r="AE75" s="256">
        <f t="shared" si="42"/>
        <v>255.59327992136264</v>
      </c>
      <c r="AF75" s="256">
        <f t="shared" si="42"/>
        <v>652.64246196131762</v>
      </c>
      <c r="AG75" s="256">
        <f t="shared" si="42"/>
        <v>110.99987729903161</v>
      </c>
      <c r="AH75" s="256">
        <f t="shared" si="42"/>
        <v>176.77979013244732</v>
      </c>
      <c r="AI75" s="256">
        <f t="shared" si="42"/>
        <v>256.52841936647917</v>
      </c>
      <c r="AJ75" s="256">
        <f t="shared" si="42"/>
        <v>642.81629362107333</v>
      </c>
      <c r="AK75" s="256">
        <f t="shared" si="42"/>
        <v>126.35907760582269</v>
      </c>
      <c r="AL75" s="256">
        <f t="shared" si="42"/>
        <v>198.89397579533019</v>
      </c>
      <c r="AM75" s="256">
        <f t="shared" si="42"/>
        <v>307.25101596678121</v>
      </c>
      <c r="AN75" s="256">
        <f t="shared" si="42"/>
        <v>607.79675636469074</v>
      </c>
      <c r="AO75" s="256">
        <f t="shared" si="42"/>
        <v>101.77106434513374</v>
      </c>
      <c r="AP75" s="256">
        <f t="shared" si="42"/>
        <v>140.78412498130268</v>
      </c>
      <c r="AQ75" s="256">
        <f t="shared" si="42"/>
        <v>188.82066610834303</v>
      </c>
      <c r="AR75" s="256">
        <f t="shared" si="42"/>
        <v>371.64805850307857</v>
      </c>
      <c r="AS75" s="256">
        <f t="shared" si="42"/>
        <v>52.65610818867777</v>
      </c>
      <c r="AT75" s="256">
        <f t="shared" si="42"/>
        <v>46.463413515668023</v>
      </c>
      <c r="AU75" s="256">
        <f t="shared" si="42"/>
        <v>63.659340700290954</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-6333417885.6400013</v>
      </c>
      <c r="F76" s="120">
        <f t="shared" ref="F76:BQ76" si="44">F71-F64-F68</f>
        <v>-7239265824.8900003</v>
      </c>
      <c r="G76" s="120">
        <f t="shared" si="44"/>
        <v>-6836584907.2999992</v>
      </c>
      <c r="H76" s="120">
        <f t="shared" si="44"/>
        <v>-6511886207.2299995</v>
      </c>
      <c r="I76" s="120">
        <f t="shared" si="44"/>
        <v>-5205650170.6399994</v>
      </c>
      <c r="J76" s="120">
        <f t="shared" si="44"/>
        <v>-5379632957.46</v>
      </c>
      <c r="K76" s="120">
        <f t="shared" si="44"/>
        <v>-4849701082.2699995</v>
      </c>
      <c r="L76" s="120">
        <f t="shared" si="44"/>
        <v>-4593654573.8699999</v>
      </c>
      <c r="M76" s="120">
        <f t="shared" si="44"/>
        <v>-4462724810.3899994</v>
      </c>
      <c r="N76" s="120">
        <f t="shared" si="44"/>
        <v>-4229821681.8499994</v>
      </c>
      <c r="O76" s="120">
        <f t="shared" si="44"/>
        <v>-3628263189.96</v>
      </c>
      <c r="P76" s="120">
        <f t="shared" si="44"/>
        <v>-3291605864.5500002</v>
      </c>
      <c r="Q76" s="120">
        <f t="shared" si="44"/>
        <v>-2711143214.1000004</v>
      </c>
      <c r="R76" s="120">
        <f t="shared" si="44"/>
        <v>-3156110003.1500001</v>
      </c>
      <c r="S76" s="120">
        <f t="shared" si="44"/>
        <v>-2940879392.0200005</v>
      </c>
      <c r="T76" s="120">
        <f t="shared" si="44"/>
        <v>-2440608966.1799994</v>
      </c>
      <c r="U76" s="120">
        <f t="shared" si="44"/>
        <v>-1925386986.3699999</v>
      </c>
      <c r="V76" s="120">
        <f t="shared" si="44"/>
        <v>-1617998744.6799998</v>
      </c>
      <c r="W76" s="120">
        <f t="shared" si="44"/>
        <v>-1447769545.8199999</v>
      </c>
      <c r="X76" s="120">
        <f t="shared" si="44"/>
        <v>-1174559151.4400001</v>
      </c>
      <c r="Y76" s="120">
        <f t="shared" si="44"/>
        <v>-989931771.49000013</v>
      </c>
      <c r="Z76" s="120">
        <f t="shared" si="44"/>
        <v>-1150310349.8800001</v>
      </c>
      <c r="AA76" s="120">
        <f t="shared" si="44"/>
        <v>-1051202160.3</v>
      </c>
      <c r="AB76" s="120">
        <f t="shared" si="44"/>
        <v>-974142918.99000001</v>
      </c>
      <c r="AC76" s="120">
        <f t="shared" si="44"/>
        <v>-724558496.4000001</v>
      </c>
      <c r="AD76" s="120">
        <f t="shared" si="44"/>
        <v>-784810668.28000009</v>
      </c>
      <c r="AE76" s="120">
        <f t="shared" si="44"/>
        <v>-617070003.58000004</v>
      </c>
      <c r="AF76" s="120">
        <f t="shared" si="44"/>
        <v>-525639596.61000001</v>
      </c>
      <c r="AG76" s="120">
        <f t="shared" si="44"/>
        <v>-450418205.50999999</v>
      </c>
      <c r="AH76" s="120">
        <f t="shared" si="44"/>
        <v>-485315155.25999999</v>
      </c>
      <c r="AI76" s="120">
        <f t="shared" si="44"/>
        <v>-412957318.91000003</v>
      </c>
      <c r="AJ76" s="120">
        <f t="shared" si="44"/>
        <v>-357325948.11000001</v>
      </c>
      <c r="AK76" s="120">
        <f t="shared" si="44"/>
        <v>-293976354.33000004</v>
      </c>
      <c r="AL76" s="120">
        <f t="shared" si="44"/>
        <v>-253027368.65999997</v>
      </c>
      <c r="AM76" s="120">
        <f t="shared" si="44"/>
        <v>-231851523.68000001</v>
      </c>
      <c r="AN76" s="120">
        <f t="shared" si="44"/>
        <v>-214936484.67000002</v>
      </c>
      <c r="AO76" s="120">
        <f t="shared" si="44"/>
        <v>-194914566.05000001</v>
      </c>
      <c r="AP76" s="120">
        <f t="shared" si="44"/>
        <v>-225910312.12</v>
      </c>
      <c r="AQ76" s="120">
        <f t="shared" si="44"/>
        <v>-191174204.82999998</v>
      </c>
      <c r="AR76" s="120">
        <f t="shared" si="44"/>
        <v>-128874282.36999999</v>
      </c>
      <c r="AS76" s="120">
        <f t="shared" si="44"/>
        <v>-107036437.89</v>
      </c>
      <c r="AT76" s="120">
        <f t="shared" si="44"/>
        <v>-69252390.709999993</v>
      </c>
      <c r="AU76" s="120">
        <f t="shared" si="44"/>
        <v>-56267940.909999982</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38717</v>
      </c>
      <c r="AY80" s="1">
        <v>25569</v>
      </c>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18844458053.779999</v>
      </c>
      <c r="F81" s="76">
        <f>股权价值增加表!F4</f>
        <v>11723294881.290001</v>
      </c>
      <c r="G81" s="76">
        <f>股权价值增加表!G4</f>
        <v>7464664934.3800001</v>
      </c>
      <c r="H81" s="76">
        <f>股权价值增加表!H4</f>
        <v>2648612419.3600001</v>
      </c>
      <c r="I81" s="76">
        <f>股权价值增加表!I4</f>
        <v>13329094010.82</v>
      </c>
      <c r="J81" s="76">
        <f>股权价值增加表!J4</f>
        <v>7968634527.2799997</v>
      </c>
      <c r="K81" s="76">
        <f>股权价值增加表!K4</f>
        <v>4949746889.5100002</v>
      </c>
      <c r="L81" s="76">
        <f>股权价值增加表!L4</f>
        <v>1782728113.9400001</v>
      </c>
      <c r="M81" s="76">
        <f>股权价值增加表!M4</f>
        <v>10077833438.49</v>
      </c>
      <c r="N81" s="76">
        <f>股权价值增加表!N4</f>
        <v>5830194178.29</v>
      </c>
      <c r="O81" s="76">
        <f>股权价值增加表!O4</f>
        <v>3468887211.1300001</v>
      </c>
      <c r="P81" s="76">
        <f>股权价值增加表!P4</f>
        <v>1202598595.55</v>
      </c>
      <c r="Q81" s="76">
        <f>股权价值增加表!Q4</f>
        <v>7331881449.46</v>
      </c>
      <c r="R81" s="76">
        <f>股权价值增加表!R4</f>
        <v>4647473079.6899996</v>
      </c>
      <c r="S81" s="76">
        <f>股权价值增加表!S4</f>
        <v>3042521916.96</v>
      </c>
      <c r="T81" s="76">
        <f>股权价值增加表!T4</f>
        <v>1144820982.71</v>
      </c>
      <c r="U81" s="76">
        <f>股权价值增加表!U4</f>
        <v>5410094042.8000002</v>
      </c>
      <c r="V81" s="76">
        <f>股权价值增加表!V4</f>
        <v>3259172104.4099998</v>
      </c>
      <c r="W81" s="76">
        <f>股权价值增加表!W4</f>
        <v>2031589599.46</v>
      </c>
      <c r="X81" s="76">
        <f>股权价值增加表!X4</f>
        <v>788467237.58000004</v>
      </c>
      <c r="Y81" s="76">
        <f>股权价值增加表!Y4</f>
        <v>3531214471.6199999</v>
      </c>
      <c r="Z81" s="76">
        <f>股权价值增加表!Z4</f>
        <v>2192882979.0100002</v>
      </c>
      <c r="AA81" s="76">
        <f>股权价值增加表!AA4</f>
        <v>1296870812.8800001</v>
      </c>
      <c r="AB81" s="76">
        <f>股权价值增加表!AB4</f>
        <v>498029565.17000002</v>
      </c>
      <c r="AC81" s="76">
        <f>股权价值增加表!AC4</f>
        <v>2205208207.0799999</v>
      </c>
      <c r="AD81" s="76">
        <f>股权价值增加表!AD4</f>
        <v>1460699765.0599999</v>
      </c>
      <c r="AE81" s="76">
        <f>股权价值增加表!AE4</f>
        <v>894260544.45000005</v>
      </c>
      <c r="AF81" s="76">
        <f>股权价值增加表!AF4</f>
        <v>328634906.66000003</v>
      </c>
      <c r="AG81" s="76">
        <f>股权价值增加表!AG4</f>
        <v>1516275445.1600001</v>
      </c>
      <c r="AH81" s="76">
        <f>股权价值增加表!AH4</f>
        <v>957975121.67999995</v>
      </c>
      <c r="AI81" s="76">
        <f>股权价值增加表!AI4</f>
        <v>570649139.51999998</v>
      </c>
      <c r="AJ81" s="76">
        <f>股权价值增加表!AJ4</f>
        <v>212729003.41999999</v>
      </c>
      <c r="AK81" s="76">
        <f>股权价值增加表!AK4</f>
        <v>835942072.07000005</v>
      </c>
      <c r="AL81" s="76">
        <f>股权价值增加表!AL4</f>
        <v>518260863.69</v>
      </c>
      <c r="AM81" s="76">
        <f>股权价值增加表!AM4</f>
        <v>299015862</v>
      </c>
      <c r="AN81" s="76">
        <f>股权价值增加表!AN4</f>
        <v>129896906.78</v>
      </c>
      <c r="AO81" s="76">
        <f>股权价值增加表!AO4</f>
        <v>632018390.76999998</v>
      </c>
      <c r="AP81" s="76">
        <f>股权价值增加表!AP4</f>
        <v>444354759.20999998</v>
      </c>
      <c r="AQ81" s="76">
        <f>股权价值增加表!AQ4</f>
        <v>264817613.74000001</v>
      </c>
      <c r="AR81" s="76">
        <f>股权价值增加表!AR4</f>
        <v>79182563.640000001</v>
      </c>
      <c r="AS81" s="76">
        <f>股权价值增加表!AS4</f>
        <v>405185173.70999998</v>
      </c>
      <c r="AT81" s="76">
        <f>股权价值增加表!AT4</f>
        <v>257689679.09</v>
      </c>
      <c r="AU81" s="76">
        <f>股权价值增加表!AU4</f>
        <v>139893683.97999999</v>
      </c>
      <c r="AV81" s="76">
        <f>股权价值增加表!AV4</f>
        <v>50910017.090000004</v>
      </c>
      <c r="AW81" s="76">
        <f>股权价值增加表!AW4</f>
        <v>445538267</v>
      </c>
      <c r="AX81" s="76">
        <f>股权价值增加表!AX4</f>
        <v>293144590.5</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3628110518.2199998</v>
      </c>
      <c r="F82" s="76">
        <f>投资和筹资活动现金流表!F34</f>
        <v>2765318912.9699998</v>
      </c>
      <c r="G82" s="76">
        <f>投资和筹资活动现金流表!G34</f>
        <v>2703547748.6099997</v>
      </c>
      <c r="H82" s="76">
        <f>投资和筹资活动现金流表!H34</f>
        <v>2501328785.7599998</v>
      </c>
      <c r="I82" s="76">
        <f>投资和筹资活动现金流表!I34</f>
        <v>2219549248.0799999</v>
      </c>
      <c r="J82" s="76">
        <f>投资和筹资活动现金流表!J34</f>
        <v>1828281329.0400002</v>
      </c>
      <c r="K82" s="76">
        <f>投资和筹资活动现金流表!K34</f>
        <v>1728168710.3500001</v>
      </c>
      <c r="L82" s="76">
        <f>投资和筹资活动现金流表!L34</f>
        <v>1522882146.6300001</v>
      </c>
      <c r="M82" s="76">
        <f>投资和筹资活动现金流表!M34</f>
        <v>1462282642.25</v>
      </c>
      <c r="N82" s="76">
        <f>投资和筹资活动现金流表!N34</f>
        <v>1308798771.3</v>
      </c>
      <c r="O82" s="76">
        <f>投资和筹资活动现金流表!O34</f>
        <v>1221836189.01</v>
      </c>
      <c r="P82" s="76">
        <f>投资和筹资活动现金流表!P34</f>
        <v>1191918980.8099999</v>
      </c>
      <c r="Q82" s="76">
        <f>投资和筹资活动现金流表!Q34</f>
        <v>1173428885.27</v>
      </c>
      <c r="R82" s="76">
        <f>投资和筹资活动现金流表!R34</f>
        <v>910875994.70000005</v>
      </c>
      <c r="S82" s="76">
        <f>投资和筹资活动现金流表!S34</f>
        <v>903770249.20000005</v>
      </c>
      <c r="T82" s="76">
        <f>投资和筹资活动现金流表!T34</f>
        <v>868751993.70000005</v>
      </c>
      <c r="U82" s="76">
        <f>投资和筹资活动现金流表!U34</f>
        <v>852868225.57000005</v>
      </c>
      <c r="V82" s="76">
        <f>投资和筹资活动现金流表!V34</f>
        <v>729112941.21000004</v>
      </c>
      <c r="W82" s="76">
        <f>投资和筹资活动现金流表!W34</f>
        <v>691741943.66999996</v>
      </c>
      <c r="X82" s="76">
        <f>投资和筹资活动现金流表!X34</f>
        <v>709883314.5</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73246360.569999993</v>
      </c>
      <c r="AQ82" s="76">
        <f>投资和筹资活动现金流表!BR34</f>
        <v>69379634.959999993</v>
      </c>
      <c r="AR82" s="76">
        <f>投资和筹资活动现金流表!BS34</f>
        <v>65742909.439999998</v>
      </c>
      <c r="AS82" s="76">
        <f>投资和筹资活动现金流表!AS34</f>
        <v>64529562.079999998</v>
      </c>
      <c r="AT82" s="76">
        <f>投资和筹资活动现金流表!AT34</f>
        <v>46812926.210000001</v>
      </c>
      <c r="AU82" s="76">
        <f>投资和筹资活动现金流表!AU34</f>
        <v>50083429.520000003</v>
      </c>
      <c r="AV82" s="76">
        <f>投资和筹资活动现金流表!AV34</f>
        <v>0</v>
      </c>
      <c r="AW82" s="76">
        <f>投资和筹资活动现金流表!AW34</f>
        <v>0</v>
      </c>
      <c r="AX82" s="76">
        <f>投资和筹资活动现金流表!AX34</f>
        <v>0</v>
      </c>
      <c r="AY82" s="76">
        <f>投资和筹资活动现金流表!AY34</f>
        <v>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5.194014338633032</v>
      </c>
      <c r="F83" s="155">
        <f t="shared" ref="F83:BQ83" si="46">F81/F82</f>
        <v>4.239400680444116</v>
      </c>
      <c r="G83" s="155">
        <f t="shared" si="46"/>
        <v>2.7610627325586825</v>
      </c>
      <c r="H83" s="155">
        <f t="shared" si="46"/>
        <v>1.058882156731447</v>
      </c>
      <c r="I83" s="155">
        <f t="shared" si="46"/>
        <v>6.005315729015793</v>
      </c>
      <c r="J83" s="155">
        <f t="shared" si="46"/>
        <v>4.3585384813092176</v>
      </c>
      <c r="K83" s="155">
        <f t="shared" si="46"/>
        <v>2.8641572202215979</v>
      </c>
      <c r="L83" s="155">
        <f t="shared" si="46"/>
        <v>1.1706277586121916</v>
      </c>
      <c r="M83" s="155">
        <f t="shared" si="46"/>
        <v>6.8918505542699569</v>
      </c>
      <c r="N83" s="155">
        <f t="shared" si="46"/>
        <v>4.4546146482847027</v>
      </c>
      <c r="O83" s="155">
        <f t="shared" si="46"/>
        <v>2.8390771548031219</v>
      </c>
      <c r="P83" s="155">
        <f t="shared" si="46"/>
        <v>1.0089600173434123</v>
      </c>
      <c r="Q83" s="155">
        <f t="shared" si="46"/>
        <v>6.2482537642432172</v>
      </c>
      <c r="R83" s="155">
        <f t="shared" si="46"/>
        <v>5.102201734079796</v>
      </c>
      <c r="S83" s="155">
        <f t="shared" si="46"/>
        <v>3.3664771767528103</v>
      </c>
      <c r="T83" s="155">
        <f t="shared" si="46"/>
        <v>1.3177765242692876</v>
      </c>
      <c r="U83" s="155">
        <f t="shared" si="46"/>
        <v>6.3434114211304511</v>
      </c>
      <c r="V83" s="155">
        <f t="shared" si="46"/>
        <v>4.4700510993553859</v>
      </c>
      <c r="W83" s="155">
        <f t="shared" si="46"/>
        <v>2.936918337901429</v>
      </c>
      <c r="X83" s="155">
        <f t="shared" si="46"/>
        <v>1.1106997748430669</v>
      </c>
      <c r="Y83" s="155">
        <f t="shared" si="46"/>
        <v>0.65458531530141728</v>
      </c>
      <c r="Z83" s="155">
        <f t="shared" si="46"/>
        <v>0.39861012255088457</v>
      </c>
      <c r="AA83" s="155">
        <f t="shared" si="46"/>
        <v>0.23250298071411046</v>
      </c>
      <c r="AB83" s="155">
        <f t="shared" si="46"/>
        <v>8.7430608100139001E-2</v>
      </c>
      <c r="AC83" s="155">
        <f t="shared" si="46"/>
        <v>0.38155010133969991</v>
      </c>
      <c r="AD83" s="155">
        <f t="shared" si="46"/>
        <v>0.25007730761692498</v>
      </c>
      <c r="AE83" s="155">
        <f t="shared" si="46"/>
        <v>0.16455804717708003</v>
      </c>
      <c r="AF83" s="155">
        <f t="shared" si="46"/>
        <v>5.9539062021905752E-2</v>
      </c>
      <c r="AG83" s="155">
        <f t="shared" si="46"/>
        <v>0.27135410134877225</v>
      </c>
      <c r="AH83" s="155">
        <f t="shared" si="46"/>
        <v>0.17144794178811038</v>
      </c>
      <c r="AI83" s="155">
        <f t="shared" si="46"/>
        <v>0.11026534495442429</v>
      </c>
      <c r="AJ83" s="155">
        <f t="shared" si="46"/>
        <v>4.6820149897477424E-2</v>
      </c>
      <c r="AK83" s="155">
        <f t="shared" si="46"/>
        <v>0.18665088543020919</v>
      </c>
      <c r="AL83" s="155">
        <f t="shared" si="46"/>
        <v>0.11463978815966094</v>
      </c>
      <c r="AM83" s="155">
        <f t="shared" si="46"/>
        <v>8.2581096925720451E-2</v>
      </c>
      <c r="AN83" s="155">
        <f t="shared" si="46"/>
        <v>3.5250244999985775E-2</v>
      </c>
      <c r="AO83" s="155">
        <f t="shared" si="46"/>
        <v>0.17936530429695102</v>
      </c>
      <c r="AP83" s="155">
        <f t="shared" si="46"/>
        <v>6.066577994483966</v>
      </c>
      <c r="AQ83" s="155">
        <f t="shared" si="46"/>
        <v>3.8169358183086071</v>
      </c>
      <c r="AR83" s="155">
        <f t="shared" si="46"/>
        <v>1.2044274327753268</v>
      </c>
      <c r="AS83" s="155">
        <f t="shared" si="46"/>
        <v>6.279062814771236</v>
      </c>
      <c r="AT83" s="155">
        <f t="shared" si="46"/>
        <v>5.5046693285956838</v>
      </c>
      <c r="AU83" s="155">
        <f t="shared" si="46"/>
        <v>2.7932129512843309</v>
      </c>
      <c r="AV83" s="155" t="e">
        <f t="shared" si="46"/>
        <v>#DIV/0!</v>
      </c>
      <c r="AW83" s="155" t="e">
        <f t="shared" si="46"/>
        <v>#DIV/0!</v>
      </c>
      <c r="AX83" s="155" t="e">
        <f t="shared" si="46"/>
        <v>#DIV/0!</v>
      </c>
      <c r="AY83" s="155" t="e">
        <f t="shared" si="46"/>
        <v>#DIV/0!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1248305165.77</v>
      </c>
      <c r="F84" s="76">
        <f>资产资本表!F52</f>
        <v>1061726008.58</v>
      </c>
      <c r="G84" s="76">
        <f>资产资本表!G52</f>
        <v>1064113732.98</v>
      </c>
      <c r="H84" s="76">
        <f>资产资本表!H52</f>
        <v>633525954.75</v>
      </c>
      <c r="I84" s="76">
        <f>资产资本表!I52</f>
        <v>642218388.03999996</v>
      </c>
      <c r="J84" s="76">
        <f>资产资本表!J52</f>
        <v>599756051</v>
      </c>
      <c r="K84" s="76">
        <f>资产资本表!K52</f>
        <v>605561652.10000002</v>
      </c>
      <c r="L84" s="76">
        <f>资产资本表!L52</f>
        <v>608477288.03999996</v>
      </c>
      <c r="M84" s="76">
        <f>资产资本表!M52</f>
        <v>606326361.63</v>
      </c>
      <c r="N84" s="76">
        <f>资产资本表!N52</f>
        <v>607620837.15999997</v>
      </c>
      <c r="O84" s="76">
        <f>资产资本表!O52</f>
        <v>613881162.87</v>
      </c>
      <c r="P84" s="76">
        <f>资产资本表!P52</f>
        <v>622770621.50999999</v>
      </c>
      <c r="Q84" s="76">
        <f>资产资本表!Q52</f>
        <v>640883489.86000001</v>
      </c>
      <c r="R84" s="76">
        <f>资产资本表!R52</f>
        <v>595545648.72000003</v>
      </c>
      <c r="S84" s="76">
        <f>资产资本表!S52</f>
        <v>560943940.37</v>
      </c>
      <c r="T84" s="76">
        <f>资产资本表!T52</f>
        <v>558313836.53999996</v>
      </c>
      <c r="U84" s="76">
        <f>资产资本表!U52</f>
        <v>563140520.10000002</v>
      </c>
      <c r="V84" s="76">
        <f>资产资本表!V52</f>
        <v>155040645.06999999</v>
      </c>
      <c r="W84" s="76">
        <f>资产资本表!W52</f>
        <v>152092394.34</v>
      </c>
      <c r="X84" s="76">
        <f>资产资本表!X52</f>
        <v>153225242.34</v>
      </c>
      <c r="Y84" s="76">
        <f>资产资本表!Y52</f>
        <v>155750686.28</v>
      </c>
      <c r="Z84" s="76">
        <f>资产资本表!Z52</f>
        <v>157822486.34999999</v>
      </c>
      <c r="AA84" s="76">
        <f>资产资本表!AA52</f>
        <v>159192934.78999999</v>
      </c>
      <c r="AB84" s="76">
        <f>资产资本表!AB52</f>
        <v>142127465.71000001</v>
      </c>
      <c r="AC84" s="76">
        <f>资产资本表!AC52</f>
        <v>144440325.25999999</v>
      </c>
      <c r="AD84" s="76">
        <f>资产资本表!AD52</f>
        <v>141016077.09</v>
      </c>
      <c r="AE84" s="76">
        <f>资产资本表!AE52</f>
        <v>128555220.92</v>
      </c>
      <c r="AF84" s="76">
        <f>资产资本表!AF52</f>
        <v>113977536.81</v>
      </c>
      <c r="AG84" s="76">
        <f>资产资本表!AG52</f>
        <v>113277935.79000001</v>
      </c>
      <c r="AH84" s="76">
        <f>资产资本表!AH52</f>
        <v>98512190.590000004</v>
      </c>
      <c r="AI84" s="76">
        <f>资产资本表!AI52</f>
        <v>85711795.209999993</v>
      </c>
      <c r="AJ84" s="76">
        <f>资产资本表!AJ52</f>
        <v>84469545.5</v>
      </c>
      <c r="AK84" s="76">
        <f>资产资本表!AK52</f>
        <v>86081435.269999996</v>
      </c>
      <c r="AL84" s="76">
        <f>资产资本表!AL52</f>
        <v>85469569.709999993</v>
      </c>
      <c r="AM84" s="76">
        <f>资产资本表!AM52</f>
        <v>86426187.390000001</v>
      </c>
      <c r="AN84" s="76">
        <f>资产资本表!AN52</f>
        <v>87582703.409999996</v>
      </c>
      <c r="AO84" s="76">
        <f>资产资本表!AO52</f>
        <v>88987970.689999998</v>
      </c>
      <c r="AP84" s="76">
        <f>资产资本表!AP52</f>
        <v>62065196.060000002</v>
      </c>
      <c r="AQ84" s="76">
        <f>资产资本表!AQ52</f>
        <v>58883284.630000003</v>
      </c>
      <c r="AR84" s="76">
        <f>资产资本表!AR52</f>
        <v>38938869.600000001</v>
      </c>
      <c r="AS84" s="76">
        <f>资产资本表!AS52</f>
        <v>38801012.880000003</v>
      </c>
      <c r="AT84" s="76">
        <f>资产资本表!AT52</f>
        <v>41774762.289999999</v>
      </c>
      <c r="AU84" s="76">
        <f>资产资本表!AU52</f>
        <v>45910122.579999998</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15.096034664052722</v>
      </c>
      <c r="F85" s="155">
        <f t="shared" ref="F85:BQ85" si="48">F81/F84</f>
        <v>11.041732788451949</v>
      </c>
      <c r="G85" s="155">
        <f t="shared" si="48"/>
        <v>7.014912694976279</v>
      </c>
      <c r="H85" s="155">
        <f t="shared" si="48"/>
        <v>4.1807480806452313</v>
      </c>
      <c r="I85" s="155">
        <f t="shared" si="48"/>
        <v>20.754768563228698</v>
      </c>
      <c r="J85" s="155">
        <f t="shared" si="48"/>
        <v>13.286459576345315</v>
      </c>
      <c r="K85" s="155">
        <f t="shared" si="48"/>
        <v>8.1738116545937078</v>
      </c>
      <c r="L85" s="155">
        <f t="shared" si="48"/>
        <v>2.929818662061233</v>
      </c>
      <c r="M85" s="155">
        <f t="shared" si="48"/>
        <v>16.621136860019654</v>
      </c>
      <c r="N85" s="155">
        <f t="shared" si="48"/>
        <v>9.595118899378333</v>
      </c>
      <c r="O85" s="155">
        <f t="shared" si="48"/>
        <v>5.6507471167747774</v>
      </c>
      <c r="P85" s="155">
        <f t="shared" si="48"/>
        <v>1.9310458040459917</v>
      </c>
      <c r="Q85" s="155">
        <f t="shared" si="48"/>
        <v>11.440272008039461</v>
      </c>
      <c r="R85" s="155">
        <f t="shared" si="48"/>
        <v>7.8037226695867297</v>
      </c>
      <c r="S85" s="155">
        <f t="shared" si="48"/>
        <v>5.4239322292226655</v>
      </c>
      <c r="T85" s="155">
        <f t="shared" si="48"/>
        <v>2.0504972432793722</v>
      </c>
      <c r="U85" s="155">
        <f t="shared" si="48"/>
        <v>9.6070054448209472</v>
      </c>
      <c r="V85" s="155">
        <f t="shared" si="48"/>
        <v>21.021404438420014</v>
      </c>
      <c r="W85" s="155">
        <f t="shared" si="48"/>
        <v>13.357601530806436</v>
      </c>
      <c r="X85" s="155">
        <f t="shared" si="48"/>
        <v>5.1458051267455414</v>
      </c>
      <c r="Y85" s="155">
        <f t="shared" si="48"/>
        <v>22.672224154902132</v>
      </c>
      <c r="Z85" s="155">
        <f t="shared" si="48"/>
        <v>13.894616855464337</v>
      </c>
      <c r="AA85" s="155">
        <f t="shared" si="48"/>
        <v>8.1465349865606314</v>
      </c>
      <c r="AB85" s="155">
        <f t="shared" si="48"/>
        <v>3.5041050136374796</v>
      </c>
      <c r="AC85" s="155">
        <f t="shared" si="48"/>
        <v>15.267261432086311</v>
      </c>
      <c r="AD85" s="155">
        <f t="shared" si="48"/>
        <v>10.358391718185045</v>
      </c>
      <c r="AE85" s="155">
        <f t="shared" si="48"/>
        <v>6.9562366899629771</v>
      </c>
      <c r="AF85" s="155">
        <f t="shared" si="48"/>
        <v>2.8833304864960612</v>
      </c>
      <c r="AG85" s="155">
        <f t="shared" si="48"/>
        <v>13.3854438164458</v>
      </c>
      <c r="AH85" s="155">
        <f t="shared" si="48"/>
        <v>9.7244322346562893</v>
      </c>
      <c r="AI85" s="155">
        <f t="shared" si="48"/>
        <v>6.6577667416937079</v>
      </c>
      <c r="AJ85" s="155">
        <f t="shared" si="48"/>
        <v>2.5184106551159315</v>
      </c>
      <c r="AK85" s="155">
        <f t="shared" si="48"/>
        <v>9.7110610371215778</v>
      </c>
      <c r="AL85" s="155">
        <f t="shared" si="48"/>
        <v>6.0636886958536209</v>
      </c>
      <c r="AM85" s="155">
        <f t="shared" si="48"/>
        <v>3.4597830938750613</v>
      </c>
      <c r="AN85" s="155">
        <f t="shared" si="48"/>
        <v>1.4831342459471131</v>
      </c>
      <c r="AO85" s="155">
        <f t="shared" si="48"/>
        <v>7.1022901844981945</v>
      </c>
      <c r="AP85" s="155">
        <f t="shared" si="48"/>
        <v>7.1594836948622698</v>
      </c>
      <c r="AQ85" s="155">
        <f t="shared" si="48"/>
        <v>4.4973308707897734</v>
      </c>
      <c r="AR85" s="155">
        <f t="shared" si="48"/>
        <v>2.0335095613561416</v>
      </c>
      <c r="AS85" s="155">
        <f t="shared" si="48"/>
        <v>10.442644241353113</v>
      </c>
      <c r="AT85" s="155">
        <f t="shared" si="48"/>
        <v>6.1685492618993427</v>
      </c>
      <c r="AU85" s="155">
        <f t="shared" si="48"/>
        <v>3.0471206809833786</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58779225.409999996</v>
      </c>
      <c r="F86" s="76">
        <f>资产资本表!F53</f>
        <v>6654807.5099999998</v>
      </c>
      <c r="G86" s="76">
        <f>资产资本表!G53</f>
        <v>2300841.25</v>
      </c>
      <c r="H86" s="76">
        <f>资产资本表!H53</f>
        <v>349610349.12</v>
      </c>
      <c r="I86" s="76">
        <f>资产资本表!I53</f>
        <v>338124698.63</v>
      </c>
      <c r="J86" s="76">
        <f>资产资本表!J53</f>
        <v>374460897.70999998</v>
      </c>
      <c r="K86" s="76">
        <f>资产资本表!K53</f>
        <v>311106460.39999998</v>
      </c>
      <c r="L86" s="76">
        <f>资产资本表!L53</f>
        <v>210582797.52000001</v>
      </c>
      <c r="M86" s="76">
        <f>资产资本表!M53</f>
        <v>166606607.16</v>
      </c>
      <c r="N86" s="76">
        <f>资产资本表!N53</f>
        <v>110408431.33</v>
      </c>
      <c r="O86" s="76">
        <f>资产资本表!O53</f>
        <v>94691447.430000007</v>
      </c>
      <c r="P86" s="76">
        <f>资产资本表!P53</f>
        <v>62808427.719999999</v>
      </c>
      <c r="Q86" s="76">
        <f>资产资本表!Q53</f>
        <v>56400107.479999997</v>
      </c>
      <c r="R86" s="76">
        <f>资产资本表!R53</f>
        <v>33979234.090000004</v>
      </c>
      <c r="S86" s="76">
        <f>资产资本表!S53</f>
        <v>19801898.16</v>
      </c>
      <c r="T86" s="76">
        <f>资产资本表!T53</f>
        <v>3808193.38</v>
      </c>
      <c r="U86" s="76">
        <f>资产资本表!U53</f>
        <v>4673494.53</v>
      </c>
      <c r="V86" s="76">
        <f>资产资本表!V53</f>
        <v>328636316.74000001</v>
      </c>
      <c r="W86" s="76">
        <f>资产资本表!W53</f>
        <v>287144500.30000001</v>
      </c>
      <c r="X86" s="76">
        <f>资产资本表!X53</f>
        <v>306902094.58999997</v>
      </c>
      <c r="Y86" s="76">
        <f>资产资本表!Y53</f>
        <v>266499131.59999999</v>
      </c>
      <c r="Z86" s="76">
        <f>资产资本表!Z53</f>
        <v>154156200.84</v>
      </c>
      <c r="AA86" s="76">
        <f>资产资本表!AA53</f>
        <v>129242901.04000001</v>
      </c>
      <c r="AB86" s="76">
        <f>资产资本表!AB53</f>
        <v>108092561.14</v>
      </c>
      <c r="AC86" s="76">
        <f>资产资本表!AC53</f>
        <v>123722201.91</v>
      </c>
      <c r="AD86" s="76">
        <f>资产资本表!AD53</f>
        <v>63256738.640000001</v>
      </c>
      <c r="AE86" s="76">
        <f>资产资本表!AE53</f>
        <v>44234090.640000001</v>
      </c>
      <c r="AF86" s="76">
        <f>资产资本表!AF53</f>
        <v>19726454.640000001</v>
      </c>
      <c r="AG86" s="76">
        <f>资产资本表!AG53</f>
        <v>16372584.640000001</v>
      </c>
      <c r="AH86" s="76">
        <f>资产资本表!AH53</f>
        <v>2915152.41</v>
      </c>
      <c r="AI86" s="76">
        <f>资产资本表!AI53</f>
        <v>9899980.4499999993</v>
      </c>
      <c r="AJ86" s="76">
        <f>资产资本表!AJ53</f>
        <v>8741524.8699999992</v>
      </c>
      <c r="AK86" s="76">
        <f>资产资本表!AK53</f>
        <v>8735183</v>
      </c>
      <c r="AL86" s="76">
        <f>资产资本表!AL53</f>
        <v>0</v>
      </c>
      <c r="AM86" s="76">
        <f>资产资本表!AM53</f>
        <v>0</v>
      </c>
      <c r="AN86" s="76">
        <f>资产资本表!AN53</f>
        <v>0</v>
      </c>
      <c r="AO86" s="76">
        <f>资产资本表!AO53</f>
        <v>0</v>
      </c>
      <c r="AP86" s="76">
        <f>资产资本表!AP53</f>
        <v>0</v>
      </c>
      <c r="AQ86" s="76">
        <f>资产资本表!AQ53</f>
        <v>0</v>
      </c>
      <c r="AR86" s="76">
        <f>资产资本表!AR53</f>
        <v>17292590.170000002</v>
      </c>
      <c r="AS86" s="76">
        <f>资产资本表!AS53</f>
        <v>17045636.16</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320.59725051385294</v>
      </c>
      <c r="F87" s="54">
        <f t="shared" ref="F87:BQ87" si="50">F81/F86</f>
        <v>1761.627945462543</v>
      </c>
      <c r="G87" s="54">
        <f t="shared" si="50"/>
        <v>3244.3198479599582</v>
      </c>
      <c r="H87" s="54">
        <f t="shared" si="50"/>
        <v>7.5758982136163606</v>
      </c>
      <c r="I87" s="54">
        <f t="shared" si="50"/>
        <v>39.420645888414199</v>
      </c>
      <c r="J87" s="54">
        <f t="shared" si="50"/>
        <v>21.280284740040553</v>
      </c>
      <c r="K87" s="54">
        <f t="shared" si="50"/>
        <v>15.91013855239761</v>
      </c>
      <c r="L87" s="54">
        <f t="shared" si="50"/>
        <v>8.4656872970390005</v>
      </c>
      <c r="M87" s="54">
        <f t="shared" si="50"/>
        <v>60.488798195210784</v>
      </c>
      <c r="N87" s="54">
        <f t="shared" si="50"/>
        <v>52.805697065508703</v>
      </c>
      <c r="O87" s="54">
        <f t="shared" si="50"/>
        <v>36.63358524215559</v>
      </c>
      <c r="P87" s="54">
        <f t="shared" si="50"/>
        <v>19.147089637575153</v>
      </c>
      <c r="Q87" s="54">
        <f t="shared" si="50"/>
        <v>129.99765030696003</v>
      </c>
      <c r="R87" s="54">
        <f t="shared" si="50"/>
        <v>136.77392101835923</v>
      </c>
      <c r="S87" s="54">
        <f t="shared" si="50"/>
        <v>153.64799335782465</v>
      </c>
      <c r="T87" s="54">
        <f t="shared" si="50"/>
        <v>300.62049598699741</v>
      </c>
      <c r="U87" s="54">
        <f t="shared" si="50"/>
        <v>1157.6121482697017</v>
      </c>
      <c r="V87" s="54">
        <f t="shared" si="50"/>
        <v>9.9172609306855382</v>
      </c>
      <c r="W87" s="54">
        <f t="shared" si="50"/>
        <v>7.0751471727212456</v>
      </c>
      <c r="X87" s="54">
        <f t="shared" si="50"/>
        <v>2.5691165080946674</v>
      </c>
      <c r="Y87" s="54">
        <f t="shared" si="50"/>
        <v>13.250378905249686</v>
      </c>
      <c r="Z87" s="54">
        <f t="shared" si="50"/>
        <v>14.225071499303564</v>
      </c>
      <c r="AA87" s="54">
        <f t="shared" si="50"/>
        <v>10.034367864263782</v>
      </c>
      <c r="AB87" s="54">
        <f t="shared" si="50"/>
        <v>4.6074360706927742</v>
      </c>
      <c r="AC87" s="54">
        <f t="shared" si="50"/>
        <v>17.823868093490191</v>
      </c>
      <c r="AD87" s="54">
        <f t="shared" si="50"/>
        <v>23.091607257417721</v>
      </c>
      <c r="AE87" s="54">
        <f t="shared" si="50"/>
        <v>20.216546367550691</v>
      </c>
      <c r="AF87" s="54">
        <f t="shared" si="50"/>
        <v>16.659603190611652</v>
      </c>
      <c r="AG87" s="54">
        <f t="shared" si="50"/>
        <v>92.610634087398438</v>
      </c>
      <c r="AH87" s="54">
        <f t="shared" si="50"/>
        <v>328.61922361033601</v>
      </c>
      <c r="AI87" s="54">
        <f t="shared" si="50"/>
        <v>57.641441051532581</v>
      </c>
      <c r="AJ87" s="54">
        <f t="shared" si="50"/>
        <v>24.335457095141802</v>
      </c>
      <c r="AK87" s="54">
        <f t="shared" si="50"/>
        <v>95.698289557299489</v>
      </c>
      <c r="AL87" s="54" t="e">
        <f t="shared" si="50"/>
        <v>#DIV/0!</v>
      </c>
      <c r="AM87" s="54" t="e">
        <f t="shared" si="50"/>
        <v>#DIV/0!</v>
      </c>
      <c r="AN87" s="54" t="e">
        <f t="shared" si="50"/>
        <v>#DIV/0!</v>
      </c>
      <c r="AO87" s="54" t="e">
        <f t="shared" si="50"/>
        <v>#DIV/0!</v>
      </c>
      <c r="AP87" s="54" t="e">
        <f t="shared" si="50"/>
        <v>#DIV/0!</v>
      </c>
      <c r="AQ87" s="54" t="e">
        <f t="shared" si="50"/>
        <v>#DIV/0!</v>
      </c>
      <c r="AR87" s="54">
        <f t="shared" si="50"/>
        <v>4.5789880441028226</v>
      </c>
      <c r="AS87" s="54">
        <f t="shared" si="50"/>
        <v>23.770610255123501</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253357254.66</v>
      </c>
      <c r="F92" s="76">
        <f>资产资本表!F58</f>
        <v>233657397.65000001</v>
      </c>
      <c r="G92" s="76">
        <f>资产资本表!G58</f>
        <v>239312499.08000001</v>
      </c>
      <c r="H92" s="76">
        <f>资产资本表!H58</f>
        <v>116199373.81999999</v>
      </c>
      <c r="I92" s="76">
        <f>资产资本表!I58</f>
        <v>120174360.59</v>
      </c>
      <c r="J92" s="76">
        <f>资产资本表!J58</f>
        <v>127451065.95999999</v>
      </c>
      <c r="K92" s="76">
        <f>资产资本表!K58</f>
        <v>117471325.83</v>
      </c>
      <c r="L92" s="76">
        <f>资产资本表!L58</f>
        <v>120197403.88</v>
      </c>
      <c r="M92" s="76">
        <f>资产资本表!M58</f>
        <v>121278971.15000001</v>
      </c>
      <c r="N92" s="76">
        <f>资产资本表!N58</f>
        <v>115067436.18000001</v>
      </c>
      <c r="O92" s="76">
        <f>资产资本表!O58</f>
        <v>30462133.059999999</v>
      </c>
      <c r="P92" s="76">
        <f>资产资本表!P58</f>
        <v>31046618.879999999</v>
      </c>
      <c r="Q92" s="76">
        <f>资产资本表!Q58</f>
        <v>31966084.18</v>
      </c>
      <c r="R92" s="76">
        <f>资产资本表!R58</f>
        <v>33093974.449999999</v>
      </c>
      <c r="S92" s="76">
        <f>资产资本表!S58</f>
        <v>34560821.390000001</v>
      </c>
      <c r="T92" s="76">
        <f>资产资本表!T58</f>
        <v>35843182.710000001</v>
      </c>
      <c r="U92" s="76">
        <f>资产资本表!U58</f>
        <v>33724863.359999999</v>
      </c>
      <c r="V92" s="76">
        <f>资产资本表!V58</f>
        <v>34815232.490000002</v>
      </c>
      <c r="W92" s="76">
        <f>资产资本表!W58</f>
        <v>36096320.219999999</v>
      </c>
      <c r="X92" s="76">
        <f>资产资本表!X58</f>
        <v>36855790.079999998</v>
      </c>
      <c r="Y92" s="76">
        <f>资产资本表!Y58</f>
        <v>38116020.82</v>
      </c>
      <c r="Z92" s="76">
        <f>资产资本表!Z58</f>
        <v>39489876.259999998</v>
      </c>
      <c r="AA92" s="76">
        <f>资产资本表!AA58</f>
        <v>40486736.740000002</v>
      </c>
      <c r="AB92" s="76">
        <f>资产资本表!AB58</f>
        <v>33839382.57</v>
      </c>
      <c r="AC92" s="76">
        <f>资产资本表!AC58</f>
        <v>35171642.670000002</v>
      </c>
      <c r="AD92" s="76">
        <f>资产资本表!AD58</f>
        <v>36513404.369999997</v>
      </c>
      <c r="AE92" s="76">
        <f>资产资本表!AE58</f>
        <v>36883951.649999999</v>
      </c>
      <c r="AF92" s="76">
        <f>资产资本表!AF58</f>
        <v>33026540.379999999</v>
      </c>
      <c r="AG92" s="76">
        <f>资产资本表!AG58</f>
        <v>34139008.359999999</v>
      </c>
      <c r="AH92" s="76">
        <f>资产资本表!AH58</f>
        <v>35061214.710000001</v>
      </c>
      <c r="AI92" s="76">
        <f>资产资本表!AI58</f>
        <v>35959671.920000002</v>
      </c>
      <c r="AJ92" s="76">
        <f>资产资本表!AJ58</f>
        <v>37023752.270000003</v>
      </c>
      <c r="AK92" s="76">
        <f>资产资本表!AK58</f>
        <v>38070204.380000003</v>
      </c>
      <c r="AL92" s="76">
        <f>资产资本表!AL58</f>
        <v>28304022.940000001</v>
      </c>
      <c r="AM92" s="76">
        <f>资产资本表!AM58</f>
        <v>28902184.440000001</v>
      </c>
      <c r="AN92" s="76">
        <f>资产资本表!AN58</f>
        <v>29391274.440000001</v>
      </c>
      <c r="AO92" s="76">
        <f>资产资本表!AO58</f>
        <v>30027173.609999999</v>
      </c>
      <c r="AP92" s="76">
        <f>资产资本表!AP58</f>
        <v>4039552.35</v>
      </c>
      <c r="AQ92" s="76">
        <f>资产资本表!AQ58</f>
        <v>4066048.77</v>
      </c>
      <c r="AR92" s="76">
        <f>资产资本表!AR58</f>
        <v>4048063.33</v>
      </c>
      <c r="AS92" s="76">
        <f>资产资本表!AS58</f>
        <v>3795805.04</v>
      </c>
      <c r="AT92" s="76">
        <f>资产资本表!AT58</f>
        <v>3847622.92</v>
      </c>
      <c r="AU92" s="76">
        <f>资产资本表!AU58</f>
        <v>3865013.58</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74.378995300801066</v>
      </c>
      <c r="F93" s="155">
        <f t="shared" ref="F93:BQ93" si="52">F81/F92</f>
        <v>50.173009710784136</v>
      </c>
      <c r="G93" s="155">
        <f t="shared" si="52"/>
        <v>31.192123115494397</v>
      </c>
      <c r="H93" s="155">
        <f t="shared" si="52"/>
        <v>22.793689262584707</v>
      </c>
      <c r="I93" s="155">
        <f t="shared" si="52"/>
        <v>110.91462392960005</v>
      </c>
      <c r="J93" s="155">
        <f t="shared" si="52"/>
        <v>62.52309046815602</v>
      </c>
      <c r="K93" s="155">
        <f t="shared" si="52"/>
        <v>42.135788070299675</v>
      </c>
      <c r="L93" s="155">
        <f t="shared" si="52"/>
        <v>14.831669041036863</v>
      </c>
      <c r="M93" s="155">
        <f t="shared" si="52"/>
        <v>83.096297263484814</v>
      </c>
      <c r="N93" s="155">
        <f t="shared" si="52"/>
        <v>50.667629103770302</v>
      </c>
      <c r="O93" s="155">
        <f t="shared" si="52"/>
        <v>113.87538765908077</v>
      </c>
      <c r="P93" s="155">
        <f t="shared" si="52"/>
        <v>38.735251661323581</v>
      </c>
      <c r="Q93" s="155">
        <f t="shared" si="52"/>
        <v>229.36439158998672</v>
      </c>
      <c r="R93" s="155">
        <f t="shared" si="52"/>
        <v>140.43260614440945</v>
      </c>
      <c r="S93" s="155">
        <f t="shared" si="52"/>
        <v>88.033842790563369</v>
      </c>
      <c r="T93" s="155">
        <f t="shared" si="52"/>
        <v>31.939713389084805</v>
      </c>
      <c r="U93" s="155">
        <f t="shared" si="52"/>
        <v>160.41856078256919</v>
      </c>
      <c r="V93" s="155">
        <f t="shared" si="52"/>
        <v>93.613394807750709</v>
      </c>
      <c r="W93" s="155">
        <f t="shared" si="52"/>
        <v>56.282457244335696</v>
      </c>
      <c r="X93" s="155">
        <f t="shared" si="52"/>
        <v>21.39330715387014</v>
      </c>
      <c r="Y93" s="155">
        <f t="shared" si="52"/>
        <v>92.643838355947253</v>
      </c>
      <c r="Z93" s="155">
        <f t="shared" si="52"/>
        <v>55.530257035300224</v>
      </c>
      <c r="AA93" s="155">
        <f t="shared" si="52"/>
        <v>32.031991642307894</v>
      </c>
      <c r="AB93" s="155">
        <f t="shared" si="52"/>
        <v>14.717454260277304</v>
      </c>
      <c r="AC93" s="155">
        <f t="shared" si="52"/>
        <v>62.698470690450691</v>
      </c>
      <c r="AD93" s="155">
        <f t="shared" si="52"/>
        <v>40.004480279580136</v>
      </c>
      <c r="AE93" s="155">
        <f t="shared" si="52"/>
        <v>24.245247714665631</v>
      </c>
      <c r="AF93" s="155">
        <f t="shared" si="52"/>
        <v>9.9506307012106134</v>
      </c>
      <c r="AG93" s="155">
        <f t="shared" si="52"/>
        <v>44.414747762169625</v>
      </c>
      <c r="AH93" s="155">
        <f t="shared" si="52"/>
        <v>27.322930183784266</v>
      </c>
      <c r="AI93" s="155">
        <f t="shared" si="52"/>
        <v>15.869141987433348</v>
      </c>
      <c r="AJ93" s="155">
        <f t="shared" si="52"/>
        <v>5.7457440258526224</v>
      </c>
      <c r="AK93" s="155">
        <f t="shared" si="52"/>
        <v>21.957908702721809</v>
      </c>
      <c r="AL93" s="155">
        <f t="shared" si="52"/>
        <v>18.310501824727535</v>
      </c>
      <c r="AM93" s="155">
        <f t="shared" si="52"/>
        <v>10.345787621027306</v>
      </c>
      <c r="AN93" s="155">
        <f t="shared" si="52"/>
        <v>4.4195738107639535</v>
      </c>
      <c r="AO93" s="155">
        <f t="shared" si="52"/>
        <v>21.048214493272116</v>
      </c>
      <c r="AP93" s="155">
        <f t="shared" si="52"/>
        <v>110.00099038449149</v>
      </c>
      <c r="AQ93" s="155">
        <f t="shared" si="52"/>
        <v>65.128981160744914</v>
      </c>
      <c r="AR93" s="155">
        <f t="shared" si="52"/>
        <v>19.56060396910836</v>
      </c>
      <c r="AS93" s="155">
        <f t="shared" si="52"/>
        <v>106.74551760171539</v>
      </c>
      <c r="AT93" s="155">
        <f t="shared" si="52"/>
        <v>66.973735329032706</v>
      </c>
      <c r="AU93" s="155">
        <f t="shared" si="52"/>
        <v>36.194875149701282</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9455599.9600000009</v>
      </c>
      <c r="AM94" s="76">
        <f>资产资本表!AM59</f>
        <v>8319883.9400000004</v>
      </c>
      <c r="AN94" s="76">
        <f>资产资本表!AN59</f>
        <v>7490147.8899999997</v>
      </c>
      <c r="AO94" s="76">
        <f>资产资本表!AO59</f>
        <v>6568710.5</v>
      </c>
      <c r="AP94" s="76">
        <f>资产资本表!AP59</f>
        <v>5850128.3300000001</v>
      </c>
      <c r="AQ94" s="76">
        <f>资产资本表!AQ59</f>
        <v>5138817.7300000004</v>
      </c>
      <c r="AR94" s="76">
        <f>资产资本表!AR59</f>
        <v>4171900.51</v>
      </c>
      <c r="AS94" s="76">
        <f>资产资本表!AS59</f>
        <v>3595624.17</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71083281.090000004</v>
      </c>
      <c r="F95" s="76">
        <f>资产资本表!F60</f>
        <v>71083281.090000004</v>
      </c>
      <c r="G95" s="76">
        <f>资产资本表!G60</f>
        <v>71083281.090000004</v>
      </c>
      <c r="H95" s="76">
        <f>资产资本表!H60</f>
        <v>71083281.090000004</v>
      </c>
      <c r="I95" s="76">
        <f>资产资本表!I60</f>
        <v>71083281.090000004</v>
      </c>
      <c r="J95" s="76">
        <f>资产资本表!J60</f>
        <v>71083281.090000004</v>
      </c>
      <c r="K95" s="76">
        <f>资产资本表!K60</f>
        <v>71083281.090000004</v>
      </c>
      <c r="L95" s="76">
        <f>资产资本表!L60</f>
        <v>71083281.090000004</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0</v>
      </c>
      <c r="F96" s="76">
        <f>资产资本表!F61</f>
        <v>0</v>
      </c>
      <c r="G96" s="76">
        <f>资产资本表!G61</f>
        <v>0</v>
      </c>
      <c r="H96" s="76">
        <f>资产资本表!H61</f>
        <v>0</v>
      </c>
      <c r="I96" s="76">
        <f>资产资本表!I61</f>
        <v>0</v>
      </c>
      <c r="J96" s="76">
        <f>资产资本表!J61</f>
        <v>61981.56</v>
      </c>
      <c r="K96" s="76">
        <f>资产资本表!K61</f>
        <v>247926.51</v>
      </c>
      <c r="L96" s="76">
        <f>资产资本表!L61</f>
        <v>455134.84</v>
      </c>
      <c r="M96" s="76">
        <f>资产资本表!M61</f>
        <v>619816.41</v>
      </c>
      <c r="N96" s="76">
        <f>资产资本表!N61</f>
        <v>805761.36</v>
      </c>
      <c r="O96" s="76">
        <f>资产资本表!O61</f>
        <v>991706.31</v>
      </c>
      <c r="P96" s="76">
        <f>资产资本表!P61</f>
        <v>1177651.26</v>
      </c>
      <c r="Q96" s="76">
        <f>资产资本表!Q61</f>
        <v>1363596.21</v>
      </c>
      <c r="R96" s="76">
        <f>资产资本表!R61</f>
        <v>1549541.16</v>
      </c>
      <c r="S96" s="76">
        <f>资产资本表!S61</f>
        <v>1735486.11</v>
      </c>
      <c r="T96" s="76">
        <f>资产资本表!T61</f>
        <v>1921431.06</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251453971.05000001</v>
      </c>
      <c r="F97" s="76">
        <f>资产资本表!F62</f>
        <v>248104832.47999999</v>
      </c>
      <c r="G97" s="76">
        <f>资产资本表!G62</f>
        <v>201978605.33000001</v>
      </c>
      <c r="H97" s="76">
        <f>资产资本表!H62</f>
        <v>194626406.31999999</v>
      </c>
      <c r="I97" s="76">
        <f>资产资本表!I62</f>
        <v>179123558.44999999</v>
      </c>
      <c r="J97" s="76">
        <f>资产资本表!J62</f>
        <v>157089550.56999999</v>
      </c>
      <c r="K97" s="76">
        <f>资产资本表!K62</f>
        <v>135555876.13</v>
      </c>
      <c r="L97" s="76">
        <f>资产资本表!L62</f>
        <v>132133459.06999999</v>
      </c>
      <c r="M97" s="76">
        <f>资产资本表!M62</f>
        <v>156027265.37</v>
      </c>
      <c r="N97" s="76">
        <f>资产资本表!N62</f>
        <v>108399468.2</v>
      </c>
      <c r="O97" s="76">
        <f>资产资本表!O62</f>
        <v>103425928.37</v>
      </c>
      <c r="P97" s="76">
        <f>资产资本表!P62</f>
        <v>84380827.469999999</v>
      </c>
      <c r="Q97" s="76">
        <f>资产资本表!Q62</f>
        <v>76707609.709999993</v>
      </c>
      <c r="R97" s="76">
        <f>资产资本表!R62</f>
        <v>71522181.709999993</v>
      </c>
      <c r="S97" s="76">
        <f>资产资本表!S62</f>
        <v>64765346.189999998</v>
      </c>
      <c r="T97" s="76">
        <f>资产资本表!T62</f>
        <v>63489392.82</v>
      </c>
      <c r="U97" s="76">
        <f>资产资本表!U62</f>
        <v>91257672.25</v>
      </c>
      <c r="V97" s="76">
        <f>资产资本表!V62</f>
        <v>25871364.239999998</v>
      </c>
      <c r="W97" s="76">
        <f>资产资本表!W62</f>
        <v>22903132.120000001</v>
      </c>
      <c r="X97" s="76">
        <f>资产资本表!X62</f>
        <v>16394698.800000001</v>
      </c>
      <c r="Y97" s="76">
        <f>资产资本表!Y62</f>
        <v>17604108.539999999</v>
      </c>
      <c r="Z97" s="76">
        <f>资产资本表!Z62</f>
        <v>14741067.01</v>
      </c>
      <c r="AA97" s="76">
        <f>资产资本表!AA62</f>
        <v>12382981.869999999</v>
      </c>
      <c r="AB97" s="76">
        <f>资产资本表!AB62</f>
        <v>10769181.16</v>
      </c>
      <c r="AC97" s="76">
        <f>资产资本表!AC62</f>
        <v>9718634.8699999992</v>
      </c>
      <c r="AD97" s="76">
        <f>资产资本表!AD62</f>
        <v>9680153.6899999995</v>
      </c>
      <c r="AE97" s="76">
        <f>资产资本表!AE62</f>
        <v>8708026.9700000007</v>
      </c>
      <c r="AF97" s="76">
        <f>资产资本表!AF62</f>
        <v>6514769.1399999997</v>
      </c>
      <c r="AG97" s="76">
        <f>资产资本表!AG62</f>
        <v>5856067.7199999997</v>
      </c>
      <c r="AH97" s="76">
        <f>资产资本表!AH62</f>
        <v>6058935.3799999999</v>
      </c>
      <c r="AI97" s="76">
        <f>资产资本表!AI62</f>
        <v>4506761.3600000003</v>
      </c>
      <c r="AJ97" s="76">
        <f>资产资本表!AJ62</f>
        <v>3778639.15</v>
      </c>
      <c r="AK97" s="76">
        <f>资产资本表!AK62</f>
        <v>3354926.41</v>
      </c>
      <c r="AL97" s="76">
        <f>资产资本表!AL62</f>
        <v>2792673.46</v>
      </c>
      <c r="AM97" s="76">
        <f>资产资本表!AM62</f>
        <v>2239659.13</v>
      </c>
      <c r="AN97" s="76">
        <f>资产资本表!AN62</f>
        <v>2048590.69</v>
      </c>
      <c r="AO97" s="76">
        <f>资产资本表!AO62</f>
        <v>1938003.1</v>
      </c>
      <c r="AP97" s="76">
        <f>资产资本表!AP62</f>
        <v>1291483.83</v>
      </c>
      <c r="AQ97" s="76">
        <f>资产资本表!AQ62</f>
        <v>1291483.83</v>
      </c>
      <c r="AR97" s="76">
        <f>资产资本表!AR62</f>
        <v>1291485.83</v>
      </c>
      <c r="AS97" s="76">
        <f>资产资本表!AS62</f>
        <v>1291483.83</v>
      </c>
      <c r="AT97" s="76">
        <f>资产资本表!AT62</f>
        <v>890541</v>
      </c>
      <c r="AU97" s="76">
        <f>资产资本表!AU62</f>
        <v>308293.36</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45468946.770000003</v>
      </c>
      <c r="F98" s="76">
        <f>资产资本表!F63</f>
        <v>22870998.289999999</v>
      </c>
      <c r="G98" s="76">
        <f>资产资本表!G63</f>
        <v>18288326.059999999</v>
      </c>
      <c r="H98" s="76">
        <f>资产资本表!H63</f>
        <v>14961711.949999999</v>
      </c>
      <c r="I98" s="76">
        <f>资产资本表!I63</f>
        <v>23705446.050000001</v>
      </c>
      <c r="J98" s="76">
        <f>资产资本表!J63</f>
        <v>11077548.300000001</v>
      </c>
      <c r="K98" s="76">
        <f>资产资本表!K63</f>
        <v>10628297.08</v>
      </c>
      <c r="L98" s="76">
        <f>资产资本表!L63</f>
        <v>10458152.51</v>
      </c>
      <c r="M98" s="76">
        <f>资产资本表!M63</f>
        <v>15360448.050000001</v>
      </c>
      <c r="N98" s="76">
        <f>资产资本表!N63</f>
        <v>17826886.98</v>
      </c>
      <c r="O98" s="76">
        <f>资产资本表!O63</f>
        <v>18206352.879999999</v>
      </c>
      <c r="P98" s="76">
        <f>资产资本表!P63</f>
        <v>22634300.670000002</v>
      </c>
      <c r="Q98" s="76">
        <f>资产资本表!Q63</f>
        <v>24434300.670000002</v>
      </c>
      <c r="R98" s="76">
        <f>资产资本表!R63</f>
        <v>5354782.7300000004</v>
      </c>
      <c r="S98" s="76">
        <f>资产资本表!S63</f>
        <v>5768739.0300000003</v>
      </c>
      <c r="T98" s="76">
        <f>资产资本表!T63</f>
        <v>5958693.3700000001</v>
      </c>
      <c r="U98" s="76">
        <f>资产资本表!U63</f>
        <v>5180957.8099999996</v>
      </c>
      <c r="V98" s="76">
        <f>资产资本表!V63</f>
        <v>5587410.75</v>
      </c>
      <c r="W98" s="76">
        <f>资产资本表!W63</f>
        <v>6505868.7999999998</v>
      </c>
      <c r="X98" s="76">
        <f>资产资本表!X63</f>
        <v>6049136.9400000004</v>
      </c>
      <c r="Y98" s="76">
        <f>资产资本表!Y63</f>
        <v>7070567.9699999997</v>
      </c>
      <c r="Z98" s="76">
        <f>资产资本表!Z63</f>
        <v>3862587.51</v>
      </c>
      <c r="AA98" s="76">
        <f>资产资本表!AA63</f>
        <v>4102305.61</v>
      </c>
      <c r="AB98" s="76">
        <f>资产资本表!AB63</f>
        <v>3843845.42</v>
      </c>
      <c r="AC98" s="76">
        <f>资产资本表!AC63</f>
        <v>3843845.42</v>
      </c>
      <c r="AD98" s="76">
        <f>资产资本表!AD63</f>
        <v>2765037.8</v>
      </c>
      <c r="AE98" s="76">
        <f>资产资本表!AE63</f>
        <v>3309697.51</v>
      </c>
      <c r="AF98" s="76">
        <f>资产资本表!AF63</f>
        <v>3309697.51</v>
      </c>
      <c r="AG98" s="76">
        <f>资产资本表!AG63</f>
        <v>3309697.51</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539343.63</v>
      </c>
      <c r="AQ98" s="76">
        <f>资产资本表!AQ63</f>
        <v>539343.63</v>
      </c>
      <c r="AR98" s="76">
        <f>资产资本表!AR63</f>
        <v>539343.63</v>
      </c>
      <c r="AS98" s="76">
        <f>资产资本表!AS63</f>
        <v>539343.63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92944735.829999998</v>
      </c>
      <c r="F99" s="93">
        <f>资产资本表!F64</f>
        <v>204269255.68000001</v>
      </c>
      <c r="G99" s="93">
        <f>资产资本表!G64</f>
        <v>194598416.78999999</v>
      </c>
      <c r="H99" s="93">
        <f>资产资本表!H64</f>
        <v>279718505.57999998</v>
      </c>
      <c r="I99" s="93">
        <f>资产资本表!I64</f>
        <v>253811968.69999999</v>
      </c>
      <c r="J99" s="93">
        <f>资产资本表!J64</f>
        <v>185978760.03</v>
      </c>
      <c r="K99" s="93">
        <f>资产资本表!K64</f>
        <v>174245376.86000001</v>
      </c>
      <c r="L99" s="93">
        <f>资产资本表!L64</f>
        <v>168852319.80000001</v>
      </c>
      <c r="M99" s="93">
        <f>资产资本表!M64</f>
        <v>98950904.469999999</v>
      </c>
      <c r="N99" s="93">
        <f>资产资本表!N64</f>
        <v>85706125.209999993</v>
      </c>
      <c r="O99" s="93">
        <f>资产资本表!O64</f>
        <v>85601198.049999997</v>
      </c>
      <c r="P99" s="93">
        <f>资产资本表!P64</f>
        <v>95645793.340000004</v>
      </c>
      <c r="Q99" s="93">
        <f>资产资本表!Q64</f>
        <v>9417450.6899999995</v>
      </c>
      <c r="R99" s="93">
        <f>资产资本表!R64</f>
        <v>12143172.029999999</v>
      </c>
      <c r="S99" s="93">
        <f>资产资本表!S64</f>
        <v>21723010.190000001</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945261776.90499997</v>
      </c>
      <c r="F100" s="197">
        <f t="shared" ref="F100:BQ100" si="54">(F84+J84)/2</f>
        <v>830741029.78999996</v>
      </c>
      <c r="G100" s="197">
        <f t="shared" si="54"/>
        <v>834837692.53999996</v>
      </c>
      <c r="H100" s="197">
        <f t="shared" si="54"/>
        <v>621001621.39499998</v>
      </c>
      <c r="I100" s="197">
        <f t="shared" si="54"/>
        <v>624272374.83500004</v>
      </c>
      <c r="J100" s="197">
        <f t="shared" si="54"/>
        <v>603688444.07999992</v>
      </c>
      <c r="K100" s="197">
        <f t="shared" si="54"/>
        <v>609721407.48500001</v>
      </c>
      <c r="L100" s="197">
        <f t="shared" si="54"/>
        <v>615623954.77499998</v>
      </c>
      <c r="M100" s="197">
        <f t="shared" si="54"/>
        <v>623604925.745</v>
      </c>
      <c r="N100" s="197">
        <f t="shared" si="54"/>
        <v>601583242.94000006</v>
      </c>
      <c r="O100" s="197">
        <f t="shared" si="54"/>
        <v>587412551.62</v>
      </c>
      <c r="P100" s="197">
        <f t="shared" si="54"/>
        <v>590542229.02499998</v>
      </c>
      <c r="Q100" s="197">
        <f t="shared" si="54"/>
        <v>602012004.98000002</v>
      </c>
      <c r="R100" s="197">
        <f t="shared" si="54"/>
        <v>375293146.89499998</v>
      </c>
      <c r="S100" s="197">
        <f t="shared" si="54"/>
        <v>356518167.35500002</v>
      </c>
      <c r="T100" s="197">
        <f t="shared" si="54"/>
        <v>355769539.44</v>
      </c>
      <c r="U100" s="197">
        <f t="shared" si="54"/>
        <v>359445603.19</v>
      </c>
      <c r="V100" s="197">
        <f t="shared" si="54"/>
        <v>156431565.70999998</v>
      </c>
      <c r="W100" s="197">
        <f t="shared" si="54"/>
        <v>155642664.565</v>
      </c>
      <c r="X100" s="197">
        <f t="shared" si="54"/>
        <v>147676354.02500001</v>
      </c>
      <c r="Y100" s="197">
        <f t="shared" si="54"/>
        <v>150095505.76999998</v>
      </c>
      <c r="Z100" s="197">
        <f t="shared" si="54"/>
        <v>149419281.72</v>
      </c>
      <c r="AA100" s="197">
        <f t="shared" si="54"/>
        <v>143874077.85499999</v>
      </c>
      <c r="AB100" s="197">
        <f t="shared" si="54"/>
        <v>128052501.26000001</v>
      </c>
      <c r="AC100" s="197">
        <f t="shared" si="54"/>
        <v>128859130.52500001</v>
      </c>
      <c r="AD100" s="197">
        <f t="shared" si="54"/>
        <v>119764133.84</v>
      </c>
      <c r="AE100" s="197">
        <f t="shared" si="54"/>
        <v>107133508.065</v>
      </c>
      <c r="AF100" s="197">
        <f t="shared" si="54"/>
        <v>99223541.155000001</v>
      </c>
      <c r="AG100" s="197">
        <f t="shared" si="54"/>
        <v>99679685.530000001</v>
      </c>
      <c r="AH100" s="197">
        <f t="shared" si="54"/>
        <v>91990880.150000006</v>
      </c>
      <c r="AI100" s="197">
        <f t="shared" si="54"/>
        <v>86068991.299999997</v>
      </c>
      <c r="AJ100" s="197">
        <f t="shared" si="54"/>
        <v>86026124.454999998</v>
      </c>
      <c r="AK100" s="197">
        <f t="shared" si="54"/>
        <v>87534702.979999989</v>
      </c>
      <c r="AL100" s="197">
        <f t="shared" si="54"/>
        <v>73767382.88499999</v>
      </c>
      <c r="AM100" s="197">
        <f t="shared" si="54"/>
        <v>72654736.010000005</v>
      </c>
      <c r="AN100" s="197">
        <f t="shared" si="54"/>
        <v>63260786.504999995</v>
      </c>
      <c r="AO100" s="197">
        <f t="shared" si="54"/>
        <v>63894491.784999996</v>
      </c>
      <c r="AP100" s="197">
        <f t="shared" si="54"/>
        <v>51919979.174999997</v>
      </c>
      <c r="AQ100" s="197">
        <f t="shared" si="54"/>
        <v>52396703.605000004</v>
      </c>
      <c r="AR100" s="197">
        <f t="shared" si="54"/>
        <v>19469434.800000001</v>
      </c>
      <c r="AS100" s="197">
        <f t="shared" si="54"/>
        <v>19400506.440000001</v>
      </c>
      <c r="AT100" s="197">
        <f t="shared" si="54"/>
        <v>20887381.145</v>
      </c>
      <c r="AU100" s="197">
        <f t="shared" si="54"/>
        <v>22955061.289999999</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0.75723613329912653</v>
      </c>
      <c r="F101" s="252">
        <f t="shared" ref="F101:BQ101" si="56">F100/F84</f>
        <v>0.78244389143397763</v>
      </c>
      <c r="G101" s="252">
        <f t="shared" si="56"/>
        <v>0.78453803072541561</v>
      </c>
      <c r="H101" s="252">
        <f t="shared" si="56"/>
        <v>0.98023074940956079</v>
      </c>
      <c r="I101" s="252">
        <f t="shared" si="56"/>
        <v>0.97205621399323405</v>
      </c>
      <c r="J101" s="252">
        <f t="shared" si="56"/>
        <v>1.0065566542820923</v>
      </c>
      <c r="K101" s="252">
        <f t="shared" si="56"/>
        <v>1.006869251661783</v>
      </c>
      <c r="L101" s="252">
        <f t="shared" si="56"/>
        <v>1.0117451659667045</v>
      </c>
      <c r="M101" s="252">
        <f t="shared" si="56"/>
        <v>1.0284971348904404</v>
      </c>
      <c r="N101" s="252">
        <f t="shared" si="56"/>
        <v>0.99006354974885424</v>
      </c>
      <c r="O101" s="252">
        <f t="shared" si="56"/>
        <v>0.95688316753969993</v>
      </c>
      <c r="P101" s="252">
        <f t="shared" si="56"/>
        <v>0.94824997941158895</v>
      </c>
      <c r="Q101" s="252">
        <f t="shared" si="56"/>
        <v>0.93934703343896186</v>
      </c>
      <c r="R101" s="252">
        <f t="shared" si="56"/>
        <v>0.63016688595007553</v>
      </c>
      <c r="S101" s="252">
        <f t="shared" si="56"/>
        <v>0.63556826573407632</v>
      </c>
      <c r="T101" s="252">
        <f t="shared" si="56"/>
        <v>0.6372214266527696</v>
      </c>
      <c r="U101" s="252">
        <f t="shared" si="56"/>
        <v>0.63828758606496871</v>
      </c>
      <c r="V101" s="252">
        <f t="shared" si="56"/>
        <v>1.0089713290303455</v>
      </c>
      <c r="W101" s="252">
        <f t="shared" si="56"/>
        <v>1.0233428518263932</v>
      </c>
      <c r="X101" s="252">
        <f t="shared" si="56"/>
        <v>0.96378606925164945</v>
      </c>
      <c r="Y101" s="252">
        <f t="shared" si="56"/>
        <v>0.96369081482033758</v>
      </c>
      <c r="Z101" s="252">
        <f t="shared" si="56"/>
        <v>0.9467553399750378</v>
      </c>
      <c r="AA101" s="252">
        <f t="shared" si="56"/>
        <v>0.90377175372005081</v>
      </c>
      <c r="AB101" s="252">
        <f t="shared" si="56"/>
        <v>0.90096942642515787</v>
      </c>
      <c r="AC101" s="252">
        <f t="shared" si="56"/>
        <v>0.89212711403859668</v>
      </c>
      <c r="AD101" s="252">
        <f t="shared" si="56"/>
        <v>0.84929418199290518</v>
      </c>
      <c r="AE101" s="252">
        <f t="shared" si="56"/>
        <v>0.83336567195251643</v>
      </c>
      <c r="AF101" s="252">
        <f t="shared" si="56"/>
        <v>0.87055347862452193</v>
      </c>
      <c r="AG101" s="252">
        <f t="shared" si="56"/>
        <v>0.87995676152495328</v>
      </c>
      <c r="AH101" s="252">
        <f t="shared" si="56"/>
        <v>0.93380199545920994</v>
      </c>
      <c r="AI101" s="252">
        <f t="shared" si="56"/>
        <v>1.0041674088044108</v>
      </c>
      <c r="AJ101" s="252">
        <f t="shared" si="56"/>
        <v>1.0184276942155441</v>
      </c>
      <c r="AK101" s="252">
        <f t="shared" si="56"/>
        <v>1.0168824753611707</v>
      </c>
      <c r="AL101" s="252">
        <f t="shared" si="56"/>
        <v>0.86308358794006146</v>
      </c>
      <c r="AM101" s="252">
        <f t="shared" si="56"/>
        <v>0.8406564978059714</v>
      </c>
      <c r="AN101" s="252">
        <f t="shared" si="56"/>
        <v>0.72229771452541192</v>
      </c>
      <c r="AO101" s="252">
        <f t="shared" si="56"/>
        <v>0.71801268519296757</v>
      </c>
      <c r="AP101" s="252">
        <f t="shared" si="56"/>
        <v>0.83653935653095546</v>
      </c>
      <c r="AQ101" s="252">
        <f t="shared" si="56"/>
        <v>0.88984002733952106</v>
      </c>
      <c r="AR101" s="252">
        <f t="shared" si="56"/>
        <v>0.5</v>
      </c>
      <c r="AS101" s="252">
        <f t="shared" si="56"/>
        <v>0.5</v>
      </c>
      <c r="AT101" s="252">
        <f t="shared" si="56"/>
        <v>0.5</v>
      </c>
      <c r="AU101" s="252">
        <f t="shared" si="56"/>
        <v>0.5</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1" workbookViewId="0">
      <selection activeCell="E27" sqref="E27"/>
    </sheetView>
  </sheetViews>
  <sheetFormatPr defaultRowHeight="14.4" x14ac:dyDescent="0.25"/>
  <cols>
    <col min="1" max="1" width="63.21875" style="17" bestFit="1" customWidth="1"/>
    <col min="2" max="4" width="9.5546875" hidden="1" customWidth="1"/>
    <col min="5" max="5" width="20.44140625" bestFit="1" customWidth="1"/>
    <col min="6" max="8" width="22.6640625" hidden="1" customWidth="1"/>
    <col min="9" max="9" width="20.44140625" bestFit="1" customWidth="1"/>
    <col min="10" max="12" width="20.21875" hidden="1" customWidth="1"/>
    <col min="13" max="13" width="20.44140625" bestFit="1" customWidth="1"/>
    <col min="14" max="16" width="20.21875" hidden="1" customWidth="1"/>
    <col min="17" max="17" width="20.21875" bestFit="1" customWidth="1"/>
    <col min="18" max="18" width="20.21875" hidden="1" customWidth="1"/>
    <col min="19" max="19" width="22.66406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8" width="20.21875" hidden="1" customWidth="1"/>
    <col min="29" max="29" width="19.33203125" bestFit="1" customWidth="1"/>
    <col min="30" max="31" width="20.21875" hidden="1" customWidth="1"/>
    <col min="32" max="32" width="19" hidden="1" customWidth="1"/>
    <col min="33" max="33" width="19.33203125" bestFit="1" customWidth="1"/>
    <col min="34" max="34" width="19.33203125" hidden="1" customWidth="1"/>
    <col min="35" max="36" width="19" hidden="1" customWidth="1"/>
    <col min="37" max="37" width="17.77734375" bestFit="1" customWidth="1"/>
    <col min="38" max="38" width="17.77734375" hidden="1" customWidth="1"/>
    <col min="39" max="39" width="17.21875" hidden="1" customWidth="1"/>
    <col min="40" max="40" width="19" hidden="1" customWidth="1"/>
    <col min="41" max="41" width="17.77734375" bestFit="1" customWidth="1"/>
    <col min="42" max="44" width="19" hidden="1" customWidth="1"/>
    <col min="45" max="45" width="17.77734375" bestFit="1" customWidth="1"/>
    <col min="46" max="46" width="17.21875" hidden="1" customWidth="1"/>
    <col min="47" max="48" width="19" hidden="1" customWidth="1"/>
    <col min="49" max="49" width="19" bestFit="1" customWidth="1"/>
    <col min="50" max="50" width="17.77734375" bestFit="1" customWidth="1"/>
    <col min="51" max="51" width="9.5546875" hidden="1" customWidth="1"/>
    <col min="52"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16125642536.809999</v>
      </c>
      <c r="F2" s="26">
        <f>现金流量表!F4</f>
        <v>10440057304.6</v>
      </c>
      <c r="G2" s="26">
        <f>现金流量表!G4</f>
        <v>6660197246.6499996</v>
      </c>
      <c r="H2" s="26">
        <f>现金流量表!H4</f>
        <v>2929814830.9699998</v>
      </c>
      <c r="I2" s="26">
        <f>现金流量表!I4</f>
        <v>11615951324.18</v>
      </c>
      <c r="J2" s="26">
        <f>现金流量表!J4</f>
        <v>7813028118.3900003</v>
      </c>
      <c r="K2" s="26">
        <f>现金流量表!K4</f>
        <v>5147145993.9099998</v>
      </c>
      <c r="L2" s="26">
        <f>现金流量表!L4</f>
        <v>2641200159.5900002</v>
      </c>
      <c r="M2" s="26">
        <f>现金流量表!M4</f>
        <v>7870982462.46</v>
      </c>
      <c r="N2" s="26">
        <f>现金流量表!N4</f>
        <v>5280686758.8800001</v>
      </c>
      <c r="O2" s="26">
        <f>现金流量表!O4</f>
        <v>3217630355.6799998</v>
      </c>
      <c r="P2" s="26">
        <f>现金流量表!P4</f>
        <v>1341995120.6900001</v>
      </c>
      <c r="Q2" s="26">
        <f>现金流量表!Q4</f>
        <v>5405523594.0900002</v>
      </c>
      <c r="R2" s="26">
        <f>现金流量表!R4</f>
        <v>3797889765.1599998</v>
      </c>
      <c r="S2" s="26">
        <f>现金流量表!S4</f>
        <v>2255738217.1700001</v>
      </c>
      <c r="T2" s="26">
        <f>现金流量表!T4</f>
        <v>930082082.76999998</v>
      </c>
      <c r="U2" s="26">
        <f>现金流量表!U4</f>
        <v>3947865318.8600001</v>
      </c>
      <c r="V2" s="26">
        <f>现金流量表!V4</f>
        <v>2627472013.1799998</v>
      </c>
      <c r="W2" s="26">
        <f>现金流量表!W4</f>
        <v>1603069870.02</v>
      </c>
      <c r="X2" s="26">
        <f>现金流量表!X4</f>
        <v>847667851.20000005</v>
      </c>
      <c r="Y2" s="26">
        <f>现金流量表!Y4</f>
        <v>3090468155.0500002</v>
      </c>
      <c r="Z2" s="26">
        <f>现金流量表!Z4</f>
        <v>2199119860.52</v>
      </c>
      <c r="AA2" s="26">
        <f>现金流量表!AA4</f>
        <v>1277429568.26</v>
      </c>
      <c r="AB2" s="26">
        <f>现金流量表!AB4</f>
        <v>545101027.58000004</v>
      </c>
      <c r="AC2" s="26">
        <f>现金流量表!AC4</f>
        <v>2233252151.3800001</v>
      </c>
      <c r="AD2" s="26">
        <f>现金流量表!AD4</f>
        <v>1385004638.25</v>
      </c>
      <c r="AE2" s="26">
        <f>现金流量表!AE4</f>
        <v>844225061.79999995</v>
      </c>
      <c r="AF2" s="26">
        <f>现金流量表!AF4</f>
        <v>367380057.00999999</v>
      </c>
      <c r="AG2" s="26">
        <f>现金流量表!AG4</f>
        <v>1582470430.3199999</v>
      </c>
      <c r="AH2" s="26">
        <f>现金流量表!AH4</f>
        <v>1019011333.14</v>
      </c>
      <c r="AI2" s="26">
        <f>现金流量表!AI4</f>
        <v>597416322.95000005</v>
      </c>
      <c r="AJ2" s="26">
        <f>现金流量表!AJ4</f>
        <v>263380650.94999999</v>
      </c>
      <c r="AK2" s="26">
        <f>现金流量表!AK4</f>
        <v>865187114.36000001</v>
      </c>
      <c r="AL2" s="26">
        <f>现金流量表!AL4</f>
        <v>530768835.19</v>
      </c>
      <c r="AM2" s="26">
        <f>现金流量表!AM4</f>
        <v>312242141.31999999</v>
      </c>
      <c r="AN2" s="26">
        <f>现金流量表!AN4</f>
        <v>145860717.49000001</v>
      </c>
      <c r="AO2" s="26">
        <f>现金流量表!AO4</f>
        <v>692223132.84000003</v>
      </c>
      <c r="AP2" s="26">
        <f>现金流量表!AP4</f>
        <v>458892506.45999998</v>
      </c>
      <c r="AQ2" s="26">
        <f>现金流量表!AQ4</f>
        <v>234395153.06999999</v>
      </c>
      <c r="AR2" s="26">
        <f>现金流量表!AR4</f>
        <v>95695537.599999994</v>
      </c>
      <c r="AS2" s="26">
        <f>现金流量表!AS4</f>
        <v>449022276.19</v>
      </c>
      <c r="AT2" s="26">
        <f>现金流量表!AT4</f>
        <v>273844043.89999998</v>
      </c>
      <c r="AU2" s="26">
        <f>现金流量表!AU4</f>
        <v>148731733.83000001</v>
      </c>
      <c r="AV2" s="26">
        <f>现金流量表!AV4</f>
        <v>66928225.350000001</v>
      </c>
      <c r="AW2" s="26">
        <f>现金流量表!AW4</f>
        <v>380395127.16000003</v>
      </c>
      <c r="AX2" s="26">
        <f>现金流量表!AX4</f>
        <v>300881572.00999999</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18844458053.779999</v>
      </c>
      <c r="F3" s="26">
        <f>利润表!F3</f>
        <v>11723294881.290001</v>
      </c>
      <c r="G3" s="26">
        <f>利润表!G3</f>
        <v>7464664934.3800001</v>
      </c>
      <c r="H3" s="26">
        <f>利润表!H3</f>
        <v>2648612419.3600001</v>
      </c>
      <c r="I3" s="26">
        <f>利润表!I3</f>
        <v>13329094010.82</v>
      </c>
      <c r="J3" s="26">
        <f>利润表!J3</f>
        <v>7968634527.2799997</v>
      </c>
      <c r="K3" s="26">
        <f>利润表!K3</f>
        <v>4949746889.5100002</v>
      </c>
      <c r="L3" s="26">
        <f>利润表!L3</f>
        <v>1782728113.9400001</v>
      </c>
      <c r="M3" s="26">
        <f>利润表!M3</f>
        <v>10077833438.49</v>
      </c>
      <c r="N3" s="26">
        <f>利润表!N3</f>
        <v>5830194178.29</v>
      </c>
      <c r="O3" s="26">
        <f>利润表!O3</f>
        <v>3468887211.1300001</v>
      </c>
      <c r="P3" s="26">
        <f>利润表!P3</f>
        <v>1202598595.55</v>
      </c>
      <c r="Q3" s="26">
        <f>利润表!Q3</f>
        <v>7331881449.46</v>
      </c>
      <c r="R3" s="26">
        <f>利润表!R3</f>
        <v>4647473079.6899996</v>
      </c>
      <c r="S3" s="26">
        <f>利润表!S3</f>
        <v>3042521916.96</v>
      </c>
      <c r="T3" s="26">
        <f>利润表!T3</f>
        <v>1144820982.71</v>
      </c>
      <c r="U3" s="26">
        <f>利润表!U3</f>
        <v>5410094042.8000002</v>
      </c>
      <c r="V3" s="26">
        <f>利润表!V3</f>
        <v>3259172104.4099998</v>
      </c>
      <c r="W3" s="26">
        <f>利润表!W3</f>
        <v>2031589599.46</v>
      </c>
      <c r="X3" s="26">
        <f>利润表!X3</f>
        <v>788467237.58000004</v>
      </c>
      <c r="Y3" s="26">
        <f>利润表!Y3</f>
        <v>3531214471.6199999</v>
      </c>
      <c r="Z3" s="26">
        <f>利润表!Z3</f>
        <v>2192882979.0100002</v>
      </c>
      <c r="AA3" s="26">
        <f>利润表!AA3</f>
        <v>1296870812.8800001</v>
      </c>
      <c r="AB3" s="26">
        <f>利润表!AB3</f>
        <v>498029565.17000002</v>
      </c>
      <c r="AC3" s="26">
        <f>利润表!AC3</f>
        <v>2205208207.0799999</v>
      </c>
      <c r="AD3" s="26">
        <f>利润表!AD3</f>
        <v>1460699765.0599999</v>
      </c>
      <c r="AE3" s="26">
        <f>利润表!AE3</f>
        <v>894260544.45000005</v>
      </c>
      <c r="AF3" s="26">
        <f>利润表!AF3</f>
        <v>328634906.66000003</v>
      </c>
      <c r="AG3" s="26">
        <f>利润表!AG3</f>
        <v>1516275445.1600001</v>
      </c>
      <c r="AH3" s="26">
        <f>利润表!AH3</f>
        <v>957975121.67999995</v>
      </c>
      <c r="AI3" s="26">
        <f>利润表!AI3</f>
        <v>570649139.51999998</v>
      </c>
      <c r="AJ3" s="26">
        <f>利润表!AJ3</f>
        <v>212729003.41999999</v>
      </c>
      <c r="AK3" s="26">
        <f>利润表!AK3</f>
        <v>835942072.07000005</v>
      </c>
      <c r="AL3" s="26">
        <f>利润表!AL3</f>
        <v>518260863.69</v>
      </c>
      <c r="AM3" s="26">
        <f>利润表!AM3</f>
        <v>299015862</v>
      </c>
      <c r="AN3" s="26">
        <f>利润表!AN3</f>
        <v>129896906.78</v>
      </c>
      <c r="AO3" s="26">
        <f>利润表!AO3</f>
        <v>632018390.76999998</v>
      </c>
      <c r="AP3" s="26">
        <f>利润表!AP3</f>
        <v>444354759.20999998</v>
      </c>
      <c r="AQ3" s="26">
        <f>利润表!AQ3</f>
        <v>264817613.74000001</v>
      </c>
      <c r="AR3" s="26">
        <f>利润表!AR3</f>
        <v>79182563.640000001</v>
      </c>
      <c r="AS3" s="26">
        <f>利润表!AS3</f>
        <v>405185173.70999998</v>
      </c>
      <c r="AT3" s="26">
        <f>利润表!AT3</f>
        <v>257689679.09</v>
      </c>
      <c r="AU3" s="26">
        <f>利润表!AU3</f>
        <v>139893683.97999999</v>
      </c>
      <c r="AV3" s="26">
        <f>利润表!AV3</f>
        <v>50910017.090000004</v>
      </c>
      <c r="AW3" s="26">
        <f>利润表!AW3</f>
        <v>445538267</v>
      </c>
      <c r="AX3" s="26">
        <f>利润表!AX3</f>
        <v>293144590.5</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0.7313874678421608</v>
      </c>
      <c r="F5" s="28">
        <f t="shared" ref="F5:BQ5" si="2">(F2/(1+F4))/F3</f>
        <v>0.76114488219592102</v>
      </c>
      <c r="G5" s="28">
        <f t="shared" si="2"/>
        <v>0.76258965797248335</v>
      </c>
      <c r="H5" s="28">
        <f t="shared" si="2"/>
        <v>0.94544419630501586</v>
      </c>
      <c r="I5" s="28">
        <f t="shared" si="2"/>
        <v>0.74484908853376719</v>
      </c>
      <c r="J5" s="28">
        <f t="shared" si="2"/>
        <v>0.83801080194214084</v>
      </c>
      <c r="K5" s="28">
        <f t="shared" si="2"/>
        <v>0.888786877080186</v>
      </c>
      <c r="L5" s="28">
        <f t="shared" si="2"/>
        <v>1.2662817264088897</v>
      </c>
      <c r="M5" s="28">
        <f t="shared" si="2"/>
        <v>0.66753786704853324</v>
      </c>
      <c r="N5" s="28">
        <f t="shared" si="2"/>
        <v>0.77414359594211801</v>
      </c>
      <c r="O5" s="28">
        <f t="shared" si="2"/>
        <v>0.79279355243587013</v>
      </c>
      <c r="P5" s="28">
        <f t="shared" si="2"/>
        <v>0.95377159170350212</v>
      </c>
      <c r="Q5" s="28">
        <f t="shared" si="2"/>
        <v>0.6301391624812257</v>
      </c>
      <c r="R5" s="28">
        <f t="shared" si="2"/>
        <v>0.69845689747564976</v>
      </c>
      <c r="S5" s="28">
        <f t="shared" si="2"/>
        <v>0.6336787161497146</v>
      </c>
      <c r="T5" s="28">
        <f t="shared" si="2"/>
        <v>0.69438101073558023</v>
      </c>
      <c r="U5" s="28">
        <f t="shared" si="2"/>
        <v>0.6236941235363741</v>
      </c>
      <c r="V5" s="28">
        <f t="shared" si="2"/>
        <v>0.68904080650691979</v>
      </c>
      <c r="W5" s="28">
        <f t="shared" si="2"/>
        <v>0.67442026106821429</v>
      </c>
      <c r="X5" s="28">
        <f t="shared" si="2"/>
        <v>0.9188744977492701</v>
      </c>
      <c r="Y5" s="28">
        <f t="shared" si="2"/>
        <v>0.74802190429832871</v>
      </c>
      <c r="Z5" s="28">
        <f t="shared" si="2"/>
        <v>0.85713174955857829</v>
      </c>
      <c r="AA5" s="28">
        <f t="shared" si="2"/>
        <v>0.84188813023506026</v>
      </c>
      <c r="AB5" s="28">
        <f t="shared" si="2"/>
        <v>0.93548324588301912</v>
      </c>
      <c r="AC5" s="28">
        <f t="shared" si="2"/>
        <v>0.8655702062139855</v>
      </c>
      <c r="AD5" s="28">
        <f t="shared" si="2"/>
        <v>0.81040928217599772</v>
      </c>
      <c r="AE5" s="28">
        <f t="shared" si="2"/>
        <v>0.80687880770153531</v>
      </c>
      <c r="AF5" s="28">
        <f t="shared" si="2"/>
        <v>0.95546773140369645</v>
      </c>
      <c r="AG5" s="28">
        <f t="shared" si="2"/>
        <v>0.89201393694706366</v>
      </c>
      <c r="AH5" s="28">
        <f t="shared" si="2"/>
        <v>0.90915707274029367</v>
      </c>
      <c r="AI5" s="28">
        <f t="shared" si="2"/>
        <v>0.89479192462658763</v>
      </c>
      <c r="AJ5" s="28">
        <f t="shared" si="2"/>
        <v>1.0582086309791283</v>
      </c>
      <c r="AK5" s="28">
        <f t="shared" si="2"/>
        <v>0.88460216422476701</v>
      </c>
      <c r="AL5" s="28">
        <f t="shared" si="2"/>
        <v>0.87532864020545076</v>
      </c>
      <c r="AM5" s="28">
        <f t="shared" si="2"/>
        <v>0.89250658234254165</v>
      </c>
      <c r="AN5" s="28">
        <f t="shared" si="2"/>
        <v>0.95974017392982081</v>
      </c>
      <c r="AO5" s="28">
        <f t="shared" si="2"/>
        <v>0.93611785973702533</v>
      </c>
      <c r="AP5" s="28">
        <f t="shared" si="2"/>
        <v>0.88266370362384294</v>
      </c>
      <c r="AQ5" s="28">
        <f t="shared" si="2"/>
        <v>0.75651213239675152</v>
      </c>
      <c r="AR5" s="28">
        <f t="shared" si="2"/>
        <v>1.0329427845963308</v>
      </c>
      <c r="AS5" s="28">
        <f t="shared" si="2"/>
        <v>0.94717119021239393</v>
      </c>
      <c r="AT5" s="28">
        <f t="shared" si="2"/>
        <v>0.90828138403759295</v>
      </c>
      <c r="AU5" s="28">
        <f t="shared" si="2"/>
        <v>0.90869820858971029</v>
      </c>
      <c r="AV5" s="28">
        <f t="shared" si="2"/>
        <v>1.123621925114078</v>
      </c>
      <c r="AW5" s="28">
        <f t="shared" si="2"/>
        <v>0.72973314390454447</v>
      </c>
      <c r="AX5" s="28">
        <f t="shared" si="2"/>
        <v>0.87725902197974814</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10542785834.76</v>
      </c>
      <c r="F6" s="26">
        <f>现金流量表!F8</f>
        <v>8177127518.54</v>
      </c>
      <c r="G6" s="26">
        <f>现金流量表!G8</f>
        <v>5102571198.6099997</v>
      </c>
      <c r="H6" s="26">
        <f>现金流量表!H8</f>
        <v>3089045331.27</v>
      </c>
      <c r="I6" s="26">
        <f>现金流量表!I8</f>
        <v>7738509757.1599998</v>
      </c>
      <c r="J6" s="26">
        <f>现金流量表!J8</f>
        <v>6129457614.0100002</v>
      </c>
      <c r="K6" s="26">
        <f>现金流量表!K8</f>
        <v>4037907159.21</v>
      </c>
      <c r="L6" s="26">
        <f>现金流量表!L8</f>
        <v>2460305973.2399998</v>
      </c>
      <c r="M6" s="26">
        <f>现金流量表!M8</f>
        <v>5494355852.7700005</v>
      </c>
      <c r="N6" s="26">
        <f>现金流量表!N8</f>
        <v>4337740984.46</v>
      </c>
      <c r="O6" s="26">
        <f>现金流量表!O8</f>
        <v>2628371749.8099999</v>
      </c>
      <c r="P6" s="26">
        <f>现金流量表!P8</f>
        <v>1291664456.8399999</v>
      </c>
      <c r="Q6" s="26">
        <f>现金流量表!Q8</f>
        <v>3581229669.8299999</v>
      </c>
      <c r="R6" s="26">
        <f>现金流量表!R8</f>
        <v>3281779908.4499998</v>
      </c>
      <c r="S6" s="26">
        <f>现金流量表!S8</f>
        <v>2131159890.77</v>
      </c>
      <c r="T6" s="26">
        <f>现金流量表!T8</f>
        <v>921815067.01999998</v>
      </c>
      <c r="U6" s="26">
        <f>现金流量表!U8</f>
        <v>2340387654.8899999</v>
      </c>
      <c r="V6" s="26">
        <f>现金流量表!V8</f>
        <v>1670538384.48</v>
      </c>
      <c r="W6" s="26">
        <f>现金流量表!W8</f>
        <v>1041809967.23</v>
      </c>
      <c r="X6" s="26">
        <f>现金流量表!X8</f>
        <v>680912596.05999994</v>
      </c>
      <c r="Y6" s="26">
        <f>现金流量表!Y8</f>
        <v>1829277324.1700001</v>
      </c>
      <c r="Z6" s="26">
        <f>现金流量表!Z8</f>
        <v>1555105792.0699999</v>
      </c>
      <c r="AA6" s="26">
        <f>现金流量表!AA8</f>
        <v>998989336.21000004</v>
      </c>
      <c r="AB6" s="26">
        <f>现金流量表!AB8</f>
        <v>546477559.61000001</v>
      </c>
      <c r="AC6" s="26">
        <f>现金流量表!AC8</f>
        <v>1593855796.3</v>
      </c>
      <c r="AD6" s="26">
        <f>现金流量表!AD8</f>
        <v>1080354252.7</v>
      </c>
      <c r="AE6" s="26">
        <f>现金流量表!AE8</f>
        <v>627875080.73000002</v>
      </c>
      <c r="AF6" s="26">
        <f>现金流量表!AF8</f>
        <v>297551899.41000003</v>
      </c>
      <c r="AG6" s="26">
        <f>现金流量表!AG8</f>
        <v>1131775704.0899999</v>
      </c>
      <c r="AH6" s="26">
        <f>现金流量表!AH8</f>
        <v>803359931.33000004</v>
      </c>
      <c r="AI6" s="26">
        <f>现金流量表!AI8</f>
        <v>458207917.16000003</v>
      </c>
      <c r="AJ6" s="26">
        <f>现金流量表!AJ8</f>
        <v>229158485.09</v>
      </c>
      <c r="AK6" s="26">
        <f>现金流量表!AK8</f>
        <v>625436976.58000004</v>
      </c>
      <c r="AL6" s="26">
        <f>现金流量表!AL8</f>
        <v>357072275.50999999</v>
      </c>
      <c r="AM6" s="26">
        <f>现金流量表!AM8</f>
        <v>204997508.15000001</v>
      </c>
      <c r="AN6" s="26">
        <f>现金流量表!AN8</f>
        <v>98640320.739999995</v>
      </c>
      <c r="AO6" s="26">
        <f>现金流量表!AO8</f>
        <v>539603360.35000002</v>
      </c>
      <c r="AP6" s="26">
        <f>现金流量表!AP8</f>
        <v>400860232.11000001</v>
      </c>
      <c r="AQ6" s="26">
        <f>现金流量表!AQ8</f>
        <v>208268425.80000001</v>
      </c>
      <c r="AR6" s="26">
        <f>现金流量表!AR8</f>
        <v>88675977.200000003</v>
      </c>
      <c r="AS6" s="26">
        <f>现金流量表!AS8</f>
        <v>294886066.75999999</v>
      </c>
      <c r="AT6" s="26">
        <f>现金流量表!AT8</f>
        <v>211974504.22</v>
      </c>
      <c r="AU6" s="26">
        <f>现金流量表!AU8</f>
        <v>136241605.68000001</v>
      </c>
      <c r="AV6" s="26">
        <f>现金流量表!AV8</f>
        <v>56647721.32</v>
      </c>
      <c r="AW6" s="26">
        <f>现金流量表!AW8</f>
        <v>286950967.75999999</v>
      </c>
      <c r="AX6" s="26">
        <f>现金流量表!AX8</f>
        <v>208681954.33000001</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3150935592.9899998</v>
      </c>
      <c r="F7" s="26">
        <f>现金流量表!F9</f>
        <v>2225705207.9099998</v>
      </c>
      <c r="G7" s="26">
        <f>现金流量表!G9</f>
        <v>1527842972.72</v>
      </c>
      <c r="H7" s="26">
        <f>现金流量表!H9</f>
        <v>918683532.88999999</v>
      </c>
      <c r="I7" s="26">
        <f>现金流量表!I9</f>
        <v>2209622441.3299999</v>
      </c>
      <c r="J7" s="26">
        <f>现金流量表!J9</f>
        <v>1508210226.5899999</v>
      </c>
      <c r="K7" s="26">
        <f>现金流量表!K9</f>
        <v>1014800398.83</v>
      </c>
      <c r="L7" s="26">
        <f>现金流量表!L9</f>
        <v>611415319.22000003</v>
      </c>
      <c r="M7" s="26">
        <f>现金流量表!M9</f>
        <v>1538779648.96</v>
      </c>
      <c r="N7" s="26">
        <f>现金流量表!N9</f>
        <v>1060353695.98</v>
      </c>
      <c r="O7" s="26">
        <f>现金流量表!O9</f>
        <v>725223870.70000005</v>
      </c>
      <c r="P7" s="26">
        <f>现金流量表!P9</f>
        <v>429789995.91000003</v>
      </c>
      <c r="Q7" s="26">
        <f>现金流量表!Q9</f>
        <v>1200980551.8499999</v>
      </c>
      <c r="R7" s="26">
        <f>现金流量表!R9</f>
        <v>890916523.96000004</v>
      </c>
      <c r="S7" s="26">
        <f>现金流量表!S9</f>
        <v>631470486.41999996</v>
      </c>
      <c r="T7" s="26">
        <f>现金流量表!T9</f>
        <v>396623663.12</v>
      </c>
      <c r="U7" s="26">
        <f>现金流量表!U9</f>
        <v>773938326.41999996</v>
      </c>
      <c r="V7" s="26">
        <f>现金流量表!V9</f>
        <v>577821352.02999997</v>
      </c>
      <c r="W7" s="26">
        <f>现金流量表!W9</f>
        <v>402085674.43000001</v>
      </c>
      <c r="X7" s="26">
        <f>现金流量表!X9</f>
        <v>256378977.34</v>
      </c>
      <c r="Y7" s="26">
        <f>现金流量表!Y9</f>
        <v>484845612.44999999</v>
      </c>
      <c r="Z7" s="26">
        <f>现金流量表!Z9</f>
        <v>343697600.80000001</v>
      </c>
      <c r="AA7" s="26">
        <f>现金流量表!AA9</f>
        <v>230674796.31999999</v>
      </c>
      <c r="AB7" s="26">
        <f>现金流量表!AB9</f>
        <v>129738792.42</v>
      </c>
      <c r="AC7" s="26">
        <f>现金流量表!AC9</f>
        <v>291339692.26999998</v>
      </c>
      <c r="AD7" s="26">
        <f>现金流量表!AD9</f>
        <v>221831452.03</v>
      </c>
      <c r="AE7" s="26">
        <f>现金流量表!AE9</f>
        <v>147924055.97</v>
      </c>
      <c r="AF7" s="26">
        <f>现金流量表!AF9</f>
        <v>94526386.769999996</v>
      </c>
      <c r="AG7" s="26">
        <f>现金流量表!AG9</f>
        <v>175693779.88999999</v>
      </c>
      <c r="AH7" s="26">
        <f>现金流量表!AH9</f>
        <v>126545343.89</v>
      </c>
      <c r="AI7" s="26">
        <f>现金流量表!AI9</f>
        <v>81647369.780000001</v>
      </c>
      <c r="AJ7" s="26">
        <f>现金流量表!AJ9</f>
        <v>47637037.729999997</v>
      </c>
      <c r="AK7" s="26">
        <f>现金流量表!AK9</f>
        <v>108355580.98999999</v>
      </c>
      <c r="AL7" s="26">
        <f>现金流量表!AL9</f>
        <v>77960689.879999995</v>
      </c>
      <c r="AM7" s="26">
        <f>现金流量表!AM9</f>
        <v>54900360.18</v>
      </c>
      <c r="AN7" s="26">
        <f>现金流量表!AN9</f>
        <v>32418940.510000002</v>
      </c>
      <c r="AO7" s="26">
        <f>现金流量表!AO9</f>
        <v>71257477.689999998</v>
      </c>
      <c r="AP7" s="26">
        <f>现金流量表!AP9</f>
        <v>51793808.479999997</v>
      </c>
      <c r="AQ7" s="26">
        <f>现金流量表!AQ9</f>
        <v>34332626.280000001</v>
      </c>
      <c r="AR7" s="26">
        <f>现金流量表!AR9</f>
        <v>20501359.609999999</v>
      </c>
      <c r="AS7" s="26">
        <f>现金流量表!AS9</f>
        <v>40451477.920000002</v>
      </c>
      <c r="AT7" s="26">
        <f>现金流量表!AT9</f>
        <v>29907779.34</v>
      </c>
      <c r="AU7" s="26">
        <f>现金流量表!AU9</f>
        <v>19637982.280000001</v>
      </c>
      <c r="AV7" s="26">
        <f>现金流量表!AV9</f>
        <v>17200001.940000001</v>
      </c>
      <c r="AW7" s="26">
        <f>现金流量表!AW9</f>
        <v>41435027.630000003</v>
      </c>
      <c r="AX7" s="26">
        <f>现金流量表!AX9</f>
        <v>19618941.829999998</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11639494423.209999</v>
      </c>
      <c r="F8" s="58">
        <f>利润表!F6</f>
        <v>7135008488.79</v>
      </c>
      <c r="G8" s="58">
        <f>利润表!G6</f>
        <v>4520040801.1400003</v>
      </c>
      <c r="H8" s="58">
        <f>利润表!H6</f>
        <v>1595885119.46</v>
      </c>
      <c r="I8" s="58">
        <f>利润表!I6</f>
        <v>8303330527.9899998</v>
      </c>
      <c r="J8" s="58">
        <f>利润表!J6</f>
        <v>4896834064.1800003</v>
      </c>
      <c r="K8" s="58">
        <f>利润表!K6</f>
        <v>3046785118.8600001</v>
      </c>
      <c r="L8" s="58">
        <f>利润表!L6</f>
        <v>1092805341.8900001</v>
      </c>
      <c r="M8" s="58">
        <f>利润表!M6</f>
        <v>6326729830.1899996</v>
      </c>
      <c r="N8" s="58">
        <f>利润表!N6</f>
        <v>3604511249.5</v>
      </c>
      <c r="O8" s="58">
        <f>利润表!O6</f>
        <v>2145251631.1700001</v>
      </c>
      <c r="P8" s="58">
        <f>利润表!P6</f>
        <v>747062083.16999996</v>
      </c>
      <c r="Q8" s="58">
        <f>利润表!Q6</f>
        <v>4535434866.8100004</v>
      </c>
      <c r="R8" s="58">
        <f>利润表!R6</f>
        <v>2893366049.1599998</v>
      </c>
      <c r="S8" s="58">
        <f>利润表!S6</f>
        <v>1889810162.6700001</v>
      </c>
      <c r="T8" s="58">
        <f>利润表!T6</f>
        <v>666508253.00999999</v>
      </c>
      <c r="U8" s="58">
        <f>利润表!U6</f>
        <v>3093424246.1199999</v>
      </c>
      <c r="V8" s="58">
        <f>利润表!V6</f>
        <v>1845258095.8399999</v>
      </c>
      <c r="W8" s="58">
        <f>利润表!W6</f>
        <v>1138758255.5</v>
      </c>
      <c r="X8" s="58">
        <f>利润表!X6</f>
        <v>455317949.39999998</v>
      </c>
      <c r="Y8" s="58">
        <f>利润表!Y6</f>
        <v>2024408961.3800001</v>
      </c>
      <c r="Z8" s="58">
        <f>利润表!Z6</f>
        <v>1266358555.21</v>
      </c>
      <c r="AA8" s="58">
        <f>利润表!AA6</f>
        <v>756705697.53999996</v>
      </c>
      <c r="AB8" s="58">
        <f>利润表!AB6</f>
        <v>298068983.63</v>
      </c>
      <c r="AC8" s="58">
        <f>利润表!AC6</f>
        <v>1273054979.3800001</v>
      </c>
      <c r="AD8" s="58">
        <f>利润表!AD6</f>
        <v>866086435.67999995</v>
      </c>
      <c r="AE8" s="58">
        <f>利润表!AE6</f>
        <v>526147755.11000001</v>
      </c>
      <c r="AF8" s="58">
        <f>利润表!AF6</f>
        <v>189841253.94</v>
      </c>
      <c r="AG8" s="58">
        <f>利润表!AG6</f>
        <v>860147255.85000002</v>
      </c>
      <c r="AH8" s="58">
        <f>利润表!AH6</f>
        <v>556344037.27999997</v>
      </c>
      <c r="AI8" s="58">
        <f>利润表!AI6</f>
        <v>329947315.69</v>
      </c>
      <c r="AJ8" s="58">
        <f>利润表!AJ6</f>
        <v>123225849.36</v>
      </c>
      <c r="AK8" s="58">
        <f>利润表!AK6</f>
        <v>511547595.32999998</v>
      </c>
      <c r="AL8" s="58">
        <f>利润表!AL6</f>
        <v>320126727.70999998</v>
      </c>
      <c r="AM8" s="58">
        <f>利润表!AM6</f>
        <v>181632798.91999999</v>
      </c>
      <c r="AN8" s="58">
        <f>利润表!AN6</f>
        <v>77656127.25</v>
      </c>
      <c r="AO8" s="58">
        <f>利润表!AO6</f>
        <v>386541826.72000003</v>
      </c>
      <c r="AP8" s="58">
        <f>利润表!AP6</f>
        <v>270913102.88999999</v>
      </c>
      <c r="AQ8" s="58">
        <f>利润表!AQ6</f>
        <v>165611545.53999999</v>
      </c>
      <c r="AR8" s="58">
        <f>利润表!AR6</f>
        <v>49485426.049999997</v>
      </c>
      <c r="AS8" s="58">
        <f>利润表!AS6</f>
        <v>238461729.68000001</v>
      </c>
      <c r="AT8" s="58">
        <f>利润表!AT6</f>
        <v>152195742.72</v>
      </c>
      <c r="AU8" s="58">
        <f>利润表!AU6</f>
        <v>83639847.640000001</v>
      </c>
      <c r="AV8" s="58">
        <f>利润表!AV6</f>
        <v>30839528.030000001</v>
      </c>
      <c r="AW8" s="58">
        <f>利润表!AW6</f>
        <v>294800132.11000001</v>
      </c>
      <c r="AX8" s="58">
        <f>利润表!AX6</f>
        <v>193968349.19</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141633153.19</v>
      </c>
      <c r="F9" s="58">
        <f>利润表!F7</f>
        <v>83288603.069999993</v>
      </c>
      <c r="G9" s="58">
        <f>利润表!G7</f>
        <v>54023359.420000002</v>
      </c>
      <c r="H9" s="58">
        <f>利润表!H7</f>
        <v>18580686.43</v>
      </c>
      <c r="I9" s="58">
        <f>利润表!I7</f>
        <v>85107746.060000002</v>
      </c>
      <c r="J9" s="58">
        <f>利润表!J7</f>
        <v>51294526.060000002</v>
      </c>
      <c r="K9" s="58">
        <f>利润表!K7</f>
        <v>30430834.82</v>
      </c>
      <c r="L9" s="58">
        <f>利润表!L7</f>
        <v>11974897.26</v>
      </c>
      <c r="M9" s="58">
        <f>利润表!M7</f>
        <v>78699315.280000001</v>
      </c>
      <c r="N9" s="58">
        <f>利润表!N7</f>
        <v>44042708.259999998</v>
      </c>
      <c r="O9" s="58">
        <f>利润表!O7</f>
        <v>27351897.289999999</v>
      </c>
      <c r="P9" s="58">
        <f>利润表!P7</f>
        <v>12211443.65</v>
      </c>
      <c r="Q9" s="58">
        <f>利润表!Q7</f>
        <v>61410782.5</v>
      </c>
      <c r="R9" s="58">
        <f>利润表!R7</f>
        <v>41267809.25</v>
      </c>
      <c r="S9" s="58">
        <f>利润表!S7</f>
        <v>28526831.390000001</v>
      </c>
      <c r="T9" s="58">
        <f>利润表!T7</f>
        <v>12848659.390000001</v>
      </c>
      <c r="U9" s="58">
        <f>利润表!U7</f>
        <v>55153601.189999998</v>
      </c>
      <c r="V9" s="58">
        <f>利润表!V7</f>
        <v>28967405.219999999</v>
      </c>
      <c r="W9" s="58">
        <f>利润表!W7</f>
        <v>18442350.48</v>
      </c>
      <c r="X9" s="58">
        <f>利润表!X7</f>
        <v>9872358.8499999996</v>
      </c>
      <c r="Y9" s="58">
        <f>利润表!Y7</f>
        <v>27289342.5</v>
      </c>
      <c r="Z9" s="58">
        <f>利润表!Z7</f>
        <v>17811365.309999999</v>
      </c>
      <c r="AA9" s="58">
        <f>利润表!AA7</f>
        <v>9463105.6199999992</v>
      </c>
      <c r="AB9" s="58">
        <f>利润表!AB7</f>
        <v>3482035.7</v>
      </c>
      <c r="AC9" s="58">
        <f>利润表!AC7</f>
        <v>17227726.309999999</v>
      </c>
      <c r="AD9" s="58">
        <f>利润表!AD7</f>
        <v>10401952.52</v>
      </c>
      <c r="AE9" s="58">
        <f>利润表!AE7</f>
        <v>5992899.6500000004</v>
      </c>
      <c r="AF9" s="58">
        <f>利润表!AF7</f>
        <v>2382414.2400000002</v>
      </c>
      <c r="AG9" s="58">
        <f>利润表!AG7</f>
        <v>9441419.3499999996</v>
      </c>
      <c r="AH9" s="58">
        <f>利润表!AH7</f>
        <v>4986975.59</v>
      </c>
      <c r="AI9" s="58">
        <f>利润表!AI7</f>
        <v>3590251.9</v>
      </c>
      <c r="AJ9" s="58">
        <f>利润表!AJ7</f>
        <v>1315896.6599999999</v>
      </c>
      <c r="AK9" s="58">
        <f>利润表!AK7</f>
        <v>5407507.5599999996</v>
      </c>
      <c r="AL9" s="58">
        <f>利润表!AL7</f>
        <v>3427362.02</v>
      </c>
      <c r="AM9" s="58">
        <f>利润表!AM7</f>
        <v>2122181.11</v>
      </c>
      <c r="AN9" s="58">
        <f>利润表!AN7</f>
        <v>830648.85</v>
      </c>
      <c r="AO9" s="58">
        <f>利润表!AO7</f>
        <v>3928452.96</v>
      </c>
      <c r="AP9" s="58">
        <f>利润表!AP7</f>
        <v>2480450.9900000002</v>
      </c>
      <c r="AQ9" s="58">
        <f>利润表!AQ7</f>
        <v>1381418.31</v>
      </c>
      <c r="AR9" s="58">
        <f>利润表!AR7</f>
        <v>583205.49</v>
      </c>
      <c r="AS9" s="58">
        <f>利润表!AS7</f>
        <v>3250052.87</v>
      </c>
      <c r="AT9" s="58">
        <f>利润表!AT7</f>
        <v>2058551.26</v>
      </c>
      <c r="AU9" s="58">
        <f>利润表!AU7</f>
        <v>1135702.51</v>
      </c>
      <c r="AV9" s="58">
        <f>利润表!AV7</f>
        <v>456019.99</v>
      </c>
      <c r="AW9" s="58">
        <f>利润表!AW7</f>
        <v>2404898.59</v>
      </c>
      <c r="AX9" s="58">
        <f>利润表!AX7</f>
        <v>1114349.1299999999</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2416699706</v>
      </c>
      <c r="F10" s="58">
        <f>利润表!F8</f>
        <v>1591164605.1300001</v>
      </c>
      <c r="G10" s="58">
        <f>利润表!G8</f>
        <v>946818977.02999997</v>
      </c>
      <c r="H10" s="58">
        <f>利润表!H8</f>
        <v>403620472.29000002</v>
      </c>
      <c r="I10" s="58">
        <f>利润表!I8</f>
        <v>1638140112.8399999</v>
      </c>
      <c r="J10" s="58">
        <f>利润表!J8</f>
        <v>980503448.03999996</v>
      </c>
      <c r="K10" s="58">
        <f>利润表!K8</f>
        <v>578257111.87</v>
      </c>
      <c r="L10" s="58">
        <f>利润表!L8</f>
        <v>254657755.58000001</v>
      </c>
      <c r="M10" s="58">
        <f>利润表!M8</f>
        <v>1142764719.8499999</v>
      </c>
      <c r="N10" s="58">
        <f>利润表!N8</f>
        <v>697718959.08000004</v>
      </c>
      <c r="O10" s="58">
        <f>利润表!O8</f>
        <v>389070954.75</v>
      </c>
      <c r="P10" s="58">
        <f>利润表!P8</f>
        <v>146245938.87</v>
      </c>
      <c r="Q10" s="58">
        <f>利润表!Q8</f>
        <v>680836838.85000002</v>
      </c>
      <c r="R10" s="58">
        <f>利润表!R8</f>
        <v>414282545.68000001</v>
      </c>
      <c r="S10" s="58">
        <f>利润表!S8</f>
        <v>245635008.93000001</v>
      </c>
      <c r="T10" s="58">
        <f>利润表!T8</f>
        <v>100351943.04000001</v>
      </c>
      <c r="U10" s="58">
        <f>利润表!U8</f>
        <v>564544190.76999998</v>
      </c>
      <c r="V10" s="58">
        <f>利润表!V8</f>
        <v>357894654.23000002</v>
      </c>
      <c r="W10" s="58">
        <f>利润表!W8</f>
        <v>244689701.99000001</v>
      </c>
      <c r="X10" s="58">
        <f>利润表!X8</f>
        <v>94010036.060000002</v>
      </c>
      <c r="Y10" s="58">
        <f>利润表!Y8</f>
        <v>461382631.81999999</v>
      </c>
      <c r="Z10" s="58">
        <f>利润表!Z8</f>
        <v>269341556.05000001</v>
      </c>
      <c r="AA10" s="58">
        <f>利润表!AA8</f>
        <v>150060759.49000001</v>
      </c>
      <c r="AB10" s="58">
        <f>利润表!AB8</f>
        <v>60026794.740000002</v>
      </c>
      <c r="AC10" s="58">
        <f>利润表!AC8</f>
        <v>299484499.39999998</v>
      </c>
      <c r="AD10" s="58">
        <f>利润表!AD8</f>
        <v>175023462.15000001</v>
      </c>
      <c r="AE10" s="58">
        <f>利润表!AE8</f>
        <v>107051209.54000001</v>
      </c>
      <c r="AF10" s="58">
        <f>利润表!AF8</f>
        <v>49198838.969999999</v>
      </c>
      <c r="AG10" s="58">
        <f>利润表!AG8</f>
        <v>224607629.56999999</v>
      </c>
      <c r="AH10" s="58">
        <f>利润表!AH8</f>
        <v>139103768.63</v>
      </c>
      <c r="AI10" s="58">
        <f>利润表!AI8</f>
        <v>84432271.920000002</v>
      </c>
      <c r="AJ10" s="58">
        <f>利润表!AJ8</f>
        <v>36505898.149999999</v>
      </c>
      <c r="AK10" s="58">
        <f>利润表!AK8</f>
        <v>133064007.18000001</v>
      </c>
      <c r="AL10" s="58">
        <f>利润表!AL8</f>
        <v>82453088.370000005</v>
      </c>
      <c r="AM10" s="58">
        <f>利润表!AM8</f>
        <v>50624102.609999999</v>
      </c>
      <c r="AN10" s="58">
        <f>利润表!AN8</f>
        <v>25664757.190000001</v>
      </c>
      <c r="AO10" s="58">
        <f>利润表!AO8</f>
        <v>76310159.140000001</v>
      </c>
      <c r="AP10" s="58">
        <f>利润表!AP8</f>
        <v>49362866.119999997</v>
      </c>
      <c r="AQ10" s="58">
        <f>利润表!AQ8</f>
        <v>31192099.93</v>
      </c>
      <c r="AR10" s="58">
        <f>利润表!AR8</f>
        <v>12283969.810000001</v>
      </c>
      <c r="AS10" s="58">
        <f>利润表!AS8</f>
        <v>39250233.210000001</v>
      </c>
      <c r="AT10" s="58">
        <f>利润表!AT8</f>
        <v>26385225.870000001</v>
      </c>
      <c r="AU10" s="58">
        <f>利润表!AU8</f>
        <v>17413218.129999999</v>
      </c>
      <c r="AV10" s="58">
        <f>利润表!AV8</f>
        <v>8287984.4900000002</v>
      </c>
      <c r="AW10" s="58">
        <f>利润表!AW8</f>
        <v>41389646.390000001</v>
      </c>
      <c r="AX10" s="58">
        <f>利润表!AX8</f>
        <v>23396956.890000001</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2308406879.77</v>
      </c>
      <c r="F11" s="58">
        <f>利润表!F9</f>
        <v>1597502753.02</v>
      </c>
      <c r="G11" s="58">
        <f>利润表!G9</f>
        <v>1018690379.2</v>
      </c>
      <c r="H11" s="58">
        <f>利润表!H9</f>
        <v>478853735.37</v>
      </c>
      <c r="I11" s="58">
        <f>利润表!I9</f>
        <v>1831477357.29</v>
      </c>
      <c r="J11" s="58">
        <f>利润表!J9</f>
        <v>1187372179.52</v>
      </c>
      <c r="K11" s="58">
        <f>利润表!K9</f>
        <v>686703967.53999996</v>
      </c>
      <c r="L11" s="58">
        <f>利润表!L9</f>
        <v>313527283.43000001</v>
      </c>
      <c r="M11" s="58">
        <f>利润表!M9</f>
        <v>1234368469.8699999</v>
      </c>
      <c r="N11" s="58">
        <f>利润表!N9</f>
        <v>827465368.04999995</v>
      </c>
      <c r="O11" s="58">
        <f>利润表!O9</f>
        <v>501568369.06999999</v>
      </c>
      <c r="P11" s="58">
        <f>利润表!P9</f>
        <v>220051056.11000001</v>
      </c>
      <c r="Q11" s="58">
        <f>利润表!Q9</f>
        <v>1077457344.3199999</v>
      </c>
      <c r="R11" s="58">
        <f>利润表!R9</f>
        <v>718136309.15999997</v>
      </c>
      <c r="S11" s="58">
        <f>利润表!S9</f>
        <v>439119764.29000002</v>
      </c>
      <c r="T11" s="58">
        <f>利润表!T9</f>
        <v>205747307.46000001</v>
      </c>
      <c r="U11" s="58">
        <f>利润表!U9</f>
        <v>693282255.02999997</v>
      </c>
      <c r="V11" s="58">
        <f>利润表!V9</f>
        <v>415215620.19</v>
      </c>
      <c r="W11" s="58">
        <f>利润表!W9</f>
        <v>252735106.40000001</v>
      </c>
      <c r="X11" s="58">
        <f>利润表!X9</f>
        <v>100663678.81999999</v>
      </c>
      <c r="Y11" s="58">
        <f>利润表!Y9</f>
        <v>385612940.85000002</v>
      </c>
      <c r="Z11" s="58">
        <f>利润表!Z9</f>
        <v>272510647.97000003</v>
      </c>
      <c r="AA11" s="58">
        <f>利润表!AA9</f>
        <v>157199752.78999999</v>
      </c>
      <c r="AB11" s="58">
        <f>利润表!AB9</f>
        <v>70778012.310000002</v>
      </c>
      <c r="AC11" s="58">
        <f>利润表!AC9</f>
        <v>264044362.47</v>
      </c>
      <c r="AD11" s="58">
        <f>利润表!AD9</f>
        <v>168350299.63999999</v>
      </c>
      <c r="AE11" s="58">
        <f>利润表!AE9</f>
        <v>104629083.93000001</v>
      </c>
      <c r="AF11" s="58">
        <f>利润表!AF9</f>
        <v>48988222.670000002</v>
      </c>
      <c r="AG11" s="58">
        <f>利润表!AG9</f>
        <v>179333634.15000001</v>
      </c>
      <c r="AH11" s="58">
        <f>利润表!AH9</f>
        <v>124955300.78</v>
      </c>
      <c r="AI11" s="58">
        <f>利润表!AI9</f>
        <v>76526083.120000005</v>
      </c>
      <c r="AJ11" s="58">
        <f>利润表!AJ9</f>
        <v>35462656.850000001</v>
      </c>
      <c r="AK11" s="58">
        <f>利润表!AK9</f>
        <v>93657293.260000005</v>
      </c>
      <c r="AL11" s="58">
        <f>利润表!AL9</f>
        <v>65946820.57</v>
      </c>
      <c r="AM11" s="58">
        <f>利润表!AM9</f>
        <v>40979504.579999998</v>
      </c>
      <c r="AN11" s="58">
        <f>利润表!AN9</f>
        <v>23079224.809999999</v>
      </c>
      <c r="AO11" s="58">
        <f>利润表!AO9</f>
        <v>91350676.189999998</v>
      </c>
      <c r="AP11" s="58">
        <f>利润表!AP9</f>
        <v>51849215.789999999</v>
      </c>
      <c r="AQ11" s="58">
        <f>利润表!AQ9</f>
        <v>31587847.48</v>
      </c>
      <c r="AR11" s="58">
        <f>利润表!AR9</f>
        <v>12102380.85</v>
      </c>
      <c r="AS11" s="58">
        <f>利润表!AS9</f>
        <v>48576518.380000003</v>
      </c>
      <c r="AT11" s="58">
        <f>利润表!AT9</f>
        <v>32588042.969999999</v>
      </c>
      <c r="AU11" s="58">
        <f>利润表!AU9</f>
        <v>20881464.859999999</v>
      </c>
      <c r="AV11" s="58">
        <f>利润表!AV9</f>
        <v>11436637.25</v>
      </c>
      <c r="AW11" s="58">
        <f>利润表!AW9</f>
        <v>67876147.379999995</v>
      </c>
      <c r="AX11" s="58">
        <f>利润表!AX9</f>
        <v>36179353.289999999</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16506234162.17</v>
      </c>
      <c r="F12" s="58">
        <f t="shared" ref="F12:BQ12" si="4">SUM(F8:F11)</f>
        <v>10406964450.01</v>
      </c>
      <c r="G12" s="58">
        <f t="shared" si="4"/>
        <v>6539573516.79</v>
      </c>
      <c r="H12" s="58">
        <f t="shared" si="4"/>
        <v>2496940013.5500002</v>
      </c>
      <c r="I12" s="58">
        <f t="shared" si="4"/>
        <v>11858055744.18</v>
      </c>
      <c r="J12" s="58">
        <f t="shared" si="4"/>
        <v>7116004217.8000011</v>
      </c>
      <c r="K12" s="58">
        <f t="shared" si="4"/>
        <v>4342177033.0900002</v>
      </c>
      <c r="L12" s="58">
        <f t="shared" si="4"/>
        <v>1672965278.1600001</v>
      </c>
      <c r="M12" s="58">
        <f t="shared" si="4"/>
        <v>8782562335.1899986</v>
      </c>
      <c r="N12" s="58">
        <f t="shared" si="4"/>
        <v>5173738284.8900003</v>
      </c>
      <c r="O12" s="58">
        <f t="shared" si="4"/>
        <v>3063242852.2800002</v>
      </c>
      <c r="P12" s="58">
        <f t="shared" si="4"/>
        <v>1125570521.8</v>
      </c>
      <c r="Q12" s="58">
        <f t="shared" si="4"/>
        <v>6355139832.4800005</v>
      </c>
      <c r="R12" s="58">
        <f t="shared" si="4"/>
        <v>4067052713.2499995</v>
      </c>
      <c r="S12" s="58">
        <f t="shared" si="4"/>
        <v>2603091767.2800002</v>
      </c>
      <c r="T12" s="58">
        <f t="shared" si="4"/>
        <v>985456162.89999998</v>
      </c>
      <c r="U12" s="58">
        <f t="shared" si="4"/>
        <v>4406404293.1099997</v>
      </c>
      <c r="V12" s="58">
        <f t="shared" si="4"/>
        <v>2647335775.48</v>
      </c>
      <c r="W12" s="58">
        <f t="shared" si="4"/>
        <v>1654625414.3700001</v>
      </c>
      <c r="X12" s="58">
        <f t="shared" si="4"/>
        <v>659864023.12999988</v>
      </c>
      <c r="Y12" s="58">
        <f t="shared" si="4"/>
        <v>2898693876.5500002</v>
      </c>
      <c r="Z12" s="58">
        <f t="shared" si="4"/>
        <v>1826022124.54</v>
      </c>
      <c r="AA12" s="58">
        <f t="shared" si="4"/>
        <v>1073429315.4399999</v>
      </c>
      <c r="AB12" s="58">
        <f t="shared" si="4"/>
        <v>432355826.38</v>
      </c>
      <c r="AC12" s="58">
        <f t="shared" si="4"/>
        <v>1853811567.5600002</v>
      </c>
      <c r="AD12" s="58">
        <f t="shared" si="4"/>
        <v>1219862149.9899998</v>
      </c>
      <c r="AE12" s="58">
        <f t="shared" si="4"/>
        <v>743820948.23000002</v>
      </c>
      <c r="AF12" s="58">
        <f t="shared" si="4"/>
        <v>290410729.81999999</v>
      </c>
      <c r="AG12" s="58">
        <f t="shared" si="4"/>
        <v>1273529938.9200001</v>
      </c>
      <c r="AH12" s="58">
        <f t="shared" si="4"/>
        <v>825390082.27999997</v>
      </c>
      <c r="AI12" s="58">
        <f t="shared" si="4"/>
        <v>494495922.63</v>
      </c>
      <c r="AJ12" s="58">
        <f t="shared" si="4"/>
        <v>196510301.01999998</v>
      </c>
      <c r="AK12" s="58">
        <f t="shared" si="4"/>
        <v>743676403.32999992</v>
      </c>
      <c r="AL12" s="58">
        <f t="shared" si="4"/>
        <v>471953998.66999996</v>
      </c>
      <c r="AM12" s="58">
        <f t="shared" si="4"/>
        <v>275358587.21999997</v>
      </c>
      <c r="AN12" s="58">
        <f t="shared" si="4"/>
        <v>127230758.09999999</v>
      </c>
      <c r="AO12" s="58">
        <f t="shared" si="4"/>
        <v>558131115.00999999</v>
      </c>
      <c r="AP12" s="58">
        <f t="shared" si="4"/>
        <v>374605635.79000002</v>
      </c>
      <c r="AQ12" s="58">
        <f t="shared" si="4"/>
        <v>229772911.25999999</v>
      </c>
      <c r="AR12" s="58">
        <f t="shared" si="4"/>
        <v>74454982.200000003</v>
      </c>
      <c r="AS12" s="58">
        <f t="shared" si="4"/>
        <v>329538534.13999999</v>
      </c>
      <c r="AT12" s="58">
        <f t="shared" si="4"/>
        <v>213227562.81999999</v>
      </c>
      <c r="AU12" s="58">
        <f t="shared" si="4"/>
        <v>123070233.14</v>
      </c>
      <c r="AV12" s="58">
        <f t="shared" si="4"/>
        <v>51020169.759999998</v>
      </c>
      <c r="AW12" s="58">
        <f t="shared" si="4"/>
        <v>406470824.46999997</v>
      </c>
      <c r="AX12" s="58">
        <f t="shared" si="4"/>
        <v>254659008.49999997</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0.73680426058420645</v>
      </c>
      <c r="F13" s="28">
        <f t="shared" ref="F13:BQ13" si="6">(F6/(1+F4)+F7)/F12</f>
        <v>0.88543620296456016</v>
      </c>
      <c r="G13" s="28">
        <f t="shared" si="6"/>
        <v>0.90051972383584433</v>
      </c>
      <c r="H13" s="28">
        <f t="shared" si="6"/>
        <v>1.4253018488322962</v>
      </c>
      <c r="I13" s="28">
        <f t="shared" si="6"/>
        <v>0.74411299248751572</v>
      </c>
      <c r="J13" s="28">
        <f t="shared" si="6"/>
        <v>0.94815330087352667</v>
      </c>
      <c r="K13" s="28">
        <f t="shared" si="6"/>
        <v>1.0285170468582598</v>
      </c>
      <c r="L13" s="28">
        <f t="shared" si="6"/>
        <v>1.622413192196724</v>
      </c>
      <c r="M13" s="28">
        <f t="shared" si="6"/>
        <v>0.70990788956561179</v>
      </c>
      <c r="N13" s="28">
        <f t="shared" si="6"/>
        <v>0.92154344892036966</v>
      </c>
      <c r="O13" s="28">
        <f t="shared" si="6"/>
        <v>0.97011422046486695</v>
      </c>
      <c r="P13" s="28">
        <f t="shared" si="6"/>
        <v>1.3626660270962538</v>
      </c>
      <c r="Q13" s="28">
        <f t="shared" si="6"/>
        <v>0.67061633951028765</v>
      </c>
      <c r="R13" s="28">
        <f t="shared" si="6"/>
        <v>0.9087309354539771</v>
      </c>
      <c r="S13" s="28">
        <f t="shared" si="6"/>
        <v>0.94233122988531437</v>
      </c>
      <c r="T13" s="28">
        <f t="shared" si="6"/>
        <v>1.2019812076595817</v>
      </c>
      <c r="U13" s="28">
        <f t="shared" si="6"/>
        <v>0.62959943546799646</v>
      </c>
      <c r="V13" s="28">
        <f t="shared" si="6"/>
        <v>0.75760391093267765</v>
      </c>
      <c r="W13" s="28">
        <f t="shared" si="6"/>
        <v>0.78115658845327185</v>
      </c>
      <c r="X13" s="28">
        <f t="shared" si="6"/>
        <v>1.270497444598363</v>
      </c>
      <c r="Y13" s="28">
        <f t="shared" si="6"/>
        <v>0.70663912511551463</v>
      </c>
      <c r="Z13" s="28">
        <f t="shared" si="6"/>
        <v>0.91611587173616094</v>
      </c>
      <c r="AA13" s="28">
        <f t="shared" si="6"/>
        <v>1.0103244062895598</v>
      </c>
      <c r="AB13" s="28">
        <f t="shared" si="6"/>
        <v>1.3803760543496444</v>
      </c>
      <c r="AC13" s="28">
        <f t="shared" si="6"/>
        <v>0.89200522457307463</v>
      </c>
      <c r="AD13" s="28">
        <f t="shared" si="6"/>
        <v>0.93880374532629085</v>
      </c>
      <c r="AE13" s="28">
        <f t="shared" si="6"/>
        <v>0.92034168403606265</v>
      </c>
      <c r="AF13" s="28">
        <f t="shared" si="6"/>
        <v>1.201209919928949</v>
      </c>
      <c r="AG13" s="28">
        <f t="shared" si="6"/>
        <v>0.8975238088825066</v>
      </c>
      <c r="AH13" s="28">
        <f t="shared" si="6"/>
        <v>0.98520418561839929</v>
      </c>
      <c r="AI13" s="28">
        <f t="shared" si="6"/>
        <v>0.95709195273077008</v>
      </c>
      <c r="AJ13" s="28">
        <f t="shared" si="6"/>
        <v>1.2391156572173476</v>
      </c>
      <c r="AK13" s="28">
        <f t="shared" si="6"/>
        <v>0.86451189866401568</v>
      </c>
      <c r="AL13" s="28">
        <f t="shared" si="6"/>
        <v>0.81183901403128689</v>
      </c>
      <c r="AM13" s="28">
        <f t="shared" si="6"/>
        <v>0.8356808768179097</v>
      </c>
      <c r="AN13" s="28">
        <f t="shared" si="6"/>
        <v>0.91744251702642698</v>
      </c>
      <c r="AO13" s="28">
        <f t="shared" si="6"/>
        <v>0.95399972633860119</v>
      </c>
      <c r="AP13" s="28">
        <f t="shared" si="6"/>
        <v>1.0528656106527501</v>
      </c>
      <c r="AQ13" s="28">
        <f t="shared" si="6"/>
        <v>0.92412907445903414</v>
      </c>
      <c r="AR13" s="28">
        <f t="shared" si="6"/>
        <v>1.2933022112021069</v>
      </c>
      <c r="AS13" s="28">
        <f t="shared" si="6"/>
        <v>0.88757708406533276</v>
      </c>
      <c r="AT13" s="28">
        <f t="shared" si="6"/>
        <v>0.98994035517731449</v>
      </c>
      <c r="AU13" s="28">
        <f t="shared" si="6"/>
        <v>1.1057409710576325</v>
      </c>
      <c r="AV13" s="28">
        <f t="shared" si="6"/>
        <v>1.2860964218214674</v>
      </c>
      <c r="AW13" s="28">
        <f t="shared" si="6"/>
        <v>0.70532064731959399</v>
      </c>
      <c r="AX13" s="28">
        <f t="shared" si="6"/>
        <v>0.77743013185608845</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914231360.00999999</v>
      </c>
      <c r="F14" s="26">
        <f>现金流量表!F13</f>
        <v>-1141692905.71</v>
      </c>
      <c r="G14" s="26">
        <f>现金流量表!G13</f>
        <v>-921403890.23000002</v>
      </c>
      <c r="H14" s="26">
        <f>现金流量表!H13</f>
        <v>-1384225716.4100001</v>
      </c>
      <c r="I14" s="26">
        <f>现金流量表!I13</f>
        <v>470737105.33999997</v>
      </c>
      <c r="J14" s="26">
        <f>现金流量表!J13</f>
        <v>-793075284.84000003</v>
      </c>
      <c r="K14" s="26">
        <f>现金流量表!K13</f>
        <v>-665740138.48000002</v>
      </c>
      <c r="L14" s="26">
        <f>现金流量表!L13</f>
        <v>-718084575.94000006</v>
      </c>
      <c r="M14" s="26">
        <f>现金流量表!M13</f>
        <v>200763824.86000001</v>
      </c>
      <c r="N14" s="26">
        <f>现金流量表!N13</f>
        <v>-675595350.13999999</v>
      </c>
      <c r="O14" s="26">
        <f>现金流量表!O13</f>
        <v>-557635269.36000001</v>
      </c>
      <c r="P14" s="26">
        <f>现金流量表!P13</f>
        <v>-523948825.60000002</v>
      </c>
      <c r="Q14" s="26">
        <f>现金流量表!Q13</f>
        <v>-17080921.460000001</v>
      </c>
      <c r="R14" s="26">
        <f>现金流量表!R13</f>
        <v>-883339431.94000006</v>
      </c>
      <c r="S14" s="26">
        <f>现金流量表!S13</f>
        <v>-940748926.60000002</v>
      </c>
      <c r="T14" s="26">
        <f>现金流量表!T13</f>
        <v>-678592075.77999997</v>
      </c>
      <c r="U14" s="26">
        <f>现金流量表!U13</f>
        <v>356475220.70999998</v>
      </c>
      <c r="V14" s="26">
        <f>现金流量表!V13</f>
        <v>6610104.0899999999</v>
      </c>
      <c r="W14" s="26">
        <f>现金流量表!W13</f>
        <v>-78943868.540000007</v>
      </c>
      <c r="X14" s="26">
        <f>现金流量表!X13</f>
        <v>-215180758.69999999</v>
      </c>
      <c r="Y14" s="26">
        <f>现金流量表!Y13</f>
        <v>481913096.22000003</v>
      </c>
      <c r="Z14" s="26">
        <f>现金流量表!Z13</f>
        <v>12888573.84</v>
      </c>
      <c r="AA14" s="26">
        <f>现金流量表!AA13</f>
        <v>-144914052.08000001</v>
      </c>
      <c r="AB14" s="26">
        <f>现金流量表!AB13</f>
        <v>-229913056.03</v>
      </c>
      <c r="AC14" s="26">
        <f>现金流量表!AC13</f>
        <v>74219234.049999997</v>
      </c>
      <c r="AD14" s="26">
        <f>现金流量表!AD13</f>
        <v>-167926349</v>
      </c>
      <c r="AE14" s="26">
        <f>现金流量表!AE13</f>
        <v>-103397414.09</v>
      </c>
      <c r="AF14" s="26">
        <f>现金流量表!AF13</f>
        <v>-99868660.239999995</v>
      </c>
      <c r="AG14" s="26">
        <f>现金流量表!AG13</f>
        <v>123564361.27</v>
      </c>
      <c r="AH14" s="26">
        <f>现金流量表!AH13</f>
        <v>-48166245.409999996</v>
      </c>
      <c r="AI14" s="26">
        <f>现金流量表!AI13</f>
        <v>-24503888.670000002</v>
      </c>
      <c r="AJ14" s="26">
        <f>现金流量表!AJ13</f>
        <v>-43348772.32</v>
      </c>
      <c r="AK14" s="26">
        <f>现金流量表!AK13</f>
        <v>46401832.159999996</v>
      </c>
      <c r="AL14" s="26">
        <f>现金流量表!AL13</f>
        <v>12743802.42</v>
      </c>
      <c r="AM14" s="26">
        <f>现金流量表!AM13</f>
        <v>3281297.7</v>
      </c>
      <c r="AN14" s="26">
        <f>现金流量表!AN13</f>
        <v>-12875271.93</v>
      </c>
      <c r="AO14" s="26">
        <f>现金流量表!AO13</f>
        <v>2666718.48</v>
      </c>
      <c r="AP14" s="26">
        <f>现金流量表!AP13</f>
        <v>-63868485.759999998</v>
      </c>
      <c r="AQ14" s="26">
        <f>现金流量表!AQ13</f>
        <v>-60757771.719999999</v>
      </c>
      <c r="AR14" s="26">
        <f>现金流量表!AR13</f>
        <v>-32617886.899999999</v>
      </c>
      <c r="AS14" s="26">
        <f>现金流量表!AS13</f>
        <v>67798720.739999995</v>
      </c>
      <c r="AT14" s="26">
        <f>现金流量表!AT13</f>
        <v>3688803.08</v>
      </c>
      <c r="AU14" s="26">
        <f>现金流量表!AU13</f>
        <v>-21429591.760000002</v>
      </c>
      <c r="AV14" s="26">
        <f>现金流量表!AV13</f>
        <v>-13087806.460000001</v>
      </c>
      <c r="AW14" s="26">
        <f>现金流量表!AW13</f>
        <v>-29220660.190000001</v>
      </c>
      <c r="AX14" s="26">
        <f>现金流量表!AX13</f>
        <v>23617279.260000002</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1778713684.7073917</v>
      </c>
      <c r="F15" s="26">
        <f>股权价值增加表!F17</f>
        <v>1047025464.7696679</v>
      </c>
      <c r="G15" s="26">
        <f>股权价值增加表!G17</f>
        <v>685964958.3927896</v>
      </c>
      <c r="H15" s="26">
        <f>股权价值增加表!H17</f>
        <v>291367407.32568061</v>
      </c>
      <c r="I15" s="26">
        <f>股权价值增加表!I17</f>
        <v>1730276469.0900147</v>
      </c>
      <c r="J15" s="26">
        <f>股权价值增加表!J17</f>
        <v>1022001432.9065278</v>
      </c>
      <c r="K15" s="26">
        <f>股权价值增加表!K17</f>
        <v>677629154.23071277</v>
      </c>
      <c r="L15" s="26">
        <f>股权价值增加表!L17</f>
        <v>217840781.12976724</v>
      </c>
      <c r="M15" s="26">
        <f>股权价值增加表!M17</f>
        <v>1291646938.2622943</v>
      </c>
      <c r="N15" s="26">
        <f>股权价值增加表!N17</f>
        <v>696034140.3386898</v>
      </c>
      <c r="O15" s="26">
        <f>股权价值增加表!O17</f>
        <v>441428316.99205339</v>
      </c>
      <c r="P15" s="26">
        <f>股权价值增加表!P17</f>
        <v>91970363.149939656</v>
      </c>
      <c r="Q15" s="26">
        <f>股权价值增加表!Q17</f>
        <v>1114427116.4475014</v>
      </c>
      <c r="R15" s="26">
        <f>股权价值增加表!R17</f>
        <v>706986505.10566437</v>
      </c>
      <c r="S15" s="26">
        <f>股权价值增加表!S17</f>
        <v>492879452.33685923</v>
      </c>
      <c r="T15" s="26">
        <f>股权价值增加表!T17</f>
        <v>193092668.64882591</v>
      </c>
      <c r="U15" s="26">
        <f>股权价值增加表!U17</f>
        <v>1095627702.0226142</v>
      </c>
      <c r="V15" s="26">
        <f>股权价值增加表!V17</f>
        <v>598811887.87718284</v>
      </c>
      <c r="W15" s="26">
        <f>股权价值增加表!W17</f>
        <v>380434143.12388164</v>
      </c>
      <c r="X15" s="26">
        <f>股权价值增加表!X17</f>
        <v>141140712.56053603</v>
      </c>
      <c r="Y15" s="26">
        <f>股权价值增加表!Y17</f>
        <v>686958680.1566093</v>
      </c>
      <c r="Z15" s="26">
        <f>股权价值增加表!Z17</f>
        <v>369037928.54357636</v>
      </c>
      <c r="AA15" s="26">
        <f>股权价值增加表!AA17</f>
        <v>222262445.72707796</v>
      </c>
      <c r="AB15" s="26">
        <f>股权价值增加表!AB17</f>
        <v>65153106.610820882</v>
      </c>
      <c r="AC15" s="26">
        <f>股权价值增加表!AC17</f>
        <v>369799329.02332556</v>
      </c>
      <c r="AD15" s="26">
        <f>股权价值增加表!AD17</f>
        <v>199307045.53506339</v>
      </c>
      <c r="AE15" s="26">
        <f>股权价值增加表!AE17</f>
        <v>128525302.304795</v>
      </c>
      <c r="AF15" s="26">
        <f>股权价值增加表!AF17</f>
        <v>38697728.441452906</v>
      </c>
      <c r="AG15" s="26">
        <f>股权价值增加表!AG17</f>
        <v>251901390.20887047</v>
      </c>
      <c r="AH15" s="26">
        <f>股权价值增加表!AH17</f>
        <v>136029781.56952721</v>
      </c>
      <c r="AI15" s="26">
        <f>股权价值增加表!AI17</f>
        <v>76369186.00785242</v>
      </c>
      <c r="AJ15" s="26">
        <f>股权价值增加表!AJ17</f>
        <v>16825381.297744978</v>
      </c>
      <c r="AK15" s="26">
        <f>股权价值增加表!AK17</f>
        <v>109256981.10264283</v>
      </c>
      <c r="AL15" s="26">
        <f>股权价值增加表!AL17</f>
        <v>52854111.983077697</v>
      </c>
      <c r="AM15" s="26">
        <f>股权价值增加表!AM17</f>
        <v>28567403.845196828</v>
      </c>
      <c r="AN15" s="26">
        <f>股权价值增加表!AN17</f>
        <v>3418411.7430918943</v>
      </c>
      <c r="AO15" s="26">
        <f>股权价值增加表!AO17</f>
        <v>95570850.406423107</v>
      </c>
      <c r="AP15" s="26">
        <f>股权价值增加表!AP17</f>
        <v>70629244.840312853</v>
      </c>
      <c r="AQ15" s="26">
        <f>股权价值增加表!AQ17</f>
        <v>34084449.364343882</v>
      </c>
      <c r="AR15" s="26">
        <f>股权价值增加表!AR17</f>
        <v>5150915.8576173913</v>
      </c>
      <c r="AS15" s="26">
        <f>股权价值增加表!AS17</f>
        <v>84059136.108660102</v>
      </c>
      <c r="AT15" s="26">
        <f>股权价值增加表!AT17</f>
        <v>54458542.238105156</v>
      </c>
      <c r="AU15" s="26">
        <f>股权价值增加表!AU17</f>
        <v>23815502.507999111</v>
      </c>
      <c r="AV15" s="26">
        <f>股权价值增加表!AV17</f>
        <v>3035638.5300000021</v>
      </c>
      <c r="AW15" s="26">
        <f>股权价值增加表!AW17</f>
        <v>43864037.226117238</v>
      </c>
      <c r="AX15" s="26">
        <f>股权价值增加表!AX17</f>
        <v>46748666.126349516</v>
      </c>
      <c r="AY15" s="26" t="e">
        <f>股权价值增加表!AY17</f>
        <v>#DIV/0!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0.51398455404608645</v>
      </c>
      <c r="F16" s="28">
        <f t="shared" ref="F16:BQ16" si="8">F14/F15</f>
        <v>-1.0904156050886096</v>
      </c>
      <c r="G16" s="28">
        <f t="shared" si="8"/>
        <v>-1.3432229721891946</v>
      </c>
      <c r="H16" s="28">
        <f t="shared" si="8"/>
        <v>-4.7507912059043704</v>
      </c>
      <c r="I16" s="28">
        <f t="shared" si="8"/>
        <v>0.27205889564432995</v>
      </c>
      <c r="J16" s="28">
        <f t="shared" si="8"/>
        <v>-0.7760021261267005</v>
      </c>
      <c r="K16" s="28">
        <f t="shared" si="8"/>
        <v>-0.98245498193741398</v>
      </c>
      <c r="L16" s="28">
        <f t="shared" si="8"/>
        <v>-3.2963734899217001</v>
      </c>
      <c r="M16" s="28">
        <f t="shared" si="8"/>
        <v>0.15543243196944811</v>
      </c>
      <c r="N16" s="28">
        <f t="shared" si="8"/>
        <v>-0.97063536252870541</v>
      </c>
      <c r="O16" s="28">
        <f t="shared" si="8"/>
        <v>-1.2632521473923446</v>
      </c>
      <c r="P16" s="28">
        <f t="shared" si="8"/>
        <v>-5.6969311379776126</v>
      </c>
      <c r="Q16" s="28">
        <f t="shared" si="8"/>
        <v>-1.5327087081701185E-2</v>
      </c>
      <c r="R16" s="28">
        <f t="shared" si="8"/>
        <v>-1.2494431301881475</v>
      </c>
      <c r="S16" s="28">
        <f t="shared" si="8"/>
        <v>-1.9086795404833465</v>
      </c>
      <c r="T16" s="28">
        <f t="shared" si="8"/>
        <v>-3.5143337161813375</v>
      </c>
      <c r="U16" s="28">
        <f t="shared" si="8"/>
        <v>0.32536163520867434</v>
      </c>
      <c r="V16" s="28">
        <f t="shared" si="8"/>
        <v>1.1038698836512982E-2</v>
      </c>
      <c r="W16" s="28">
        <f t="shared" si="8"/>
        <v>-0.20750994611515017</v>
      </c>
      <c r="X16" s="28">
        <f t="shared" si="8"/>
        <v>-1.5245831964161849</v>
      </c>
      <c r="Y16" s="28">
        <f t="shared" si="8"/>
        <v>0.70151685995165813</v>
      </c>
      <c r="Z16" s="28">
        <f t="shared" si="8"/>
        <v>3.49247945620801E-2</v>
      </c>
      <c r="AA16" s="28">
        <f t="shared" si="8"/>
        <v>-0.6519952194620583</v>
      </c>
      <c r="AB16" s="28">
        <f t="shared" si="8"/>
        <v>-3.5288118708343394</v>
      </c>
      <c r="AC16" s="28">
        <f t="shared" si="8"/>
        <v>0.20070137565154567</v>
      </c>
      <c r="AD16" s="28">
        <f t="shared" si="8"/>
        <v>-0.84255099236046482</v>
      </c>
      <c r="AE16" s="28">
        <f t="shared" si="8"/>
        <v>-0.80449072856327741</v>
      </c>
      <c r="AF16" s="28">
        <f t="shared" si="8"/>
        <v>-2.5807370164141457</v>
      </c>
      <c r="AG16" s="28">
        <f t="shared" si="8"/>
        <v>0.49052671431286443</v>
      </c>
      <c r="AH16" s="28">
        <f t="shared" si="8"/>
        <v>-0.35408603067837308</v>
      </c>
      <c r="AI16" s="28">
        <f t="shared" si="8"/>
        <v>-0.32086093817315881</v>
      </c>
      <c r="AJ16" s="28">
        <f t="shared" si="8"/>
        <v>-2.576391675938412</v>
      </c>
      <c r="AK16" s="28">
        <f t="shared" si="8"/>
        <v>0.42470359048642592</v>
      </c>
      <c r="AL16" s="28">
        <f t="shared" si="8"/>
        <v>0.24111279031762342</v>
      </c>
      <c r="AM16" s="28">
        <f t="shared" si="8"/>
        <v>0.11486159952724231</v>
      </c>
      <c r="AN16" s="28">
        <f t="shared" si="8"/>
        <v>-3.766448543250831</v>
      </c>
      <c r="AO16" s="28">
        <f t="shared" si="8"/>
        <v>2.7903052747355019E-2</v>
      </c>
      <c r="AP16" s="28">
        <f t="shared" si="8"/>
        <v>-0.90427819105813179</v>
      </c>
      <c r="AQ16" s="28">
        <f t="shared" si="8"/>
        <v>-1.7825657404798616</v>
      </c>
      <c r="AR16" s="28">
        <f t="shared" si="8"/>
        <v>-6.332444132583392</v>
      </c>
      <c r="AS16" s="28">
        <f t="shared" si="8"/>
        <v>0.80655980870846833</v>
      </c>
      <c r="AT16" s="28">
        <f t="shared" si="8"/>
        <v>6.7735986466029741E-2</v>
      </c>
      <c r="AU16" s="28">
        <f t="shared" si="8"/>
        <v>-0.89981690509374157</v>
      </c>
      <c r="AV16" s="28">
        <f t="shared" si="8"/>
        <v>-4.3113850119697856</v>
      </c>
      <c r="AW16" s="28">
        <f t="shared" si="8"/>
        <v>-0.66616440341249816</v>
      </c>
      <c r="AX16" s="28">
        <f t="shared" si="8"/>
        <v>0.50519685836957617</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1495773467.0200005</v>
      </c>
      <c r="F17" s="26">
        <f>股权价值增加表!F42</f>
        <v>933377323.50000036</v>
      </c>
      <c r="G17" s="26">
        <f>股权价值增加表!G42</f>
        <v>635779051.39999974</v>
      </c>
      <c r="H17" s="26">
        <f>股权价值增加表!H42</f>
        <v>275789777.02999997</v>
      </c>
      <c r="I17" s="26">
        <f>股权价值增加表!I42</f>
        <v>1881555634.0300007</v>
      </c>
      <c r="J17" s="26">
        <f>股权价值增加表!J42</f>
        <v>1065822929.8399994</v>
      </c>
      <c r="K17" s="26">
        <f>股权价值增加表!K42</f>
        <v>710931645.81000018</v>
      </c>
      <c r="L17" s="26">
        <f>股权价值增加表!L42</f>
        <v>214321481.52999997</v>
      </c>
      <c r="M17" s="26">
        <f>股权价值增加表!M42</f>
        <v>1375071990.9200001</v>
      </c>
      <c r="N17" s="26">
        <f>股权价值增加表!N42</f>
        <v>759598429.26999998</v>
      </c>
      <c r="O17" s="26">
        <f>股权价值增加表!O42</f>
        <v>463260423.83000004</v>
      </c>
      <c r="P17" s="26">
        <f>股权价值增加表!P42</f>
        <v>103455989.80000003</v>
      </c>
      <c r="Q17" s="26">
        <f>股权价值增加表!Q42</f>
        <v>1139785936.4499998</v>
      </c>
      <c r="R17" s="26">
        <f>股权价值增加表!R42</f>
        <v>725701157.52999973</v>
      </c>
      <c r="S17" s="26">
        <f>股权价值增加表!S42</f>
        <v>506721565.90999985</v>
      </c>
      <c r="T17" s="26">
        <f>股权价值增加表!T42</f>
        <v>201566864.57000002</v>
      </c>
      <c r="U17" s="26">
        <f>股权价值增加表!U42</f>
        <v>1119033615.5300002</v>
      </c>
      <c r="V17" s="26">
        <f>股权价值增加表!V42</f>
        <v>614952722.82999992</v>
      </c>
      <c r="W17" s="26">
        <f>股权价值增加表!W42</f>
        <v>385471308.95999992</v>
      </c>
      <c r="X17" s="26">
        <f>股权价值增加表!X42</f>
        <v>142047302.39000005</v>
      </c>
      <c r="Y17" s="26">
        <f>股权价值增加表!Y42</f>
        <v>699416387.21999979</v>
      </c>
      <c r="Z17" s="26">
        <f>股权价值增加表!Z42</f>
        <v>375189607.70000011</v>
      </c>
      <c r="AA17" s="26">
        <f>股权价值增加表!AA42</f>
        <v>223868963.06000024</v>
      </c>
      <c r="AB17" s="26">
        <f>股权价值增加表!AB42</f>
        <v>66046922.800000012</v>
      </c>
      <c r="AC17" s="26">
        <f>股权价值增加表!AC42</f>
        <v>376913091.69999993</v>
      </c>
      <c r="AD17" s="26">
        <f>股权价值增加表!AD42</f>
        <v>203338351.14999995</v>
      </c>
      <c r="AE17" s="26">
        <f>股权价值增加表!AE42</f>
        <v>128675182.18000001</v>
      </c>
      <c r="AF17" s="26">
        <f>股权价值增加表!AF42</f>
        <v>39139044.170000032</v>
      </c>
      <c r="AG17" s="26">
        <f>股权价值增加表!AG42</f>
        <v>261529760.92000008</v>
      </c>
      <c r="AH17" s="26">
        <f>股权价值增加表!AH42</f>
        <v>140506749.38999999</v>
      </c>
      <c r="AI17" s="26">
        <f>股权价值增加表!AI42</f>
        <v>78357365.419999987</v>
      </c>
      <c r="AJ17" s="26">
        <f>股权价值增加表!AJ42</f>
        <v>18482445.689999986</v>
      </c>
      <c r="AK17" s="26">
        <f>股权价值增加表!AK42</f>
        <v>116658938.48000005</v>
      </c>
      <c r="AL17" s="26">
        <f>股权价值增加表!AL42</f>
        <v>59900200.640000015</v>
      </c>
      <c r="AM17" s="26">
        <f>股权价值增加表!AM42</f>
        <v>33947778.500000022</v>
      </c>
      <c r="AN17" s="26">
        <f>股权价值增加表!AN42</f>
        <v>6229289.0600000005</v>
      </c>
      <c r="AO17" s="26">
        <f>股权价值增加表!AO42</f>
        <v>106297489.95999996</v>
      </c>
      <c r="AP17" s="26">
        <f>股权价值增加表!AP42</f>
        <v>73816300.709999993</v>
      </c>
      <c r="AQ17" s="26">
        <f>股权价值增加表!AQ42</f>
        <v>36369378.730000019</v>
      </c>
      <c r="AR17" s="26">
        <f>股权价值增加表!AR42</f>
        <v>5653261.2800000049</v>
      </c>
      <c r="AS17" s="26">
        <f>股权价值增加表!AS42</f>
        <v>85773814.789999962</v>
      </c>
      <c r="AT17" s="26">
        <f>股权价值增加表!AT42</f>
        <v>54820564.890000001</v>
      </c>
      <c r="AU17" s="26">
        <f>股权价值增加表!AU42</f>
        <v>24410675.389999989</v>
      </c>
      <c r="AV17" s="26">
        <f>股权价值增加表!AV42</f>
        <v>2715913.680000002</v>
      </c>
      <c r="AW17" s="26">
        <f>股权价值增加表!AW42</f>
        <v>48750486.959999979</v>
      </c>
      <c r="AX17" s="26">
        <f>股权价值增加表!AX42</f>
        <v>45760191.909999996</v>
      </c>
      <c r="AY17" s="26">
        <f>股权价值增加表!AY42</f>
        <v>0</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0.61120977217987749</v>
      </c>
      <c r="F18" s="28">
        <f t="shared" ref="F18:BQ18" si="10">F14/F17</f>
        <v>-1.2231847474383168</v>
      </c>
      <c r="G18" s="28">
        <f t="shared" si="10"/>
        <v>-1.4492517301428034</v>
      </c>
      <c r="H18" s="28">
        <f t="shared" si="10"/>
        <v>-5.019133527416523</v>
      </c>
      <c r="I18" s="28">
        <f t="shared" si="10"/>
        <v>0.25018505795215529</v>
      </c>
      <c r="J18" s="28">
        <f t="shared" si="10"/>
        <v>-0.74409666243440264</v>
      </c>
      <c r="K18" s="28">
        <f t="shared" si="10"/>
        <v>-0.9364334003186604</v>
      </c>
      <c r="L18" s="28">
        <f t="shared" si="10"/>
        <v>-3.3505021093253551</v>
      </c>
      <c r="M18" s="28">
        <f t="shared" si="10"/>
        <v>0.14600241019066776</v>
      </c>
      <c r="N18" s="28">
        <f t="shared" si="10"/>
        <v>-0.88941119953245584</v>
      </c>
      <c r="O18" s="28">
        <f t="shared" si="10"/>
        <v>-1.2037187738804818</v>
      </c>
      <c r="P18" s="28">
        <f t="shared" si="10"/>
        <v>-5.064461000401157</v>
      </c>
      <c r="Q18" s="28">
        <f t="shared" si="10"/>
        <v>-1.4986078450134752E-2</v>
      </c>
      <c r="R18" s="28">
        <f t="shared" si="10"/>
        <v>-1.2172220242097158</v>
      </c>
      <c r="S18" s="28">
        <f t="shared" si="10"/>
        <v>-1.8565401393772314</v>
      </c>
      <c r="T18" s="28">
        <f t="shared" si="10"/>
        <v>-3.3665854614925506</v>
      </c>
      <c r="U18" s="28">
        <f t="shared" si="10"/>
        <v>0.31855631123392575</v>
      </c>
      <c r="V18" s="28">
        <f t="shared" si="10"/>
        <v>1.0748963041549658E-2</v>
      </c>
      <c r="W18" s="28">
        <f t="shared" si="10"/>
        <v>-0.20479829939351454</v>
      </c>
      <c r="X18" s="28">
        <f t="shared" si="10"/>
        <v>-1.5148528347916619</v>
      </c>
      <c r="Y18" s="28">
        <f t="shared" si="10"/>
        <v>0.68902174016179496</v>
      </c>
      <c r="Z18" s="28">
        <f t="shared" si="10"/>
        <v>3.4352161081992558E-2</v>
      </c>
      <c r="AA18" s="28">
        <f t="shared" si="10"/>
        <v>-0.64731640375339061</v>
      </c>
      <c r="AB18" s="28">
        <f t="shared" si="10"/>
        <v>-3.4810562897261876</v>
      </c>
      <c r="AC18" s="28">
        <f t="shared" si="10"/>
        <v>0.19691338848233489</v>
      </c>
      <c r="AD18" s="28">
        <f t="shared" si="10"/>
        <v>-0.82584691008988764</v>
      </c>
      <c r="AE18" s="28">
        <f t="shared" si="10"/>
        <v>-0.8035536638709424</v>
      </c>
      <c r="AF18" s="28">
        <f t="shared" si="10"/>
        <v>-2.5516376896232189</v>
      </c>
      <c r="AG18" s="28">
        <f t="shared" si="10"/>
        <v>0.47246768717766457</v>
      </c>
      <c r="AH18" s="28">
        <f t="shared" si="10"/>
        <v>-0.34280378429584563</v>
      </c>
      <c r="AI18" s="28">
        <f t="shared" si="10"/>
        <v>-0.31271965996633178</v>
      </c>
      <c r="AJ18" s="28">
        <f t="shared" si="10"/>
        <v>-2.3454023913866582</v>
      </c>
      <c r="AK18" s="28">
        <f t="shared" si="10"/>
        <v>0.39775633795909349</v>
      </c>
      <c r="AL18" s="28">
        <f t="shared" si="10"/>
        <v>0.2127505798618306</v>
      </c>
      <c r="AM18" s="28">
        <f t="shared" si="10"/>
        <v>9.6657214256302457E-2</v>
      </c>
      <c r="AN18" s="28">
        <f t="shared" si="10"/>
        <v>-2.066892675229298</v>
      </c>
      <c r="AO18" s="28">
        <f t="shared" si="10"/>
        <v>2.5087313736227388E-2</v>
      </c>
      <c r="AP18" s="28">
        <f t="shared" si="10"/>
        <v>-0.86523552583484653</v>
      </c>
      <c r="AQ18" s="28">
        <f t="shared" si="10"/>
        <v>-1.6705749133372663</v>
      </c>
      <c r="AR18" s="28">
        <f t="shared" si="10"/>
        <v>-5.76974692738772</v>
      </c>
      <c r="AS18" s="28">
        <f t="shared" si="10"/>
        <v>0.79043611276928294</v>
      </c>
      <c r="AT18" s="28">
        <f t="shared" si="10"/>
        <v>6.7288673281673664E-2</v>
      </c>
      <c r="AU18" s="28">
        <f t="shared" si="10"/>
        <v>-0.8778778717764929</v>
      </c>
      <c r="AV18" s="28">
        <f t="shared" si="10"/>
        <v>-4.8189331481256765</v>
      </c>
      <c r="AW18" s="28">
        <f t="shared" si="10"/>
        <v>-0.59939217046130644</v>
      </c>
      <c r="AX18" s="28">
        <f t="shared" si="10"/>
        <v>0.51610970746035933</v>
      </c>
      <c r="AY18" s="28" t="e">
        <f t="shared" si="10"/>
        <v>#DIV/0!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245506915.74000001</v>
      </c>
      <c r="F19" s="26">
        <f>现金流量表!F48</f>
        <v>0</v>
      </c>
      <c r="G19" s="26">
        <f>现金流量表!G48</f>
        <v>89628522.590000004</v>
      </c>
      <c r="H19" s="26">
        <f>现金流量表!H48</f>
        <v>0</v>
      </c>
      <c r="I19" s="26">
        <f>现金流量表!I48</f>
        <v>129145009.23999999</v>
      </c>
      <c r="J19" s="26">
        <f>现金流量表!J48</f>
        <v>0</v>
      </c>
      <c r="K19" s="26">
        <f>现金流量表!K48</f>
        <v>70488505.819999993</v>
      </c>
      <c r="L19" s="26">
        <f>现金流量表!L48</f>
        <v>0</v>
      </c>
      <c r="M19" s="26">
        <f>现金流量表!M48</f>
        <v>192281999.66999999</v>
      </c>
      <c r="N19" s="26">
        <f>现金流量表!N48</f>
        <v>0</v>
      </c>
      <c r="O19" s="26">
        <f>现金流量表!O48</f>
        <v>52332053.640000001</v>
      </c>
      <c r="P19" s="26">
        <f>现金流量表!P48</f>
        <v>0</v>
      </c>
      <c r="Q19" s="26">
        <f>现金流量表!Q48</f>
        <v>79357586.120000005</v>
      </c>
      <c r="R19" s="26">
        <f>现金流量表!R48</f>
        <v>0</v>
      </c>
      <c r="S19" s="26">
        <f>现金流量表!S48</f>
        <v>38982898.960000001</v>
      </c>
      <c r="T19" s="26">
        <f>现金流量表!T48</f>
        <v>0</v>
      </c>
      <c r="U19" s="26">
        <f>现金流量表!U48</f>
        <v>98559602.459999993</v>
      </c>
      <c r="V19" s="26">
        <f>现金流量表!V48</f>
        <v>0</v>
      </c>
      <c r="W19" s="26">
        <f>现金流量表!W48</f>
        <v>36037147.950000003</v>
      </c>
      <c r="X19" s="26">
        <f>现金流量表!X48</f>
        <v>0</v>
      </c>
      <c r="Y19" s="26">
        <f>现金流量表!Y48</f>
        <v>37947498.520000003</v>
      </c>
      <c r="Z19" s="26">
        <f>现金流量表!Z48</f>
        <v>0</v>
      </c>
      <c r="AA19" s="26">
        <f>现金流量表!AA48</f>
        <v>23698452.280000001</v>
      </c>
      <c r="AB19" s="26">
        <f>现金流量表!AB48</f>
        <v>0</v>
      </c>
      <c r="AC19" s="26">
        <f>现金流量表!AC48</f>
        <v>26723209</v>
      </c>
      <c r="AD19" s="26">
        <f>现金流量表!AD48</f>
        <v>0</v>
      </c>
      <c r="AE19" s="26">
        <f>现金流量表!AE48</f>
        <v>0</v>
      </c>
      <c r="AF19" s="26">
        <f>现金流量表!AF48</f>
        <v>0</v>
      </c>
      <c r="AG19" s="26">
        <f>现金流量表!AG48</f>
        <v>11339203.859999999</v>
      </c>
      <c r="AH19" s="26">
        <f>现金流量表!AH48</f>
        <v>0</v>
      </c>
      <c r="AI19" s="26">
        <f>现金流量表!AI48</f>
        <v>0</v>
      </c>
      <c r="AJ19" s="26">
        <f>现金流量表!AJ48</f>
        <v>0</v>
      </c>
      <c r="AK19" s="26">
        <f>现金流量表!AK48</f>
        <v>9330272.8200000003</v>
      </c>
      <c r="AL19" s="26">
        <f>现金流量表!AL48</f>
        <v>0</v>
      </c>
      <c r="AM19" s="26">
        <f>现金流量表!AM48</f>
        <v>0</v>
      </c>
      <c r="AN19" s="26">
        <f>现金流量表!AN48</f>
        <v>0</v>
      </c>
      <c r="AO19" s="26">
        <f>现金流量表!AO48</f>
        <v>1792035.28</v>
      </c>
      <c r="AP19" s="26">
        <f>现金流量表!AP48</f>
        <v>0</v>
      </c>
      <c r="AQ19" s="26">
        <f>现金流量表!AQ48</f>
        <v>0</v>
      </c>
      <c r="AR19" s="26">
        <f>现金流量表!AR48</f>
        <v>0</v>
      </c>
      <c r="AS19" s="26">
        <f>现金流量表!AS48</f>
        <v>-296967.21999999997</v>
      </c>
      <c r="AT19" s="26">
        <f>现金流量表!AT48</f>
        <v>0</v>
      </c>
      <c r="AU19" s="26">
        <f>现金流量表!AU48</f>
        <v>0</v>
      </c>
      <c r="AV19" s="26">
        <f>现金流量表!AV48</f>
        <v>0</v>
      </c>
      <c r="AW19" s="26">
        <f>现金流量表!AW48</f>
        <v>12049409.59</v>
      </c>
      <c r="AX19" s="26">
        <f>现金流量表!AX48</f>
        <v>3671903.95</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134488131.80000001</v>
      </c>
      <c r="F20" s="26">
        <f>现金流量表!F49</f>
        <v>0</v>
      </c>
      <c r="G20" s="26">
        <f>现金流量表!G49</f>
        <v>60312525.479999997</v>
      </c>
      <c r="H20" s="26">
        <f>现金流量表!H49</f>
        <v>0</v>
      </c>
      <c r="I20" s="26">
        <f>现金流量表!I49</f>
        <v>103583804.51000001</v>
      </c>
      <c r="J20" s="26">
        <f>现金流量表!J49</f>
        <v>0</v>
      </c>
      <c r="K20" s="26">
        <f>现金流量表!K49</f>
        <v>42431745.079999998</v>
      </c>
      <c r="L20" s="26">
        <f>现金流量表!L49</f>
        <v>0</v>
      </c>
      <c r="M20" s="26">
        <f>现金流量表!M49</f>
        <v>84781587.469999999</v>
      </c>
      <c r="N20" s="26">
        <f>现金流量表!N49</f>
        <v>0</v>
      </c>
      <c r="O20" s="26">
        <f>现金流量表!O49</f>
        <v>41093208.020000003</v>
      </c>
      <c r="P20" s="26">
        <f>现金流量表!P49</f>
        <v>0</v>
      </c>
      <c r="Q20" s="26">
        <f>现金流量表!Q49</f>
        <v>73180404.730000004</v>
      </c>
      <c r="R20" s="26">
        <f>现金流量表!R49</f>
        <v>0</v>
      </c>
      <c r="S20" s="26">
        <f>现金流量表!S49</f>
        <v>35501617.990000002</v>
      </c>
      <c r="T20" s="26">
        <f>现金流量表!T49</f>
        <v>0</v>
      </c>
      <c r="U20" s="26">
        <f>现金流量表!U49</f>
        <v>40771661.840000004</v>
      </c>
      <c r="V20" s="26">
        <f>现金流量表!V49</f>
        <v>0</v>
      </c>
      <c r="W20" s="26">
        <f>现金流量表!W49</f>
        <v>17725216.16</v>
      </c>
      <c r="X20" s="26">
        <f>现金流量表!X49</f>
        <v>0</v>
      </c>
      <c r="Y20" s="26">
        <f>现金流量表!Y49</f>
        <v>30712112.989999998</v>
      </c>
      <c r="Z20" s="26">
        <f>现金流量表!Z49</f>
        <v>0</v>
      </c>
      <c r="AA20" s="26">
        <f>现金流量表!AA49</f>
        <v>13944945.220000001</v>
      </c>
      <c r="AB20" s="26">
        <f>现金流量表!AB49</f>
        <v>0</v>
      </c>
      <c r="AC20" s="26">
        <f>现金流量表!AC49</f>
        <v>21124733.309999999</v>
      </c>
      <c r="AD20" s="26">
        <f>现金流量表!AD49</f>
        <v>0</v>
      </c>
      <c r="AE20" s="26">
        <f>现金流量表!AE49</f>
        <v>0</v>
      </c>
      <c r="AF20" s="26">
        <f>现金流量表!AF49</f>
        <v>0</v>
      </c>
      <c r="AG20" s="26">
        <f>现金流量表!AG49</f>
        <v>14528799.33</v>
      </c>
      <c r="AH20" s="26">
        <f>现金流量表!AH49</f>
        <v>0</v>
      </c>
      <c r="AI20" s="26">
        <f>现金流量表!AI49</f>
        <v>0</v>
      </c>
      <c r="AJ20" s="26">
        <f>现金流量表!AJ49</f>
        <v>0</v>
      </c>
      <c r="AK20" s="26">
        <f>现金流量表!AK49</f>
        <v>11213136.289999999</v>
      </c>
      <c r="AL20" s="26">
        <f>现金流量表!AL49</f>
        <v>0</v>
      </c>
      <c r="AM20" s="26">
        <f>现金流量表!AM49</f>
        <v>0</v>
      </c>
      <c r="AN20" s="26">
        <f>现金流量表!AN49</f>
        <v>0</v>
      </c>
      <c r="AO20" s="26">
        <f>现金流量表!AO49</f>
        <v>7484607.7400000002</v>
      </c>
      <c r="AP20" s="26">
        <f>现金流量表!AP49</f>
        <v>0</v>
      </c>
      <c r="AQ20" s="26">
        <f>现金流量表!AQ49</f>
        <v>0</v>
      </c>
      <c r="AR20" s="26">
        <f>现金流量表!AR49</f>
        <v>0</v>
      </c>
      <c r="AS20" s="26">
        <f>现金流量表!AS49</f>
        <v>4774098.32</v>
      </c>
      <c r="AT20" s="26">
        <f>现金流量表!AT49</f>
        <v>0</v>
      </c>
      <c r="AU20" s="26">
        <f>现金流量表!AU49</f>
        <v>0</v>
      </c>
      <c r="AV20" s="26">
        <f>现金流量表!AV49</f>
        <v>0</v>
      </c>
      <c r="AW20" s="26">
        <f>现金流量表!AW49</f>
        <v>5525838.7599999998</v>
      </c>
      <c r="AX20" s="26">
        <f>现金流量表!AX49</f>
        <v>2967454.89</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27767397.350000001</v>
      </c>
      <c r="F21" s="26">
        <f>现金流量表!F50</f>
        <v>0</v>
      </c>
      <c r="G21" s="26">
        <f>现金流量表!G50</f>
        <v>10024296.75</v>
      </c>
      <c r="H21" s="26">
        <f>现金流量表!H50</f>
        <v>0</v>
      </c>
      <c r="I21" s="26">
        <f>现金流量表!I50</f>
        <v>14591618.01</v>
      </c>
      <c r="J21" s="26">
        <f>现金流量表!J50</f>
        <v>0</v>
      </c>
      <c r="K21" s="26">
        <f>现金流量表!K50</f>
        <v>5579119.8099999996</v>
      </c>
      <c r="L21" s="26">
        <f>现金流量表!L50</f>
        <v>0</v>
      </c>
      <c r="M21" s="26">
        <f>现金流量表!M50</f>
        <v>6315165.0099999998</v>
      </c>
      <c r="N21" s="26">
        <f>现金流量表!N50</f>
        <v>0</v>
      </c>
      <c r="O21" s="26">
        <f>现金流量表!O50</f>
        <v>1814630.73</v>
      </c>
      <c r="P21" s="26">
        <f>现金流量表!P50</f>
        <v>0</v>
      </c>
      <c r="Q21" s="26">
        <f>现金流量表!Q50</f>
        <v>5835105.4800000004</v>
      </c>
      <c r="R21" s="26">
        <f>现金流量表!R50</f>
        <v>0</v>
      </c>
      <c r="S21" s="26">
        <f>现金流量表!S50</f>
        <v>3085553.71</v>
      </c>
      <c r="T21" s="26">
        <f>现金流量表!T50</f>
        <v>0</v>
      </c>
      <c r="U21" s="26">
        <f>现金流量表!U50</f>
        <v>5652308.1600000001</v>
      </c>
      <c r="V21" s="26">
        <f>现金流量表!V50</f>
        <v>0</v>
      </c>
      <c r="W21" s="26">
        <f>现金流量表!W50</f>
        <v>2814257.28</v>
      </c>
      <c r="X21" s="26">
        <f>现金流量表!X50</f>
        <v>0</v>
      </c>
      <c r="Y21" s="26">
        <f>现金流量表!Y50</f>
        <v>5594314.6500000004</v>
      </c>
      <c r="Z21" s="26">
        <f>现金流量表!Z50</f>
        <v>0</v>
      </c>
      <c r="AA21" s="26">
        <f>现金流量表!AA50</f>
        <v>2742297.02</v>
      </c>
      <c r="AB21" s="26">
        <f>现金流量表!AB50</f>
        <v>0</v>
      </c>
      <c r="AC21" s="26">
        <f>现金流量表!AC50</f>
        <v>4946596.43</v>
      </c>
      <c r="AD21" s="26">
        <f>现金流量表!AD50</f>
        <v>0</v>
      </c>
      <c r="AE21" s="26">
        <f>现金流量表!AE50</f>
        <v>0</v>
      </c>
      <c r="AF21" s="26">
        <f>现金流量表!AF50</f>
        <v>0</v>
      </c>
      <c r="AG21" s="26">
        <f>现金流量表!AG50</f>
        <v>4372512.25</v>
      </c>
      <c r="AH21" s="26">
        <f>现金流量表!AH50</f>
        <v>0</v>
      </c>
      <c r="AI21" s="26">
        <f>现金流量表!AI50</f>
        <v>0</v>
      </c>
      <c r="AJ21" s="26">
        <f>现金流量表!AJ50</f>
        <v>0</v>
      </c>
      <c r="AK21" s="26">
        <f>现金流量表!AK50</f>
        <v>2706968.23</v>
      </c>
      <c r="AL21" s="26">
        <f>现金流量表!AL50</f>
        <v>0</v>
      </c>
      <c r="AM21" s="26">
        <f>现金流量表!AM50</f>
        <v>0</v>
      </c>
      <c r="AN21" s="26">
        <f>现金流量表!AN50</f>
        <v>0</v>
      </c>
      <c r="AO21" s="26">
        <f>现金流量表!AO50</f>
        <v>903541.1</v>
      </c>
      <c r="AP21" s="26">
        <f>现金流量表!AP50</f>
        <v>0</v>
      </c>
      <c r="AQ21" s="26">
        <f>现金流量表!AQ50</f>
        <v>0</v>
      </c>
      <c r="AR21" s="26">
        <f>现金流量表!AR50</f>
        <v>0</v>
      </c>
      <c r="AS21" s="26">
        <f>现金流量表!AS50</f>
        <v>270317.88</v>
      </c>
      <c r="AT21" s="26">
        <f>现金流量表!AT50</f>
        <v>0</v>
      </c>
      <c r="AU21" s="26">
        <f>现金流量表!AU50</f>
        <v>0</v>
      </c>
      <c r="AV21" s="26">
        <f>现金流量表!AV50</f>
        <v>0</v>
      </c>
      <c r="AW21" s="26">
        <f>现金流量表!AW50</f>
        <v>1532176.84</v>
      </c>
      <c r="AX21" s="26">
        <f>现金流量表!AX50</f>
        <v>14167.63</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647458.78</v>
      </c>
      <c r="J22" s="26">
        <f>现金流量表!J51</f>
        <v>0</v>
      </c>
      <c r="K22" s="26">
        <f>现金流量表!K51</f>
        <v>371889.9</v>
      </c>
      <c r="L22" s="26">
        <f>现金流量表!L51</f>
        <v>0</v>
      </c>
      <c r="M22" s="26">
        <f>现金流量表!M51</f>
        <v>743779.8</v>
      </c>
      <c r="N22" s="26">
        <f>现金流量表!N51</f>
        <v>0</v>
      </c>
      <c r="O22" s="26">
        <f>现金流量表!O51</f>
        <v>371889.9</v>
      </c>
      <c r="P22" s="26">
        <f>现金流量表!P51</f>
        <v>0</v>
      </c>
      <c r="Q22" s="26">
        <f>现金流量表!Q51</f>
        <v>743779.79</v>
      </c>
      <c r="R22" s="26">
        <f>现金流量表!R51</f>
        <v>0</v>
      </c>
      <c r="S22" s="26">
        <f>现金流量表!S51</f>
        <v>371889.89</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-774332.5</v>
      </c>
      <c r="F23" s="26">
        <f>现金流量表!F54</f>
        <v>0</v>
      </c>
      <c r="G23" s="26">
        <f>现金流量表!G54</f>
        <v>112665.22</v>
      </c>
      <c r="H23" s="26">
        <f>现金流量表!H54</f>
        <v>0</v>
      </c>
      <c r="I23" s="26">
        <f>现金流量表!I54</f>
        <v>346741.78</v>
      </c>
      <c r="J23" s="26">
        <f>现金流量表!J54</f>
        <v>0</v>
      </c>
      <c r="K23" s="26">
        <f>现金流量表!K54</f>
        <v>255697.64</v>
      </c>
      <c r="L23" s="26">
        <f>现金流量表!L54</f>
        <v>0</v>
      </c>
      <c r="M23" s="26">
        <f>现金流量表!M54</f>
        <v>-174927.99</v>
      </c>
      <c r="N23" s="26">
        <f>现金流量表!N54</f>
        <v>0</v>
      </c>
      <c r="O23" s="26">
        <f>现金流量表!O54</f>
        <v>38900.35</v>
      </c>
      <c r="P23" s="26">
        <f>现金流量表!P54</f>
        <v>0</v>
      </c>
      <c r="Q23" s="26">
        <f>现金流量表!Q54</f>
        <v>77974.710000000006</v>
      </c>
      <c r="R23" s="26">
        <f>现金流量表!R54</f>
        <v>0</v>
      </c>
      <c r="S23" s="26">
        <f>现金流量表!S54</f>
        <v>46386.78</v>
      </c>
      <c r="T23" s="26">
        <f>现金流量表!T54</f>
        <v>0</v>
      </c>
      <c r="U23" s="26">
        <f>现金流量表!U54</f>
        <v>-94715.38</v>
      </c>
      <c r="V23" s="26">
        <f>现金流量表!V54</f>
        <v>0</v>
      </c>
      <c r="W23" s="26">
        <f>现金流量表!W54</f>
        <v>66772.899999999994</v>
      </c>
      <c r="X23" s="26">
        <f>现金流量表!X54</f>
        <v>0</v>
      </c>
      <c r="Y23" s="26">
        <f>现金流量表!Y54</f>
        <v>161660.29</v>
      </c>
      <c r="Z23" s="26">
        <f>现金流量表!Z54</f>
        <v>0</v>
      </c>
      <c r="AA23" s="26">
        <f>现金流量表!AA54</f>
        <v>94799.83</v>
      </c>
      <c r="AB23" s="26">
        <f>现金流量表!AB54</f>
        <v>0</v>
      </c>
      <c r="AC23" s="26">
        <f>现金流量表!AC54</f>
        <v>258214.11</v>
      </c>
      <c r="AD23" s="26">
        <f>现金流量表!AD54</f>
        <v>0</v>
      </c>
      <c r="AE23" s="26">
        <f>现金流量表!AE54</f>
        <v>0</v>
      </c>
      <c r="AF23" s="26">
        <f>现金流量表!AF54</f>
        <v>0</v>
      </c>
      <c r="AG23" s="26">
        <f>现金流量表!AG54</f>
        <v>172138.23</v>
      </c>
      <c r="AH23" s="26">
        <f>现金流量表!AH54</f>
        <v>0</v>
      </c>
      <c r="AI23" s="26">
        <f>现金流量表!AI54</f>
        <v>0</v>
      </c>
      <c r="AJ23" s="26">
        <f>现金流量表!AJ54</f>
        <v>0</v>
      </c>
      <c r="AK23" s="26">
        <f>现金流量表!AK54</f>
        <v>255412.67</v>
      </c>
      <c r="AL23" s="26">
        <f>现金流量表!AL54</f>
        <v>0</v>
      </c>
      <c r="AM23" s="26">
        <f>现金流量表!AM54</f>
        <v>0</v>
      </c>
      <c r="AN23" s="26">
        <f>现金流量表!AN54</f>
        <v>0</v>
      </c>
      <c r="AO23" s="26">
        <f>现金流量表!AO54</f>
        <v>507553.89</v>
      </c>
      <c r="AP23" s="26">
        <f>现金流量表!AP54</f>
        <v>0</v>
      </c>
      <c r="AQ23" s="26">
        <f>现金流量表!AQ54</f>
        <v>0</v>
      </c>
      <c r="AR23" s="26">
        <f>现金流量表!AR54</f>
        <v>0</v>
      </c>
      <c r="AS23" s="26">
        <f>现金流量表!AS54</f>
        <v>143499.57999999999</v>
      </c>
      <c r="AT23" s="26">
        <f>现金流量表!AT54</f>
        <v>0</v>
      </c>
      <c r="AU23" s="26">
        <f>现金流量表!AU54</f>
        <v>0</v>
      </c>
      <c r="AV23" s="26">
        <f>现金流量表!AV54</f>
        <v>0</v>
      </c>
      <c r="AW23" s="26">
        <f>现金流量表!AW54</f>
        <v>359656.46</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9227666.0600000005</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1961.16</v>
      </c>
      <c r="R24" s="26">
        <f>现金流量表!R55</f>
        <v>0</v>
      </c>
      <c r="S24" s="26">
        <f>现金流量表!S55</f>
        <v>0</v>
      </c>
      <c r="T24" s="26">
        <f>现金流量表!T55</f>
        <v>0</v>
      </c>
      <c r="U24" s="26">
        <f>现金流量表!U55</f>
        <v>7068.71</v>
      </c>
      <c r="V24" s="26">
        <f>现金流量表!V55</f>
        <v>0</v>
      </c>
      <c r="W24" s="26">
        <f>现金流量表!W55</f>
        <v>0</v>
      </c>
      <c r="X24" s="26">
        <f>现金流量表!X55</f>
        <v>0</v>
      </c>
      <c r="Y24" s="26">
        <f>现金流量表!Y55</f>
        <v>10554.48</v>
      </c>
      <c r="Z24" s="26">
        <f>现金流量表!Z55</f>
        <v>0</v>
      </c>
      <c r="AA24" s="26">
        <f>现金流量表!AA55</f>
        <v>0</v>
      </c>
      <c r="AB24" s="26">
        <f>现金流量表!AB55</f>
        <v>0</v>
      </c>
      <c r="AC24" s="26">
        <f>现金流量表!AC55</f>
        <v>1484.38</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219933.85</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416215778.45000005</v>
      </c>
      <c r="F25" s="28">
        <f t="shared" ref="F25:BQ25" si="12">SUM(F19:F24)</f>
        <v>0</v>
      </c>
      <c r="G25" s="28">
        <f t="shared" si="12"/>
        <v>160078010.03999999</v>
      </c>
      <c r="H25" s="28">
        <f t="shared" si="12"/>
        <v>0</v>
      </c>
      <c r="I25" s="28">
        <f t="shared" si="12"/>
        <v>248314632.31999999</v>
      </c>
      <c r="J25" s="28">
        <f t="shared" si="12"/>
        <v>0</v>
      </c>
      <c r="K25" s="28">
        <f t="shared" si="12"/>
        <v>119126958.25</v>
      </c>
      <c r="L25" s="28">
        <f t="shared" si="12"/>
        <v>0</v>
      </c>
      <c r="M25" s="28">
        <f t="shared" si="12"/>
        <v>283947603.95999998</v>
      </c>
      <c r="N25" s="28">
        <f t="shared" si="12"/>
        <v>0</v>
      </c>
      <c r="O25" s="28">
        <f t="shared" si="12"/>
        <v>95650682.640000001</v>
      </c>
      <c r="P25" s="28">
        <f t="shared" si="12"/>
        <v>0</v>
      </c>
      <c r="Q25" s="28">
        <f t="shared" si="12"/>
        <v>159196811.99000001</v>
      </c>
      <c r="R25" s="28">
        <f t="shared" si="12"/>
        <v>0</v>
      </c>
      <c r="S25" s="28">
        <f t="shared" si="12"/>
        <v>77988347.329999998</v>
      </c>
      <c r="T25" s="28">
        <f t="shared" si="12"/>
        <v>0</v>
      </c>
      <c r="U25" s="28">
        <f t="shared" si="12"/>
        <v>144895925.79000002</v>
      </c>
      <c r="V25" s="28">
        <f t="shared" si="12"/>
        <v>0</v>
      </c>
      <c r="W25" s="28">
        <f t="shared" si="12"/>
        <v>56643394.289999999</v>
      </c>
      <c r="X25" s="28">
        <f t="shared" si="12"/>
        <v>0</v>
      </c>
      <c r="Y25" s="28">
        <f t="shared" si="12"/>
        <v>74426140.930000022</v>
      </c>
      <c r="Z25" s="28">
        <f t="shared" si="12"/>
        <v>0</v>
      </c>
      <c r="AA25" s="28">
        <f t="shared" si="12"/>
        <v>40480494.350000001</v>
      </c>
      <c r="AB25" s="28">
        <f t="shared" si="12"/>
        <v>0</v>
      </c>
      <c r="AC25" s="28">
        <f t="shared" si="12"/>
        <v>53054237.230000004</v>
      </c>
      <c r="AD25" s="28">
        <f t="shared" si="12"/>
        <v>0</v>
      </c>
      <c r="AE25" s="28">
        <f t="shared" si="12"/>
        <v>0</v>
      </c>
      <c r="AF25" s="28">
        <f t="shared" si="12"/>
        <v>0</v>
      </c>
      <c r="AG25" s="28">
        <f t="shared" si="12"/>
        <v>30412653.669999998</v>
      </c>
      <c r="AH25" s="28">
        <f t="shared" si="12"/>
        <v>0</v>
      </c>
      <c r="AI25" s="28">
        <f t="shared" si="12"/>
        <v>0</v>
      </c>
      <c r="AJ25" s="28">
        <f t="shared" si="12"/>
        <v>0</v>
      </c>
      <c r="AK25" s="28">
        <f t="shared" si="12"/>
        <v>23505790.010000002</v>
      </c>
      <c r="AL25" s="28">
        <f t="shared" si="12"/>
        <v>0</v>
      </c>
      <c r="AM25" s="28">
        <f t="shared" si="12"/>
        <v>0</v>
      </c>
      <c r="AN25" s="28">
        <f t="shared" si="12"/>
        <v>0</v>
      </c>
      <c r="AO25" s="28">
        <f t="shared" si="12"/>
        <v>10687738.01</v>
      </c>
      <c r="AP25" s="28">
        <f t="shared" si="12"/>
        <v>0</v>
      </c>
      <c r="AQ25" s="28">
        <f t="shared" si="12"/>
        <v>0</v>
      </c>
      <c r="AR25" s="28">
        <f t="shared" si="12"/>
        <v>0</v>
      </c>
      <c r="AS25" s="28">
        <f t="shared" si="12"/>
        <v>5110882.41</v>
      </c>
      <c r="AT25" s="28">
        <f t="shared" si="12"/>
        <v>0</v>
      </c>
      <c r="AU25" s="28">
        <f t="shared" si="12"/>
        <v>0</v>
      </c>
      <c r="AV25" s="28">
        <f t="shared" si="12"/>
        <v>0</v>
      </c>
      <c r="AW25" s="28">
        <f t="shared" si="12"/>
        <v>19467081.650000002</v>
      </c>
      <c r="AX25" s="28">
        <f t="shared" si="12"/>
        <v>6653526.4699999997</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498015581.55999994</v>
      </c>
      <c r="F26" s="28">
        <f t="shared" ref="F26:BQ26" si="14">F14-F25</f>
        <v>-1141692905.71</v>
      </c>
      <c r="G26" s="28">
        <f t="shared" si="14"/>
        <v>-1081481900.27</v>
      </c>
      <c r="H26" s="28">
        <f t="shared" si="14"/>
        <v>-1384225716.4100001</v>
      </c>
      <c r="I26" s="28">
        <f t="shared" si="14"/>
        <v>222422473.01999998</v>
      </c>
      <c r="J26" s="28">
        <f t="shared" si="14"/>
        <v>-793075284.84000003</v>
      </c>
      <c r="K26" s="28">
        <f t="shared" si="14"/>
        <v>-784867096.73000002</v>
      </c>
      <c r="L26" s="28">
        <f t="shared" si="14"/>
        <v>-718084575.94000006</v>
      </c>
      <c r="M26" s="28">
        <f t="shared" si="14"/>
        <v>-83183779.099999964</v>
      </c>
      <c r="N26" s="28">
        <f t="shared" si="14"/>
        <v>-675595350.13999999</v>
      </c>
      <c r="O26" s="28">
        <f t="shared" si="14"/>
        <v>-653285952</v>
      </c>
      <c r="P26" s="28">
        <f t="shared" si="14"/>
        <v>-523948825.60000002</v>
      </c>
      <c r="Q26" s="28">
        <f t="shared" si="14"/>
        <v>-176277733.45000002</v>
      </c>
      <c r="R26" s="28">
        <f t="shared" si="14"/>
        <v>-883339431.94000006</v>
      </c>
      <c r="S26" s="28">
        <f t="shared" si="14"/>
        <v>-1018737273.9300001</v>
      </c>
      <c r="T26" s="28">
        <f t="shared" si="14"/>
        <v>-678592075.77999997</v>
      </c>
      <c r="U26" s="28">
        <f t="shared" si="14"/>
        <v>211579294.91999996</v>
      </c>
      <c r="V26" s="28">
        <f t="shared" si="14"/>
        <v>6610104.0899999999</v>
      </c>
      <c r="W26" s="28">
        <f t="shared" si="14"/>
        <v>-135587262.83000001</v>
      </c>
      <c r="X26" s="28">
        <f t="shared" si="14"/>
        <v>-215180758.69999999</v>
      </c>
      <c r="Y26" s="28">
        <f t="shared" si="14"/>
        <v>407486955.29000002</v>
      </c>
      <c r="Z26" s="28">
        <f t="shared" si="14"/>
        <v>12888573.84</v>
      </c>
      <c r="AA26" s="28">
        <f t="shared" si="14"/>
        <v>-185394546.43000001</v>
      </c>
      <c r="AB26" s="28">
        <f t="shared" si="14"/>
        <v>-229913056.03</v>
      </c>
      <c r="AC26" s="28">
        <f t="shared" si="14"/>
        <v>21164996.819999993</v>
      </c>
      <c r="AD26" s="28">
        <f t="shared" si="14"/>
        <v>-167926349</v>
      </c>
      <c r="AE26" s="28">
        <f t="shared" si="14"/>
        <v>-103397414.09</v>
      </c>
      <c r="AF26" s="28">
        <f t="shared" si="14"/>
        <v>-99868660.239999995</v>
      </c>
      <c r="AG26" s="28">
        <f t="shared" si="14"/>
        <v>93151707.599999994</v>
      </c>
      <c r="AH26" s="28">
        <f t="shared" si="14"/>
        <v>-48166245.409999996</v>
      </c>
      <c r="AI26" s="28">
        <f t="shared" si="14"/>
        <v>-24503888.670000002</v>
      </c>
      <c r="AJ26" s="28">
        <f t="shared" si="14"/>
        <v>-43348772.32</v>
      </c>
      <c r="AK26" s="28">
        <f t="shared" si="14"/>
        <v>22896042.149999995</v>
      </c>
      <c r="AL26" s="28">
        <f t="shared" si="14"/>
        <v>12743802.42</v>
      </c>
      <c r="AM26" s="28">
        <f t="shared" si="14"/>
        <v>3281297.7</v>
      </c>
      <c r="AN26" s="28">
        <f t="shared" si="14"/>
        <v>-12875271.93</v>
      </c>
      <c r="AO26" s="28">
        <f t="shared" si="14"/>
        <v>-8021019.5299999993</v>
      </c>
      <c r="AP26" s="28">
        <f t="shared" si="14"/>
        <v>-63868485.759999998</v>
      </c>
      <c r="AQ26" s="28">
        <f t="shared" si="14"/>
        <v>-60757771.719999999</v>
      </c>
      <c r="AR26" s="28">
        <f t="shared" si="14"/>
        <v>-32617886.899999999</v>
      </c>
      <c r="AS26" s="28">
        <f t="shared" si="14"/>
        <v>62687838.329999998</v>
      </c>
      <c r="AT26" s="28">
        <f t="shared" si="14"/>
        <v>3688803.08</v>
      </c>
      <c r="AU26" s="28">
        <f t="shared" si="14"/>
        <v>-21429591.760000002</v>
      </c>
      <c r="AV26" s="28">
        <f t="shared" si="14"/>
        <v>-13087806.460000001</v>
      </c>
      <c r="AW26" s="28">
        <f t="shared" si="14"/>
        <v>-48687741.840000004</v>
      </c>
      <c r="AX26" s="28">
        <f t="shared" si="14"/>
        <v>16963752.790000003</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488787915.49999994</v>
      </c>
      <c r="F27" s="26">
        <f t="shared" ref="F27:BQ27" si="16">F26-F24</f>
        <v>-1141692905.71</v>
      </c>
      <c r="G27" s="26">
        <f t="shared" si="16"/>
        <v>-1081481900.27</v>
      </c>
      <c r="H27" s="26">
        <f t="shared" si="16"/>
        <v>-1384225716.4100001</v>
      </c>
      <c r="I27" s="26">
        <f t="shared" si="16"/>
        <v>222422473.01999998</v>
      </c>
      <c r="J27" s="26">
        <f t="shared" si="16"/>
        <v>-793075284.84000003</v>
      </c>
      <c r="K27" s="26">
        <f t="shared" si="16"/>
        <v>-784867096.73000002</v>
      </c>
      <c r="L27" s="26">
        <f t="shared" si="16"/>
        <v>-718084575.94000006</v>
      </c>
      <c r="M27" s="26">
        <f t="shared" si="16"/>
        <v>-83183779.099999964</v>
      </c>
      <c r="N27" s="26">
        <f t="shared" si="16"/>
        <v>-675595350.13999999</v>
      </c>
      <c r="O27" s="26">
        <f t="shared" si="16"/>
        <v>-653285952</v>
      </c>
      <c r="P27" s="26">
        <f t="shared" si="16"/>
        <v>-523948825.60000002</v>
      </c>
      <c r="Q27" s="26">
        <f t="shared" si="16"/>
        <v>-176279694.61000001</v>
      </c>
      <c r="R27" s="26">
        <f t="shared" si="16"/>
        <v>-883339431.94000006</v>
      </c>
      <c r="S27" s="26">
        <f t="shared" si="16"/>
        <v>-1018737273.9300001</v>
      </c>
      <c r="T27" s="26">
        <f t="shared" si="16"/>
        <v>-678592075.77999997</v>
      </c>
      <c r="U27" s="26">
        <f t="shared" si="16"/>
        <v>211572226.20999995</v>
      </c>
      <c r="V27" s="26">
        <f t="shared" si="16"/>
        <v>6610104.0899999999</v>
      </c>
      <c r="W27" s="26">
        <f t="shared" si="16"/>
        <v>-135587262.83000001</v>
      </c>
      <c r="X27" s="26">
        <f t="shared" si="16"/>
        <v>-215180758.69999999</v>
      </c>
      <c r="Y27" s="26">
        <f t="shared" si="16"/>
        <v>407476400.81</v>
      </c>
      <c r="Z27" s="26">
        <f t="shared" si="16"/>
        <v>12888573.84</v>
      </c>
      <c r="AA27" s="26">
        <f t="shared" si="16"/>
        <v>-185394546.43000001</v>
      </c>
      <c r="AB27" s="26">
        <f t="shared" si="16"/>
        <v>-229913056.03</v>
      </c>
      <c r="AC27" s="26">
        <f t="shared" si="16"/>
        <v>21163512.439999994</v>
      </c>
      <c r="AD27" s="26">
        <f t="shared" si="16"/>
        <v>-167926349</v>
      </c>
      <c r="AE27" s="26">
        <f t="shared" si="16"/>
        <v>-103397414.09</v>
      </c>
      <c r="AF27" s="26">
        <f t="shared" si="16"/>
        <v>-99868660.239999995</v>
      </c>
      <c r="AG27" s="26">
        <f t="shared" si="16"/>
        <v>93151707.599999994</v>
      </c>
      <c r="AH27" s="26">
        <f t="shared" si="16"/>
        <v>-48166245.409999996</v>
      </c>
      <c r="AI27" s="26">
        <f t="shared" si="16"/>
        <v>-24503888.670000002</v>
      </c>
      <c r="AJ27" s="26">
        <f t="shared" si="16"/>
        <v>-43348772.32</v>
      </c>
      <c r="AK27" s="26">
        <f t="shared" si="16"/>
        <v>22896042.149999995</v>
      </c>
      <c r="AL27" s="26">
        <f t="shared" si="16"/>
        <v>12743802.42</v>
      </c>
      <c r="AM27" s="26">
        <f t="shared" si="16"/>
        <v>3281297.7</v>
      </c>
      <c r="AN27" s="26">
        <f t="shared" si="16"/>
        <v>-12875271.93</v>
      </c>
      <c r="AO27" s="26">
        <f t="shared" si="16"/>
        <v>-8021019.5299999993</v>
      </c>
      <c r="AP27" s="26">
        <f t="shared" si="16"/>
        <v>-63868485.759999998</v>
      </c>
      <c r="AQ27" s="26">
        <f t="shared" si="16"/>
        <v>-60757771.719999999</v>
      </c>
      <c r="AR27" s="26">
        <f t="shared" si="16"/>
        <v>-32617886.899999999</v>
      </c>
      <c r="AS27" s="26">
        <f t="shared" si="16"/>
        <v>62467904.479999997</v>
      </c>
      <c r="AT27" s="26">
        <f t="shared" si="16"/>
        <v>3688803.08</v>
      </c>
      <c r="AU27" s="26">
        <f t="shared" si="16"/>
        <v>-21429591.760000002</v>
      </c>
      <c r="AV27" s="26">
        <f t="shared" si="16"/>
        <v>-13087806.460000001</v>
      </c>
      <c r="AW27" s="26">
        <f t="shared" si="16"/>
        <v>-48687741.840000004</v>
      </c>
      <c r="AX27" s="26">
        <f t="shared" si="16"/>
        <v>16963752.790000003</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1.1975653308020213</v>
      </c>
      <c r="F28" s="63">
        <f t="shared" ref="F28:BQ28" si="18">(F27-J27)/J27</f>
        <v>0.43957695761548327</v>
      </c>
      <c r="G28" s="63">
        <f t="shared" si="18"/>
        <v>0.37791723563873336</v>
      </c>
      <c r="H28" s="63">
        <f t="shared" si="18"/>
        <v>0.92766390309664559</v>
      </c>
      <c r="I28" s="63">
        <f t="shared" si="18"/>
        <v>-3.6738683361886366</v>
      </c>
      <c r="J28" s="63">
        <f t="shared" si="18"/>
        <v>0.17389097582695812</v>
      </c>
      <c r="K28" s="63">
        <f t="shared" si="18"/>
        <v>0.20141431838105714</v>
      </c>
      <c r="L28" s="63">
        <f t="shared" si="18"/>
        <v>0.37052425896304941</v>
      </c>
      <c r="M28" s="63">
        <f t="shared" si="18"/>
        <v>-0.52811479913194093</v>
      </c>
      <c r="N28" s="63">
        <f t="shared" si="18"/>
        <v>-0.23518035569152637</v>
      </c>
      <c r="O28" s="63">
        <f t="shared" si="18"/>
        <v>-0.35872970517726549</v>
      </c>
      <c r="P28" s="63">
        <f t="shared" si="18"/>
        <v>-0.22788838198890993</v>
      </c>
      <c r="Q28" s="63">
        <f t="shared" si="18"/>
        <v>-1.8331892033646717</v>
      </c>
      <c r="R28" s="63">
        <f t="shared" si="18"/>
        <v>-134.6347234344384</v>
      </c>
      <c r="S28" s="63">
        <f t="shared" si="18"/>
        <v>6.5135175138633628</v>
      </c>
      <c r="T28" s="63">
        <f t="shared" si="18"/>
        <v>2.1535908688103347</v>
      </c>
      <c r="U28" s="63">
        <f t="shared" si="18"/>
        <v>-0.48077428339548717</v>
      </c>
      <c r="V28" s="63">
        <f t="shared" si="18"/>
        <v>-0.48713456026566865</v>
      </c>
      <c r="W28" s="63">
        <f t="shared" si="18"/>
        <v>-0.2686556026544496</v>
      </c>
      <c r="X28" s="63">
        <f t="shared" si="18"/>
        <v>-6.4077689124699744E-2</v>
      </c>
      <c r="Y28" s="63">
        <f t="shared" si="18"/>
        <v>18.253722744049387</v>
      </c>
      <c r="Z28" s="63">
        <f t="shared" si="18"/>
        <v>-1.0767513491286589</v>
      </c>
      <c r="AA28" s="63">
        <f t="shared" si="18"/>
        <v>0.79302884952835861</v>
      </c>
      <c r="AB28" s="63">
        <f t="shared" si="18"/>
        <v>1.3021542041065035</v>
      </c>
      <c r="AC28" s="63">
        <f t="shared" si="18"/>
        <v>-0.77280596367725629</v>
      </c>
      <c r="AD28" s="63">
        <f t="shared" si="18"/>
        <v>2.4863906781726461</v>
      </c>
      <c r="AE28" s="63">
        <f t="shared" si="18"/>
        <v>3.2196328706222448</v>
      </c>
      <c r="AF28" s="63">
        <f t="shared" si="18"/>
        <v>1.3038405679120739</v>
      </c>
      <c r="AG28" s="63">
        <f t="shared" si="18"/>
        <v>3.068463317359853</v>
      </c>
      <c r="AH28" s="63">
        <f t="shared" si="18"/>
        <v>-4.7795819350124544</v>
      </c>
      <c r="AI28" s="63">
        <f t="shared" si="18"/>
        <v>-8.467743225492768</v>
      </c>
      <c r="AJ28" s="63">
        <f t="shared" si="18"/>
        <v>2.3668238275414817</v>
      </c>
      <c r="AK28" s="63">
        <f t="shared" si="18"/>
        <v>-3.8545052239761839</v>
      </c>
      <c r="AL28" s="63">
        <f t="shared" si="18"/>
        <v>-1.1995319329768934</v>
      </c>
      <c r="AM28" s="63">
        <f t="shared" si="18"/>
        <v>-1.0540062218726807</v>
      </c>
      <c r="AN28" s="63">
        <f t="shared" si="18"/>
        <v>-0.60526958814122322</v>
      </c>
      <c r="AO28" s="63">
        <f t="shared" si="18"/>
        <v>-1.1284022506720717</v>
      </c>
      <c r="AP28" s="63">
        <f t="shared" si="18"/>
        <v>-18.314148891894767</v>
      </c>
      <c r="AQ28" s="63">
        <f t="shared" si="18"/>
        <v>1.8352276795775968</v>
      </c>
      <c r="AR28" s="63">
        <f t="shared" si="18"/>
        <v>1.4922348141141442</v>
      </c>
      <c r="AS28" s="63">
        <f t="shared" si="18"/>
        <v>-2.2830314596492278</v>
      </c>
      <c r="AT28" s="63">
        <f t="shared" si="18"/>
        <v>-0.78254793466605332</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0.18231271689989192</v>
      </c>
      <c r="F31" s="112"/>
      <c r="G31" s="112"/>
      <c r="H31" s="112"/>
      <c r="I31" s="112">
        <f>POWER(E27/Y27,1/6)-1</f>
        <v>3.0788741509878648E-2</v>
      </c>
      <c r="M31" s="112">
        <f>POWER(E27/AC27,1/7)-1</f>
        <v>0.56599505910721204</v>
      </c>
      <c r="Q31" s="115" t="s">
        <v>603</v>
      </c>
      <c r="R31" s="115"/>
      <c r="S31" s="115"/>
      <c r="T31" s="115"/>
      <c r="U31" s="115">
        <f>POWER(E14/U14,1/5)-1</f>
        <v>0.20727262633816079</v>
      </c>
      <c r="V31" s="115"/>
      <c r="W31" s="115"/>
      <c r="X31" s="115"/>
      <c r="Y31" s="115">
        <f>POWER(E14/Y14,1/6)-1</f>
        <v>0.11262265222618106</v>
      </c>
      <c r="Z31" s="115"/>
      <c r="AA31" s="115"/>
      <c r="AB31" s="115"/>
      <c r="AC31" s="115">
        <f>POWER(E14/AC14,1/7)-1</f>
        <v>0.43150008467513934</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514</v>
      </c>
      <c r="B1" s="69">
        <f>自由现金流分析表!E1</f>
        <v>43100</v>
      </c>
      <c r="C1" s="191" t="s">
        <v>751</v>
      </c>
      <c r="D1" s="274">
        <v>0.08</v>
      </c>
      <c r="E1" s="262" t="s">
        <v>750</v>
      </c>
      <c r="F1" s="63">
        <f>平均资本成本表!E13</f>
        <v>7.1026542037668935E-2</v>
      </c>
    </row>
    <row r="2" spans="1:10" x14ac:dyDescent="0.25">
      <c r="A2" s="70" t="s">
        <v>515</v>
      </c>
      <c r="B2" s="71">
        <f>(自由现金流分析表!E27)/1</f>
        <v>488787915.49999994</v>
      </c>
      <c r="C2" t="s">
        <v>548</v>
      </c>
      <c r="D2" s="63"/>
      <c r="E2" s="63"/>
      <c r="F2" s="56"/>
    </row>
    <row r="3" spans="1:10" s="63" customFormat="1" x14ac:dyDescent="0.25">
      <c r="A3" s="72" t="s">
        <v>516</v>
      </c>
      <c r="B3" s="98">
        <v>0.05</v>
      </c>
      <c r="D3" s="190"/>
      <c r="E3" s="190"/>
      <c r="F3" s="260"/>
    </row>
    <row r="4" spans="1:10" s="63" customFormat="1" x14ac:dyDescent="0.25">
      <c r="A4" s="72" t="s">
        <v>517</v>
      </c>
      <c r="B4" s="98">
        <f>F1</f>
        <v>7.1026542037668935E-2</v>
      </c>
      <c r="D4" s="190"/>
      <c r="E4" s="190"/>
      <c r="F4" s="261"/>
    </row>
    <row r="5" spans="1:10" x14ac:dyDescent="0.25">
      <c r="A5" s="70" t="s">
        <v>518</v>
      </c>
      <c r="B5" s="71">
        <f>B2*(1+B3)/(B4-B3)</f>
        <v>24408545654.13353</v>
      </c>
      <c r="D5" s="63"/>
      <c r="E5" s="63"/>
    </row>
    <row r="6" spans="1:10" x14ac:dyDescent="0.25">
      <c r="A6" s="70" t="s">
        <v>519</v>
      </c>
      <c r="B6" s="71">
        <f>资产资本表!E17</f>
        <v>3881176956.04</v>
      </c>
      <c r="D6" s="190"/>
      <c r="E6" s="190"/>
      <c r="F6" s="190"/>
      <c r="G6" s="190"/>
    </row>
    <row r="7" spans="1:10" x14ac:dyDescent="0.25">
      <c r="A7" s="70" t="s">
        <v>520</v>
      </c>
      <c r="B7" s="71">
        <f>资产资本表!E19</f>
        <v>61272885.409999996</v>
      </c>
      <c r="D7" s="190"/>
      <c r="E7" s="190"/>
      <c r="F7" s="190"/>
      <c r="G7" s="190"/>
    </row>
    <row r="8" spans="1:10" x14ac:dyDescent="0.25">
      <c r="A8" s="70" t="s">
        <v>521</v>
      </c>
      <c r="B8" s="197">
        <f>资产资本表!E89</f>
        <v>2425669668.6900001</v>
      </c>
      <c r="C8" s="272" t="s">
        <v>748</v>
      </c>
      <c r="D8" s="273">
        <f>B2/B4</f>
        <v>6881764217.6747284</v>
      </c>
      <c r="E8" s="63"/>
      <c r="F8" s="190"/>
      <c r="G8" s="190"/>
    </row>
    <row r="9" spans="1:10" x14ac:dyDescent="0.25">
      <c r="A9" s="70" t="s">
        <v>522</v>
      </c>
      <c r="B9" s="197">
        <f>B5+B6+B7-B8</f>
        <v>25925325826.893532</v>
      </c>
      <c r="C9" s="272" t="s">
        <v>749</v>
      </c>
      <c r="D9" s="273">
        <f>(D8+资产资本结构分析表!$E$2+资产资本结构分析表!$E$3)/B55</f>
        <v>3.734089234724526</v>
      </c>
      <c r="E9" s="190"/>
      <c r="F9" s="190"/>
      <c r="G9" s="190"/>
    </row>
    <row r="10" spans="1:10" x14ac:dyDescent="0.25">
      <c r="A10" s="70" t="s">
        <v>523</v>
      </c>
      <c r="B10" s="73">
        <f>资产资本表!E103/资产资本表!E107</f>
        <v>1.1969497230825818E-2</v>
      </c>
      <c r="D10" s="190"/>
      <c r="E10" s="190"/>
      <c r="F10" s="190"/>
      <c r="G10" s="190"/>
    </row>
    <row r="11" spans="1:10" x14ac:dyDescent="0.25">
      <c r="A11" s="70" t="s">
        <v>549</v>
      </c>
      <c r="B11" s="197">
        <f>B9*(1-B10)</f>
        <v>25615012711.200272</v>
      </c>
      <c r="C11" s="269" t="s">
        <v>745</v>
      </c>
      <c r="D11" s="270">
        <f>资产资本结构分析表!E2</f>
        <v>3881176956.04</v>
      </c>
      <c r="E11" s="63"/>
      <c r="F11" s="190"/>
      <c r="G11" s="190"/>
    </row>
    <row r="12" spans="1:10" x14ac:dyDescent="0.25">
      <c r="A12" s="70" t="s">
        <v>524</v>
      </c>
      <c r="B12" s="268">
        <f>B55</f>
        <v>2898756130</v>
      </c>
      <c r="C12" s="269" t="s">
        <v>746</v>
      </c>
      <c r="D12" s="271">
        <f>D11/B55</f>
        <v>1.3389111680947097</v>
      </c>
      <c r="E12" s="190"/>
      <c r="F12" s="190"/>
      <c r="G12" s="190"/>
    </row>
    <row r="13" spans="1:10" ht="15" thickBot="1" x14ac:dyDescent="0.3">
      <c r="A13" s="74" t="s">
        <v>525</v>
      </c>
      <c r="B13" s="75">
        <f>B11/B12</f>
        <v>8.8365531843481673</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0.15</v>
      </c>
      <c r="E17" s="90"/>
      <c r="F17" s="90"/>
      <c r="G17" s="90"/>
      <c r="H17" s="90" t="s">
        <v>542</v>
      </c>
      <c r="I17" s="90">
        <v>0.06</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488787915.49999994</v>
      </c>
      <c r="D19" s="89">
        <f>C19*(1+$D$17)</f>
        <v>562106102.82499993</v>
      </c>
      <c r="E19" s="89">
        <f>D19*(1+$D$17)</f>
        <v>646422018.24874985</v>
      </c>
      <c r="F19" s="89">
        <f>E19*(1+$D$17)</f>
        <v>743385320.98606229</v>
      </c>
      <c r="G19" s="89">
        <f>F19*(1+$D$17)</f>
        <v>854893119.13397157</v>
      </c>
      <c r="H19" s="89">
        <f>G19*(1+$D$17)</f>
        <v>983127087.00406718</v>
      </c>
      <c r="I19" s="89">
        <f>H19*(1+I17)</f>
        <v>1042114712.2243112</v>
      </c>
      <c r="J19" s="76"/>
    </row>
    <row r="20" spans="1:10" s="26" customFormat="1" x14ac:dyDescent="0.25">
      <c r="A20" s="99" t="s">
        <v>528</v>
      </c>
      <c r="B20" s="95">
        <f>B4</f>
        <v>7.1026542037668935E-2</v>
      </c>
      <c r="C20" s="89"/>
      <c r="D20" s="89">
        <f t="shared" ref="D20:I20" si="0">(1+$B$20)^D18</f>
        <v>1.071026542037669</v>
      </c>
      <c r="E20" s="89">
        <f t="shared" si="0"/>
        <v>1.1470978537491667</v>
      </c>
      <c r="F20" s="89">
        <f t="shared" si="0"/>
        <v>1.2285722476798018</v>
      </c>
      <c r="G20" s="89">
        <f t="shared" si="0"/>
        <v>1.3158334860759446</v>
      </c>
      <c r="H20" s="89">
        <f t="shared" si="0"/>
        <v>1.4092925884892902</v>
      </c>
      <c r="I20" s="89">
        <f t="shared" si="0"/>
        <v>1.5093897677690002</v>
      </c>
      <c r="J20" s="76"/>
    </row>
    <row r="21" spans="1:10" s="26" customFormat="1" x14ac:dyDescent="0.25">
      <c r="A21" s="301" t="s">
        <v>529</v>
      </c>
      <c r="B21" s="301"/>
      <c r="C21" s="89"/>
      <c r="D21" s="89">
        <f>D19/D20</f>
        <v>524829292.9842537</v>
      </c>
      <c r="E21" s="89">
        <f>E19/E20</f>
        <v>563528225.71848476</v>
      </c>
      <c r="F21" s="89">
        <f>F19/F20</f>
        <v>605080671.80417705</v>
      </c>
      <c r="G21" s="89">
        <f>G19/G20</f>
        <v>649697038.55418575</v>
      </c>
      <c r="H21" s="89">
        <f>H19/H20</f>
        <v>697603247.92308974</v>
      </c>
      <c r="I21" s="89">
        <f>I19/((B20-I17)*I20)</f>
        <v>62614481424.110405</v>
      </c>
      <c r="J21" s="76"/>
    </row>
    <row r="22" spans="1:10" s="26" customFormat="1" x14ac:dyDescent="0.25">
      <c r="A22" s="301" t="s">
        <v>547</v>
      </c>
      <c r="B22" s="301"/>
      <c r="C22" s="89"/>
      <c r="D22" s="297">
        <f>SUM(D21:H21)</f>
        <v>3040738476.9841909</v>
      </c>
      <c r="E22" s="298"/>
      <c r="F22" s="298"/>
      <c r="G22" s="298"/>
      <c r="H22" s="299"/>
      <c r="I22" s="89">
        <f>I21</f>
        <v>62614481424.110405</v>
      </c>
      <c r="J22" s="76"/>
    </row>
    <row r="23" spans="1:10" x14ac:dyDescent="0.25">
      <c r="A23" s="92" t="s">
        <v>530</v>
      </c>
      <c r="B23" s="76">
        <f>D22+I22</f>
        <v>65655219901.094597</v>
      </c>
      <c r="C23" s="77"/>
      <c r="D23" s="77"/>
      <c r="E23" s="77"/>
      <c r="F23" s="77"/>
      <c r="G23" s="77"/>
      <c r="H23" s="77"/>
      <c r="I23" s="79"/>
      <c r="J23" s="77"/>
    </row>
    <row r="24" spans="1:10" x14ac:dyDescent="0.25">
      <c r="A24" s="92" t="s">
        <v>531</v>
      </c>
      <c r="B24" s="76">
        <f>B23</f>
        <v>65655219901.094597</v>
      </c>
      <c r="C24" s="77"/>
      <c r="D24" s="77"/>
      <c r="E24" s="77"/>
      <c r="F24" s="77"/>
      <c r="G24" s="77"/>
      <c r="H24" s="77"/>
      <c r="I24" s="79"/>
      <c r="J24" s="77"/>
    </row>
    <row r="25" spans="1:10" x14ac:dyDescent="0.25">
      <c r="A25" s="70" t="s">
        <v>532</v>
      </c>
      <c r="B25" s="71">
        <f>资产资本表!E17</f>
        <v>3881176956.04</v>
      </c>
      <c r="C25" s="77"/>
      <c r="D25" s="77"/>
      <c r="E25" s="77"/>
      <c r="F25" s="77"/>
      <c r="G25" s="77"/>
      <c r="H25" s="77"/>
      <c r="I25" s="79"/>
      <c r="J25" s="77"/>
    </row>
    <row r="26" spans="1:10" x14ac:dyDescent="0.25">
      <c r="A26" s="70" t="s">
        <v>533</v>
      </c>
      <c r="B26" s="71">
        <f>资产资本表!E19</f>
        <v>61272885.409999996</v>
      </c>
      <c r="C26" s="77"/>
      <c r="D26" s="77"/>
      <c r="E26" s="77"/>
      <c r="F26" s="77"/>
      <c r="G26" s="77"/>
      <c r="H26" s="77"/>
      <c r="I26" s="79"/>
      <c r="J26" s="77"/>
    </row>
    <row r="27" spans="1:10" x14ac:dyDescent="0.25">
      <c r="A27" s="70" t="s">
        <v>534</v>
      </c>
      <c r="B27" s="71">
        <f>资产资本表!E89</f>
        <v>2425669668.6900001</v>
      </c>
      <c r="C27" s="77"/>
      <c r="D27" s="77"/>
      <c r="E27" s="77"/>
      <c r="F27" s="77"/>
      <c r="G27" s="77"/>
      <c r="H27" s="77"/>
      <c r="I27" s="79"/>
      <c r="J27" s="77"/>
    </row>
    <row r="28" spans="1:10" s="2" customFormat="1" x14ac:dyDescent="0.25">
      <c r="A28" s="82" t="s">
        <v>535</v>
      </c>
      <c r="B28" s="83">
        <f>B24+B25+B26-B27</f>
        <v>67172000073.854599</v>
      </c>
      <c r="C28" s="80"/>
      <c r="D28" s="80"/>
      <c r="E28" s="80"/>
      <c r="F28" s="80"/>
      <c r="G28" s="80"/>
      <c r="H28" s="80"/>
      <c r="I28" s="81"/>
      <c r="J28" s="80"/>
    </row>
    <row r="29" spans="1:10" x14ac:dyDescent="0.25">
      <c r="A29" s="70" t="s">
        <v>536</v>
      </c>
      <c r="B29" s="78">
        <f>资产资本表!E103/资产资本表!E107</f>
        <v>1.1969497230825818E-2</v>
      </c>
      <c r="C29" s="302" t="s">
        <v>543</v>
      </c>
      <c r="D29" s="302"/>
      <c r="E29" s="302"/>
      <c r="F29" s="77"/>
      <c r="G29" s="77"/>
      <c r="H29" s="77"/>
      <c r="I29" s="79"/>
      <c r="J29" s="77"/>
    </row>
    <row r="30" spans="1:10" s="2" customFormat="1" x14ac:dyDescent="0.25">
      <c r="A30" s="82" t="s">
        <v>537</v>
      </c>
      <c r="B30" s="83">
        <f>B28*(1-B29)</f>
        <v>66367985004.98156</v>
      </c>
      <c r="C30" s="91">
        <v>0.4</v>
      </c>
      <c r="D30" s="91">
        <v>0.3</v>
      </c>
      <c r="E30" s="91">
        <v>0.2</v>
      </c>
      <c r="F30" s="80"/>
      <c r="G30" s="80"/>
      <c r="H30" s="80"/>
      <c r="I30" s="81"/>
      <c r="J30" s="80"/>
    </row>
    <row r="31" spans="1:10" x14ac:dyDescent="0.25">
      <c r="A31" s="70" t="s">
        <v>747</v>
      </c>
      <c r="B31" s="101">
        <f>B55</f>
        <v>2898756130</v>
      </c>
      <c r="C31" s="215">
        <f>$B$32*(1-C30)</f>
        <v>13.737199411455469</v>
      </c>
      <c r="D31" s="215">
        <f>$B$32*(1-D30)</f>
        <v>16.026732646698047</v>
      </c>
      <c r="E31" s="215">
        <f>$B$32*(1-E30)</f>
        <v>18.316265881940627</v>
      </c>
      <c r="F31" s="77"/>
      <c r="G31" s="77"/>
      <c r="H31" s="77"/>
      <c r="I31" s="79"/>
      <c r="J31" s="77"/>
    </row>
    <row r="32" spans="1:10" s="2" customFormat="1" ht="15" thickBot="1" x14ac:dyDescent="0.3">
      <c r="A32" s="84" t="s">
        <v>538</v>
      </c>
      <c r="B32" s="85">
        <f>B30/B31</f>
        <v>22.895332352425783</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488787915.49999994</v>
      </c>
      <c r="D39" s="89">
        <f>$C$39*(1+$D$37)^D38</f>
        <v>562106102.82499993</v>
      </c>
      <c r="E39" s="89">
        <f>$C$39*(1+$D$37)^E38</f>
        <v>646422018.24874985</v>
      </c>
      <c r="F39" s="89">
        <f>$C$39*(1+$D$37)^F38</f>
        <v>743385320.98606217</v>
      </c>
      <c r="G39" s="89">
        <f>$C$39*(1+$D$37)^G38</f>
        <v>854893119.13397145</v>
      </c>
      <c r="H39" s="89">
        <f>$C$39*(1+$D$37)^H38</f>
        <v>983127087.00406718</v>
      </c>
      <c r="I39" s="89">
        <f>H39*(1+$I$37)</f>
        <v>1071608524.8344333</v>
      </c>
      <c r="J39" s="89">
        <f t="shared" ref="J39:N39" si="1">I39*(1+$I$37)</f>
        <v>1168053292.0695324</v>
      </c>
      <c r="K39" s="89">
        <f t="shared" si="1"/>
        <v>1273178088.3557904</v>
      </c>
      <c r="L39" s="89">
        <f t="shared" si="1"/>
        <v>1387764116.3078115</v>
      </c>
      <c r="M39" s="89">
        <f t="shared" si="1"/>
        <v>1512662886.7755146</v>
      </c>
      <c r="N39" s="89">
        <f t="shared" si="1"/>
        <v>1648802546.5853109</v>
      </c>
      <c r="O39" s="89">
        <f t="shared" ref="O39" si="2">N39*(1+$I$37)</f>
        <v>1797194775.7779891</v>
      </c>
      <c r="P39" s="89">
        <f t="shared" ref="P39" si="3">O39*(1+$I$37)</f>
        <v>1958942305.5980084</v>
      </c>
      <c r="Q39" s="89">
        <f t="shared" ref="Q39" si="4">P39*(1+$I$37)</f>
        <v>2135247113.1018293</v>
      </c>
      <c r="R39" s="89">
        <f t="shared" ref="R39" si="5">Q39*(1+$I$37)</f>
        <v>2327419353.2809939</v>
      </c>
      <c r="S39" s="89">
        <f>R39*(1+S37)</f>
        <v>2373967740.3466139</v>
      </c>
    </row>
    <row r="40" spans="1:19" s="23" customFormat="1" x14ac:dyDescent="0.25">
      <c r="A40" s="210" t="s">
        <v>528</v>
      </c>
      <c r="B40" s="209">
        <f>B4</f>
        <v>7.1026542037668935E-2</v>
      </c>
      <c r="C40" s="215"/>
      <c r="D40" s="215">
        <f>(1+$B$40)^D38</f>
        <v>1.071026542037669</v>
      </c>
      <c r="E40" s="215">
        <f t="shared" ref="E40:R40" si="6">(1+$B$40)^E38</f>
        <v>1.1470978537491667</v>
      </c>
      <c r="F40" s="215">
        <f t="shared" si="6"/>
        <v>1.2285722476798018</v>
      </c>
      <c r="G40" s="215">
        <f t="shared" si="6"/>
        <v>1.3158334860759446</v>
      </c>
      <c r="H40" s="215">
        <f t="shared" si="6"/>
        <v>1.4092925884892902</v>
      </c>
      <c r="I40" s="215">
        <f t="shared" si="6"/>
        <v>1.5093897677690002</v>
      </c>
      <c r="J40" s="215">
        <f t="shared" si="6"/>
        <v>1.6165965035606724</v>
      </c>
      <c r="K40" s="215">
        <f t="shared" si="6"/>
        <v>1.7314177630787733</v>
      </c>
      <c r="L40" s="215">
        <f t="shared" si="6"/>
        <v>1.8543943796128546</v>
      </c>
      <c r="M40" s="215">
        <f t="shared" si="6"/>
        <v>1.9861055999708441</v>
      </c>
      <c r="N40" s="215">
        <f t="shared" si="6"/>
        <v>2.1271718128584229</v>
      </c>
      <c r="O40" s="215">
        <f t="shared" si="6"/>
        <v>2.2782574710457562</v>
      </c>
      <c r="P40" s="215">
        <f t="shared" si="6"/>
        <v>2.440074221085621</v>
      </c>
      <c r="Q40" s="215">
        <f t="shared" si="6"/>
        <v>2.6133842553245916</v>
      </c>
      <c r="R40" s="215">
        <f t="shared" si="6"/>
        <v>2.7990039019959854</v>
      </c>
      <c r="S40" s="183">
        <f>(1+$B$40)^S38</f>
        <v>2.9978074703047031</v>
      </c>
    </row>
    <row r="41" spans="1:19" s="193" customFormat="1" x14ac:dyDescent="0.25">
      <c r="A41" s="313" t="s">
        <v>529</v>
      </c>
      <c r="B41" s="314"/>
      <c r="C41" s="89"/>
      <c r="D41" s="89">
        <f t="shared" ref="D41:R41" si="7">D39/D40</f>
        <v>524829292.9842537</v>
      </c>
      <c r="E41" s="89">
        <f t="shared" si="7"/>
        <v>563528225.71848476</v>
      </c>
      <c r="F41" s="89">
        <f t="shared" si="7"/>
        <v>605080671.80417693</v>
      </c>
      <c r="G41" s="89">
        <f t="shared" si="7"/>
        <v>649697038.55418563</v>
      </c>
      <c r="H41" s="89">
        <f t="shared" si="7"/>
        <v>697603247.92308974</v>
      </c>
      <c r="I41" s="89">
        <f t="shared" si="7"/>
        <v>709961434.55931675</v>
      </c>
      <c r="J41" s="89">
        <f t="shared" si="7"/>
        <v>722538549.04226828</v>
      </c>
      <c r="K41" s="89">
        <f t="shared" si="7"/>
        <v>735338469.72428536</v>
      </c>
      <c r="L41" s="89">
        <f t="shared" si="7"/>
        <v>748365143.66352725</v>
      </c>
      <c r="M41" s="89">
        <f t="shared" si="7"/>
        <v>761622587.84110999</v>
      </c>
      <c r="N41" s="89">
        <f t="shared" si="7"/>
        <v>775114890.39980495</v>
      </c>
      <c r="O41" s="89">
        <f t="shared" si="7"/>
        <v>788846211.90468359</v>
      </c>
      <c r="P41" s="89">
        <f t="shared" si="7"/>
        <v>802820786.62609255</v>
      </c>
      <c r="Q41" s="89">
        <f t="shared" si="7"/>
        <v>817042923.84535849</v>
      </c>
      <c r="R41" s="89">
        <f t="shared" si="7"/>
        <v>831517009.18362355</v>
      </c>
      <c r="S41" s="89">
        <f>S39/((B40-S37)*S40)</f>
        <v>15519400379.168722</v>
      </c>
    </row>
    <row r="42" spans="1:19" s="23" customFormat="1" x14ac:dyDescent="0.25">
      <c r="A42" s="315" t="s">
        <v>547</v>
      </c>
      <c r="B42" s="316"/>
      <c r="C42" s="215"/>
      <c r="D42" s="308">
        <f>SUM(D41:H41)</f>
        <v>3040738476.9841909</v>
      </c>
      <c r="E42" s="309"/>
      <c r="F42" s="309"/>
      <c r="G42" s="309"/>
      <c r="H42" s="310"/>
      <c r="I42" s="308">
        <f>SUM(I41:R41)</f>
        <v>7693168006.7900715</v>
      </c>
      <c r="J42" s="309"/>
      <c r="K42" s="309"/>
      <c r="L42" s="309"/>
      <c r="M42" s="309"/>
      <c r="N42" s="309"/>
      <c r="O42" s="309"/>
      <c r="P42" s="309"/>
      <c r="Q42" s="309"/>
      <c r="R42" s="310"/>
      <c r="S42" s="215">
        <f>S41</f>
        <v>15519400379.168722</v>
      </c>
    </row>
    <row r="43" spans="1:19" x14ac:dyDescent="0.25">
      <c r="A43" s="206" t="s">
        <v>545</v>
      </c>
      <c r="B43" s="197">
        <f>D42+I42+S42</f>
        <v>26253306862.942986</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26253306862.942986</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3881176956.04</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61272885.409999996</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2425669668.6900001</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27770087035.702988</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1.1969497230825818E-2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27437693055.82935</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2898756130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9.4653333448334447</v>
      </c>
      <c r="C52" s="208">
        <f>$B$52*(1-C51)</f>
        <v>5.679200006900067</v>
      </c>
      <c r="D52" s="208">
        <f>$B$52*(1-D51)</f>
        <v>6.6257333413834107</v>
      </c>
      <c r="E52" s="208">
        <f>$B$52*(1-E51)</f>
        <v>7.5722666758667563</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2236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2898756130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13.750719909200001</v>
      </c>
      <c r="F64" s="168">
        <v>0</v>
      </c>
      <c r="G64" s="166">
        <v>16.47</v>
      </c>
      <c r="H64" s="168">
        <f>G64*D64</f>
        <v>55.997999999999998</v>
      </c>
      <c r="I64" s="168">
        <f>C64*D64</f>
        <v>59.125999999999998</v>
      </c>
      <c r="J64" s="168">
        <f>H64/E64</f>
        <v>4.072368601045695</v>
      </c>
      <c r="K64" s="168">
        <f>I64/E64</f>
        <v>4.2998476000112111</v>
      </c>
      <c r="L64" s="263">
        <v>0</v>
      </c>
    </row>
    <row r="65" spans="1:12" s="26" customFormat="1" x14ac:dyDescent="0.25">
      <c r="A65" s="179">
        <f>股权价值增加表!I1</f>
        <v>42735</v>
      </c>
      <c r="B65" s="167">
        <v>42543</v>
      </c>
      <c r="C65" s="166">
        <v>23.13</v>
      </c>
      <c r="D65" s="166">
        <v>3.64</v>
      </c>
      <c r="E65" s="168">
        <f>股权价值增加表!I42/100000000</f>
        <v>18.815556340300006</v>
      </c>
      <c r="F65" s="168">
        <f>(E65-E64)/E64*100</f>
        <v>36.833245564920176</v>
      </c>
      <c r="G65" s="166">
        <v>23.11</v>
      </c>
      <c r="H65" s="168">
        <f t="shared" ref="H65:H66" si="8">G65*D65</f>
        <v>84.120400000000004</v>
      </c>
      <c r="I65" s="168">
        <f t="shared" ref="I65:I66" si="9">C65*D65</f>
        <v>84.193200000000004</v>
      </c>
      <c r="J65" s="168">
        <f t="shared" ref="J65:J66" si="10">H65/E65</f>
        <v>4.4707899399087738</v>
      </c>
      <c r="K65" s="168">
        <f t="shared" ref="K65:K66" si="11">I65/E65</f>
        <v>4.4746590787576777</v>
      </c>
      <c r="L65" s="263">
        <f>K65/F65</f>
        <v>0.1214842463684309</v>
      </c>
    </row>
    <row r="66" spans="1:12" s="26" customFormat="1" x14ac:dyDescent="0.25">
      <c r="A66" s="179">
        <f>股权价值增加表!E1</f>
        <v>43100</v>
      </c>
      <c r="B66" s="167">
        <v>42872</v>
      </c>
      <c r="C66" s="166">
        <v>16.399999999999999</v>
      </c>
      <c r="D66" s="166">
        <v>9.09</v>
      </c>
      <c r="E66" s="168">
        <f>股权价值增加表!E42/100000000</f>
        <v>14.957734670200004</v>
      </c>
      <c r="F66" s="168">
        <f t="shared" ref="F66" si="12">(E66-E65)/E65*100</f>
        <v>-20.50336221968173</v>
      </c>
      <c r="G66" s="166">
        <v>15.76</v>
      </c>
      <c r="H66" s="168">
        <f t="shared" si="8"/>
        <v>143.25839999999999</v>
      </c>
      <c r="I66" s="168">
        <f t="shared" si="9"/>
        <v>149.07599999999999</v>
      </c>
      <c r="J66" s="168">
        <f t="shared" si="10"/>
        <v>9.5775465442244307</v>
      </c>
      <c r="K66" s="168">
        <f t="shared" si="11"/>
        <v>9.9664824444975029</v>
      </c>
      <c r="L66" s="263">
        <f t="shared" ref="L66" si="13">K66/F66</f>
        <v>-0.48609015134749012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-71.05176622348722</v>
      </c>
      <c r="G69" s="171">
        <v>10.119999999999999</v>
      </c>
      <c r="H69" s="172">
        <f>G69*D69</f>
        <v>91.990799999999993</v>
      </c>
      <c r="I69" s="172">
        <f>C69*D69</f>
        <v>105.8985</v>
      </c>
      <c r="J69" s="172">
        <f>H69/E69</f>
        <v>21.244988452655885</v>
      </c>
      <c r="K69" s="172">
        <f>I69/E69</f>
        <v>24.456928406466513</v>
      </c>
      <c r="L69" s="266">
        <f>K69/F69</f>
        <v>-0.34421281421125194</v>
      </c>
    </row>
    <row r="70" spans="1:12" s="26" customFormat="1" ht="15" thickBot="1" x14ac:dyDescent="0.3">
      <c r="A70" s="173" t="s">
        <v>626</v>
      </c>
      <c r="B70" s="174">
        <v>43305</v>
      </c>
      <c r="C70" s="175">
        <v>11.65</v>
      </c>
      <c r="D70" s="175">
        <v>9.09</v>
      </c>
      <c r="E70" s="175">
        <v>3.86</v>
      </c>
      <c r="F70" s="176">
        <f>(E70-E66)/E66*100</f>
        <v>-74.193953261584454</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-0.36977197404293705</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2019-02-11T03:13:59Z</dcterms:modified>
</cp:coreProperties>
</file>