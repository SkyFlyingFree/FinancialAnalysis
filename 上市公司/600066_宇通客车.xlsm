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5488734D-6470-47F2-AAB7-794C18259E23}"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E87" i="11"/>
  <c r="BU87" i="11"/>
  <c r="BM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B24" i="6" s="1"/>
  <c r="CA67" i="6"/>
  <c r="CA24" i="6" s="1"/>
  <c r="BZ67" i="6"/>
  <c r="BZ24" i="6" s="1"/>
  <c r="BY67" i="6"/>
  <c r="BY24" i="6" s="1"/>
  <c r="BX67" i="6"/>
  <c r="BX24" i="6" s="1"/>
  <c r="BW67" i="6"/>
  <c r="BW24" i="6" s="1"/>
  <c r="BV67" i="6"/>
  <c r="BU67" i="6"/>
  <c r="BU24" i="6" s="1"/>
  <c r="BT67" i="6"/>
  <c r="BT24" i="6" s="1"/>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V24" i="6" s="1"/>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BV24" i="6"/>
  <c r="BL24" i="6"/>
  <c r="AX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X12" i="12"/>
  <c r="AX13" i="12" s="1"/>
  <c r="BF12" i="12"/>
  <c r="BF13" i="12" s="1"/>
  <c r="BN12" i="12"/>
  <c r="BV12" i="12"/>
  <c r="BV13" i="12" s="1"/>
  <c r="CD12" i="12"/>
  <c r="CD13" i="12" s="1"/>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BZ32" i="9" s="1"/>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CC26" i="12"/>
  <c r="CC27" i="12" s="1"/>
  <c r="Z13" i="12"/>
  <c r="AP13" i="12"/>
  <c r="BN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O23" i="7" l="1"/>
  <c r="CC9" i="10"/>
  <c r="BR74" i="1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E5" i="8" l="1"/>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29" i="10" s="1"/>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33" i="6" l="1"/>
  <c r="BJ34" i="6" s="1"/>
  <c r="BJ50" i="10"/>
  <c r="V33" i="6"/>
  <c r="V34" i="6" s="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D8" i="13"/>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<sst xmlns="http://schemas.openxmlformats.org/spreadsheetml/2006/main" count="1030" uniqueCount="752">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</sst>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6">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0.26317873411378601</c:v>
                </c:pt>
                <c:pt idx="1">
                  <c:v>0.2782147855098876</c:v>
                </c:pt>
                <c:pt idx="2">
                  <c:v>0.25327632224391172</c:v>
                </c:pt>
                <c:pt idx="3">
                  <c:v>0.24280418968011067</c:v>
                </c:pt>
                <c:pt idx="4">
                  <c:v>0.19460459319780077</c:v>
                </c:pt>
                <c:pt idx="5">
                  <c:v>0.19965139581312052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9.3172879402417905E-2</c:v>
                </c:pt>
                <c:pt idx="1">
                  <c:v>0.11903898901647779</c:v>
                </c:pt>
                <c:pt idx="2">
                  <c:v>0.11065314594231837</c:v>
                </c:pt>
                <c:pt idx="3">
                  <c:v>9.8084782200397166E-2</c:v>
                </c:pt>
                <c:pt idx="4">
                  <c:v>8.0279463392062045E-2</c:v>
                </c:pt>
                <c:pt idx="5">
                  <c:v>7.3944893798340697E-2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0.11455831658227468</c:v>
                </c:pt>
                <c:pt idx="1">
                  <c:v>0.13884808989351966</c:v>
                </c:pt>
                <c:pt idx="2">
                  <c:v>0.13467522529581219</c:v>
                </c:pt>
                <c:pt idx="3">
                  <c:v>0.12122954284423729</c:v>
                </c:pt>
                <c:pt idx="4">
                  <c:v>9.6851063531240331E-2</c:v>
                </c:pt>
                <c:pt idx="5">
                  <c:v>9.0231019878768318E-2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9.8334260424981321E-2</c:v>
                </c:pt>
                <c:pt idx="1">
                  <c:v>0.11867918778380122</c:v>
                </c:pt>
                <c:pt idx="2">
                  <c:v>0.1182940724975645</c:v>
                </c:pt>
                <c:pt idx="3">
                  <c:v>0.10541689815607272</c:v>
                </c:pt>
                <c:pt idx="4">
                  <c:v>8.4344797387698012E-2</c:v>
                </c:pt>
                <c:pt idx="5">
                  <c:v>7.9256423962598951E-2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9.8631302908977883E-2</c:v>
                </c:pt>
                <c:pt idx="1">
                  <c:v>0.12981791056004782</c:v>
                </c:pt>
                <c:pt idx="2">
                  <c:v>0.13609388072433992</c:v>
                </c:pt>
                <c:pt idx="3">
                  <c:v>0.11865997151729497</c:v>
                </c:pt>
                <c:pt idx="4">
                  <c:v>9.3020357801842729E-2</c:v>
                </c:pt>
                <c:pt idx="5">
                  <c:v>8.9525238833075074E-2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8.4541242431553282E-2</c:v>
                </c:pt>
                <c:pt idx="1">
                  <c:v>0.11085159327782969</c:v>
                </c:pt>
                <c:pt idx="2">
                  <c:v>0.1195401704917777</c:v>
                </c:pt>
                <c:pt idx="3">
                  <c:v>0.10318249033334356</c:v>
                </c:pt>
                <c:pt idx="4">
                  <c:v>8.1008746271504367E-2</c:v>
                </c:pt>
                <c:pt idx="5">
                  <c:v>7.8626429098356113E-2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3635945247.0700002</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4782290262.5799999</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4104344890.0599999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3050840362.8400002</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2087290362.5799999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1765185402.5899999</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1560156195.9644005</c:v>
                </c:pt>
                <c:pt idx="1">
                  <c:v>2879749745.4892035</c:v>
                </c:pt>
                <c:pt idx="2">
                  <c:v>2695802358.4387984</c:v>
                </c:pt>
                <c:pt idx="3">
                  <c:v>1785864073.4035995</c:v>
                </c:pt>
                <c:pt idx="4">
                  <c:v>1089221593.3312008</c:v>
                </c:pt>
                <c:pt idx="5">
                  <c:v>968365747.14919996</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15605857859.57</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13679110933.26</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12939385288.639999</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10860574280.08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8757144969.1100006</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7319555953.7600002</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7,233,676,429.63 </c:v>
                </c:pt>
                <c:pt idx="5">
                  <c:v>7,117,582,638.62 </c:v>
                </c:pt>
                <c:pt idx="6">
                  <c:v>6,973,434,371.28 </c:v>
                </c:pt>
                <c:pt idx="7">
                  <c:v>6,969,525,437.35 </c:v>
                </c:pt>
                <c:pt idx="8">
                  <c:v>6,776,874,825.51 </c:v>
                </c:pt>
                <c:pt idx="9">
                  <c:v>6,656,007,448.89 </c:v>
                </c:pt>
                <c:pt idx="10">
                  <c:v>6,760,870,447.54 </c:v>
                </c:pt>
                <c:pt idx="11">
                  <c:v>6,737,079,146.19 </c:v>
                </c:pt>
                <c:pt idx="12">
                  <c:v>6,450,470,986.53 </c:v>
                </c:pt>
                <c:pt idx="13">
                  <c:v>4,342,240,294.98 </c:v>
                </c:pt>
                <c:pt idx="14">
                  <c:v>4,417,767,237.14 </c:v>
                </c:pt>
                <c:pt idx="15">
                  <c:v>4,449,171,452.39 </c:v>
                </c:pt>
                <c:pt idx="16">
                  <c:v>4,444,063,428.16 </c:v>
                </c:pt>
                <c:pt idx="17">
                  <c:v>4,316,116,633.78 </c:v>
                </c:pt>
                <c:pt idx="18">
                  <c:v>4,311,358,081.39 </c:v>
                </c:pt>
                <c:pt idx="19">
                  <c:v>4,314,837,746.26 </c:v>
                </c:pt>
                <c:pt idx="20">
                  <c:v>4,262,190,047.02 </c:v>
                </c:pt>
              </c:strCache>
            </c:strRef>
          </c:tx>
          <c:invertIfNegative val="0"/>
          <c:cat>
            <c:numRef>
              <c:f>投资和筹资活动现金流表!$E$12</c:f>
              <c:numCache>
                <c:formatCode>#,##0.00_ </c:formatCode>
                <c:ptCount val="1"/>
                <c:pt idx="0">
                  <c:v>7233676429.6300001</c:v>
                </c:pt>
              </c:numCache>
            </c:numRef>
          </c:cat>
          <c:val>
            <c:numRef>
              <c:f>投资和筹资活动现金流表!$E$12:$U$12</c:f>
              <c:numCache>
                <c:formatCode>#,##0.00_ </c:formatCode>
                <c:ptCount val="5"/>
                <c:pt idx="0">
                  <c:v>7233676429.6300001</c:v>
                </c:pt>
                <c:pt idx="1">
                  <c:v>6776874825.5100002</c:v>
                </c:pt>
                <c:pt idx="2">
                  <c:v>6450470986.5299997</c:v>
                </c:pt>
                <c:pt idx="3">
                  <c:v>4444063428.1599998</c:v>
                </c:pt>
                <c:pt idx="4">
                  <c:v>4262190047.02</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7.754545568313489E-4</c:v>
                </c:pt>
                <c:pt idx="1">
                  <c:v>-4.1015127314098253E-2</c:v>
                </c:pt>
                <c:pt idx="2">
                  <c:v>8.5453028177485374E-2</c:v>
                </c:pt>
                <c:pt idx="3">
                  <c:v>0.28023101066665584</c:v>
                </c:pt>
                <c:pt idx="4">
                  <c:v>7.9260295606995657E-2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-2.4059178702253101</c:v>
                </c:pt>
                <c:pt idx="1">
                  <c:v>8.3762208163131717</c:v>
                </c:pt>
                <c:pt idx="2">
                  <c:v>4.6427714398998088</c:v>
                </c:pt>
                <c:pt idx="3">
                  <c:v>1.2913344527256065</c:v>
                </c:pt>
                <c:pt idx="4">
                  <c:v>2.1104158988622546</c:v>
                </c:pt>
                <c:pt idx="5">
                  <c:v>0.72424129699869799</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726941747.32000005</c:v>
                </c:pt>
                <c:pt idx="1">
                  <c:v>421709475.81999999</c:v>
                </c:pt>
                <c:pt idx="2">
                  <c:v>1294429535.8699999</c:v>
                </c:pt>
                <c:pt idx="3">
                  <c:v>1914123170.52</c:v>
                </c:pt>
                <c:pt idx="4">
                  <c:v>917813222.5</c:v>
                </c:pt>
                <c:pt idx="5">
                  <c:v>1894611322.9200001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568007427.91999996</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-1748962140.49</c:v>
                </c:pt>
                <c:pt idx="1">
                  <c:v>3532331689.8000002</c:v>
                </c:pt>
                <c:pt idx="2">
                  <c:v>6009740480.1000004</c:v>
                </c:pt>
                <c:pt idx="3">
                  <c:v>3205260757.9299998</c:v>
                </c:pt>
                <c:pt idx="4">
                  <c:v>1936967616.95</c:v>
                </c:pt>
                <c:pt idx="5">
                  <c:v>1372155761.8199999</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-1072587966.91</c:v>
                </c:pt>
                <c:pt idx="1">
                  <c:v>-3456199562.1999998</c:v>
                </c:pt>
                <c:pt idx="2">
                  <c:v>-1490383374.49</c:v>
                </c:pt>
                <c:pt idx="3">
                  <c:v>-1176538957.5699999</c:v>
                </c:pt>
                <c:pt idx="4">
                  <c:v>-655595468.95000005</c:v>
                </c:pt>
                <c:pt idx="5">
                  <c:v>2859408173.46</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-2213939223</c:v>
                </c:pt>
                <c:pt idx="1">
                  <c:v>-3320908835.5</c:v>
                </c:pt>
                <c:pt idx="2">
                  <c:v>-1477332262</c:v>
                </c:pt>
                <c:pt idx="3">
                  <c:v>-602974931</c:v>
                </c:pt>
                <c:pt idx="4">
                  <c:v>-422430744</c:v>
                </c:pt>
                <c:pt idx="5">
                  <c:v>2391568698.29</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482115167.94999981</c:v>
                </c:pt>
                <c:pt idx="1">
                  <c:v>-87785186.120000005</c:v>
                </c:pt>
                <c:pt idx="2">
                  <c:v>-88914723.620000005</c:v>
                </c:pt>
                <c:pt idx="3">
                  <c:v>-262896997.42000002</c:v>
                </c:pt>
                <c:pt idx="4">
                  <c:v>-275671573.26999998</c:v>
                </c:pt>
                <c:pt idx="5">
                  <c:v>429652391.66000003</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6385423647.4899998</c:v>
                </c:pt>
                <c:pt idx="1">
                  <c:v>300000000</c:v>
                </c:pt>
                <c:pt idx="2">
                  <c:v>0</c:v>
                </c:pt>
                <c:pt idx="3">
                  <c:v>0</c:v>
                </c:pt>
                <c:pt idx="4">
                  <c:v>215166379.68000001</c:v>
                </c:pt>
                <c:pt idx="5">
                  <c:v>519837007.10000002</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1000000000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138863127.80000114</c:v>
                </c:pt>
                <c:pt idx="1">
                  <c:v>635949924.93000031</c:v>
                </c:pt>
                <c:pt idx="2">
                  <c:v>2508419025.1499996</c:v>
                </c:pt>
                <c:pt idx="3">
                  <c:v>-736142349.22999954</c:v>
                </c:pt>
                <c:pt idx="4">
                  <c:v>-11691989.11000061</c:v>
                </c:pt>
                <c:pt idx="5">
                  <c:v>422616277.36999989</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333002742.05000001</c:v>
                </c:pt>
                <c:pt idx="1">
                  <c:v>87785186.120000005</c:v>
                </c:pt>
                <c:pt idx="2">
                  <c:v>84786939.790000007</c:v>
                </c:pt>
                <c:pt idx="3">
                  <c:v>68396526.150000006</c:v>
                </c:pt>
                <c:pt idx="4">
                  <c:v>21066861.289999999</c:v>
                </c:pt>
                <c:pt idx="5">
                  <c:v>13150443.939999999</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813924940</c:v>
                </c:pt>
                <c:pt idx="1">
                  <c:v>0</c:v>
                </c:pt>
                <c:pt idx="2">
                  <c:v>6377316.4500000002</c:v>
                </c:pt>
                <c:pt idx="3">
                  <c:v>4127783.83</c:v>
                </c:pt>
                <c:pt idx="4">
                  <c:v>465727781.43000001</c:v>
                </c:pt>
                <c:pt idx="5">
                  <c:v>665236303.14999998</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15605857859.57</c:v>
                </c:pt>
                <c:pt idx="1">
                  <c:v>13679110933.26</c:v>
                </c:pt>
                <c:pt idx="2">
                  <c:v>12939385288.640001</c:v>
                </c:pt>
                <c:pt idx="3">
                  <c:v>10860574280.08</c:v>
                </c:pt>
                <c:pt idx="4">
                  <c:v>8757144969.1100006</c:v>
                </c:pt>
                <c:pt idx="5">
                  <c:v>7319555953.7600002</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17994514915.529995</c:v>
                </c:pt>
                <c:pt idx="1">
                  <c:v>14913773349.100004</c:v>
                </c:pt>
                <c:pt idx="2">
                  <c:v>13441840491.709999</c:v>
                </c:pt>
                <c:pt idx="3">
                  <c:v>11198117884.400003</c:v>
                </c:pt>
                <c:pt idx="4">
                  <c:v>9398007672.6700001</c:v>
                </c:pt>
                <c:pt idx="5">
                  <c:v>8179066949.0500011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0.10110477160874813</c:v>
                </c:pt>
                <c:pt idx="1">
                  <c:v>7.3377062199140849E-2</c:v>
                </c:pt>
                <c:pt idx="2">
                  <c:v>8.3736478165556877E-2</c:v>
                </c:pt>
                <c:pt idx="3">
                  <c:v>7.7681888724945927E-2</c:v>
                </c:pt>
                <c:pt idx="4">
                  <c:v>7.6152490299023254E-2</c:v>
                </c:pt>
                <c:pt idx="5">
                  <c:v>7.3761089299823737E-2</c:v>
                </c:pt>
                <c:pt idx="6">
                  <c:v>7.3006418581987517E-2</c:v>
                </c:pt>
                <c:pt idx="7">
                  <c:v>7.401908471703636E-2</c:v>
                </c:pt>
                <c:pt idx="8">
                  <c:v>7.2287345340723855E-2</c:v>
                </c:pt>
                <c:pt idx="9">
                  <c:v>7.4335431855401382E-2</c:v>
                </c:pt>
                <c:pt idx="10">
                  <c:v>5.9625213940929643E-2</c:v>
                </c:pt>
                <c:pt idx="11">
                  <c:v>7.9596156511794899E-2</c:v>
                </c:pt>
                <c:pt idx="12">
                  <c:v>7.9599251608362787E-2</c:v>
                </c:pt>
                <c:pt idx="13">
                  <c:v>7.674956484064506E-2</c:v>
                </c:pt>
                <c:pt idx="14">
                  <c:v>6.781675693861608E-2</c:v>
                </c:pt>
                <c:pt idx="15">
                  <c:v>7.7769095845689445E-2</c:v>
                </c:pt>
                <c:pt idx="16">
                  <c:v>6.9877110872499634E-2</c:v>
                </c:pt>
                <c:pt idx="17">
                  <c:v>6.548269678114356E-2</c:v>
                </c:pt>
                <c:pt idx="18">
                  <c:v>6.5405117669550053E-2</c:v>
                </c:pt>
                <c:pt idx="19">
                  <c:v>6.9755697779505882E-2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-0.4305091680688754</c:v>
                </c:pt>
                <c:pt idx="1">
                  <c:v>-0.16731097561872435</c:v>
                </c:pt>
                <c:pt idx="2">
                  <c:v>0.35505794595270673</c:v>
                </c:pt>
                <c:pt idx="3">
                  <c:v>0.46903670064131225</c:v>
                </c:pt>
                <c:pt idx="4">
                  <c:v>0.37926841179405107</c:v>
                </c:pt>
                <c:pt idx="5">
                  <c:v>1.0526785321597587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1.0659512141883367</c:v>
                </c:pt>
                <c:pt idx="1">
                  <c:v>0</c:v>
                </c:pt>
                <c:pt idx="2">
                  <c:v>0</c:v>
                </c:pt>
                <c:pt idx="3">
                  <c:v>-1</c:v>
                </c:pt>
                <c:pt idx="4">
                  <c:v>0</c:v>
                </c:pt>
                <c:pt idx="5">
                  <c:v>0.66897554171038054</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8.5119236358991088</c:v>
                </c:pt>
                <c:pt idx="1">
                  <c:v>-1.4048797367509454</c:v>
                </c:pt>
                <c:pt idx="2">
                  <c:v>0.19689393175159567</c:v>
                </c:pt>
                <c:pt idx="3">
                  <c:v>-2.9410853724748893</c:v>
                </c:pt>
                <c:pt idx="4">
                  <c:v>-0.13992426794524965</c:v>
                </c:pt>
                <c:pt idx="5">
                  <c:v>4.9349455583095994</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0.18379700278202526</c:v>
                </c:pt>
                <c:pt idx="1">
                  <c:v>0.39806114206205417</c:v>
                </c:pt>
                <c:pt idx="2">
                  <c:v>0.33904948239513683</c:v>
                </c:pt>
                <c:pt idx="3">
                  <c:v>0.48321736565526102</c:v>
                </c:pt>
                <c:pt idx="4">
                  <c:v>8.3037557265851769E-2</c:v>
                </c:pt>
                <c:pt idx="5">
                  <c:v>0.61615241349787664</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-0.10311544619896097</c:v>
                </c:pt>
                <c:pt idx="1">
                  <c:v>0.21210974003790942</c:v>
                </c:pt>
                <c:pt idx="2">
                  <c:v>0.32284500276297257</c:v>
                </c:pt>
                <c:pt idx="3">
                  <c:v>0.8565601993271954</c:v>
                </c:pt>
                <c:pt idx="4">
                  <c:v>0.11453857519815006</c:v>
                </c:pt>
                <c:pt idx="5">
                  <c:v>0.46548443828528591</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-2.7583513184512971E-2</c:v>
                </c:pt>
                <c:pt idx="1">
                  <c:v>1.9784496850391794E-2</c:v>
                </c:pt>
                <c:pt idx="2">
                  <c:v>5.1106708779701519E-2</c:v>
                </c:pt>
                <c:pt idx="3">
                  <c:v>0.49902846441929777</c:v>
                </c:pt>
                <c:pt idx="4">
                  <c:v>4.3938749670604432E-2</c:v>
                </c:pt>
                <c:pt idx="5">
                  <c:v>1.0820182852301525</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-1</c:v>
                </c:pt>
                <c:pt idx="2">
                  <c:v>0.54497345613178583</c:v>
                </c:pt>
                <c:pt idx="3">
                  <c:v>-0.9787775124456185</c:v>
                </c:pt>
                <c:pt idx="4">
                  <c:v>-0.35962199939955464</c:v>
                </c:pt>
                <c:pt idx="5">
                  <c:v>20.390898172157339</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-1</c:v>
                </c:pt>
                <c:pt idx="4">
                  <c:v>-0.24973505337259083</c:v>
                </c:pt>
                <c:pt idx="5">
                  <c:v>0.93185113759600757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0.22101164239541071</c:v>
                </c:pt>
                <c:pt idx="1">
                  <c:v>0.46825348694543661</c:v>
                </c:pt>
                <c:pt idx="2">
                  <c:v>0.62391723252796183</c:v>
                </c:pt>
                <c:pt idx="3">
                  <c:v>0.55269153906675561</c:v>
                </c:pt>
                <c:pt idx="4">
                  <c:v>0.44829037059543758</c:v>
                </c:pt>
                <c:pt idx="5">
                  <c:v>0.37345876123373528</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3.692761219400887E-2</c:v>
                </c:pt>
                <c:pt idx="1">
                  <c:v>2.1566703594795476E-2</c:v>
                </c:pt>
                <c:pt idx="2">
                  <c:v>0</c:v>
                </c:pt>
                <c:pt idx="3">
                  <c:v>0</c:v>
                </c:pt>
                <c:pt idx="4">
                  <c:v>1.5149785460810342E-2</c:v>
                </c:pt>
                <c:pt idx="5">
                  <c:v>1.7407584616548125E-2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0.37349222768987606</c:v>
                </c:pt>
                <c:pt idx="1">
                  <c:v>0.46342756274132896</c:v>
                </c:pt>
                <c:pt idx="2">
                  <c:v>0.50419932045018778</c:v>
                </c:pt>
                <c:pt idx="3">
                  <c:v>0.57579667203829199</c:v>
                </c:pt>
                <c:pt idx="4">
                  <c:v>0.45768693008397765</c:v>
                </c:pt>
                <c:pt idx="5">
                  <c:v>0.50376213921425028</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0.97390895774738151</c:v>
                </c:pt>
                <c:pt idx="1">
                  <c:v>0</c:v>
                </c:pt>
                <c:pt idx="2">
                  <c:v>1</c:v>
                </c:pt>
                <c:pt idx="3">
                  <c:v>1</c:v>
                </c:pt>
                <c:pt idx="4">
                  <c:v>0.41762694643809628</c:v>
                </c:pt>
                <c:pt idx="5">
                  <c:v>0.45657098907831906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2.6091042252618529E-2</c:v>
                </c:pt>
                <c:pt idx="1">
                  <c:v>0</c:v>
                </c:pt>
                <c:pt idx="2">
                  <c:v>0</c:v>
                </c:pt>
                <c:pt idx="3">
                  <c:v>0</c:v>
                </c:pt>
                <c:pt idx="4">
                  <c:v>0.58237305356190372</c:v>
                </c:pt>
                <c:pt idx="5">
                  <c:v>0.54342901092168094</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1.4801276941479022</c:v>
                </c:pt>
                <c:pt idx="1">
                  <c:v>11.015636034893676</c:v>
                </c:pt>
                <c:pt idx="2">
                  <c:v>-3.8662158034518841</c:v>
                </c:pt>
                <c:pt idx="3">
                  <c:v>-3.2986272456029675</c:v>
                </c:pt>
                <c:pt idx="4">
                  <c:v>6.4213090867602034</c:v>
                </c:pt>
                <c:pt idx="5">
                  <c:v>4.1917925124217108</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3976997295.5899997</c:v>
                </c:pt>
                <c:pt idx="1">
                  <c:v>6983426374.2299995</c:v>
                </c:pt>
                <c:pt idx="2">
                  <c:v>8386595919.6700001</c:v>
                </c:pt>
                <c:pt idx="3">
                  <c:v>6189105008.1799994</c:v>
                </c:pt>
                <c:pt idx="4">
                  <c:v>4213036342.4400001</c:v>
                </c:pt>
                <c:pt idx="5">
                  <c:v>3054544210.8400002</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664494468.41999996</c:v>
                </c:pt>
                <c:pt idx="1">
                  <c:v>321640929.30000001</c:v>
                </c:pt>
                <c:pt idx="2">
                  <c:v>0</c:v>
                </c:pt>
                <c:pt idx="3">
                  <c:v>0</c:v>
                </c:pt>
                <c:pt idx="4">
                  <c:v>142377800</c:v>
                </c:pt>
                <c:pt idx="5">
                  <c:v>142377800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6720811462</c:v>
                </c:pt>
                <c:pt idx="1">
                  <c:v>6911453634.4500017</c:v>
                </c:pt>
                <c:pt idx="2">
                  <c:v>6777366841.5199995</c:v>
                </c:pt>
                <c:pt idx="3">
                  <c:v>6447839010.9300013</c:v>
                </c:pt>
                <c:pt idx="4">
                  <c:v>4301345280.6099997</c:v>
                </c:pt>
                <c:pt idx="5">
                  <c:v>4120304263.0300002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17994514915.529995</c:v>
                </c:pt>
                <c:pt idx="1">
                  <c:v>14913773349.100004</c:v>
                </c:pt>
                <c:pt idx="2">
                  <c:v>13441840491.709999</c:v>
                </c:pt>
                <c:pt idx="3">
                  <c:v>11198117884.400003</c:v>
                </c:pt>
                <c:pt idx="4">
                  <c:v>9398007672.6700001</c:v>
                </c:pt>
                <c:pt idx="5">
                  <c:v>8179066949.0500011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792688790</c:v>
                </c:pt>
                <c:pt idx="1">
                  <c:v>0</c:v>
                </c:pt>
                <c:pt idx="2">
                  <c:v>6377316.4500000002</c:v>
                </c:pt>
                <c:pt idx="3">
                  <c:v>4127783.83</c:v>
                </c:pt>
                <c:pt idx="4">
                  <c:v>194500471.23000002</c:v>
                </c:pt>
                <c:pt idx="5">
                  <c:v>303727596.89999998</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21236150</c:v>
                </c:pt>
                <c:pt idx="1">
                  <c:v>0</c:v>
                </c:pt>
                <c:pt idx="2">
                  <c:v>0</c:v>
                </c:pt>
                <c:pt idx="3">
                  <c:v>0</c:v>
                </c:pt>
                <c:pt idx="4">
                  <c:v>271227310.19999999</c:v>
                </c:pt>
                <c:pt idx="5">
                  <c:v>361508706.25</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3184308505.5899982</c:v>
                </c:pt>
                <c:pt idx="1">
                  <c:v>6983426374.2300005</c:v>
                </c:pt>
                <c:pt idx="2">
                  <c:v>8380218603.2199984</c:v>
                </c:pt>
                <c:pt idx="3">
                  <c:v>6184977224.3499994</c:v>
                </c:pt>
                <c:pt idx="4">
                  <c:v>4018535871.210001</c:v>
                </c:pt>
                <c:pt idx="5">
                  <c:v>2750816613.9400001</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-3184308505.5899997</c:v>
                </c:pt>
                <c:pt idx="1">
                  <c:v>-6983426374.2299995</c:v>
                </c:pt>
                <c:pt idx="2">
                  <c:v>-8380218603.2200003</c:v>
                </c:pt>
                <c:pt idx="3">
                  <c:v>-6184977224.3499994</c:v>
                </c:pt>
                <c:pt idx="4">
                  <c:v>-4018535871.21</c:v>
                </c:pt>
                <c:pt idx="5">
                  <c:v>-2750816613.9400001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0.73682126588621399</c:v>
                </c:pt>
                <c:pt idx="1">
                  <c:v>0.72178521449011235</c:v>
                </c:pt>
                <c:pt idx="2">
                  <c:v>0.74672367775608828</c:v>
                </c:pt>
                <c:pt idx="3">
                  <c:v>0.75719581031988936</c:v>
                </c:pt>
                <c:pt idx="4">
                  <c:v>0.80539540680219923</c:v>
                </c:pt>
                <c:pt idx="5">
                  <c:v>0.80034860418687948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0.26317873411378601</c:v>
                </c:pt>
                <c:pt idx="1">
                  <c:v>0.2782147855098876</c:v>
                </c:pt>
                <c:pt idx="2">
                  <c:v>0.25327632224391172</c:v>
                </c:pt>
                <c:pt idx="3">
                  <c:v>0.24280418968011067</c:v>
                </c:pt>
                <c:pt idx="4">
                  <c:v>0.19460459319780077</c:v>
                </c:pt>
                <c:pt idx="5">
                  <c:v>0.19965139581312052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5.5878604877735273E-3</c:v>
                </c:pt>
                <c:pt idx="1">
                  <c:v>4.5011474513399581E-3</c:v>
                </c:pt>
                <c:pt idx="2">
                  <c:v>4.862272327490434E-3</c:v>
                </c:pt>
                <c:pt idx="3">
                  <c:v>6.0081370939782828E-3</c:v>
                </c:pt>
                <c:pt idx="4">
                  <c:v>5.593759523847954E-3</c:v>
                </c:pt>
                <c:pt idx="5">
                  <c:v>5.9088819292217173E-3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7.083969028368689E-2</c:v>
                </c:pt>
                <c:pt idx="1">
                  <c:v>8.1635644978450342E-2</c:v>
                </c:pt>
                <c:pt idx="2">
                  <c:v>6.5181291282379122E-2</c:v>
                </c:pt>
                <c:pt idx="3">
                  <c:v>5.900333326396158E-2</c:v>
                </c:pt>
                <c:pt idx="4">
                  <c:v>5.618718030796805E-2</c:v>
                </c:pt>
                <c:pt idx="5">
                  <c:v>5.8185916332249281E-2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6.1744596846744347E-2</c:v>
                </c:pt>
                <c:pt idx="1">
                  <c:v>5.0920931869533372E-2</c:v>
                </c:pt>
                <c:pt idx="2">
                  <c:v>5.808650592371864E-2</c:v>
                </c:pt>
                <c:pt idx="3">
                  <c:v>5.6450543084556014E-2</c:v>
                </c:pt>
                <c:pt idx="4">
                  <c:v>4.8476451228411377E-2</c:v>
                </c:pt>
                <c:pt idx="5">
                  <c:v>4.4552587561880942E-2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1.6866873472290409E-2</c:v>
                </c:pt>
                <c:pt idx="1">
                  <c:v>1.2216461542039364E-2</c:v>
                </c:pt>
                <c:pt idx="2">
                  <c:v>7.7133623411959687E-3</c:v>
                </c:pt>
                <c:pt idx="3">
                  <c:v>1.3858070590620565E-2</c:v>
                </c:pt>
                <c:pt idx="4">
                  <c:v>4.9227845004705449E-4</c:v>
                </c:pt>
                <c:pt idx="5">
                  <c:v>1.309117864967836E-2</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4.7341522017481396E-4</c:v>
                </c:pt>
                <c:pt idx="1">
                  <c:v>3.8397397704599101E-4</c:v>
                </c:pt>
                <c:pt idx="2">
                  <c:v>3.0174935711495802E-4</c:v>
                </c:pt>
                <c:pt idx="3">
                  <c:v>4.439391003730255E-4</c:v>
                </c:pt>
                <c:pt idx="4">
                  <c:v>8.7473460008653792E-4</c:v>
                </c:pt>
                <c:pt idx="5">
                  <c:v>1.9696709066968537E-4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1.0352332712801312E-3</c:v>
                </c:pt>
                <c:pt idx="1">
                  <c:v>1.0849515188864581E-2</c:v>
                </c:pt>
                <c:pt idx="2">
                  <c:v>8.8450558069694523E-3</c:v>
                </c:pt>
                <c:pt idx="3">
                  <c:v>5.7574353001539078E-3</c:v>
                </c:pt>
                <c:pt idx="4">
                  <c:v>9.2027510588189223E-3</c:v>
                </c:pt>
                <c:pt idx="5">
                  <c:v>6.4789078354435719E-3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0.15654766958195013</c:v>
                </c:pt>
                <c:pt idx="1">
                  <c:v>0.16050767500727359</c:v>
                </c:pt>
                <c:pt idx="2">
                  <c:v>0.14499023703886857</c:v>
                </c:pt>
                <c:pt idx="3">
                  <c:v>0.14152145843364336</c:v>
                </c:pt>
                <c:pt idx="4">
                  <c:v>0.1208271551691799</c:v>
                </c:pt>
                <c:pt idx="5">
                  <c:v>0.12841443939914354</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9.3172879402417905E-2</c:v>
                </c:pt>
                <c:pt idx="1">
                  <c:v>0.11903898901647779</c:v>
                </c:pt>
                <c:pt idx="2">
                  <c:v>0.11065314594231837</c:v>
                </c:pt>
                <c:pt idx="3">
                  <c:v>9.8084782200397166E-2</c:v>
                </c:pt>
                <c:pt idx="4">
                  <c:v>8.0279463392062045E-2</c:v>
                </c:pt>
                <c:pt idx="5">
                  <c:v>7.3944893798340697E-2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0.94887507356419398</c:v>
                </c:pt>
                <c:pt idx="1">
                  <c:v>1.004019147740898</c:v>
                </c:pt>
                <c:pt idx="2">
                  <c:v>0.93540735901705097</c:v>
                </c:pt>
                <c:pt idx="3">
                  <c:v>0.93044648359108284</c:v>
                </c:pt>
                <c:pt idx="4">
                  <c:v>0.95180101059524391</c:v>
                </c:pt>
                <c:pt idx="5">
                  <c:v>0.93310229894315377</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8.6323780743146721E-3</c:v>
                </c:pt>
                <c:pt idx="1">
                  <c:v>5.7537724262878044E-3</c:v>
                </c:pt>
                <c:pt idx="2">
                  <c:v>0</c:v>
                </c:pt>
                <c:pt idx="3">
                  <c:v>0</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4.2492548361491335E-2</c:v>
                </c:pt>
                <c:pt idx="1">
                  <c:v>-9.7729201671857818E-3</c:v>
                </c:pt>
                <c:pt idx="2">
                  <c:v>6.4592640982949104E-2</c:v>
                </c:pt>
                <c:pt idx="3">
                  <c:v>6.9553516408917118E-2</c:v>
                </c:pt>
                <c:pt idx="4">
                  <c:v>4.8198989404756122E-2</c:v>
                </c:pt>
                <c:pt idx="5">
                  <c:v>6.689770105684624E-2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8.4541242431553282E-2</c:v>
                </c:pt>
                <c:pt idx="1">
                  <c:v>0.11085159327782969</c:v>
                </c:pt>
                <c:pt idx="2">
                  <c:v>0.1195401704917777</c:v>
                </c:pt>
                <c:pt idx="3">
                  <c:v>0.10318249033334356</c:v>
                </c:pt>
                <c:pt idx="4">
                  <c:v>8.1008746271504367E-2</c:v>
                </c:pt>
                <c:pt idx="5">
                  <c:v>7.8626429098356113E-2</c:v>
                </c:pt>
                <c:pt idx="6">
                  <c:v>5.952455887650842E-2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0.94887507356419398</c:v>
                </c:pt>
                <c:pt idx="1">
                  <c:v>1.004019147740898</c:v>
                </c:pt>
                <c:pt idx="2">
                  <c:v>0.93540735901705097</c:v>
                </c:pt>
                <c:pt idx="3">
                  <c:v>0.93044648359108284</c:v>
                </c:pt>
                <c:pt idx="4">
                  <c:v>0.95180101059524391</c:v>
                </c:pt>
                <c:pt idx="5">
                  <c:v>0.93310229894315377</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8.6323780743146721E-3</c:v>
                </c:pt>
                <c:pt idx="1">
                  <c:v>5.7537724262878044E-3</c:v>
                </c:pt>
                <c:pt idx="2">
                  <c:v>0</c:v>
                </c:pt>
                <c:pt idx="3">
                  <c:v>0</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4.2492548361491335E-2</c:v>
                </c:pt>
                <c:pt idx="1">
                  <c:v>-9.7729201671857818E-3</c:v>
                </c:pt>
                <c:pt idx="2">
                  <c:v>6.4592640982949104E-2</c:v>
                </c:pt>
                <c:pt idx="3">
                  <c:v>6.9553516408917118E-2</c:v>
                </c:pt>
                <c:pt idx="4">
                  <c:v>4.8198989404756122E-2</c:v>
                </c:pt>
                <c:pt idx="5">
                  <c:v>6.689770105684624E-2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0.13902974614556396</c:v>
                </c:pt>
                <c:pt idx="1">
                  <c:v>6.5036395822203441E-2</c:v>
                </c:pt>
                <c:pt idx="2">
                  <c:v>-1.053390054044212E-2</c:v>
                </c:pt>
                <c:pt idx="3">
                  <c:v>2.119591699066159E-2</c:v>
                </c:pt>
                <c:pt idx="4">
                  <c:v>3.9552541704015121E-2</c:v>
                </c:pt>
                <c:pt idx="5">
                  <c:v>7.8219335949156754E-3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33221948766.650002</c:v>
                </c:pt>
                <c:pt idx="1">
                  <c:v>35850442042.720001</c:v>
                </c:pt>
                <c:pt idx="2">
                  <c:v>31210873852.540001</c:v>
                </c:pt>
                <c:pt idx="3">
                  <c:v>25728299513.16</c:v>
                </c:pt>
                <c:pt idx="4">
                  <c:v>22093826571.040001</c:v>
                </c:pt>
                <c:pt idx="5">
                  <c:v>19763459199.02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24478638345.450001</c:v>
                </c:pt>
                <c:pt idx="1">
                  <c:v>25876318999.369999</c:v>
                </c:pt>
                <c:pt idx="2">
                  <c:v>23305898509.150002</c:v>
                </c:pt>
                <c:pt idx="3">
                  <c:v>19481360598.02</c:v>
                </c:pt>
                <c:pt idx="4">
                  <c:v>17794266439</c:v>
                </c:pt>
                <c:pt idx="5">
                  <c:v>15817656983.84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8743310421.2000008</c:v>
                </c:pt>
                <c:pt idx="1">
                  <c:v>9974123043.3500023</c:v>
                </c:pt>
                <c:pt idx="2">
                  <c:v>7904975343.3899994</c:v>
                </c:pt>
                <c:pt idx="3">
                  <c:v>6246938915.1399994</c:v>
                </c:pt>
                <c:pt idx="4">
                  <c:v>4299560132.0400009</c:v>
                </c:pt>
                <c:pt idx="5">
                  <c:v>3945802215.1800003</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4.9441405732266554E-2</c:v>
                </c:pt>
                <c:pt idx="1">
                  <c:v>8.9046283264795925E-2</c:v>
                </c:pt>
                <c:pt idx="2">
                  <c:v>0</c:v>
                </c:pt>
                <c:pt idx="3">
                  <c:v>0</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3.5189300396958313E-2</c:v>
                </c:pt>
                <c:pt idx="1">
                  <c:v>-6.2158173866478442E-3</c:v>
                </c:pt>
                <c:pt idx="2">
                  <c:v>3.3886256741469042E-2</c:v>
                </c:pt>
                <c:pt idx="3">
                  <c:v>3.0510864410584041E-2</c:v>
                </c:pt>
                <c:pt idx="4">
                  <c:v>2.1309840828560151E-2</c:v>
                </c:pt>
                <c:pt idx="5">
                  <c:v>3.4387517727659495E-2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5.0091809975164443</c:v>
                </c:pt>
                <c:pt idx="1">
                  <c:v>51.416734414920299</c:v>
                </c:pt>
                <c:pt idx="2">
                  <c:v>-18.123494716762607</c:v>
                </c:pt>
                <c:pt idx="3">
                  <c:v>-17.881451339042901</c:v>
                </c:pt>
                <c:pt idx="4">
                  <c:v>29.806244510346403</c:v>
                </c:pt>
                <c:pt idx="5">
                  <c:v>22.931685366198653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4.9431454749905619</c:v>
                </c:pt>
                <c:pt idx="1">
                  <c:v>5.1871059170568969</c:v>
                </c:pt>
                <c:pt idx="2">
                  <c:v>4.6051622381326132</c:v>
                </c:pt>
                <c:pt idx="3">
                  <c:v>3.990220517222419</c:v>
                </c:pt>
                <c:pt idx="4">
                  <c:v>5.1364922203843033</c:v>
                </c:pt>
                <c:pt idx="5">
                  <c:v>4.7966018860185571</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8.3535256117697276</c:v>
                </c:pt>
                <c:pt idx="1">
                  <c:v>5.1336464539834017</c:v>
                </c:pt>
                <c:pt idx="2">
                  <c:v>3.7215187367424876</c:v>
                </c:pt>
                <c:pt idx="3">
                  <c:v>4.1570306981632221</c:v>
                </c:pt>
                <c:pt idx="4">
                  <c:v>5.2441576039774338</c:v>
                </c:pt>
                <c:pt idx="5">
                  <c:v>6.4701827293522935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49.995824413171427</c:v>
                </c:pt>
                <c:pt idx="1">
                  <c:v>111.46106971131674</c:v>
                </c:pt>
                <c:pt idx="2">
                  <c:v>0</c:v>
                </c:pt>
                <c:pt idx="3">
                  <c:v>0</c:v>
                </c:pt>
                <c:pt idx="4">
                  <c:v>155.17746847500104</c:v>
                </c:pt>
                <c:pt idx="5">
                  <c:v>138.80997739127869</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4.4872063805993241</c:v>
                </c:pt>
                <c:pt idx="1">
                  <c:v>4.9560472315118105</c:v>
                </c:pt>
                <c:pt idx="2">
                  <c:v>4.6054965830346726</c:v>
                </c:pt>
                <c:pt idx="3">
                  <c:v>3.9885923937781196</c:v>
                </c:pt>
                <c:pt idx="4">
                  <c:v>4.9715371817246163</c:v>
                </c:pt>
                <c:pt idx="5">
                  <c:v>29.271016063962485</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8.3414241105450291</c:v>
                </c:pt>
                <c:pt idx="1">
                  <c:v>7.9006385972187063</c:v>
                </c:pt>
                <c:pt idx="2">
                  <c:v>7.6650620414514092</c:v>
                </c:pt>
                <c:pt idx="3">
                  <c:v>7.0870610343899072</c:v>
                </c:pt>
                <c:pt idx="4">
                  <c:v>7.4143869043228063</c:v>
                </c:pt>
                <c:pt idx="5">
                  <c:v>6.2810574889675168</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111.76295411793834</c:v>
                </c:pt>
                <c:pt idx="1">
                  <c:v>394.61179668495754</c:v>
                </c:pt>
                <c:pt idx="2">
                  <c:v>53.366599597760107</c:v>
                </c:pt>
                <c:pt idx="3">
                  <c:v>26.913349546812785</c:v>
                </c:pt>
                <c:pt idx="4">
                  <c:v>49.739649572324709</c:v>
                </c:pt>
                <c:pt idx="5">
                  <c:v>156.84173381888442</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23.287183559440244</c:v>
                </c:pt>
                <c:pt idx="1">
                  <c:v>24.596576212032961</c:v>
                </c:pt>
                <c:pt idx="2">
                  <c:v>21.326076947352085</c:v>
                </c:pt>
                <c:pt idx="3">
                  <c:v>27.387147673606371</c:v>
                </c:pt>
                <c:pt idx="4">
                  <c:v>37.29778883278766</c:v>
                </c:pt>
                <c:pt idx="5">
                  <c:v>32.836763595636114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2.0227916253459655</c:v>
                </c:pt>
                <c:pt idx="1">
                  <c:v>2.9347571882844674</c:v>
                </c:pt>
                <c:pt idx="2">
                  <c:v>3.5612137957393313</c:v>
                </c:pt>
                <c:pt idx="3">
                  <c:v>4.1957475935504815</c:v>
                </c:pt>
                <c:pt idx="4">
                  <c:v>5.7205305977831786</c:v>
                </c:pt>
                <c:pt idx="5">
                  <c:v>8.4956122810658243</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9.7955428374195179</c:v>
                </c:pt>
                <c:pt idx="1">
                  <c:v>14.91065888791228</c:v>
                </c:pt>
                <c:pt idx="2">
                  <c:v>17.219691626293137</c:v>
                </c:pt>
                <c:pt idx="3">
                  <c:v>15.218810828722537</c:v>
                </c:pt>
                <c:pt idx="4">
                  <c:v>13.384243152672735</c:v>
                </c:pt>
                <c:pt idx="5">
                  <c:v>13.292564681429768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1.6710496316824965</c:v>
                </c:pt>
                <c:pt idx="1">
                  <c:v>1.8958439598738215</c:v>
                </c:pt>
                <c:pt idx="2">
                  <c:v>2.2618260778244279</c:v>
                </c:pt>
                <c:pt idx="3">
                  <c:v>2.9177717351196608</c:v>
                </c:pt>
                <c:pt idx="4">
                  <c:v>4.1207016085073773</c:v>
                </c:pt>
                <c:pt idx="5">
                  <c:v>5.9282517332924298</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0.27044637422042689</c:v>
                </c:pt>
                <c:pt idx="1">
                  <c:v>0.65684910733801327</c:v>
                </c:pt>
                <c:pt idx="2">
                  <c:v>0.77777190229064308</c:v>
                </c:pt>
                <c:pt idx="3">
                  <c:v>0.57937373218933097</c:v>
                </c:pt>
                <c:pt idx="4">
                  <c:v>0.40389412317099954</c:v>
                </c:pt>
                <c:pt idx="5">
                  <c:v>0.33398866622853396</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0.10870153107439612</c:v>
                </c:pt>
                <c:pt idx="1">
                  <c:v>0.13940614088034317</c:v>
                </c:pt>
                <c:pt idx="2">
                  <c:v>0.12597619681898201</c:v>
                </c:pt>
                <c:pt idx="3">
                  <c:v>0.11279760184677511</c:v>
                </c:pt>
                <c:pt idx="4">
                  <c:v>9.2182940146258718E-2</c:v>
                </c:pt>
                <c:pt idx="5">
                  <c:v>8.4194772084864117E-2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2808624824.7300005</c:v>
                </c:pt>
                <c:pt idx="1">
                  <c:v>3974078620.1500034</c:v>
                </c:pt>
                <c:pt idx="2">
                  <c:v>3730953181.5299983</c:v>
                </c:pt>
                <c:pt idx="3">
                  <c:v>2654710015.8099995</c:v>
                </c:pt>
                <c:pt idx="4">
                  <c:v>1789793190.8600008</c:v>
                </c:pt>
                <c:pt idx="5">
                  <c:v>1553930223.45</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15605857859.57</c:v>
                </c:pt>
                <c:pt idx="1">
                  <c:v>13679110933.26</c:v>
                </c:pt>
                <c:pt idx="2">
                  <c:v>12939385288.640001</c:v>
                </c:pt>
                <c:pt idx="3">
                  <c:v>10860574280.08</c:v>
                </c:pt>
                <c:pt idx="4">
                  <c:v>8757144969.1100006</c:v>
                </c:pt>
                <c:pt idx="5">
                  <c:v>7319555953.7600002</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33221948766.650002</c:v>
                </c:pt>
                <c:pt idx="1">
                  <c:v>35850442042.720001</c:v>
                </c:pt>
                <c:pt idx="2">
                  <c:v>31210873852.540001</c:v>
                </c:pt>
                <c:pt idx="3">
                  <c:v>25728299513.16</c:v>
                </c:pt>
                <c:pt idx="4">
                  <c:v>22093826571.040001</c:v>
                </c:pt>
                <c:pt idx="5">
                  <c:v>19763459199.02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3611276696.210001</c:v>
                </c:pt>
                <c:pt idx="1">
                  <c:v>4997771774.0300026</c:v>
                </c:pt>
                <c:pt idx="2">
                  <c:v>3931827187.3399987</c:v>
                </c:pt>
                <c:pt idx="3">
                  <c:v>2902090484.6799994</c:v>
                </c:pt>
                <c:pt idx="4">
                  <c:v>2036673892.4000008</c:v>
                </c:pt>
                <c:pt idx="5">
                  <c:v>1663979942.8700001</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32853540.620000001</c:v>
                </c:pt>
                <c:pt idx="1">
                  <c:v>28640929.300000001</c:v>
                </c:pt>
                <c:pt idx="2">
                  <c:v>0</c:v>
                </c:pt>
                <c:pt idx="3">
                  <c:v>0</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664494468.41999996</c:v>
                </c:pt>
                <c:pt idx="1">
                  <c:v>321640929.30000001</c:v>
                </c:pt>
                <c:pt idx="2">
                  <c:v>0</c:v>
                </c:pt>
                <c:pt idx="3">
                  <c:v>0</c:v>
                </c:pt>
                <c:pt idx="4">
                  <c:v>142377800</c:v>
                </c:pt>
                <c:pt idx="5">
                  <c:v>142377800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0.74653454911262696</c:v>
                </c:pt>
                <c:pt idx="1">
                  <c:v>0.7110593937306362</c:v>
                </c:pt>
                <c:pt idx="2">
                  <c:v>0.87216363993865365</c:v>
                </c:pt>
                <c:pt idx="3">
                  <c:v>0.67809222406339642</c:v>
                </c:pt>
                <c:pt idx="4">
                  <c:v>0.80518820638334299</c:v>
                </c:pt>
                <c:pt idx="5">
                  <c:v>0.67542192732936901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0.82416640357039039</c:v>
                </c:pt>
                <c:pt idx="1">
                  <c:v>0.67268046551448557</c:v>
                </c:pt>
                <c:pt idx="2">
                  <c:v>0.74094642248908293</c:v>
                </c:pt>
                <c:pt idx="3">
                  <c:v>0.57163449821228984</c:v>
                </c:pt>
                <c:pt idx="4">
                  <c:v>0.71785477046114787</c:v>
                </c:pt>
                <c:pt idx="5">
                  <c:v>0.61328495676892036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-0.56502255836918491</c:v>
                </c:pt>
                <c:pt idx="1">
                  <c:v>0.82770910537972286</c:v>
                </c:pt>
                <c:pt idx="2">
                  <c:v>1.7401473484772261</c:v>
                </c:pt>
                <c:pt idx="3">
                  <c:v>1.2701372457609075</c:v>
                </c:pt>
                <c:pt idx="4">
                  <c:v>1.0920611529180484</c:v>
                </c:pt>
                <c:pt idx="5">
                  <c:v>0.93892793974432454</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-0.62271120196985785</c:v>
                </c:pt>
                <c:pt idx="1">
                  <c:v>0.88884293126205705</c:v>
                </c:pt>
                <c:pt idx="2">
                  <c:v>1.6107788513270787</c:v>
                </c:pt>
                <c:pt idx="3">
                  <c:v>1.2073863958177058</c:v>
                </c:pt>
                <c:pt idx="4">
                  <c:v>1.082229850265148</c:v>
                </c:pt>
                <c:pt idx="5">
                  <c:v>0.88302276454445383</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-2.2701685756066383</c:v>
                </c:pt>
                <c:pt idx="1">
                  <c:v>-0.52351652497247103</c:v>
                </c:pt>
                <c:pt idx="2">
                  <c:v>1.3054498608501548</c:v>
                </c:pt>
                <c:pt idx="3">
                  <c:v>0.6194610622164487</c:v>
                </c:pt>
                <c:pt idx="4">
                  <c:v>0.63813025932840672</c:v>
                </c:pt>
                <c:pt idx="5">
                  <c:v>-0.30528218930593182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-1748962140.49</c:v>
                </c:pt>
                <c:pt idx="1">
                  <c:v>3532331689.8000002</c:v>
                </c:pt>
                <c:pt idx="2">
                  <c:v>6009740480.1000004</c:v>
                </c:pt>
                <c:pt idx="3">
                  <c:v>3205260757.9299998</c:v>
                </c:pt>
                <c:pt idx="4">
                  <c:v>1936967616.95</c:v>
                </c:pt>
                <c:pt idx="5">
                  <c:v>1372155761.8199999</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3095384625.9483867</c:v>
                </c:pt>
                <c:pt idx="1">
                  <c:v>4267600376.5592198</c:v>
                </c:pt>
                <c:pt idx="2">
                  <c:v>3453581379.3923969</c:v>
                </c:pt>
                <c:pt idx="3">
                  <c:v>2523554654.1348829</c:v>
                </c:pt>
                <c:pt idx="4">
                  <c:v>1773680541.4003735</c:v>
                </c:pt>
                <c:pt idx="5">
                  <c:v>1461406891.5593734</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2808624824.7300005</c:v>
                </c:pt>
                <c:pt idx="1">
                  <c:v>3974078620.1500034</c:v>
                </c:pt>
                <c:pt idx="2">
                  <c:v>3730953181.5299983</c:v>
                </c:pt>
                <c:pt idx="3">
                  <c:v>2654710015.8099995</c:v>
                </c:pt>
                <c:pt idx="4">
                  <c:v>1789793190.8600008</c:v>
                </c:pt>
                <c:pt idx="5">
                  <c:v>1553930223.45</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D85"/>
  <sheetViews>
    <sheetView workbookViewId="0">
      <selection activeCell="Y25" sqref="Y25"/>
    </sheetView>
  </sheetViews>
  <sheetFormatPr defaultRowHeight="14.4" x14ac:dyDescent="0.25"/>
  <cols>
    <col min="1" max="1" width="35.88671875" style="189" bestFit="1" customWidth="1"/>
    <col min="2"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2" width="13.88671875" style="189" hidden="1" customWidth="1"/>
    <col min="23" max="24" width="12.77734375" style="189" hidden="1" customWidth="1"/>
    <col min="25" max="25" width="12.77734375" style="189" bestFit="1" customWidth="1"/>
    <col min="26" max="28" width="12.77734375" style="189" hidden="1" customWidth="1"/>
    <col min="29" max="29" width="12.77734375" style="189" bestFit="1" customWidth="1"/>
    <col min="30" max="31" width="12.77734375" style="189" hidden="1" customWidth="1"/>
    <col min="32" max="32" width="13.886718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2" width="13.88671875" style="189" hidden="1" customWidth="1"/>
    <col min="43" max="44" width="12.77734375" style="189" hidden="1" customWidth="1"/>
    <col min="45" max="45" width="12.77734375" style="189" bestFit="1" customWidth="1"/>
    <col min="46" max="46" width="12.77734375" style="189" hidden="1" customWidth="1"/>
    <col min="47" max="47" width="13.88671875" style="189" hidden="1" customWidth="1"/>
    <col min="48"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5" width="12.77734375" style="189" bestFit="1" customWidth="1"/>
    <col min="66" max="68" width="12.77734375" style="189" hidden="1" customWidth="1"/>
    <col min="69" max="69" width="12.77734375" style="189" bestFit="1" customWidth="1"/>
    <col min="70" max="70" width="12.77734375" style="189" hidden="1" customWidth="1"/>
    <col min="71" max="71" width="12.77734375" style="189" bestFit="1" customWidth="1"/>
    <col min="72" max="72" width="12.77734375" style="189" hidden="1" customWidth="1"/>
    <col min="73" max="73" width="12.77734375" style="189" bestFit="1" customWidth="1"/>
    <col min="74" max="74" width="12.77734375" style="189" hidden="1" customWidth="1"/>
    <col min="75" max="75" width="12.77734375" style="189" bestFit="1" customWidth="1"/>
    <col min="76" max="76" width="12.77734375" style="189" hidden="1" customWidth="1"/>
    <col min="77" max="77" width="12.77734375" style="189" bestFit="1" customWidth="1"/>
    <col min="78" max="78" width="12.77734375" style="189" hidden="1" customWidth="1"/>
    <col min="79" max="81" width="10.5546875" style="189" bestFit="1" customWidth="1"/>
    <col min="82" max="82" width="9.5546875" style="189" hidden="1" customWidth="1"/>
    <col min="83" max="16384" width="8.88671875" style="189"/>
  </cols>
  <sheetData>
    <row r="1" spans="1:82" x14ac:dyDescent="0.25">
      <c r="A1" s="189">
        <v>600066</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19951231</v>
      </c>
      <c r="CC1" s="189">
        <v>19941231</v>
      </c>
      <c r="CD1" s="189">
        <v>19700101</v>
      </c>
    </row>
    <row r="2" spans="1:82"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row>
    <row r="3" spans="1:82" x14ac:dyDescent="0.25">
      <c r="A3" s="189" t="s">
        <v>107</v>
      </c>
    </row>
    <row r="4" spans="1:82" x14ac:dyDescent="0.25">
      <c r="A4" s="189" t="s">
        <v>108</v>
      </c>
      <c r="B4" s="189">
        <v>2056980255.6900001</v>
      </c>
      <c r="C4" s="189">
        <v>4259919057.29</v>
      </c>
      <c r="D4" s="189">
        <v>3490986477</v>
      </c>
      <c r="E4" s="189">
        <v>2487707386.2199998</v>
      </c>
      <c r="F4" s="189">
        <v>2763742805.79</v>
      </c>
      <c r="G4" s="189">
        <v>3739294094.23</v>
      </c>
      <c r="H4" s="189">
        <v>4117949970.4400001</v>
      </c>
      <c r="I4" s="189">
        <v>5616350259.6499996</v>
      </c>
      <c r="J4" s="189">
        <v>2313321464.3499999</v>
      </c>
      <c r="K4" s="189">
        <v>2144391255.24</v>
      </c>
      <c r="L4" s="189">
        <v>4303812916.6499996</v>
      </c>
      <c r="M4" s="189">
        <v>6699164486.5900002</v>
      </c>
      <c r="N4" s="189">
        <v>5431371480.8900003</v>
      </c>
      <c r="O4" s="189">
        <v>4435142494.1000004</v>
      </c>
      <c r="P4" s="189">
        <v>5028999635.5</v>
      </c>
      <c r="Q4" s="189">
        <v>6016338311.6099997</v>
      </c>
      <c r="R4" s="189">
        <v>4883057147.6000004</v>
      </c>
      <c r="S4" s="189">
        <v>4651546310.7600002</v>
      </c>
      <c r="T4" s="189">
        <v>3903240352.9699998</v>
      </c>
      <c r="U4" s="189">
        <v>4206741261.71</v>
      </c>
      <c r="V4" s="189">
        <v>4830086674.6899996</v>
      </c>
      <c r="W4" s="189">
        <v>4101909329</v>
      </c>
      <c r="X4" s="189">
        <v>3024395178.2399998</v>
      </c>
      <c r="Y4" s="189">
        <v>3054544210.8400002</v>
      </c>
      <c r="Z4" s="189">
        <v>3917408555.52</v>
      </c>
      <c r="AA4" s="189">
        <v>4528961474.6000004</v>
      </c>
      <c r="AB4" s="189">
        <v>3846648191.3800001</v>
      </c>
      <c r="AC4" s="189">
        <v>1171003114.97</v>
      </c>
      <c r="AD4" s="189">
        <v>965167686.61000001</v>
      </c>
      <c r="AE4" s="189">
        <v>618603649.95000005</v>
      </c>
      <c r="AF4" s="189">
        <v>899943468.90999997</v>
      </c>
      <c r="AG4" s="189">
        <v>917788361.10000002</v>
      </c>
      <c r="AH4" s="189">
        <v>1338827031.3</v>
      </c>
      <c r="AI4" s="189">
        <v>842207100.29999995</v>
      </c>
      <c r="AJ4" s="189">
        <v>1031660948.47</v>
      </c>
      <c r="AK4" s="189">
        <v>716744445.38</v>
      </c>
      <c r="AL4" s="189">
        <v>1201179997.1400001</v>
      </c>
      <c r="AM4" s="189">
        <v>1170286536.1900001</v>
      </c>
      <c r="AN4" s="189">
        <v>1133112087.3499999</v>
      </c>
      <c r="AO4" s="189">
        <v>1360474147.8599999</v>
      </c>
      <c r="AP4" s="189">
        <v>1048809169.37</v>
      </c>
      <c r="AQ4" s="189">
        <v>574247844.89999998</v>
      </c>
      <c r="AR4" s="189">
        <v>1744406218.8900001</v>
      </c>
      <c r="AS4" s="189">
        <v>1263427951.0999999</v>
      </c>
      <c r="AT4" s="189">
        <v>1356549737.4400001</v>
      </c>
      <c r="AU4" s="189">
        <v>850993039.25999999</v>
      </c>
      <c r="AV4" s="189">
        <v>913962988.17999995</v>
      </c>
      <c r="AW4" s="189">
        <v>902205633.40999997</v>
      </c>
      <c r="AX4" s="189">
        <v>805493119.38999999</v>
      </c>
      <c r="AY4" s="189">
        <v>887766164.00999999</v>
      </c>
      <c r="AZ4" s="189">
        <v>887985280.38</v>
      </c>
      <c r="BA4" s="189">
        <v>798569143.07000005</v>
      </c>
      <c r="BB4" s="189">
        <v>745623336.34000003</v>
      </c>
      <c r="BC4" s="189">
        <v>495148887.16000003</v>
      </c>
      <c r="BD4" s="189">
        <v>435767658.93000001</v>
      </c>
      <c r="BE4" s="189">
        <v>554133671.28999996</v>
      </c>
      <c r="BF4" s="189">
        <v>458162640.56</v>
      </c>
      <c r="BG4" s="189">
        <v>287328958.17000002</v>
      </c>
      <c r="BH4" s="189">
        <v>359617436.23000002</v>
      </c>
      <c r="BI4" s="189">
        <v>516861673.04000002</v>
      </c>
      <c r="BJ4" s="189">
        <v>376608342.91000003</v>
      </c>
      <c r="BK4" s="189">
        <v>359749413.24000001</v>
      </c>
      <c r="BL4" s="189">
        <v>433044126.39999998</v>
      </c>
      <c r="BM4" s="189">
        <v>415568093.60000002</v>
      </c>
      <c r="BN4" s="189">
        <v>536574453.91000003</v>
      </c>
      <c r="BO4" s="189">
        <v>425485112.55000001</v>
      </c>
      <c r="BP4" s="189">
        <v>323445234.97000003</v>
      </c>
      <c r="BQ4" s="189">
        <v>387694695.11000001</v>
      </c>
      <c r="BR4" s="189">
        <v>454004172.37</v>
      </c>
      <c r="BS4" s="189">
        <v>412934408.61000001</v>
      </c>
      <c r="BT4" s="189">
        <v>84615938.140000001</v>
      </c>
      <c r="BU4" s="189">
        <v>68530489.799999997</v>
      </c>
      <c r="BV4" s="189">
        <v>112400599.03</v>
      </c>
      <c r="BW4" s="189">
        <v>93194039.200000003</v>
      </c>
      <c r="BX4" s="189">
        <v>53300418.030000001</v>
      </c>
      <c r="BY4" s="189">
        <v>143600869.80000001</v>
      </c>
      <c r="BZ4" s="189">
        <v>0</v>
      </c>
      <c r="CA4" s="189">
        <v>32520083</v>
      </c>
      <c r="CB4" s="189">
        <v>12605622</v>
      </c>
      <c r="CC4" s="189">
        <v>8695672</v>
      </c>
      <c r="CD4" s="189">
        <v>0</v>
      </c>
    </row>
    <row r="5" spans="1:82" x14ac:dyDescent="0.25">
      <c r="A5" s="189" t="s">
        <v>109</v>
      </c>
      <c r="B5" s="189">
        <v>24517347.260000002</v>
      </c>
      <c r="C5" s="189">
        <v>88807120.310000002</v>
      </c>
      <c r="D5" s="189">
        <v>193459330.71000001</v>
      </c>
      <c r="E5" s="189">
        <v>159123904.34999999</v>
      </c>
      <c r="F5" s="189">
        <v>119563697.15000001</v>
      </c>
      <c r="G5" s="189">
        <v>89795966.170000002</v>
      </c>
      <c r="H5" s="189">
        <v>67093462.07</v>
      </c>
      <c r="I5" s="189">
        <v>358494332.57999998</v>
      </c>
      <c r="J5" s="189">
        <v>516721621.17000002</v>
      </c>
      <c r="K5" s="189">
        <v>847995289.70000005</v>
      </c>
      <c r="L5" s="189">
        <v>987827236.33000004</v>
      </c>
      <c r="M5" s="189">
        <v>1307895694.72</v>
      </c>
      <c r="N5" s="189">
        <v>1198420963.6300001</v>
      </c>
      <c r="O5" s="189">
        <v>1251577137.8</v>
      </c>
      <c r="P5" s="189">
        <v>24729155.059999999</v>
      </c>
      <c r="Q5" s="189">
        <v>20826610.710000001</v>
      </c>
      <c r="R5" s="189">
        <v>8089786</v>
      </c>
      <c r="S5" s="189">
        <v>3439860.6</v>
      </c>
      <c r="T5" s="189">
        <v>1135893.22</v>
      </c>
      <c r="U5" s="189">
        <v>6295080.7300000004</v>
      </c>
      <c r="V5" s="189">
        <v>4206751.2300000004</v>
      </c>
      <c r="W5" s="189">
        <v>2483442.11</v>
      </c>
      <c r="X5" s="189">
        <v>0</v>
      </c>
      <c r="Y5" s="189">
        <v>0</v>
      </c>
      <c r="Z5" s="189">
        <v>670000000</v>
      </c>
      <c r="AA5" s="189">
        <v>0</v>
      </c>
      <c r="AB5" s="189">
        <v>300000000</v>
      </c>
      <c r="AC5" s="189">
        <v>0</v>
      </c>
      <c r="AD5" s="189">
        <v>0</v>
      </c>
      <c r="AE5" s="189">
        <v>0</v>
      </c>
      <c r="AF5" s="189">
        <v>0</v>
      </c>
      <c r="AG5" s="189">
        <v>0</v>
      </c>
      <c r="AH5" s="189">
        <v>660000000</v>
      </c>
      <c r="AI5" s="189">
        <v>35184650</v>
      </c>
      <c r="AJ5" s="189">
        <v>297218469.56999999</v>
      </c>
      <c r="AK5" s="189">
        <v>308639871.41000003</v>
      </c>
      <c r="AL5" s="189">
        <v>868275135.16999996</v>
      </c>
      <c r="AM5" s="189">
        <v>344000000</v>
      </c>
      <c r="AN5" s="189">
        <v>200000000</v>
      </c>
      <c r="AO5" s="189">
        <v>50020583.5</v>
      </c>
      <c r="AP5" s="189">
        <v>0</v>
      </c>
      <c r="AQ5" s="189">
        <v>143410308.78999999</v>
      </c>
      <c r="AR5" s="189">
        <v>48616041.68</v>
      </c>
      <c r="AS5" s="189">
        <v>85827244.060000002</v>
      </c>
      <c r="AT5" s="189">
        <v>21652814.140000001</v>
      </c>
      <c r="AU5" s="189">
        <v>54489987.299999997</v>
      </c>
      <c r="AV5" s="189">
        <v>71148910.739999995</v>
      </c>
      <c r="AW5" s="189">
        <v>471600000</v>
      </c>
      <c r="AX5" s="189">
        <v>219458520</v>
      </c>
      <c r="AY5" s="189">
        <v>76969040</v>
      </c>
      <c r="AZ5" s="189">
        <v>74000000</v>
      </c>
      <c r="BA5" s="189">
        <v>74000000</v>
      </c>
      <c r="BB5" s="189">
        <v>54000000</v>
      </c>
      <c r="BC5" s="189">
        <v>59000000</v>
      </c>
      <c r="BD5" s="189">
        <v>39000000</v>
      </c>
      <c r="BE5" s="189">
        <v>15000000</v>
      </c>
      <c r="BF5" s="189">
        <v>0</v>
      </c>
      <c r="BG5" s="189">
        <v>0</v>
      </c>
      <c r="BH5" s="189">
        <v>0</v>
      </c>
      <c r="BI5" s="189">
        <v>0</v>
      </c>
      <c r="BJ5" s="189">
        <v>20000000</v>
      </c>
      <c r="BK5" s="189">
        <v>0</v>
      </c>
      <c r="BL5" s="189">
        <v>0</v>
      </c>
      <c r="BM5" s="189">
        <v>0</v>
      </c>
      <c r="BN5" s="189">
        <v>0</v>
      </c>
      <c r="BO5" s="189">
        <v>0</v>
      </c>
      <c r="BP5" s="189">
        <v>91767291.799999997</v>
      </c>
      <c r="BQ5" s="189">
        <v>61783499.359999999</v>
      </c>
      <c r="BR5" s="189">
        <v>63299958.030000001</v>
      </c>
      <c r="BS5" s="189">
        <v>63299958.030000001</v>
      </c>
      <c r="BT5" s="189">
        <v>6273378.0300000003</v>
      </c>
      <c r="BU5" s="189">
        <v>0</v>
      </c>
      <c r="BV5" s="189">
        <v>40000000</v>
      </c>
      <c r="BW5" s="189">
        <v>50000000</v>
      </c>
      <c r="BX5" s="189">
        <v>0</v>
      </c>
      <c r="BY5" s="189">
        <v>0</v>
      </c>
      <c r="BZ5" s="189">
        <v>0</v>
      </c>
      <c r="CA5" s="189">
        <v>0</v>
      </c>
      <c r="CB5" s="189">
        <v>0</v>
      </c>
      <c r="CC5" s="189">
        <v>0</v>
      </c>
      <c r="CD5" s="189">
        <v>0</v>
      </c>
    </row>
    <row r="6" spans="1:82"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row>
    <row r="7" spans="1:82" x14ac:dyDescent="0.25">
      <c r="A7" s="189" t="s">
        <v>111</v>
      </c>
      <c r="B7" s="189">
        <v>1217906843.73</v>
      </c>
      <c r="C7" s="189">
        <v>1683573966.6800001</v>
      </c>
      <c r="D7" s="189">
        <v>1422326046.77</v>
      </c>
      <c r="E7" s="189">
        <v>1484845658.6300001</v>
      </c>
      <c r="F7" s="189">
        <v>742201713.88</v>
      </c>
      <c r="G7" s="189">
        <v>562334576.76999998</v>
      </c>
      <c r="H7" s="189">
        <v>523653461.00999999</v>
      </c>
      <c r="I7" s="189">
        <v>1135116275.55</v>
      </c>
      <c r="J7" s="189">
        <v>1383667407.4400001</v>
      </c>
      <c r="K7" s="189">
        <v>1165570957.3</v>
      </c>
      <c r="L7" s="189">
        <v>1496450843.8199999</v>
      </c>
      <c r="M7" s="189">
        <v>1414464687.5699999</v>
      </c>
      <c r="N7" s="189">
        <v>622506518.84000003</v>
      </c>
      <c r="O7" s="189">
        <v>341624306.72000003</v>
      </c>
      <c r="P7" s="189">
        <v>444774255.70999998</v>
      </c>
      <c r="Q7" s="189">
        <v>725364151.13</v>
      </c>
      <c r="R7" s="189">
        <v>676156432.96000004</v>
      </c>
      <c r="S7" s="189">
        <v>713615142.23000002</v>
      </c>
      <c r="T7" s="189">
        <v>947400463.39999998</v>
      </c>
      <c r="U7" s="189">
        <v>841045424.40999997</v>
      </c>
      <c r="V7" s="189">
        <v>450733060.45999998</v>
      </c>
      <c r="W7" s="189">
        <v>837339343.88</v>
      </c>
      <c r="X7" s="189">
        <v>875564336.96000004</v>
      </c>
      <c r="Y7" s="189">
        <v>828161588.25999999</v>
      </c>
      <c r="Z7" s="189">
        <v>651997775.46000004</v>
      </c>
      <c r="AA7" s="189">
        <v>984345997.20000005</v>
      </c>
      <c r="AB7" s="189">
        <v>733886475.45000005</v>
      </c>
      <c r="AC7" s="189">
        <v>169880909.19999999</v>
      </c>
      <c r="AD7" s="189">
        <v>320398315.23000002</v>
      </c>
      <c r="AE7" s="189">
        <v>235609897.47</v>
      </c>
      <c r="AF7" s="189">
        <v>381246559.18000001</v>
      </c>
      <c r="AG7" s="189">
        <v>446104377.63999999</v>
      </c>
      <c r="AH7" s="189">
        <v>399367616.88999999</v>
      </c>
      <c r="AI7" s="189">
        <v>208010443.5</v>
      </c>
      <c r="AJ7" s="189">
        <v>228892110</v>
      </c>
      <c r="AK7" s="189">
        <v>544880275.63999999</v>
      </c>
      <c r="AL7" s="189">
        <v>223861536.44999999</v>
      </c>
      <c r="AM7" s="189">
        <v>137491872.33000001</v>
      </c>
      <c r="AN7" s="189">
        <v>75610135.5</v>
      </c>
      <c r="AO7" s="189">
        <v>190569728.44</v>
      </c>
      <c r="AP7" s="189">
        <v>109021175.44</v>
      </c>
      <c r="AQ7" s="189">
        <v>35980236.289999999</v>
      </c>
      <c r="AR7" s="189">
        <v>97628911.829999998</v>
      </c>
      <c r="AS7" s="189">
        <v>171083363.19</v>
      </c>
      <c r="AT7" s="189">
        <v>78964011.5</v>
      </c>
      <c r="AU7" s="189">
        <v>117407264.59999999</v>
      </c>
      <c r="AV7" s="189">
        <v>108609220</v>
      </c>
      <c r="AW7" s="189">
        <v>151678319.5</v>
      </c>
      <c r="AX7" s="189">
        <v>119111308.95</v>
      </c>
      <c r="AY7" s="189">
        <v>74724504.959999993</v>
      </c>
      <c r="AZ7" s="189">
        <v>15338604.73</v>
      </c>
      <c r="BA7" s="189">
        <v>72425802</v>
      </c>
      <c r="BB7" s="189">
        <v>41852773.869999997</v>
      </c>
      <c r="BC7" s="189">
        <v>81949113.340000004</v>
      </c>
      <c r="BD7" s="189">
        <v>88235180.260000005</v>
      </c>
      <c r="BE7" s="189">
        <v>157900900.5</v>
      </c>
      <c r="BF7" s="189">
        <v>46287270</v>
      </c>
      <c r="BG7" s="189">
        <v>57643650</v>
      </c>
      <c r="BH7" s="189">
        <v>94407566.799999997</v>
      </c>
      <c r="BI7" s="189">
        <v>306087680</v>
      </c>
      <c r="BJ7" s="189">
        <v>78706020</v>
      </c>
      <c r="BK7" s="189">
        <v>15293050</v>
      </c>
      <c r="BL7" s="189">
        <v>19058300</v>
      </c>
      <c r="BM7" s="189">
        <v>10496000</v>
      </c>
      <c r="BN7" s="189">
        <v>19561925</v>
      </c>
      <c r="BO7" s="189">
        <v>1696840</v>
      </c>
      <c r="BP7" s="189">
        <v>2198920</v>
      </c>
      <c r="BQ7" s="189">
        <v>9504750</v>
      </c>
      <c r="BR7" s="189">
        <v>5372590</v>
      </c>
      <c r="BS7" s="189">
        <v>2806000</v>
      </c>
      <c r="BT7" s="189">
        <v>6005115</v>
      </c>
      <c r="BU7" s="189">
        <v>1535715</v>
      </c>
      <c r="BV7" s="189">
        <v>294000</v>
      </c>
      <c r="BW7" s="189">
        <v>782100</v>
      </c>
      <c r="BX7" s="189">
        <v>1813000</v>
      </c>
      <c r="BY7" s="189">
        <v>3927800</v>
      </c>
      <c r="BZ7" s="189">
        <v>0</v>
      </c>
      <c r="CA7" s="189">
        <v>0</v>
      </c>
      <c r="CB7" s="189">
        <v>0</v>
      </c>
      <c r="CC7" s="189">
        <v>0</v>
      </c>
      <c r="CD7" s="189">
        <v>0</v>
      </c>
    </row>
    <row r="8" spans="1:82" x14ac:dyDescent="0.25">
      <c r="A8" s="189" t="s">
        <v>112</v>
      </c>
      <c r="B8" s="189">
        <v>16746768909.309999</v>
      </c>
      <c r="C8" s="189">
        <v>16257325915.66</v>
      </c>
      <c r="D8" s="189">
        <v>16894086065.32</v>
      </c>
      <c r="E8" s="189">
        <v>17388097276.639999</v>
      </c>
      <c r="F8" s="189">
        <v>15805146962.940001</v>
      </c>
      <c r="G8" s="189">
        <v>14243227056.139999</v>
      </c>
      <c r="H8" s="189">
        <v>13578819760.92</v>
      </c>
      <c r="I8" s="189">
        <v>15049323450.1</v>
      </c>
      <c r="J8" s="189">
        <v>12929132083.17</v>
      </c>
      <c r="K8" s="189">
        <v>11207042308.709999</v>
      </c>
      <c r="L8" s="189">
        <v>9275377692.9200001</v>
      </c>
      <c r="M8" s="189">
        <v>9948959661.9200001</v>
      </c>
      <c r="N8" s="189">
        <v>7059539604.75</v>
      </c>
      <c r="O8" s="189">
        <v>7273502237.8999996</v>
      </c>
      <c r="P8" s="189">
        <v>7435787765.0200005</v>
      </c>
      <c r="Q8" s="189">
        <v>8584497051.6700001</v>
      </c>
      <c r="R8" s="189">
        <v>5103386651.5299997</v>
      </c>
      <c r="S8" s="189">
        <v>4615387455.1199999</v>
      </c>
      <c r="T8" s="189">
        <v>4568146170.6899996</v>
      </c>
      <c r="U8" s="189">
        <v>4175354300.1799998</v>
      </c>
      <c r="V8" s="189">
        <v>3206337478.8699999</v>
      </c>
      <c r="W8" s="189">
        <v>4000265431.2199998</v>
      </c>
      <c r="X8" s="189">
        <v>3879062360.1100001</v>
      </c>
      <c r="Y8" s="189">
        <v>3115571858.2800002</v>
      </c>
      <c r="Z8" s="189">
        <v>2112873517</v>
      </c>
      <c r="AA8" s="189">
        <v>1906614837.55</v>
      </c>
      <c r="AB8" s="189">
        <v>1527301823.45</v>
      </c>
      <c r="AC8" s="189">
        <v>1661258652.25</v>
      </c>
      <c r="AD8" s="189">
        <v>1837142814.8299999</v>
      </c>
      <c r="AE8" s="189">
        <v>1372642817.4400001</v>
      </c>
      <c r="AF8" s="189">
        <v>1181306475.0799999</v>
      </c>
      <c r="AG8" s="189">
        <v>1210821028.76</v>
      </c>
      <c r="AH8" s="189">
        <v>1641749089.54</v>
      </c>
      <c r="AI8" s="189">
        <v>1417426841.6400001</v>
      </c>
      <c r="AJ8" s="189">
        <v>916698611.13</v>
      </c>
      <c r="AK8" s="189">
        <v>949028747.75999999</v>
      </c>
      <c r="AL8" s="189">
        <v>804516776.09000003</v>
      </c>
      <c r="AM8" s="189">
        <v>735710976.63</v>
      </c>
      <c r="AN8" s="189">
        <v>621257340.33000004</v>
      </c>
      <c r="AO8" s="189">
        <v>542889738.52999997</v>
      </c>
      <c r="AP8" s="189">
        <v>453687706.44</v>
      </c>
      <c r="AQ8" s="189">
        <v>711069940.87</v>
      </c>
      <c r="AR8" s="189">
        <v>630284965.94000006</v>
      </c>
      <c r="AS8" s="189">
        <v>1034432864.0700001</v>
      </c>
      <c r="AT8" s="189">
        <v>819892149.82000005</v>
      </c>
      <c r="AU8" s="189">
        <v>446723753.64999998</v>
      </c>
      <c r="AV8" s="189">
        <v>420148191.99000001</v>
      </c>
      <c r="AW8" s="189">
        <v>324801455.50999999</v>
      </c>
      <c r="AX8" s="189">
        <v>401466155.69</v>
      </c>
      <c r="AY8" s="189">
        <v>368165659.17000002</v>
      </c>
      <c r="AZ8" s="189">
        <v>359857346.89999998</v>
      </c>
      <c r="BA8" s="189">
        <v>310066613.55000001</v>
      </c>
      <c r="BB8" s="189">
        <v>325470980.85000002</v>
      </c>
      <c r="BC8" s="189">
        <v>215330701.50999999</v>
      </c>
      <c r="BD8" s="189">
        <v>198767614.28999999</v>
      </c>
      <c r="BE8" s="189">
        <v>199888010.50999999</v>
      </c>
      <c r="BF8" s="189">
        <v>295929010.69999999</v>
      </c>
      <c r="BG8" s="189">
        <v>277502306.39999998</v>
      </c>
      <c r="BH8" s="189">
        <v>169149645.97</v>
      </c>
      <c r="BI8" s="189">
        <v>172831023.12</v>
      </c>
      <c r="BJ8" s="189">
        <v>137351589.71000001</v>
      </c>
      <c r="BK8" s="189">
        <v>109887060.54000001</v>
      </c>
      <c r="BL8" s="189">
        <v>80400810.939999998</v>
      </c>
      <c r="BM8" s="189">
        <v>49960217.229999997</v>
      </c>
      <c r="BN8" s="189">
        <v>111308237.36</v>
      </c>
      <c r="BO8" s="189">
        <v>202090196.18000001</v>
      </c>
      <c r="BP8" s="189">
        <v>121388296.34999999</v>
      </c>
      <c r="BQ8" s="189">
        <v>110938844.20999999</v>
      </c>
      <c r="BR8" s="189">
        <v>115285889.84999999</v>
      </c>
      <c r="BS8" s="189">
        <v>50257130.700000003</v>
      </c>
      <c r="BT8" s="189">
        <v>64839575.270000003</v>
      </c>
      <c r="BU8" s="189">
        <v>39202251.020000003</v>
      </c>
      <c r="BV8" s="189">
        <v>55190572.799999997</v>
      </c>
      <c r="BW8" s="189">
        <v>60970788.630000003</v>
      </c>
      <c r="BX8" s="189">
        <v>47212548.479999997</v>
      </c>
      <c r="BY8" s="189">
        <v>33437003.789999999</v>
      </c>
      <c r="BZ8" s="189">
        <v>0</v>
      </c>
      <c r="CA8" s="189">
        <v>0</v>
      </c>
      <c r="CB8" s="189">
        <v>0</v>
      </c>
      <c r="CC8" s="189">
        <v>0</v>
      </c>
      <c r="CD8" s="189">
        <v>0</v>
      </c>
    </row>
    <row r="9" spans="1:82" x14ac:dyDescent="0.25">
      <c r="A9" s="189" t="s">
        <v>113</v>
      </c>
      <c r="B9" s="189">
        <v>354618382.99000001</v>
      </c>
      <c r="C9" s="189">
        <v>583092433.48000002</v>
      </c>
      <c r="D9" s="189">
        <v>320507190.31999999</v>
      </c>
      <c r="E9" s="189">
        <v>299981183.75</v>
      </c>
      <c r="F9" s="189">
        <v>334602583.81999999</v>
      </c>
      <c r="G9" s="189">
        <v>274384911.07999998</v>
      </c>
      <c r="H9" s="189">
        <v>232946168.56</v>
      </c>
      <c r="I9" s="189">
        <v>226634221.22999999</v>
      </c>
      <c r="J9" s="189">
        <v>281385700.48000002</v>
      </c>
      <c r="K9" s="189">
        <v>299241365.89999998</v>
      </c>
      <c r="L9" s="189">
        <v>404147543.68000001</v>
      </c>
      <c r="M9" s="189">
        <v>427599707.66000003</v>
      </c>
      <c r="N9" s="189">
        <v>280607725.29000002</v>
      </c>
      <c r="O9" s="189">
        <v>227614028.52000001</v>
      </c>
      <c r="P9" s="189">
        <v>136551236.84999999</v>
      </c>
      <c r="Q9" s="189">
        <v>260158688.00999999</v>
      </c>
      <c r="R9" s="189">
        <v>411469638.99000001</v>
      </c>
      <c r="S9" s="189">
        <v>300566504.47000003</v>
      </c>
      <c r="T9" s="189">
        <v>166084547.38</v>
      </c>
      <c r="U9" s="189">
        <v>207280045.50999999</v>
      </c>
      <c r="V9" s="189">
        <v>202530405.19999999</v>
      </c>
      <c r="W9" s="189">
        <v>125607401.34999999</v>
      </c>
      <c r="X9" s="189">
        <v>186458595</v>
      </c>
      <c r="Y9" s="189">
        <v>164057168.25999999</v>
      </c>
      <c r="Z9" s="189">
        <v>477450609.42000002</v>
      </c>
      <c r="AA9" s="189">
        <v>356336542.61000001</v>
      </c>
      <c r="AB9" s="189">
        <v>386394695.20999998</v>
      </c>
      <c r="AC9" s="189">
        <v>1147864991.9300001</v>
      </c>
      <c r="AD9" s="189">
        <v>1009806401.12</v>
      </c>
      <c r="AE9" s="189">
        <v>1020318015.5599999</v>
      </c>
      <c r="AF9" s="189">
        <v>1091494983.3</v>
      </c>
      <c r="AG9" s="189">
        <v>716749639.80999994</v>
      </c>
      <c r="AH9" s="189">
        <v>742160357.13999999</v>
      </c>
      <c r="AI9" s="189">
        <v>659353140.73000002</v>
      </c>
      <c r="AJ9" s="189">
        <v>134287084.55000001</v>
      </c>
      <c r="AK9" s="189">
        <v>85643831.769999996</v>
      </c>
      <c r="AL9" s="189">
        <v>91279492.939999998</v>
      </c>
      <c r="AM9" s="189">
        <v>70728935.959999993</v>
      </c>
      <c r="AN9" s="189">
        <v>82923607.040000007</v>
      </c>
      <c r="AO9" s="189">
        <v>68079405.260000005</v>
      </c>
      <c r="AP9" s="189">
        <v>258600200.28999999</v>
      </c>
      <c r="AQ9" s="189">
        <v>230945444.44999999</v>
      </c>
      <c r="AR9" s="189">
        <v>232454726.99000001</v>
      </c>
      <c r="AS9" s="189">
        <v>206343250.11000001</v>
      </c>
      <c r="AT9" s="189">
        <v>148650786.88999999</v>
      </c>
      <c r="AU9" s="189">
        <v>65258000.659999996</v>
      </c>
      <c r="AV9" s="189">
        <v>117156140.01000001</v>
      </c>
      <c r="AW9" s="189">
        <v>60729522.880000003</v>
      </c>
      <c r="AX9" s="189">
        <v>95422419.409999996</v>
      </c>
      <c r="AY9" s="189">
        <v>71437360.430000007</v>
      </c>
      <c r="AZ9" s="189">
        <v>91547057.909999996</v>
      </c>
      <c r="BA9" s="189">
        <v>73242113.310000002</v>
      </c>
      <c r="BB9" s="189">
        <v>143085923</v>
      </c>
      <c r="BC9" s="189">
        <v>125565999.87</v>
      </c>
      <c r="BD9" s="189">
        <v>77937591.530000001</v>
      </c>
      <c r="BE9" s="189">
        <v>65769895.590000004</v>
      </c>
      <c r="BF9" s="189">
        <v>34476971.18</v>
      </c>
      <c r="BG9" s="189">
        <v>134875389.91</v>
      </c>
      <c r="BH9" s="189">
        <v>170919025.94999999</v>
      </c>
      <c r="BI9" s="189">
        <v>80478100.519999996</v>
      </c>
      <c r="BJ9" s="189">
        <v>76209193.530000001</v>
      </c>
      <c r="BK9" s="189">
        <v>130534707.23</v>
      </c>
      <c r="BL9" s="189">
        <v>131150103.64</v>
      </c>
      <c r="BM9" s="189">
        <v>163380851.34999999</v>
      </c>
      <c r="BN9" s="189">
        <v>148202781.41999999</v>
      </c>
      <c r="BO9" s="189">
        <v>124820664.09</v>
      </c>
      <c r="BP9" s="189">
        <v>90394155.140000001</v>
      </c>
      <c r="BQ9" s="189">
        <v>79304404.379999995</v>
      </c>
      <c r="BR9" s="189">
        <v>44609879.789999999</v>
      </c>
      <c r="BS9" s="189">
        <v>107750352.81</v>
      </c>
      <c r="BT9" s="189">
        <v>76488015.75</v>
      </c>
      <c r="BU9" s="189">
        <v>77937719.510000005</v>
      </c>
      <c r="BV9" s="189">
        <v>11712832.5</v>
      </c>
      <c r="BW9" s="189">
        <v>16882382.210000001</v>
      </c>
      <c r="BX9" s="189">
        <v>17499875.84</v>
      </c>
      <c r="BY9" s="189">
        <v>15856774.85</v>
      </c>
      <c r="BZ9" s="189">
        <v>0</v>
      </c>
      <c r="CA9" s="189">
        <v>2604507</v>
      </c>
      <c r="CB9" s="189">
        <v>1139651</v>
      </c>
      <c r="CC9" s="189">
        <v>2236498</v>
      </c>
      <c r="CD9" s="189">
        <v>0</v>
      </c>
    </row>
    <row r="10" spans="1:82" x14ac:dyDescent="0.25">
      <c r="A10" s="189" t="s">
        <v>114</v>
      </c>
      <c r="B10" s="189">
        <v>2751.27</v>
      </c>
      <c r="C10" s="189">
        <v>0</v>
      </c>
      <c r="D10" s="189">
        <v>145564.38</v>
      </c>
      <c r="E10" s="189">
        <v>0</v>
      </c>
      <c r="F10" s="189">
        <v>0</v>
      </c>
      <c r="G10" s="189">
        <v>0</v>
      </c>
      <c r="H10" s="189">
        <v>0</v>
      </c>
      <c r="I10" s="189">
        <v>0</v>
      </c>
      <c r="J10" s="189">
        <v>0</v>
      </c>
      <c r="K10" s="189">
        <v>0</v>
      </c>
      <c r="L10" s="189">
        <v>1608098.4</v>
      </c>
      <c r="M10" s="189">
        <v>875538.36</v>
      </c>
      <c r="N10" s="189">
        <v>0</v>
      </c>
      <c r="O10" s="189">
        <v>224876.71</v>
      </c>
      <c r="P10" s="189">
        <v>561549.16</v>
      </c>
      <c r="Q10" s="189">
        <v>2892285.86</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17805</v>
      </c>
      <c r="BU10" s="189">
        <v>17805</v>
      </c>
      <c r="BV10" s="189">
        <v>17805</v>
      </c>
      <c r="BW10" s="189">
        <v>17805</v>
      </c>
      <c r="BX10" s="189">
        <v>0</v>
      </c>
      <c r="BY10" s="189">
        <v>0</v>
      </c>
      <c r="BZ10" s="189">
        <v>0</v>
      </c>
      <c r="CA10" s="189">
        <v>0</v>
      </c>
      <c r="CB10" s="189">
        <v>0</v>
      </c>
      <c r="CC10" s="189">
        <v>0</v>
      </c>
      <c r="CD10" s="189">
        <v>0</v>
      </c>
    </row>
    <row r="11" spans="1:82" x14ac:dyDescent="0.25">
      <c r="A11" s="189" t="s">
        <v>115</v>
      </c>
      <c r="B11" s="189">
        <v>0</v>
      </c>
      <c r="C11" s="189">
        <v>0</v>
      </c>
      <c r="D11" s="189">
        <v>0</v>
      </c>
      <c r="E11" s="189">
        <v>200400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55004400</v>
      </c>
      <c r="AR11" s="189">
        <v>55004400</v>
      </c>
      <c r="AS11" s="189">
        <v>0</v>
      </c>
      <c r="AT11" s="189">
        <v>1661420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row>
    <row r="12" spans="1:82" x14ac:dyDescent="0.25">
      <c r="A12" s="189" t="s">
        <v>116</v>
      </c>
      <c r="B12" s="189">
        <v>698157796.39999998</v>
      </c>
      <c r="C12" s="189">
        <v>887741999.33000004</v>
      </c>
      <c r="D12" s="189">
        <v>899559045.88</v>
      </c>
      <c r="E12" s="189">
        <v>752766786.00999999</v>
      </c>
      <c r="F12" s="189">
        <v>679275024.52999997</v>
      </c>
      <c r="G12" s="189">
        <v>585303037.47000003</v>
      </c>
      <c r="H12" s="189">
        <v>517773541.48000002</v>
      </c>
      <c r="I12" s="189">
        <v>512822884.88999999</v>
      </c>
      <c r="J12" s="189">
        <v>375067613.94999999</v>
      </c>
      <c r="K12" s="189">
        <v>371759022.38999999</v>
      </c>
      <c r="L12" s="189">
        <v>815758553.86000001</v>
      </c>
      <c r="M12" s="189">
        <v>260006265.09</v>
      </c>
      <c r="N12" s="189">
        <v>264994140.13</v>
      </c>
      <c r="O12" s="189">
        <v>205691952</v>
      </c>
      <c r="P12" s="189">
        <v>240888155.75999999</v>
      </c>
      <c r="Q12" s="189">
        <v>171609351.27000001</v>
      </c>
      <c r="R12" s="189">
        <v>119000445.20999999</v>
      </c>
      <c r="S12" s="189">
        <v>128317932.95999999</v>
      </c>
      <c r="T12" s="189">
        <v>161996282.05000001</v>
      </c>
      <c r="U12" s="189">
        <v>108320092.37</v>
      </c>
      <c r="V12" s="189">
        <v>699643626</v>
      </c>
      <c r="W12" s="189">
        <v>667665716.05999994</v>
      </c>
      <c r="X12" s="189">
        <v>759860860.39999998</v>
      </c>
      <c r="Y12" s="189">
        <v>775764751.46000004</v>
      </c>
      <c r="Z12" s="189">
        <v>975796194.94000006</v>
      </c>
      <c r="AA12" s="189">
        <v>888628799.69000006</v>
      </c>
      <c r="AB12" s="189">
        <v>877852237.92999995</v>
      </c>
      <c r="AC12" s="189">
        <v>207088594.78</v>
      </c>
      <c r="AD12" s="189">
        <v>271639728.79000002</v>
      </c>
      <c r="AE12" s="189">
        <v>128094625.72</v>
      </c>
      <c r="AF12" s="189">
        <v>118153059.34</v>
      </c>
      <c r="AG12" s="189">
        <v>110973156.40000001</v>
      </c>
      <c r="AH12" s="189">
        <v>92606419.459999993</v>
      </c>
      <c r="AI12" s="189">
        <v>66349535.799999997</v>
      </c>
      <c r="AJ12" s="189">
        <v>31399105.890000001</v>
      </c>
      <c r="AK12" s="189">
        <v>31821206.75</v>
      </c>
      <c r="AL12" s="189">
        <v>61386426.640000001</v>
      </c>
      <c r="AM12" s="189">
        <v>47036778.119999997</v>
      </c>
      <c r="AN12" s="189">
        <v>42911784.82</v>
      </c>
      <c r="AO12" s="189">
        <v>47465999.759999998</v>
      </c>
      <c r="AP12" s="189">
        <v>44760068.109999999</v>
      </c>
      <c r="AQ12" s="189">
        <v>49655501.140000001</v>
      </c>
      <c r="AR12" s="189">
        <v>37174643.770000003</v>
      </c>
      <c r="AS12" s="189">
        <v>96367323.180000007</v>
      </c>
      <c r="AT12" s="189">
        <v>206019921.72999999</v>
      </c>
      <c r="AU12" s="189">
        <v>170328278.53</v>
      </c>
      <c r="AV12" s="189">
        <v>67447385.599999994</v>
      </c>
      <c r="AW12" s="189">
        <v>46189686.909999996</v>
      </c>
      <c r="AX12" s="189">
        <v>34638527.859999999</v>
      </c>
      <c r="AY12" s="189">
        <v>37776269.009999998</v>
      </c>
      <c r="AZ12" s="189">
        <v>39792980.5</v>
      </c>
      <c r="BA12" s="189">
        <v>41200761.219999999</v>
      </c>
      <c r="BB12" s="189">
        <v>73134692.670000002</v>
      </c>
      <c r="BC12" s="189">
        <v>49495247.759999998</v>
      </c>
      <c r="BD12" s="189">
        <v>62166656.109999999</v>
      </c>
      <c r="BE12" s="189">
        <v>51701407.369999997</v>
      </c>
      <c r="BF12" s="189">
        <v>30106941.34</v>
      </c>
      <c r="BG12" s="189">
        <v>63612273.609999999</v>
      </c>
      <c r="BH12" s="189">
        <v>47104293.399999999</v>
      </c>
      <c r="BI12" s="189">
        <v>52067159.960000001</v>
      </c>
      <c r="BJ12" s="189">
        <v>80566804.400000006</v>
      </c>
      <c r="BK12" s="189">
        <v>70797863.840000004</v>
      </c>
      <c r="BL12" s="189">
        <v>41570223.159999996</v>
      </c>
      <c r="BM12" s="189">
        <v>55517376.149999999</v>
      </c>
      <c r="BN12" s="189">
        <v>31973330.739999998</v>
      </c>
      <c r="BO12" s="189">
        <v>19672356.530000001</v>
      </c>
      <c r="BP12" s="189">
        <v>16252685.470000001</v>
      </c>
      <c r="BQ12" s="189">
        <v>10402119.25</v>
      </c>
      <c r="BR12" s="189">
        <v>23828450.780000001</v>
      </c>
      <c r="BS12" s="189">
        <v>26942191.379999999</v>
      </c>
      <c r="BT12" s="189">
        <v>36358270.899999999</v>
      </c>
      <c r="BU12" s="189">
        <v>37479139.5</v>
      </c>
      <c r="BV12" s="189">
        <v>12884288.050000001</v>
      </c>
      <c r="BW12" s="189">
        <v>26739954.93</v>
      </c>
      <c r="BX12" s="189">
        <v>23721985.98</v>
      </c>
      <c r="BY12" s="189">
        <v>17643989.989999998</v>
      </c>
      <c r="BZ12" s="189">
        <v>0</v>
      </c>
      <c r="CA12" s="189">
        <v>4134646</v>
      </c>
      <c r="CB12" s="189">
        <v>4137840</v>
      </c>
      <c r="CC12" s="189">
        <v>2848337</v>
      </c>
      <c r="CD12" s="189">
        <v>0</v>
      </c>
    </row>
    <row r="13" spans="1:82"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row>
    <row r="14" spans="1:82" x14ac:dyDescent="0.25">
      <c r="A14" s="189" t="s">
        <v>118</v>
      </c>
      <c r="B14" s="189">
        <v>4607979790.4499998</v>
      </c>
      <c r="C14" s="189">
        <v>3314258563.9400001</v>
      </c>
      <c r="D14" s="189">
        <v>3105721513.1100001</v>
      </c>
      <c r="E14" s="189">
        <v>3074444528.9099998</v>
      </c>
      <c r="F14" s="189">
        <v>2363761966.52</v>
      </c>
      <c r="G14" s="189">
        <v>2372539201.9000001</v>
      </c>
      <c r="H14" s="189">
        <v>1876877155.6400001</v>
      </c>
      <c r="I14" s="189">
        <v>1923469063.3699999</v>
      </c>
      <c r="J14" s="189">
        <v>1758389561.5999999</v>
      </c>
      <c r="K14" s="189">
        <v>1716388628.8800001</v>
      </c>
      <c r="L14" s="189">
        <v>1144504460.0799999</v>
      </c>
      <c r="M14" s="189">
        <v>1547379434.1900001</v>
      </c>
      <c r="N14" s="189">
        <v>1475152540.21</v>
      </c>
      <c r="O14" s="189">
        <v>1631937651.47</v>
      </c>
      <c r="P14" s="189">
        <v>1523971890.0599999</v>
      </c>
      <c r="Q14" s="189">
        <v>1159509750</v>
      </c>
      <c r="R14" s="189">
        <v>1570278613.4400001</v>
      </c>
      <c r="S14" s="189">
        <v>647439129.96000004</v>
      </c>
      <c r="T14" s="189">
        <v>893444861.89999998</v>
      </c>
      <c r="U14" s="189">
        <v>1400658822.5999999</v>
      </c>
      <c r="V14" s="189">
        <v>1416184085.7</v>
      </c>
      <c r="W14" s="189">
        <v>815221480.40999997</v>
      </c>
      <c r="X14" s="189">
        <v>974584127.44000006</v>
      </c>
      <c r="Y14" s="189">
        <v>1258328500.9300001</v>
      </c>
      <c r="Z14" s="189">
        <v>861798139</v>
      </c>
      <c r="AA14" s="189">
        <v>665055821.59000003</v>
      </c>
      <c r="AB14" s="189">
        <v>868651948.33000004</v>
      </c>
      <c r="AC14" s="189">
        <v>1121597023.29</v>
      </c>
      <c r="AD14" s="189">
        <v>1086626833.76</v>
      </c>
      <c r="AE14" s="189">
        <v>1027634959.7</v>
      </c>
      <c r="AF14" s="189">
        <v>889982099.25</v>
      </c>
      <c r="AG14" s="189">
        <v>1225345932.3900001</v>
      </c>
      <c r="AH14" s="189">
        <v>833765792.40999997</v>
      </c>
      <c r="AI14" s="189">
        <v>636334629.60000002</v>
      </c>
      <c r="AJ14" s="189">
        <v>738532870</v>
      </c>
      <c r="AK14" s="189">
        <v>758357442.92999995</v>
      </c>
      <c r="AL14" s="189">
        <v>485240048.95999998</v>
      </c>
      <c r="AM14" s="189">
        <v>433634682</v>
      </c>
      <c r="AN14" s="189">
        <v>496425719.56</v>
      </c>
      <c r="AO14" s="189">
        <v>635986090.29999995</v>
      </c>
      <c r="AP14" s="189">
        <v>720039935.87</v>
      </c>
      <c r="AQ14" s="189">
        <v>694547109.04999995</v>
      </c>
      <c r="AR14" s="189">
        <v>714614180.78999996</v>
      </c>
      <c r="AS14" s="189">
        <v>1504114983.8900001</v>
      </c>
      <c r="AT14" s="189">
        <v>1326797790.5599999</v>
      </c>
      <c r="AU14" s="189">
        <v>1282806019.99</v>
      </c>
      <c r="AV14" s="189">
        <v>907488160.35000002</v>
      </c>
      <c r="AW14" s="189">
        <v>837471188.09000003</v>
      </c>
      <c r="AX14" s="189">
        <v>698878048.46000004</v>
      </c>
      <c r="AY14" s="189">
        <v>603563628.30999994</v>
      </c>
      <c r="AZ14" s="189">
        <v>651231571.61000001</v>
      </c>
      <c r="BA14" s="189">
        <v>724260947.13</v>
      </c>
      <c r="BB14" s="189">
        <v>632366968.04999995</v>
      </c>
      <c r="BC14" s="189">
        <v>577921348.40999997</v>
      </c>
      <c r="BD14" s="189">
        <v>653834472.66999996</v>
      </c>
      <c r="BE14" s="189">
        <v>837121705.61000001</v>
      </c>
      <c r="BF14" s="189">
        <v>557004251.38999999</v>
      </c>
      <c r="BG14" s="189">
        <v>540842595.70000005</v>
      </c>
      <c r="BH14" s="189">
        <v>594814396.70000005</v>
      </c>
      <c r="BI14" s="189">
        <v>557605124.83000004</v>
      </c>
      <c r="BJ14" s="189">
        <v>503208377.49000001</v>
      </c>
      <c r="BK14" s="189">
        <v>477434114.23000002</v>
      </c>
      <c r="BL14" s="189">
        <v>476757459.77999997</v>
      </c>
      <c r="BM14" s="189">
        <v>557318428.97000003</v>
      </c>
      <c r="BN14" s="189">
        <v>391813561.82999998</v>
      </c>
      <c r="BO14" s="189">
        <v>362143508.83999997</v>
      </c>
      <c r="BP14" s="189">
        <v>327415063.32999998</v>
      </c>
      <c r="BQ14" s="189">
        <v>288527974.61000001</v>
      </c>
      <c r="BR14" s="189">
        <v>267289933.68000001</v>
      </c>
      <c r="BS14" s="189">
        <v>283333563.60000002</v>
      </c>
      <c r="BT14" s="189">
        <v>219428652.97</v>
      </c>
      <c r="BU14" s="189">
        <v>260443455.27000001</v>
      </c>
      <c r="BV14" s="189">
        <v>201265328.84999999</v>
      </c>
      <c r="BW14" s="189">
        <v>204716769.96000001</v>
      </c>
      <c r="BX14" s="189">
        <v>151396972.00999999</v>
      </c>
      <c r="BY14" s="189">
        <v>129445405.86</v>
      </c>
      <c r="BZ14" s="189">
        <v>0</v>
      </c>
      <c r="CA14" s="189">
        <v>101902709</v>
      </c>
      <c r="CB14" s="189">
        <v>65258394</v>
      </c>
      <c r="CC14" s="189">
        <v>38655425</v>
      </c>
      <c r="CD14" s="189">
        <v>0</v>
      </c>
    </row>
    <row r="15" spans="1:82" x14ac:dyDescent="0.25">
      <c r="A15" s="189" t="s">
        <v>119</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row>
    <row r="16" spans="1:82" x14ac:dyDescent="0.25">
      <c r="A16" s="189" t="s">
        <v>120</v>
      </c>
      <c r="B16" s="189">
        <v>5831126.4800000004</v>
      </c>
      <c r="C16" s="189">
        <v>11615568.439999999</v>
      </c>
      <c r="D16" s="189">
        <v>13293610.93</v>
      </c>
      <c r="E16" s="189">
        <v>38036244.659999996</v>
      </c>
      <c r="F16" s="189">
        <v>46115325.240000002</v>
      </c>
      <c r="G16" s="189">
        <v>33932445.829999998</v>
      </c>
      <c r="H16" s="189">
        <v>34291245.509999998</v>
      </c>
      <c r="I16" s="189">
        <v>40977999.340000004</v>
      </c>
      <c r="J16" s="189">
        <v>39314288.950000003</v>
      </c>
      <c r="K16" s="189">
        <v>43007511.049999997</v>
      </c>
      <c r="L16" s="189">
        <v>34210926.57</v>
      </c>
      <c r="M16" s="189">
        <v>39777433.789999999</v>
      </c>
      <c r="N16" s="189">
        <v>21367103.719999999</v>
      </c>
      <c r="O16" s="189">
        <v>21367103.719999999</v>
      </c>
      <c r="P16" s="189">
        <v>21871667.5</v>
      </c>
      <c r="Q16" s="189">
        <v>23376772.620000001</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c r="BW16" s="189">
        <v>0</v>
      </c>
      <c r="BX16" s="189">
        <v>0</v>
      </c>
      <c r="BY16" s="189">
        <v>0</v>
      </c>
      <c r="BZ16" s="189">
        <v>0</v>
      </c>
      <c r="CA16" s="189">
        <v>0</v>
      </c>
      <c r="CB16" s="189">
        <v>0</v>
      </c>
      <c r="CC16" s="189">
        <v>0</v>
      </c>
      <c r="CD16" s="189">
        <v>0</v>
      </c>
    </row>
    <row r="17" spans="1:82"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84319.3</v>
      </c>
      <c r="AX17" s="189">
        <v>549804.31999999995</v>
      </c>
      <c r="AY17" s="189">
        <v>0</v>
      </c>
      <c r="AZ17" s="189">
        <v>211349.3</v>
      </c>
      <c r="BA17" s="189">
        <v>56889.17</v>
      </c>
      <c r="BB17" s="189">
        <v>0</v>
      </c>
      <c r="BC17" s="189">
        <v>0</v>
      </c>
      <c r="BD17" s="189">
        <v>1289291.1200000001</v>
      </c>
      <c r="BE17" s="189">
        <v>42003.67</v>
      </c>
      <c r="BF17" s="189">
        <v>4349084.74</v>
      </c>
      <c r="BG17" s="189">
        <v>6868619.0999999996</v>
      </c>
      <c r="BH17" s="189">
        <v>8869710.4700000007</v>
      </c>
      <c r="BI17" s="189">
        <v>40773.39</v>
      </c>
      <c r="BJ17" s="189">
        <v>166166.63</v>
      </c>
      <c r="BK17" s="189">
        <v>340666.65</v>
      </c>
      <c r="BL17" s="189">
        <v>85660.35</v>
      </c>
      <c r="BM17" s="189">
        <v>347487.29</v>
      </c>
      <c r="BN17" s="189">
        <v>115606.35</v>
      </c>
      <c r="BO17" s="189">
        <v>876481.45</v>
      </c>
      <c r="BP17" s="189">
        <v>393051.75</v>
      </c>
      <c r="BQ17" s="189">
        <v>716793.68</v>
      </c>
      <c r="BR17" s="189">
        <v>938903.55</v>
      </c>
      <c r="BS17" s="189">
        <v>692084.13</v>
      </c>
      <c r="BT17" s="189">
        <v>1494221.4</v>
      </c>
      <c r="BU17" s="189">
        <v>3331759.1</v>
      </c>
      <c r="BV17" s="189">
        <v>1130526.48</v>
      </c>
      <c r="BW17" s="189">
        <v>529038.18000000005</v>
      </c>
      <c r="BX17" s="189">
        <v>1070043.3999999999</v>
      </c>
      <c r="BY17" s="189">
        <v>1280616.55</v>
      </c>
      <c r="BZ17" s="189">
        <v>0</v>
      </c>
      <c r="CA17" s="189">
        <v>2451664</v>
      </c>
      <c r="CB17" s="189">
        <v>3212525</v>
      </c>
      <c r="CC17" s="189">
        <v>4160077</v>
      </c>
      <c r="CD17" s="189">
        <v>0</v>
      </c>
    </row>
    <row r="18" spans="1:82"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52235.59</v>
      </c>
      <c r="BI18" s="189">
        <v>0</v>
      </c>
      <c r="BJ18" s="189">
        <v>-127199.44</v>
      </c>
      <c r="BK18" s="189">
        <v>0</v>
      </c>
      <c r="BL18" s="189">
        <v>-375279.95</v>
      </c>
      <c r="BM18" s="189">
        <v>0</v>
      </c>
      <c r="BN18" s="189">
        <v>0</v>
      </c>
      <c r="BO18" s="189">
        <v>0</v>
      </c>
      <c r="BP18" s="189">
        <v>0</v>
      </c>
      <c r="BQ18" s="189">
        <v>0</v>
      </c>
      <c r="BR18" s="189">
        <v>0</v>
      </c>
      <c r="BS18" s="189">
        <v>0</v>
      </c>
      <c r="BT18" s="189">
        <v>0</v>
      </c>
      <c r="BU18" s="189">
        <v>0</v>
      </c>
      <c r="BV18" s="189">
        <v>184794.28</v>
      </c>
      <c r="BW18" s="189">
        <v>161561.85</v>
      </c>
      <c r="BX18" s="189">
        <v>0</v>
      </c>
      <c r="BY18" s="189">
        <v>0</v>
      </c>
      <c r="BZ18" s="189">
        <v>0</v>
      </c>
      <c r="CA18" s="189">
        <v>0</v>
      </c>
      <c r="CB18" s="189">
        <v>0</v>
      </c>
      <c r="CC18" s="189">
        <v>0</v>
      </c>
      <c r="CD18" s="189">
        <v>0</v>
      </c>
    </row>
    <row r="19" spans="1:82" x14ac:dyDescent="0.25">
      <c r="A19" s="189" t="s">
        <v>123</v>
      </c>
      <c r="B19" s="189">
        <v>2651220554.1900001</v>
      </c>
      <c r="C19" s="189">
        <v>407054846.77999997</v>
      </c>
      <c r="D19" s="189">
        <v>587312860.49000001</v>
      </c>
      <c r="E19" s="189">
        <v>1746040606.21</v>
      </c>
      <c r="F19" s="189">
        <v>80153176.989999995</v>
      </c>
      <c r="G19" s="189">
        <v>653391542.20000005</v>
      </c>
      <c r="H19" s="189">
        <v>402921097.26999998</v>
      </c>
      <c r="I19" s="189">
        <v>2047857351.6500001</v>
      </c>
      <c r="J19" s="189">
        <v>315815643.14999998</v>
      </c>
      <c r="K19" s="189">
        <v>237897089.24000001</v>
      </c>
      <c r="L19" s="189">
        <v>1409505047.6500001</v>
      </c>
      <c r="M19" s="189">
        <v>1336981360.1700001</v>
      </c>
      <c r="N19" s="189">
        <v>2172154705.8099999</v>
      </c>
      <c r="O19" s="189">
        <v>282537681.17000002</v>
      </c>
      <c r="P19" s="189">
        <v>632499171.91999996</v>
      </c>
      <c r="Q19" s="189">
        <v>258916025.74000001</v>
      </c>
      <c r="R19" s="189">
        <v>1111204447.96</v>
      </c>
      <c r="S19" s="189">
        <v>786199613.13</v>
      </c>
      <c r="T19" s="189">
        <v>1512304447.96</v>
      </c>
      <c r="U19" s="189">
        <v>807323012.41999996</v>
      </c>
      <c r="V19" s="189">
        <v>779000000</v>
      </c>
      <c r="W19" s="189">
        <v>380000000</v>
      </c>
      <c r="X19" s="189">
        <v>152000000</v>
      </c>
      <c r="Y19" s="189">
        <v>820000000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15120180</v>
      </c>
      <c r="AQ19" s="189">
        <v>15120180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row>
    <row r="20" spans="1:82" x14ac:dyDescent="0.25">
      <c r="A20" s="189" t="s">
        <v>124</v>
      </c>
      <c r="B20" s="189">
        <v>28363981006.5</v>
      </c>
      <c r="C20" s="189">
        <v>27493389471.91</v>
      </c>
      <c r="D20" s="189">
        <v>26927397704.91</v>
      </c>
      <c r="E20" s="189">
        <v>27431243975.380001</v>
      </c>
      <c r="F20" s="189">
        <v>22934563256.860001</v>
      </c>
      <c r="G20" s="189">
        <v>22554202831.790001</v>
      </c>
      <c r="H20" s="189">
        <v>21352325862.900002</v>
      </c>
      <c r="I20" s="189">
        <v>26911045838.360001</v>
      </c>
      <c r="J20" s="189">
        <v>19912815384.259998</v>
      </c>
      <c r="K20" s="189">
        <v>18033293428.41</v>
      </c>
      <c r="L20" s="189">
        <v>19873203319.959999</v>
      </c>
      <c r="M20" s="189">
        <v>22983104270.060001</v>
      </c>
      <c r="N20" s="189">
        <v>18526114783.27</v>
      </c>
      <c r="O20" s="189">
        <v>15671219470.110001</v>
      </c>
      <c r="P20" s="189">
        <v>15490634482.540001</v>
      </c>
      <c r="Q20" s="189">
        <v>17223488998.619999</v>
      </c>
      <c r="R20" s="189">
        <v>13882643163.690001</v>
      </c>
      <c r="S20" s="189">
        <v>11846511949.23</v>
      </c>
      <c r="T20" s="189">
        <v>12153753019.57</v>
      </c>
      <c r="U20" s="189">
        <v>11753018039.93</v>
      </c>
      <c r="V20" s="189">
        <v>11588722082.15</v>
      </c>
      <c r="W20" s="189">
        <v>10930492144.030001</v>
      </c>
      <c r="X20" s="189">
        <v>9851925458.1499996</v>
      </c>
      <c r="Y20" s="189">
        <v>10016428078.030001</v>
      </c>
      <c r="Z20" s="189">
        <v>9667324791.3400002</v>
      </c>
      <c r="AA20" s="189">
        <v>9329943473.2399998</v>
      </c>
      <c r="AB20" s="189">
        <v>8540735371.75</v>
      </c>
      <c r="AC20" s="189">
        <v>5478693286.4200001</v>
      </c>
      <c r="AD20" s="189">
        <v>5490781780.3400002</v>
      </c>
      <c r="AE20" s="189">
        <v>4402903965.8400002</v>
      </c>
      <c r="AF20" s="189">
        <v>4562126645.0600004</v>
      </c>
      <c r="AG20" s="189">
        <v>4627782496.1000004</v>
      </c>
      <c r="AH20" s="189">
        <v>5708476306.7399998</v>
      </c>
      <c r="AI20" s="189">
        <v>3864866341.5700002</v>
      </c>
      <c r="AJ20" s="189">
        <v>3378689199.6100001</v>
      </c>
      <c r="AK20" s="189">
        <v>3395115821.6399999</v>
      </c>
      <c r="AL20" s="189">
        <v>3735739413.3899999</v>
      </c>
      <c r="AM20" s="189">
        <v>2938889781.23</v>
      </c>
      <c r="AN20" s="189">
        <v>2652240674.5999999</v>
      </c>
      <c r="AO20" s="189">
        <v>2895485693.6500001</v>
      </c>
      <c r="AP20" s="189">
        <v>2650038435.52</v>
      </c>
      <c r="AQ20" s="189">
        <v>2509980965.4899998</v>
      </c>
      <c r="AR20" s="189">
        <v>3560184089.8899999</v>
      </c>
      <c r="AS20" s="189">
        <v>4361596979.6000004</v>
      </c>
      <c r="AT20" s="189">
        <v>3960188632.0799999</v>
      </c>
      <c r="AU20" s="189">
        <v>2988006343.9899998</v>
      </c>
      <c r="AV20" s="189">
        <v>2605960996.8699999</v>
      </c>
      <c r="AW20" s="189">
        <v>2794760125.5999999</v>
      </c>
      <c r="AX20" s="189">
        <v>2375017904.0799999</v>
      </c>
      <c r="AY20" s="189">
        <v>2120402625.8900001</v>
      </c>
      <c r="AZ20" s="189">
        <v>2119964191.3299999</v>
      </c>
      <c r="BA20" s="189">
        <v>2093822269.45</v>
      </c>
      <c r="BB20" s="189">
        <v>2015534674.78</v>
      </c>
      <c r="BC20" s="189">
        <v>1604411298.05</v>
      </c>
      <c r="BD20" s="189">
        <v>1556998464.9100001</v>
      </c>
      <c r="BE20" s="189">
        <v>1881557594.54</v>
      </c>
      <c r="BF20" s="189">
        <v>1426316169.9100001</v>
      </c>
      <c r="BG20" s="189">
        <v>1368673792.8900001</v>
      </c>
      <c r="BH20" s="189">
        <v>1444934311.1099999</v>
      </c>
      <c r="BI20" s="189">
        <v>1685971534.8599999</v>
      </c>
      <c r="BJ20" s="189">
        <v>1272689295.23</v>
      </c>
      <c r="BK20" s="189">
        <v>1164036875.73</v>
      </c>
      <c r="BL20" s="189">
        <v>1181691404.3199999</v>
      </c>
      <c r="BM20" s="189">
        <v>1252588454.5899999</v>
      </c>
      <c r="BN20" s="189">
        <v>1239549896.6099999</v>
      </c>
      <c r="BO20" s="189">
        <v>1136785159.6400001</v>
      </c>
      <c r="BP20" s="189">
        <v>973254698.80999994</v>
      </c>
      <c r="BQ20" s="189">
        <v>948873080.60000002</v>
      </c>
      <c r="BR20" s="189">
        <v>974629778.04999995</v>
      </c>
      <c r="BS20" s="189">
        <v>948015689.25999999</v>
      </c>
      <c r="BT20" s="189">
        <v>491088039.38999999</v>
      </c>
      <c r="BU20" s="189">
        <v>499034218.42000002</v>
      </c>
      <c r="BV20" s="189">
        <v>438988924.87</v>
      </c>
      <c r="BW20" s="189">
        <v>467620379.18000001</v>
      </c>
      <c r="BX20" s="189">
        <v>295873206.08999997</v>
      </c>
      <c r="BY20" s="189">
        <v>345092149.81999999</v>
      </c>
      <c r="BZ20" s="189">
        <v>433849252.99000001</v>
      </c>
      <c r="CA20" s="189">
        <v>149200417</v>
      </c>
      <c r="CB20" s="189">
        <v>94351206</v>
      </c>
      <c r="CC20" s="189">
        <v>69616693</v>
      </c>
      <c r="CD20" s="189">
        <v>0</v>
      </c>
    </row>
    <row r="21" spans="1:82" x14ac:dyDescent="0.25">
      <c r="A21" s="189" t="s">
        <v>125</v>
      </c>
    </row>
    <row r="22" spans="1:82"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row>
    <row r="23" spans="1:82" x14ac:dyDescent="0.25">
      <c r="A23" s="189" t="s">
        <v>127</v>
      </c>
      <c r="B23" s="189">
        <v>1454057710.8800001</v>
      </c>
      <c r="C23" s="189">
        <v>1474328010.8800001</v>
      </c>
      <c r="D23" s="189">
        <v>1328141210.8800001</v>
      </c>
      <c r="E23" s="189">
        <v>1329965605.02</v>
      </c>
      <c r="F23" s="189">
        <v>1077143493.02</v>
      </c>
      <c r="G23" s="189">
        <v>1078795032.52</v>
      </c>
      <c r="H23" s="189">
        <v>1008581782</v>
      </c>
      <c r="I23" s="189">
        <v>1008581782</v>
      </c>
      <c r="J23" s="189">
        <v>858581782</v>
      </c>
      <c r="K23" s="189">
        <v>578660200</v>
      </c>
      <c r="L23" s="189">
        <v>578660200</v>
      </c>
      <c r="M23" s="189">
        <v>378660200</v>
      </c>
      <c r="N23" s="189">
        <v>348867800</v>
      </c>
      <c r="O23" s="189">
        <v>349047800</v>
      </c>
      <c r="P23" s="189">
        <v>149047800</v>
      </c>
      <c r="Q23" s="189">
        <v>149047800</v>
      </c>
      <c r="R23" s="189">
        <v>149047800</v>
      </c>
      <c r="S23" s="189">
        <v>0</v>
      </c>
      <c r="T23" s="189">
        <v>0</v>
      </c>
      <c r="U23" s="189">
        <v>0</v>
      </c>
      <c r="V23" s="189">
        <v>0</v>
      </c>
      <c r="W23" s="189">
        <v>0</v>
      </c>
      <c r="X23" s="189">
        <v>0</v>
      </c>
      <c r="Y23" s="189">
        <v>0</v>
      </c>
      <c r="Z23" s="189">
        <v>0</v>
      </c>
      <c r="AA23" s="189">
        <v>0</v>
      </c>
      <c r="AB23" s="189">
        <v>244484614.13999999</v>
      </c>
      <c r="AC23" s="189">
        <v>317074128</v>
      </c>
      <c r="AD23" s="189">
        <v>329812000</v>
      </c>
      <c r="AE23" s="189">
        <v>465189000</v>
      </c>
      <c r="AF23" s="189">
        <v>483235000</v>
      </c>
      <c r="AG23" s="189">
        <v>539322000</v>
      </c>
      <c r="AH23" s="189">
        <v>513359000</v>
      </c>
      <c r="AI23" s="189">
        <v>475232000</v>
      </c>
      <c r="AJ23" s="189">
        <v>518656000</v>
      </c>
      <c r="AK23" s="189">
        <v>568991000</v>
      </c>
      <c r="AL23" s="189">
        <v>518156000</v>
      </c>
      <c r="AM23" s="189">
        <v>510825766</v>
      </c>
      <c r="AN23" s="189">
        <v>428390581</v>
      </c>
      <c r="AO23" s="189">
        <v>305052689</v>
      </c>
      <c r="AP23" s="189">
        <v>524166717</v>
      </c>
      <c r="AQ23" s="189">
        <v>1086651646</v>
      </c>
      <c r="AR23" s="189">
        <v>1283057361</v>
      </c>
      <c r="AS23" s="189">
        <v>2546490710</v>
      </c>
      <c r="AT23" s="189">
        <v>2122309621.5</v>
      </c>
      <c r="AU23" s="189">
        <v>987027807.14999998</v>
      </c>
      <c r="AV23" s="189">
        <v>766814338.5</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c r="BX23" s="189">
        <v>0</v>
      </c>
      <c r="BY23" s="189">
        <v>0</v>
      </c>
      <c r="BZ23" s="189">
        <v>0</v>
      </c>
      <c r="CA23" s="189">
        <v>0</v>
      </c>
      <c r="CB23" s="189">
        <v>0</v>
      </c>
      <c r="CC23" s="189">
        <v>0</v>
      </c>
      <c r="CD23" s="189">
        <v>0</v>
      </c>
    </row>
    <row r="24" spans="1:82"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4505400</v>
      </c>
      <c r="AQ24" s="189">
        <v>0</v>
      </c>
      <c r="AR24" s="189">
        <v>0</v>
      </c>
      <c r="AS24" s="189">
        <v>0</v>
      </c>
      <c r="AT24" s="189">
        <v>0</v>
      </c>
      <c r="AU24" s="189">
        <v>0</v>
      </c>
      <c r="AV24" s="189">
        <v>0</v>
      </c>
      <c r="AW24" s="189">
        <v>0</v>
      </c>
      <c r="AX24" s="189">
        <v>0</v>
      </c>
      <c r="AY24" s="189">
        <v>0</v>
      </c>
      <c r="AZ24" s="189">
        <v>0</v>
      </c>
      <c r="BA24" s="189">
        <v>0</v>
      </c>
      <c r="BB24" s="189">
        <v>0</v>
      </c>
      <c r="BC24" s="189">
        <v>8000000</v>
      </c>
      <c r="BD24" s="189">
        <v>8000000</v>
      </c>
      <c r="BE24" s="189">
        <v>8000000</v>
      </c>
      <c r="BF24" s="189">
        <v>0</v>
      </c>
      <c r="BG24" s="189">
        <v>0</v>
      </c>
      <c r="BH24" s="189">
        <v>0</v>
      </c>
      <c r="BI24" s="189">
        <v>0</v>
      </c>
      <c r="BJ24" s="189">
        <v>0</v>
      </c>
      <c r="BK24" s="189">
        <v>0</v>
      </c>
      <c r="BL24" s="189">
        <v>0</v>
      </c>
      <c r="BM24" s="189">
        <v>0</v>
      </c>
      <c r="BN24" s="189">
        <v>0</v>
      </c>
      <c r="BO24" s="189">
        <v>0</v>
      </c>
      <c r="BP24" s="189">
        <v>0</v>
      </c>
      <c r="BQ24" s="189">
        <v>0</v>
      </c>
      <c r="BR24" s="189">
        <v>1270</v>
      </c>
      <c r="BS24" s="189">
        <v>1270</v>
      </c>
      <c r="BT24" s="189">
        <v>0</v>
      </c>
      <c r="BU24" s="189">
        <v>22540</v>
      </c>
      <c r="BV24" s="189">
        <v>29350</v>
      </c>
      <c r="BW24" s="189">
        <v>29350</v>
      </c>
      <c r="BX24" s="189">
        <v>0</v>
      </c>
      <c r="BY24" s="189">
        <v>0</v>
      </c>
      <c r="BZ24" s="189">
        <v>0</v>
      </c>
      <c r="CA24" s="189">
        <v>0</v>
      </c>
      <c r="CB24" s="189">
        <v>0</v>
      </c>
      <c r="CC24" s="189">
        <v>0</v>
      </c>
      <c r="CD24" s="189">
        <v>0</v>
      </c>
    </row>
    <row r="25" spans="1:82"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c r="BQ25" s="189">
        <v>0</v>
      </c>
      <c r="BR25" s="189">
        <v>0</v>
      </c>
      <c r="BS25" s="189">
        <v>0</v>
      </c>
      <c r="BT25" s="189">
        <v>0</v>
      </c>
      <c r="BU25" s="189">
        <v>0</v>
      </c>
      <c r="BV25" s="189">
        <v>0</v>
      </c>
      <c r="BW25" s="189">
        <v>0</v>
      </c>
      <c r="BX25" s="189">
        <v>0</v>
      </c>
      <c r="BY25" s="189">
        <v>0</v>
      </c>
      <c r="BZ25" s="189">
        <v>0</v>
      </c>
      <c r="CA25" s="189">
        <v>0</v>
      </c>
      <c r="CB25" s="189">
        <v>0</v>
      </c>
      <c r="CC25" s="189">
        <v>0</v>
      </c>
      <c r="CD25" s="189">
        <v>0</v>
      </c>
    </row>
    <row r="26" spans="1:82" x14ac:dyDescent="0.25">
      <c r="A26" s="189" t="s">
        <v>130</v>
      </c>
      <c r="B26" s="189">
        <v>690486381.66999996</v>
      </c>
      <c r="C26" s="189">
        <v>678571072.77999997</v>
      </c>
      <c r="D26" s="189">
        <v>666790746.99000001</v>
      </c>
      <c r="E26" s="189">
        <v>664494468.41999996</v>
      </c>
      <c r="F26" s="189">
        <v>670939921.27999997</v>
      </c>
      <c r="G26" s="189">
        <v>372682522.97000003</v>
      </c>
      <c r="H26" s="189">
        <v>335456622.17000002</v>
      </c>
      <c r="I26" s="189">
        <v>321640929.30000001</v>
      </c>
      <c r="J26" s="189">
        <v>304416697.56</v>
      </c>
      <c r="K26" s="189">
        <v>296272506.47000003</v>
      </c>
      <c r="L26" s="189">
        <v>290000000</v>
      </c>
      <c r="M26" s="189">
        <v>0</v>
      </c>
      <c r="N26" s="189">
        <v>0</v>
      </c>
      <c r="O26" s="189">
        <v>0</v>
      </c>
      <c r="P26" s="189">
        <v>0</v>
      </c>
      <c r="Q26" s="189">
        <v>0</v>
      </c>
      <c r="R26" s="189">
        <v>0</v>
      </c>
      <c r="S26" s="189">
        <v>149047800</v>
      </c>
      <c r="T26" s="189">
        <v>142377800</v>
      </c>
      <c r="U26" s="189">
        <v>142377800</v>
      </c>
      <c r="V26" s="189">
        <v>142377800</v>
      </c>
      <c r="W26" s="189">
        <v>142377800</v>
      </c>
      <c r="X26" s="189">
        <v>142377800</v>
      </c>
      <c r="Y26" s="189">
        <v>142377800</v>
      </c>
      <c r="Z26" s="189">
        <v>160308500</v>
      </c>
      <c r="AA26" s="189">
        <v>160308500</v>
      </c>
      <c r="AB26" s="189">
        <v>160308500</v>
      </c>
      <c r="AC26" s="189">
        <v>85308500</v>
      </c>
      <c r="AD26" s="189">
        <v>85308500</v>
      </c>
      <c r="AE26" s="189">
        <v>85308500</v>
      </c>
      <c r="AF26" s="189">
        <v>83094500</v>
      </c>
      <c r="AG26" s="189">
        <v>83094500</v>
      </c>
      <c r="AH26" s="189">
        <v>83194500</v>
      </c>
      <c r="AI26" s="189">
        <v>83194500</v>
      </c>
      <c r="AJ26" s="189">
        <v>83194500</v>
      </c>
      <c r="AK26" s="189">
        <v>83194500</v>
      </c>
      <c r="AL26" s="189">
        <v>99054500</v>
      </c>
      <c r="AM26" s="189">
        <v>99929500</v>
      </c>
      <c r="AN26" s="189">
        <v>132489814.95</v>
      </c>
      <c r="AO26" s="189">
        <v>132823313.09999999</v>
      </c>
      <c r="AP26" s="189">
        <v>138518173.62</v>
      </c>
      <c r="AQ26" s="189">
        <v>48918601.030000001</v>
      </c>
      <c r="AR26" s="189">
        <v>50351070.5</v>
      </c>
      <c r="AS26" s="189">
        <v>68628986.680000007</v>
      </c>
      <c r="AT26" s="189">
        <v>88769682.420000002</v>
      </c>
      <c r="AU26" s="189">
        <v>89213891.769999996</v>
      </c>
      <c r="AV26" s="189">
        <v>86994412.819999993</v>
      </c>
      <c r="AW26" s="189">
        <v>57454828.520000003</v>
      </c>
      <c r="AX26" s="189">
        <v>54962097.950000003</v>
      </c>
      <c r="AY26" s="189">
        <v>51940081.740000002</v>
      </c>
      <c r="AZ26" s="189">
        <v>66109941.840000004</v>
      </c>
      <c r="BA26" s="189">
        <v>65088181.200000003</v>
      </c>
      <c r="BB26" s="189">
        <v>63987870.460000001</v>
      </c>
      <c r="BC26" s="189">
        <v>62445047.329999998</v>
      </c>
      <c r="BD26" s="189">
        <v>61431052.68</v>
      </c>
      <c r="BE26" s="189">
        <v>60780691.920000002</v>
      </c>
      <c r="BF26" s="189">
        <v>79279399.219999999</v>
      </c>
      <c r="BG26" s="189">
        <v>34200848.210000001</v>
      </c>
      <c r="BH26" s="189">
        <v>39831930.219999999</v>
      </c>
      <c r="BI26" s="189">
        <v>29631930.219999999</v>
      </c>
      <c r="BJ26" s="189">
        <v>35680428.380000003</v>
      </c>
      <c r="BK26" s="189">
        <v>23680428.379999999</v>
      </c>
      <c r="BL26" s="189">
        <v>15675534.42</v>
      </c>
      <c r="BM26" s="189">
        <v>10171425.68</v>
      </c>
      <c r="BN26" s="189">
        <v>0</v>
      </c>
      <c r="BO26" s="189">
        <v>4000000</v>
      </c>
      <c r="BP26" s="189">
        <v>0</v>
      </c>
      <c r="BQ26" s="189">
        <v>0</v>
      </c>
      <c r="BR26" s="189">
        <v>0</v>
      </c>
      <c r="BS26" s="189">
        <v>1270</v>
      </c>
      <c r="BT26" s="189">
        <v>22540</v>
      </c>
      <c r="BU26" s="189">
        <v>0</v>
      </c>
      <c r="BV26" s="189">
        <v>21605958</v>
      </c>
      <c r="BW26" s="189">
        <v>21605958</v>
      </c>
      <c r="BX26" s="189">
        <v>31600000</v>
      </c>
      <c r="BY26" s="189">
        <v>31600000</v>
      </c>
      <c r="BZ26" s="189">
        <v>0</v>
      </c>
      <c r="CA26" s="189">
        <v>118047</v>
      </c>
      <c r="CB26" s="189">
        <v>223487</v>
      </c>
      <c r="CC26" s="189">
        <v>250511</v>
      </c>
      <c r="CD26" s="189">
        <v>0</v>
      </c>
    </row>
    <row r="27" spans="1:82" x14ac:dyDescent="0.25">
      <c r="A27" s="189" t="s">
        <v>131</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row>
    <row r="28" spans="1:82" x14ac:dyDescent="0.25">
      <c r="A28" s="189" t="s">
        <v>132</v>
      </c>
      <c r="B28" s="189">
        <v>3739296570.6399999</v>
      </c>
      <c r="C28" s="189">
        <v>3806636178.1799998</v>
      </c>
      <c r="D28" s="189">
        <v>3904837211.3600001</v>
      </c>
      <c r="E28" s="189">
        <v>3982767010.3299999</v>
      </c>
      <c r="F28" s="189">
        <v>4095441705.8299999</v>
      </c>
      <c r="G28" s="189">
        <v>4235449777.0300002</v>
      </c>
      <c r="H28" s="189">
        <v>4358378334.1499996</v>
      </c>
      <c r="I28" s="189">
        <v>4537663835.8500004</v>
      </c>
      <c r="J28" s="189">
        <v>4443352373.1300001</v>
      </c>
      <c r="K28" s="189">
        <v>3863364637.71</v>
      </c>
      <c r="L28" s="189">
        <v>3963721622.1799998</v>
      </c>
      <c r="M28" s="189">
        <v>4071835776.9000001</v>
      </c>
      <c r="N28" s="189">
        <v>3443954195.4899998</v>
      </c>
      <c r="O28" s="189">
        <v>3621428117.5799999</v>
      </c>
      <c r="P28" s="189">
        <v>3698392170.6399999</v>
      </c>
      <c r="Q28" s="189">
        <v>3630320013.9400001</v>
      </c>
      <c r="R28" s="189">
        <v>2845124055.0300002</v>
      </c>
      <c r="S28" s="189">
        <v>2927557160.25</v>
      </c>
      <c r="T28" s="189">
        <v>2912807755.2600002</v>
      </c>
      <c r="U28" s="189">
        <v>2979858868.46</v>
      </c>
      <c r="V28" s="189">
        <v>2894214357.6300001</v>
      </c>
      <c r="W28" s="189">
        <v>2988196081</v>
      </c>
      <c r="X28" s="189">
        <v>3082661256.52</v>
      </c>
      <c r="Y28" s="189">
        <v>3146517801.1399999</v>
      </c>
      <c r="Z28" s="189">
        <v>1283023930.03</v>
      </c>
      <c r="AA28" s="189">
        <v>1188923979.6500001</v>
      </c>
      <c r="AB28" s="189">
        <v>1139863574.3499999</v>
      </c>
      <c r="AC28" s="189">
        <v>1010615512.64</v>
      </c>
      <c r="AD28" s="189">
        <v>1025505056.45</v>
      </c>
      <c r="AE28" s="189">
        <v>1055009693.29</v>
      </c>
      <c r="AF28" s="189">
        <v>1079861795.3099999</v>
      </c>
      <c r="AG28" s="189">
        <v>1104114516.98</v>
      </c>
      <c r="AH28" s="189">
        <v>981054589.71000004</v>
      </c>
      <c r="AI28" s="189">
        <v>996941595.33000004</v>
      </c>
      <c r="AJ28" s="189">
        <v>1028437015.22</v>
      </c>
      <c r="AK28" s="189">
        <v>1053247011.39</v>
      </c>
      <c r="AL28" s="189">
        <v>1028696636.89</v>
      </c>
      <c r="AM28" s="189">
        <v>750281619.63999999</v>
      </c>
      <c r="AN28" s="189">
        <v>733379135.08000004</v>
      </c>
      <c r="AO28" s="189">
        <v>751492270.57000005</v>
      </c>
      <c r="AP28" s="189">
        <v>598116555.05999994</v>
      </c>
      <c r="AQ28" s="189">
        <v>596912842.48000002</v>
      </c>
      <c r="AR28" s="189">
        <v>597388851.12</v>
      </c>
      <c r="AS28" s="189">
        <v>507128068.42000002</v>
      </c>
      <c r="AT28" s="189">
        <v>477480672.80000001</v>
      </c>
      <c r="AU28" s="189">
        <v>475508405.08999997</v>
      </c>
      <c r="AV28" s="189">
        <v>491770951.13</v>
      </c>
      <c r="AW28" s="189">
        <v>512384978.29000002</v>
      </c>
      <c r="AX28" s="189">
        <v>452729110.33999997</v>
      </c>
      <c r="AY28" s="189">
        <v>465234771.00999999</v>
      </c>
      <c r="AZ28" s="189">
        <v>485803911.95999998</v>
      </c>
      <c r="BA28" s="189">
        <v>507338829.87</v>
      </c>
      <c r="BB28" s="189">
        <v>447484323.25999999</v>
      </c>
      <c r="BC28" s="189">
        <v>461011354.66000003</v>
      </c>
      <c r="BD28" s="189">
        <v>477143035.86000001</v>
      </c>
      <c r="BE28" s="189">
        <v>495945258.48000002</v>
      </c>
      <c r="BF28" s="189">
        <v>463469401.5</v>
      </c>
      <c r="BG28" s="189">
        <v>469052801</v>
      </c>
      <c r="BH28" s="189">
        <v>469071033.86000001</v>
      </c>
      <c r="BI28" s="189">
        <v>464880526.54000002</v>
      </c>
      <c r="BJ28" s="189">
        <v>366031374.63999999</v>
      </c>
      <c r="BK28" s="189">
        <v>372012573.81</v>
      </c>
      <c r="BL28" s="189">
        <v>382277026.64999998</v>
      </c>
      <c r="BM28" s="189">
        <v>392616827.49000001</v>
      </c>
      <c r="BN28" s="189">
        <v>397195145.38</v>
      </c>
      <c r="BO28" s="189">
        <v>402845065.31</v>
      </c>
      <c r="BP28" s="189">
        <v>429674374.89999998</v>
      </c>
      <c r="BQ28" s="189">
        <v>434791432.91000003</v>
      </c>
      <c r="BR28" s="189">
        <v>423952295.44</v>
      </c>
      <c r="BS28" s="189">
        <v>434855338.73000002</v>
      </c>
      <c r="BT28" s="189">
        <v>437436248.17000002</v>
      </c>
      <c r="BU28" s="189">
        <v>448175392.82999998</v>
      </c>
      <c r="BV28" s="189">
        <v>423846603.76999998</v>
      </c>
      <c r="BW28" s="189">
        <v>414365909.83999997</v>
      </c>
      <c r="BX28" s="189">
        <v>60156348.25</v>
      </c>
      <c r="BY28" s="189">
        <v>57243239.469999999</v>
      </c>
      <c r="BZ28" s="189">
        <v>55497864.740000002</v>
      </c>
      <c r="CA28" s="189">
        <v>54541567</v>
      </c>
      <c r="CB28" s="189">
        <v>46131480</v>
      </c>
      <c r="CC28" s="189">
        <v>9808901</v>
      </c>
      <c r="CD28" s="189">
        <v>0</v>
      </c>
    </row>
    <row r="29" spans="1:82" x14ac:dyDescent="0.25">
      <c r="A29" s="189" t="s">
        <v>133</v>
      </c>
      <c r="B29" s="189">
        <v>626961069.38</v>
      </c>
      <c r="C29" s="189">
        <v>455432989</v>
      </c>
      <c r="D29" s="189">
        <v>334863583.77999997</v>
      </c>
      <c r="E29" s="189">
        <v>297253674.33999997</v>
      </c>
      <c r="F29" s="189">
        <v>235770936.78</v>
      </c>
      <c r="G29" s="189">
        <v>140258943.81999999</v>
      </c>
      <c r="H29" s="189">
        <v>106831215.66</v>
      </c>
      <c r="I29" s="189">
        <v>90849899.430000007</v>
      </c>
      <c r="J29" s="189">
        <v>238157472.56999999</v>
      </c>
      <c r="K29" s="189">
        <v>714061355.13999999</v>
      </c>
      <c r="L29" s="189">
        <v>659600030</v>
      </c>
      <c r="M29" s="189">
        <v>584839095.75999999</v>
      </c>
      <c r="N29" s="189">
        <v>1605514788.0899999</v>
      </c>
      <c r="O29" s="189">
        <v>1568406081.47</v>
      </c>
      <c r="P29" s="189">
        <v>1453284846.0899999</v>
      </c>
      <c r="Q29" s="189">
        <v>955967947</v>
      </c>
      <c r="R29" s="189">
        <v>569124013.22000003</v>
      </c>
      <c r="S29" s="189">
        <v>463090851.30000001</v>
      </c>
      <c r="T29" s="189">
        <v>539624059.63999999</v>
      </c>
      <c r="U29" s="189">
        <v>444189429.57999998</v>
      </c>
      <c r="V29" s="189">
        <v>408588126.5</v>
      </c>
      <c r="W29" s="189">
        <v>296829524.36000001</v>
      </c>
      <c r="X29" s="189">
        <v>244939341.52000001</v>
      </c>
      <c r="Y29" s="189">
        <v>126008930.90000001</v>
      </c>
      <c r="Z29" s="189">
        <v>1142018898.4200001</v>
      </c>
      <c r="AA29" s="189">
        <v>744681401.53999996</v>
      </c>
      <c r="AB29" s="189">
        <v>385209683.62</v>
      </c>
      <c r="AC29" s="189">
        <v>300920290.50999999</v>
      </c>
      <c r="AD29" s="189">
        <v>572770781.01999998</v>
      </c>
      <c r="AE29" s="189">
        <v>435827681.50999999</v>
      </c>
      <c r="AF29" s="189">
        <v>44045330.560000002</v>
      </c>
      <c r="AG29" s="189">
        <v>41610514.240000002</v>
      </c>
      <c r="AH29" s="189">
        <v>142440861.63999999</v>
      </c>
      <c r="AI29" s="189">
        <v>92120318.370000005</v>
      </c>
      <c r="AJ29" s="189">
        <v>24735504.699999999</v>
      </c>
      <c r="AK29" s="189">
        <v>20216673.68</v>
      </c>
      <c r="AL29" s="189">
        <v>80902155.890000001</v>
      </c>
      <c r="AM29" s="189">
        <v>366368816.51999998</v>
      </c>
      <c r="AN29" s="189">
        <v>316814185.66000003</v>
      </c>
      <c r="AO29" s="189">
        <v>267409277.63</v>
      </c>
      <c r="AP29" s="189">
        <v>302837977.95999998</v>
      </c>
      <c r="AQ29" s="189">
        <v>184309815.58000001</v>
      </c>
      <c r="AR29" s="189">
        <v>301967835.37</v>
      </c>
      <c r="AS29" s="189">
        <v>226723970.94</v>
      </c>
      <c r="AT29" s="189">
        <v>216895803.81</v>
      </c>
      <c r="AU29" s="189">
        <v>164716283.09999999</v>
      </c>
      <c r="AV29" s="189">
        <v>141559687.90000001</v>
      </c>
      <c r="AW29" s="189">
        <v>126356320.56999999</v>
      </c>
      <c r="AX29" s="189">
        <v>93169241.370000005</v>
      </c>
      <c r="AY29" s="189">
        <v>20149098.010000002</v>
      </c>
      <c r="AZ29" s="189">
        <v>11406641.279999999</v>
      </c>
      <c r="BA29" s="189">
        <v>7785116.7999999998</v>
      </c>
      <c r="BB29" s="189">
        <v>64185650.469999999</v>
      </c>
      <c r="BC29" s="189">
        <v>46593525.299999997</v>
      </c>
      <c r="BD29" s="189">
        <v>51262001.57</v>
      </c>
      <c r="BE29" s="189">
        <v>45223830.549999997</v>
      </c>
      <c r="BF29" s="189">
        <v>101751320.70999999</v>
      </c>
      <c r="BG29" s="189">
        <v>82314745.150000006</v>
      </c>
      <c r="BH29" s="189">
        <v>76558293.189999998</v>
      </c>
      <c r="BI29" s="189">
        <v>71025585.219999999</v>
      </c>
      <c r="BJ29" s="189">
        <v>138853452.69999999</v>
      </c>
      <c r="BK29" s="189">
        <v>87644125.579999998</v>
      </c>
      <c r="BL29" s="189">
        <v>51944520.649999999</v>
      </c>
      <c r="BM29" s="189">
        <v>41106828.130000003</v>
      </c>
      <c r="BN29" s="189">
        <v>42538081.630000003</v>
      </c>
      <c r="BO29" s="189">
        <v>20323487.219999999</v>
      </c>
      <c r="BP29" s="189">
        <v>4386711.92</v>
      </c>
      <c r="BQ29" s="189">
        <v>1368812.27</v>
      </c>
      <c r="BR29" s="189">
        <v>21490359.190000001</v>
      </c>
      <c r="BS29" s="189">
        <v>4810348.4000000004</v>
      </c>
      <c r="BT29" s="189">
        <v>38860425.880000003</v>
      </c>
      <c r="BU29" s="189">
        <v>21970269.859999999</v>
      </c>
      <c r="BV29" s="189">
        <v>42541101.68</v>
      </c>
      <c r="BW29" s="189">
        <v>24846569.920000002</v>
      </c>
      <c r="BX29" s="189">
        <v>297963576.10000002</v>
      </c>
      <c r="BY29" s="189">
        <v>197695782.27000001</v>
      </c>
      <c r="BZ29" s="189">
        <v>104320570.31</v>
      </c>
      <c r="CA29" s="189">
        <v>17252394</v>
      </c>
      <c r="CB29" s="189">
        <v>6200879</v>
      </c>
      <c r="CC29" s="189">
        <v>35026648</v>
      </c>
      <c r="CD29" s="189">
        <v>0</v>
      </c>
    </row>
    <row r="30" spans="1:82"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row>
    <row r="31" spans="1:82" x14ac:dyDescent="0.25">
      <c r="A31" s="189" t="s">
        <v>135</v>
      </c>
      <c r="B31" s="189">
        <v>0</v>
      </c>
      <c r="C31" s="189">
        <v>3415186.24</v>
      </c>
      <c r="D31" s="189">
        <v>3401968.8</v>
      </c>
      <c r="E31" s="189">
        <v>2461403.7599999998</v>
      </c>
      <c r="F31" s="189">
        <v>12314466.9</v>
      </c>
      <c r="G31" s="189">
        <v>354612.42</v>
      </c>
      <c r="H31" s="189">
        <v>327031.73</v>
      </c>
      <c r="I31" s="189">
        <v>0</v>
      </c>
      <c r="J31" s="189">
        <v>3164096.98</v>
      </c>
      <c r="K31" s="189">
        <v>3091290.26</v>
      </c>
      <c r="L31" s="189">
        <v>209719</v>
      </c>
      <c r="M31" s="189">
        <v>0</v>
      </c>
      <c r="N31" s="189">
        <v>63441.65</v>
      </c>
      <c r="O31" s="189">
        <v>95777.94</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226327.24</v>
      </c>
      <c r="BP31" s="189">
        <v>193064.45</v>
      </c>
      <c r="BQ31" s="189">
        <v>0</v>
      </c>
      <c r="BR31" s="189">
        <v>0</v>
      </c>
      <c r="BS31" s="189">
        <v>0</v>
      </c>
      <c r="BT31" s="189">
        <v>-148000</v>
      </c>
      <c r="BU31" s="189">
        <v>0</v>
      </c>
      <c r="BV31" s="189">
        <v>89995.58</v>
      </c>
      <c r="BW31" s="189">
        <v>7265.52</v>
      </c>
      <c r="BX31" s="189">
        <v>-470.28</v>
      </c>
      <c r="BY31" s="189">
        <v>0</v>
      </c>
      <c r="BZ31" s="189">
        <v>0</v>
      </c>
      <c r="CA31" s="189">
        <v>0</v>
      </c>
      <c r="CB31" s="189">
        <v>6447</v>
      </c>
      <c r="CC31" s="189">
        <v>2246</v>
      </c>
      <c r="CD31" s="189">
        <v>0</v>
      </c>
    </row>
    <row r="32" spans="1:82"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c r="BX32" s="189">
        <v>0</v>
      </c>
      <c r="BY32" s="189">
        <v>0</v>
      </c>
      <c r="BZ32" s="189">
        <v>0</v>
      </c>
      <c r="CA32" s="189">
        <v>0</v>
      </c>
      <c r="CB32" s="189">
        <v>0</v>
      </c>
      <c r="CC32" s="189">
        <v>0</v>
      </c>
      <c r="CD32" s="189">
        <v>0</v>
      </c>
    </row>
    <row r="33" spans="1:82"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c r="BX33" s="189">
        <v>0</v>
      </c>
      <c r="BY33" s="189">
        <v>0</v>
      </c>
      <c r="BZ33" s="189">
        <v>0</v>
      </c>
      <c r="CA33" s="189">
        <v>0</v>
      </c>
      <c r="CB33" s="189">
        <v>0</v>
      </c>
      <c r="CC33" s="189">
        <v>0</v>
      </c>
      <c r="CD33" s="189">
        <v>0</v>
      </c>
    </row>
    <row r="34" spans="1:82"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0</v>
      </c>
      <c r="BS34" s="189">
        <v>0</v>
      </c>
      <c r="BT34" s="189">
        <v>0</v>
      </c>
      <c r="BU34" s="189">
        <v>0</v>
      </c>
      <c r="BV34" s="189">
        <v>0</v>
      </c>
      <c r="BW34" s="189">
        <v>0</v>
      </c>
      <c r="BX34" s="189">
        <v>0</v>
      </c>
      <c r="BY34" s="189">
        <v>0</v>
      </c>
      <c r="BZ34" s="189">
        <v>0</v>
      </c>
      <c r="CA34" s="189">
        <v>0</v>
      </c>
      <c r="CB34" s="189">
        <v>0</v>
      </c>
      <c r="CC34" s="189">
        <v>0</v>
      </c>
      <c r="CD34" s="189">
        <v>0</v>
      </c>
    </row>
    <row r="35" spans="1:82" x14ac:dyDescent="0.25">
      <c r="A35" s="189" t="s">
        <v>139</v>
      </c>
      <c r="B35" s="189">
        <v>1520660105.78</v>
      </c>
      <c r="C35" s="189">
        <v>1517278374.46</v>
      </c>
      <c r="D35" s="189">
        <v>1527157133.7</v>
      </c>
      <c r="E35" s="189">
        <v>1426619439.9100001</v>
      </c>
      <c r="F35" s="189">
        <v>1436423992.25</v>
      </c>
      <c r="G35" s="189">
        <v>1444717417.5</v>
      </c>
      <c r="H35" s="189">
        <v>1453641733.9300001</v>
      </c>
      <c r="I35" s="189">
        <v>1457537900.1400001</v>
      </c>
      <c r="J35" s="189">
        <v>1446257261.27</v>
      </c>
      <c r="K35" s="189">
        <v>1452646404.26</v>
      </c>
      <c r="L35" s="189">
        <v>1459093632.4000001</v>
      </c>
      <c r="M35" s="189">
        <v>1463507513.8099999</v>
      </c>
      <c r="N35" s="189">
        <v>978106618.20000005</v>
      </c>
      <c r="O35" s="189">
        <v>982716902.02999997</v>
      </c>
      <c r="P35" s="189">
        <v>933264614.46000004</v>
      </c>
      <c r="Q35" s="189">
        <v>939429685.03999996</v>
      </c>
      <c r="R35" s="189">
        <v>600745429.10000002</v>
      </c>
      <c r="S35" s="189">
        <v>605092644.51999998</v>
      </c>
      <c r="T35" s="189">
        <v>588107028.23000002</v>
      </c>
      <c r="U35" s="189">
        <v>592362905.75</v>
      </c>
      <c r="V35" s="189">
        <v>596742184.01999998</v>
      </c>
      <c r="W35" s="189">
        <v>599654675.40999997</v>
      </c>
      <c r="X35" s="189">
        <v>601808579.82000005</v>
      </c>
      <c r="Y35" s="189">
        <v>601869887.13</v>
      </c>
      <c r="Z35" s="189">
        <v>605594554.72000003</v>
      </c>
      <c r="AA35" s="189">
        <v>609314133.92999995</v>
      </c>
      <c r="AB35" s="189">
        <v>491162457.67000002</v>
      </c>
      <c r="AC35" s="189">
        <v>492652528.75999999</v>
      </c>
      <c r="AD35" s="189">
        <v>216681538.90000001</v>
      </c>
      <c r="AE35" s="189">
        <v>218332367.28999999</v>
      </c>
      <c r="AF35" s="189">
        <v>220527293.55000001</v>
      </c>
      <c r="AG35" s="189">
        <v>220691549.88999999</v>
      </c>
      <c r="AH35" s="189">
        <v>221835019.72999999</v>
      </c>
      <c r="AI35" s="189">
        <v>221775635.47999999</v>
      </c>
      <c r="AJ35" s="189">
        <v>221506929.28</v>
      </c>
      <c r="AK35" s="189">
        <v>221061656.47</v>
      </c>
      <c r="AL35" s="189">
        <v>232077174.47</v>
      </c>
      <c r="AM35" s="189">
        <v>234162898.03999999</v>
      </c>
      <c r="AN35" s="189">
        <v>234759679.25</v>
      </c>
      <c r="AO35" s="189">
        <v>234717847.37</v>
      </c>
      <c r="AP35" s="189">
        <v>245065738.31999999</v>
      </c>
      <c r="AQ35" s="189">
        <v>246790489.30000001</v>
      </c>
      <c r="AR35" s="189">
        <v>97099333.290000007</v>
      </c>
      <c r="AS35" s="189">
        <v>86788247.439999998</v>
      </c>
      <c r="AT35" s="189">
        <v>90725022.099999994</v>
      </c>
      <c r="AU35" s="189">
        <v>91861265.019999996</v>
      </c>
      <c r="AV35" s="189">
        <v>93092489.939999998</v>
      </c>
      <c r="AW35" s="189">
        <v>109104603.5</v>
      </c>
      <c r="AX35" s="189">
        <v>109546502.73999999</v>
      </c>
      <c r="AY35" s="189">
        <v>110445760.87</v>
      </c>
      <c r="AZ35" s="189">
        <v>111861535.34999999</v>
      </c>
      <c r="BA35" s="189">
        <v>113434852.5</v>
      </c>
      <c r="BB35" s="189">
        <v>114369123.97</v>
      </c>
      <c r="BC35" s="189">
        <v>116038503.78</v>
      </c>
      <c r="BD35" s="189">
        <v>107266398.15000001</v>
      </c>
      <c r="BE35" s="189">
        <v>108878108.98999999</v>
      </c>
      <c r="BF35" s="189">
        <v>303111768.14999998</v>
      </c>
      <c r="BG35" s="189">
        <v>81019013.459999993</v>
      </c>
      <c r="BH35" s="189">
        <v>83060288.870000005</v>
      </c>
      <c r="BI35" s="189">
        <v>83209351.859999999</v>
      </c>
      <c r="BJ35" s="189">
        <v>46223327.810000002</v>
      </c>
      <c r="BK35" s="189">
        <v>43825303.82</v>
      </c>
      <c r="BL35" s="189">
        <v>41301057.960000001</v>
      </c>
      <c r="BM35" s="189">
        <v>36795887.140000001</v>
      </c>
      <c r="BN35" s="189">
        <v>41881621.109999999</v>
      </c>
      <c r="BO35" s="189">
        <v>18715471.859999999</v>
      </c>
      <c r="BP35" s="189">
        <v>18800363.82</v>
      </c>
      <c r="BQ35" s="189">
        <v>18938422.440000001</v>
      </c>
      <c r="BR35" s="189">
        <v>19266149.949999999</v>
      </c>
      <c r="BS35" s="189">
        <v>19490656.920000002</v>
      </c>
      <c r="BT35" s="189">
        <v>19766774.16</v>
      </c>
      <c r="BU35" s="189">
        <v>19136008.600000001</v>
      </c>
      <c r="BV35" s="189">
        <v>23209060.989999998</v>
      </c>
      <c r="BW35" s="189">
        <v>23438672.890000001</v>
      </c>
      <c r="BX35" s="189">
        <v>19766831.789999999</v>
      </c>
      <c r="BY35" s="189">
        <v>19996443.690000001</v>
      </c>
      <c r="BZ35" s="189">
        <v>0</v>
      </c>
      <c r="CA35" s="189">
        <v>19905667</v>
      </c>
      <c r="CB35" s="189">
        <v>0</v>
      </c>
      <c r="CC35" s="189">
        <v>0</v>
      </c>
      <c r="CD35" s="189">
        <v>0</v>
      </c>
    </row>
    <row r="36" spans="1:82"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c r="BX36" s="189">
        <v>0</v>
      </c>
      <c r="BY36" s="189">
        <v>0</v>
      </c>
      <c r="BZ36" s="189">
        <v>0</v>
      </c>
      <c r="CA36" s="189">
        <v>0</v>
      </c>
      <c r="CB36" s="189">
        <v>0</v>
      </c>
      <c r="CC36" s="189">
        <v>0</v>
      </c>
      <c r="CD36" s="189">
        <v>0</v>
      </c>
    </row>
    <row r="37" spans="1:82" x14ac:dyDescent="0.25">
      <c r="A37" s="189" t="s">
        <v>141</v>
      </c>
      <c r="B37" s="189">
        <v>492016.01</v>
      </c>
      <c r="C37" s="189">
        <v>492016.01</v>
      </c>
      <c r="D37" s="189">
        <v>492016.01</v>
      </c>
      <c r="E37" s="189">
        <v>492016.01</v>
      </c>
      <c r="F37" s="189">
        <v>492016.01</v>
      </c>
      <c r="G37" s="189">
        <v>492016.01</v>
      </c>
      <c r="H37" s="189">
        <v>492016.01</v>
      </c>
      <c r="I37" s="189">
        <v>492016.01</v>
      </c>
      <c r="J37" s="189">
        <v>492016.01</v>
      </c>
      <c r="K37" s="189">
        <v>492016.01</v>
      </c>
      <c r="L37" s="189">
        <v>492016.01</v>
      </c>
      <c r="M37" s="189">
        <v>492016.01</v>
      </c>
      <c r="N37" s="189">
        <v>492016.01</v>
      </c>
      <c r="O37" s="189">
        <v>492016.01</v>
      </c>
      <c r="P37" s="189">
        <v>492016.01</v>
      </c>
      <c r="Q37" s="189">
        <v>492016.01</v>
      </c>
      <c r="R37" s="189">
        <v>492016.01</v>
      </c>
      <c r="S37" s="189">
        <v>492016.01</v>
      </c>
      <c r="T37" s="189">
        <v>492016.01</v>
      </c>
      <c r="U37" s="189">
        <v>492016.01</v>
      </c>
      <c r="V37" s="189">
        <v>492016.01</v>
      </c>
      <c r="W37" s="189">
        <v>492016.01</v>
      </c>
      <c r="X37" s="189">
        <v>492016.01</v>
      </c>
      <c r="Y37" s="189">
        <v>492016.01</v>
      </c>
      <c r="Z37" s="189">
        <v>492016.01</v>
      </c>
      <c r="AA37" s="189">
        <v>492016.01</v>
      </c>
      <c r="AB37" s="189">
        <v>492016.01</v>
      </c>
      <c r="AC37" s="189">
        <v>492016.01</v>
      </c>
      <c r="AD37" s="189">
        <v>492016.01</v>
      </c>
      <c r="AE37" s="189">
        <v>492016.01</v>
      </c>
      <c r="AF37" s="189">
        <v>492016.01</v>
      </c>
      <c r="AG37" s="189">
        <v>492016.01</v>
      </c>
      <c r="AH37" s="189">
        <v>492016.01</v>
      </c>
      <c r="AI37" s="189">
        <v>5138272.1900000004</v>
      </c>
      <c r="AJ37" s="189">
        <v>5138272.1900000004</v>
      </c>
      <c r="AK37" s="189">
        <v>5138272.1900000004</v>
      </c>
      <c r="AL37" s="189">
        <v>5138272.1900000004</v>
      </c>
      <c r="AM37" s="189">
        <v>5138272.1900000004</v>
      </c>
      <c r="AN37" s="189">
        <v>5138272.1900000004</v>
      </c>
      <c r="AO37" s="189">
        <v>5138272.1900000004</v>
      </c>
      <c r="AP37" s="189">
        <v>492016.01</v>
      </c>
      <c r="AQ37" s="189">
        <v>492016.01</v>
      </c>
      <c r="AR37" s="189">
        <v>492016.01</v>
      </c>
      <c r="AS37" s="189">
        <v>492016.01</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0</v>
      </c>
      <c r="BS37" s="189">
        <v>0</v>
      </c>
      <c r="BT37" s="189">
        <v>0</v>
      </c>
      <c r="BU37" s="189">
        <v>0</v>
      </c>
      <c r="BV37" s="189">
        <v>0</v>
      </c>
      <c r="BW37" s="189">
        <v>0</v>
      </c>
      <c r="BX37" s="189">
        <v>0</v>
      </c>
      <c r="BY37" s="189">
        <v>0</v>
      </c>
      <c r="BZ37" s="189">
        <v>0</v>
      </c>
      <c r="CA37" s="189">
        <v>0</v>
      </c>
      <c r="CB37" s="189">
        <v>0</v>
      </c>
      <c r="CC37" s="189">
        <v>0</v>
      </c>
      <c r="CD37" s="189">
        <v>0</v>
      </c>
    </row>
    <row r="38" spans="1:82" x14ac:dyDescent="0.25">
      <c r="A38" s="189" t="s">
        <v>142</v>
      </c>
      <c r="B38" s="189">
        <v>7659329.7300000004</v>
      </c>
      <c r="C38" s="189">
        <v>7559072.2300000004</v>
      </c>
      <c r="D38" s="189">
        <v>6627488.71</v>
      </c>
      <c r="E38" s="189">
        <v>11330733.939999999</v>
      </c>
      <c r="F38" s="189">
        <v>4887896.2</v>
      </c>
      <c r="G38" s="189">
        <v>5743141</v>
      </c>
      <c r="H38" s="189">
        <v>6866551.5899999999</v>
      </c>
      <c r="I38" s="189">
        <v>10813365.119999999</v>
      </c>
      <c r="J38" s="189">
        <v>16833070.829999998</v>
      </c>
      <c r="K38" s="189">
        <v>3867616.41</v>
      </c>
      <c r="L38" s="189">
        <v>6139147.54</v>
      </c>
      <c r="M38" s="189">
        <v>10293211.25</v>
      </c>
      <c r="N38" s="189">
        <v>14591787.17</v>
      </c>
      <c r="O38" s="189">
        <v>6414616.1500000004</v>
      </c>
      <c r="P38" s="189">
        <v>7459348.5700000003</v>
      </c>
      <c r="Q38" s="189">
        <v>11619596.970000001</v>
      </c>
      <c r="R38" s="189">
        <v>16327737.82</v>
      </c>
      <c r="S38" s="189">
        <v>0</v>
      </c>
      <c r="T38" s="189">
        <v>0</v>
      </c>
      <c r="U38" s="189">
        <v>0</v>
      </c>
      <c r="V38" s="189">
        <v>0</v>
      </c>
      <c r="W38" s="189">
        <v>0</v>
      </c>
      <c r="X38" s="189">
        <v>0</v>
      </c>
      <c r="Y38" s="189">
        <v>15272.29</v>
      </c>
      <c r="Z38" s="189">
        <v>99642599.930000007</v>
      </c>
      <c r="AA38" s="189">
        <v>118065052.09999999</v>
      </c>
      <c r="AB38" s="189">
        <v>61088.95</v>
      </c>
      <c r="AC38" s="189">
        <v>76361.17</v>
      </c>
      <c r="AD38" s="189">
        <v>91633.39</v>
      </c>
      <c r="AE38" s="189">
        <v>106905.61</v>
      </c>
      <c r="AF38" s="189">
        <v>122177.83</v>
      </c>
      <c r="AG38" s="189">
        <v>137450.04999999999</v>
      </c>
      <c r="AH38" s="189">
        <v>186055.59</v>
      </c>
      <c r="AI38" s="189">
        <v>167994.49</v>
      </c>
      <c r="AJ38" s="189">
        <v>183266.71</v>
      </c>
      <c r="AK38" s="189">
        <v>198538.93</v>
      </c>
      <c r="AL38" s="189">
        <v>1256294.93</v>
      </c>
      <c r="AM38" s="189">
        <v>2314050.83</v>
      </c>
      <c r="AN38" s="189">
        <v>3371806.73</v>
      </c>
      <c r="AO38" s="189">
        <v>4429562.63</v>
      </c>
      <c r="AP38" s="189">
        <v>5487318.5300000003</v>
      </c>
      <c r="AQ38" s="189">
        <v>6545074.4299999997</v>
      </c>
      <c r="AR38" s="189">
        <v>7297385.8600000003</v>
      </c>
      <c r="AS38" s="189">
        <v>8339869.54</v>
      </c>
      <c r="AT38" s="189">
        <v>0</v>
      </c>
      <c r="AU38" s="189">
        <v>0</v>
      </c>
      <c r="AV38" s="189">
        <v>0</v>
      </c>
      <c r="AW38" s="189">
        <v>0</v>
      </c>
      <c r="AX38" s="189">
        <v>0</v>
      </c>
      <c r="AY38" s="189">
        <v>0</v>
      </c>
      <c r="AZ38" s="189">
        <v>6666.67</v>
      </c>
      <c r="BA38" s="189">
        <v>26666.67</v>
      </c>
      <c r="BB38" s="189">
        <v>46666.67</v>
      </c>
      <c r="BC38" s="189">
        <v>66666.67</v>
      </c>
      <c r="BD38" s="189">
        <v>132377.96</v>
      </c>
      <c r="BE38" s="189">
        <v>106666.67</v>
      </c>
      <c r="BF38" s="189">
        <v>387900.95</v>
      </c>
      <c r="BG38" s="189">
        <v>146666.67000000001</v>
      </c>
      <c r="BH38" s="189">
        <v>365106.25</v>
      </c>
      <c r="BI38" s="189">
        <v>186666.67</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0</v>
      </c>
      <c r="CA38" s="189">
        <v>0</v>
      </c>
      <c r="CB38" s="189">
        <v>0</v>
      </c>
      <c r="CC38" s="189">
        <v>0</v>
      </c>
      <c r="CD38" s="189">
        <v>0</v>
      </c>
    </row>
    <row r="39" spans="1:82" x14ac:dyDescent="0.25">
      <c r="A39" s="189" t="s">
        <v>143</v>
      </c>
      <c r="B39" s="189">
        <v>770666647.99000001</v>
      </c>
      <c r="C39" s="189">
        <v>771961152.05999994</v>
      </c>
      <c r="D39" s="189">
        <v>816672353.38999999</v>
      </c>
      <c r="E39" s="189">
        <v>881373579.84000003</v>
      </c>
      <c r="F39" s="189">
        <v>742769653.92999995</v>
      </c>
      <c r="G39" s="189">
        <v>693975073.40999997</v>
      </c>
      <c r="H39" s="189">
        <v>702163381.97000003</v>
      </c>
      <c r="I39" s="189">
        <v>774873740.40999997</v>
      </c>
      <c r="J39" s="189">
        <v>600360961.71000004</v>
      </c>
      <c r="K39" s="189">
        <v>558304581.62</v>
      </c>
      <c r="L39" s="189">
        <v>516924867.88999999</v>
      </c>
      <c r="M39" s="189">
        <v>561211940.52999997</v>
      </c>
      <c r="N39" s="189">
        <v>446370315.63</v>
      </c>
      <c r="O39" s="189">
        <v>409840455.85000002</v>
      </c>
      <c r="P39" s="189">
        <v>369332515.29000002</v>
      </c>
      <c r="Q39" s="189">
        <v>407317878.10000002</v>
      </c>
      <c r="R39" s="189">
        <v>283383870.60000002</v>
      </c>
      <c r="S39" s="189">
        <v>265515639.91</v>
      </c>
      <c r="T39" s="189">
        <v>257617999.03999999</v>
      </c>
      <c r="U39" s="189">
        <v>275474424.37</v>
      </c>
      <c r="V39" s="189">
        <v>274194165.63</v>
      </c>
      <c r="W39" s="189">
        <v>284300000.62</v>
      </c>
      <c r="X39" s="189">
        <v>243050768.40000001</v>
      </c>
      <c r="Y39" s="189">
        <v>245400355.56</v>
      </c>
      <c r="Z39" s="189">
        <v>192474124.56999999</v>
      </c>
      <c r="AA39" s="189">
        <v>180837345.49000001</v>
      </c>
      <c r="AB39" s="189">
        <v>166258830.34</v>
      </c>
      <c r="AC39" s="189">
        <v>174238524.65000001</v>
      </c>
      <c r="AD39" s="189">
        <v>149353073.28</v>
      </c>
      <c r="AE39" s="189">
        <v>136617694.15000001</v>
      </c>
      <c r="AF39" s="189">
        <v>127197234.78</v>
      </c>
      <c r="AG39" s="189">
        <v>133618665.83</v>
      </c>
      <c r="AH39" s="189">
        <v>116761948.73999999</v>
      </c>
      <c r="AI39" s="189">
        <v>109330214.59999999</v>
      </c>
      <c r="AJ39" s="189">
        <v>103366249.95999999</v>
      </c>
      <c r="AK39" s="189">
        <v>102989758.17</v>
      </c>
      <c r="AL39" s="189">
        <v>82247314.739999995</v>
      </c>
      <c r="AM39" s="189">
        <v>82247314.739999995</v>
      </c>
      <c r="AN39" s="189">
        <v>75827777.659999996</v>
      </c>
      <c r="AO39" s="189">
        <v>88125889.859999999</v>
      </c>
      <c r="AP39" s="189">
        <v>113559684.06999999</v>
      </c>
      <c r="AQ39" s="189">
        <v>82046557.930000007</v>
      </c>
      <c r="AR39" s="189">
        <v>78565942.659999996</v>
      </c>
      <c r="AS39" s="189">
        <v>89698838.730000004</v>
      </c>
      <c r="AT39" s="189">
        <v>92569396.849999994</v>
      </c>
      <c r="AU39" s="189">
        <v>100437992.8</v>
      </c>
      <c r="AV39" s="189">
        <v>85485125.099999994</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c r="BQ39" s="189">
        <v>0</v>
      </c>
      <c r="BR39" s="189">
        <v>0</v>
      </c>
      <c r="BS39" s="189">
        <v>0</v>
      </c>
      <c r="BT39" s="189">
        <v>0</v>
      </c>
      <c r="BU39" s="189">
        <v>0</v>
      </c>
      <c r="BV39" s="189">
        <v>0</v>
      </c>
      <c r="BW39" s="189">
        <v>0</v>
      </c>
      <c r="BX39" s="189">
        <v>0</v>
      </c>
      <c r="BY39" s="189">
        <v>0</v>
      </c>
      <c r="BZ39" s="189">
        <v>0</v>
      </c>
      <c r="CA39" s="189">
        <v>0</v>
      </c>
      <c r="CB39" s="189">
        <v>0</v>
      </c>
      <c r="CC39" s="189">
        <v>0</v>
      </c>
      <c r="CD39" s="189">
        <v>0</v>
      </c>
    </row>
    <row r="40" spans="1:82" x14ac:dyDescent="0.25">
      <c r="A40" s="189" t="s">
        <v>144</v>
      </c>
      <c r="B40" s="189">
        <v>67673677.930000007</v>
      </c>
      <c r="C40" s="189">
        <v>52065530.840000004</v>
      </c>
      <c r="D40" s="189">
        <v>64026628.759999998</v>
      </c>
      <c r="E40" s="189">
        <v>137403898.44999999</v>
      </c>
      <c r="F40" s="189">
        <v>42892914.469999999</v>
      </c>
      <c r="G40" s="189">
        <v>40070528.600000001</v>
      </c>
      <c r="H40" s="189">
        <v>62600602.950000003</v>
      </c>
      <c r="I40" s="189">
        <v>40296759.380000003</v>
      </c>
      <c r="J40" s="189">
        <v>65040704.57</v>
      </c>
      <c r="K40" s="189">
        <v>81825979.409999996</v>
      </c>
      <c r="L40" s="189">
        <v>73836418.340000004</v>
      </c>
      <c r="M40" s="189">
        <v>85187287.260000005</v>
      </c>
      <c r="N40" s="189">
        <v>167406302.66</v>
      </c>
      <c r="O40" s="189">
        <v>171968496.52000001</v>
      </c>
      <c r="P40" s="189">
        <v>275345651.13999999</v>
      </c>
      <c r="Q40" s="189">
        <v>505815865.48000002</v>
      </c>
      <c r="R40" s="189">
        <v>27535189.210000001</v>
      </c>
      <c r="S40" s="189">
        <v>7463141.1600000001</v>
      </c>
      <c r="T40" s="189">
        <v>8636810.2200000007</v>
      </c>
      <c r="U40" s="189">
        <v>9800000</v>
      </c>
      <c r="V40" s="189">
        <v>0</v>
      </c>
      <c r="W40" s="189">
        <v>0</v>
      </c>
      <c r="X40" s="189">
        <v>0</v>
      </c>
      <c r="Y40" s="189">
        <v>0</v>
      </c>
      <c r="Z40" s="189">
        <v>0</v>
      </c>
      <c r="AA40" s="189">
        <v>0</v>
      </c>
      <c r="AB40" s="189">
        <v>0</v>
      </c>
      <c r="AC40" s="189">
        <v>0</v>
      </c>
      <c r="AD40" s="189">
        <v>0</v>
      </c>
      <c r="AE40" s="189">
        <v>46174262.869999997</v>
      </c>
      <c r="AF40" s="189">
        <v>46174262.869999997</v>
      </c>
      <c r="AG40" s="189">
        <v>46174262.869999997</v>
      </c>
      <c r="AH40" s="189">
        <v>57217928.490000002</v>
      </c>
      <c r="AI40" s="189">
        <v>57217928.490000002</v>
      </c>
      <c r="AJ40" s="189">
        <v>57217928.490000002</v>
      </c>
      <c r="AK40" s="189">
        <v>57217928.490000002</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c r="BW40" s="189">
        <v>0</v>
      </c>
      <c r="BX40" s="189">
        <v>0</v>
      </c>
      <c r="BY40" s="189">
        <v>0</v>
      </c>
      <c r="BZ40" s="189">
        <v>0</v>
      </c>
      <c r="CA40" s="189">
        <v>0</v>
      </c>
      <c r="CB40" s="189">
        <v>0</v>
      </c>
      <c r="CC40" s="189">
        <v>0</v>
      </c>
      <c r="CD40" s="189">
        <v>0</v>
      </c>
    </row>
    <row r="41" spans="1:82" x14ac:dyDescent="0.25">
      <c r="A41" s="189" t="s">
        <v>145</v>
      </c>
      <c r="B41" s="189">
        <v>8877953510.0100002</v>
      </c>
      <c r="C41" s="189">
        <v>8767739582.6800003</v>
      </c>
      <c r="D41" s="189">
        <v>8653010342.3799992</v>
      </c>
      <c r="E41" s="189">
        <v>8734161830.0200005</v>
      </c>
      <c r="F41" s="189">
        <v>8319076996.6700001</v>
      </c>
      <c r="G41" s="189">
        <v>8012539065.2799997</v>
      </c>
      <c r="H41" s="189">
        <v>8035339272.1599998</v>
      </c>
      <c r="I41" s="189">
        <v>8242750227.6400003</v>
      </c>
      <c r="J41" s="189">
        <v>7976656436.6300001</v>
      </c>
      <c r="K41" s="189">
        <v>7552586587.29</v>
      </c>
      <c r="L41" s="189">
        <v>7548677653.3599997</v>
      </c>
      <c r="M41" s="189">
        <v>7156027041.5200005</v>
      </c>
      <c r="N41" s="189">
        <v>7005367264.8999996</v>
      </c>
      <c r="O41" s="189">
        <v>7110410263.5500002</v>
      </c>
      <c r="P41" s="189">
        <v>6886618962.1999998</v>
      </c>
      <c r="Q41" s="189">
        <v>6600010802.54</v>
      </c>
      <c r="R41" s="189">
        <v>4491780110.9899998</v>
      </c>
      <c r="S41" s="189">
        <v>4418259253.1499996</v>
      </c>
      <c r="T41" s="189">
        <v>4449663468.3999996</v>
      </c>
      <c r="U41" s="189">
        <v>4444555444.1700001</v>
      </c>
      <c r="V41" s="189">
        <v>4316608649.79</v>
      </c>
      <c r="W41" s="189">
        <v>4311850097.3999996</v>
      </c>
      <c r="X41" s="189">
        <v>4315329762.2700005</v>
      </c>
      <c r="Y41" s="189">
        <v>4262682063.0300002</v>
      </c>
      <c r="Z41" s="189">
        <v>3483554623.6799998</v>
      </c>
      <c r="AA41" s="189">
        <v>3002622428.7199998</v>
      </c>
      <c r="AB41" s="189">
        <v>2587840765.0799999</v>
      </c>
      <c r="AC41" s="189">
        <v>2381377861.7399998</v>
      </c>
      <c r="AD41" s="189">
        <v>2380014599.0500002</v>
      </c>
      <c r="AE41" s="189">
        <v>2443058120.73</v>
      </c>
      <c r="AF41" s="189">
        <v>2084749610.9100001</v>
      </c>
      <c r="AG41" s="189">
        <v>2169255475.8699999</v>
      </c>
      <c r="AH41" s="189">
        <v>2116541919.9100001</v>
      </c>
      <c r="AI41" s="189">
        <v>2041118458.95</v>
      </c>
      <c r="AJ41" s="189">
        <v>2042435666.55</v>
      </c>
      <c r="AK41" s="189">
        <v>2112255339.3199999</v>
      </c>
      <c r="AL41" s="189">
        <v>2047528349.1099999</v>
      </c>
      <c r="AM41" s="189">
        <v>2051268237.96</v>
      </c>
      <c r="AN41" s="189">
        <v>1930171252.52</v>
      </c>
      <c r="AO41" s="189">
        <v>1789189122.3499999</v>
      </c>
      <c r="AP41" s="189">
        <v>1932749580.5699999</v>
      </c>
      <c r="AQ41" s="189">
        <v>2252667042.7600002</v>
      </c>
      <c r="AR41" s="189">
        <v>2416219795.8099999</v>
      </c>
      <c r="AS41" s="189">
        <v>3534290707.7600002</v>
      </c>
      <c r="AT41" s="189">
        <v>3088750199.48</v>
      </c>
      <c r="AU41" s="189">
        <v>1908765644.9300001</v>
      </c>
      <c r="AV41" s="189">
        <v>1665717005.3900001</v>
      </c>
      <c r="AW41" s="189">
        <v>805300730.88</v>
      </c>
      <c r="AX41" s="189">
        <v>710406952.39999998</v>
      </c>
      <c r="AY41" s="189">
        <v>647769711.63</v>
      </c>
      <c r="AZ41" s="189">
        <v>675188697.10000002</v>
      </c>
      <c r="BA41" s="189">
        <v>693673647.03999996</v>
      </c>
      <c r="BB41" s="189">
        <v>690073634.83000004</v>
      </c>
      <c r="BC41" s="189">
        <v>694155097.74000001</v>
      </c>
      <c r="BD41" s="189">
        <v>705234866.22000003</v>
      </c>
      <c r="BE41" s="189">
        <v>718934556.61000001</v>
      </c>
      <c r="BF41" s="189">
        <v>947999790.52999997</v>
      </c>
      <c r="BG41" s="189">
        <v>666734074.49000001</v>
      </c>
      <c r="BH41" s="189">
        <v>668886652.38</v>
      </c>
      <c r="BI41" s="189">
        <v>648934060.50999999</v>
      </c>
      <c r="BJ41" s="189">
        <v>586788583.52999997</v>
      </c>
      <c r="BK41" s="189">
        <v>527162431.58999997</v>
      </c>
      <c r="BL41" s="189">
        <v>491198139.67000002</v>
      </c>
      <c r="BM41" s="189">
        <v>480690968.44</v>
      </c>
      <c r="BN41" s="189">
        <v>481614848.12</v>
      </c>
      <c r="BO41" s="189">
        <v>446110351.63</v>
      </c>
      <c r="BP41" s="189">
        <v>453054515.08999997</v>
      </c>
      <c r="BQ41" s="189">
        <v>455098667.62</v>
      </c>
      <c r="BR41" s="189">
        <v>464710074.57999998</v>
      </c>
      <c r="BS41" s="189">
        <v>459157614.05000001</v>
      </c>
      <c r="BT41" s="189">
        <v>495937988.20999998</v>
      </c>
      <c r="BU41" s="189">
        <v>489304211.29000002</v>
      </c>
      <c r="BV41" s="189">
        <v>511322070.01999998</v>
      </c>
      <c r="BW41" s="189">
        <v>484293726.17000002</v>
      </c>
      <c r="BX41" s="189">
        <v>409486285.86000001</v>
      </c>
      <c r="BY41" s="189">
        <v>306535465.43000001</v>
      </c>
      <c r="BZ41" s="189">
        <v>179518990.44</v>
      </c>
      <c r="CA41" s="189">
        <v>91817675</v>
      </c>
      <c r="CB41" s="189">
        <v>53943217</v>
      </c>
      <c r="CC41" s="189">
        <v>46561420</v>
      </c>
      <c r="CD41" s="189">
        <v>0</v>
      </c>
    </row>
    <row r="42" spans="1:82" x14ac:dyDescent="0.25">
      <c r="A42" s="189" t="s">
        <v>146</v>
      </c>
      <c r="B42" s="189">
        <v>37241934516.510002</v>
      </c>
      <c r="C42" s="189">
        <v>36261129054.589996</v>
      </c>
      <c r="D42" s="189">
        <v>35580408047.290001</v>
      </c>
      <c r="E42" s="189">
        <v>36165405805.400002</v>
      </c>
      <c r="F42" s="189">
        <v>31253640253.529999</v>
      </c>
      <c r="G42" s="189">
        <v>30566741897.07</v>
      </c>
      <c r="H42" s="189">
        <v>29387665135.060001</v>
      </c>
      <c r="I42" s="189">
        <v>35153796066</v>
      </c>
      <c r="J42" s="189">
        <v>27889471820.889999</v>
      </c>
      <c r="K42" s="189">
        <v>25585880015.700001</v>
      </c>
      <c r="L42" s="189">
        <v>27421880973.32</v>
      </c>
      <c r="M42" s="189">
        <v>30139131311.580002</v>
      </c>
      <c r="N42" s="189">
        <v>25531482048.169998</v>
      </c>
      <c r="O42" s="189">
        <v>22781629733.66</v>
      </c>
      <c r="P42" s="189">
        <v>22377253444.740002</v>
      </c>
      <c r="Q42" s="189">
        <v>23823499801.16</v>
      </c>
      <c r="R42" s="189">
        <v>18374423274.68</v>
      </c>
      <c r="S42" s="189">
        <v>16264771202.379999</v>
      </c>
      <c r="T42" s="189">
        <v>16603416487.969999</v>
      </c>
      <c r="U42" s="189">
        <v>16197573484.1</v>
      </c>
      <c r="V42" s="189">
        <v>15905330731.940001</v>
      </c>
      <c r="W42" s="189">
        <v>15242342241.43</v>
      </c>
      <c r="X42" s="189">
        <v>14167255220.42</v>
      </c>
      <c r="Y42" s="189">
        <v>14279110141.059999</v>
      </c>
      <c r="Z42" s="189">
        <v>13150879415.02</v>
      </c>
      <c r="AA42" s="189">
        <v>12332565901.959999</v>
      </c>
      <c r="AB42" s="189">
        <v>11128576136.83</v>
      </c>
      <c r="AC42" s="189">
        <v>7860071148.1599998</v>
      </c>
      <c r="AD42" s="189">
        <v>7870796379.3900003</v>
      </c>
      <c r="AE42" s="189">
        <v>6845962086.5699997</v>
      </c>
      <c r="AF42" s="189">
        <v>6646876255.9700003</v>
      </c>
      <c r="AG42" s="189">
        <v>6797037971.9700003</v>
      </c>
      <c r="AH42" s="189">
        <v>7825018226.6499996</v>
      </c>
      <c r="AI42" s="189">
        <v>5905984800.5200005</v>
      </c>
      <c r="AJ42" s="189">
        <v>5421124866.1599998</v>
      </c>
      <c r="AK42" s="189">
        <v>5507371160.96</v>
      </c>
      <c r="AL42" s="189">
        <v>5783267762.5</v>
      </c>
      <c r="AM42" s="189">
        <v>4990158019.1899996</v>
      </c>
      <c r="AN42" s="189">
        <v>4582411927.1199999</v>
      </c>
      <c r="AO42" s="189">
        <v>4684674816</v>
      </c>
      <c r="AP42" s="189">
        <v>4582788016.0900002</v>
      </c>
      <c r="AQ42" s="189">
        <v>4762648008.25</v>
      </c>
      <c r="AR42" s="189">
        <v>5976403885.6999998</v>
      </c>
      <c r="AS42" s="189">
        <v>7895887687.3599997</v>
      </c>
      <c r="AT42" s="189">
        <v>7048938831.5600004</v>
      </c>
      <c r="AU42" s="189">
        <v>4896771988.9200001</v>
      </c>
      <c r="AV42" s="189">
        <v>4271678002.2600002</v>
      </c>
      <c r="AW42" s="189">
        <v>3600060856.48</v>
      </c>
      <c r="AX42" s="189">
        <v>3085424856.48</v>
      </c>
      <c r="AY42" s="189">
        <v>2768172337.52</v>
      </c>
      <c r="AZ42" s="189">
        <v>2795152888.4299998</v>
      </c>
      <c r="BA42" s="189">
        <v>2787495916.4899998</v>
      </c>
      <c r="BB42" s="189">
        <v>2705608309.6100001</v>
      </c>
      <c r="BC42" s="189">
        <v>2298566395.79</v>
      </c>
      <c r="BD42" s="189">
        <v>2262233331.1300001</v>
      </c>
      <c r="BE42" s="189">
        <v>2600492151.1500001</v>
      </c>
      <c r="BF42" s="189">
        <v>2374315960.4400001</v>
      </c>
      <c r="BG42" s="189">
        <v>2035407867.3800001</v>
      </c>
      <c r="BH42" s="189">
        <v>2113820963.49</v>
      </c>
      <c r="BI42" s="189">
        <v>2334905595.3699999</v>
      </c>
      <c r="BJ42" s="189">
        <v>1859477878.76</v>
      </c>
      <c r="BK42" s="189">
        <v>1691199307.3199999</v>
      </c>
      <c r="BL42" s="189">
        <v>1672889543.99</v>
      </c>
      <c r="BM42" s="189">
        <v>1733279423.03</v>
      </c>
      <c r="BN42" s="189">
        <v>1721164744.73</v>
      </c>
      <c r="BO42" s="189">
        <v>1582895511.27</v>
      </c>
      <c r="BP42" s="189">
        <v>1426309213.9000001</v>
      </c>
      <c r="BQ42" s="189">
        <v>1403971748.22</v>
      </c>
      <c r="BR42" s="189">
        <v>1439339852.6300001</v>
      </c>
      <c r="BS42" s="189">
        <v>1407173303.3099999</v>
      </c>
      <c r="BT42" s="189">
        <v>987026027.60000002</v>
      </c>
      <c r="BU42" s="189">
        <v>988338429.71000004</v>
      </c>
      <c r="BV42" s="189">
        <v>950310994.88999999</v>
      </c>
      <c r="BW42" s="189">
        <v>951914105.35000002</v>
      </c>
      <c r="BX42" s="189">
        <v>705359491.95000005</v>
      </c>
      <c r="BY42" s="189">
        <v>651627615.25</v>
      </c>
      <c r="BZ42" s="189">
        <v>613368243.42999995</v>
      </c>
      <c r="CA42" s="189">
        <v>241018092</v>
      </c>
      <c r="CB42" s="189">
        <v>148294423</v>
      </c>
      <c r="CC42" s="189">
        <v>116178113</v>
      </c>
      <c r="CD42" s="189">
        <v>0</v>
      </c>
    </row>
    <row r="43" spans="1:82" x14ac:dyDescent="0.25">
      <c r="A43" s="189" t="s">
        <v>147</v>
      </c>
    </row>
    <row r="44" spans="1:82" x14ac:dyDescent="0.25">
      <c r="A44" s="189" t="s">
        <v>148</v>
      </c>
      <c r="B44" s="189">
        <v>4322499999.9899998</v>
      </c>
      <c r="C44" s="189">
        <v>2435500000</v>
      </c>
      <c r="D44" s="189">
        <v>1550543200</v>
      </c>
      <c r="E44" s="189">
        <v>770145800</v>
      </c>
      <c r="F44" s="189">
        <v>2124603237.49</v>
      </c>
      <c r="G44" s="189">
        <v>3413681737.4899998</v>
      </c>
      <c r="H44" s="189">
        <v>0</v>
      </c>
      <c r="I44" s="189">
        <v>0</v>
      </c>
      <c r="J44" s="189">
        <v>0</v>
      </c>
      <c r="K44" s="189">
        <v>0</v>
      </c>
      <c r="L44" s="189">
        <v>0</v>
      </c>
      <c r="M44" s="189">
        <v>0</v>
      </c>
      <c r="N44" s="189">
        <v>0</v>
      </c>
      <c r="O44" s="189">
        <v>0</v>
      </c>
      <c r="P44" s="189">
        <v>0</v>
      </c>
      <c r="Q44" s="189">
        <v>0</v>
      </c>
      <c r="R44" s="189">
        <v>0</v>
      </c>
      <c r="S44" s="189">
        <v>0</v>
      </c>
      <c r="T44" s="189">
        <v>160000000</v>
      </c>
      <c r="U44" s="189">
        <v>160408133.55000001</v>
      </c>
      <c r="V44" s="189">
        <v>203894825.11000001</v>
      </c>
      <c r="W44" s="189">
        <v>320317507.12</v>
      </c>
      <c r="X44" s="189">
        <v>167345561.97999999</v>
      </c>
      <c r="Y44" s="189">
        <v>204443779.31999999</v>
      </c>
      <c r="Z44" s="189">
        <v>220387359.16999999</v>
      </c>
      <c r="AA44" s="189">
        <v>214789053.18000001</v>
      </c>
      <c r="AB44" s="189">
        <v>206109239.53999999</v>
      </c>
      <c r="AC44" s="189">
        <v>9969300.9299999997</v>
      </c>
      <c r="AD44" s="189">
        <v>0</v>
      </c>
      <c r="AE44" s="189">
        <v>0</v>
      </c>
      <c r="AF44" s="189">
        <v>0</v>
      </c>
      <c r="AG44" s="189">
        <v>0</v>
      </c>
      <c r="AH44" s="189">
        <v>0</v>
      </c>
      <c r="AI44" s="189">
        <v>0</v>
      </c>
      <c r="AJ44" s="189">
        <v>0</v>
      </c>
      <c r="AK44" s="189">
        <v>0</v>
      </c>
      <c r="AL44" s="189">
        <v>0</v>
      </c>
      <c r="AM44" s="189">
        <v>0</v>
      </c>
      <c r="AN44" s="189">
        <v>200000000</v>
      </c>
      <c r="AO44" s="189">
        <v>0</v>
      </c>
      <c r="AP44" s="189">
        <v>0</v>
      </c>
      <c r="AQ44" s="189">
        <v>0</v>
      </c>
      <c r="AR44" s="189">
        <v>954000000</v>
      </c>
      <c r="AS44" s="189">
        <v>726012000</v>
      </c>
      <c r="AT44" s="189">
        <v>987777200</v>
      </c>
      <c r="AU44" s="189">
        <v>260000000</v>
      </c>
      <c r="AV44" s="189">
        <v>270000000</v>
      </c>
      <c r="AW44" s="189">
        <v>0</v>
      </c>
      <c r="AX44" s="189">
        <v>0</v>
      </c>
      <c r="AY44" s="189">
        <v>0</v>
      </c>
      <c r="AZ44" s="189">
        <v>0</v>
      </c>
      <c r="BA44" s="189">
        <v>0</v>
      </c>
      <c r="BB44" s="189">
        <v>0</v>
      </c>
      <c r="BC44" s="189">
        <v>0</v>
      </c>
      <c r="BD44" s="189">
        <v>0</v>
      </c>
      <c r="BE44" s="189">
        <v>47500000</v>
      </c>
      <c r="BF44" s="189">
        <v>95500000</v>
      </c>
      <c r="BG44" s="189">
        <v>132500000</v>
      </c>
      <c r="BH44" s="189">
        <v>80894100</v>
      </c>
      <c r="BI44" s="189">
        <v>140219495</v>
      </c>
      <c r="BJ44" s="189">
        <v>70000000</v>
      </c>
      <c r="BK44" s="189">
        <v>80000000</v>
      </c>
      <c r="BL44" s="189">
        <v>50000000</v>
      </c>
      <c r="BM44" s="189">
        <v>20000000</v>
      </c>
      <c r="BN44" s="189">
        <v>94000000</v>
      </c>
      <c r="BO44" s="189">
        <v>99000000</v>
      </c>
      <c r="BP44" s="189">
        <v>74000000</v>
      </c>
      <c r="BQ44" s="189">
        <v>65500000</v>
      </c>
      <c r="BR44" s="189">
        <v>55500000</v>
      </c>
      <c r="BS44" s="189">
        <v>30000000</v>
      </c>
      <c r="BT44" s="189">
        <v>53000000</v>
      </c>
      <c r="BU44" s="189">
        <v>37000000</v>
      </c>
      <c r="BV44" s="189">
        <v>87000000</v>
      </c>
      <c r="BW44" s="189">
        <v>63500000</v>
      </c>
      <c r="BX44" s="189">
        <v>140500000</v>
      </c>
      <c r="BY44" s="189">
        <v>68500000</v>
      </c>
      <c r="BZ44" s="189">
        <v>0</v>
      </c>
      <c r="CA44" s="189">
        <v>77250000</v>
      </c>
      <c r="CB44" s="189">
        <v>48553000</v>
      </c>
      <c r="CC44" s="189">
        <v>39360000</v>
      </c>
      <c r="CD44" s="189">
        <v>0</v>
      </c>
    </row>
    <row r="45" spans="1:82" x14ac:dyDescent="0.25">
      <c r="A45" s="189" t="s">
        <v>149</v>
      </c>
      <c r="B45" s="189">
        <v>0</v>
      </c>
      <c r="C45" s="189">
        <v>0</v>
      </c>
      <c r="D45" s="189">
        <v>0</v>
      </c>
      <c r="E45" s="189">
        <v>0</v>
      </c>
      <c r="F45" s="189">
        <v>0</v>
      </c>
      <c r="G45" s="189">
        <v>0</v>
      </c>
      <c r="H45" s="189">
        <v>0</v>
      </c>
      <c r="I45" s="189">
        <v>0</v>
      </c>
      <c r="J45" s="189">
        <v>1576994.12</v>
      </c>
      <c r="K45" s="189">
        <v>0</v>
      </c>
      <c r="L45" s="189">
        <v>10140041.73</v>
      </c>
      <c r="M45" s="189">
        <v>6377316.4500000002</v>
      </c>
      <c r="N45" s="189">
        <v>0</v>
      </c>
      <c r="O45" s="189">
        <v>0</v>
      </c>
      <c r="P45" s="189">
        <v>0</v>
      </c>
      <c r="Q45" s="189">
        <v>0</v>
      </c>
      <c r="R45" s="189">
        <v>0</v>
      </c>
      <c r="S45" s="189">
        <v>0</v>
      </c>
      <c r="T45" s="189">
        <v>0</v>
      </c>
      <c r="U45" s="189">
        <v>0</v>
      </c>
      <c r="V45" s="189">
        <v>0</v>
      </c>
      <c r="W45" s="189">
        <v>0</v>
      </c>
      <c r="X45" s="189">
        <v>2302553.27</v>
      </c>
      <c r="Y45" s="189">
        <v>1860661.04</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row>
    <row r="46" spans="1:82" x14ac:dyDescent="0.25">
      <c r="A46" s="189" t="s">
        <v>150</v>
      </c>
      <c r="B46" s="189">
        <v>0</v>
      </c>
      <c r="C46" s="189">
        <v>5453486375.3199997</v>
      </c>
      <c r="D46" s="189">
        <v>6056971399.3699999</v>
      </c>
      <c r="E46" s="189">
        <v>5887779501.4399996</v>
      </c>
      <c r="F46" s="189">
        <v>3393254912.4000001</v>
      </c>
      <c r="G46" s="189">
        <v>4080494984.1500001</v>
      </c>
      <c r="H46" s="189">
        <v>5529892685.9099998</v>
      </c>
      <c r="I46" s="189">
        <v>5389634002.2299995</v>
      </c>
      <c r="J46" s="189">
        <v>4098202384.0500002</v>
      </c>
      <c r="K46" s="189">
        <v>3970199227.6399999</v>
      </c>
      <c r="L46" s="189">
        <v>4621122908.2299995</v>
      </c>
      <c r="M46" s="189">
        <v>4322966337.25</v>
      </c>
      <c r="N46" s="189">
        <v>3297135314.4099998</v>
      </c>
      <c r="O46" s="189">
        <v>2924935716.5999999</v>
      </c>
      <c r="P46" s="189">
        <v>2544250053.9000001</v>
      </c>
      <c r="Q46" s="189">
        <v>2747011515.4200001</v>
      </c>
      <c r="R46" s="189">
        <v>1876016802.73</v>
      </c>
      <c r="S46" s="189">
        <v>1698273959.4100001</v>
      </c>
      <c r="T46" s="189">
        <v>1624155878.1800001</v>
      </c>
      <c r="U46" s="189">
        <v>1309857941.54</v>
      </c>
      <c r="V46" s="189">
        <v>1979538270.6099999</v>
      </c>
      <c r="W46" s="189">
        <v>1412870972.28</v>
      </c>
      <c r="X46" s="189">
        <v>896245316.58000004</v>
      </c>
      <c r="Y46" s="189">
        <v>555254450.63</v>
      </c>
      <c r="Z46" s="189">
        <v>994819144.25999999</v>
      </c>
      <c r="AA46" s="189">
        <v>863106739.87</v>
      </c>
      <c r="AB46" s="189">
        <v>451626412.81999999</v>
      </c>
      <c r="AC46" s="189">
        <v>818479957.38999999</v>
      </c>
      <c r="AD46" s="189">
        <v>726743755.04999995</v>
      </c>
      <c r="AE46" s="189">
        <v>440064451.33999997</v>
      </c>
      <c r="AF46" s="189">
        <v>917731902.87</v>
      </c>
      <c r="AG46" s="189">
        <v>1793214578.49</v>
      </c>
      <c r="AH46" s="189">
        <v>2128322196.5999999</v>
      </c>
      <c r="AI46" s="189">
        <v>1091933095.6900001</v>
      </c>
      <c r="AJ46" s="189">
        <v>646226126.76999998</v>
      </c>
      <c r="AK46" s="189">
        <v>1336893193.5899999</v>
      </c>
      <c r="AL46" s="189">
        <v>1302827142.3099999</v>
      </c>
      <c r="AM46" s="189">
        <v>942569059.26999998</v>
      </c>
      <c r="AN46" s="189">
        <v>1022073657.09</v>
      </c>
      <c r="AO46" s="189">
        <v>1189371190.28</v>
      </c>
      <c r="AP46" s="189">
        <v>1384860795.1400001</v>
      </c>
      <c r="AQ46" s="189">
        <v>1009369560.55</v>
      </c>
      <c r="AR46" s="189">
        <v>1059042114.48</v>
      </c>
      <c r="AS46" s="189">
        <v>1236679910.1300001</v>
      </c>
      <c r="AT46" s="189">
        <v>995084912.48000002</v>
      </c>
      <c r="AU46" s="189">
        <v>870468369.12</v>
      </c>
      <c r="AV46" s="189">
        <v>716357479.80999994</v>
      </c>
      <c r="AW46" s="189">
        <v>717905328.24000001</v>
      </c>
      <c r="AX46" s="189">
        <v>602687243.08000004</v>
      </c>
      <c r="AY46" s="189">
        <v>453163444.70999998</v>
      </c>
      <c r="AZ46" s="189">
        <v>313217482.45999998</v>
      </c>
      <c r="BA46" s="189">
        <v>256699854.44</v>
      </c>
      <c r="BB46" s="189">
        <v>272240504.66000003</v>
      </c>
      <c r="BC46" s="189">
        <v>226608593.03999999</v>
      </c>
      <c r="BD46" s="189">
        <v>234634952.66999999</v>
      </c>
      <c r="BE46" s="189">
        <v>244325150.41</v>
      </c>
      <c r="BF46" s="189">
        <v>68223341.150000006</v>
      </c>
      <c r="BG46" s="189">
        <v>35570612.729999997</v>
      </c>
      <c r="BH46" s="189">
        <v>161905979.21000001</v>
      </c>
      <c r="BI46" s="189">
        <v>226536100.18000001</v>
      </c>
      <c r="BJ46" s="189">
        <v>145131801.28</v>
      </c>
      <c r="BK46" s="189">
        <v>138172136.36000001</v>
      </c>
      <c r="BL46" s="189">
        <v>3398156.83</v>
      </c>
      <c r="BM46" s="189">
        <v>0</v>
      </c>
      <c r="BN46" s="189">
        <v>83056000</v>
      </c>
      <c r="BO46" s="189">
        <v>186169835.25999999</v>
      </c>
      <c r="BP46" s="189">
        <v>38971831.210000001</v>
      </c>
      <c r="BQ46" s="189">
        <v>43500000</v>
      </c>
      <c r="BR46" s="189">
        <v>76400000</v>
      </c>
      <c r="BS46" s="189">
        <v>51300000</v>
      </c>
      <c r="BT46" s="189">
        <v>67700000</v>
      </c>
      <c r="BU46" s="189">
        <v>54300000</v>
      </c>
      <c r="BV46" s="189">
        <v>44900000</v>
      </c>
      <c r="BW46" s="189">
        <v>54300000</v>
      </c>
      <c r="BX46" s="189">
        <v>38740000</v>
      </c>
      <c r="BY46" s="189">
        <v>30650000</v>
      </c>
      <c r="BZ46" s="189">
        <v>0</v>
      </c>
      <c r="CA46" s="189">
        <v>30500000</v>
      </c>
      <c r="CB46" s="189">
        <v>4800000</v>
      </c>
      <c r="CC46" s="189">
        <v>1918215</v>
      </c>
      <c r="CD46" s="189">
        <v>0</v>
      </c>
    </row>
    <row r="47" spans="1:82" x14ac:dyDescent="0.25">
      <c r="A47" s="189" t="s">
        <v>151</v>
      </c>
      <c r="B47" s="189">
        <v>0</v>
      </c>
      <c r="C47" s="189">
        <v>7304558944.8800001</v>
      </c>
      <c r="D47" s="189">
        <v>6074095420.8999996</v>
      </c>
      <c r="E47" s="189">
        <v>8175113575.0500002</v>
      </c>
      <c r="F47" s="189">
        <v>7727084009.0799999</v>
      </c>
      <c r="G47" s="189">
        <v>5972686096.3800001</v>
      </c>
      <c r="H47" s="189">
        <v>5179296151.5600004</v>
      </c>
      <c r="I47" s="189">
        <v>10371408862.219999</v>
      </c>
      <c r="J47" s="189">
        <v>7340012173.3299999</v>
      </c>
      <c r="K47" s="189">
        <v>6800155912.6899996</v>
      </c>
      <c r="L47" s="189">
        <v>5522502555.0200005</v>
      </c>
      <c r="M47" s="189">
        <v>7868166485.1099997</v>
      </c>
      <c r="N47" s="189">
        <v>7088232014.3000002</v>
      </c>
      <c r="O47" s="189">
        <v>5944398734.9399996</v>
      </c>
      <c r="P47" s="189">
        <v>5173812253.2200003</v>
      </c>
      <c r="Q47" s="189">
        <v>6357651729.4399996</v>
      </c>
      <c r="R47" s="189">
        <v>5045299040.79</v>
      </c>
      <c r="S47" s="189">
        <v>3796542125.3699999</v>
      </c>
      <c r="T47" s="189">
        <v>3690145755.3000002</v>
      </c>
      <c r="U47" s="189">
        <v>3406505398.79</v>
      </c>
      <c r="V47" s="189">
        <v>3963561114.5100002</v>
      </c>
      <c r="W47" s="189">
        <v>4029980183.71</v>
      </c>
      <c r="X47" s="189">
        <v>3533321443.8699999</v>
      </c>
      <c r="Y47" s="189">
        <v>3736242097.6199999</v>
      </c>
      <c r="Z47" s="189">
        <v>3281838181.3899999</v>
      </c>
      <c r="AA47" s="189">
        <v>2830275762.1599998</v>
      </c>
      <c r="AB47" s="189">
        <v>2795537736.0799999</v>
      </c>
      <c r="AC47" s="189">
        <v>1538310470.1700001</v>
      </c>
      <c r="AD47" s="189">
        <v>3113298651.5300002</v>
      </c>
      <c r="AE47" s="189">
        <v>2668374786.4899998</v>
      </c>
      <c r="AF47" s="189">
        <v>2169751695.71</v>
      </c>
      <c r="AG47" s="189">
        <v>1233926830.1099999</v>
      </c>
      <c r="AH47" s="189">
        <v>2472710286.5</v>
      </c>
      <c r="AI47" s="189">
        <v>2050778480.6800001</v>
      </c>
      <c r="AJ47" s="189">
        <v>1739319078.26</v>
      </c>
      <c r="AK47" s="189">
        <v>1106198390.25</v>
      </c>
      <c r="AL47" s="189">
        <v>1556300552.21</v>
      </c>
      <c r="AM47" s="189">
        <v>1376143783.74</v>
      </c>
      <c r="AN47" s="189">
        <v>962907920.75</v>
      </c>
      <c r="AO47" s="189">
        <v>1241272601.5599999</v>
      </c>
      <c r="AP47" s="189">
        <v>1157606332.95</v>
      </c>
      <c r="AQ47" s="189">
        <v>1454066278.2</v>
      </c>
      <c r="AR47" s="189">
        <v>1239075341.1900001</v>
      </c>
      <c r="AS47" s="189">
        <v>1471997335.8199999</v>
      </c>
      <c r="AT47" s="189">
        <v>1180907358.1199999</v>
      </c>
      <c r="AU47" s="189">
        <v>1042025175.77</v>
      </c>
      <c r="AV47" s="189">
        <v>893717986.63999999</v>
      </c>
      <c r="AW47" s="189">
        <v>898381556.53999996</v>
      </c>
      <c r="AX47" s="189">
        <v>843900496.47000003</v>
      </c>
      <c r="AY47" s="189">
        <v>722479602.30999994</v>
      </c>
      <c r="AZ47" s="189">
        <v>635151216.91999996</v>
      </c>
      <c r="BA47" s="189">
        <v>703407186.92999995</v>
      </c>
      <c r="BB47" s="189">
        <v>771284856.97000003</v>
      </c>
      <c r="BC47" s="189">
        <v>547457045.38</v>
      </c>
      <c r="BD47" s="189">
        <v>529135957.06</v>
      </c>
      <c r="BE47" s="189">
        <v>759350974.78999996</v>
      </c>
      <c r="BF47" s="189">
        <v>699059752.80999994</v>
      </c>
      <c r="BG47" s="189">
        <v>567253862.76999998</v>
      </c>
      <c r="BH47" s="189">
        <v>530554036.88</v>
      </c>
      <c r="BI47" s="189">
        <v>609186475.97000003</v>
      </c>
      <c r="BJ47" s="189">
        <v>419922119.13</v>
      </c>
      <c r="BK47" s="189">
        <v>338505633.67000002</v>
      </c>
      <c r="BL47" s="189">
        <v>508075009.60000002</v>
      </c>
      <c r="BM47" s="189">
        <v>490143211.58999997</v>
      </c>
      <c r="BN47" s="189">
        <v>406789862.61000001</v>
      </c>
      <c r="BO47" s="189">
        <v>284679123.41000003</v>
      </c>
      <c r="BP47" s="189">
        <v>247671416.56</v>
      </c>
      <c r="BQ47" s="189">
        <v>216546150.88</v>
      </c>
      <c r="BR47" s="189">
        <v>176842139.13999999</v>
      </c>
      <c r="BS47" s="189">
        <v>162007254.21000001</v>
      </c>
      <c r="BT47" s="189">
        <v>106320520.94</v>
      </c>
      <c r="BU47" s="189">
        <v>87812348.489999995</v>
      </c>
      <c r="BV47" s="189">
        <v>83404401.650000006</v>
      </c>
      <c r="BW47" s="189">
        <v>74098166.170000002</v>
      </c>
      <c r="BX47" s="189">
        <v>50179690.659999996</v>
      </c>
      <c r="BY47" s="189">
        <v>45744280.32</v>
      </c>
      <c r="BZ47" s="189">
        <v>0</v>
      </c>
      <c r="CA47" s="189">
        <v>19496840</v>
      </c>
      <c r="CB47" s="189">
        <v>20140959</v>
      </c>
      <c r="CC47" s="189">
        <v>15311776</v>
      </c>
      <c r="CD47" s="189">
        <v>0</v>
      </c>
    </row>
    <row r="48" spans="1:82" x14ac:dyDescent="0.25">
      <c r="A48" s="189" t="s">
        <v>152</v>
      </c>
      <c r="B48" s="189">
        <v>905904467.10000002</v>
      </c>
      <c r="C48" s="189">
        <v>963843294.24000001</v>
      </c>
      <c r="D48" s="189">
        <v>1008659009.34</v>
      </c>
      <c r="E48" s="189">
        <v>1027136030.17</v>
      </c>
      <c r="F48" s="189">
        <v>1074219974.75</v>
      </c>
      <c r="G48" s="189">
        <v>1529137934.1400001</v>
      </c>
      <c r="H48" s="189">
        <v>1017196316.84</v>
      </c>
      <c r="I48" s="189">
        <v>1182623227.1600001</v>
      </c>
      <c r="J48" s="189">
        <v>1628832402.53</v>
      </c>
      <c r="K48" s="189">
        <v>1139928972.77</v>
      </c>
      <c r="L48" s="189">
        <v>1482395152.3</v>
      </c>
      <c r="M48" s="189">
        <v>1933616871.8399999</v>
      </c>
      <c r="N48" s="189">
        <v>1526114717.4000001</v>
      </c>
      <c r="O48" s="189">
        <v>1291020898.3</v>
      </c>
      <c r="P48" s="189">
        <v>1473814976.6800001</v>
      </c>
      <c r="Q48" s="189">
        <v>1211446201.99</v>
      </c>
      <c r="R48" s="189">
        <v>494309424.14999998</v>
      </c>
      <c r="S48" s="189">
        <v>290027024.54000002</v>
      </c>
      <c r="T48" s="189">
        <v>494935587.32999998</v>
      </c>
      <c r="U48" s="189">
        <v>850826513.75999999</v>
      </c>
      <c r="V48" s="189">
        <v>538800948.15999997</v>
      </c>
      <c r="W48" s="189">
        <v>242969730.18000001</v>
      </c>
      <c r="X48" s="189">
        <v>254960552.25</v>
      </c>
      <c r="Y48" s="189">
        <v>384909001.11000001</v>
      </c>
      <c r="Z48" s="189">
        <v>364435050.27999997</v>
      </c>
      <c r="AA48" s="189">
        <v>740974766.44000006</v>
      </c>
      <c r="AB48" s="189">
        <v>711710757.12</v>
      </c>
      <c r="AC48" s="189">
        <v>737336616.37</v>
      </c>
      <c r="AD48" s="189">
        <v>218515906.09</v>
      </c>
      <c r="AE48" s="189">
        <v>137021030</v>
      </c>
      <c r="AF48" s="189">
        <v>223809405.61000001</v>
      </c>
      <c r="AG48" s="189">
        <v>298992567.80000001</v>
      </c>
      <c r="AH48" s="189">
        <v>228926174.83000001</v>
      </c>
      <c r="AI48" s="189">
        <v>121038911.06</v>
      </c>
      <c r="AJ48" s="189">
        <v>101841976.42</v>
      </c>
      <c r="AK48" s="189">
        <v>132278707.41</v>
      </c>
      <c r="AL48" s="189">
        <v>79914880.5</v>
      </c>
      <c r="AM48" s="189">
        <v>68336533.640000001</v>
      </c>
      <c r="AN48" s="189">
        <v>86913160.420000002</v>
      </c>
      <c r="AO48" s="189">
        <v>69660125.400000006</v>
      </c>
      <c r="AP48" s="189">
        <v>53573195.119999997</v>
      </c>
      <c r="AQ48" s="189">
        <v>77534575.060000002</v>
      </c>
      <c r="AR48" s="189">
        <v>161952759.66999999</v>
      </c>
      <c r="AS48" s="189">
        <v>456249251.44999999</v>
      </c>
      <c r="AT48" s="189">
        <v>739349166.48000002</v>
      </c>
      <c r="AU48" s="189">
        <v>462018145.38999999</v>
      </c>
      <c r="AV48" s="189">
        <v>322106747.88</v>
      </c>
      <c r="AW48" s="189">
        <v>204508649.03999999</v>
      </c>
      <c r="AX48" s="189">
        <v>88308373.180000007</v>
      </c>
      <c r="AY48" s="189">
        <v>120354905.88</v>
      </c>
      <c r="AZ48" s="189">
        <v>174732227.03999999</v>
      </c>
      <c r="BA48" s="189">
        <v>114324896.73</v>
      </c>
      <c r="BB48" s="189">
        <v>89737310.75</v>
      </c>
      <c r="BC48" s="189">
        <v>100909087.68000001</v>
      </c>
      <c r="BD48" s="189">
        <v>48683351.299999997</v>
      </c>
      <c r="BE48" s="189">
        <v>78420574.099999994</v>
      </c>
      <c r="BF48" s="189">
        <v>56338694.43</v>
      </c>
      <c r="BG48" s="189">
        <v>56339194.200000003</v>
      </c>
      <c r="BH48" s="189">
        <v>47759606.700000003</v>
      </c>
      <c r="BI48" s="189">
        <v>51471552.32</v>
      </c>
      <c r="BJ48" s="189">
        <v>38838266.060000002</v>
      </c>
      <c r="BK48" s="189">
        <v>27595737.84</v>
      </c>
      <c r="BL48" s="189">
        <v>15940578.67</v>
      </c>
      <c r="BM48" s="189">
        <v>155242765.74000001</v>
      </c>
      <c r="BN48" s="189">
        <v>26851325</v>
      </c>
      <c r="BO48" s="189">
        <v>21623648</v>
      </c>
      <c r="BP48" s="189">
        <v>19914766.600000001</v>
      </c>
      <c r="BQ48" s="189">
        <v>27687279.760000002</v>
      </c>
      <c r="BR48" s="189">
        <v>21201098</v>
      </c>
      <c r="BS48" s="189">
        <v>95839821</v>
      </c>
      <c r="BT48" s="189">
        <v>10155370</v>
      </c>
      <c r="BU48" s="189">
        <v>67192728.719999999</v>
      </c>
      <c r="BV48" s="189">
        <v>20853215.670000002</v>
      </c>
      <c r="BW48" s="189">
        <v>30407779.18</v>
      </c>
      <c r="BX48" s="189">
        <v>1118875.18</v>
      </c>
      <c r="BY48" s="189">
        <v>11545830.67</v>
      </c>
      <c r="BZ48" s="189">
        <v>0</v>
      </c>
      <c r="CA48" s="189">
        <v>1614261</v>
      </c>
      <c r="CB48" s="189">
        <v>6560182</v>
      </c>
      <c r="CC48" s="189">
        <v>4882750</v>
      </c>
      <c r="CD48" s="189">
        <v>0</v>
      </c>
    </row>
    <row r="49" spans="1:82"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c r="BQ49" s="189">
        <v>0</v>
      </c>
      <c r="BR49" s="189">
        <v>0</v>
      </c>
      <c r="BS49" s="189">
        <v>0</v>
      </c>
      <c r="BT49" s="189">
        <v>0</v>
      </c>
      <c r="BU49" s="189">
        <v>0</v>
      </c>
      <c r="BV49" s="189">
        <v>0</v>
      </c>
      <c r="BW49" s="189">
        <v>0</v>
      </c>
      <c r="BX49" s="189">
        <v>0</v>
      </c>
      <c r="BY49" s="189">
        <v>0</v>
      </c>
      <c r="BZ49" s="189">
        <v>0</v>
      </c>
      <c r="CA49" s="189">
        <v>0</v>
      </c>
      <c r="CB49" s="189">
        <v>0</v>
      </c>
      <c r="CC49" s="189">
        <v>0</v>
      </c>
      <c r="CD49" s="189">
        <v>0</v>
      </c>
    </row>
    <row r="50" spans="1:82" x14ac:dyDescent="0.25">
      <c r="A50" s="189" t="s">
        <v>154</v>
      </c>
      <c r="B50" s="189">
        <v>722044186.51999998</v>
      </c>
      <c r="C50" s="189">
        <v>681953862.28999996</v>
      </c>
      <c r="D50" s="189">
        <v>746255655.27999997</v>
      </c>
      <c r="E50" s="189">
        <v>1011263631.7</v>
      </c>
      <c r="F50" s="189">
        <v>744932400.13999999</v>
      </c>
      <c r="G50" s="189">
        <v>785481997.04999995</v>
      </c>
      <c r="H50" s="189">
        <v>939422558.62</v>
      </c>
      <c r="I50" s="189">
        <v>1126851533.97</v>
      </c>
      <c r="J50" s="189">
        <v>772098027.02999997</v>
      </c>
      <c r="K50" s="189">
        <v>661462387.32000005</v>
      </c>
      <c r="L50" s="189">
        <v>589769609.83000004</v>
      </c>
      <c r="M50" s="189">
        <v>704462732.54999995</v>
      </c>
      <c r="N50" s="189">
        <v>635024792.37</v>
      </c>
      <c r="O50" s="189">
        <v>569391180.65999997</v>
      </c>
      <c r="P50" s="189">
        <v>471042637.41000003</v>
      </c>
      <c r="Q50" s="189">
        <v>586806036.54999995</v>
      </c>
      <c r="R50" s="189">
        <v>472467205.83999997</v>
      </c>
      <c r="S50" s="189">
        <v>415425249.16000003</v>
      </c>
      <c r="T50" s="189">
        <v>433972710.61000001</v>
      </c>
      <c r="U50" s="189">
        <v>468440830.20999998</v>
      </c>
      <c r="V50" s="189">
        <v>468859553.81999999</v>
      </c>
      <c r="W50" s="189">
        <v>410329279.00999999</v>
      </c>
      <c r="X50" s="189">
        <v>435786870.48000002</v>
      </c>
      <c r="Y50" s="189">
        <v>412257706.77999997</v>
      </c>
      <c r="Z50" s="189">
        <v>467282900.38999999</v>
      </c>
      <c r="AA50" s="189">
        <v>359825619.95999998</v>
      </c>
      <c r="AB50" s="189">
        <v>330627464.33999997</v>
      </c>
      <c r="AC50" s="189">
        <v>374993306.02999997</v>
      </c>
      <c r="AD50" s="189">
        <v>298882434.25</v>
      </c>
      <c r="AE50" s="189">
        <v>249825262.91</v>
      </c>
      <c r="AF50" s="189">
        <v>233521523.46000001</v>
      </c>
      <c r="AG50" s="189">
        <v>306846031.05000001</v>
      </c>
      <c r="AH50" s="189">
        <v>254827510.56</v>
      </c>
      <c r="AI50" s="189">
        <v>187248239.08000001</v>
      </c>
      <c r="AJ50" s="189">
        <v>163803432.94999999</v>
      </c>
      <c r="AK50" s="189">
        <v>154942098.97999999</v>
      </c>
      <c r="AL50" s="189">
        <v>119255642.84999999</v>
      </c>
      <c r="AM50" s="189">
        <v>115971874.43000001</v>
      </c>
      <c r="AN50" s="189">
        <v>97023052.260000005</v>
      </c>
      <c r="AO50" s="189">
        <v>110106179.42</v>
      </c>
      <c r="AP50" s="189">
        <v>66041329.210000001</v>
      </c>
      <c r="AQ50" s="189">
        <v>89451082.519999996</v>
      </c>
      <c r="AR50" s="189">
        <v>97448453.939999998</v>
      </c>
      <c r="AS50" s="189">
        <v>120460554.53</v>
      </c>
      <c r="AT50" s="189">
        <v>156498451.84999999</v>
      </c>
      <c r="AU50" s="189">
        <v>147749334.71000001</v>
      </c>
      <c r="AV50" s="189">
        <v>115772176.66</v>
      </c>
      <c r="AW50" s="189">
        <v>121812156.43000001</v>
      </c>
      <c r="AX50" s="189">
        <v>99412285.840000004</v>
      </c>
      <c r="AY50" s="189">
        <v>87612373.420000002</v>
      </c>
      <c r="AZ50" s="189">
        <v>81132965.120000005</v>
      </c>
      <c r="BA50" s="189">
        <v>92838163.810000002</v>
      </c>
      <c r="BB50" s="189">
        <v>80042792.530000001</v>
      </c>
      <c r="BC50" s="189">
        <v>46607956.039999999</v>
      </c>
      <c r="BD50" s="189">
        <v>38941231.93</v>
      </c>
      <c r="BE50" s="189">
        <v>37992321.5</v>
      </c>
      <c r="BF50" s="189">
        <v>73782998.079999998</v>
      </c>
      <c r="BG50" s="189">
        <v>41410448.509999998</v>
      </c>
      <c r="BH50" s="189">
        <v>42088155.469999999</v>
      </c>
      <c r="BI50" s="189">
        <v>43546450.990000002</v>
      </c>
      <c r="BJ50" s="189">
        <v>56012584.710000001</v>
      </c>
      <c r="BK50" s="189">
        <v>55387189.240000002</v>
      </c>
      <c r="BL50" s="189">
        <v>59104438.979999997</v>
      </c>
      <c r="BM50" s="189">
        <v>32146461.289999999</v>
      </c>
      <c r="BN50" s="189">
        <v>49401775.520000003</v>
      </c>
      <c r="BO50" s="189">
        <v>43618392</v>
      </c>
      <c r="BP50" s="189">
        <v>32293621.420000002</v>
      </c>
      <c r="BQ50" s="189">
        <v>37047930.729999997</v>
      </c>
      <c r="BR50" s="189">
        <v>50984568.640000001</v>
      </c>
      <c r="BS50" s="189">
        <v>35414507.689999998</v>
      </c>
      <c r="BT50" s="189">
        <v>22025756.23</v>
      </c>
      <c r="BU50" s="189">
        <v>27442369.75</v>
      </c>
      <c r="BV50" s="189">
        <v>24650543.940000001</v>
      </c>
      <c r="BW50" s="189">
        <v>25268702.25</v>
      </c>
      <c r="BX50" s="189">
        <v>17215225.379999999</v>
      </c>
      <c r="BY50" s="189">
        <v>3248273.54</v>
      </c>
      <c r="BZ50" s="189">
        <v>0</v>
      </c>
      <c r="CA50" s="189">
        <v>577138</v>
      </c>
      <c r="CB50" s="189">
        <v>90167</v>
      </c>
      <c r="CC50" s="189">
        <v>147741</v>
      </c>
      <c r="CD50" s="189">
        <v>0</v>
      </c>
    </row>
    <row r="51" spans="1:82" x14ac:dyDescent="0.25">
      <c r="A51" s="189" t="s">
        <v>155</v>
      </c>
      <c r="B51" s="189">
        <v>70536460.799999997</v>
      </c>
      <c r="C51" s="189">
        <v>53603177.119999997</v>
      </c>
      <c r="D51" s="189">
        <v>131263475.18000001</v>
      </c>
      <c r="E51" s="189">
        <v>400964080.47000003</v>
      </c>
      <c r="F51" s="189">
        <v>100593523.39</v>
      </c>
      <c r="G51" s="189">
        <v>81593037.689999998</v>
      </c>
      <c r="H51" s="189">
        <v>298439624.70999998</v>
      </c>
      <c r="I51" s="189">
        <v>559386569.07000005</v>
      </c>
      <c r="J51" s="189">
        <v>252450061.55000001</v>
      </c>
      <c r="K51" s="189">
        <v>226452602.11000001</v>
      </c>
      <c r="L51" s="189">
        <v>97015090.909999996</v>
      </c>
      <c r="M51" s="189">
        <v>270201258.54000002</v>
      </c>
      <c r="N51" s="189">
        <v>215881011.25</v>
      </c>
      <c r="O51" s="189">
        <v>160661887.65000001</v>
      </c>
      <c r="P51" s="189">
        <v>124337625.84</v>
      </c>
      <c r="Q51" s="189">
        <v>269327435.06</v>
      </c>
      <c r="R51" s="189">
        <v>117438791.76000001</v>
      </c>
      <c r="S51" s="189">
        <v>68619756.599999994</v>
      </c>
      <c r="T51" s="189">
        <v>28636685.41</v>
      </c>
      <c r="U51" s="189">
        <v>103772387.56999999</v>
      </c>
      <c r="V51" s="189">
        <v>-57876001.630000003</v>
      </c>
      <c r="W51" s="189">
        <v>39822240.259999998</v>
      </c>
      <c r="X51" s="189">
        <v>14691170.08</v>
      </c>
      <c r="Y51" s="189">
        <v>308721924.77999997</v>
      </c>
      <c r="Z51" s="189">
        <v>40515341.469999999</v>
      </c>
      <c r="AA51" s="189">
        <v>90864162.189999998</v>
      </c>
      <c r="AB51" s="189">
        <v>56215032.200000003</v>
      </c>
      <c r="AC51" s="189">
        <v>274635344.23000002</v>
      </c>
      <c r="AD51" s="189">
        <v>88010028.780000001</v>
      </c>
      <c r="AE51" s="189">
        <v>40460176.939999998</v>
      </c>
      <c r="AF51" s="189">
        <v>-34130256.640000001</v>
      </c>
      <c r="AG51" s="189">
        <v>152425689.28</v>
      </c>
      <c r="AH51" s="189">
        <v>108563233.92</v>
      </c>
      <c r="AI51" s="189">
        <v>51119895.899999999</v>
      </c>
      <c r="AJ51" s="189">
        <v>53474494.530000001</v>
      </c>
      <c r="AK51" s="189">
        <v>144107921.38999999</v>
      </c>
      <c r="AL51" s="189">
        <v>91255169.310000002</v>
      </c>
      <c r="AM51" s="189">
        <v>26222011.260000002</v>
      </c>
      <c r="AN51" s="189">
        <v>682954.68</v>
      </c>
      <c r="AO51" s="189">
        <v>33968435.420000002</v>
      </c>
      <c r="AP51" s="189">
        <v>-31129781.41</v>
      </c>
      <c r="AQ51" s="189">
        <v>52065837.100000001</v>
      </c>
      <c r="AR51" s="189">
        <v>52358914.100000001</v>
      </c>
      <c r="AS51" s="189">
        <v>141895819.30000001</v>
      </c>
      <c r="AT51" s="189">
        <v>9760093.3699999992</v>
      </c>
      <c r="AU51" s="189">
        <v>-19892654.670000002</v>
      </c>
      <c r="AV51" s="189">
        <v>23894639.82</v>
      </c>
      <c r="AW51" s="189">
        <v>69312426.799999997</v>
      </c>
      <c r="AX51" s="189">
        <v>67182739.390000001</v>
      </c>
      <c r="AY51" s="189">
        <v>19192552.550000001</v>
      </c>
      <c r="AZ51" s="189">
        <v>23946252.41</v>
      </c>
      <c r="BA51" s="189">
        <v>89274395.129999995</v>
      </c>
      <c r="BB51" s="189">
        <v>39083517.119999997</v>
      </c>
      <c r="BC51" s="189">
        <v>17892511.609999999</v>
      </c>
      <c r="BD51" s="189">
        <v>-7628903.3600000003</v>
      </c>
      <c r="BE51" s="189">
        <v>30012613.829999998</v>
      </c>
      <c r="BF51" s="189">
        <v>62752363.259999998</v>
      </c>
      <c r="BG51" s="189">
        <v>41404103.420000002</v>
      </c>
      <c r="BH51" s="189">
        <v>16356852.23</v>
      </c>
      <c r="BI51" s="189">
        <v>39294470.75</v>
      </c>
      <c r="BJ51" s="189">
        <v>1417320</v>
      </c>
      <c r="BK51" s="189">
        <v>-2237562.86</v>
      </c>
      <c r="BL51" s="189">
        <v>-5453891.2000000002</v>
      </c>
      <c r="BM51" s="189">
        <v>8224758.9699999997</v>
      </c>
      <c r="BN51" s="189">
        <v>11252548.609999999</v>
      </c>
      <c r="BO51" s="189">
        <v>6437669.1799999997</v>
      </c>
      <c r="BP51" s="189">
        <v>-9485370</v>
      </c>
      <c r="BQ51" s="189">
        <v>9837618.25</v>
      </c>
      <c r="BR51" s="189">
        <v>15724500.539999999</v>
      </c>
      <c r="BS51" s="189">
        <v>12315088.640000001</v>
      </c>
      <c r="BT51" s="189">
        <v>4092193.09</v>
      </c>
      <c r="BU51" s="189">
        <v>7560940.3200000003</v>
      </c>
      <c r="BV51" s="189">
        <v>4293327.2699999996</v>
      </c>
      <c r="BW51" s="189">
        <v>8449345.5899999999</v>
      </c>
      <c r="BX51" s="189">
        <v>6896217.2999999998</v>
      </c>
      <c r="BY51" s="189">
        <v>8371046.2400000002</v>
      </c>
      <c r="BZ51" s="189">
        <v>0</v>
      </c>
      <c r="CA51" s="189">
        <v>6358902</v>
      </c>
      <c r="CB51" s="189">
        <v>1568544</v>
      </c>
      <c r="CC51" s="189">
        <v>580693</v>
      </c>
      <c r="CD51" s="189">
        <v>0</v>
      </c>
    </row>
    <row r="52" spans="1:82" x14ac:dyDescent="0.25">
      <c r="A52" s="189" t="s">
        <v>156</v>
      </c>
      <c r="B52" s="189">
        <v>0</v>
      </c>
      <c r="C52" s="189">
        <v>0</v>
      </c>
      <c r="D52" s="189">
        <v>0</v>
      </c>
      <c r="E52" s="189">
        <v>0</v>
      </c>
      <c r="F52" s="189">
        <v>12375000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93723.9</v>
      </c>
      <c r="AG52" s="189">
        <v>0</v>
      </c>
      <c r="AH52" s="189">
        <v>0</v>
      </c>
      <c r="AI52" s="189">
        <v>0</v>
      </c>
      <c r="AJ52" s="189">
        <v>48537.25</v>
      </c>
      <c r="AK52" s="189">
        <v>0</v>
      </c>
      <c r="AL52" s="189">
        <v>0</v>
      </c>
      <c r="AM52" s="189">
        <v>0</v>
      </c>
      <c r="AN52" s="189">
        <v>0</v>
      </c>
      <c r="AO52" s="189">
        <v>0</v>
      </c>
      <c r="AP52" s="189">
        <v>0</v>
      </c>
      <c r="AQ52" s="189">
        <v>0</v>
      </c>
      <c r="AR52" s="189">
        <v>0</v>
      </c>
      <c r="AS52" s="189">
        <v>0</v>
      </c>
      <c r="AT52" s="189">
        <v>0</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c r="BQ52" s="189">
        <v>0</v>
      </c>
      <c r="BR52" s="189">
        <v>0</v>
      </c>
      <c r="BS52" s="189">
        <v>0</v>
      </c>
      <c r="BT52" s="189">
        <v>0</v>
      </c>
      <c r="BU52" s="189">
        <v>0</v>
      </c>
      <c r="BV52" s="189">
        <v>0</v>
      </c>
      <c r="BW52" s="189">
        <v>0</v>
      </c>
      <c r="BX52" s="189">
        <v>0</v>
      </c>
      <c r="BY52" s="189">
        <v>0</v>
      </c>
      <c r="BZ52" s="189">
        <v>0</v>
      </c>
      <c r="CA52" s="189">
        <v>0</v>
      </c>
      <c r="CB52" s="189">
        <v>0</v>
      </c>
      <c r="CC52" s="189">
        <v>0</v>
      </c>
      <c r="CD52" s="189">
        <v>0</v>
      </c>
    </row>
    <row r="53" spans="1:82" x14ac:dyDescent="0.25">
      <c r="A53" s="189" t="s">
        <v>157</v>
      </c>
      <c r="B53" s="189">
        <v>18000000</v>
      </c>
      <c r="C53" s="189">
        <v>1124969611.5</v>
      </c>
      <c r="D53" s="189">
        <v>0</v>
      </c>
      <c r="E53" s="189">
        <v>0</v>
      </c>
      <c r="F53" s="189">
        <v>0</v>
      </c>
      <c r="G53" s="189">
        <v>0</v>
      </c>
      <c r="H53" s="189">
        <v>0</v>
      </c>
      <c r="I53" s="189">
        <v>0</v>
      </c>
      <c r="J53" s="189">
        <v>0</v>
      </c>
      <c r="K53" s="189">
        <v>0</v>
      </c>
      <c r="L53" s="189">
        <v>0</v>
      </c>
      <c r="M53" s="189">
        <v>0</v>
      </c>
      <c r="N53" s="189">
        <v>0</v>
      </c>
      <c r="O53" s="189">
        <v>44312571.109999999</v>
      </c>
      <c r="P53" s="189">
        <v>18814751.109999999</v>
      </c>
      <c r="Q53" s="189">
        <v>18814751.109999999</v>
      </c>
      <c r="R53" s="189">
        <v>18814751.109999999</v>
      </c>
      <c r="S53" s="189">
        <v>42621880</v>
      </c>
      <c r="T53" s="189">
        <v>17091760</v>
      </c>
      <c r="U53" s="189">
        <v>17091760</v>
      </c>
      <c r="V53" s="189">
        <v>17518760</v>
      </c>
      <c r="W53" s="189">
        <v>22138200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199958355</v>
      </c>
      <c r="AW53" s="189">
        <v>0</v>
      </c>
      <c r="AX53" s="189">
        <v>0</v>
      </c>
      <c r="AY53" s="189">
        <v>0</v>
      </c>
      <c r="AZ53" s="189">
        <v>0</v>
      </c>
      <c r="BA53" s="189">
        <v>0</v>
      </c>
      <c r="BB53" s="189">
        <v>0</v>
      </c>
      <c r="BC53" s="189">
        <v>0</v>
      </c>
      <c r="BD53" s="189">
        <v>102542746</v>
      </c>
      <c r="BE53" s="189">
        <v>0</v>
      </c>
      <c r="BF53" s="189">
        <v>4775328</v>
      </c>
      <c r="BG53" s="189">
        <v>6855328</v>
      </c>
      <c r="BH53" s="189">
        <v>1417320</v>
      </c>
      <c r="BI53" s="189">
        <v>1417320</v>
      </c>
      <c r="BJ53" s="189">
        <v>20720214.399999999</v>
      </c>
      <c r="BK53" s="189">
        <v>1417320</v>
      </c>
      <c r="BL53" s="189">
        <v>1417320</v>
      </c>
      <c r="BM53" s="189">
        <v>1417320</v>
      </c>
      <c r="BN53" s="189">
        <v>1417320</v>
      </c>
      <c r="BO53" s="189">
        <v>1417320</v>
      </c>
      <c r="BP53" s="189">
        <v>82034196.599999994</v>
      </c>
      <c r="BQ53" s="189">
        <v>82034196.599999994</v>
      </c>
      <c r="BR53" s="189">
        <v>82034196.599999994</v>
      </c>
      <c r="BS53" s="189">
        <v>82034196.599999994</v>
      </c>
      <c r="BT53" s="189">
        <v>0</v>
      </c>
      <c r="BU53" s="189">
        <v>0</v>
      </c>
      <c r="BV53" s="189">
        <v>26099645.859999999</v>
      </c>
      <c r="BW53" s="189">
        <v>56910867</v>
      </c>
      <c r="BX53" s="189">
        <v>0</v>
      </c>
      <c r="BY53" s="189">
        <v>43800000</v>
      </c>
      <c r="BZ53" s="189">
        <v>0</v>
      </c>
      <c r="CA53" s="189">
        <v>0</v>
      </c>
      <c r="CB53" s="189">
        <v>1009788</v>
      </c>
      <c r="CC53" s="189">
        <v>2053750</v>
      </c>
      <c r="CD53" s="189">
        <v>0</v>
      </c>
    </row>
    <row r="54" spans="1:82" x14ac:dyDescent="0.25">
      <c r="A54" s="189" t="s">
        <v>158</v>
      </c>
      <c r="B54" s="189">
        <v>953953938.59000003</v>
      </c>
      <c r="C54" s="189">
        <v>1118055876.0799999</v>
      </c>
      <c r="D54" s="189">
        <v>1059718463.52</v>
      </c>
      <c r="E54" s="189">
        <v>1357116436.8199999</v>
      </c>
      <c r="F54" s="189">
        <v>972578053.71000004</v>
      </c>
      <c r="G54" s="189">
        <v>889565665.66999996</v>
      </c>
      <c r="H54" s="189">
        <v>941095093.58000004</v>
      </c>
      <c r="I54" s="189">
        <v>1290639200.99</v>
      </c>
      <c r="J54" s="189">
        <v>908862888.89999998</v>
      </c>
      <c r="K54" s="189">
        <v>1028912274.03</v>
      </c>
      <c r="L54" s="189">
        <v>937714842.45000005</v>
      </c>
      <c r="M54" s="189">
        <v>1211198340.5799999</v>
      </c>
      <c r="N54" s="189">
        <v>885114758.42999995</v>
      </c>
      <c r="O54" s="189">
        <v>964321122.01999998</v>
      </c>
      <c r="P54" s="189">
        <v>751877900.76999998</v>
      </c>
      <c r="Q54" s="189">
        <v>1163573406.71</v>
      </c>
      <c r="R54" s="189">
        <v>717850286.67999995</v>
      </c>
      <c r="S54" s="189">
        <v>710058951.80999994</v>
      </c>
      <c r="T54" s="189">
        <v>680291176.27999997</v>
      </c>
      <c r="U54" s="189">
        <v>659330376</v>
      </c>
      <c r="V54" s="189">
        <v>433009121.64999998</v>
      </c>
      <c r="W54" s="189">
        <v>551781038.04999995</v>
      </c>
      <c r="X54" s="189">
        <v>638906785.38</v>
      </c>
      <c r="Y54" s="189">
        <v>702658011.09000003</v>
      </c>
      <c r="Z54" s="189">
        <v>550033782.60000002</v>
      </c>
      <c r="AA54" s="189">
        <v>772864040.82000005</v>
      </c>
      <c r="AB54" s="189">
        <v>464313835.97000003</v>
      </c>
      <c r="AC54" s="189">
        <v>418719889.06999999</v>
      </c>
      <c r="AD54" s="189">
        <v>239634589.19</v>
      </c>
      <c r="AE54" s="189">
        <v>278467467.88</v>
      </c>
      <c r="AF54" s="189">
        <v>229007580.68000001</v>
      </c>
      <c r="AG54" s="189">
        <v>228135454.36000001</v>
      </c>
      <c r="AH54" s="189">
        <v>191192648.44999999</v>
      </c>
      <c r="AI54" s="189">
        <v>216609894.69999999</v>
      </c>
      <c r="AJ54" s="189">
        <v>192261757.77000001</v>
      </c>
      <c r="AK54" s="189">
        <v>193824886.88</v>
      </c>
      <c r="AL54" s="189">
        <v>251393419.94</v>
      </c>
      <c r="AM54" s="189">
        <v>244264017.53</v>
      </c>
      <c r="AN54" s="189">
        <v>215882329.63999999</v>
      </c>
      <c r="AO54" s="189">
        <v>209641273.05000001</v>
      </c>
      <c r="AP54" s="189">
        <v>206991302.78999999</v>
      </c>
      <c r="AQ54" s="189">
        <v>235358290.47</v>
      </c>
      <c r="AR54" s="189">
        <v>229562128.28</v>
      </c>
      <c r="AS54" s="189">
        <v>282557080.39999998</v>
      </c>
      <c r="AT54" s="189">
        <v>260871535.11000001</v>
      </c>
      <c r="AU54" s="189">
        <v>247929956.36000001</v>
      </c>
      <c r="AV54" s="189">
        <v>290127043.56</v>
      </c>
      <c r="AW54" s="189">
        <v>174375194.21000001</v>
      </c>
      <c r="AX54" s="189">
        <v>93404194.560000002</v>
      </c>
      <c r="AY54" s="189">
        <v>135492358.31999999</v>
      </c>
      <c r="AZ54" s="189">
        <v>136486290.25</v>
      </c>
      <c r="BA54" s="189">
        <v>132400769.62</v>
      </c>
      <c r="BB54" s="189">
        <v>124361197.04000001</v>
      </c>
      <c r="BC54" s="189">
        <v>97615933.599999994</v>
      </c>
      <c r="BD54" s="189">
        <v>94399648.370000005</v>
      </c>
      <c r="BE54" s="189">
        <v>105625737.95</v>
      </c>
      <c r="BF54" s="189">
        <v>60668833.859999999</v>
      </c>
      <c r="BG54" s="189">
        <v>49881285.289999999</v>
      </c>
      <c r="BH54" s="189">
        <v>45145129.200000003</v>
      </c>
      <c r="BI54" s="189">
        <v>58862527.5</v>
      </c>
      <c r="BJ54" s="189">
        <v>24098640.68</v>
      </c>
      <c r="BK54" s="189">
        <v>46756486.310000002</v>
      </c>
      <c r="BL54" s="189">
        <v>21167302.469999999</v>
      </c>
      <c r="BM54" s="189">
        <v>60851789.82</v>
      </c>
      <c r="BN54" s="189">
        <v>52397519.549999997</v>
      </c>
      <c r="BO54" s="189">
        <v>24177835.5</v>
      </c>
      <c r="BP54" s="189">
        <v>32690853.309999999</v>
      </c>
      <c r="BQ54" s="189">
        <v>25785121</v>
      </c>
      <c r="BR54" s="189">
        <v>33088516.710000001</v>
      </c>
      <c r="BS54" s="189">
        <v>26246015.140000001</v>
      </c>
      <c r="BT54" s="189">
        <v>22648147.329999998</v>
      </c>
      <c r="BU54" s="189">
        <v>28818748.309999999</v>
      </c>
      <c r="BV54" s="189">
        <v>8376856.96</v>
      </c>
      <c r="BW54" s="189">
        <v>18498404.27</v>
      </c>
      <c r="BX54" s="189">
        <v>21865125.309999999</v>
      </c>
      <c r="BY54" s="189">
        <v>29726908.719999999</v>
      </c>
      <c r="BZ54" s="189">
        <v>0</v>
      </c>
      <c r="CA54" s="189">
        <v>14408189</v>
      </c>
      <c r="CB54" s="189">
        <v>12127032</v>
      </c>
      <c r="CC54" s="189">
        <v>7816995</v>
      </c>
      <c r="CD54" s="189">
        <v>0</v>
      </c>
    </row>
    <row r="55" spans="1:82"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12245</v>
      </c>
      <c r="AX55" s="189">
        <v>2942130.92</v>
      </c>
      <c r="AY55" s="189">
        <v>1695532.42</v>
      </c>
      <c r="AZ55" s="189">
        <v>40920</v>
      </c>
      <c r="BA55" s="189">
        <v>40920</v>
      </c>
      <c r="BB55" s="189">
        <v>22194952.329999998</v>
      </c>
      <c r="BC55" s="189">
        <v>1276892.82</v>
      </c>
      <c r="BD55" s="189">
        <v>0</v>
      </c>
      <c r="BE55" s="189">
        <v>72083.75</v>
      </c>
      <c r="BF55" s="189">
        <v>8770486.6699999999</v>
      </c>
      <c r="BG55" s="189">
        <v>1221936.3</v>
      </c>
      <c r="BH55" s="189">
        <v>3117468.76</v>
      </c>
      <c r="BI55" s="189">
        <v>17010</v>
      </c>
      <c r="BJ55" s="189">
        <v>21938434.07</v>
      </c>
      <c r="BK55" s="189">
        <v>1551075.75</v>
      </c>
      <c r="BL55" s="189">
        <v>9663781.1899999995</v>
      </c>
      <c r="BM55" s="189">
        <v>0</v>
      </c>
      <c r="BN55" s="189">
        <v>36380049.229999997</v>
      </c>
      <c r="BO55" s="189">
        <v>22627408.02</v>
      </c>
      <c r="BP55" s="189">
        <v>11734806.59</v>
      </c>
      <c r="BQ55" s="189">
        <v>2998197.85</v>
      </c>
      <c r="BR55" s="189">
        <v>14332311.029999999</v>
      </c>
      <c r="BS55" s="189">
        <v>1939474.47</v>
      </c>
      <c r="BT55" s="189">
        <v>3619008.04</v>
      </c>
      <c r="BU55" s="189">
        <v>740884</v>
      </c>
      <c r="BV55" s="189">
        <v>969612.63</v>
      </c>
      <c r="BW55" s="189">
        <v>259004</v>
      </c>
      <c r="BX55" s="189">
        <v>463624</v>
      </c>
      <c r="BY55" s="189">
        <v>0</v>
      </c>
      <c r="BZ55" s="189">
        <v>0</v>
      </c>
      <c r="CA55" s="189">
        <v>0</v>
      </c>
      <c r="CB55" s="189">
        <v>411109</v>
      </c>
      <c r="CC55" s="189">
        <v>835001</v>
      </c>
      <c r="CD55" s="189">
        <v>0</v>
      </c>
    </row>
    <row r="56" spans="1:82"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row>
    <row r="57" spans="1:82"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row>
    <row r="58" spans="1:82" x14ac:dyDescent="0.25">
      <c r="A58" s="189" t="s">
        <v>162</v>
      </c>
      <c r="B58" s="189">
        <v>12414980</v>
      </c>
      <c r="C58" s="189">
        <v>12414980</v>
      </c>
      <c r="D58" s="189">
        <v>22542990</v>
      </c>
      <c r="E58" s="189">
        <v>22542990</v>
      </c>
      <c r="F58" s="189">
        <v>0</v>
      </c>
      <c r="G58" s="189">
        <v>0</v>
      </c>
      <c r="H58" s="189">
        <v>0</v>
      </c>
      <c r="I58" s="189">
        <v>0</v>
      </c>
      <c r="J58" s="189">
        <v>0</v>
      </c>
      <c r="K58" s="189">
        <v>0</v>
      </c>
      <c r="L58" s="189">
        <v>0</v>
      </c>
      <c r="M58" s="189">
        <v>0</v>
      </c>
      <c r="N58" s="189">
        <v>0</v>
      </c>
      <c r="O58" s="189">
        <v>1269451.81</v>
      </c>
      <c r="P58" s="189">
        <v>2698617.82</v>
      </c>
      <c r="Q58" s="189">
        <v>4127783.83</v>
      </c>
      <c r="R58" s="189">
        <v>5556949.8399999999</v>
      </c>
      <c r="S58" s="189">
        <v>5716664</v>
      </c>
      <c r="T58" s="189">
        <v>18747542.030000001</v>
      </c>
      <c r="U58" s="189">
        <v>34092337.68</v>
      </c>
      <c r="V58" s="189">
        <v>149498565.30000001</v>
      </c>
      <c r="W58" s="189">
        <v>239646828.03999999</v>
      </c>
      <c r="X58" s="189">
        <v>97180959.810000002</v>
      </c>
      <c r="Y58" s="189">
        <v>97423156.540000007</v>
      </c>
      <c r="Z58" s="189">
        <v>5759052.54</v>
      </c>
      <c r="AA58" s="189">
        <v>3969555.24</v>
      </c>
      <c r="AB58" s="189">
        <v>4096721.94</v>
      </c>
      <c r="AC58" s="189">
        <v>4229616.5</v>
      </c>
      <c r="AD58" s="189">
        <v>4308666.84</v>
      </c>
      <c r="AE58" s="189">
        <v>4367903.41</v>
      </c>
      <c r="AF58" s="189">
        <v>8521810.4000000004</v>
      </c>
      <c r="AG58" s="189">
        <v>4737732.28</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25000000</v>
      </c>
      <c r="BQ58" s="189">
        <v>33000000</v>
      </c>
      <c r="BR58" s="189">
        <v>0</v>
      </c>
      <c r="BS58" s="189">
        <v>35500000</v>
      </c>
      <c r="BT58" s="189">
        <v>0</v>
      </c>
      <c r="BU58" s="189">
        <v>0</v>
      </c>
      <c r="BV58" s="189">
        <v>0</v>
      </c>
      <c r="BW58" s="189">
        <v>0</v>
      </c>
      <c r="BX58" s="189">
        <v>0</v>
      </c>
      <c r="BY58" s="189">
        <v>0</v>
      </c>
      <c r="BZ58" s="189">
        <v>0</v>
      </c>
      <c r="CA58" s="189">
        <v>10069385</v>
      </c>
      <c r="CB58" s="189">
        <v>7700000</v>
      </c>
      <c r="CC58" s="189">
        <v>4700000</v>
      </c>
      <c r="CD58" s="189">
        <v>0</v>
      </c>
    </row>
    <row r="59" spans="1:82" x14ac:dyDescent="0.25">
      <c r="A59" s="189" t="s">
        <v>163</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row>
    <row r="60" spans="1:82" x14ac:dyDescent="0.25">
      <c r="A60" s="189" t="s">
        <v>164</v>
      </c>
      <c r="B60" s="189">
        <v>19452310184.130001</v>
      </c>
      <c r="C60" s="189">
        <v>19148386121.43</v>
      </c>
      <c r="D60" s="189">
        <v>16650049613.59</v>
      </c>
      <c r="E60" s="189">
        <v>18652062045.650002</v>
      </c>
      <c r="F60" s="189">
        <v>16149641110.959999</v>
      </c>
      <c r="G60" s="189">
        <v>16752641452.57</v>
      </c>
      <c r="H60" s="189">
        <v>13905342431.219999</v>
      </c>
      <c r="I60" s="189">
        <v>19920543395.639999</v>
      </c>
      <c r="J60" s="189">
        <v>15002034931.51</v>
      </c>
      <c r="K60" s="189">
        <v>13827111376.559999</v>
      </c>
      <c r="L60" s="189">
        <v>13260660200.469999</v>
      </c>
      <c r="M60" s="189">
        <v>16316989342.32</v>
      </c>
      <c r="N60" s="189">
        <v>13647502608.16</v>
      </c>
      <c r="O60" s="189">
        <v>11900311563.09</v>
      </c>
      <c r="P60" s="189">
        <v>10560648816.75</v>
      </c>
      <c r="Q60" s="189">
        <v>12358758860.110001</v>
      </c>
      <c r="R60" s="189">
        <v>8747753252.8999996</v>
      </c>
      <c r="S60" s="189">
        <v>7027285610.8900003</v>
      </c>
      <c r="T60" s="189">
        <v>7147977095.1400003</v>
      </c>
      <c r="U60" s="189">
        <v>7010325679.1000004</v>
      </c>
      <c r="V60" s="189">
        <v>7696805157.5299997</v>
      </c>
      <c r="W60" s="189">
        <v>7269855978.6499996</v>
      </c>
      <c r="X60" s="189">
        <v>6040741213.6999998</v>
      </c>
      <c r="Y60" s="189">
        <v>6403770788.9099998</v>
      </c>
      <c r="Z60" s="189">
        <v>5925070812.1000004</v>
      </c>
      <c r="AA60" s="189">
        <v>5876669699.8599997</v>
      </c>
      <c r="AB60" s="189">
        <v>5020237200.0100002</v>
      </c>
      <c r="AC60" s="189">
        <v>4176674500.6900001</v>
      </c>
      <c r="AD60" s="189">
        <v>4689394031.7299995</v>
      </c>
      <c r="AE60" s="189">
        <v>3818581078.9699998</v>
      </c>
      <c r="AF60" s="189">
        <v>3748307385.9899998</v>
      </c>
      <c r="AG60" s="189">
        <v>4018278883.3699999</v>
      </c>
      <c r="AH60" s="189">
        <v>5384542050.8599997</v>
      </c>
      <c r="AI60" s="189">
        <v>3718728517.1100001</v>
      </c>
      <c r="AJ60" s="189">
        <v>2896975403.9499998</v>
      </c>
      <c r="AK60" s="189">
        <v>3068245198.5</v>
      </c>
      <c r="AL60" s="189">
        <v>3400946807.1199999</v>
      </c>
      <c r="AM60" s="189">
        <v>2773507279.8699999</v>
      </c>
      <c r="AN60" s="189">
        <v>2585483074.8400002</v>
      </c>
      <c r="AO60" s="189">
        <v>2854019805.1300001</v>
      </c>
      <c r="AP60" s="189">
        <v>2837943173.8000002</v>
      </c>
      <c r="AQ60" s="189">
        <v>2917845623.9000001</v>
      </c>
      <c r="AR60" s="189">
        <v>3793439711.6599998</v>
      </c>
      <c r="AS60" s="189">
        <v>4435851951.6300001</v>
      </c>
      <c r="AT60" s="189">
        <v>4330248717.4099998</v>
      </c>
      <c r="AU60" s="189">
        <v>3010298326.6799998</v>
      </c>
      <c r="AV60" s="189">
        <v>2831934429.3699999</v>
      </c>
      <c r="AW60" s="189">
        <v>2193291519.0100002</v>
      </c>
      <c r="AX60" s="189">
        <v>1805751301.4400001</v>
      </c>
      <c r="AY60" s="189">
        <v>1546722160.6800001</v>
      </c>
      <c r="AZ60" s="189">
        <v>1370823410.96</v>
      </c>
      <c r="BA60" s="189">
        <v>1395886937.3599999</v>
      </c>
      <c r="BB60" s="189">
        <v>1405337970.5599999</v>
      </c>
      <c r="BC60" s="189">
        <v>1044918700.7</v>
      </c>
      <c r="BD60" s="189">
        <v>1046813470.49</v>
      </c>
      <c r="BE60" s="189">
        <v>1310317117.6199999</v>
      </c>
      <c r="BF60" s="189">
        <v>1136624808.76</v>
      </c>
      <c r="BG60" s="189">
        <v>939081230.28999996</v>
      </c>
      <c r="BH60" s="189">
        <v>935486637.28999996</v>
      </c>
      <c r="BI60" s="189">
        <v>1177590445.78</v>
      </c>
      <c r="BJ60" s="189">
        <v>804609305.23000002</v>
      </c>
      <c r="BK60" s="189">
        <v>693249171.07000005</v>
      </c>
      <c r="BL60" s="189">
        <v>669502429.03999996</v>
      </c>
      <c r="BM60" s="189">
        <v>774450746.22000003</v>
      </c>
      <c r="BN60" s="189">
        <v>767894829.26999998</v>
      </c>
      <c r="BO60" s="189">
        <v>696046421.92999995</v>
      </c>
      <c r="BP60" s="189">
        <v>560927630.90999997</v>
      </c>
      <c r="BQ60" s="189">
        <v>550363170.02999997</v>
      </c>
      <c r="BR60" s="189">
        <v>530192187.87</v>
      </c>
      <c r="BS60" s="189">
        <v>536955675.51999998</v>
      </c>
      <c r="BT60" s="189">
        <v>289623854.63</v>
      </c>
      <c r="BU60" s="189">
        <v>310908121.27999997</v>
      </c>
      <c r="BV60" s="189">
        <v>300595872.19</v>
      </c>
      <c r="BW60" s="189">
        <v>331750716.79000002</v>
      </c>
      <c r="BX60" s="189">
        <v>277104362.38</v>
      </c>
      <c r="BY60" s="189">
        <v>241762392.09999999</v>
      </c>
      <c r="BZ60" s="189">
        <v>177355574.47</v>
      </c>
      <c r="CA60" s="189">
        <v>160467385</v>
      </c>
      <c r="CB60" s="189">
        <v>102999523</v>
      </c>
      <c r="CC60" s="189">
        <v>77636020</v>
      </c>
      <c r="CD60" s="189">
        <v>0</v>
      </c>
    </row>
    <row r="61" spans="1:82" x14ac:dyDescent="0.25">
      <c r="A61" s="189" t="s">
        <v>165</v>
      </c>
    </row>
    <row r="62" spans="1:82" x14ac:dyDescent="0.25">
      <c r="A62" s="189" t="s">
        <v>166</v>
      </c>
      <c r="B62" s="189">
        <v>22419435</v>
      </c>
      <c r="C62" s="189">
        <v>9419435</v>
      </c>
      <c r="D62" s="189">
        <v>1286016220</v>
      </c>
      <c r="E62" s="189">
        <v>21236150</v>
      </c>
      <c r="F62" s="189">
        <v>0</v>
      </c>
      <c r="G62" s="189">
        <v>0</v>
      </c>
      <c r="H62" s="189">
        <v>0</v>
      </c>
      <c r="I62" s="189">
        <v>0</v>
      </c>
      <c r="J62" s="189">
        <v>0</v>
      </c>
      <c r="K62" s="189">
        <v>0</v>
      </c>
      <c r="L62" s="189">
        <v>0</v>
      </c>
      <c r="M62" s="189">
        <v>0</v>
      </c>
      <c r="N62" s="189">
        <v>0</v>
      </c>
      <c r="O62" s="189">
        <v>0</v>
      </c>
      <c r="P62" s="189">
        <v>0</v>
      </c>
      <c r="Q62" s="189">
        <v>0</v>
      </c>
      <c r="R62" s="189">
        <v>0</v>
      </c>
      <c r="S62" s="189">
        <v>1269451.8500000001</v>
      </c>
      <c r="T62" s="189">
        <v>2698617.82</v>
      </c>
      <c r="U62" s="189">
        <v>4127783.87</v>
      </c>
      <c r="V62" s="189">
        <v>5556949.8399999999</v>
      </c>
      <c r="W62" s="189">
        <v>6986115.8499999996</v>
      </c>
      <c r="X62" s="189">
        <v>154194818.97999999</v>
      </c>
      <c r="Y62" s="189">
        <v>156111646.56999999</v>
      </c>
      <c r="Z62" s="189">
        <v>11273613.880000001</v>
      </c>
      <c r="AA62" s="189">
        <v>8549999.8900000006</v>
      </c>
      <c r="AB62" s="189">
        <v>9499999.9000000004</v>
      </c>
      <c r="AC62" s="189">
        <v>10451918.619999999</v>
      </c>
      <c r="AD62" s="189">
        <v>11843832.890000001</v>
      </c>
      <c r="AE62" s="189">
        <v>12963388.5</v>
      </c>
      <c r="AF62" s="189">
        <v>9932377.3000000007</v>
      </c>
      <c r="AG62" s="189">
        <v>14673888.550000001</v>
      </c>
      <c r="AH62" s="189">
        <v>23439922.16</v>
      </c>
      <c r="AI62" s="189">
        <v>4356427.4800000004</v>
      </c>
      <c r="AJ62" s="189">
        <v>5035492.09</v>
      </c>
      <c r="AK62" s="189">
        <v>5785681.8600000003</v>
      </c>
      <c r="AL62" s="189">
        <v>303354757.47000003</v>
      </c>
      <c r="AM62" s="189">
        <v>303824559.97000003</v>
      </c>
      <c r="AN62" s="189">
        <v>4623651.3600000003</v>
      </c>
      <c r="AO62" s="189">
        <v>5131493.0199999996</v>
      </c>
      <c r="AP62" s="189">
        <v>7823676.5700000003</v>
      </c>
      <c r="AQ62" s="189">
        <v>3646309.94</v>
      </c>
      <c r="AR62" s="189">
        <v>2021127.54</v>
      </c>
      <c r="AS62" s="189">
        <v>160000000</v>
      </c>
      <c r="AT62" s="189">
        <v>160000000</v>
      </c>
      <c r="AU62" s="189">
        <v>160000000</v>
      </c>
      <c r="AV62" s="189">
        <v>0</v>
      </c>
      <c r="AW62" s="189">
        <v>0</v>
      </c>
      <c r="AX62" s="189">
        <v>0</v>
      </c>
      <c r="AY62" s="189">
        <v>0</v>
      </c>
      <c r="AZ62" s="189">
        <v>0</v>
      </c>
      <c r="BA62" s="189">
        <v>0</v>
      </c>
      <c r="BB62" s="189">
        <v>0</v>
      </c>
      <c r="BC62" s="189">
        <v>0</v>
      </c>
      <c r="BD62" s="189">
        <v>0</v>
      </c>
      <c r="BE62" s="189">
        <v>0</v>
      </c>
      <c r="BF62" s="189">
        <v>0</v>
      </c>
      <c r="BG62" s="189">
        <v>0</v>
      </c>
      <c r="BH62" s="189">
        <v>50000000</v>
      </c>
      <c r="BI62" s="189">
        <v>50000000</v>
      </c>
      <c r="BJ62" s="189">
        <v>0</v>
      </c>
      <c r="BK62" s="189">
        <v>0</v>
      </c>
      <c r="BL62" s="189">
        <v>20000000</v>
      </c>
      <c r="BM62" s="189">
        <v>0</v>
      </c>
      <c r="BN62" s="189">
        <v>0</v>
      </c>
      <c r="BO62" s="189">
        <v>0</v>
      </c>
      <c r="BP62" s="189">
        <v>0</v>
      </c>
      <c r="BQ62" s="189">
        <v>0</v>
      </c>
      <c r="BR62" s="189">
        <v>43000000</v>
      </c>
      <c r="BS62" s="189">
        <v>33000000</v>
      </c>
      <c r="BT62" s="189">
        <v>35500000</v>
      </c>
      <c r="BU62" s="189">
        <v>35500000</v>
      </c>
      <c r="BV62" s="189">
        <v>50500000</v>
      </c>
      <c r="BW62" s="189">
        <v>40000000</v>
      </c>
      <c r="BX62" s="189">
        <v>0</v>
      </c>
      <c r="BY62" s="189">
        <v>0</v>
      </c>
      <c r="BZ62" s="189">
        <v>0</v>
      </c>
      <c r="CA62" s="189">
        <v>2800000</v>
      </c>
      <c r="CB62" s="189">
        <v>13475057</v>
      </c>
      <c r="CC62" s="189">
        <v>25095058</v>
      </c>
      <c r="CD62" s="189">
        <v>0</v>
      </c>
    </row>
    <row r="63" spans="1:82" x14ac:dyDescent="0.25">
      <c r="A63" s="189" t="s">
        <v>167</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row>
    <row r="64" spans="1:82" x14ac:dyDescent="0.25">
      <c r="A64" s="189" t="s">
        <v>168</v>
      </c>
      <c r="B64" s="189">
        <v>13893106.4</v>
      </c>
      <c r="C64" s="189">
        <v>0</v>
      </c>
      <c r="D64" s="189">
        <v>0</v>
      </c>
      <c r="E64" s="189">
        <v>0</v>
      </c>
      <c r="F64" s="189">
        <v>0</v>
      </c>
      <c r="G64" s="189">
        <v>0</v>
      </c>
      <c r="H64" s="189">
        <v>0</v>
      </c>
      <c r="I64" s="189">
        <v>0</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555524.03</v>
      </c>
      <c r="BT64" s="189">
        <v>763845.55</v>
      </c>
      <c r="BU64" s="189">
        <v>972167.07</v>
      </c>
      <c r="BV64" s="189">
        <v>1168706.73</v>
      </c>
      <c r="BW64" s="189">
        <v>1388810.11</v>
      </c>
      <c r="BX64" s="189">
        <v>1597131.63</v>
      </c>
      <c r="BY64" s="189">
        <v>3864447.16</v>
      </c>
      <c r="BZ64" s="189">
        <v>0</v>
      </c>
      <c r="CA64" s="189">
        <v>1511064</v>
      </c>
      <c r="CB64" s="189">
        <v>2865224</v>
      </c>
      <c r="CC64" s="189">
        <v>271445</v>
      </c>
      <c r="CD64" s="189">
        <v>0</v>
      </c>
    </row>
    <row r="65" spans="1:82" x14ac:dyDescent="0.25">
      <c r="A65" s="189" t="s">
        <v>169</v>
      </c>
      <c r="B65" s="189">
        <v>0</v>
      </c>
      <c r="C65" s="189">
        <v>0</v>
      </c>
      <c r="D65" s="189">
        <v>0</v>
      </c>
      <c r="E65" s="189">
        <v>0</v>
      </c>
      <c r="F65" s="189">
        <v>0</v>
      </c>
      <c r="G65" s="189">
        <v>0</v>
      </c>
      <c r="H65" s="189">
        <v>0</v>
      </c>
      <c r="I65" s="189">
        <v>0</v>
      </c>
      <c r="J65" s="189">
        <v>0</v>
      </c>
      <c r="K65" s="189">
        <v>0</v>
      </c>
      <c r="L65" s="189">
        <v>0</v>
      </c>
      <c r="M65" s="189">
        <v>0</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c r="BQ65" s="189">
        <v>0</v>
      </c>
      <c r="BR65" s="189">
        <v>0</v>
      </c>
      <c r="BS65" s="189">
        <v>0</v>
      </c>
      <c r="BT65" s="189">
        <v>0</v>
      </c>
      <c r="BU65" s="189">
        <v>0</v>
      </c>
      <c r="BV65" s="189">
        <v>0</v>
      </c>
      <c r="BW65" s="189">
        <v>0</v>
      </c>
      <c r="BX65" s="189">
        <v>0</v>
      </c>
      <c r="BY65" s="189">
        <v>0</v>
      </c>
      <c r="BZ65" s="189">
        <v>0</v>
      </c>
      <c r="CA65" s="189">
        <v>0</v>
      </c>
      <c r="CB65" s="189">
        <v>0</v>
      </c>
      <c r="CC65" s="189">
        <v>0</v>
      </c>
      <c r="CD65" s="189">
        <v>0</v>
      </c>
    </row>
    <row r="66" spans="1:82" x14ac:dyDescent="0.25">
      <c r="A66" s="189" t="s">
        <v>170</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300000</v>
      </c>
      <c r="AS66" s="189">
        <v>0</v>
      </c>
      <c r="AT66" s="189">
        <v>0</v>
      </c>
      <c r="AU66" s="189">
        <v>0</v>
      </c>
      <c r="AV66" s="189">
        <v>0</v>
      </c>
      <c r="AW66" s="189">
        <v>44460000</v>
      </c>
      <c r="AX66" s="189">
        <v>48808900</v>
      </c>
      <c r="AY66" s="189">
        <v>46408900</v>
      </c>
      <c r="AZ66" s="189">
        <v>24108900</v>
      </c>
      <c r="BA66" s="189">
        <v>24108900</v>
      </c>
      <c r="BB66" s="189">
        <v>2188900</v>
      </c>
      <c r="BC66" s="189">
        <v>2188900</v>
      </c>
      <c r="BD66" s="189">
        <v>2188900</v>
      </c>
      <c r="BE66" s="189">
        <v>2188900</v>
      </c>
      <c r="BF66" s="189">
        <v>2926700</v>
      </c>
      <c r="BG66" s="189">
        <v>1538900</v>
      </c>
      <c r="BH66" s="189">
        <v>1546700</v>
      </c>
      <c r="BI66" s="189">
        <v>1538900</v>
      </c>
      <c r="BJ66" s="189">
        <v>458900</v>
      </c>
      <c r="BK66" s="189">
        <v>300000</v>
      </c>
      <c r="BL66" s="189">
        <v>300000</v>
      </c>
      <c r="BM66" s="189">
        <v>300000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row>
    <row r="67" spans="1:82" x14ac:dyDescent="0.25">
      <c r="A67" s="189" t="s">
        <v>171</v>
      </c>
      <c r="B67" s="189">
        <v>1420097163.6400001</v>
      </c>
      <c r="C67" s="189">
        <v>1490302041.99</v>
      </c>
      <c r="D67" s="189">
        <v>1428834226.6099999</v>
      </c>
      <c r="E67" s="189">
        <v>1574732115.96</v>
      </c>
      <c r="F67" s="189">
        <v>1435430827.55</v>
      </c>
      <c r="G67" s="189">
        <v>1245132510.21</v>
      </c>
      <c r="H67" s="189">
        <v>1164533494.2</v>
      </c>
      <c r="I67" s="189">
        <v>1234662415.8399999</v>
      </c>
      <c r="J67" s="189">
        <v>651002969.15999997</v>
      </c>
      <c r="K67" s="189">
        <v>588266904.69000006</v>
      </c>
      <c r="L67" s="189">
        <v>491269462.89999998</v>
      </c>
      <c r="M67" s="189">
        <v>496077886.62</v>
      </c>
      <c r="N67" s="189">
        <v>334823822.5</v>
      </c>
      <c r="O67" s="189">
        <v>256038199.44</v>
      </c>
      <c r="P67" s="189">
        <v>287796321.11000001</v>
      </c>
      <c r="Q67" s="189">
        <v>314601069.38</v>
      </c>
      <c r="R67" s="189">
        <v>138299127.50999999</v>
      </c>
      <c r="S67" s="189">
        <v>146488530.69999999</v>
      </c>
      <c r="T67" s="189">
        <v>140887041.77000001</v>
      </c>
      <c r="U67" s="189">
        <v>158043162.13</v>
      </c>
      <c r="V67" s="189">
        <v>131013601.90000001</v>
      </c>
      <c r="W67" s="189">
        <v>161978766.13999999</v>
      </c>
      <c r="X67" s="189">
        <v>173872003.09999999</v>
      </c>
      <c r="Y67" s="189">
        <v>194274692.13999999</v>
      </c>
      <c r="Z67" s="189">
        <v>183166665.16</v>
      </c>
      <c r="AA67" s="189">
        <v>227403055.31</v>
      </c>
      <c r="AB67" s="189">
        <v>145291373.87</v>
      </c>
      <c r="AC67" s="189">
        <v>158500932.5</v>
      </c>
      <c r="AD67" s="189">
        <v>116858585.66</v>
      </c>
      <c r="AE67" s="189">
        <v>103803016.70999999</v>
      </c>
      <c r="AF67" s="189">
        <v>102117550.28</v>
      </c>
      <c r="AG67" s="189">
        <v>100480646.84</v>
      </c>
      <c r="AH67" s="189">
        <v>90268143.590000004</v>
      </c>
      <c r="AI67" s="189">
        <v>80904046.010000005</v>
      </c>
      <c r="AJ67" s="189">
        <v>73895668.510000005</v>
      </c>
      <c r="AK67" s="189">
        <v>77172781.409999996</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c r="BX67" s="189">
        <v>0</v>
      </c>
      <c r="BY67" s="189">
        <v>0</v>
      </c>
      <c r="BZ67" s="189">
        <v>0</v>
      </c>
      <c r="CA67" s="189">
        <v>0</v>
      </c>
      <c r="CB67" s="189">
        <v>0</v>
      </c>
      <c r="CC67" s="189">
        <v>0</v>
      </c>
      <c r="CD67" s="189">
        <v>0</v>
      </c>
    </row>
    <row r="68" spans="1:82" x14ac:dyDescent="0.25">
      <c r="A68" s="189" t="s">
        <v>172</v>
      </c>
      <c r="B68" s="189">
        <v>5031045.43</v>
      </c>
      <c r="C68" s="189">
        <v>10561494.130000001</v>
      </c>
      <c r="D68" s="189">
        <v>23734630.390000001</v>
      </c>
      <c r="E68" s="189">
        <v>18890294.579999998</v>
      </c>
      <c r="F68" s="189">
        <v>12385858.949999999</v>
      </c>
      <c r="G68" s="189">
        <v>4825489.2300000004</v>
      </c>
      <c r="H68" s="189">
        <v>1493126.37</v>
      </c>
      <c r="I68" s="189">
        <v>1073881.8899999999</v>
      </c>
      <c r="J68" s="189">
        <v>0</v>
      </c>
      <c r="K68" s="189">
        <v>0</v>
      </c>
      <c r="L68" s="189">
        <v>0</v>
      </c>
      <c r="M68" s="189">
        <v>0</v>
      </c>
      <c r="N68" s="189">
        <v>3705930.69</v>
      </c>
      <c r="O68" s="189">
        <v>1937516.08</v>
      </c>
      <c r="P68" s="189">
        <v>3709373.26</v>
      </c>
      <c r="Q68" s="189">
        <v>3123991.61</v>
      </c>
      <c r="R68" s="189">
        <v>1193794.5900000001</v>
      </c>
      <c r="S68" s="189">
        <v>528738.98</v>
      </c>
      <c r="T68" s="189">
        <v>178212.42</v>
      </c>
      <c r="U68" s="189">
        <v>832363.56</v>
      </c>
      <c r="V68" s="189">
        <v>413186.01</v>
      </c>
      <c r="W68" s="189">
        <v>262672.59999999998</v>
      </c>
      <c r="X68" s="189">
        <v>0</v>
      </c>
      <c r="Y68" s="189">
        <v>0</v>
      </c>
      <c r="Z68" s="189">
        <v>0</v>
      </c>
      <c r="AA68" s="189">
        <v>0</v>
      </c>
      <c r="AB68" s="189">
        <v>1160243.29</v>
      </c>
      <c r="AC68" s="189">
        <v>0</v>
      </c>
      <c r="AD68" s="189">
        <v>0</v>
      </c>
      <c r="AE68" s="189">
        <v>16981764.539999999</v>
      </c>
      <c r="AF68" s="189">
        <v>19688664.539999999</v>
      </c>
      <c r="AG68" s="189">
        <v>28101714.539999999</v>
      </c>
      <c r="AH68" s="189">
        <v>24207264.539999999</v>
      </c>
      <c r="AI68" s="189">
        <v>18488214.539999999</v>
      </c>
      <c r="AJ68" s="189">
        <v>25327255.98</v>
      </c>
      <c r="AK68" s="189">
        <v>33319597.969999999</v>
      </c>
      <c r="AL68" s="189">
        <v>24926814.539999999</v>
      </c>
      <c r="AM68" s="189">
        <v>23481553.780000001</v>
      </c>
      <c r="AN68" s="189">
        <v>8636317.1899999995</v>
      </c>
      <c r="AO68" s="189">
        <v>3087.53</v>
      </c>
      <c r="AP68" s="189">
        <v>4917370.9800000004</v>
      </c>
      <c r="AQ68" s="189">
        <v>33327052.390000001</v>
      </c>
      <c r="AR68" s="189">
        <v>87609415.170000002</v>
      </c>
      <c r="AS68" s="189">
        <v>390910252.42000002</v>
      </c>
      <c r="AT68" s="189">
        <v>361265892.72000003</v>
      </c>
      <c r="AU68" s="189">
        <v>108962995.38</v>
      </c>
      <c r="AV68" s="189">
        <v>37588606.850000001</v>
      </c>
      <c r="AW68" s="189">
        <v>0</v>
      </c>
      <c r="AX68" s="189">
        <v>0</v>
      </c>
      <c r="AY68" s="189">
        <v>0</v>
      </c>
      <c r="AZ68" s="189">
        <v>0</v>
      </c>
      <c r="BA68" s="189">
        <v>0</v>
      </c>
      <c r="BB68" s="189">
        <v>46794</v>
      </c>
      <c r="BC68" s="189">
        <v>0</v>
      </c>
      <c r="BD68" s="189">
        <v>0</v>
      </c>
      <c r="BE68" s="189">
        <v>0</v>
      </c>
      <c r="BF68" s="189">
        <v>72864</v>
      </c>
      <c r="BG68" s="189">
        <v>0</v>
      </c>
      <c r="BH68" s="189">
        <v>72864</v>
      </c>
      <c r="BI68" s="189">
        <v>0</v>
      </c>
      <c r="BJ68" s="189">
        <v>8047451.6100000003</v>
      </c>
      <c r="BK68" s="189">
        <v>4087451.61</v>
      </c>
      <c r="BL68" s="189">
        <v>127451.61</v>
      </c>
      <c r="BM68" s="189">
        <v>81119.61</v>
      </c>
      <c r="BN68" s="189">
        <v>81119.61</v>
      </c>
      <c r="BO68" s="189">
        <v>81119.61</v>
      </c>
      <c r="BP68" s="189">
        <v>0</v>
      </c>
      <c r="BQ68" s="189">
        <v>0</v>
      </c>
      <c r="BR68" s="189">
        <v>0</v>
      </c>
      <c r="BS68" s="189">
        <v>0</v>
      </c>
      <c r="BT68" s="189">
        <v>0</v>
      </c>
      <c r="BU68" s="189">
        <v>0</v>
      </c>
      <c r="BV68" s="189">
        <v>0</v>
      </c>
      <c r="BW68" s="189">
        <v>0</v>
      </c>
      <c r="BX68" s="189">
        <v>0</v>
      </c>
      <c r="BY68" s="189">
        <v>0</v>
      </c>
      <c r="BZ68" s="189">
        <v>0</v>
      </c>
      <c r="CA68" s="189">
        <v>0</v>
      </c>
      <c r="CB68" s="189">
        <v>0</v>
      </c>
      <c r="CC68" s="189">
        <v>0</v>
      </c>
      <c r="CD68" s="189">
        <v>0</v>
      </c>
    </row>
    <row r="69" spans="1:82" x14ac:dyDescent="0.25">
      <c r="A69" s="189" t="s">
        <v>173</v>
      </c>
      <c r="B69" s="189">
        <v>634561345.05999994</v>
      </c>
      <c r="C69" s="189">
        <v>494363047.88999999</v>
      </c>
      <c r="D69" s="189">
        <v>287642660.43000001</v>
      </c>
      <c r="E69" s="189">
        <v>292627339.63999999</v>
      </c>
      <c r="F69" s="189">
        <v>288849549.41000003</v>
      </c>
      <c r="G69" s="189">
        <v>299780021.58999997</v>
      </c>
      <c r="H69" s="189">
        <v>309570508.37</v>
      </c>
      <c r="I69" s="189">
        <v>318405439.37</v>
      </c>
      <c r="J69" s="189">
        <v>321791017</v>
      </c>
      <c r="K69" s="189">
        <v>326252126.39999998</v>
      </c>
      <c r="L69" s="189">
        <v>335379652.44999999</v>
      </c>
      <c r="M69" s="189">
        <v>386678794</v>
      </c>
      <c r="N69" s="189">
        <v>286503740.06</v>
      </c>
      <c r="O69" s="189">
        <v>296522050.93000001</v>
      </c>
      <c r="P69" s="189">
        <v>275691289.11000001</v>
      </c>
      <c r="Q69" s="189">
        <v>286441599.98000002</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44460000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c r="BQ69" s="189">
        <v>0</v>
      </c>
      <c r="BR69" s="189">
        <v>0</v>
      </c>
      <c r="BS69" s="189">
        <v>0</v>
      </c>
      <c r="BT69" s="189">
        <v>0</v>
      </c>
      <c r="BU69" s="189">
        <v>0</v>
      </c>
      <c r="BV69" s="189">
        <v>0</v>
      </c>
      <c r="BW69" s="189">
        <v>0</v>
      </c>
      <c r="BX69" s="189">
        <v>0</v>
      </c>
      <c r="BY69" s="189">
        <v>0</v>
      </c>
      <c r="BZ69" s="189">
        <v>0</v>
      </c>
      <c r="CA69" s="189">
        <v>0</v>
      </c>
      <c r="CB69" s="189">
        <v>0</v>
      </c>
      <c r="CC69" s="189">
        <v>0</v>
      </c>
      <c r="CD69" s="189">
        <v>0</v>
      </c>
    </row>
    <row r="70" spans="1:82"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246511669.06999999</v>
      </c>
      <c r="S70" s="189">
        <v>254485011.59</v>
      </c>
      <c r="T70" s="189">
        <v>261535983.81</v>
      </c>
      <c r="U70" s="189">
        <v>267099526.33000001</v>
      </c>
      <c r="V70" s="189">
        <v>255770100.97999999</v>
      </c>
      <c r="W70" s="189">
        <v>265362778.83000001</v>
      </c>
      <c r="X70" s="189">
        <v>200416433.84999999</v>
      </c>
      <c r="Y70" s="189">
        <v>205397059.68000001</v>
      </c>
      <c r="Z70" s="189">
        <v>196880501.31</v>
      </c>
      <c r="AA70" s="189">
        <v>172453270.06</v>
      </c>
      <c r="AB70" s="189">
        <v>174566038.81</v>
      </c>
      <c r="AC70" s="189">
        <v>176678807.56</v>
      </c>
      <c r="AD70" s="189">
        <v>169791576.31</v>
      </c>
      <c r="AE70" s="189">
        <v>203404345.06</v>
      </c>
      <c r="AF70" s="189">
        <v>150517113.81</v>
      </c>
      <c r="AG70" s="189">
        <v>149629882.56</v>
      </c>
      <c r="AH70" s="189">
        <v>151742651.31</v>
      </c>
      <c r="AI70" s="189">
        <v>147530420.08000001</v>
      </c>
      <c r="AJ70" s="189">
        <v>147255688.81999999</v>
      </c>
      <c r="AK70" s="189">
        <v>148980957.56</v>
      </c>
      <c r="AL70" s="189">
        <v>131664726.3</v>
      </c>
      <c r="AM70" s="189">
        <v>122287068.91</v>
      </c>
      <c r="AN70" s="189">
        <v>123389366.5</v>
      </c>
      <c r="AO70" s="189">
        <v>124491664.09</v>
      </c>
      <c r="AP70" s="189">
        <v>119331045.45</v>
      </c>
      <c r="AQ70" s="189">
        <v>82114681.810000002</v>
      </c>
      <c r="AR70" s="189">
        <v>79175785.739999995</v>
      </c>
      <c r="AS70" s="189">
        <v>80551928.590000004</v>
      </c>
      <c r="AT70" s="189">
        <v>68986571.439999998</v>
      </c>
      <c r="AU70" s="189">
        <v>58497714.289999999</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0</v>
      </c>
      <c r="BU70" s="189">
        <v>0</v>
      </c>
      <c r="BV70" s="189">
        <v>0</v>
      </c>
      <c r="BW70" s="189">
        <v>0</v>
      </c>
      <c r="BX70" s="189">
        <v>0</v>
      </c>
      <c r="BY70" s="189">
        <v>0</v>
      </c>
      <c r="BZ70" s="189">
        <v>0</v>
      </c>
      <c r="CA70" s="189">
        <v>0</v>
      </c>
      <c r="CB70" s="189">
        <v>0</v>
      </c>
      <c r="CC70" s="189">
        <v>0</v>
      </c>
      <c r="CD70" s="189">
        <v>0</v>
      </c>
    </row>
    <row r="71" spans="1:82" x14ac:dyDescent="0.25">
      <c r="A71" s="189" t="s">
        <v>175</v>
      </c>
      <c r="B71" s="189">
        <v>2096002095.53</v>
      </c>
      <c r="C71" s="189">
        <v>2004646019.01</v>
      </c>
      <c r="D71" s="189">
        <v>3026227737.4299998</v>
      </c>
      <c r="E71" s="189">
        <v>1907485900.1800001</v>
      </c>
      <c r="F71" s="189">
        <v>1736666235.9100001</v>
      </c>
      <c r="G71" s="189">
        <v>1549738021.03</v>
      </c>
      <c r="H71" s="189">
        <v>1475597128.9400001</v>
      </c>
      <c r="I71" s="189">
        <v>1554141737.0999999</v>
      </c>
      <c r="J71" s="189">
        <v>972793986.15999997</v>
      </c>
      <c r="K71" s="189">
        <v>914519031.09000003</v>
      </c>
      <c r="L71" s="189">
        <v>826649115.35000002</v>
      </c>
      <c r="M71" s="189">
        <v>882756680.62</v>
      </c>
      <c r="N71" s="189">
        <v>625033493.25</v>
      </c>
      <c r="O71" s="189">
        <v>554497766.45000005</v>
      </c>
      <c r="P71" s="189">
        <v>567196983.48000002</v>
      </c>
      <c r="Q71" s="189">
        <v>604166660.97000003</v>
      </c>
      <c r="R71" s="189">
        <v>386004591.17000002</v>
      </c>
      <c r="S71" s="189">
        <v>402771733.12</v>
      </c>
      <c r="T71" s="189">
        <v>405299855.81999999</v>
      </c>
      <c r="U71" s="189">
        <v>430102835.88999999</v>
      </c>
      <c r="V71" s="189">
        <v>392753838.73000002</v>
      </c>
      <c r="W71" s="189">
        <v>434590333.42000002</v>
      </c>
      <c r="X71" s="189">
        <v>528483255.93000001</v>
      </c>
      <c r="Y71" s="189">
        <v>555783398.38999999</v>
      </c>
      <c r="Z71" s="189">
        <v>391320780.35000002</v>
      </c>
      <c r="AA71" s="189">
        <v>408406325.25999999</v>
      </c>
      <c r="AB71" s="189">
        <v>330517655.87</v>
      </c>
      <c r="AC71" s="189">
        <v>345631658.68000001</v>
      </c>
      <c r="AD71" s="189">
        <v>298493994.86000001</v>
      </c>
      <c r="AE71" s="189">
        <v>337152514.81</v>
      </c>
      <c r="AF71" s="189">
        <v>282255705.93000001</v>
      </c>
      <c r="AG71" s="189">
        <v>292886132.49000001</v>
      </c>
      <c r="AH71" s="189">
        <v>289657981.60000002</v>
      </c>
      <c r="AI71" s="189">
        <v>251279108.11000001</v>
      </c>
      <c r="AJ71" s="189">
        <v>251514105.40000001</v>
      </c>
      <c r="AK71" s="189">
        <v>265259018.80000001</v>
      </c>
      <c r="AL71" s="189">
        <v>459946298.31</v>
      </c>
      <c r="AM71" s="189">
        <v>449593182.66000003</v>
      </c>
      <c r="AN71" s="189">
        <v>136649335.05000001</v>
      </c>
      <c r="AO71" s="189">
        <v>129626244.64</v>
      </c>
      <c r="AP71" s="189">
        <v>132072093</v>
      </c>
      <c r="AQ71" s="189">
        <v>119088044.14</v>
      </c>
      <c r="AR71" s="189">
        <v>169106328.44999999</v>
      </c>
      <c r="AS71" s="189">
        <v>631462181.00999999</v>
      </c>
      <c r="AT71" s="189">
        <v>590252464.15999997</v>
      </c>
      <c r="AU71" s="189">
        <v>327460709.67000002</v>
      </c>
      <c r="AV71" s="189">
        <v>82048606.849999994</v>
      </c>
      <c r="AW71" s="189">
        <v>44460000</v>
      </c>
      <c r="AX71" s="189">
        <v>48808900</v>
      </c>
      <c r="AY71" s="189">
        <v>46408900</v>
      </c>
      <c r="AZ71" s="189">
        <v>24108900</v>
      </c>
      <c r="BA71" s="189">
        <v>24108900</v>
      </c>
      <c r="BB71" s="189">
        <v>2235694</v>
      </c>
      <c r="BC71" s="189">
        <v>2188900</v>
      </c>
      <c r="BD71" s="189">
        <v>2188900</v>
      </c>
      <c r="BE71" s="189">
        <v>2188900</v>
      </c>
      <c r="BF71" s="189">
        <v>2999564</v>
      </c>
      <c r="BG71" s="189">
        <v>1538900</v>
      </c>
      <c r="BH71" s="189">
        <v>51619564</v>
      </c>
      <c r="BI71" s="189">
        <v>51538900</v>
      </c>
      <c r="BJ71" s="189">
        <v>8506351.6099999994</v>
      </c>
      <c r="BK71" s="189">
        <v>4387451.6100000003</v>
      </c>
      <c r="BL71" s="189">
        <v>20427451.609999999</v>
      </c>
      <c r="BM71" s="189">
        <v>381119.61</v>
      </c>
      <c r="BN71" s="189">
        <v>81119.61</v>
      </c>
      <c r="BO71" s="189">
        <v>81119.61</v>
      </c>
      <c r="BP71" s="189">
        <v>0</v>
      </c>
      <c r="BQ71" s="189">
        <v>0</v>
      </c>
      <c r="BR71" s="189">
        <v>43000000</v>
      </c>
      <c r="BS71" s="189">
        <v>33555524.030000001</v>
      </c>
      <c r="BT71" s="189">
        <v>37319044.490000002</v>
      </c>
      <c r="BU71" s="189">
        <v>36476885.469999999</v>
      </c>
      <c r="BV71" s="189">
        <v>49284245.049999997</v>
      </c>
      <c r="BW71" s="189">
        <v>41270749.420000002</v>
      </c>
      <c r="BX71" s="189">
        <v>1918583.94</v>
      </c>
      <c r="BY71" s="189">
        <v>3864447.16</v>
      </c>
      <c r="BZ71" s="189">
        <v>3961850.65</v>
      </c>
      <c r="CA71" s="189">
        <v>4311064</v>
      </c>
      <c r="CB71" s="189">
        <v>16340281</v>
      </c>
      <c r="CC71" s="189">
        <v>25366503</v>
      </c>
      <c r="CD71" s="189">
        <v>0</v>
      </c>
    </row>
    <row r="72" spans="1:82" x14ac:dyDescent="0.25">
      <c r="A72" s="189" t="s">
        <v>176</v>
      </c>
      <c r="B72" s="189">
        <v>21548312279.66</v>
      </c>
      <c r="C72" s="189">
        <v>21153032140.439999</v>
      </c>
      <c r="D72" s="189">
        <v>19676277351.02</v>
      </c>
      <c r="E72" s="189">
        <v>20559547945.830002</v>
      </c>
      <c r="F72" s="189">
        <v>17886307346.869999</v>
      </c>
      <c r="G72" s="189">
        <v>18302379473.599998</v>
      </c>
      <c r="H72" s="189">
        <v>15380939560.16</v>
      </c>
      <c r="I72" s="189">
        <v>21474685132.740002</v>
      </c>
      <c r="J72" s="189">
        <v>15974828917.67</v>
      </c>
      <c r="K72" s="189">
        <v>14741630407.65</v>
      </c>
      <c r="L72" s="189">
        <v>14087309315.82</v>
      </c>
      <c r="M72" s="189">
        <v>17199746022.939999</v>
      </c>
      <c r="N72" s="189">
        <v>14272536101.41</v>
      </c>
      <c r="O72" s="189">
        <v>12454809329.540001</v>
      </c>
      <c r="P72" s="189">
        <v>11127845800.23</v>
      </c>
      <c r="Q72" s="189">
        <v>12962925521.08</v>
      </c>
      <c r="R72" s="189">
        <v>9133757844.0699997</v>
      </c>
      <c r="S72" s="189">
        <v>7430057344.0100002</v>
      </c>
      <c r="T72" s="189">
        <v>7553276950.96</v>
      </c>
      <c r="U72" s="189">
        <v>7440428514.9899998</v>
      </c>
      <c r="V72" s="189">
        <v>8089558996.2600002</v>
      </c>
      <c r="W72" s="189">
        <v>7704446312.0699997</v>
      </c>
      <c r="X72" s="189">
        <v>6569224469.6300001</v>
      </c>
      <c r="Y72" s="189">
        <v>6959554187.3000002</v>
      </c>
      <c r="Z72" s="189">
        <v>6316391592.4499998</v>
      </c>
      <c r="AA72" s="189">
        <v>6285076025.1199999</v>
      </c>
      <c r="AB72" s="189">
        <v>5350754855.8800001</v>
      </c>
      <c r="AC72" s="189">
        <v>4522306159.3699999</v>
      </c>
      <c r="AD72" s="189">
        <v>4987888026.5900002</v>
      </c>
      <c r="AE72" s="189">
        <v>4155733593.7800002</v>
      </c>
      <c r="AF72" s="189">
        <v>4030563091.9200001</v>
      </c>
      <c r="AG72" s="189">
        <v>4311165015.8599997</v>
      </c>
      <c r="AH72" s="189">
        <v>5674200032.46</v>
      </c>
      <c r="AI72" s="189">
        <v>3970007625.2199998</v>
      </c>
      <c r="AJ72" s="189">
        <v>3148489509.3499999</v>
      </c>
      <c r="AK72" s="189">
        <v>3333504217.3000002</v>
      </c>
      <c r="AL72" s="189">
        <v>3860893105.4299998</v>
      </c>
      <c r="AM72" s="189">
        <v>3223100462.5300002</v>
      </c>
      <c r="AN72" s="189">
        <v>2722132409.8899999</v>
      </c>
      <c r="AO72" s="189">
        <v>2983646049.77</v>
      </c>
      <c r="AP72" s="189">
        <v>2970015266.8000002</v>
      </c>
      <c r="AQ72" s="189">
        <v>3036933668.04</v>
      </c>
      <c r="AR72" s="189">
        <v>3962546040.1100001</v>
      </c>
      <c r="AS72" s="189">
        <v>5067314132.6400003</v>
      </c>
      <c r="AT72" s="189">
        <v>4920501181.5699997</v>
      </c>
      <c r="AU72" s="189">
        <v>3337759036.3499999</v>
      </c>
      <c r="AV72" s="189">
        <v>2913983036.2199998</v>
      </c>
      <c r="AW72" s="189">
        <v>2237751519.0100002</v>
      </c>
      <c r="AX72" s="189">
        <v>1854560201.4400001</v>
      </c>
      <c r="AY72" s="189">
        <v>1593131060.6800001</v>
      </c>
      <c r="AZ72" s="189">
        <v>1394932310.96</v>
      </c>
      <c r="BA72" s="189">
        <v>1419995837.3599999</v>
      </c>
      <c r="BB72" s="189">
        <v>1407573664.5599999</v>
      </c>
      <c r="BC72" s="189">
        <v>1047107600.7</v>
      </c>
      <c r="BD72" s="189">
        <v>1049002370.49</v>
      </c>
      <c r="BE72" s="189">
        <v>1312506017.6199999</v>
      </c>
      <c r="BF72" s="189">
        <v>1139624372.76</v>
      </c>
      <c r="BG72" s="189">
        <v>940620130.28999996</v>
      </c>
      <c r="BH72" s="189">
        <v>987106201.28999996</v>
      </c>
      <c r="BI72" s="189">
        <v>1229129345.78</v>
      </c>
      <c r="BJ72" s="189">
        <v>813115656.84000003</v>
      </c>
      <c r="BK72" s="189">
        <v>697636622.67999995</v>
      </c>
      <c r="BL72" s="189">
        <v>689929880.64999998</v>
      </c>
      <c r="BM72" s="189">
        <v>774831865.83000004</v>
      </c>
      <c r="BN72" s="189">
        <v>767975948.88</v>
      </c>
      <c r="BO72" s="189">
        <v>696127541.53999996</v>
      </c>
      <c r="BP72" s="189">
        <v>560927630.90999997</v>
      </c>
      <c r="BQ72" s="189">
        <v>550363170.02999997</v>
      </c>
      <c r="BR72" s="189">
        <v>573192187.87</v>
      </c>
      <c r="BS72" s="189">
        <v>570511199.54999995</v>
      </c>
      <c r="BT72" s="189">
        <v>326942899.12</v>
      </c>
      <c r="BU72" s="189">
        <v>347385006.75</v>
      </c>
      <c r="BV72" s="189">
        <v>349880117.24000001</v>
      </c>
      <c r="BW72" s="189">
        <v>373021466.20999998</v>
      </c>
      <c r="BX72" s="189">
        <v>279022946.31999999</v>
      </c>
      <c r="BY72" s="189">
        <v>245626839.25999999</v>
      </c>
      <c r="BZ72" s="189">
        <v>181317425.12</v>
      </c>
      <c r="CA72" s="189">
        <v>164778449</v>
      </c>
      <c r="CB72" s="189">
        <v>119339804</v>
      </c>
      <c r="CC72" s="189">
        <v>103002523</v>
      </c>
      <c r="CD72" s="189">
        <v>0</v>
      </c>
    </row>
    <row r="73" spans="1:82" x14ac:dyDescent="0.25">
      <c r="A73" s="189" t="s">
        <v>177</v>
      </c>
    </row>
    <row r="74" spans="1:82" x14ac:dyDescent="0.25">
      <c r="A74" s="189" t="s">
        <v>178</v>
      </c>
      <c r="B74" s="189">
        <v>2213939223</v>
      </c>
      <c r="C74" s="189">
        <v>2213939223</v>
      </c>
      <c r="D74" s="189">
        <v>2213939223</v>
      </c>
      <c r="E74" s="189">
        <v>2213939223</v>
      </c>
      <c r="F74" s="189">
        <v>2213939223</v>
      </c>
      <c r="G74" s="189">
        <v>2213939223</v>
      </c>
      <c r="H74" s="189">
        <v>2213939223</v>
      </c>
      <c r="I74" s="189">
        <v>2213939223</v>
      </c>
      <c r="J74" s="189">
        <v>2213939223</v>
      </c>
      <c r="K74" s="189">
        <v>2213939223</v>
      </c>
      <c r="L74" s="189">
        <v>2213939223</v>
      </c>
      <c r="M74" s="189">
        <v>2213939223</v>
      </c>
      <c r="N74" s="189">
        <v>2213939223</v>
      </c>
      <c r="O74" s="189">
        <v>2215998393</v>
      </c>
      <c r="P74" s="189">
        <v>1477332262</v>
      </c>
      <c r="Q74" s="189">
        <v>1477332262</v>
      </c>
      <c r="R74" s="189">
        <v>1270362262</v>
      </c>
      <c r="S74" s="189">
        <v>1273709862</v>
      </c>
      <c r="T74" s="189">
        <v>1273709862</v>
      </c>
      <c r="U74" s="189">
        <v>1273709862</v>
      </c>
      <c r="V74" s="189">
        <v>1273709862</v>
      </c>
      <c r="W74" s="189">
        <v>1275527862</v>
      </c>
      <c r="X74" s="189">
        <v>705286590</v>
      </c>
      <c r="Y74" s="189">
        <v>705286590</v>
      </c>
      <c r="Z74" s="189">
        <v>705286590</v>
      </c>
      <c r="AA74" s="189">
        <v>673660590</v>
      </c>
      <c r="AB74" s="189">
        <v>673660590</v>
      </c>
      <c r="AC74" s="189">
        <v>519891723</v>
      </c>
      <c r="AD74" s="189">
        <v>519891723</v>
      </c>
      <c r="AE74" s="189">
        <v>519891723</v>
      </c>
      <c r="AF74" s="189">
        <v>519891723</v>
      </c>
      <c r="AG74" s="189">
        <v>519891723</v>
      </c>
      <c r="AH74" s="189">
        <v>519891723</v>
      </c>
      <c r="AI74" s="189">
        <v>519891723</v>
      </c>
      <c r="AJ74" s="189">
        <v>519891723</v>
      </c>
      <c r="AK74" s="189">
        <v>519891723</v>
      </c>
      <c r="AL74" s="189">
        <v>519891723</v>
      </c>
      <c r="AM74" s="189">
        <v>519891723</v>
      </c>
      <c r="AN74" s="189">
        <v>519891723</v>
      </c>
      <c r="AO74" s="189">
        <v>519891723</v>
      </c>
      <c r="AP74" s="189">
        <v>519891723</v>
      </c>
      <c r="AQ74" s="189">
        <v>519891723</v>
      </c>
      <c r="AR74" s="189">
        <v>399916710</v>
      </c>
      <c r="AS74" s="189">
        <v>399916710</v>
      </c>
      <c r="AT74" s="189">
        <v>399916710</v>
      </c>
      <c r="AU74" s="189">
        <v>399916710</v>
      </c>
      <c r="AV74" s="189">
        <v>399916710</v>
      </c>
      <c r="AW74" s="189">
        <v>399916710</v>
      </c>
      <c r="AX74" s="189">
        <v>399916710</v>
      </c>
      <c r="AY74" s="189">
        <v>399916710</v>
      </c>
      <c r="AZ74" s="189">
        <v>266611140</v>
      </c>
      <c r="BA74" s="189">
        <v>266611140</v>
      </c>
      <c r="BB74" s="189">
        <v>266611140</v>
      </c>
      <c r="BC74" s="189">
        <v>266611140</v>
      </c>
      <c r="BD74" s="189">
        <v>205085492</v>
      </c>
      <c r="BE74" s="189">
        <v>205085492</v>
      </c>
      <c r="BF74" s="189">
        <v>205085492</v>
      </c>
      <c r="BG74" s="189">
        <v>205085492</v>
      </c>
      <c r="BH74" s="189">
        <v>136723661</v>
      </c>
      <c r="BI74" s="189">
        <v>136723661</v>
      </c>
      <c r="BJ74" s="189">
        <v>136723661</v>
      </c>
      <c r="BK74" s="189">
        <v>136723661</v>
      </c>
      <c r="BL74" s="189">
        <v>136723661</v>
      </c>
      <c r="BM74" s="189">
        <v>136723661</v>
      </c>
      <c r="BN74" s="189">
        <v>136723661</v>
      </c>
      <c r="BO74" s="189">
        <v>136723661</v>
      </c>
      <c r="BP74" s="189">
        <v>136723661</v>
      </c>
      <c r="BQ74" s="189">
        <v>136723661</v>
      </c>
      <c r="BR74" s="189">
        <v>136723661</v>
      </c>
      <c r="BS74" s="189">
        <v>136723661</v>
      </c>
      <c r="BT74" s="189">
        <v>113821734</v>
      </c>
      <c r="BU74" s="189">
        <v>113821734</v>
      </c>
      <c r="BV74" s="189">
        <v>113821734</v>
      </c>
      <c r="BW74" s="189">
        <v>113821734</v>
      </c>
      <c r="BX74" s="189">
        <v>73000000</v>
      </c>
      <c r="BY74" s="189">
        <v>73000000</v>
      </c>
      <c r="BZ74" s="189">
        <v>73000000</v>
      </c>
      <c r="CA74" s="189">
        <v>38000000</v>
      </c>
      <c r="CB74" s="189">
        <v>12500000</v>
      </c>
      <c r="CC74" s="189">
        <v>12500000</v>
      </c>
      <c r="CD74" s="189">
        <v>0</v>
      </c>
    </row>
    <row r="75" spans="1:82" x14ac:dyDescent="0.25">
      <c r="A75" s="189" t="s">
        <v>179</v>
      </c>
      <c r="B75" s="189">
        <v>1278768580.22</v>
      </c>
      <c r="C75" s="189">
        <v>1278768580.22</v>
      </c>
      <c r="D75" s="189">
        <v>1278768580.22</v>
      </c>
      <c r="E75" s="189">
        <v>1278768580.22</v>
      </c>
      <c r="F75" s="189">
        <v>1278768580.22</v>
      </c>
      <c r="G75" s="189">
        <v>1278768580.22</v>
      </c>
      <c r="H75" s="189">
        <v>1278768580.22</v>
      </c>
      <c r="I75" s="189">
        <v>1278768580.22</v>
      </c>
      <c r="J75" s="189">
        <v>1278768580.22</v>
      </c>
      <c r="K75" s="189">
        <v>1278768580.22</v>
      </c>
      <c r="L75" s="189">
        <v>1278768580.22</v>
      </c>
      <c r="M75" s="189">
        <v>1278768580.22</v>
      </c>
      <c r="N75" s="189">
        <v>1278588580.22</v>
      </c>
      <c r="O75" s="189">
        <v>1288883166.7</v>
      </c>
      <c r="P75" s="189">
        <v>2024745668.97</v>
      </c>
      <c r="Q75" s="189">
        <v>2020540225.8599999</v>
      </c>
      <c r="R75" s="189">
        <v>2259426048.2600002</v>
      </c>
      <c r="S75" s="189">
        <v>2276985106.9400001</v>
      </c>
      <c r="T75" s="189">
        <v>2267826802.6399999</v>
      </c>
      <c r="U75" s="189">
        <v>2258668498.3400002</v>
      </c>
      <c r="V75" s="189">
        <v>2236520343.4499998</v>
      </c>
      <c r="W75" s="189">
        <v>2234713099.77</v>
      </c>
      <c r="X75" s="189">
        <v>2737085046.48</v>
      </c>
      <c r="Y75" s="189">
        <v>2724892791.21</v>
      </c>
      <c r="Z75" s="189">
        <v>2816393871.7800002</v>
      </c>
      <c r="AA75" s="189">
        <v>2443839591.7800002</v>
      </c>
      <c r="AB75" s="189">
        <v>2320123615.1300001</v>
      </c>
      <c r="AC75" s="189">
        <v>276185737.31999999</v>
      </c>
      <c r="AD75" s="189">
        <v>253381468.88</v>
      </c>
      <c r="AE75" s="189">
        <v>370272910.88</v>
      </c>
      <c r="AF75" s="189">
        <v>385612010.88</v>
      </c>
      <c r="AG75" s="189">
        <v>433285960.88</v>
      </c>
      <c r="AH75" s="189">
        <v>411217410.88</v>
      </c>
      <c r="AI75" s="189">
        <v>378809460.88</v>
      </c>
      <c r="AJ75" s="189">
        <v>415719860.88</v>
      </c>
      <c r="AK75" s="189">
        <v>458504610.88</v>
      </c>
      <c r="AL75" s="189">
        <v>415294860.88</v>
      </c>
      <c r="AM75" s="189">
        <v>407105049.88</v>
      </c>
      <c r="AN75" s="189">
        <v>326334030.13</v>
      </c>
      <c r="AO75" s="189">
        <v>221496821.93000001</v>
      </c>
      <c r="AP75" s="189">
        <v>290604033.49000001</v>
      </c>
      <c r="AQ75" s="189">
        <v>381596376.39999998</v>
      </c>
      <c r="AR75" s="189">
        <v>645970285.35000002</v>
      </c>
      <c r="AS75" s="189">
        <v>1571361977.3</v>
      </c>
      <c r="AT75" s="189">
        <v>1131633313.6500001</v>
      </c>
      <c r="AU75" s="189">
        <v>623843396.53999996</v>
      </c>
      <c r="AV75" s="189">
        <v>476305372.54000002</v>
      </c>
      <c r="AW75" s="189">
        <v>411592256.72000003</v>
      </c>
      <c r="AX75" s="189">
        <v>397481532.50999999</v>
      </c>
      <c r="AY75" s="189">
        <v>397481318.11000001</v>
      </c>
      <c r="AZ75" s="189">
        <v>530786888.11000001</v>
      </c>
      <c r="BA75" s="189">
        <v>530786888.11000001</v>
      </c>
      <c r="BB75" s="189">
        <v>530785038.11000001</v>
      </c>
      <c r="BC75" s="189">
        <v>530690032.11000001</v>
      </c>
      <c r="BD75" s="189">
        <v>592215680.11000001</v>
      </c>
      <c r="BE75" s="189">
        <v>592215680.11000001</v>
      </c>
      <c r="BF75" s="189">
        <v>591884314.65999997</v>
      </c>
      <c r="BG75" s="189">
        <v>588631813.00999999</v>
      </c>
      <c r="BH75" s="189">
        <v>657114426.23000002</v>
      </c>
      <c r="BI75" s="189">
        <v>656797141.63</v>
      </c>
      <c r="BJ75" s="189">
        <v>656762773.75999999</v>
      </c>
      <c r="BK75" s="189">
        <v>648698059.75999999</v>
      </c>
      <c r="BL75" s="189">
        <v>640655379.75999999</v>
      </c>
      <c r="BM75" s="189">
        <v>640555281.75999999</v>
      </c>
      <c r="BN75" s="189">
        <v>639939010.39999998</v>
      </c>
      <c r="BO75" s="189">
        <v>639939010.39999998</v>
      </c>
      <c r="BP75" s="189">
        <v>639774313.00999999</v>
      </c>
      <c r="BQ75" s="189">
        <v>639774313.00999999</v>
      </c>
      <c r="BR75" s="189">
        <v>639774313.00999999</v>
      </c>
      <c r="BS75" s="189">
        <v>639218788.98000002</v>
      </c>
      <c r="BT75" s="189">
        <v>439886833.74000001</v>
      </c>
      <c r="BU75" s="189">
        <v>439886833.74000001</v>
      </c>
      <c r="BV75" s="189">
        <v>439886833.74000001</v>
      </c>
      <c r="BW75" s="189">
        <v>439886833.74000001</v>
      </c>
      <c r="BX75" s="189">
        <v>309924232.63999999</v>
      </c>
      <c r="BY75" s="189">
        <v>309924232.63999999</v>
      </c>
      <c r="BZ75" s="189">
        <v>316453297.04000002</v>
      </c>
      <c r="CA75" s="189">
        <v>13995752</v>
      </c>
      <c r="CB75" s="189">
        <v>915752</v>
      </c>
      <c r="CC75" s="189">
        <v>0</v>
      </c>
      <c r="CD75" s="189">
        <v>0</v>
      </c>
    </row>
    <row r="76" spans="1:82"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0</v>
      </c>
      <c r="CC76" s="189">
        <v>0</v>
      </c>
      <c r="CD76" s="189">
        <v>0</v>
      </c>
    </row>
    <row r="77" spans="1:82" x14ac:dyDescent="0.25">
      <c r="A77" s="189" t="s">
        <v>181</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row>
    <row r="78" spans="1:82" x14ac:dyDescent="0.25">
      <c r="A78" s="189" t="s">
        <v>182</v>
      </c>
      <c r="B78" s="189">
        <v>2882921.51</v>
      </c>
      <c r="C78" s="189">
        <v>2627556.62</v>
      </c>
      <c r="D78" s="189">
        <v>2412860.4700000002</v>
      </c>
      <c r="E78" s="189">
        <v>2165972.85</v>
      </c>
      <c r="F78" s="189">
        <v>1977183.63</v>
      </c>
      <c r="G78" s="189">
        <v>1750963.46</v>
      </c>
      <c r="H78" s="189">
        <v>1541702.62</v>
      </c>
      <c r="I78" s="189">
        <v>1346957.51</v>
      </c>
      <c r="J78" s="189">
        <v>1440336.1</v>
      </c>
      <c r="K78" s="189">
        <v>1194552.99</v>
      </c>
      <c r="L78" s="189">
        <v>1191673.33</v>
      </c>
      <c r="M78" s="189">
        <v>1096650.75</v>
      </c>
      <c r="N78" s="189">
        <v>869227.29</v>
      </c>
      <c r="O78" s="189">
        <v>740454.12</v>
      </c>
      <c r="P78" s="189">
        <v>464250.76</v>
      </c>
      <c r="Q78" s="189">
        <v>281615.84000000003</v>
      </c>
      <c r="R78" s="189">
        <v>846846.35</v>
      </c>
      <c r="S78" s="189">
        <v>945761.49</v>
      </c>
      <c r="T78" s="189">
        <v>531437.39</v>
      </c>
      <c r="U78" s="189">
        <v>395350.17</v>
      </c>
      <c r="V78" s="189">
        <v>218804.6</v>
      </c>
      <c r="W78" s="189">
        <v>10539.39</v>
      </c>
      <c r="X78" s="189">
        <v>328775.53999999998</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c r="BQ78" s="189">
        <v>0</v>
      </c>
      <c r="BR78" s="189">
        <v>0</v>
      </c>
      <c r="BS78" s="189">
        <v>0</v>
      </c>
      <c r="BT78" s="189">
        <v>0</v>
      </c>
      <c r="BU78" s="189">
        <v>0</v>
      </c>
      <c r="BV78" s="189">
        <v>0</v>
      </c>
      <c r="BW78" s="189">
        <v>0</v>
      </c>
      <c r="BX78" s="189">
        <v>0</v>
      </c>
      <c r="BY78" s="189">
        <v>0</v>
      </c>
      <c r="BZ78" s="189">
        <v>0</v>
      </c>
      <c r="CA78" s="189">
        <v>0</v>
      </c>
      <c r="CB78" s="189">
        <v>0</v>
      </c>
      <c r="CC78" s="189">
        <v>0</v>
      </c>
      <c r="CD78" s="189">
        <v>0</v>
      </c>
    </row>
    <row r="79" spans="1:82" x14ac:dyDescent="0.25">
      <c r="A79" s="189" t="s">
        <v>183</v>
      </c>
      <c r="B79" s="189">
        <v>2274070668.4699998</v>
      </c>
      <c r="C79" s="189">
        <v>2274070668.4699998</v>
      </c>
      <c r="D79" s="189">
        <v>2274070668.4699998</v>
      </c>
      <c r="E79" s="189">
        <v>2274070668.4699998</v>
      </c>
      <c r="F79" s="189">
        <v>1951071439.6900001</v>
      </c>
      <c r="G79" s="189">
        <v>1951071439.6900001</v>
      </c>
      <c r="H79" s="189">
        <v>1951071439.6900001</v>
      </c>
      <c r="I79" s="189">
        <v>1951071439.6900001</v>
      </c>
      <c r="J79" s="189">
        <v>1554726589.1900001</v>
      </c>
      <c r="K79" s="189">
        <v>1554726589.1800001</v>
      </c>
      <c r="L79" s="189">
        <v>1554726589.1800001</v>
      </c>
      <c r="M79" s="189">
        <v>1554726589.1800001</v>
      </c>
      <c r="N79" s="189">
        <v>1255734345.4400001</v>
      </c>
      <c r="O79" s="189">
        <v>1255734345.4400001</v>
      </c>
      <c r="P79" s="189">
        <v>1255734345.4400001</v>
      </c>
      <c r="Q79" s="189">
        <v>1255734345.4400001</v>
      </c>
      <c r="R79" s="189">
        <v>860127771.41999996</v>
      </c>
      <c r="S79" s="189">
        <v>860127771.41999996</v>
      </c>
      <c r="T79" s="189">
        <v>860127771.41999996</v>
      </c>
      <c r="U79" s="189">
        <v>860127771.41999996</v>
      </c>
      <c r="V79" s="189">
        <v>676822408.36000001</v>
      </c>
      <c r="W79" s="189">
        <v>676822408.36000001</v>
      </c>
      <c r="X79" s="189">
        <v>676822408.36000001</v>
      </c>
      <c r="Y79" s="189">
        <v>676822408.36000001</v>
      </c>
      <c r="Z79" s="189">
        <v>523207061.33999997</v>
      </c>
      <c r="AA79" s="189">
        <v>523207061.33999997</v>
      </c>
      <c r="AB79" s="189">
        <v>523207061.33999997</v>
      </c>
      <c r="AC79" s="189">
        <v>523207061.33999997</v>
      </c>
      <c r="AD79" s="189">
        <v>404789768.01999998</v>
      </c>
      <c r="AE79" s="189">
        <v>404789768.01999998</v>
      </c>
      <c r="AF79" s="189">
        <v>404789768.01999998</v>
      </c>
      <c r="AG79" s="189">
        <v>404789768.01999998</v>
      </c>
      <c r="AH79" s="189">
        <v>317962760.52999997</v>
      </c>
      <c r="AI79" s="189">
        <v>317962760.52999997</v>
      </c>
      <c r="AJ79" s="189">
        <v>317962760.52999997</v>
      </c>
      <c r="AK79" s="189">
        <v>317962760.52999997</v>
      </c>
      <c r="AL79" s="189">
        <v>260974589.40000001</v>
      </c>
      <c r="AM79" s="189">
        <v>260974589.40000001</v>
      </c>
      <c r="AN79" s="189">
        <v>260974589.40000001</v>
      </c>
      <c r="AO79" s="189">
        <v>260974589.40000001</v>
      </c>
      <c r="AP79" s="189">
        <v>203384337.31</v>
      </c>
      <c r="AQ79" s="189">
        <v>203384337.31</v>
      </c>
      <c r="AR79" s="189">
        <v>203384337.31</v>
      </c>
      <c r="AS79" s="189">
        <v>203384337.31</v>
      </c>
      <c r="AT79" s="189">
        <v>169067341.65000001</v>
      </c>
      <c r="AU79" s="189">
        <v>169067341.65000001</v>
      </c>
      <c r="AV79" s="189">
        <v>169064988.90000001</v>
      </c>
      <c r="AW79" s="189">
        <v>160327753.03999999</v>
      </c>
      <c r="AX79" s="189">
        <v>137690460.25</v>
      </c>
      <c r="AY79" s="189">
        <v>137690460.25</v>
      </c>
      <c r="AZ79" s="189">
        <v>137690460.25</v>
      </c>
      <c r="BA79" s="189">
        <v>137690460.25</v>
      </c>
      <c r="BB79" s="189">
        <v>109838764.7</v>
      </c>
      <c r="BC79" s="189">
        <v>109838764.7</v>
      </c>
      <c r="BD79" s="189">
        <v>109838764.7</v>
      </c>
      <c r="BE79" s="189">
        <v>109838764.7</v>
      </c>
      <c r="BF79" s="189">
        <v>88286218.700000003</v>
      </c>
      <c r="BG79" s="189">
        <v>88286218.700000003</v>
      </c>
      <c r="BH79" s="189">
        <v>88286218.700000003</v>
      </c>
      <c r="BI79" s="189">
        <v>88286218.700000003</v>
      </c>
      <c r="BJ79" s="189">
        <v>69048030.489999995</v>
      </c>
      <c r="BK79" s="189">
        <v>69048030.489999995</v>
      </c>
      <c r="BL79" s="189">
        <v>69048030.489999995</v>
      </c>
      <c r="BM79" s="189">
        <v>69048030.489999995</v>
      </c>
      <c r="BN79" s="189">
        <v>53439328.950000003</v>
      </c>
      <c r="BO79" s="189">
        <v>53439328.950000003</v>
      </c>
      <c r="BP79" s="189">
        <v>53439328.950000003</v>
      </c>
      <c r="BQ79" s="189">
        <v>53439328.950000003</v>
      </c>
      <c r="BR79" s="189">
        <v>38498520.469999999</v>
      </c>
      <c r="BS79" s="189">
        <v>38675556.899999999</v>
      </c>
      <c r="BT79" s="189">
        <v>30349207.629999999</v>
      </c>
      <c r="BU79" s="189">
        <v>30349207.629999999</v>
      </c>
      <c r="BV79" s="189">
        <v>21040090.050000001</v>
      </c>
      <c r="BW79" s="189">
        <v>21040090.050000001</v>
      </c>
      <c r="BX79" s="189">
        <v>12187330.789999999</v>
      </c>
      <c r="BY79" s="189">
        <v>12187330.789999999</v>
      </c>
      <c r="BZ79" s="189">
        <v>5792432.96</v>
      </c>
      <c r="CA79" s="189">
        <v>5792433</v>
      </c>
      <c r="CB79" s="189">
        <v>2611679</v>
      </c>
      <c r="CC79" s="189">
        <v>382188</v>
      </c>
      <c r="CD79" s="189">
        <v>0</v>
      </c>
    </row>
    <row r="80" spans="1:82"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c r="BQ80" s="189">
        <v>0</v>
      </c>
      <c r="BR80" s="189">
        <v>0</v>
      </c>
      <c r="BS80" s="189">
        <v>0</v>
      </c>
      <c r="BT80" s="189">
        <v>0</v>
      </c>
      <c r="BU80" s="189">
        <v>0</v>
      </c>
      <c r="BV80" s="189">
        <v>0</v>
      </c>
      <c r="BW80" s="189">
        <v>0</v>
      </c>
      <c r="BX80" s="189">
        <v>0</v>
      </c>
      <c r="BY80" s="189">
        <v>0</v>
      </c>
      <c r="BZ80" s="189">
        <v>0</v>
      </c>
      <c r="CA80" s="189">
        <v>0</v>
      </c>
      <c r="CB80" s="189">
        <v>0</v>
      </c>
      <c r="CC80" s="189">
        <v>0</v>
      </c>
      <c r="CD80" s="189">
        <v>0</v>
      </c>
    </row>
    <row r="81" spans="1:82" x14ac:dyDescent="0.25">
      <c r="A81" s="189" t="s">
        <v>185</v>
      </c>
      <c r="B81" s="189">
        <v>8821552102.8500004</v>
      </c>
      <c r="C81" s="189">
        <v>8240317876.1400003</v>
      </c>
      <c r="D81" s="189">
        <v>9025489105.9400005</v>
      </c>
      <c r="E81" s="189">
        <v>8730792974.2900009</v>
      </c>
      <c r="F81" s="189">
        <v>7826934155.3100004</v>
      </c>
      <c r="G81" s="189">
        <v>6729650058.6000004</v>
      </c>
      <c r="H81" s="189">
        <v>8454753649.5799999</v>
      </c>
      <c r="I81" s="189">
        <v>8138537519.4799995</v>
      </c>
      <c r="J81" s="189">
        <v>6767475358.4200001</v>
      </c>
      <c r="K81" s="189">
        <v>5726438003.1000004</v>
      </c>
      <c r="L81" s="189">
        <v>8190580282.3100004</v>
      </c>
      <c r="M81" s="189">
        <v>7812045638.79</v>
      </c>
      <c r="N81" s="189">
        <v>6441118610.9399996</v>
      </c>
      <c r="O81" s="189">
        <v>5519415638.3800001</v>
      </c>
      <c r="P81" s="189">
        <v>6424092875.4700003</v>
      </c>
      <c r="Q81" s="189">
        <v>6050572478.5200005</v>
      </c>
      <c r="R81" s="189">
        <v>4847380170.1400003</v>
      </c>
      <c r="S81" s="189">
        <v>4414090129.0299997</v>
      </c>
      <c r="T81" s="189">
        <v>4637254881.54</v>
      </c>
      <c r="U81" s="189">
        <v>4354160425.9899998</v>
      </c>
      <c r="V81" s="189">
        <v>3618008569.8200002</v>
      </c>
      <c r="W81" s="189">
        <v>3346208932.1900001</v>
      </c>
      <c r="X81" s="189">
        <v>3473330574.9899998</v>
      </c>
      <c r="Y81" s="189">
        <v>3207884211.3800001</v>
      </c>
      <c r="Z81" s="189">
        <v>2784821778.9699998</v>
      </c>
      <c r="AA81" s="189">
        <v>2401467497.02</v>
      </c>
      <c r="AB81" s="189">
        <v>2255232513.73</v>
      </c>
      <c r="AC81" s="189">
        <v>2013876191.3199999</v>
      </c>
      <c r="AD81" s="189">
        <v>1699206020.0799999</v>
      </c>
      <c r="AE81" s="189">
        <v>1390089134.01</v>
      </c>
      <c r="AF81" s="189">
        <v>1301509826.4300001</v>
      </c>
      <c r="AG81" s="189">
        <v>1124276261.53</v>
      </c>
      <c r="AH81" s="189">
        <v>897403793.02999997</v>
      </c>
      <c r="AI81" s="189">
        <v>713081195.27999997</v>
      </c>
      <c r="AJ81" s="189">
        <v>1012630293.97</v>
      </c>
      <c r="AK81" s="189">
        <v>871330568.09000003</v>
      </c>
      <c r="AL81" s="189">
        <v>702242752.16999996</v>
      </c>
      <c r="AM81" s="189">
        <v>557138403.88</v>
      </c>
      <c r="AN81" s="189">
        <v>731662776.19000006</v>
      </c>
      <c r="AO81" s="189">
        <v>676768629.24000001</v>
      </c>
      <c r="AP81" s="189">
        <v>578698100.84000003</v>
      </c>
      <c r="AQ81" s="189">
        <v>600179732.29999995</v>
      </c>
      <c r="AR81" s="189">
        <v>743874842.48000002</v>
      </c>
      <c r="AS81" s="189">
        <v>483535172.94</v>
      </c>
      <c r="AT81" s="189">
        <v>322927101.92000002</v>
      </c>
      <c r="AU81" s="189">
        <v>258711026.63</v>
      </c>
      <c r="AV81" s="189">
        <v>198524398.88999999</v>
      </c>
      <c r="AW81" s="189">
        <v>275355376.79000002</v>
      </c>
      <c r="AX81" s="189">
        <v>204642796.55000001</v>
      </c>
      <c r="AY81" s="189">
        <v>155084888.91</v>
      </c>
      <c r="AZ81" s="189">
        <v>378358780.41000003</v>
      </c>
      <c r="BA81" s="189">
        <v>343862142.16000003</v>
      </c>
      <c r="BB81" s="189">
        <v>300355206.68000001</v>
      </c>
      <c r="BC81" s="189">
        <v>252823352.30000001</v>
      </c>
      <c r="BD81" s="189">
        <v>213907012.43000001</v>
      </c>
      <c r="BE81" s="189">
        <v>288578613.38</v>
      </c>
      <c r="BF81" s="189">
        <v>257256101.18000001</v>
      </c>
      <c r="BG81" s="189">
        <v>208565356.21000001</v>
      </c>
      <c r="BH81" s="189">
        <v>241791162.84999999</v>
      </c>
      <c r="BI81" s="189">
        <v>221136983.80000001</v>
      </c>
      <c r="BJ81" s="189">
        <v>183827756.66999999</v>
      </c>
      <c r="BK81" s="189">
        <v>139092933.38999999</v>
      </c>
      <c r="BL81" s="189">
        <v>136532592.09</v>
      </c>
      <c r="BM81" s="189">
        <v>112120583.95</v>
      </c>
      <c r="BN81" s="189">
        <v>85790879.280000001</v>
      </c>
      <c r="BO81" s="189">
        <v>56665969.380000003</v>
      </c>
      <c r="BP81" s="189">
        <v>35444280.030000001</v>
      </c>
      <c r="BQ81" s="189">
        <v>23671275.23</v>
      </c>
      <c r="BR81" s="189">
        <v>51151170.280000001</v>
      </c>
      <c r="BS81" s="189">
        <v>22044096.879999999</v>
      </c>
      <c r="BT81" s="189">
        <v>76025353.109999999</v>
      </c>
      <c r="BU81" s="189">
        <v>56895647.590000004</v>
      </c>
      <c r="BV81" s="189">
        <v>25682219.859999999</v>
      </c>
      <c r="BW81" s="189">
        <v>4143981.35</v>
      </c>
      <c r="BX81" s="189">
        <v>31224982.199999999</v>
      </c>
      <c r="BY81" s="189">
        <v>10889212.560000001</v>
      </c>
      <c r="BZ81" s="189">
        <v>36805088.310000002</v>
      </c>
      <c r="CA81" s="189">
        <v>18451458</v>
      </c>
      <c r="CB81" s="189">
        <v>12927188</v>
      </c>
      <c r="CC81" s="189">
        <v>293402</v>
      </c>
      <c r="CD81" s="189">
        <v>0</v>
      </c>
    </row>
    <row r="82" spans="1:82" x14ac:dyDescent="0.25">
      <c r="A82" s="189" t="s">
        <v>186</v>
      </c>
      <c r="B82" s="189">
        <v>15591213496.049999</v>
      </c>
      <c r="C82" s="189">
        <v>15009723904.450001</v>
      </c>
      <c r="D82" s="189">
        <v>15794680438.1</v>
      </c>
      <c r="E82" s="189">
        <v>15499737418.83</v>
      </c>
      <c r="F82" s="189">
        <v>13272690581.85</v>
      </c>
      <c r="G82" s="189">
        <v>12175180264.969999</v>
      </c>
      <c r="H82" s="189">
        <v>13900074595.110001</v>
      </c>
      <c r="I82" s="189">
        <v>13583663719.9</v>
      </c>
      <c r="J82" s="189">
        <v>11816350086.93</v>
      </c>
      <c r="K82" s="189">
        <v>10775066948.49</v>
      </c>
      <c r="L82" s="189">
        <v>13239206348.040001</v>
      </c>
      <c r="M82" s="189">
        <v>12860576681.940001</v>
      </c>
      <c r="N82" s="189">
        <v>11190249986.889999</v>
      </c>
      <c r="O82" s="189">
        <v>10280771997.639999</v>
      </c>
      <c r="P82" s="189">
        <v>11182369402.639999</v>
      </c>
      <c r="Q82" s="189">
        <v>10804460927.66</v>
      </c>
      <c r="R82" s="189">
        <v>9238143098.1700001</v>
      </c>
      <c r="S82" s="189">
        <v>8825858630.8799992</v>
      </c>
      <c r="T82" s="189">
        <v>9039450754.9899998</v>
      </c>
      <c r="U82" s="189">
        <v>8747061907.9200001</v>
      </c>
      <c r="V82" s="189">
        <v>7805279988.2299995</v>
      </c>
      <c r="W82" s="189">
        <v>7533282841.71</v>
      </c>
      <c r="X82" s="189">
        <v>7592853395.3699999</v>
      </c>
      <c r="Y82" s="189">
        <v>7314886000.9499998</v>
      </c>
      <c r="Z82" s="189">
        <v>6829709302.0900002</v>
      </c>
      <c r="AA82" s="189">
        <v>6042174740.1400003</v>
      </c>
      <c r="AB82" s="189">
        <v>5772223780.1999998</v>
      </c>
      <c r="AC82" s="189">
        <v>3333160712.98</v>
      </c>
      <c r="AD82" s="189">
        <v>2877268979.98</v>
      </c>
      <c r="AE82" s="189">
        <v>2685043535.9099998</v>
      </c>
      <c r="AF82" s="189">
        <v>2611803328.3299999</v>
      </c>
      <c r="AG82" s="189">
        <v>2482243713.4299998</v>
      </c>
      <c r="AH82" s="189">
        <v>2146475687.4400001</v>
      </c>
      <c r="AI82" s="189">
        <v>1929745139.6900001</v>
      </c>
      <c r="AJ82" s="189">
        <v>2266204638.3800001</v>
      </c>
      <c r="AK82" s="189">
        <v>2167689662.5</v>
      </c>
      <c r="AL82" s="189">
        <v>1898403925.45</v>
      </c>
      <c r="AM82" s="189">
        <v>1745109766.1600001</v>
      </c>
      <c r="AN82" s="189">
        <v>1838863118.72</v>
      </c>
      <c r="AO82" s="189">
        <v>1679131763.5699999</v>
      </c>
      <c r="AP82" s="189">
        <v>1592578194.6400001</v>
      </c>
      <c r="AQ82" s="189">
        <v>1705052169.01</v>
      </c>
      <c r="AR82" s="189">
        <v>1993146175.1400001</v>
      </c>
      <c r="AS82" s="189">
        <v>2658198197.5500002</v>
      </c>
      <c r="AT82" s="189">
        <v>2023544467.22</v>
      </c>
      <c r="AU82" s="189">
        <v>1451538474.8199999</v>
      </c>
      <c r="AV82" s="189">
        <v>1243811470.3299999</v>
      </c>
      <c r="AW82" s="189">
        <v>1247192096.55</v>
      </c>
      <c r="AX82" s="189">
        <v>1139731499.3099999</v>
      </c>
      <c r="AY82" s="189">
        <v>1090173377.27</v>
      </c>
      <c r="AZ82" s="189">
        <v>1313447268.77</v>
      </c>
      <c r="BA82" s="189">
        <v>1278950630.52</v>
      </c>
      <c r="BB82" s="189">
        <v>1207590149.49</v>
      </c>
      <c r="BC82" s="189">
        <v>1159963289.1099999</v>
      </c>
      <c r="BD82" s="189">
        <v>1121046949.24</v>
      </c>
      <c r="BE82" s="189">
        <v>1195718550.1900001</v>
      </c>
      <c r="BF82" s="189">
        <v>1142512126.54</v>
      </c>
      <c r="BG82" s="189">
        <v>1090568879.9200001</v>
      </c>
      <c r="BH82" s="189">
        <v>1123915468.78</v>
      </c>
      <c r="BI82" s="189">
        <v>1102944005.1300001</v>
      </c>
      <c r="BJ82" s="189">
        <v>1046362221.92</v>
      </c>
      <c r="BK82" s="189">
        <v>993562684.63999999</v>
      </c>
      <c r="BL82" s="189">
        <v>982959663.34000003</v>
      </c>
      <c r="BM82" s="189">
        <v>958447557.20000005</v>
      </c>
      <c r="BN82" s="189">
        <v>915892879.63</v>
      </c>
      <c r="BO82" s="189">
        <v>886767969.73000002</v>
      </c>
      <c r="BP82" s="189">
        <v>865381582.99000001</v>
      </c>
      <c r="BQ82" s="189">
        <v>853608578.19000006</v>
      </c>
      <c r="BR82" s="189">
        <v>866147664.75999999</v>
      </c>
      <c r="BS82" s="189">
        <v>836662103.75999999</v>
      </c>
      <c r="BT82" s="189">
        <v>660083128.48000002</v>
      </c>
      <c r="BU82" s="189">
        <v>640953422.96000004</v>
      </c>
      <c r="BV82" s="189">
        <v>600430877.64999998</v>
      </c>
      <c r="BW82" s="189">
        <v>578892639.13999999</v>
      </c>
      <c r="BX82" s="189">
        <v>426336545.63</v>
      </c>
      <c r="BY82" s="189">
        <v>406000775.99000001</v>
      </c>
      <c r="BZ82" s="189">
        <v>432050818.31</v>
      </c>
      <c r="CA82" s="189">
        <v>76239643</v>
      </c>
      <c r="CB82" s="189">
        <v>28954619</v>
      </c>
      <c r="CC82" s="189">
        <v>13175590</v>
      </c>
      <c r="CD82" s="189">
        <v>0</v>
      </c>
    </row>
    <row r="83" spans="1:82" x14ac:dyDescent="0.25">
      <c r="A83" s="189" t="s">
        <v>187</v>
      </c>
      <c r="B83" s="189">
        <v>102408740.8</v>
      </c>
      <c r="C83" s="189">
        <v>98373009.700000003</v>
      </c>
      <c r="D83" s="189">
        <v>109450258.17</v>
      </c>
      <c r="E83" s="189">
        <v>106120440.73999999</v>
      </c>
      <c r="F83" s="189">
        <v>94642324.810000002</v>
      </c>
      <c r="G83" s="189">
        <v>89182158.5</v>
      </c>
      <c r="H83" s="189">
        <v>106650979.79000001</v>
      </c>
      <c r="I83" s="189">
        <v>95447213.359999999</v>
      </c>
      <c r="J83" s="189">
        <v>98292816.290000007</v>
      </c>
      <c r="K83" s="189">
        <v>69182659.560000002</v>
      </c>
      <c r="L83" s="189">
        <v>95365309.459999993</v>
      </c>
      <c r="M83" s="189">
        <v>78808606.700000003</v>
      </c>
      <c r="N83" s="189">
        <v>68695959.870000005</v>
      </c>
      <c r="O83" s="189">
        <v>46048406.479999997</v>
      </c>
      <c r="P83" s="189">
        <v>67038241.869999997</v>
      </c>
      <c r="Q83" s="189">
        <v>56113352.420000002</v>
      </c>
      <c r="R83" s="189">
        <v>2522332.44</v>
      </c>
      <c r="S83" s="189">
        <v>8855227.4900000002</v>
      </c>
      <c r="T83" s="189">
        <v>10688782.02</v>
      </c>
      <c r="U83" s="189">
        <v>10083061.189999999</v>
      </c>
      <c r="V83" s="189">
        <v>10491747.449999999</v>
      </c>
      <c r="W83" s="189">
        <v>4613087.6500000004</v>
      </c>
      <c r="X83" s="189">
        <v>5177355.42</v>
      </c>
      <c r="Y83" s="189">
        <v>4669952.8099999996</v>
      </c>
      <c r="Z83" s="189">
        <v>4778520.4800000004</v>
      </c>
      <c r="AA83" s="189">
        <v>5315136.7</v>
      </c>
      <c r="AB83" s="189">
        <v>5597500.75</v>
      </c>
      <c r="AC83" s="189">
        <v>4604275.8099999996</v>
      </c>
      <c r="AD83" s="189">
        <v>5639372.8200000003</v>
      </c>
      <c r="AE83" s="189">
        <v>5184956.88</v>
      </c>
      <c r="AF83" s="189">
        <v>4509835.72</v>
      </c>
      <c r="AG83" s="189">
        <v>3629242.68</v>
      </c>
      <c r="AH83" s="189">
        <v>4342506.75</v>
      </c>
      <c r="AI83" s="189">
        <v>6232035.6100000003</v>
      </c>
      <c r="AJ83" s="189">
        <v>6430718.4299999997</v>
      </c>
      <c r="AK83" s="189">
        <v>6177281.1600000001</v>
      </c>
      <c r="AL83" s="189">
        <v>23970731.620000001</v>
      </c>
      <c r="AM83" s="189">
        <v>21947790.5</v>
      </c>
      <c r="AN83" s="189">
        <v>21416398.510000002</v>
      </c>
      <c r="AO83" s="189">
        <v>21897002.66</v>
      </c>
      <c r="AP83" s="189">
        <v>20194554.649999999</v>
      </c>
      <c r="AQ83" s="189">
        <v>20662171.199999999</v>
      </c>
      <c r="AR83" s="189">
        <v>20711670.449999999</v>
      </c>
      <c r="AS83" s="189">
        <v>170375357.16999999</v>
      </c>
      <c r="AT83" s="189">
        <v>104893182.77</v>
      </c>
      <c r="AU83" s="189">
        <v>107474477.75</v>
      </c>
      <c r="AV83" s="189">
        <v>113883495.70999999</v>
      </c>
      <c r="AW83" s="189">
        <v>115117240.92</v>
      </c>
      <c r="AX83" s="189">
        <v>91133155.730000004</v>
      </c>
      <c r="AY83" s="189">
        <v>84867899.569999993</v>
      </c>
      <c r="AZ83" s="189">
        <v>86773308.700000003</v>
      </c>
      <c r="BA83" s="189">
        <v>88549448.609999999</v>
      </c>
      <c r="BB83" s="189">
        <v>90444495.560000002</v>
      </c>
      <c r="BC83" s="189">
        <v>91495505.980000004</v>
      </c>
      <c r="BD83" s="189">
        <v>92184011.400000006</v>
      </c>
      <c r="BE83" s="189">
        <v>92267583.340000004</v>
      </c>
      <c r="BF83" s="189">
        <v>92179461.140000001</v>
      </c>
      <c r="BG83" s="189">
        <v>4218857.17</v>
      </c>
      <c r="BH83" s="189">
        <v>2799293.43</v>
      </c>
      <c r="BI83" s="189">
        <v>2832244.46</v>
      </c>
      <c r="BJ83" s="189">
        <v>0</v>
      </c>
      <c r="BK83" s="189">
        <v>0</v>
      </c>
      <c r="BL83" s="189">
        <v>0</v>
      </c>
      <c r="BM83" s="189">
        <v>0</v>
      </c>
      <c r="BN83" s="189">
        <v>37295916.219999999</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row>
    <row r="84" spans="1:82" x14ac:dyDescent="0.25">
      <c r="A84" s="189" t="s">
        <v>188</v>
      </c>
      <c r="B84" s="189">
        <v>15693622236.85</v>
      </c>
      <c r="C84" s="189">
        <v>15108096914.15</v>
      </c>
      <c r="D84" s="189">
        <v>15904130696.27</v>
      </c>
      <c r="E84" s="189">
        <v>15605857859.57</v>
      </c>
      <c r="F84" s="189">
        <v>13367332906.66</v>
      </c>
      <c r="G84" s="189">
        <v>12264362423.469999</v>
      </c>
      <c r="H84" s="189">
        <v>14006725574.9</v>
      </c>
      <c r="I84" s="189">
        <v>13679110933.26</v>
      </c>
      <c r="J84" s="189">
        <v>11914642903.219999</v>
      </c>
      <c r="K84" s="189">
        <v>10844249608.049999</v>
      </c>
      <c r="L84" s="189">
        <v>13334571657.5</v>
      </c>
      <c r="M84" s="189">
        <v>12939385288.639999</v>
      </c>
      <c r="N84" s="189">
        <v>11258945946.76</v>
      </c>
      <c r="O84" s="189">
        <v>10326820404.120001</v>
      </c>
      <c r="P84" s="189">
        <v>11249407644.51</v>
      </c>
      <c r="Q84" s="189">
        <v>10860574280.08</v>
      </c>
      <c r="R84" s="189">
        <v>9240665430.6100006</v>
      </c>
      <c r="S84" s="189">
        <v>8834713858.3700008</v>
      </c>
      <c r="T84" s="189">
        <v>9050139537.0100002</v>
      </c>
      <c r="U84" s="189">
        <v>8757144969.1100006</v>
      </c>
      <c r="V84" s="189">
        <v>7815771735.6800003</v>
      </c>
      <c r="W84" s="189">
        <v>7537895929.3599997</v>
      </c>
      <c r="X84" s="189">
        <v>7598030750.79</v>
      </c>
      <c r="Y84" s="189">
        <v>7319555953.7600002</v>
      </c>
      <c r="Z84" s="189">
        <v>6834487822.5699997</v>
      </c>
      <c r="AA84" s="189">
        <v>6047489876.8400002</v>
      </c>
      <c r="AB84" s="189">
        <v>5777821280.9499998</v>
      </c>
      <c r="AC84" s="189">
        <v>3337764988.79</v>
      </c>
      <c r="AD84" s="189">
        <v>2882908352.8000002</v>
      </c>
      <c r="AE84" s="189">
        <v>2690228492.79</v>
      </c>
      <c r="AF84" s="189">
        <v>2616313164.0500002</v>
      </c>
      <c r="AG84" s="189">
        <v>2485872956.1100001</v>
      </c>
      <c r="AH84" s="189">
        <v>2150818194.1900001</v>
      </c>
      <c r="AI84" s="189">
        <v>1935977175.3</v>
      </c>
      <c r="AJ84" s="189">
        <v>2272635356.8099999</v>
      </c>
      <c r="AK84" s="189">
        <v>2173866943.6599998</v>
      </c>
      <c r="AL84" s="189">
        <v>1922374657.0699999</v>
      </c>
      <c r="AM84" s="189">
        <v>1767057556.6600001</v>
      </c>
      <c r="AN84" s="189">
        <v>1860279517.23</v>
      </c>
      <c r="AO84" s="189">
        <v>1701028766.23</v>
      </c>
      <c r="AP84" s="189">
        <v>1612772749.29</v>
      </c>
      <c r="AQ84" s="189">
        <v>1725714340.21</v>
      </c>
      <c r="AR84" s="189">
        <v>2013857845.5899999</v>
      </c>
      <c r="AS84" s="189">
        <v>2828573554.7199998</v>
      </c>
      <c r="AT84" s="189">
        <v>2128437649.99</v>
      </c>
      <c r="AU84" s="189">
        <v>1559012952.5699999</v>
      </c>
      <c r="AV84" s="189">
        <v>1357694966.04</v>
      </c>
      <c r="AW84" s="189">
        <v>1362309337.47</v>
      </c>
      <c r="AX84" s="189">
        <v>1230864655.04</v>
      </c>
      <c r="AY84" s="189">
        <v>1175041276.8399999</v>
      </c>
      <c r="AZ84" s="189">
        <v>1400220577.47</v>
      </c>
      <c r="BA84" s="189">
        <v>1367500079.1300001</v>
      </c>
      <c r="BB84" s="189">
        <v>1298034645.05</v>
      </c>
      <c r="BC84" s="189">
        <v>1251458795.0899999</v>
      </c>
      <c r="BD84" s="189">
        <v>1213230960.6400001</v>
      </c>
      <c r="BE84" s="189">
        <v>1287986133.53</v>
      </c>
      <c r="BF84" s="189">
        <v>1234691587.6800001</v>
      </c>
      <c r="BG84" s="189">
        <v>1094787737.0899999</v>
      </c>
      <c r="BH84" s="189">
        <v>1126714762.21</v>
      </c>
      <c r="BI84" s="189">
        <v>1105776249.5899999</v>
      </c>
      <c r="BJ84" s="189">
        <v>1046362221.92</v>
      </c>
      <c r="BK84" s="189">
        <v>993562684.63999999</v>
      </c>
      <c r="BL84" s="189">
        <v>982959663.34000003</v>
      </c>
      <c r="BM84" s="189">
        <v>958447557.20000005</v>
      </c>
      <c r="BN84" s="189">
        <v>953188795.85000002</v>
      </c>
      <c r="BO84" s="189">
        <v>886767969.73000002</v>
      </c>
      <c r="BP84" s="189">
        <v>865381582.99000001</v>
      </c>
      <c r="BQ84" s="189">
        <v>853608578.19000006</v>
      </c>
      <c r="BR84" s="189">
        <v>866147664.75999999</v>
      </c>
      <c r="BS84" s="189">
        <v>836662103.75999999</v>
      </c>
      <c r="BT84" s="189">
        <v>660083128.48000002</v>
      </c>
      <c r="BU84" s="189">
        <v>640953422.96000004</v>
      </c>
      <c r="BV84" s="189">
        <v>600430877.64999998</v>
      </c>
      <c r="BW84" s="189">
        <v>578892639.13999999</v>
      </c>
      <c r="BX84" s="189">
        <v>426336545.63</v>
      </c>
      <c r="BY84" s="189">
        <v>406000775.99000001</v>
      </c>
      <c r="BZ84" s="189">
        <v>432050818.31</v>
      </c>
      <c r="CA84" s="189">
        <v>76239643</v>
      </c>
      <c r="CB84" s="189">
        <v>28954619</v>
      </c>
      <c r="CC84" s="189">
        <v>13175590</v>
      </c>
      <c r="CD84" s="189">
        <v>0</v>
      </c>
    </row>
    <row r="85" spans="1:82" x14ac:dyDescent="0.25">
      <c r="A85" s="189" t="s">
        <v>189</v>
      </c>
      <c r="B85" s="189">
        <v>37241934516.510002</v>
      </c>
      <c r="C85" s="189">
        <v>36261129054.589996</v>
      </c>
      <c r="D85" s="189">
        <v>35580408047.290001</v>
      </c>
      <c r="E85" s="189">
        <v>36165405805.400002</v>
      </c>
      <c r="F85" s="189">
        <v>31253640253.529999</v>
      </c>
      <c r="G85" s="189">
        <v>30566741897.07</v>
      </c>
      <c r="H85" s="189">
        <v>29387665135.060001</v>
      </c>
      <c r="I85" s="189">
        <v>35153796066</v>
      </c>
      <c r="J85" s="189">
        <v>27889471820.889999</v>
      </c>
      <c r="K85" s="189">
        <v>25585880015.700001</v>
      </c>
      <c r="L85" s="189">
        <v>27421880973.32</v>
      </c>
      <c r="M85" s="189">
        <v>30139131311.580002</v>
      </c>
      <c r="N85" s="189">
        <v>25531482048.169998</v>
      </c>
      <c r="O85" s="189">
        <v>22781629733.66</v>
      </c>
      <c r="P85" s="189">
        <v>22377253444.740002</v>
      </c>
      <c r="Q85" s="189">
        <v>23823499801.16</v>
      </c>
      <c r="R85" s="189">
        <v>18374423274.68</v>
      </c>
      <c r="S85" s="189">
        <v>16264771202.379999</v>
      </c>
      <c r="T85" s="189">
        <v>16603416487.969999</v>
      </c>
      <c r="U85" s="189">
        <v>16197573484.1</v>
      </c>
      <c r="V85" s="189">
        <v>15905330731.940001</v>
      </c>
      <c r="W85" s="189">
        <v>15242342241.43</v>
      </c>
      <c r="X85" s="189">
        <v>14167255220.42</v>
      </c>
      <c r="Y85" s="189">
        <v>14279110141.059999</v>
      </c>
      <c r="Z85" s="189">
        <v>13150879415.02</v>
      </c>
      <c r="AA85" s="189">
        <v>12332565901.959999</v>
      </c>
      <c r="AB85" s="189">
        <v>11128576136.83</v>
      </c>
      <c r="AC85" s="189">
        <v>7860071148.1599998</v>
      </c>
      <c r="AD85" s="189">
        <v>7870796379.3900003</v>
      </c>
      <c r="AE85" s="189">
        <v>6845962086.5699997</v>
      </c>
      <c r="AF85" s="189">
        <v>6646876255.9700003</v>
      </c>
      <c r="AG85" s="189">
        <v>6797037971.9700003</v>
      </c>
      <c r="AH85" s="189">
        <v>7825018226.6499996</v>
      </c>
      <c r="AI85" s="189">
        <v>5905984800.5200005</v>
      </c>
      <c r="AJ85" s="189">
        <v>5421124866.1599998</v>
      </c>
      <c r="AK85" s="189">
        <v>5507371160.96</v>
      </c>
      <c r="AL85" s="189">
        <v>5783267762.5</v>
      </c>
      <c r="AM85" s="189">
        <v>4990158019.1899996</v>
      </c>
      <c r="AN85" s="189">
        <v>4582411927.1199999</v>
      </c>
      <c r="AO85" s="189">
        <v>4684674816</v>
      </c>
      <c r="AP85" s="189">
        <v>4582788016.0900002</v>
      </c>
      <c r="AQ85" s="189">
        <v>4762648008.25</v>
      </c>
      <c r="AR85" s="189">
        <v>5976403885.6999998</v>
      </c>
      <c r="AS85" s="189">
        <v>7895887687.3599997</v>
      </c>
      <c r="AT85" s="189">
        <v>7048938831.5600004</v>
      </c>
      <c r="AU85" s="189">
        <v>4896771988.9200001</v>
      </c>
      <c r="AV85" s="189">
        <v>4271678002.2600002</v>
      </c>
      <c r="AW85" s="189">
        <v>3600060856.48</v>
      </c>
      <c r="AX85" s="189">
        <v>3085424856.48</v>
      </c>
      <c r="AY85" s="189">
        <v>2768172337.52</v>
      </c>
      <c r="AZ85" s="189">
        <v>2795152888.4299998</v>
      </c>
      <c r="BA85" s="189">
        <v>2787495916.4899998</v>
      </c>
      <c r="BB85" s="189">
        <v>2705608309.6100001</v>
      </c>
      <c r="BC85" s="189">
        <v>2298566395.79</v>
      </c>
      <c r="BD85" s="189">
        <v>2262233331.1300001</v>
      </c>
      <c r="BE85" s="189">
        <v>2600492151.1500001</v>
      </c>
      <c r="BF85" s="189">
        <v>2374315960.4400001</v>
      </c>
      <c r="BG85" s="189">
        <v>2035407867.3800001</v>
      </c>
      <c r="BH85" s="189">
        <v>2113820963.49</v>
      </c>
      <c r="BI85" s="189">
        <v>2334905595.3699999</v>
      </c>
      <c r="BJ85" s="189">
        <v>1859477878.76</v>
      </c>
      <c r="BK85" s="189">
        <v>1691199307.3199999</v>
      </c>
      <c r="BL85" s="189">
        <v>1672889543.99</v>
      </c>
      <c r="BM85" s="189">
        <v>1733279423.03</v>
      </c>
      <c r="BN85" s="189">
        <v>1721164744.73</v>
      </c>
      <c r="BO85" s="189">
        <v>1582895511.27</v>
      </c>
      <c r="BP85" s="189">
        <v>1426309213.9000001</v>
      </c>
      <c r="BQ85" s="189">
        <v>1403971748.22</v>
      </c>
      <c r="BR85" s="189">
        <v>1439339852.6300001</v>
      </c>
      <c r="BS85" s="189">
        <v>1407173303.3099999</v>
      </c>
      <c r="BT85" s="189">
        <v>987026027.60000002</v>
      </c>
      <c r="BU85" s="189">
        <v>988338429.71000004</v>
      </c>
      <c r="BV85" s="189">
        <v>950310994.88999999</v>
      </c>
      <c r="BW85" s="189">
        <v>951914105.35000002</v>
      </c>
      <c r="BX85" s="189">
        <v>705359491.95000005</v>
      </c>
      <c r="BY85" s="189">
        <v>651627615.25</v>
      </c>
      <c r="BZ85" s="189">
        <v>613368243.42999995</v>
      </c>
      <c r="CA85" s="189">
        <v>241018092</v>
      </c>
      <c r="CB85" s="189">
        <v>148294423</v>
      </c>
      <c r="CC85" s="189">
        <v>116178113</v>
      </c>
      <c r="CD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D31"/>
  <sheetViews>
    <sheetView workbookViewId="0">
      <selection activeCell="A2" sqref="A2"/>
    </sheetView>
  </sheetViews>
  <sheetFormatPr defaultRowHeight="14.4" x14ac:dyDescent="0.25"/>
  <cols>
    <col min="1" max="1" width="39.109375" style="189" bestFit="1" customWidth="1"/>
    <col min="2" max="4" width="13.88671875" style="189" hidden="1" customWidth="1"/>
    <col min="5" max="5" width="12.77734375" style="189" bestFit="1" customWidth="1"/>
    <col min="6" max="7" width="12.77734375" style="189" hidden="1" customWidth="1"/>
    <col min="8" max="8" width="13.88671875" style="189" hidden="1" customWidth="1"/>
    <col min="9" max="9" width="13.88671875" style="189" bestFit="1" customWidth="1"/>
    <col min="10" max="12" width="13.88671875" style="189" hidden="1" customWidth="1"/>
    <col min="13" max="13" width="13.88671875" style="189" bestFit="1" customWidth="1"/>
    <col min="14" max="16" width="13.88671875" style="189" hidden="1" customWidth="1"/>
    <col min="17" max="17" width="13.88671875" style="189" bestFit="1" customWidth="1"/>
    <col min="18" max="20" width="13.88671875" style="189" hidden="1" customWidth="1"/>
    <col min="21" max="21" width="12.77734375" style="189" bestFit="1" customWidth="1"/>
    <col min="22" max="23" width="12.77734375" style="189" hidden="1" customWidth="1"/>
    <col min="24" max="24" width="13.88671875" style="189" hidden="1" customWidth="1"/>
    <col min="25" max="25" width="12.77734375" style="189" bestFit="1" customWidth="1"/>
    <col min="26" max="28" width="13.88671875" style="189" hidden="1" customWidth="1"/>
    <col min="29" max="29" width="13.886718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3.88671875" style="189" bestFit="1" customWidth="1"/>
    <col min="42" max="43" width="13.88671875" style="189" hidden="1" customWidth="1"/>
    <col min="44" max="44" width="12.77734375" style="189" hidden="1" customWidth="1"/>
    <col min="45" max="45" width="12.77734375" style="189" bestFit="1" customWidth="1"/>
    <col min="46" max="46" width="13.88671875" style="189" hidden="1" customWidth="1"/>
    <col min="47"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5" width="12.77734375" style="189" bestFit="1" customWidth="1"/>
    <col min="66" max="68" width="12.77734375" style="189" hidden="1" customWidth="1"/>
    <col min="69" max="69" width="12.77734375" style="189" bestFit="1" customWidth="1"/>
    <col min="70" max="70" width="12.77734375" style="189" hidden="1" customWidth="1"/>
    <col min="71" max="71" width="12.77734375" style="189" bestFit="1" customWidth="1"/>
    <col min="72" max="72" width="12.77734375" style="189" hidden="1" customWidth="1"/>
    <col min="73" max="73" width="12.77734375" style="189" bestFit="1" customWidth="1"/>
    <col min="74" max="74" width="12.77734375" style="189" hidden="1" customWidth="1"/>
    <col min="75" max="75" width="12.77734375" style="189" bestFit="1" customWidth="1"/>
    <col min="76" max="76" width="12.77734375" style="189" hidden="1" customWidth="1"/>
    <col min="77" max="77" width="12.77734375" style="189" bestFit="1" customWidth="1"/>
    <col min="78" max="78" width="12.77734375" style="189" hidden="1" customWidth="1"/>
    <col min="79" max="81" width="10.5546875" style="189" bestFit="1" customWidth="1"/>
    <col min="82" max="82" width="9.5546875" style="189" hidden="1" customWidth="1"/>
    <col min="83" max="16384" width="8.88671875" style="189"/>
  </cols>
  <sheetData>
    <row r="1" spans="1:82" x14ac:dyDescent="0.25">
      <c r="A1" s="189">
        <v>600066</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19951231</v>
      </c>
      <c r="CC1" s="189">
        <v>19941231</v>
      </c>
      <c r="CD1" s="189">
        <v>19700101</v>
      </c>
    </row>
    <row r="2" spans="1:82"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row>
    <row r="3" spans="1:82" x14ac:dyDescent="0.25">
      <c r="A3" s="189" t="s">
        <v>190</v>
      </c>
      <c r="B3" s="189">
        <v>19374237675.990002</v>
      </c>
      <c r="C3" s="189">
        <v>12016992590.110001</v>
      </c>
      <c r="D3" s="189">
        <v>4659150474.4799995</v>
      </c>
      <c r="E3" s="189">
        <v>33221948766.650002</v>
      </c>
      <c r="F3" s="189">
        <v>18994965921.450001</v>
      </c>
      <c r="G3" s="189">
        <v>9313067493.1000004</v>
      </c>
      <c r="H3" s="189">
        <v>3868458647.1999998</v>
      </c>
      <c r="I3" s="189">
        <v>35850442042.720001</v>
      </c>
      <c r="J3" s="189">
        <v>21659158276.32</v>
      </c>
      <c r="K3" s="189">
        <v>13268121440.85</v>
      </c>
      <c r="L3" s="189">
        <v>5126788582.8999996</v>
      </c>
      <c r="M3" s="189">
        <v>31210873852.540001</v>
      </c>
      <c r="N3" s="189">
        <v>18929067308.060001</v>
      </c>
      <c r="O3" s="189">
        <v>10387239701.25</v>
      </c>
      <c r="P3" s="189">
        <v>4273324043.52</v>
      </c>
      <c r="Q3" s="189">
        <v>25728299513.16</v>
      </c>
      <c r="R3" s="189">
        <v>15002502291.76</v>
      </c>
      <c r="S3" s="189">
        <v>9341476892.9099998</v>
      </c>
      <c r="T3" s="189">
        <v>4395955446.3000002</v>
      </c>
      <c r="U3" s="189">
        <v>22093826571.040001</v>
      </c>
      <c r="V3" s="189">
        <v>13669406746.49</v>
      </c>
      <c r="W3" s="189">
        <v>9663747340.3899994</v>
      </c>
      <c r="X3" s="189">
        <v>4337342804.8900003</v>
      </c>
      <c r="Y3" s="189">
        <v>19763459199.02</v>
      </c>
      <c r="Z3" s="189">
        <v>13309007254.129999</v>
      </c>
      <c r="AA3" s="189">
        <v>8296243064.9300003</v>
      </c>
      <c r="AB3" s="189">
        <v>3969350239.1399999</v>
      </c>
      <c r="AC3" s="189">
        <v>16931925945.07</v>
      </c>
      <c r="AD3" s="189">
        <v>11009538186.57</v>
      </c>
      <c r="AE3" s="189">
        <v>6405766461.7399998</v>
      </c>
      <c r="AF3" s="189">
        <v>2947959956.1799998</v>
      </c>
      <c r="AG3" s="189">
        <v>13478500120.48</v>
      </c>
      <c r="AH3" s="189">
        <v>9132486590.3700008</v>
      </c>
      <c r="AI3" s="189">
        <v>5525360311.0500002</v>
      </c>
      <c r="AJ3" s="189">
        <v>2357318390.8600001</v>
      </c>
      <c r="AK3" s="189">
        <v>8781731234.4200001</v>
      </c>
      <c r="AL3" s="189">
        <v>5832802762.3699999</v>
      </c>
      <c r="AM3" s="189">
        <v>3547502321.2199998</v>
      </c>
      <c r="AN3" s="189">
        <v>1322183548.28</v>
      </c>
      <c r="AO3" s="189">
        <v>8335671865.1199999</v>
      </c>
      <c r="AP3" s="189">
        <v>5909075990.5799999</v>
      </c>
      <c r="AQ3" s="189">
        <v>4269358208.9099998</v>
      </c>
      <c r="AR3" s="189">
        <v>1728783903.51</v>
      </c>
      <c r="AS3" s="189">
        <v>7880772643.7399998</v>
      </c>
      <c r="AT3" s="189">
        <v>4791323219.5799999</v>
      </c>
      <c r="AU3" s="189">
        <v>2824669536.7399998</v>
      </c>
      <c r="AV3" s="189">
        <v>1218986397.53</v>
      </c>
      <c r="AW3" s="189">
        <v>4996462114.3400002</v>
      </c>
      <c r="AX3" s="189">
        <v>3277444099.6599998</v>
      </c>
      <c r="AY3" s="189">
        <v>2074245557.3399999</v>
      </c>
      <c r="AZ3" s="189">
        <v>895838779.45000005</v>
      </c>
      <c r="BA3" s="189">
        <v>4603275181.6099997</v>
      </c>
      <c r="BB3" s="189">
        <v>2957016951.3899999</v>
      </c>
      <c r="BC3" s="189">
        <v>1709566513.23</v>
      </c>
      <c r="BD3" s="189">
        <v>739500499.45000005</v>
      </c>
      <c r="BE3" s="189">
        <v>3972942737.54</v>
      </c>
      <c r="BF3" s="189">
        <v>2776446920.7600002</v>
      </c>
      <c r="BG3" s="189">
        <v>1492795611.01</v>
      </c>
      <c r="BH3" s="189">
        <v>575127426.25999999</v>
      </c>
      <c r="BI3" s="189">
        <v>3260122367.1999998</v>
      </c>
      <c r="BJ3" s="189">
        <v>1954845481.9100001</v>
      </c>
      <c r="BK3" s="189">
        <v>1202580809.54</v>
      </c>
      <c r="BL3" s="189">
        <v>750329773.38999999</v>
      </c>
      <c r="BM3" s="189">
        <v>2696805139.5300002</v>
      </c>
      <c r="BN3" s="189">
        <v>1852758568.3099999</v>
      </c>
      <c r="BO3" s="189">
        <v>1004534747.23</v>
      </c>
      <c r="BP3" s="189">
        <v>366859431.5</v>
      </c>
      <c r="BQ3" s="189">
        <v>1586447732.49</v>
      </c>
      <c r="BR3" s="189">
        <v>704867375.38999999</v>
      </c>
      <c r="BS3" s="189">
        <v>1201009861.4400001</v>
      </c>
      <c r="BT3" s="189">
        <v>470958091.51999998</v>
      </c>
      <c r="BU3" s="189">
        <v>700903626.13</v>
      </c>
      <c r="BV3" s="189">
        <v>319595208.69999999</v>
      </c>
      <c r="BW3" s="189">
        <v>566429005.27999997</v>
      </c>
      <c r="BX3" s="189">
        <v>226965540.93000001</v>
      </c>
      <c r="BY3" s="189">
        <v>437507599.04000002</v>
      </c>
      <c r="BZ3" s="189">
        <v>157423618.13999999</v>
      </c>
      <c r="CA3" s="189">
        <v>439784624</v>
      </c>
      <c r="CB3" s="189">
        <v>274948713</v>
      </c>
      <c r="CC3" s="189">
        <v>138034512</v>
      </c>
      <c r="CD3" s="189">
        <v>0</v>
      </c>
    </row>
    <row r="4" spans="1:82" x14ac:dyDescent="0.25">
      <c r="A4" s="189" t="s">
        <v>191</v>
      </c>
      <c r="B4" s="189">
        <v>19374237675.990002</v>
      </c>
      <c r="C4" s="189">
        <v>12016992590.110001</v>
      </c>
      <c r="D4" s="189">
        <v>4659150474.4799995</v>
      </c>
      <c r="E4" s="189">
        <v>33221948766.650002</v>
      </c>
      <c r="F4" s="189">
        <v>18994965921.450001</v>
      </c>
      <c r="G4" s="189">
        <v>9313067493.1000004</v>
      </c>
      <c r="H4" s="189">
        <v>3868458647.1999998</v>
      </c>
      <c r="I4" s="189">
        <v>35850442042.720001</v>
      </c>
      <c r="J4" s="189">
        <v>21659158276.32</v>
      </c>
      <c r="K4" s="189">
        <v>13268121440.85</v>
      </c>
      <c r="L4" s="189">
        <v>5126788582.8999996</v>
      </c>
      <c r="M4" s="189">
        <v>31210873852.540001</v>
      </c>
      <c r="N4" s="189">
        <v>18929067308.060001</v>
      </c>
      <c r="O4" s="189">
        <v>10387239701.25</v>
      </c>
      <c r="P4" s="189">
        <v>4273324043.52</v>
      </c>
      <c r="Q4" s="189">
        <v>25728299513.16</v>
      </c>
      <c r="R4" s="189">
        <v>15002502291.76</v>
      </c>
      <c r="S4" s="189">
        <v>9341476892.9099998</v>
      </c>
      <c r="T4" s="189">
        <v>4395955446.3000002</v>
      </c>
      <c r="U4" s="189">
        <v>22093826571.040001</v>
      </c>
      <c r="V4" s="189">
        <v>13669406746.49</v>
      </c>
      <c r="W4" s="189">
        <v>9663747340.3899994</v>
      </c>
      <c r="X4" s="189">
        <v>4337342804.8900003</v>
      </c>
      <c r="Y4" s="189">
        <v>19763459199.02</v>
      </c>
      <c r="Z4" s="189">
        <v>13309007254.129999</v>
      </c>
      <c r="AA4" s="189">
        <v>8296243064.9300003</v>
      </c>
      <c r="AB4" s="189">
        <v>3969350239.1399999</v>
      </c>
      <c r="AC4" s="189">
        <v>16931925945.07</v>
      </c>
      <c r="AD4" s="189">
        <v>11009538186.57</v>
      </c>
      <c r="AE4" s="189">
        <v>6405766461.7399998</v>
      </c>
      <c r="AF4" s="189">
        <v>2947959956.1799998</v>
      </c>
      <c r="AG4" s="189">
        <v>13478500120.48</v>
      </c>
      <c r="AH4" s="189">
        <v>9132486590.3700008</v>
      </c>
      <c r="AI4" s="189">
        <v>5525360311.0500002</v>
      </c>
      <c r="AJ4" s="189">
        <v>2357318390.8600001</v>
      </c>
      <c r="AK4" s="189">
        <v>8781731234.4200001</v>
      </c>
      <c r="AL4" s="189">
        <v>5832802762.3699999</v>
      </c>
      <c r="AM4" s="189">
        <v>3547502321.2199998</v>
      </c>
      <c r="AN4" s="189">
        <v>1322183548.28</v>
      </c>
      <c r="AO4" s="189">
        <v>8335671865.1199999</v>
      </c>
      <c r="AP4" s="189">
        <v>5909075990.5799999</v>
      </c>
      <c r="AQ4" s="189">
        <v>4269358208.9099998</v>
      </c>
      <c r="AR4" s="189">
        <v>1728783903.51</v>
      </c>
      <c r="AS4" s="189">
        <v>7880772643.7399998</v>
      </c>
      <c r="AT4" s="189">
        <v>4791323219.5799999</v>
      </c>
      <c r="AU4" s="189">
        <v>2824669536.7399998</v>
      </c>
      <c r="AV4" s="189">
        <v>1218986397.53</v>
      </c>
      <c r="AW4" s="189">
        <v>4954506733.5100002</v>
      </c>
      <c r="AX4" s="189">
        <v>3211706920.0700002</v>
      </c>
      <c r="AY4" s="189">
        <v>2039212675.8900001</v>
      </c>
      <c r="AZ4" s="189">
        <v>887602608.97000003</v>
      </c>
      <c r="BA4" s="189">
        <v>4576435573.4799995</v>
      </c>
      <c r="BB4" s="189">
        <v>2944163022.0500002</v>
      </c>
      <c r="BC4" s="189">
        <v>1699337866.3199999</v>
      </c>
      <c r="BD4" s="189">
        <v>739399700.55999994</v>
      </c>
      <c r="BE4" s="189">
        <v>3949088707.25</v>
      </c>
      <c r="BF4" s="189">
        <v>2762182434.1100001</v>
      </c>
      <c r="BG4" s="189">
        <v>1486749846.54</v>
      </c>
      <c r="BH4" s="189">
        <v>572856842.5</v>
      </c>
      <c r="BI4" s="189">
        <v>3253649665.4099998</v>
      </c>
      <c r="BJ4" s="189">
        <v>1946404611.7</v>
      </c>
      <c r="BK4" s="189">
        <v>1201983585.6400001</v>
      </c>
      <c r="BL4" s="189">
        <v>747595762.03999996</v>
      </c>
      <c r="BM4" s="189">
        <v>2685049399.9299998</v>
      </c>
      <c r="BN4" s="189">
        <v>1843794209.3099999</v>
      </c>
      <c r="BO4" s="189">
        <v>998872375.82000005</v>
      </c>
      <c r="BP4" s="189">
        <v>364636034.19</v>
      </c>
      <c r="BQ4" s="189">
        <v>1579515325.0899999</v>
      </c>
      <c r="BR4" s="189">
        <v>701830564.21000004</v>
      </c>
      <c r="BS4" s="189">
        <v>1198968349.3199999</v>
      </c>
      <c r="BT4" s="189">
        <v>469805804.99000001</v>
      </c>
      <c r="BU4" s="189">
        <v>700109344.52999997</v>
      </c>
      <c r="BV4" s="189">
        <v>319096258.16000003</v>
      </c>
      <c r="BW4" s="189">
        <v>565416206.90999997</v>
      </c>
      <c r="BX4" s="189">
        <v>226544658.12</v>
      </c>
      <c r="BY4" s="189">
        <v>436671752.77999997</v>
      </c>
      <c r="BZ4" s="189">
        <v>157092838.58000001</v>
      </c>
      <c r="CA4" s="189">
        <v>439068983</v>
      </c>
      <c r="CB4" s="189">
        <v>274237533</v>
      </c>
      <c r="CC4" s="189">
        <v>137629196</v>
      </c>
      <c r="CD4" s="189">
        <v>0</v>
      </c>
    </row>
    <row r="5" spans="1:82" x14ac:dyDescent="0.25">
      <c r="A5" s="189" t="s">
        <v>192</v>
      </c>
      <c r="B5" s="189">
        <v>18037379515.290001</v>
      </c>
      <c r="C5" s="189">
        <v>11326700623.35</v>
      </c>
      <c r="D5" s="189">
        <v>4376628962.7399998</v>
      </c>
      <c r="E5" s="189">
        <v>30121446899.73</v>
      </c>
      <c r="F5" s="189">
        <v>17093869053.129999</v>
      </c>
      <c r="G5" s="189">
        <v>8530039480.0799999</v>
      </c>
      <c r="H5" s="189">
        <v>3553414338.2199998</v>
      </c>
      <c r="I5" s="189">
        <v>31502455347.720001</v>
      </c>
      <c r="J5" s="189">
        <v>19144469583.220001</v>
      </c>
      <c r="K5" s="189">
        <v>11893100125.84</v>
      </c>
      <c r="L5" s="189">
        <v>4638325141.0900002</v>
      </c>
      <c r="M5" s="189">
        <v>27403289684.380001</v>
      </c>
      <c r="N5" s="189">
        <v>16768088444.52</v>
      </c>
      <c r="O5" s="189">
        <v>9324964925.9400005</v>
      </c>
      <c r="P5" s="189">
        <v>3855965145.71</v>
      </c>
      <c r="Q5" s="189">
        <v>22938016715.360001</v>
      </c>
      <c r="R5" s="189">
        <v>13861559180.879999</v>
      </c>
      <c r="S5" s="189">
        <v>8651579565.9200001</v>
      </c>
      <c r="T5" s="189">
        <v>4091835632.5500002</v>
      </c>
      <c r="U5" s="189">
        <v>20249022041.82</v>
      </c>
      <c r="V5" s="189">
        <v>12846219851.030001</v>
      </c>
      <c r="W5" s="189">
        <v>9124648006.9799995</v>
      </c>
      <c r="X5" s="189">
        <v>4094243982.46</v>
      </c>
      <c r="Y5" s="189">
        <v>18185800721.849998</v>
      </c>
      <c r="Z5" s="189">
        <v>12285957081.17</v>
      </c>
      <c r="AA5" s="189">
        <v>7694153439.3699999</v>
      </c>
      <c r="AB5" s="189">
        <v>3707524481.4499998</v>
      </c>
      <c r="AC5" s="189">
        <v>15608441565.18</v>
      </c>
      <c r="AD5" s="189">
        <v>10196490714.280001</v>
      </c>
      <c r="AE5" s="189">
        <v>5938423152.3699999</v>
      </c>
      <c r="AF5" s="189">
        <v>2752606655.5599999</v>
      </c>
      <c r="AG5" s="189">
        <v>12486003495.43</v>
      </c>
      <c r="AH5" s="189">
        <v>8471617327.5600004</v>
      </c>
      <c r="AI5" s="189">
        <v>5122587898.6599998</v>
      </c>
      <c r="AJ5" s="189">
        <v>2206714171.4099998</v>
      </c>
      <c r="AK5" s="189">
        <v>8174973097.6999998</v>
      </c>
      <c r="AL5" s="189">
        <v>5470445294.4099998</v>
      </c>
      <c r="AM5" s="189">
        <v>3347392352.0599999</v>
      </c>
      <c r="AN5" s="189">
        <v>1262739136.49</v>
      </c>
      <c r="AO5" s="189">
        <v>8041644452.71</v>
      </c>
      <c r="AP5" s="189">
        <v>5810229727.0699997</v>
      </c>
      <c r="AQ5" s="189">
        <v>4048431351.0500002</v>
      </c>
      <c r="AR5" s="189">
        <v>1655960161.54</v>
      </c>
      <c r="AS5" s="189">
        <v>7355337330.1599998</v>
      </c>
      <c r="AT5" s="189">
        <v>4584371429.5500002</v>
      </c>
      <c r="AU5" s="189">
        <v>2698017563.1300001</v>
      </c>
      <c r="AV5" s="189">
        <v>1161717838.49</v>
      </c>
      <c r="AW5" s="189">
        <v>4687372558.2799997</v>
      </c>
      <c r="AX5" s="189">
        <v>3083489586.4899998</v>
      </c>
      <c r="AY5" s="189">
        <v>1952022020.54</v>
      </c>
      <c r="AZ5" s="189">
        <v>845933124.76999998</v>
      </c>
      <c r="BA5" s="189">
        <v>4343837588.29</v>
      </c>
      <c r="BB5" s="189">
        <v>2794879420.0300002</v>
      </c>
      <c r="BC5" s="189">
        <v>1615415196.8299999</v>
      </c>
      <c r="BD5" s="189">
        <v>698436049.30999994</v>
      </c>
      <c r="BE5" s="189">
        <v>3777230723.9200001</v>
      </c>
      <c r="BF5" s="189">
        <v>2637819444.5500002</v>
      </c>
      <c r="BG5" s="189">
        <v>1426733206.6300001</v>
      </c>
      <c r="BH5" s="189">
        <v>542912507.45000005</v>
      </c>
      <c r="BI5" s="189">
        <v>3073426784.98</v>
      </c>
      <c r="BJ5" s="189">
        <v>1845833169.02</v>
      </c>
      <c r="BK5" s="189">
        <v>1154412100.7</v>
      </c>
      <c r="BL5" s="189">
        <v>714161134.42999995</v>
      </c>
      <c r="BM5" s="189">
        <v>2508855051.73</v>
      </c>
      <c r="BN5" s="189">
        <v>1748509556.4300001</v>
      </c>
      <c r="BO5" s="189">
        <v>950037265.91999996</v>
      </c>
      <c r="BP5" s="189">
        <v>349318838.66000003</v>
      </c>
      <c r="BQ5" s="189">
        <v>1455598589.6600001</v>
      </c>
      <c r="BR5" s="189">
        <v>670426644.05999994</v>
      </c>
      <c r="BS5" s="189">
        <v>1100968133</v>
      </c>
      <c r="BT5" s="189">
        <v>442295087.61000001</v>
      </c>
      <c r="BU5" s="189">
        <v>629077060.08000004</v>
      </c>
      <c r="BV5" s="189">
        <v>298261910.73000002</v>
      </c>
      <c r="BW5" s="189">
        <v>507522907.88</v>
      </c>
      <c r="BX5" s="189">
        <v>203365413.59</v>
      </c>
      <c r="BY5" s="189">
        <v>394157759.87</v>
      </c>
      <c r="BZ5" s="189">
        <v>0</v>
      </c>
      <c r="CA5" s="189">
        <v>410112912</v>
      </c>
      <c r="CB5" s="189">
        <v>253179013</v>
      </c>
      <c r="CC5" s="189">
        <v>135009260</v>
      </c>
      <c r="CD5" s="189">
        <v>0</v>
      </c>
    </row>
    <row r="6" spans="1:82" x14ac:dyDescent="0.25">
      <c r="A6" s="189" t="s">
        <v>193</v>
      </c>
      <c r="B6" s="189">
        <v>14794369460.33</v>
      </c>
      <c r="C6" s="189">
        <v>9443199245.5499992</v>
      </c>
      <c r="D6" s="189">
        <v>3601831010.9299998</v>
      </c>
      <c r="E6" s="189">
        <v>24478638345.450001</v>
      </c>
      <c r="F6" s="189">
        <v>14121403654.690001</v>
      </c>
      <c r="G6" s="189">
        <v>6990825699.3400002</v>
      </c>
      <c r="H6" s="189">
        <v>2939134421.02</v>
      </c>
      <c r="I6" s="189">
        <v>25876318999.369999</v>
      </c>
      <c r="J6" s="189">
        <v>16093040683.639999</v>
      </c>
      <c r="K6" s="189">
        <v>9971215461.4500008</v>
      </c>
      <c r="L6" s="189">
        <v>3888650143.8800001</v>
      </c>
      <c r="M6" s="189">
        <v>23305898509.150002</v>
      </c>
      <c r="N6" s="189">
        <v>14407927241.440001</v>
      </c>
      <c r="O6" s="189">
        <v>7958746567.7299995</v>
      </c>
      <c r="P6" s="189">
        <v>3293056646.0599999</v>
      </c>
      <c r="Q6" s="189">
        <v>19481360598.02</v>
      </c>
      <c r="R6" s="189">
        <v>12084870421.18</v>
      </c>
      <c r="S6" s="189">
        <v>7507615942.46</v>
      </c>
      <c r="T6" s="189">
        <v>3549148936.71</v>
      </c>
      <c r="U6" s="189">
        <v>17794266439</v>
      </c>
      <c r="V6" s="189">
        <v>11179258927.299999</v>
      </c>
      <c r="W6" s="189">
        <v>7894081245.0500002</v>
      </c>
      <c r="X6" s="189">
        <v>3549456898.02</v>
      </c>
      <c r="Y6" s="189">
        <v>15817656983.84</v>
      </c>
      <c r="Z6" s="189">
        <v>10791637167.530001</v>
      </c>
      <c r="AA6" s="189">
        <v>6740653410.54</v>
      </c>
      <c r="AB6" s="189">
        <v>3240050083.3099999</v>
      </c>
      <c r="AC6" s="189">
        <v>13850380881.74</v>
      </c>
      <c r="AD6" s="189">
        <v>9101798182.5499992</v>
      </c>
      <c r="AE6" s="189">
        <v>5305856182.1300001</v>
      </c>
      <c r="AF6" s="189">
        <v>2442077334.04</v>
      </c>
      <c r="AG6" s="189">
        <v>11142433611.040001</v>
      </c>
      <c r="AH6" s="189">
        <v>7564867694.8900003</v>
      </c>
      <c r="AI6" s="189">
        <v>4584544816.6199999</v>
      </c>
      <c r="AJ6" s="189">
        <v>1947669634.8099999</v>
      </c>
      <c r="AK6" s="189">
        <v>7259352892.6700001</v>
      </c>
      <c r="AL6" s="189">
        <v>4858571714.3999996</v>
      </c>
      <c r="AM6" s="189">
        <v>2963452423.54</v>
      </c>
      <c r="AN6" s="189">
        <v>1083319467.78</v>
      </c>
      <c r="AO6" s="189">
        <v>7024011472.3500004</v>
      </c>
      <c r="AP6" s="189">
        <v>5071120898.0299997</v>
      </c>
      <c r="AQ6" s="189">
        <v>3645150174.6799998</v>
      </c>
      <c r="AR6" s="189">
        <v>1444690742.1300001</v>
      </c>
      <c r="AS6" s="189">
        <v>6422600909.8599997</v>
      </c>
      <c r="AT6" s="189">
        <v>4036392929.8899999</v>
      </c>
      <c r="AU6" s="189">
        <v>2360176309.1399999</v>
      </c>
      <c r="AV6" s="189">
        <v>1010554712.9</v>
      </c>
      <c r="AW6" s="189">
        <v>4044004119.1300001</v>
      </c>
      <c r="AX6" s="189">
        <v>2660021369.1700001</v>
      </c>
      <c r="AY6" s="189">
        <v>1683552954.5899999</v>
      </c>
      <c r="AZ6" s="189">
        <v>732160459.53999996</v>
      </c>
      <c r="BA6" s="189">
        <v>3730373976.7600002</v>
      </c>
      <c r="BB6" s="189">
        <v>2427721005.29</v>
      </c>
      <c r="BC6" s="189">
        <v>1410254715.55</v>
      </c>
      <c r="BD6" s="189">
        <v>611087749.47000003</v>
      </c>
      <c r="BE6" s="189">
        <v>3276574385.25</v>
      </c>
      <c r="BF6" s="189">
        <v>2272572167.96</v>
      </c>
      <c r="BG6" s="189">
        <v>1231601629.0599999</v>
      </c>
      <c r="BH6" s="189">
        <v>450122432.81999999</v>
      </c>
      <c r="BI6" s="189">
        <v>2658677990.2399998</v>
      </c>
      <c r="BJ6" s="189">
        <v>1542116118.54</v>
      </c>
      <c r="BK6" s="189">
        <v>949358638.54999995</v>
      </c>
      <c r="BL6" s="189">
        <v>583912373.85000002</v>
      </c>
      <c r="BM6" s="189">
        <v>2185394749.9699998</v>
      </c>
      <c r="BN6" s="189">
        <v>1477664672.4200001</v>
      </c>
      <c r="BO6" s="189">
        <v>798471850.73000002</v>
      </c>
      <c r="BP6" s="189">
        <v>285998870.98000002</v>
      </c>
      <c r="BQ6" s="189">
        <v>1251281550.24</v>
      </c>
      <c r="BR6" s="189">
        <v>555472289.60000002</v>
      </c>
      <c r="BS6" s="189">
        <v>954991664.87</v>
      </c>
      <c r="BT6" s="189">
        <v>383723432.27999997</v>
      </c>
      <c r="BU6" s="189">
        <v>550899618.62</v>
      </c>
      <c r="BV6" s="189">
        <v>267579038.37</v>
      </c>
      <c r="BW6" s="189">
        <v>454870147.83999997</v>
      </c>
      <c r="BX6" s="189">
        <v>188374809.66999999</v>
      </c>
      <c r="BY6" s="189">
        <v>350700596.99000001</v>
      </c>
      <c r="BZ6" s="189">
        <v>0</v>
      </c>
      <c r="CA6" s="189">
        <v>369063910</v>
      </c>
      <c r="CB6" s="189">
        <v>225141238</v>
      </c>
      <c r="CC6" s="189">
        <v>121860020</v>
      </c>
      <c r="CD6" s="189">
        <v>0</v>
      </c>
    </row>
    <row r="7" spans="1:82" x14ac:dyDescent="0.25">
      <c r="A7" s="189" t="s">
        <v>194</v>
      </c>
      <c r="B7" s="189">
        <v>134703260.72</v>
      </c>
      <c r="C7" s="189">
        <v>82169642.390000001</v>
      </c>
      <c r="D7" s="189">
        <v>41998721.109999999</v>
      </c>
      <c r="E7" s="189">
        <v>185639614.84</v>
      </c>
      <c r="F7" s="189">
        <v>128297438.25</v>
      </c>
      <c r="G7" s="189">
        <v>70517957.469999999</v>
      </c>
      <c r="H7" s="189">
        <v>29725850.300000001</v>
      </c>
      <c r="I7" s="189">
        <v>161368125.83000001</v>
      </c>
      <c r="J7" s="189">
        <v>80764424.370000005</v>
      </c>
      <c r="K7" s="189">
        <v>54553327.200000003</v>
      </c>
      <c r="L7" s="189">
        <v>18124933.739999998</v>
      </c>
      <c r="M7" s="189">
        <v>151755768.25</v>
      </c>
      <c r="N7" s="189">
        <v>121363808.81999999</v>
      </c>
      <c r="O7" s="189">
        <v>75151913.010000005</v>
      </c>
      <c r="P7" s="189">
        <v>14607386.41</v>
      </c>
      <c r="Q7" s="189">
        <v>154579150.66999999</v>
      </c>
      <c r="R7" s="189">
        <v>93818123.319999993</v>
      </c>
      <c r="S7" s="189">
        <v>48617816</v>
      </c>
      <c r="T7" s="189">
        <v>14489892.67</v>
      </c>
      <c r="U7" s="189">
        <v>123587552.8</v>
      </c>
      <c r="V7" s="189">
        <v>65469458.539999999</v>
      </c>
      <c r="W7" s="189">
        <v>50885609.140000001</v>
      </c>
      <c r="X7" s="189">
        <v>10555770.99</v>
      </c>
      <c r="Y7" s="189">
        <v>116779946.92</v>
      </c>
      <c r="Z7" s="189">
        <v>75162927.530000001</v>
      </c>
      <c r="AA7" s="189">
        <v>48269298.560000002</v>
      </c>
      <c r="AB7" s="189">
        <v>16641759.460000001</v>
      </c>
      <c r="AC7" s="189">
        <v>82419950.219999999</v>
      </c>
      <c r="AD7" s="189">
        <v>51691894.829999998</v>
      </c>
      <c r="AE7" s="189">
        <v>30965916.890000001</v>
      </c>
      <c r="AF7" s="189">
        <v>18141306.559999999</v>
      </c>
      <c r="AG7" s="189">
        <v>42289142.390000001</v>
      </c>
      <c r="AH7" s="189">
        <v>29641626.420000002</v>
      </c>
      <c r="AI7" s="189">
        <v>17449730.859999999</v>
      </c>
      <c r="AJ7" s="189">
        <v>8984216.3499999996</v>
      </c>
      <c r="AK7" s="189">
        <v>38916368.479999997</v>
      </c>
      <c r="AL7" s="189">
        <v>27959493</v>
      </c>
      <c r="AM7" s="189">
        <v>17998343.210000001</v>
      </c>
      <c r="AN7" s="189">
        <v>9292339.5299999993</v>
      </c>
      <c r="AO7" s="189">
        <v>29973907.100000001</v>
      </c>
      <c r="AP7" s="189">
        <v>18158860.969999999</v>
      </c>
      <c r="AQ7" s="189">
        <v>16801117.719999999</v>
      </c>
      <c r="AR7" s="189">
        <v>7243207.25</v>
      </c>
      <c r="AS7" s="189">
        <v>79172020.239999995</v>
      </c>
      <c r="AT7" s="189">
        <v>17198553.170000002</v>
      </c>
      <c r="AU7" s="189">
        <v>11824130.48</v>
      </c>
      <c r="AV7" s="189">
        <v>6513616.3399999999</v>
      </c>
      <c r="AW7" s="189">
        <v>37625834.859999999</v>
      </c>
      <c r="AX7" s="189">
        <v>16027684.460000001</v>
      </c>
      <c r="AY7" s="189">
        <v>10436146.32</v>
      </c>
      <c r="AZ7" s="189">
        <v>3713359.4</v>
      </c>
      <c r="BA7" s="189">
        <v>20823501.93</v>
      </c>
      <c r="BB7" s="189">
        <v>12541004.550000001</v>
      </c>
      <c r="BC7" s="189">
        <v>8667088.5800000001</v>
      </c>
      <c r="BD7" s="189">
        <v>5334592.7699999996</v>
      </c>
      <c r="BE7" s="189">
        <v>13688847.07</v>
      </c>
      <c r="BF7" s="189">
        <v>10872380.720000001</v>
      </c>
      <c r="BG7" s="189">
        <v>5218882.84</v>
      </c>
      <c r="BH7" s="189">
        <v>2867333.97</v>
      </c>
      <c r="BI7" s="189">
        <v>12766571.560000001</v>
      </c>
      <c r="BJ7" s="189">
        <v>7756698.7800000003</v>
      </c>
      <c r="BK7" s="189">
        <v>5220937.96</v>
      </c>
      <c r="BL7" s="189">
        <v>5216740.7699999996</v>
      </c>
      <c r="BM7" s="189">
        <v>8231378.9400000004</v>
      </c>
      <c r="BN7" s="189">
        <v>6717289.6699999999</v>
      </c>
      <c r="BO7" s="189">
        <v>3001526.26</v>
      </c>
      <c r="BP7" s="189">
        <v>2352525.83</v>
      </c>
      <c r="BQ7" s="189">
        <v>7826994.4699999997</v>
      </c>
      <c r="BR7" s="189">
        <v>3883780.13</v>
      </c>
      <c r="BS7" s="189">
        <v>6746639.4900000002</v>
      </c>
      <c r="BT7" s="189">
        <v>3543698.72</v>
      </c>
      <c r="BU7" s="189">
        <v>2694070.68</v>
      </c>
      <c r="BV7" s="189">
        <v>1625630.23</v>
      </c>
      <c r="BW7" s="189">
        <v>1242815.3899999999</v>
      </c>
      <c r="BX7" s="189">
        <v>1062317.1599999999</v>
      </c>
      <c r="BY7" s="189">
        <v>971693.92</v>
      </c>
      <c r="BZ7" s="189">
        <v>0</v>
      </c>
      <c r="CA7" s="189">
        <v>1224034</v>
      </c>
      <c r="CB7" s="189">
        <v>734461</v>
      </c>
      <c r="CC7" s="189">
        <v>430700</v>
      </c>
      <c r="CD7" s="189">
        <v>0</v>
      </c>
    </row>
    <row r="8" spans="1:82" x14ac:dyDescent="0.25">
      <c r="A8" s="189" t="s">
        <v>195</v>
      </c>
      <c r="B8" s="189">
        <v>1487069770.2</v>
      </c>
      <c r="C8" s="189">
        <v>1010825239.71</v>
      </c>
      <c r="D8" s="189">
        <v>303596476.33999997</v>
      </c>
      <c r="E8" s="189">
        <v>2353432561.25</v>
      </c>
      <c r="F8" s="189">
        <v>1328312996.5699999</v>
      </c>
      <c r="G8" s="189">
        <v>706513406.10000002</v>
      </c>
      <c r="H8" s="189">
        <v>236390665.97</v>
      </c>
      <c r="I8" s="189">
        <v>2926673958.9200001</v>
      </c>
      <c r="J8" s="189">
        <v>1502320466.1800001</v>
      </c>
      <c r="K8" s="189">
        <v>968054175.01999998</v>
      </c>
      <c r="L8" s="189">
        <v>349205247.36000001</v>
      </c>
      <c r="M8" s="189">
        <v>2034365059.76</v>
      </c>
      <c r="N8" s="189">
        <v>1185418868</v>
      </c>
      <c r="O8" s="189">
        <v>671568493.53999996</v>
      </c>
      <c r="P8" s="189">
        <v>281531935.98000002</v>
      </c>
      <c r="Q8" s="189">
        <v>1518055430.49</v>
      </c>
      <c r="R8" s="189">
        <v>834689212.35000002</v>
      </c>
      <c r="S8" s="189">
        <v>524951624.47000003</v>
      </c>
      <c r="T8" s="189">
        <v>224688189.40000001</v>
      </c>
      <c r="U8" s="189">
        <v>1241389817.24</v>
      </c>
      <c r="V8" s="189">
        <v>730132314.66999996</v>
      </c>
      <c r="W8" s="189">
        <v>520987767.81999999</v>
      </c>
      <c r="X8" s="189">
        <v>239085592.90000001</v>
      </c>
      <c r="Y8" s="189">
        <v>1149954983.3900001</v>
      </c>
      <c r="Z8" s="189">
        <v>767392718.36000001</v>
      </c>
      <c r="AA8" s="189">
        <v>510109959.39999998</v>
      </c>
      <c r="AB8" s="189">
        <v>238871637.58000001</v>
      </c>
      <c r="AC8" s="189">
        <v>927571001.59000003</v>
      </c>
      <c r="AD8" s="189">
        <v>541675821.89999998</v>
      </c>
      <c r="AE8" s="189">
        <v>320176213.88</v>
      </c>
      <c r="AF8" s="189">
        <v>159218674.22999999</v>
      </c>
      <c r="AG8" s="189">
        <v>720775641.63999999</v>
      </c>
      <c r="AH8" s="189">
        <v>447289241.69999999</v>
      </c>
      <c r="AI8" s="189">
        <v>258986451.05000001</v>
      </c>
      <c r="AJ8" s="189">
        <v>143674381.62</v>
      </c>
      <c r="AK8" s="189">
        <v>470415363.69999999</v>
      </c>
      <c r="AL8" s="189">
        <v>282404551.30000001</v>
      </c>
      <c r="AM8" s="189">
        <v>170096735.83000001</v>
      </c>
      <c r="AN8" s="189">
        <v>70892092.219999999</v>
      </c>
      <c r="AO8" s="189">
        <v>405353055.02999997</v>
      </c>
      <c r="AP8" s="189">
        <v>255641174.88999999</v>
      </c>
      <c r="AQ8" s="189">
        <v>171286300.63</v>
      </c>
      <c r="AR8" s="189">
        <v>86046021.439999998</v>
      </c>
      <c r="AS8" s="189">
        <v>410999664.69</v>
      </c>
      <c r="AT8" s="189">
        <v>250382271.30000001</v>
      </c>
      <c r="AU8" s="189">
        <v>160542836.91</v>
      </c>
      <c r="AV8" s="189">
        <v>76433822.829999998</v>
      </c>
      <c r="AW8" s="189">
        <v>334663982.06999999</v>
      </c>
      <c r="AX8" s="189">
        <v>235133700.47999999</v>
      </c>
      <c r="AY8" s="189">
        <v>151285312.56</v>
      </c>
      <c r="AZ8" s="189">
        <v>54471960.229999997</v>
      </c>
      <c r="BA8" s="189">
        <v>305756609.54000002</v>
      </c>
      <c r="BB8" s="189">
        <v>181225555.91</v>
      </c>
      <c r="BC8" s="189">
        <v>94180585.439999998</v>
      </c>
      <c r="BD8" s="189">
        <v>35197472.590000004</v>
      </c>
      <c r="BE8" s="189">
        <v>241528132.36000001</v>
      </c>
      <c r="BF8" s="189">
        <v>162478232.75999999</v>
      </c>
      <c r="BG8" s="189">
        <v>79362335.939999998</v>
      </c>
      <c r="BH8" s="189">
        <v>35416428.619999997</v>
      </c>
      <c r="BI8" s="189">
        <v>193566859.59</v>
      </c>
      <c r="BJ8" s="189">
        <v>116783462.20999999</v>
      </c>
      <c r="BK8" s="189">
        <v>80727007.510000005</v>
      </c>
      <c r="BL8" s="189">
        <v>40066641.75</v>
      </c>
      <c r="BM8" s="189">
        <v>154938525.41999999</v>
      </c>
      <c r="BN8" s="189">
        <v>96274222.920000002</v>
      </c>
      <c r="BO8" s="189">
        <v>58895417.530000001</v>
      </c>
      <c r="BP8" s="189">
        <v>26507627.449999999</v>
      </c>
      <c r="BQ8" s="189">
        <v>64709098.049999997</v>
      </c>
      <c r="BR8" s="189">
        <v>34037263.399999999</v>
      </c>
      <c r="BS8" s="189">
        <v>31769993.309999999</v>
      </c>
      <c r="BT8" s="189">
        <v>9285876.6099999994</v>
      </c>
      <c r="BU8" s="189">
        <v>16375695.550000001</v>
      </c>
      <c r="BV8" s="189">
        <v>7252156.5800000001</v>
      </c>
      <c r="BW8" s="189">
        <v>11269225.09</v>
      </c>
      <c r="BX8" s="189">
        <v>3916037.15</v>
      </c>
      <c r="BY8" s="189">
        <v>11101935.949999999</v>
      </c>
      <c r="BZ8" s="189">
        <v>0</v>
      </c>
      <c r="CA8" s="189">
        <v>7030640</v>
      </c>
      <c r="CB8" s="189">
        <v>4451221</v>
      </c>
      <c r="CC8" s="189">
        <v>2763600</v>
      </c>
      <c r="CD8" s="189">
        <v>0</v>
      </c>
    </row>
    <row r="9" spans="1:82" x14ac:dyDescent="0.25">
      <c r="A9" s="189" t="s">
        <v>196</v>
      </c>
      <c r="B9" s="189">
        <v>473061651.16000003</v>
      </c>
      <c r="C9" s="189">
        <v>927186313.38999999</v>
      </c>
      <c r="D9" s="189">
        <v>414172311.19</v>
      </c>
      <c r="E9" s="189">
        <v>2051275833.0599999</v>
      </c>
      <c r="F9" s="189">
        <v>1102439012.6400001</v>
      </c>
      <c r="G9" s="189">
        <v>681167145.64999998</v>
      </c>
      <c r="H9" s="189">
        <v>394099300.13999999</v>
      </c>
      <c r="I9" s="189">
        <v>1825537916.75</v>
      </c>
      <c r="J9" s="189">
        <v>1179240233.48</v>
      </c>
      <c r="K9" s="189">
        <v>762850423.29999995</v>
      </c>
      <c r="L9" s="189">
        <v>383664873.14999998</v>
      </c>
      <c r="M9" s="189">
        <v>1812930608.9200001</v>
      </c>
      <c r="N9" s="189">
        <v>1196003215.73</v>
      </c>
      <c r="O9" s="189">
        <v>782642166.84000003</v>
      </c>
      <c r="P9" s="189">
        <v>366029342.07999998</v>
      </c>
      <c r="Q9" s="189">
        <v>1452376480.1600001</v>
      </c>
      <c r="R9" s="189">
        <v>813320411.19000006</v>
      </c>
      <c r="S9" s="189">
        <v>549893109.62</v>
      </c>
      <c r="T9" s="189">
        <v>296527579.26999998</v>
      </c>
      <c r="U9" s="189">
        <v>1071030306.22</v>
      </c>
      <c r="V9" s="189">
        <v>723793176.41999996</v>
      </c>
      <c r="W9" s="189">
        <v>480316564.81999999</v>
      </c>
      <c r="X9" s="189">
        <v>239543726.65000001</v>
      </c>
      <c r="Y9" s="189">
        <v>880513246.49000001</v>
      </c>
      <c r="Z9" s="189">
        <v>588699251.63</v>
      </c>
      <c r="AA9" s="189">
        <v>359948868.73000002</v>
      </c>
      <c r="AB9" s="189">
        <v>179197381.71000001</v>
      </c>
      <c r="AC9" s="189">
        <v>698998678.25999999</v>
      </c>
      <c r="AD9" s="189">
        <v>462580285.74000001</v>
      </c>
      <c r="AE9" s="189">
        <v>275696964.37</v>
      </c>
      <c r="AF9" s="189">
        <v>133452455.86</v>
      </c>
      <c r="AG9" s="189">
        <v>523426742.54000002</v>
      </c>
      <c r="AH9" s="189">
        <v>374846325.30000001</v>
      </c>
      <c r="AI9" s="189">
        <v>224473640.03999999</v>
      </c>
      <c r="AJ9" s="189">
        <v>100851848.41</v>
      </c>
      <c r="AK9" s="189">
        <v>358150786.63</v>
      </c>
      <c r="AL9" s="189">
        <v>280716465.63</v>
      </c>
      <c r="AM9" s="189">
        <v>183887667.75999999</v>
      </c>
      <c r="AN9" s="189">
        <v>94098554.109999999</v>
      </c>
      <c r="AO9" s="189">
        <v>410060735.70999998</v>
      </c>
      <c r="AP9" s="189">
        <v>313364207.63</v>
      </c>
      <c r="AQ9" s="189">
        <v>221626498.81</v>
      </c>
      <c r="AR9" s="189">
        <v>126883062.36</v>
      </c>
      <c r="AS9" s="189">
        <v>369681844.36000001</v>
      </c>
      <c r="AT9" s="189">
        <v>250554601.13999999</v>
      </c>
      <c r="AU9" s="189">
        <v>155761236</v>
      </c>
      <c r="AV9" s="189">
        <v>68630785.109999999</v>
      </c>
      <c r="AW9" s="189">
        <v>281010186.29000002</v>
      </c>
      <c r="AX9" s="189">
        <v>177974375.25999999</v>
      </c>
      <c r="AY9" s="189">
        <v>109110684.33</v>
      </c>
      <c r="AZ9" s="189">
        <v>55182171.57</v>
      </c>
      <c r="BA9" s="189">
        <v>291412597.25999999</v>
      </c>
      <c r="BB9" s="189">
        <v>176286507.25999999</v>
      </c>
      <c r="BC9" s="189">
        <v>105140169.63</v>
      </c>
      <c r="BD9" s="189">
        <v>49172531.189999998</v>
      </c>
      <c r="BE9" s="189">
        <v>240598845.02000001</v>
      </c>
      <c r="BF9" s="189">
        <v>185177144.90000001</v>
      </c>
      <c r="BG9" s="189">
        <v>104756543.64</v>
      </c>
      <c r="BH9" s="189">
        <v>51311269.859999999</v>
      </c>
      <c r="BI9" s="189">
        <v>207612352.59</v>
      </c>
      <c r="BJ9" s="189">
        <v>178422651.16</v>
      </c>
      <c r="BK9" s="189">
        <v>118867271.18000001</v>
      </c>
      <c r="BL9" s="189">
        <v>85282478.069999993</v>
      </c>
      <c r="BM9" s="189">
        <v>157493020.16999999</v>
      </c>
      <c r="BN9" s="189">
        <v>165111587.21000001</v>
      </c>
      <c r="BO9" s="189">
        <v>87847561.030000001</v>
      </c>
      <c r="BP9" s="189">
        <v>33555535.149999999</v>
      </c>
      <c r="BQ9" s="189">
        <v>128357653.31999999</v>
      </c>
      <c r="BR9" s="189">
        <v>74118774.290000007</v>
      </c>
      <c r="BS9" s="189">
        <v>94748656.430000007</v>
      </c>
      <c r="BT9" s="189">
        <v>40470603.82</v>
      </c>
      <c r="BU9" s="189">
        <v>48361994.43</v>
      </c>
      <c r="BV9" s="189">
        <v>16586491.119999999</v>
      </c>
      <c r="BW9" s="189">
        <v>31127259.690000001</v>
      </c>
      <c r="BX9" s="189">
        <v>6316654.54</v>
      </c>
      <c r="BY9" s="189">
        <v>22011099.829999998</v>
      </c>
      <c r="BZ9" s="189">
        <v>0</v>
      </c>
      <c r="CA9" s="189">
        <v>23754785</v>
      </c>
      <c r="CB9" s="189">
        <v>16103087</v>
      </c>
      <c r="CC9" s="189">
        <v>5569596</v>
      </c>
      <c r="CD9" s="189">
        <v>0</v>
      </c>
    </row>
    <row r="10" spans="1:82" x14ac:dyDescent="0.25">
      <c r="A10" s="189" t="s">
        <v>197</v>
      </c>
      <c r="B10" s="189">
        <v>69780754.579999998</v>
      </c>
      <c r="C10" s="189">
        <v>-25891510.5</v>
      </c>
      <c r="D10" s="189">
        <v>85119926.530000001</v>
      </c>
      <c r="E10" s="189">
        <v>492110138.77999997</v>
      </c>
      <c r="F10" s="189">
        <v>200907906.94</v>
      </c>
      <c r="G10" s="189">
        <v>55212133.969999999</v>
      </c>
      <c r="H10" s="189">
        <v>20956670.52</v>
      </c>
      <c r="I10" s="189">
        <v>274590800.37</v>
      </c>
      <c r="J10" s="189">
        <v>77269457.620000005</v>
      </c>
      <c r="K10" s="189">
        <v>42635821.990000002</v>
      </c>
      <c r="L10" s="189">
        <v>29192455.510000002</v>
      </c>
      <c r="M10" s="189">
        <v>-142401040.71000001</v>
      </c>
      <c r="N10" s="189">
        <v>-139065514.49000001</v>
      </c>
      <c r="O10" s="189">
        <v>-113026928.69</v>
      </c>
      <c r="P10" s="189">
        <v>-57394052.049999997</v>
      </c>
      <c r="Q10" s="189">
        <v>-24899534.809999999</v>
      </c>
      <c r="R10" s="189">
        <v>-38753388.340000004</v>
      </c>
      <c r="S10" s="189">
        <v>-32352465.059999999</v>
      </c>
      <c r="T10" s="189">
        <v>-24577747.16</v>
      </c>
      <c r="U10" s="189">
        <v>7871611.8600000003</v>
      </c>
      <c r="V10" s="189">
        <v>-7747729.0899999999</v>
      </c>
      <c r="W10" s="189">
        <v>2343493.39</v>
      </c>
      <c r="X10" s="189">
        <v>-14003809.34</v>
      </c>
      <c r="Y10" s="189">
        <v>-37831413.899999999</v>
      </c>
      <c r="Z10" s="189">
        <v>-36710928.140000001</v>
      </c>
      <c r="AA10" s="189">
        <v>-22059877.379999999</v>
      </c>
      <c r="AB10" s="189">
        <v>-12283499.449999999</v>
      </c>
      <c r="AC10" s="189">
        <v>9264794.9499999993</v>
      </c>
      <c r="AD10" s="189">
        <v>-6914317.9299999997</v>
      </c>
      <c r="AE10" s="189">
        <v>-3702806.24</v>
      </c>
      <c r="AF10" s="189">
        <v>-1488613.97</v>
      </c>
      <c r="AG10" s="189">
        <v>16698918.77</v>
      </c>
      <c r="AH10" s="189">
        <v>12076965.560000001</v>
      </c>
      <c r="AI10" s="189">
        <v>12637706.5</v>
      </c>
      <c r="AJ10" s="189">
        <v>7393204.96</v>
      </c>
      <c r="AK10" s="189">
        <v>8520977.5999999996</v>
      </c>
      <c r="AL10" s="189">
        <v>5559922.4299999997</v>
      </c>
      <c r="AM10" s="189">
        <v>2042696.19</v>
      </c>
      <c r="AN10" s="189">
        <v>1968209.11</v>
      </c>
      <c r="AO10" s="189">
        <v>20699988.66</v>
      </c>
      <c r="AP10" s="189">
        <v>7732407.2400000002</v>
      </c>
      <c r="AQ10" s="189">
        <v>9580579.2300000004</v>
      </c>
      <c r="AR10" s="189">
        <v>6665365.3600000003</v>
      </c>
      <c r="AS10" s="189">
        <v>18018634.039999999</v>
      </c>
      <c r="AT10" s="189">
        <v>13458435.01</v>
      </c>
      <c r="AU10" s="189">
        <v>5287737.1900000004</v>
      </c>
      <c r="AV10" s="189">
        <v>-415098.69</v>
      </c>
      <c r="AW10" s="189">
        <v>-9931564.0700000003</v>
      </c>
      <c r="AX10" s="189">
        <v>-5667542.8799999999</v>
      </c>
      <c r="AY10" s="189">
        <v>-2363077.2599999998</v>
      </c>
      <c r="AZ10" s="189">
        <v>405174.03</v>
      </c>
      <c r="BA10" s="189">
        <v>-4529097.2</v>
      </c>
      <c r="BB10" s="189">
        <v>-2894652.98</v>
      </c>
      <c r="BC10" s="189">
        <v>-2827362.37</v>
      </c>
      <c r="BD10" s="189">
        <v>-2356296.71</v>
      </c>
      <c r="BE10" s="189">
        <v>4840514.22</v>
      </c>
      <c r="BF10" s="189">
        <v>6719518.21</v>
      </c>
      <c r="BG10" s="189">
        <v>5793815.1500000004</v>
      </c>
      <c r="BH10" s="189">
        <v>3195042.18</v>
      </c>
      <c r="BI10" s="189">
        <v>803011</v>
      </c>
      <c r="BJ10" s="189">
        <v>754238.33</v>
      </c>
      <c r="BK10" s="189">
        <v>238245.5</v>
      </c>
      <c r="BL10" s="189">
        <v>-317100.01</v>
      </c>
      <c r="BM10" s="189">
        <v>2797377.23</v>
      </c>
      <c r="BN10" s="189">
        <v>2741784.21</v>
      </c>
      <c r="BO10" s="189">
        <v>1820910.37</v>
      </c>
      <c r="BP10" s="189">
        <v>904279.25</v>
      </c>
      <c r="BQ10" s="189">
        <v>3423293.58</v>
      </c>
      <c r="BR10" s="189">
        <v>2914536.64</v>
      </c>
      <c r="BS10" s="189">
        <v>7776249.6799999997</v>
      </c>
      <c r="BT10" s="189">
        <v>5271476.18</v>
      </c>
      <c r="BU10" s="189">
        <v>8669958.0099999998</v>
      </c>
      <c r="BV10" s="189">
        <v>5218594.43</v>
      </c>
      <c r="BW10" s="189">
        <v>9013459.8699999992</v>
      </c>
      <c r="BX10" s="189">
        <v>3695595.07</v>
      </c>
      <c r="BY10" s="189">
        <v>9372433.1799999997</v>
      </c>
      <c r="BZ10" s="189">
        <v>0</v>
      </c>
      <c r="CA10" s="189">
        <v>9039543</v>
      </c>
      <c r="CB10" s="189">
        <v>6749006</v>
      </c>
      <c r="CC10" s="189">
        <v>4385344</v>
      </c>
      <c r="CD10" s="189">
        <v>0</v>
      </c>
    </row>
    <row r="11" spans="1:82" x14ac:dyDescent="0.25">
      <c r="A11" s="189" t="s">
        <v>198</v>
      </c>
      <c r="B11" s="189">
        <v>-10830385.380000001</v>
      </c>
      <c r="C11" s="189">
        <v>-110788307.19</v>
      </c>
      <c r="D11" s="189">
        <v>-70089483.359999999</v>
      </c>
      <c r="E11" s="189">
        <v>560350406.35000002</v>
      </c>
      <c r="F11" s="189">
        <v>212508044.03999999</v>
      </c>
      <c r="G11" s="189">
        <v>25803137.550000001</v>
      </c>
      <c r="H11" s="189">
        <v>-66892569.729999997</v>
      </c>
      <c r="I11" s="189">
        <v>437965546.48000002</v>
      </c>
      <c r="J11" s="189">
        <v>211834317.93000001</v>
      </c>
      <c r="K11" s="189">
        <v>93790916.879999995</v>
      </c>
      <c r="L11" s="189">
        <v>-30512512.550000001</v>
      </c>
      <c r="M11" s="189">
        <v>240740779.00999999</v>
      </c>
      <c r="N11" s="189">
        <v>-3559174.98</v>
      </c>
      <c r="O11" s="189">
        <v>-50117286.490000002</v>
      </c>
      <c r="P11" s="189">
        <v>-41866112.770000003</v>
      </c>
      <c r="Q11" s="189">
        <v>356544590.82999998</v>
      </c>
      <c r="R11" s="189">
        <v>73614401.180000007</v>
      </c>
      <c r="S11" s="189">
        <v>52853538.43</v>
      </c>
      <c r="T11" s="189">
        <v>31558781.66</v>
      </c>
      <c r="U11" s="189">
        <v>10876314.699999999</v>
      </c>
      <c r="V11" s="189">
        <v>155313703.19</v>
      </c>
      <c r="W11" s="189">
        <v>176033326.75999999</v>
      </c>
      <c r="X11" s="189">
        <v>69605803.239999995</v>
      </c>
      <c r="Y11" s="189">
        <v>258726975.11000001</v>
      </c>
      <c r="Z11" s="189">
        <v>99775944.260000005</v>
      </c>
      <c r="AA11" s="189">
        <v>57231779.520000003</v>
      </c>
      <c r="AB11" s="189">
        <v>45047118.840000004</v>
      </c>
      <c r="AC11" s="189">
        <v>39806258.420000002</v>
      </c>
      <c r="AD11" s="189">
        <v>45658847.189999998</v>
      </c>
      <c r="AE11" s="189">
        <v>9430681.3399999999</v>
      </c>
      <c r="AF11" s="189">
        <v>1205498.8400000001</v>
      </c>
      <c r="AG11" s="189">
        <v>40379439.049999997</v>
      </c>
      <c r="AH11" s="189">
        <v>42895473.689999998</v>
      </c>
      <c r="AI11" s="189">
        <v>24495553.59</v>
      </c>
      <c r="AJ11" s="189">
        <v>-1859114.74</v>
      </c>
      <c r="AK11" s="189">
        <v>39616708.619999997</v>
      </c>
      <c r="AL11" s="189">
        <v>15233147.65</v>
      </c>
      <c r="AM11" s="189">
        <v>9914485.5299999993</v>
      </c>
      <c r="AN11" s="189">
        <v>3168473.74</v>
      </c>
      <c r="AO11" s="189">
        <v>151545293.86000001</v>
      </c>
      <c r="AP11" s="189">
        <v>144212178.31</v>
      </c>
      <c r="AQ11" s="189">
        <v>-16013320.02</v>
      </c>
      <c r="AR11" s="189">
        <v>-15568237</v>
      </c>
      <c r="AS11" s="189">
        <v>54864256.969999999</v>
      </c>
      <c r="AT11" s="189">
        <v>16384639.039999999</v>
      </c>
      <c r="AU11" s="189">
        <v>4425313.41</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4934929.22</v>
      </c>
      <c r="BT11" s="189">
        <v>0</v>
      </c>
      <c r="BU11" s="189">
        <v>2075722.79</v>
      </c>
      <c r="BV11" s="189">
        <v>0</v>
      </c>
      <c r="BW11" s="189">
        <v>0</v>
      </c>
      <c r="BX11" s="189">
        <v>0</v>
      </c>
      <c r="BY11" s="189">
        <v>0</v>
      </c>
      <c r="BZ11" s="189">
        <v>0</v>
      </c>
      <c r="CA11" s="189">
        <v>0</v>
      </c>
      <c r="CB11" s="189">
        <v>0</v>
      </c>
      <c r="CC11" s="189">
        <v>0</v>
      </c>
      <c r="CD11" s="189">
        <v>0</v>
      </c>
    </row>
    <row r="12" spans="1:82" x14ac:dyDescent="0.25">
      <c r="A12" s="189" t="s">
        <v>199</v>
      </c>
      <c r="B12" s="189">
        <v>-134606557.09</v>
      </c>
      <c r="C12" s="189">
        <v>-70316784.040000007</v>
      </c>
      <c r="D12" s="189">
        <v>34335426.359999999</v>
      </c>
      <c r="E12" s="189">
        <v>121323856.59</v>
      </c>
      <c r="F12" s="189">
        <v>81763649.390000001</v>
      </c>
      <c r="G12" s="189">
        <v>39498591.380000003</v>
      </c>
      <c r="H12" s="189">
        <v>28156085.809999999</v>
      </c>
      <c r="I12" s="189">
        <v>58012445.780000001</v>
      </c>
      <c r="J12" s="189">
        <v>17573983.75</v>
      </c>
      <c r="K12" s="189">
        <v>-44823636.020000003</v>
      </c>
      <c r="L12" s="189">
        <v>-103517515.90000001</v>
      </c>
      <c r="M12" s="189">
        <v>-41039008.729999997</v>
      </c>
      <c r="N12" s="189">
        <v>-119717657.77</v>
      </c>
      <c r="O12" s="189">
        <v>-39287252.329999998</v>
      </c>
      <c r="P12" s="189">
        <v>3902544.35</v>
      </c>
      <c r="Q12" s="189">
        <v>14531529.98</v>
      </c>
      <c r="R12" s="189">
        <v>1794705.27</v>
      </c>
      <c r="S12" s="189">
        <v>-2855220.13</v>
      </c>
      <c r="T12" s="189">
        <v>-5159187.51</v>
      </c>
      <c r="U12" s="189">
        <v>8155741.7699999996</v>
      </c>
      <c r="V12" s="189">
        <v>6067412.2699999996</v>
      </c>
      <c r="W12" s="189">
        <v>4344103.1500000004</v>
      </c>
      <c r="X12" s="189">
        <v>-441892.23</v>
      </c>
      <c r="Y12" s="189">
        <v>-1860661.04</v>
      </c>
      <c r="Z12" s="189">
        <v>0</v>
      </c>
      <c r="AA12" s="189">
        <v>0</v>
      </c>
      <c r="AB12" s="189">
        <v>0</v>
      </c>
      <c r="AC12" s="189">
        <v>0</v>
      </c>
      <c r="AD12" s="189">
        <v>0</v>
      </c>
      <c r="AE12" s="189">
        <v>0</v>
      </c>
      <c r="AF12" s="189">
        <v>0</v>
      </c>
      <c r="AG12" s="189">
        <v>-5116889.53</v>
      </c>
      <c r="AH12" s="189">
        <v>-5116889.53</v>
      </c>
      <c r="AI12" s="189">
        <v>-5141049.53</v>
      </c>
      <c r="AJ12" s="189">
        <v>-2947279.96</v>
      </c>
      <c r="AK12" s="189">
        <v>5096306.03</v>
      </c>
      <c r="AL12" s="189">
        <v>3256016.03</v>
      </c>
      <c r="AM12" s="189">
        <v>-20583.5</v>
      </c>
      <c r="AN12" s="189">
        <v>0</v>
      </c>
      <c r="AO12" s="189">
        <v>-16843696.16</v>
      </c>
      <c r="AP12" s="189">
        <v>-16864279.66</v>
      </c>
      <c r="AQ12" s="189">
        <v>-15564331.15</v>
      </c>
      <c r="AR12" s="189">
        <v>-16217321.300000001</v>
      </c>
      <c r="AS12" s="189">
        <v>15378029.99</v>
      </c>
      <c r="AT12" s="189">
        <v>4210275.7300000004</v>
      </c>
      <c r="AU12" s="189">
        <v>41666.75</v>
      </c>
      <c r="AV12" s="189">
        <v>3984261.07</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row>
    <row r="13" spans="1:82" x14ac:dyDescent="0.25">
      <c r="A13" s="189" t="s">
        <v>200</v>
      </c>
      <c r="B13" s="189">
        <v>80841533.140000001</v>
      </c>
      <c r="C13" s="189">
        <v>63844363.859999999</v>
      </c>
      <c r="D13" s="189">
        <v>31083959.859999999</v>
      </c>
      <c r="E13" s="189">
        <v>86307598.790000007</v>
      </c>
      <c r="F13" s="189">
        <v>90406741.359999999</v>
      </c>
      <c r="G13" s="189">
        <v>74986987.340000004</v>
      </c>
      <c r="H13" s="189">
        <v>45999233.170000002</v>
      </c>
      <c r="I13" s="189">
        <v>-12668793.67</v>
      </c>
      <c r="J13" s="189">
        <v>-34420841.479999997</v>
      </c>
      <c r="K13" s="189">
        <v>28268775.199999999</v>
      </c>
      <c r="L13" s="189">
        <v>16861805.739999998</v>
      </c>
      <c r="M13" s="189">
        <v>61737809.619999997</v>
      </c>
      <c r="N13" s="189">
        <v>22866119.48</v>
      </c>
      <c r="O13" s="189">
        <v>12346189.75</v>
      </c>
      <c r="P13" s="189">
        <v>5734936.6200000001</v>
      </c>
      <c r="Q13" s="189">
        <v>97897015.230000004</v>
      </c>
      <c r="R13" s="189">
        <v>64320448.729999997</v>
      </c>
      <c r="S13" s="189">
        <v>45441193.189999998</v>
      </c>
      <c r="T13" s="189">
        <v>14515679.390000001</v>
      </c>
      <c r="U13" s="189">
        <v>31006105.719999999</v>
      </c>
      <c r="V13" s="189">
        <v>18188552.309999999</v>
      </c>
      <c r="W13" s="189">
        <v>12435730.34</v>
      </c>
      <c r="X13" s="189">
        <v>9675799.2799999993</v>
      </c>
      <c r="Y13" s="189">
        <v>61341955.799999997</v>
      </c>
      <c r="Z13" s="189">
        <v>62469881.579999998</v>
      </c>
      <c r="AA13" s="189">
        <v>59713018.549999997</v>
      </c>
      <c r="AB13" s="189">
        <v>17541689.52</v>
      </c>
      <c r="AC13" s="189">
        <v>7929677.96</v>
      </c>
      <c r="AD13" s="189">
        <v>15419559.27</v>
      </c>
      <c r="AE13" s="189">
        <v>5648989.3700000001</v>
      </c>
      <c r="AF13" s="189">
        <v>4544576.62</v>
      </c>
      <c r="AG13" s="189">
        <v>17182324.800000001</v>
      </c>
      <c r="AH13" s="189">
        <v>9591188.1999999993</v>
      </c>
      <c r="AI13" s="189">
        <v>5939834.1200000001</v>
      </c>
      <c r="AJ13" s="189">
        <v>2539555.75</v>
      </c>
      <c r="AK13" s="189">
        <v>31518724.789999999</v>
      </c>
      <c r="AL13" s="189">
        <v>21499407.52</v>
      </c>
      <c r="AM13" s="189">
        <v>16168988.65</v>
      </c>
      <c r="AN13" s="189">
        <v>-28554.44</v>
      </c>
      <c r="AO13" s="189">
        <v>353001055.26999998</v>
      </c>
      <c r="AP13" s="189">
        <v>378664953.86000001</v>
      </c>
      <c r="AQ13" s="189">
        <v>294960372.10000002</v>
      </c>
      <c r="AR13" s="189">
        <v>278032430.14999998</v>
      </c>
      <c r="AS13" s="189">
        <v>49295649.890000001</v>
      </c>
      <c r="AT13" s="189">
        <v>23890478.850000001</v>
      </c>
      <c r="AU13" s="189">
        <v>13624473.16</v>
      </c>
      <c r="AV13" s="189">
        <v>3791462.98</v>
      </c>
      <c r="AW13" s="189">
        <v>13185255.029999999</v>
      </c>
      <c r="AX13" s="189">
        <v>2081152.92</v>
      </c>
      <c r="AY13" s="189">
        <v>-6550107.71</v>
      </c>
      <c r="AZ13" s="189">
        <v>1172525.6399999999</v>
      </c>
      <c r="BA13" s="189">
        <v>9171774.9000000004</v>
      </c>
      <c r="BB13" s="189">
        <v>7395958.3899999997</v>
      </c>
      <c r="BC13" s="189">
        <v>4984582.96</v>
      </c>
      <c r="BD13" s="189">
        <v>3050360.76</v>
      </c>
      <c r="BE13" s="189">
        <v>2186545.7999999998</v>
      </c>
      <c r="BF13" s="189">
        <v>1573989.31</v>
      </c>
      <c r="BG13" s="189">
        <v>1183478.1499999999</v>
      </c>
      <c r="BH13" s="189">
        <v>840000</v>
      </c>
      <c r="BI13" s="189">
        <v>-486358.5</v>
      </c>
      <c r="BJ13" s="189">
        <v>156839.66</v>
      </c>
      <c r="BK13" s="189">
        <v>156839.66</v>
      </c>
      <c r="BL13" s="189">
        <v>118808.74</v>
      </c>
      <c r="BM13" s="189">
        <v>840242.51</v>
      </c>
      <c r="BN13" s="189">
        <v>1068816.83</v>
      </c>
      <c r="BO13" s="189">
        <v>1068816.83</v>
      </c>
      <c r="BP13" s="189">
        <v>0</v>
      </c>
      <c r="BQ13" s="189">
        <v>5477612.75</v>
      </c>
      <c r="BR13" s="189">
        <v>7000000</v>
      </c>
      <c r="BS13" s="189">
        <v>0</v>
      </c>
      <c r="BT13" s="189">
        <v>0</v>
      </c>
      <c r="BU13" s="189">
        <v>11254042</v>
      </c>
      <c r="BV13" s="189">
        <v>4500000</v>
      </c>
      <c r="BW13" s="189">
        <v>7005958</v>
      </c>
      <c r="BX13" s="189">
        <v>0</v>
      </c>
      <c r="BY13" s="189">
        <v>7080317.8600000003</v>
      </c>
      <c r="BZ13" s="189">
        <v>3409986.62</v>
      </c>
      <c r="CA13" s="189">
        <v>10848</v>
      </c>
      <c r="CB13" s="189">
        <v>19688</v>
      </c>
      <c r="CC13" s="189">
        <v>17896</v>
      </c>
      <c r="CD13" s="189">
        <v>0</v>
      </c>
    </row>
    <row r="14" spans="1:82" x14ac:dyDescent="0.25">
      <c r="A14" s="189" t="s">
        <v>201</v>
      </c>
      <c r="B14" s="189">
        <v>24191913.25</v>
      </c>
      <c r="C14" s="189">
        <v>14076604.359999999</v>
      </c>
      <c r="D14" s="189">
        <v>2296278.5699999998</v>
      </c>
      <c r="E14" s="189">
        <v>32853540.620000001</v>
      </c>
      <c r="F14" s="189">
        <v>39298991.979999997</v>
      </c>
      <c r="G14" s="189">
        <v>31041593.670000002</v>
      </c>
      <c r="H14" s="189">
        <v>13815692.869999999</v>
      </c>
      <c r="I14" s="189">
        <v>28640929.300000001</v>
      </c>
      <c r="J14" s="189">
        <v>11416697.560000001</v>
      </c>
      <c r="K14" s="189">
        <v>6272506.4699999997</v>
      </c>
      <c r="L14" s="189">
        <v>0</v>
      </c>
      <c r="M14" s="189">
        <v>0</v>
      </c>
      <c r="N14" s="189">
        <v>0</v>
      </c>
      <c r="O14" s="189">
        <v>0</v>
      </c>
      <c r="P14" s="189">
        <v>0</v>
      </c>
      <c r="Q14" s="189">
        <v>0</v>
      </c>
      <c r="R14" s="189">
        <v>0</v>
      </c>
      <c r="S14" s="189">
        <v>0</v>
      </c>
      <c r="T14" s="189">
        <v>0</v>
      </c>
      <c r="U14" s="189">
        <v>0</v>
      </c>
      <c r="V14" s="189">
        <v>0</v>
      </c>
      <c r="W14" s="189">
        <v>0</v>
      </c>
      <c r="X14" s="189">
        <v>0</v>
      </c>
      <c r="Y14" s="189">
        <v>0</v>
      </c>
      <c r="Z14" s="189">
        <v>0</v>
      </c>
      <c r="AA14" s="189">
        <v>0</v>
      </c>
      <c r="AB14" s="189">
        <v>0</v>
      </c>
      <c r="AC14" s="189">
        <v>0</v>
      </c>
      <c r="AD14" s="189">
        <v>0</v>
      </c>
      <c r="AE14" s="189">
        <v>0</v>
      </c>
      <c r="AF14" s="189">
        <v>3666330</v>
      </c>
      <c r="AG14" s="189">
        <v>0</v>
      </c>
      <c r="AH14" s="189">
        <v>0</v>
      </c>
      <c r="AI14" s="189">
        <v>0</v>
      </c>
      <c r="AJ14" s="189">
        <v>0</v>
      </c>
      <c r="AK14" s="189">
        <v>-1328374.43</v>
      </c>
      <c r="AL14" s="189">
        <v>5277574.4800000004</v>
      </c>
      <c r="AM14" s="189">
        <v>5277574.4800000004</v>
      </c>
      <c r="AN14" s="189">
        <v>-1338498.1499999999</v>
      </c>
      <c r="AO14" s="189">
        <v>-3638378.98</v>
      </c>
      <c r="AP14" s="189">
        <v>-2473518.4700000002</v>
      </c>
      <c r="AQ14" s="189">
        <v>-1793591.05</v>
      </c>
      <c r="AR14" s="189">
        <v>-837793.33</v>
      </c>
      <c r="AS14" s="189">
        <v>-1330461.3600000001</v>
      </c>
      <c r="AT14" s="189">
        <v>-247631.13</v>
      </c>
      <c r="AU14" s="189">
        <v>146578.22</v>
      </c>
      <c r="AV14" s="189">
        <v>-72900.740000000005</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c r="BR14" s="189">
        <v>0</v>
      </c>
      <c r="BS14" s="189">
        <v>0</v>
      </c>
      <c r="BT14" s="189">
        <v>0</v>
      </c>
      <c r="BU14" s="189">
        <v>0</v>
      </c>
      <c r="BV14" s="189">
        <v>0</v>
      </c>
      <c r="BW14" s="189">
        <v>0</v>
      </c>
      <c r="BX14" s="189">
        <v>0</v>
      </c>
      <c r="BY14" s="189">
        <v>0</v>
      </c>
      <c r="BZ14" s="189">
        <v>0</v>
      </c>
      <c r="CA14" s="189">
        <v>0</v>
      </c>
      <c r="CB14" s="189">
        <v>0</v>
      </c>
      <c r="CC14" s="189">
        <v>0</v>
      </c>
      <c r="CD14" s="189">
        <v>0</v>
      </c>
    </row>
    <row r="15" spans="1:82"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row>
    <row r="16" spans="1:82" x14ac:dyDescent="0.25">
      <c r="A16" s="189" t="s">
        <v>203</v>
      </c>
      <c r="B16" s="189">
        <v>1366878075.4400001</v>
      </c>
      <c r="C16" s="189">
        <v>726754894.96000004</v>
      </c>
      <c r="D16" s="189">
        <v>361538377.17000002</v>
      </c>
      <c r="E16" s="189">
        <v>3601552780.3699999</v>
      </c>
      <c r="F16" s="189">
        <v>2171098657.0300002</v>
      </c>
      <c r="G16" s="189">
        <v>922103409.51999998</v>
      </c>
      <c r="H16" s="189">
        <v>389199627.95999998</v>
      </c>
      <c r="I16" s="189">
        <v>4393330347.1099997</v>
      </c>
      <c r="J16" s="189">
        <v>2497841835.3699999</v>
      </c>
      <c r="K16" s="189">
        <v>1358466454.1900001</v>
      </c>
      <c r="L16" s="189">
        <v>401807731.64999998</v>
      </c>
      <c r="M16" s="189">
        <v>3828282969.0500002</v>
      </c>
      <c r="N16" s="189">
        <v>2064127325.25</v>
      </c>
      <c r="O16" s="189">
        <v>1035333712.73</v>
      </c>
      <c r="P16" s="189">
        <v>426996378.77999997</v>
      </c>
      <c r="Q16" s="189">
        <v>2902711343.0100002</v>
      </c>
      <c r="R16" s="189">
        <v>1207058264.8800001</v>
      </c>
      <c r="S16" s="189">
        <v>732483300.04999995</v>
      </c>
      <c r="T16" s="189">
        <v>313476305.63</v>
      </c>
      <c r="U16" s="189">
        <v>1883966376.71</v>
      </c>
      <c r="V16" s="189">
        <v>847442860.03999996</v>
      </c>
      <c r="W16" s="189">
        <v>555879166.89999998</v>
      </c>
      <c r="X16" s="189">
        <v>252332729.47999999</v>
      </c>
      <c r="Y16" s="189">
        <v>1637139771.9300001</v>
      </c>
      <c r="Z16" s="189">
        <v>1085520054.54</v>
      </c>
      <c r="AA16" s="189">
        <v>661802644.11000001</v>
      </c>
      <c r="AB16" s="189">
        <v>279367447.20999998</v>
      </c>
      <c r="AC16" s="189">
        <v>1331414057.8499999</v>
      </c>
      <c r="AD16" s="189">
        <v>828467031.55999994</v>
      </c>
      <c r="AE16" s="189">
        <v>472992298.74000001</v>
      </c>
      <c r="AF16" s="189">
        <v>199897877.24000001</v>
      </c>
      <c r="AG16" s="189">
        <v>1004562060.3200001</v>
      </c>
      <c r="AH16" s="189">
        <v>665343561.48000002</v>
      </c>
      <c r="AI16" s="189">
        <v>403571196.98000002</v>
      </c>
      <c r="AJ16" s="189">
        <v>150196495.24000001</v>
      </c>
      <c r="AK16" s="189">
        <v>643373167.53999996</v>
      </c>
      <c r="AL16" s="189">
        <v>387112891.50999999</v>
      </c>
      <c r="AM16" s="189">
        <v>216258374.31</v>
      </c>
      <c r="AN16" s="189">
        <v>59415857.350000001</v>
      </c>
      <c r="AO16" s="189">
        <v>630184771.51999998</v>
      </c>
      <c r="AP16" s="189">
        <v>460646937.70999998</v>
      </c>
      <c r="AQ16" s="189">
        <v>500322898.81</v>
      </c>
      <c r="AR16" s="189">
        <v>334638850.81999999</v>
      </c>
      <c r="AS16" s="189">
        <v>590108993.46000004</v>
      </c>
      <c r="AT16" s="189">
        <v>235052544.61000001</v>
      </c>
      <c r="AU16" s="189">
        <v>140318113.52000001</v>
      </c>
      <c r="AV16" s="189">
        <v>65044283.090000004</v>
      </c>
      <c r="AW16" s="189">
        <v>323037587.83999997</v>
      </c>
      <c r="AX16" s="189">
        <v>196218442.84</v>
      </c>
      <c r="AY16" s="189">
        <v>115673429.09</v>
      </c>
      <c r="AZ16" s="189">
        <v>51078180.32</v>
      </c>
      <c r="BA16" s="189">
        <v>269385479.22000003</v>
      </c>
      <c r="BB16" s="189">
        <v>170269600.75</v>
      </c>
      <c r="BC16" s="189">
        <v>99135899.359999999</v>
      </c>
      <c r="BD16" s="189">
        <v>44114810.899999999</v>
      </c>
      <c r="BE16" s="189">
        <v>197898559.41999999</v>
      </c>
      <c r="BF16" s="189">
        <v>140823465.52000001</v>
      </c>
      <c r="BG16" s="189">
        <v>67867882.530000001</v>
      </c>
      <c r="BH16" s="189">
        <v>33054918.809999999</v>
      </c>
      <c r="BI16" s="189">
        <v>186400223.72</v>
      </c>
      <c r="BJ16" s="189">
        <v>109314152.54000001</v>
      </c>
      <c r="BK16" s="189">
        <v>48325548.5</v>
      </c>
      <c r="BL16" s="189">
        <v>36287447.700000003</v>
      </c>
      <c r="BM16" s="189">
        <v>188790330.31</v>
      </c>
      <c r="BN16" s="189">
        <v>105317828.70999999</v>
      </c>
      <c r="BO16" s="189">
        <v>55566298.140000001</v>
      </c>
      <c r="BP16" s="189">
        <v>17540592.84</v>
      </c>
      <c r="BQ16" s="189">
        <v>136326755.58000001</v>
      </c>
      <c r="BR16" s="189">
        <v>41440731.329999998</v>
      </c>
      <c r="BS16" s="189">
        <v>104976657.66</v>
      </c>
      <c r="BT16" s="189">
        <v>28663003.91</v>
      </c>
      <c r="BU16" s="189">
        <v>98137425.340000004</v>
      </c>
      <c r="BV16" s="189">
        <v>29934238.219999999</v>
      </c>
      <c r="BW16" s="189">
        <v>77052341.629999995</v>
      </c>
      <c r="BX16" s="189">
        <v>23600127.34</v>
      </c>
      <c r="BY16" s="189">
        <v>50430157.030000001</v>
      </c>
      <c r="BZ16" s="189">
        <v>21592506.039999999</v>
      </c>
      <c r="CA16" s="189">
        <v>29682560</v>
      </c>
      <c r="CB16" s="189">
        <v>21789389</v>
      </c>
      <c r="CC16" s="189">
        <v>3043148</v>
      </c>
      <c r="CD16" s="189">
        <v>0</v>
      </c>
    </row>
    <row r="17" spans="1:82" x14ac:dyDescent="0.25">
      <c r="A17" s="189" t="s">
        <v>204</v>
      </c>
      <c r="B17" s="189">
        <v>63443367.390000001</v>
      </c>
      <c r="C17" s="189">
        <v>23204029.050000001</v>
      </c>
      <c r="D17" s="189">
        <v>8568328.1600000001</v>
      </c>
      <c r="E17" s="189">
        <v>51261590.18</v>
      </c>
      <c r="F17" s="189">
        <v>39194829.229999997</v>
      </c>
      <c r="G17" s="189">
        <v>22233727.16</v>
      </c>
      <c r="H17" s="189">
        <v>20759972.98</v>
      </c>
      <c r="I17" s="189">
        <v>423462915.60000002</v>
      </c>
      <c r="J17" s="189">
        <v>201473382.15000001</v>
      </c>
      <c r="K17" s="189">
        <v>105762087.33</v>
      </c>
      <c r="L17" s="189">
        <v>61290341.560000002</v>
      </c>
      <c r="M17" s="189">
        <v>331944083.18000001</v>
      </c>
      <c r="N17" s="189">
        <v>134799125.69999999</v>
      </c>
      <c r="O17" s="189">
        <v>64841571.799999997</v>
      </c>
      <c r="P17" s="189">
        <v>22445351.800000001</v>
      </c>
      <c r="Q17" s="189">
        <v>167933759.72</v>
      </c>
      <c r="R17" s="189">
        <v>85509134.129999995</v>
      </c>
      <c r="S17" s="189">
        <v>63072260.57</v>
      </c>
      <c r="T17" s="189">
        <v>10566312.449999999</v>
      </c>
      <c r="U17" s="189">
        <v>210302895.16</v>
      </c>
      <c r="V17" s="189">
        <v>185517064.49000001</v>
      </c>
      <c r="W17" s="189">
        <v>168033622.78</v>
      </c>
      <c r="X17" s="189">
        <v>51338185.140000001</v>
      </c>
      <c r="Y17" s="189">
        <v>144038156.40000001</v>
      </c>
      <c r="Z17" s="189">
        <v>30167182.399999999</v>
      </c>
      <c r="AA17" s="189">
        <v>15631229.58</v>
      </c>
      <c r="AB17" s="189">
        <v>4796993.0199999996</v>
      </c>
      <c r="AC17" s="189">
        <v>67803764.780000001</v>
      </c>
      <c r="AD17" s="189">
        <v>51938868.340000004</v>
      </c>
      <c r="AE17" s="189">
        <v>10955078.09</v>
      </c>
      <c r="AF17" s="189">
        <v>3010692.34</v>
      </c>
      <c r="AG17" s="189">
        <v>25867197.059999999</v>
      </c>
      <c r="AH17" s="189">
        <v>19550666.539999999</v>
      </c>
      <c r="AI17" s="189">
        <v>15857917.800000001</v>
      </c>
      <c r="AJ17" s="189">
        <v>9108084.1799999997</v>
      </c>
      <c r="AK17" s="189">
        <v>16683517.85</v>
      </c>
      <c r="AL17" s="189">
        <v>11730317.77</v>
      </c>
      <c r="AM17" s="189">
        <v>8950676.6999999993</v>
      </c>
      <c r="AN17" s="189">
        <v>4066111.26</v>
      </c>
      <c r="AO17" s="189">
        <v>9674116.5399999991</v>
      </c>
      <c r="AP17" s="189">
        <v>4695798.03</v>
      </c>
      <c r="AQ17" s="189">
        <v>4226662.3899999997</v>
      </c>
      <c r="AR17" s="189">
        <v>1414308.71</v>
      </c>
      <c r="AS17" s="189">
        <v>15457000.98</v>
      </c>
      <c r="AT17" s="189">
        <v>6899624.04</v>
      </c>
      <c r="AU17" s="189">
        <v>4358888.88</v>
      </c>
      <c r="AV17" s="189">
        <v>1383048.61</v>
      </c>
      <c r="AW17" s="189">
        <v>4868740.33</v>
      </c>
      <c r="AX17" s="189">
        <v>2691380.07</v>
      </c>
      <c r="AY17" s="189">
        <v>1187991.5</v>
      </c>
      <c r="AZ17" s="189">
        <v>466514.5</v>
      </c>
      <c r="BA17" s="189">
        <v>3928731.09</v>
      </c>
      <c r="BB17" s="189">
        <v>2823964.51</v>
      </c>
      <c r="BC17" s="189">
        <v>1934415.07</v>
      </c>
      <c r="BD17" s="189">
        <v>194680.02</v>
      </c>
      <c r="BE17" s="189">
        <v>1274201.47</v>
      </c>
      <c r="BF17" s="189">
        <v>679305.88</v>
      </c>
      <c r="BG17" s="189">
        <v>411500.97</v>
      </c>
      <c r="BH17" s="189">
        <v>265297.96999999997</v>
      </c>
      <c r="BI17" s="189">
        <v>1324571.76</v>
      </c>
      <c r="BJ17" s="189">
        <v>635203.23</v>
      </c>
      <c r="BK17" s="189">
        <v>537524.30000000005</v>
      </c>
      <c r="BL17" s="189">
        <v>169759.5</v>
      </c>
      <c r="BM17" s="189">
        <v>767909.94</v>
      </c>
      <c r="BN17" s="189">
        <v>818251.2</v>
      </c>
      <c r="BO17" s="189">
        <v>605620.11</v>
      </c>
      <c r="BP17" s="189">
        <v>39828.49</v>
      </c>
      <c r="BQ17" s="189">
        <v>1097433.02</v>
      </c>
      <c r="BR17" s="189">
        <v>395309.39</v>
      </c>
      <c r="BS17" s="189">
        <v>3271412.3</v>
      </c>
      <c r="BT17" s="189">
        <v>768325.28</v>
      </c>
      <c r="BU17" s="189">
        <v>1281113.8600000001</v>
      </c>
      <c r="BV17" s="189">
        <v>246558.63</v>
      </c>
      <c r="BW17" s="189">
        <v>5368086.4000000004</v>
      </c>
      <c r="BX17" s="189">
        <v>366451.94</v>
      </c>
      <c r="BY17" s="189">
        <v>309439.94</v>
      </c>
      <c r="BZ17" s="189">
        <v>0</v>
      </c>
      <c r="CA17" s="189">
        <v>818626</v>
      </c>
      <c r="CB17" s="189">
        <v>547390</v>
      </c>
      <c r="CC17" s="189">
        <v>850426</v>
      </c>
      <c r="CD17" s="189">
        <v>0</v>
      </c>
    </row>
    <row r="18" spans="1:82" x14ac:dyDescent="0.25">
      <c r="A18" s="189" t="s">
        <v>205</v>
      </c>
      <c r="B18" s="189">
        <v>9998306.4499999993</v>
      </c>
      <c r="C18" s="189">
        <v>6459984.9100000001</v>
      </c>
      <c r="D18" s="189">
        <v>98056.91</v>
      </c>
      <c r="E18" s="189">
        <v>16869123.48</v>
      </c>
      <c r="F18" s="189">
        <v>1695642.45</v>
      </c>
      <c r="G18" s="189">
        <v>1461271.27</v>
      </c>
      <c r="H18" s="189">
        <v>643667.85</v>
      </c>
      <c r="I18" s="189">
        <v>34503000.130000003</v>
      </c>
      <c r="J18" s="189">
        <v>10798735.789999999</v>
      </c>
      <c r="K18" s="189">
        <v>6661428.6200000001</v>
      </c>
      <c r="L18" s="189">
        <v>7226909.2199999997</v>
      </c>
      <c r="M18" s="189">
        <v>55882162.170000002</v>
      </c>
      <c r="N18" s="189">
        <v>27865503.440000001</v>
      </c>
      <c r="O18" s="189">
        <v>10902733.23</v>
      </c>
      <c r="P18" s="189">
        <v>7459249.2400000002</v>
      </c>
      <c r="Q18" s="189">
        <v>19804739.890000001</v>
      </c>
      <c r="R18" s="189">
        <v>11029419.42</v>
      </c>
      <c r="S18" s="189">
        <v>3940341.74</v>
      </c>
      <c r="T18" s="189">
        <v>3031872.99</v>
      </c>
      <c r="U18" s="189">
        <v>6978909.29</v>
      </c>
      <c r="V18" s="189">
        <v>5680772.8099999996</v>
      </c>
      <c r="W18" s="189">
        <v>4082813.01</v>
      </c>
      <c r="X18" s="189">
        <v>1428782.82</v>
      </c>
      <c r="Y18" s="189">
        <v>15992525.74</v>
      </c>
      <c r="Z18" s="189">
        <v>7088598.2000000002</v>
      </c>
      <c r="AA18" s="189">
        <v>5960886.25</v>
      </c>
      <c r="AB18" s="189">
        <v>4777143.59</v>
      </c>
      <c r="AC18" s="189">
        <v>45893342.890000001</v>
      </c>
      <c r="AD18" s="189">
        <v>43429859.07</v>
      </c>
      <c r="AE18" s="189">
        <v>2804119.03</v>
      </c>
      <c r="AF18" s="189">
        <v>1817094.66</v>
      </c>
      <c r="AG18" s="189">
        <v>56640777.689999998</v>
      </c>
      <c r="AH18" s="189">
        <v>54781189.060000002</v>
      </c>
      <c r="AI18" s="189">
        <v>3088044.44</v>
      </c>
      <c r="AJ18" s="189">
        <v>218123.18</v>
      </c>
      <c r="AK18" s="189">
        <v>6281152.9900000002</v>
      </c>
      <c r="AL18" s="189">
        <v>4792165.87</v>
      </c>
      <c r="AM18" s="189">
        <v>2306018.54</v>
      </c>
      <c r="AN18" s="189">
        <v>1646961.28</v>
      </c>
      <c r="AO18" s="189">
        <v>10034293.609999999</v>
      </c>
      <c r="AP18" s="189">
        <v>2378844.06</v>
      </c>
      <c r="AQ18" s="189">
        <v>1284999.1200000001</v>
      </c>
      <c r="AR18" s="189">
        <v>1187282.75</v>
      </c>
      <c r="AS18" s="189">
        <v>7738190.3499999996</v>
      </c>
      <c r="AT18" s="189">
        <v>3533864.31</v>
      </c>
      <c r="AU18" s="189">
        <v>1012139.8</v>
      </c>
      <c r="AV18" s="189">
        <v>775997.12</v>
      </c>
      <c r="AW18" s="189">
        <v>2237753.0299999998</v>
      </c>
      <c r="AX18" s="189">
        <v>1943943.6</v>
      </c>
      <c r="AY18" s="189">
        <v>1770386.41</v>
      </c>
      <c r="AZ18" s="189">
        <v>1587335.5</v>
      </c>
      <c r="BA18" s="189">
        <v>2858959.68</v>
      </c>
      <c r="BB18" s="189">
        <v>2429461.87</v>
      </c>
      <c r="BC18" s="189">
        <v>2155439.9300000002</v>
      </c>
      <c r="BD18" s="189">
        <v>2198669.77</v>
      </c>
      <c r="BE18" s="189">
        <v>2836218.46</v>
      </c>
      <c r="BF18" s="189">
        <v>2779635.78</v>
      </c>
      <c r="BG18" s="189">
        <v>2711473.64</v>
      </c>
      <c r="BH18" s="189">
        <v>1307147.6599999999</v>
      </c>
      <c r="BI18" s="189">
        <v>3299565.56</v>
      </c>
      <c r="BJ18" s="189">
        <v>1457393.04</v>
      </c>
      <c r="BK18" s="189">
        <v>1310351.1000000001</v>
      </c>
      <c r="BL18" s="189">
        <v>21374.15</v>
      </c>
      <c r="BM18" s="189">
        <v>17999170.289999999</v>
      </c>
      <c r="BN18" s="189">
        <v>1262441.3500000001</v>
      </c>
      <c r="BO18" s="189">
        <v>207035.38</v>
      </c>
      <c r="BP18" s="189">
        <v>8772.3799999999992</v>
      </c>
      <c r="BQ18" s="189">
        <v>15069488.539999999</v>
      </c>
      <c r="BR18" s="189">
        <v>1393668.16</v>
      </c>
      <c r="BS18" s="189">
        <v>11163960.93</v>
      </c>
      <c r="BT18" s="189">
        <v>879529.91</v>
      </c>
      <c r="BU18" s="189">
        <v>2009284.52</v>
      </c>
      <c r="BV18" s="189">
        <v>54038.28</v>
      </c>
      <c r="BW18" s="189">
        <v>1011422.28</v>
      </c>
      <c r="BX18" s="189">
        <v>468918.08</v>
      </c>
      <c r="BY18" s="189">
        <v>315354.93</v>
      </c>
      <c r="BZ18" s="189">
        <v>0</v>
      </c>
      <c r="CA18" s="189">
        <v>179476</v>
      </c>
      <c r="CB18" s="189">
        <v>152784</v>
      </c>
      <c r="CC18" s="189">
        <v>90710</v>
      </c>
      <c r="CD18" s="189">
        <v>0</v>
      </c>
    </row>
    <row r="19" spans="1:82" x14ac:dyDescent="0.25">
      <c r="A19" s="189" t="s">
        <v>206</v>
      </c>
      <c r="B19" s="189">
        <v>0</v>
      </c>
      <c r="C19" s="189">
        <v>0</v>
      </c>
      <c r="D19" s="189">
        <v>0</v>
      </c>
      <c r="E19" s="189">
        <v>0</v>
      </c>
      <c r="F19" s="189">
        <v>299862.84000000003</v>
      </c>
      <c r="G19" s="189">
        <v>243114.42</v>
      </c>
      <c r="H19" s="189">
        <v>35911.94</v>
      </c>
      <c r="I19" s="189">
        <v>1717047.21</v>
      </c>
      <c r="J19" s="189">
        <v>413839.77</v>
      </c>
      <c r="K19" s="189">
        <v>210263.63</v>
      </c>
      <c r="L19" s="189">
        <v>2537.5</v>
      </c>
      <c r="M19" s="189">
        <v>9318810.6600000001</v>
      </c>
      <c r="N19" s="189">
        <v>1542713</v>
      </c>
      <c r="O19" s="189">
        <v>1785768.19</v>
      </c>
      <c r="P19" s="189">
        <v>1770150.5</v>
      </c>
      <c r="Q19" s="189">
        <v>3601927.28</v>
      </c>
      <c r="R19" s="189">
        <v>688442.37</v>
      </c>
      <c r="S19" s="189">
        <v>615783.56999999995</v>
      </c>
      <c r="T19" s="189">
        <v>52864</v>
      </c>
      <c r="U19" s="189">
        <v>1431438.48</v>
      </c>
      <c r="V19" s="189">
        <v>716957.46</v>
      </c>
      <c r="W19" s="189">
        <v>595425.74</v>
      </c>
      <c r="X19" s="189">
        <v>9511.92</v>
      </c>
      <c r="Y19" s="189">
        <v>809301.73</v>
      </c>
      <c r="Z19" s="189">
        <v>580289.91</v>
      </c>
      <c r="AA19" s="189">
        <v>549082</v>
      </c>
      <c r="AB19" s="189">
        <v>471657.11</v>
      </c>
      <c r="AC19" s="189">
        <v>661547.32999999996</v>
      </c>
      <c r="AD19" s="189">
        <v>290901.43</v>
      </c>
      <c r="AE19" s="189">
        <v>0</v>
      </c>
      <c r="AF19" s="189">
        <v>0</v>
      </c>
      <c r="AG19" s="189">
        <v>1895912.1</v>
      </c>
      <c r="AH19" s="189">
        <v>464210.49</v>
      </c>
      <c r="AI19" s="189">
        <v>856740.53</v>
      </c>
      <c r="AJ19" s="189">
        <v>16064.97</v>
      </c>
      <c r="AK19" s="189">
        <v>4477039.95</v>
      </c>
      <c r="AL19" s="189">
        <v>4009360.07</v>
      </c>
      <c r="AM19" s="189">
        <v>1655158.07</v>
      </c>
      <c r="AN19" s="189">
        <v>1646961.28</v>
      </c>
      <c r="AO19" s="189">
        <v>6013378.8300000001</v>
      </c>
      <c r="AP19" s="189">
        <v>252922.01</v>
      </c>
      <c r="AQ19" s="189">
        <v>252922.01</v>
      </c>
      <c r="AR19" s="189">
        <v>0</v>
      </c>
      <c r="AS19" s="189">
        <v>4333888.8099999996</v>
      </c>
      <c r="AT19" s="189">
        <v>750172.83</v>
      </c>
      <c r="AU19" s="189">
        <v>327921.44</v>
      </c>
      <c r="AV19" s="189">
        <v>131059.54</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row>
    <row r="20" spans="1:82" x14ac:dyDescent="0.25">
      <c r="A20" s="189" t="s">
        <v>207</v>
      </c>
      <c r="B20" s="189">
        <v>1420323136.3800001</v>
      </c>
      <c r="C20" s="189">
        <v>743498939.10000002</v>
      </c>
      <c r="D20" s="189">
        <v>370008648.42000002</v>
      </c>
      <c r="E20" s="189">
        <v>3635945247.0700002</v>
      </c>
      <c r="F20" s="189">
        <v>2208597843.8099999</v>
      </c>
      <c r="G20" s="189">
        <v>942875865.40999997</v>
      </c>
      <c r="H20" s="189">
        <v>409315933.08999997</v>
      </c>
      <c r="I20" s="189">
        <v>4782290262.5799999</v>
      </c>
      <c r="J20" s="189">
        <v>2688516481.73</v>
      </c>
      <c r="K20" s="189">
        <v>1457567112.9000001</v>
      </c>
      <c r="L20" s="189">
        <v>455871163.99000001</v>
      </c>
      <c r="M20" s="189">
        <v>4104344890.0599999</v>
      </c>
      <c r="N20" s="189">
        <v>2171060947.5100002</v>
      </c>
      <c r="O20" s="189">
        <v>1089272551.3</v>
      </c>
      <c r="P20" s="189">
        <v>441982481.33999997</v>
      </c>
      <c r="Q20" s="189">
        <v>3050840362.8400002</v>
      </c>
      <c r="R20" s="189">
        <v>1281537979.5899999</v>
      </c>
      <c r="S20" s="189">
        <v>791615218.88</v>
      </c>
      <c r="T20" s="189">
        <v>321010745.08999997</v>
      </c>
      <c r="U20" s="189">
        <v>2087290362.5799999</v>
      </c>
      <c r="V20" s="189">
        <v>1027279151.72</v>
      </c>
      <c r="W20" s="189">
        <v>719829976.66999996</v>
      </c>
      <c r="X20" s="189">
        <v>302242131.80000001</v>
      </c>
      <c r="Y20" s="189">
        <v>1765185402.5899999</v>
      </c>
      <c r="Z20" s="189">
        <v>1108598638.74</v>
      </c>
      <c r="AA20" s="189">
        <v>671472987.44000006</v>
      </c>
      <c r="AB20" s="189">
        <v>279387296.63999999</v>
      </c>
      <c r="AC20" s="189">
        <v>1353324479.74</v>
      </c>
      <c r="AD20" s="189">
        <v>836976040.83000004</v>
      </c>
      <c r="AE20" s="189">
        <v>481143257.80000001</v>
      </c>
      <c r="AF20" s="189">
        <v>201091474.91999999</v>
      </c>
      <c r="AG20" s="189">
        <v>973788479.69000006</v>
      </c>
      <c r="AH20" s="189">
        <v>630113038.96000004</v>
      </c>
      <c r="AI20" s="189">
        <v>416341070.33999997</v>
      </c>
      <c r="AJ20" s="189">
        <v>159086456.24000001</v>
      </c>
      <c r="AK20" s="189">
        <v>653775532.39999998</v>
      </c>
      <c r="AL20" s="189">
        <v>394051043.41000003</v>
      </c>
      <c r="AM20" s="189">
        <v>222903032.47</v>
      </c>
      <c r="AN20" s="189">
        <v>61835007.329999998</v>
      </c>
      <c r="AO20" s="189">
        <v>629824594.45000005</v>
      </c>
      <c r="AP20" s="189">
        <v>462963891.68000001</v>
      </c>
      <c r="AQ20" s="189">
        <v>503264562.07999998</v>
      </c>
      <c r="AR20" s="189">
        <v>334865876.77999997</v>
      </c>
      <c r="AS20" s="189">
        <v>597827804.09000003</v>
      </c>
      <c r="AT20" s="189">
        <v>238418304.34</v>
      </c>
      <c r="AU20" s="189">
        <v>143664862.59999999</v>
      </c>
      <c r="AV20" s="189">
        <v>65651334.579999998</v>
      </c>
      <c r="AW20" s="189">
        <v>325668575.13999999</v>
      </c>
      <c r="AX20" s="189">
        <v>196965879.31</v>
      </c>
      <c r="AY20" s="189">
        <v>115091034.18000001</v>
      </c>
      <c r="AZ20" s="189">
        <v>49957359.32</v>
      </c>
      <c r="BA20" s="189">
        <v>270455250.63</v>
      </c>
      <c r="BB20" s="189">
        <v>170664103.38999999</v>
      </c>
      <c r="BC20" s="189">
        <v>98914874.5</v>
      </c>
      <c r="BD20" s="189">
        <v>42110821.149999999</v>
      </c>
      <c r="BE20" s="189">
        <v>196336542.43000001</v>
      </c>
      <c r="BF20" s="189">
        <v>138723135.62</v>
      </c>
      <c r="BG20" s="189">
        <v>65567909.859999999</v>
      </c>
      <c r="BH20" s="189">
        <v>32013069.120000001</v>
      </c>
      <c r="BI20" s="189">
        <v>184425229.91999999</v>
      </c>
      <c r="BJ20" s="189">
        <v>108491962.73</v>
      </c>
      <c r="BK20" s="189">
        <v>47552721.700000003</v>
      </c>
      <c r="BL20" s="189">
        <v>36435833.049999997</v>
      </c>
      <c r="BM20" s="189">
        <v>171559069.96000001</v>
      </c>
      <c r="BN20" s="189">
        <v>104873638.56</v>
      </c>
      <c r="BO20" s="189">
        <v>55964882.869999997</v>
      </c>
      <c r="BP20" s="189">
        <v>17571648.949999999</v>
      </c>
      <c r="BQ20" s="189">
        <v>122354700.06</v>
      </c>
      <c r="BR20" s="189">
        <v>40442372.560000002</v>
      </c>
      <c r="BS20" s="189">
        <v>97084109.030000001</v>
      </c>
      <c r="BT20" s="189">
        <v>28551799.280000001</v>
      </c>
      <c r="BU20" s="189">
        <v>97409254.680000007</v>
      </c>
      <c r="BV20" s="189">
        <v>30126758.57</v>
      </c>
      <c r="BW20" s="189">
        <v>81409005.75</v>
      </c>
      <c r="BX20" s="189">
        <v>23497661.199999999</v>
      </c>
      <c r="BY20" s="189">
        <v>50424242.039999999</v>
      </c>
      <c r="BZ20" s="189">
        <v>21592506.039999999</v>
      </c>
      <c r="CA20" s="189">
        <v>30321710</v>
      </c>
      <c r="CB20" s="189">
        <v>22183995</v>
      </c>
      <c r="CC20" s="189">
        <v>3802864</v>
      </c>
      <c r="CD20" s="189">
        <v>0</v>
      </c>
    </row>
    <row r="21" spans="1:82" x14ac:dyDescent="0.25">
      <c r="A21" s="189" t="s">
        <v>208</v>
      </c>
      <c r="B21" s="189">
        <v>208486388.88</v>
      </c>
      <c r="C21" s="189">
        <v>116864837.68000001</v>
      </c>
      <c r="D21" s="189">
        <v>71982699.340000004</v>
      </c>
      <c r="E21" s="189">
        <v>468099267.30000001</v>
      </c>
      <c r="F21" s="189">
        <v>279104360.61000001</v>
      </c>
      <c r="G21" s="189">
        <v>115998941.87</v>
      </c>
      <c r="H21" s="189">
        <v>81947196.180000007</v>
      </c>
      <c r="I21" s="189">
        <v>679950858.49000001</v>
      </c>
      <c r="J21" s="189">
        <v>350801980.95999998</v>
      </c>
      <c r="K21" s="189">
        <v>189933175.37</v>
      </c>
      <c r="L21" s="189">
        <v>60804750.649999999</v>
      </c>
      <c r="M21" s="189">
        <v>516655761.86000001</v>
      </c>
      <c r="N21" s="189">
        <v>263337108.59</v>
      </c>
      <c r="O21" s="189">
        <v>123289071.38</v>
      </c>
      <c r="P21" s="189">
        <v>57532999.539999999</v>
      </c>
      <c r="Q21" s="189">
        <v>398209271.61000001</v>
      </c>
      <c r="R21" s="189">
        <v>155993411.43000001</v>
      </c>
      <c r="S21" s="189">
        <v>96058418.540000007</v>
      </c>
      <c r="T21" s="189">
        <v>37310568.710000001</v>
      </c>
      <c r="U21" s="189">
        <v>265382461.99000001</v>
      </c>
      <c r="V21" s="189">
        <v>124339385.64</v>
      </c>
      <c r="W21" s="189">
        <v>87861508.019999996</v>
      </c>
      <c r="X21" s="189">
        <v>36288365.579999998</v>
      </c>
      <c r="Y21" s="189">
        <v>215398181.50999999</v>
      </c>
      <c r="Z21" s="189">
        <v>135380629.41999999</v>
      </c>
      <c r="AA21" s="189">
        <v>81072643.849999994</v>
      </c>
      <c r="AB21" s="189">
        <v>37037749.289999999</v>
      </c>
      <c r="AC21" s="189">
        <v>170944119.80000001</v>
      </c>
      <c r="AD21" s="189">
        <v>101734029.41</v>
      </c>
      <c r="AE21" s="189">
        <v>57807154.219999999</v>
      </c>
      <c r="AF21" s="189">
        <v>22977316.98</v>
      </c>
      <c r="AG21" s="189">
        <v>116672094.23999999</v>
      </c>
      <c r="AH21" s="189">
        <v>85247231.560000002</v>
      </c>
      <c r="AI21" s="189">
        <v>54374072.369999997</v>
      </c>
      <c r="AJ21" s="189">
        <v>17526255.899999999</v>
      </c>
      <c r="AK21" s="189">
        <v>86305628.010000005</v>
      </c>
      <c r="AL21" s="189">
        <v>53368157.719999999</v>
      </c>
      <c r="AM21" s="189">
        <v>29347436.190000001</v>
      </c>
      <c r="AN21" s="189">
        <v>7420192.7000000002</v>
      </c>
      <c r="AO21" s="189">
        <v>105726693.14</v>
      </c>
      <c r="AP21" s="189">
        <v>87981905.090000004</v>
      </c>
      <c r="AQ21" s="189">
        <v>106333327.47</v>
      </c>
      <c r="AR21" s="189">
        <v>81383345.5</v>
      </c>
      <c r="AS21" s="189">
        <v>161977130.12</v>
      </c>
      <c r="AT21" s="189">
        <v>80875588.129999995</v>
      </c>
      <c r="AU21" s="189">
        <v>47756926.700000003</v>
      </c>
      <c r="AV21" s="189">
        <v>23523361.210000001</v>
      </c>
      <c r="AW21" s="189">
        <v>100710678.51000001</v>
      </c>
      <c r="AX21" s="189">
        <v>66990377.799999997</v>
      </c>
      <c r="AY21" s="189">
        <v>40938696.469999999</v>
      </c>
      <c r="AZ21" s="189">
        <v>17236860.98</v>
      </c>
      <c r="BA21" s="189">
        <v>88495415.030000001</v>
      </c>
      <c r="BB21" s="189">
        <v>58167851.869999997</v>
      </c>
      <c r="BC21" s="189">
        <v>32899466.940000001</v>
      </c>
      <c r="BD21" s="189">
        <v>14323248.039999999</v>
      </c>
      <c r="BE21" s="189">
        <v>52825089.240000002</v>
      </c>
      <c r="BF21" s="189">
        <v>48242970.5</v>
      </c>
      <c r="BG21" s="189">
        <v>23565667.52</v>
      </c>
      <c r="BH21" s="189">
        <v>11391841.1</v>
      </c>
      <c r="BI21" s="189">
        <v>56253097.399999999</v>
      </c>
      <c r="BJ21" s="189">
        <v>36784790.009999998</v>
      </c>
      <c r="BK21" s="189">
        <v>20580372.25</v>
      </c>
      <c r="BL21" s="189">
        <v>12023824.91</v>
      </c>
      <c r="BM21" s="189">
        <v>67501059.700000003</v>
      </c>
      <c r="BN21" s="189">
        <v>43845411.659999996</v>
      </c>
      <c r="BO21" s="189">
        <v>22970188.719999999</v>
      </c>
      <c r="BP21" s="189">
        <v>5798644.1500000004</v>
      </c>
      <c r="BQ21" s="189">
        <v>23929553.059999999</v>
      </c>
      <c r="BR21" s="189">
        <v>10332092.710000001</v>
      </c>
      <c r="BS21" s="189">
        <v>18376212.32</v>
      </c>
      <c r="BT21" s="189">
        <v>9422093.7599999998</v>
      </c>
      <c r="BU21" s="189">
        <v>26718628.920000002</v>
      </c>
      <c r="BV21" s="189">
        <v>8588520.0600000005</v>
      </c>
      <c r="BW21" s="189">
        <v>22390610.699999999</v>
      </c>
      <c r="BX21" s="189">
        <v>3161891.56</v>
      </c>
      <c r="BY21" s="189">
        <v>7791589.8200000003</v>
      </c>
      <c r="BZ21" s="189">
        <v>3238875.9</v>
      </c>
      <c r="CA21" s="189">
        <v>9116686</v>
      </c>
      <c r="CB21" s="189">
        <v>7320718</v>
      </c>
      <c r="CC21" s="189">
        <v>1254945</v>
      </c>
      <c r="CD21" s="189">
        <v>0</v>
      </c>
    </row>
    <row r="22" spans="1:82" x14ac:dyDescent="0.25">
      <c r="A22" s="189" t="s">
        <v>209</v>
      </c>
      <c r="B22" s="189">
        <v>1211836747.5</v>
      </c>
      <c r="C22" s="189">
        <v>626634101.41999996</v>
      </c>
      <c r="D22" s="189">
        <v>298025949.07999998</v>
      </c>
      <c r="E22" s="189">
        <v>3167845979.77</v>
      </c>
      <c r="F22" s="189">
        <v>1929493483.2</v>
      </c>
      <c r="G22" s="189">
        <v>826876923.53999996</v>
      </c>
      <c r="H22" s="189">
        <v>327368736.91000003</v>
      </c>
      <c r="I22" s="189">
        <v>4102339404.0900002</v>
      </c>
      <c r="J22" s="189">
        <v>2337714500.77</v>
      </c>
      <c r="K22" s="189">
        <v>1267633937.53</v>
      </c>
      <c r="L22" s="189">
        <v>395066413.33999997</v>
      </c>
      <c r="M22" s="189">
        <v>3587689128.1999998</v>
      </c>
      <c r="N22" s="189">
        <v>1907723838.9200001</v>
      </c>
      <c r="O22" s="189">
        <v>965983479.91999996</v>
      </c>
      <c r="P22" s="189">
        <v>384449481.80000001</v>
      </c>
      <c r="Q22" s="189">
        <v>2652631091.23</v>
      </c>
      <c r="R22" s="189">
        <v>1125544568.1600001</v>
      </c>
      <c r="S22" s="189">
        <v>695556800.34000003</v>
      </c>
      <c r="T22" s="189">
        <v>283700176.38</v>
      </c>
      <c r="U22" s="189">
        <v>1821907900.5899999</v>
      </c>
      <c r="V22" s="189">
        <v>902939766.08000004</v>
      </c>
      <c r="W22" s="189">
        <v>631968468.64999998</v>
      </c>
      <c r="X22" s="189">
        <v>265953766.22</v>
      </c>
      <c r="Y22" s="189">
        <v>1549787221.0799999</v>
      </c>
      <c r="Z22" s="189">
        <v>973218009.32000005</v>
      </c>
      <c r="AA22" s="189">
        <v>590400343.59000003</v>
      </c>
      <c r="AB22" s="189">
        <v>242349547.34999999</v>
      </c>
      <c r="AC22" s="189">
        <v>1182380359.9400001</v>
      </c>
      <c r="AD22" s="189">
        <v>735242011.41999996</v>
      </c>
      <c r="AE22" s="189">
        <v>423336103.57999998</v>
      </c>
      <c r="AF22" s="189">
        <v>178114157.94</v>
      </c>
      <c r="AG22" s="189">
        <v>857116385.45000005</v>
      </c>
      <c r="AH22" s="189">
        <v>544865807.39999998</v>
      </c>
      <c r="AI22" s="189">
        <v>361966997.97000003</v>
      </c>
      <c r="AJ22" s="189">
        <v>141560200.34</v>
      </c>
      <c r="AK22" s="189">
        <v>567469904.38999999</v>
      </c>
      <c r="AL22" s="189">
        <v>340682885.69</v>
      </c>
      <c r="AM22" s="189">
        <v>193555596.28</v>
      </c>
      <c r="AN22" s="189">
        <v>54414814.630000003</v>
      </c>
      <c r="AO22" s="189">
        <v>524097901.31</v>
      </c>
      <c r="AP22" s="189">
        <v>374981986.58999997</v>
      </c>
      <c r="AQ22" s="189">
        <v>396931234.61000001</v>
      </c>
      <c r="AR22" s="189">
        <v>253482531.28</v>
      </c>
      <c r="AS22" s="189">
        <v>435850673.97000003</v>
      </c>
      <c r="AT22" s="189">
        <v>157542716.21000001</v>
      </c>
      <c r="AU22" s="189">
        <v>95907935.900000006</v>
      </c>
      <c r="AV22" s="189">
        <v>42127973.369999997</v>
      </c>
      <c r="AW22" s="189">
        <v>224957896.63</v>
      </c>
      <c r="AX22" s="189">
        <v>129975501.51000001</v>
      </c>
      <c r="AY22" s="189">
        <v>74152337.709999993</v>
      </c>
      <c r="AZ22" s="189">
        <v>32720498.34</v>
      </c>
      <c r="BA22" s="189">
        <v>181959835.59999999</v>
      </c>
      <c r="BB22" s="189">
        <v>112496251.52</v>
      </c>
      <c r="BC22" s="189">
        <v>66015407.560000002</v>
      </c>
      <c r="BD22" s="189">
        <v>27787573.109999999</v>
      </c>
      <c r="BE22" s="189">
        <v>143511453.19</v>
      </c>
      <c r="BF22" s="189">
        <v>90480165.120000005</v>
      </c>
      <c r="BG22" s="189">
        <v>42002242.340000004</v>
      </c>
      <c r="BH22" s="189">
        <v>20621228.02</v>
      </c>
      <c r="BI22" s="189">
        <v>128172132.52</v>
      </c>
      <c r="BJ22" s="189">
        <v>71707172.719999999</v>
      </c>
      <c r="BK22" s="189">
        <v>26972349.449999999</v>
      </c>
      <c r="BL22" s="189">
        <v>24412008.140000001</v>
      </c>
      <c r="BM22" s="189">
        <v>104058010.26000001</v>
      </c>
      <c r="BN22" s="189">
        <v>61028226.899999999</v>
      </c>
      <c r="BO22" s="189">
        <v>32994694.149999999</v>
      </c>
      <c r="BP22" s="189">
        <v>11773004.800000001</v>
      </c>
      <c r="BQ22" s="189">
        <v>98425147</v>
      </c>
      <c r="BR22" s="189">
        <v>30110279.850000001</v>
      </c>
      <c r="BS22" s="189">
        <v>78707896.709999993</v>
      </c>
      <c r="BT22" s="189">
        <v>19129705.52</v>
      </c>
      <c r="BU22" s="189">
        <v>70690625.760000005</v>
      </c>
      <c r="BV22" s="189">
        <v>21538238.510000002</v>
      </c>
      <c r="BW22" s="189">
        <v>59018395.049999997</v>
      </c>
      <c r="BX22" s="189">
        <v>20335769.640000001</v>
      </c>
      <c r="BY22" s="189">
        <v>42632652.219999999</v>
      </c>
      <c r="BZ22" s="189">
        <v>18353630.140000001</v>
      </c>
      <c r="CA22" s="189">
        <v>21205024</v>
      </c>
      <c r="CB22" s="189">
        <v>14863277</v>
      </c>
      <c r="CC22" s="189">
        <v>2547919</v>
      </c>
      <c r="CD22" s="189">
        <v>0</v>
      </c>
    </row>
    <row r="23" spans="1:82" x14ac:dyDescent="0.25">
      <c r="A23" s="189" t="s">
        <v>210</v>
      </c>
      <c r="B23" s="189">
        <v>1197728740.0599999</v>
      </c>
      <c r="C23" s="189">
        <v>616494513.35000002</v>
      </c>
      <c r="D23" s="189">
        <v>294696131.64999998</v>
      </c>
      <c r="E23" s="189">
        <v>3129193906.5900002</v>
      </c>
      <c r="F23" s="189">
        <v>1902335858.8299999</v>
      </c>
      <c r="G23" s="189">
        <v>805051762.12</v>
      </c>
      <c r="H23" s="189">
        <v>316216130.10000002</v>
      </c>
      <c r="I23" s="189">
        <v>4043745565.6999998</v>
      </c>
      <c r="J23" s="189">
        <v>2276338554.1300001</v>
      </c>
      <c r="K23" s="189">
        <v>1235301198.8099999</v>
      </c>
      <c r="L23" s="189">
        <v>378534643.51999998</v>
      </c>
      <c r="M23" s="189">
        <v>3535215876.0100002</v>
      </c>
      <c r="N23" s="189">
        <v>1865296604.4200001</v>
      </c>
      <c r="O23" s="189">
        <v>946175421.86000001</v>
      </c>
      <c r="P23" s="189">
        <v>373520396.94999999</v>
      </c>
      <c r="Q23" s="189">
        <v>2612621946.77</v>
      </c>
      <c r="R23" s="189">
        <v>1127129111.26</v>
      </c>
      <c r="S23" s="189">
        <v>696784634.03999996</v>
      </c>
      <c r="T23" s="189">
        <v>283094455.55000001</v>
      </c>
      <c r="U23" s="189">
        <v>1822575190.6700001</v>
      </c>
      <c r="V23" s="189">
        <v>903117971.44000006</v>
      </c>
      <c r="W23" s="189">
        <v>632025333.80999994</v>
      </c>
      <c r="X23" s="189">
        <v>265446363.61000001</v>
      </c>
      <c r="Y23" s="189">
        <v>1549721544.0799999</v>
      </c>
      <c r="Z23" s="189">
        <v>973043764.64999998</v>
      </c>
      <c r="AA23" s="189">
        <v>589689482.70000005</v>
      </c>
      <c r="AB23" s="189">
        <v>241356322.41</v>
      </c>
      <c r="AC23" s="189">
        <v>1181405326.8099999</v>
      </c>
      <c r="AD23" s="189">
        <v>733231881.27999997</v>
      </c>
      <c r="AE23" s="189">
        <v>421780389.38</v>
      </c>
      <c r="AF23" s="189">
        <v>177233564.90000001</v>
      </c>
      <c r="AG23" s="189">
        <v>859664423.92999995</v>
      </c>
      <c r="AH23" s="189">
        <v>545964947.94000006</v>
      </c>
      <c r="AI23" s="189">
        <v>361642350.19</v>
      </c>
      <c r="AJ23" s="189">
        <v>141124022.02000001</v>
      </c>
      <c r="AK23" s="189">
        <v>563485143.77999997</v>
      </c>
      <c r="AL23" s="189">
        <v>337409156.73000002</v>
      </c>
      <c r="AM23" s="189">
        <v>192304808.44</v>
      </c>
      <c r="AN23" s="189">
        <v>54894146.950000003</v>
      </c>
      <c r="AO23" s="189">
        <v>531042868.23000002</v>
      </c>
      <c r="AP23" s="189">
        <v>375104624.89999998</v>
      </c>
      <c r="AQ23" s="189">
        <v>396669711.75</v>
      </c>
      <c r="AR23" s="189">
        <v>253648180.91999999</v>
      </c>
      <c r="AS23" s="189">
        <v>376964116.48000002</v>
      </c>
      <c r="AT23" s="189">
        <v>168873782.63</v>
      </c>
      <c r="AU23" s="189">
        <v>104657707.34</v>
      </c>
      <c r="AV23" s="189">
        <v>44492254.490000002</v>
      </c>
      <c r="AW23" s="189">
        <v>220741667.41999999</v>
      </c>
      <c r="AX23" s="189">
        <v>127391794.39</v>
      </c>
      <c r="AY23" s="189">
        <v>77833886.75</v>
      </c>
      <c r="AZ23" s="189">
        <v>34496638.25</v>
      </c>
      <c r="BA23" s="189">
        <v>185677970.33000001</v>
      </c>
      <c r="BB23" s="189">
        <v>114319339.3</v>
      </c>
      <c r="BC23" s="189">
        <v>66787484.920000002</v>
      </c>
      <c r="BD23" s="189">
        <v>27871145.050000001</v>
      </c>
      <c r="BE23" s="189">
        <v>143683639.97999999</v>
      </c>
      <c r="BF23" s="189">
        <v>90808581.780000001</v>
      </c>
      <c r="BG23" s="189">
        <v>42117836.810000002</v>
      </c>
      <c r="BH23" s="189">
        <v>20654179.050000001</v>
      </c>
      <c r="BI23" s="189">
        <v>128254588.06</v>
      </c>
      <c r="BJ23" s="189">
        <v>71707172.719999999</v>
      </c>
      <c r="BK23" s="189">
        <v>26972349.449999999</v>
      </c>
      <c r="BL23" s="189">
        <v>24412008.140000001</v>
      </c>
      <c r="BM23" s="189">
        <v>104058010.26000001</v>
      </c>
      <c r="BN23" s="189">
        <v>62160082.869999997</v>
      </c>
      <c r="BO23" s="189">
        <v>32994694.149999999</v>
      </c>
      <c r="BP23" s="189">
        <v>11773004.800000001</v>
      </c>
      <c r="BQ23" s="189">
        <v>98425147</v>
      </c>
      <c r="BR23" s="189">
        <v>30110279.850000001</v>
      </c>
      <c r="BS23" s="189">
        <v>78707896.709999993</v>
      </c>
      <c r="BT23" s="189">
        <v>19129705.52</v>
      </c>
      <c r="BU23" s="189">
        <v>70690625.760000005</v>
      </c>
      <c r="BV23" s="189">
        <v>21538238.510000002</v>
      </c>
      <c r="BW23" s="189">
        <v>59018395.049999997</v>
      </c>
      <c r="BX23" s="189">
        <v>20335769.640000001</v>
      </c>
      <c r="BY23" s="189">
        <v>42632652.219999999</v>
      </c>
      <c r="BZ23" s="189">
        <v>18353630.140000001</v>
      </c>
      <c r="CA23" s="189">
        <v>21205024</v>
      </c>
      <c r="CB23" s="189">
        <v>14863277</v>
      </c>
      <c r="CC23" s="189">
        <v>2547919</v>
      </c>
      <c r="CD23" s="189">
        <v>0</v>
      </c>
    </row>
    <row r="24" spans="1:82" x14ac:dyDescent="0.25">
      <c r="A24" s="189" t="s">
        <v>211</v>
      </c>
      <c r="B24" s="189">
        <v>14108007.439999999</v>
      </c>
      <c r="C24" s="189">
        <v>10139588.07</v>
      </c>
      <c r="D24" s="189">
        <v>3329817.43</v>
      </c>
      <c r="E24" s="189">
        <v>38652073.18</v>
      </c>
      <c r="F24" s="189">
        <v>27157624.370000001</v>
      </c>
      <c r="G24" s="189">
        <v>21825161.420000002</v>
      </c>
      <c r="H24" s="189">
        <v>11152606.810000001</v>
      </c>
      <c r="I24" s="189">
        <v>58593838.390000001</v>
      </c>
      <c r="J24" s="189">
        <v>61375946.640000001</v>
      </c>
      <c r="K24" s="189">
        <v>32332738.719999999</v>
      </c>
      <c r="L24" s="189">
        <v>16531769.82</v>
      </c>
      <c r="M24" s="189">
        <v>52473252.189999998</v>
      </c>
      <c r="N24" s="189">
        <v>42427234.5</v>
      </c>
      <c r="O24" s="189">
        <v>19808058.059999999</v>
      </c>
      <c r="P24" s="189">
        <v>10929084.85</v>
      </c>
      <c r="Q24" s="189">
        <v>40009144.460000001</v>
      </c>
      <c r="R24" s="189">
        <v>-1584543.1</v>
      </c>
      <c r="S24" s="189">
        <v>-1227833.7</v>
      </c>
      <c r="T24" s="189">
        <v>605720.82999999996</v>
      </c>
      <c r="U24" s="189">
        <v>-667290.07999999996</v>
      </c>
      <c r="V24" s="189">
        <v>-178205.36</v>
      </c>
      <c r="W24" s="189">
        <v>-56865.16</v>
      </c>
      <c r="X24" s="189">
        <v>507402.61</v>
      </c>
      <c r="Y24" s="189">
        <v>65677</v>
      </c>
      <c r="Z24" s="189">
        <v>174244.67</v>
      </c>
      <c r="AA24" s="189">
        <v>710860.89</v>
      </c>
      <c r="AB24" s="189">
        <v>993224.94</v>
      </c>
      <c r="AC24" s="189">
        <v>975033.13</v>
      </c>
      <c r="AD24" s="189">
        <v>2010130.14</v>
      </c>
      <c r="AE24" s="189">
        <v>1555714.2</v>
      </c>
      <c r="AF24" s="189">
        <v>880593.04</v>
      </c>
      <c r="AG24" s="189">
        <v>-2548038.48</v>
      </c>
      <c r="AH24" s="189">
        <v>-1099140.54</v>
      </c>
      <c r="AI24" s="189">
        <v>324647.78000000003</v>
      </c>
      <c r="AJ24" s="189">
        <v>436178.32</v>
      </c>
      <c r="AK24" s="189">
        <v>3984760.61</v>
      </c>
      <c r="AL24" s="189">
        <v>3273728.96</v>
      </c>
      <c r="AM24" s="189">
        <v>1250787.8400000001</v>
      </c>
      <c r="AN24" s="189">
        <v>-479332.32</v>
      </c>
      <c r="AO24" s="189">
        <v>-6944966.9199999999</v>
      </c>
      <c r="AP24" s="189">
        <v>-122638.31</v>
      </c>
      <c r="AQ24" s="189">
        <v>261522.86</v>
      </c>
      <c r="AR24" s="189">
        <v>-165649.64000000001</v>
      </c>
      <c r="AS24" s="189">
        <v>58886557.490000002</v>
      </c>
      <c r="AT24" s="189">
        <v>-11331066.42</v>
      </c>
      <c r="AU24" s="189">
        <v>-8749771.4399999995</v>
      </c>
      <c r="AV24" s="189">
        <v>-2364281.12</v>
      </c>
      <c r="AW24" s="189">
        <v>4216229.21</v>
      </c>
      <c r="AX24" s="189">
        <v>2583707.12</v>
      </c>
      <c r="AY24" s="189">
        <v>-3681549.04</v>
      </c>
      <c r="AZ24" s="189">
        <v>-1776139.91</v>
      </c>
      <c r="BA24" s="189">
        <v>-3718134.73</v>
      </c>
      <c r="BB24" s="189">
        <v>-1823087.78</v>
      </c>
      <c r="BC24" s="189">
        <v>-772077.36</v>
      </c>
      <c r="BD24" s="189">
        <v>-83571.94</v>
      </c>
      <c r="BE24" s="189">
        <v>-172186.79</v>
      </c>
      <c r="BF24" s="189">
        <v>-328416.65999999997</v>
      </c>
      <c r="BG24" s="189">
        <v>-115594.47</v>
      </c>
      <c r="BH24" s="189">
        <v>-32951.03</v>
      </c>
      <c r="BI24" s="189">
        <v>-82455.539999999994</v>
      </c>
      <c r="BJ24" s="189">
        <v>0</v>
      </c>
      <c r="BK24" s="189">
        <v>0</v>
      </c>
      <c r="BL24" s="189">
        <v>0</v>
      </c>
      <c r="BM24" s="189">
        <v>0</v>
      </c>
      <c r="BN24" s="189">
        <v>-1131855.97</v>
      </c>
      <c r="BO24" s="189">
        <v>0</v>
      </c>
      <c r="BP24" s="189">
        <v>0</v>
      </c>
      <c r="BQ24" s="189">
        <v>0</v>
      </c>
      <c r="BR24" s="189">
        <v>0</v>
      </c>
      <c r="BS24" s="189">
        <v>0</v>
      </c>
      <c r="BT24" s="189">
        <v>0</v>
      </c>
      <c r="BU24" s="189">
        <v>0</v>
      </c>
      <c r="BV24" s="189">
        <v>0</v>
      </c>
      <c r="BW24" s="189">
        <v>0</v>
      </c>
      <c r="BX24" s="189">
        <v>0</v>
      </c>
      <c r="BY24" s="189">
        <v>0</v>
      </c>
      <c r="BZ24" s="189">
        <v>0</v>
      </c>
      <c r="CA24" s="189">
        <v>0</v>
      </c>
      <c r="CB24" s="189">
        <v>0</v>
      </c>
      <c r="CC24" s="189">
        <v>0</v>
      </c>
      <c r="CD24" s="189">
        <v>0</v>
      </c>
    </row>
    <row r="25" spans="1:82" x14ac:dyDescent="0.25">
      <c r="A25" s="189" t="s">
        <v>212</v>
      </c>
    </row>
    <row r="26" spans="1:82" x14ac:dyDescent="0.25">
      <c r="A26" s="189" t="s">
        <v>213</v>
      </c>
      <c r="B26" s="189">
        <v>0.54</v>
      </c>
      <c r="C26" s="189">
        <v>0.28000000000000003</v>
      </c>
      <c r="D26" s="189">
        <v>0.13</v>
      </c>
      <c r="E26" s="189">
        <v>1.41</v>
      </c>
      <c r="F26" s="189">
        <v>0.86</v>
      </c>
      <c r="G26" s="189">
        <v>0.36</v>
      </c>
      <c r="H26" s="189">
        <v>0.14000000000000001</v>
      </c>
      <c r="I26" s="189">
        <v>1.83</v>
      </c>
      <c r="J26" s="189">
        <v>1.03</v>
      </c>
      <c r="K26" s="189">
        <v>0.56000000000000005</v>
      </c>
      <c r="L26" s="189">
        <v>0.17100000000000001</v>
      </c>
      <c r="M26" s="189">
        <v>1.6</v>
      </c>
      <c r="N26" s="189">
        <v>0.84</v>
      </c>
      <c r="O26" s="189">
        <v>0.43</v>
      </c>
      <c r="P26" s="189">
        <v>0.25280000000000002</v>
      </c>
      <c r="Q26" s="189">
        <v>1.77</v>
      </c>
      <c r="R26" s="189">
        <v>0.89</v>
      </c>
      <c r="S26" s="189">
        <v>0.55000000000000004</v>
      </c>
      <c r="T26" s="189">
        <v>0.22</v>
      </c>
      <c r="U26" s="189">
        <v>1.43</v>
      </c>
      <c r="V26" s="189">
        <v>0.71</v>
      </c>
      <c r="W26" s="189">
        <v>0.49780000000000002</v>
      </c>
      <c r="X26" s="189">
        <v>0.37640000000000001</v>
      </c>
      <c r="Y26" s="189">
        <v>2.31</v>
      </c>
      <c r="Z26" s="189">
        <v>1.48</v>
      </c>
      <c r="AA26" s="189">
        <v>0.92</v>
      </c>
      <c r="AB26" s="189">
        <v>0.36</v>
      </c>
      <c r="AC26" s="189">
        <v>2.27</v>
      </c>
      <c r="AD26" s="189">
        <v>1.41</v>
      </c>
      <c r="AE26" s="189">
        <v>0.81130000000000002</v>
      </c>
      <c r="AF26" s="189">
        <v>0.34</v>
      </c>
      <c r="AG26" s="189">
        <v>1.65</v>
      </c>
      <c r="AH26" s="189">
        <v>1.05</v>
      </c>
      <c r="AI26" s="189">
        <v>0.7</v>
      </c>
      <c r="AJ26" s="189">
        <v>0.27139999999999997</v>
      </c>
      <c r="AK26" s="189">
        <v>1.08</v>
      </c>
      <c r="AL26" s="189">
        <v>0.65</v>
      </c>
      <c r="AM26" s="189">
        <v>0.37</v>
      </c>
      <c r="AN26" s="189">
        <v>0.1056</v>
      </c>
      <c r="AO26" s="189">
        <v>1.02</v>
      </c>
      <c r="AP26" s="189">
        <v>0.72</v>
      </c>
      <c r="AQ26" s="189">
        <v>0.76</v>
      </c>
      <c r="AR26" s="189">
        <v>0.63429999999999997</v>
      </c>
      <c r="AS26" s="189">
        <v>0.94</v>
      </c>
      <c r="AT26" s="189">
        <v>0.42</v>
      </c>
      <c r="AU26" s="189">
        <v>0.26</v>
      </c>
      <c r="AV26" s="189">
        <v>0.1113</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row>
    <row r="27" spans="1:82" x14ac:dyDescent="0.25">
      <c r="A27" s="189" t="s">
        <v>214</v>
      </c>
      <c r="B27" s="189">
        <v>0.54</v>
      </c>
      <c r="C27" s="189">
        <v>0.28000000000000003</v>
      </c>
      <c r="D27" s="189">
        <v>0.13</v>
      </c>
      <c r="E27" s="189">
        <v>1.41</v>
      </c>
      <c r="F27" s="189">
        <v>0.86</v>
      </c>
      <c r="G27" s="189">
        <v>0.36</v>
      </c>
      <c r="H27" s="189">
        <v>0.14000000000000001</v>
      </c>
      <c r="I27" s="189">
        <v>1.83</v>
      </c>
      <c r="J27" s="189">
        <v>1.03</v>
      </c>
      <c r="K27" s="189">
        <v>0.56000000000000005</v>
      </c>
      <c r="L27" s="189">
        <v>0.17100000000000001</v>
      </c>
      <c r="M27" s="189">
        <v>1.6</v>
      </c>
      <c r="N27" s="189">
        <v>0.84</v>
      </c>
      <c r="O27" s="189">
        <v>0.43</v>
      </c>
      <c r="P27" s="189">
        <v>0.25280000000000002</v>
      </c>
      <c r="Q27" s="189">
        <v>1.77</v>
      </c>
      <c r="R27" s="189">
        <v>0.89</v>
      </c>
      <c r="S27" s="189">
        <v>0.55000000000000004</v>
      </c>
      <c r="T27" s="189">
        <v>0.22</v>
      </c>
      <c r="U27" s="189">
        <v>1.43</v>
      </c>
      <c r="V27" s="189">
        <v>0.71</v>
      </c>
      <c r="W27" s="189">
        <v>0.49780000000000002</v>
      </c>
      <c r="X27" s="189">
        <v>0.37640000000000001</v>
      </c>
      <c r="Y27" s="189">
        <v>2.31</v>
      </c>
      <c r="Z27" s="189">
        <v>1.48</v>
      </c>
      <c r="AA27" s="189">
        <v>0.92</v>
      </c>
      <c r="AB27" s="189">
        <v>0.36</v>
      </c>
      <c r="AC27" s="189">
        <v>2.27</v>
      </c>
      <c r="AD27" s="189">
        <v>1.41</v>
      </c>
      <c r="AE27" s="189">
        <v>0.81130000000000002</v>
      </c>
      <c r="AF27" s="189">
        <v>0.34</v>
      </c>
      <c r="AG27" s="189">
        <v>1.65</v>
      </c>
      <c r="AH27" s="189">
        <v>1.05</v>
      </c>
      <c r="AI27" s="189">
        <v>0.7</v>
      </c>
      <c r="AJ27" s="189">
        <v>0.27139999999999997</v>
      </c>
      <c r="AK27" s="189">
        <v>1.08</v>
      </c>
      <c r="AL27" s="189">
        <v>0.65</v>
      </c>
      <c r="AM27" s="189">
        <v>0.37</v>
      </c>
      <c r="AN27" s="189">
        <v>0</v>
      </c>
      <c r="AO27" s="189">
        <v>1.02</v>
      </c>
      <c r="AP27" s="189">
        <v>0.72</v>
      </c>
      <c r="AQ27" s="189">
        <v>0.76</v>
      </c>
      <c r="AR27" s="189">
        <v>0.63429999999999997</v>
      </c>
      <c r="AS27" s="189">
        <v>0.94</v>
      </c>
      <c r="AT27" s="189">
        <v>0</v>
      </c>
      <c r="AU27" s="189">
        <v>0</v>
      </c>
      <c r="AV27" s="189">
        <v>0.1113</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row>
    <row r="28" spans="1:82" x14ac:dyDescent="0.25">
      <c r="A28" s="189" t="s">
        <v>215</v>
      </c>
      <c r="B28" s="189">
        <v>0</v>
      </c>
      <c r="C28" s="189">
        <v>0</v>
      </c>
      <c r="D28" s="189">
        <v>0</v>
      </c>
      <c r="E28" s="189">
        <v>0</v>
      </c>
      <c r="F28" s="189">
        <v>0</v>
      </c>
      <c r="G28" s="189">
        <v>0</v>
      </c>
      <c r="H28" s="189">
        <v>0</v>
      </c>
      <c r="I28" s="189">
        <v>0</v>
      </c>
      <c r="J28" s="189">
        <v>0</v>
      </c>
      <c r="K28" s="189">
        <v>0</v>
      </c>
      <c r="L28" s="189">
        <v>0</v>
      </c>
      <c r="M28" s="189">
        <v>0</v>
      </c>
      <c r="N28" s="189">
        <v>-180000</v>
      </c>
      <c r="O28" s="189">
        <v>0</v>
      </c>
      <c r="P28" s="189">
        <v>0</v>
      </c>
      <c r="Q28" s="189">
        <v>0</v>
      </c>
      <c r="R28" s="189">
        <v>0</v>
      </c>
      <c r="S28" s="189">
        <v>0</v>
      </c>
      <c r="T28" s="189">
        <v>0</v>
      </c>
      <c r="U28" s="189">
        <v>0</v>
      </c>
      <c r="V28" s="189">
        <v>0</v>
      </c>
      <c r="W28" s="189">
        <v>0</v>
      </c>
      <c r="X28" s="189">
        <v>0</v>
      </c>
      <c r="Y28" s="189">
        <v>1645437.5</v>
      </c>
      <c r="Z28" s="189">
        <v>1645437.5</v>
      </c>
      <c r="AA28" s="189">
        <v>1645437.5</v>
      </c>
      <c r="AB28" s="189">
        <v>8220149.5199999996</v>
      </c>
      <c r="AC28" s="189">
        <v>-159396498.72</v>
      </c>
      <c r="AD28" s="189">
        <v>-179349016</v>
      </c>
      <c r="AE28" s="189">
        <v>-63013050</v>
      </c>
      <c r="AF28" s="189">
        <v>-47673950</v>
      </c>
      <c r="AG28" s="189">
        <v>-25218650</v>
      </c>
      <c r="AH28" s="189">
        <v>-47287200</v>
      </c>
      <c r="AI28" s="189">
        <v>-79695150</v>
      </c>
      <c r="AJ28" s="189">
        <v>0</v>
      </c>
      <c r="AK28" s="189">
        <v>237007788.94999999</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row>
    <row r="29" spans="1:82" x14ac:dyDescent="0.25">
      <c r="A29" s="189" t="s">
        <v>216</v>
      </c>
      <c r="B29" s="189">
        <v>1211836747.5</v>
      </c>
      <c r="C29" s="189">
        <v>626634101.41999996</v>
      </c>
      <c r="D29" s="189">
        <v>298025949.07999998</v>
      </c>
      <c r="E29" s="189">
        <v>3167845979.77</v>
      </c>
      <c r="F29" s="189">
        <v>1929493483.2</v>
      </c>
      <c r="G29" s="189">
        <v>826876923.53999996</v>
      </c>
      <c r="H29" s="189">
        <v>327368736.91000003</v>
      </c>
      <c r="I29" s="189">
        <v>4102339404.0900002</v>
      </c>
      <c r="J29" s="189">
        <v>2337714500.77</v>
      </c>
      <c r="K29" s="189">
        <v>1267633937.53</v>
      </c>
      <c r="L29" s="189">
        <v>395066413.33999997</v>
      </c>
      <c r="M29" s="189">
        <v>3587689128.1999998</v>
      </c>
      <c r="N29" s="189">
        <v>1907543838.9200001</v>
      </c>
      <c r="O29" s="189">
        <v>965983479.91999996</v>
      </c>
      <c r="P29" s="189">
        <v>384449481.80000001</v>
      </c>
      <c r="Q29" s="189">
        <v>2652631091.23</v>
      </c>
      <c r="R29" s="189">
        <v>1125544568.1600001</v>
      </c>
      <c r="S29" s="189">
        <v>695556800.34000003</v>
      </c>
      <c r="T29" s="189">
        <v>283700176.38</v>
      </c>
      <c r="U29" s="189">
        <v>1821907900.5899999</v>
      </c>
      <c r="V29" s="189">
        <v>902939766.08000004</v>
      </c>
      <c r="W29" s="189">
        <v>631968468.64999998</v>
      </c>
      <c r="X29" s="189">
        <v>265953766.22</v>
      </c>
      <c r="Y29" s="189">
        <v>1551432658.5799999</v>
      </c>
      <c r="Z29" s="189">
        <v>974863446.82000005</v>
      </c>
      <c r="AA29" s="189">
        <v>592045781.09000003</v>
      </c>
      <c r="AB29" s="189">
        <v>250569696.87</v>
      </c>
      <c r="AC29" s="189">
        <v>1022983861.22</v>
      </c>
      <c r="AD29" s="189">
        <v>555892995.41999996</v>
      </c>
      <c r="AE29" s="189">
        <v>360323053.57999998</v>
      </c>
      <c r="AF29" s="189">
        <v>130440207.94</v>
      </c>
      <c r="AG29" s="189">
        <v>831897735.45000005</v>
      </c>
      <c r="AH29" s="189">
        <v>497578607.39999998</v>
      </c>
      <c r="AI29" s="189">
        <v>282271847.97000003</v>
      </c>
      <c r="AJ29" s="189">
        <v>0</v>
      </c>
      <c r="AK29" s="189">
        <v>804477693.34000003</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row>
    <row r="30" spans="1:82" x14ac:dyDescent="0.25">
      <c r="A30" s="189" t="s">
        <v>217</v>
      </c>
      <c r="B30" s="189">
        <v>1197728740.0599999</v>
      </c>
      <c r="C30" s="189">
        <v>616494513.35000002</v>
      </c>
      <c r="D30" s="189">
        <v>294696131.64999998</v>
      </c>
      <c r="E30" s="189">
        <v>3129193906.5900002</v>
      </c>
      <c r="F30" s="189">
        <v>1902335858.8299999</v>
      </c>
      <c r="G30" s="189">
        <v>805051762.12</v>
      </c>
      <c r="H30" s="189">
        <v>316216130.10000002</v>
      </c>
      <c r="I30" s="189">
        <v>4043745565.6999998</v>
      </c>
      <c r="J30" s="189">
        <v>2276338554.1300001</v>
      </c>
      <c r="K30" s="189">
        <v>1235301198.8099999</v>
      </c>
      <c r="L30" s="189">
        <v>378534643.51999998</v>
      </c>
      <c r="M30" s="189">
        <v>3535215876.0100002</v>
      </c>
      <c r="N30" s="189">
        <v>1865116604.4200001</v>
      </c>
      <c r="O30" s="189">
        <v>946175421.86000001</v>
      </c>
      <c r="P30" s="189">
        <v>373520396.94999999</v>
      </c>
      <c r="Q30" s="189">
        <v>2612621946.77</v>
      </c>
      <c r="R30" s="189">
        <v>1127129111.26</v>
      </c>
      <c r="S30" s="189">
        <v>696784634.03999996</v>
      </c>
      <c r="T30" s="189">
        <v>283094455.55000001</v>
      </c>
      <c r="U30" s="189">
        <v>1822575190.6700001</v>
      </c>
      <c r="V30" s="189">
        <v>903117971.44000006</v>
      </c>
      <c r="W30" s="189">
        <v>632025333.80999994</v>
      </c>
      <c r="X30" s="189">
        <v>265440943.96000001</v>
      </c>
      <c r="Y30" s="189">
        <v>1551366981.5799999</v>
      </c>
      <c r="Z30" s="189">
        <v>974689202.14999998</v>
      </c>
      <c r="AA30" s="189">
        <v>591334920.20000005</v>
      </c>
      <c r="AB30" s="189">
        <v>249576471.93000001</v>
      </c>
      <c r="AC30" s="189">
        <v>1022008828.09</v>
      </c>
      <c r="AD30" s="189">
        <v>553882865.27999997</v>
      </c>
      <c r="AE30" s="189">
        <v>358767339.38</v>
      </c>
      <c r="AF30" s="189">
        <v>129559614.90000001</v>
      </c>
      <c r="AG30" s="189">
        <v>834445773.92999995</v>
      </c>
      <c r="AH30" s="189">
        <v>498677747.94</v>
      </c>
      <c r="AI30" s="189">
        <v>281947200.19</v>
      </c>
      <c r="AJ30" s="189">
        <v>0</v>
      </c>
      <c r="AK30" s="189">
        <v>800492932.73000002</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row>
    <row r="31" spans="1:82" x14ac:dyDescent="0.25">
      <c r="A31" s="189" t="s">
        <v>218</v>
      </c>
      <c r="B31" s="189">
        <v>14108007.439999999</v>
      </c>
      <c r="C31" s="189">
        <v>10139588.07</v>
      </c>
      <c r="D31" s="189">
        <v>3329817.43</v>
      </c>
      <c r="E31" s="189">
        <v>38652073.18</v>
      </c>
      <c r="F31" s="189">
        <v>27157624.370000001</v>
      </c>
      <c r="G31" s="189">
        <v>21825161.420000002</v>
      </c>
      <c r="H31" s="189">
        <v>11152606.810000001</v>
      </c>
      <c r="I31" s="189">
        <v>58593838.390000001</v>
      </c>
      <c r="J31" s="189">
        <v>61375946.640000001</v>
      </c>
      <c r="K31" s="189">
        <v>32332738.719999999</v>
      </c>
      <c r="L31" s="189">
        <v>16531769.82</v>
      </c>
      <c r="M31" s="189">
        <v>52473252.189999998</v>
      </c>
      <c r="N31" s="189">
        <v>42427234.5</v>
      </c>
      <c r="O31" s="189">
        <v>19808058.059999999</v>
      </c>
      <c r="P31" s="189">
        <v>10929084.85</v>
      </c>
      <c r="Q31" s="189">
        <v>40009144.460000001</v>
      </c>
      <c r="R31" s="189">
        <v>-1584543.1</v>
      </c>
      <c r="S31" s="189">
        <v>-1227833.7</v>
      </c>
      <c r="T31" s="189">
        <v>605720.82999999996</v>
      </c>
      <c r="U31" s="189">
        <v>-667290.07999999996</v>
      </c>
      <c r="V31" s="189">
        <v>-178205.36</v>
      </c>
      <c r="W31" s="189">
        <v>-56865.16</v>
      </c>
      <c r="X31" s="189">
        <v>507402.61</v>
      </c>
      <c r="Y31" s="189">
        <v>65677</v>
      </c>
      <c r="Z31" s="189">
        <v>174244.67</v>
      </c>
      <c r="AA31" s="189">
        <v>710860.89</v>
      </c>
      <c r="AB31" s="189">
        <v>993224.94</v>
      </c>
      <c r="AC31" s="189">
        <v>975033.13</v>
      </c>
      <c r="AD31" s="189">
        <v>2010130.14</v>
      </c>
      <c r="AE31" s="189">
        <v>1555714.2</v>
      </c>
      <c r="AF31" s="189">
        <v>880593.04</v>
      </c>
      <c r="AG31" s="189">
        <v>-2548038.48</v>
      </c>
      <c r="AH31" s="189">
        <v>-1099140.54</v>
      </c>
      <c r="AI31" s="189">
        <v>324647.78000000003</v>
      </c>
      <c r="AJ31" s="189">
        <v>0</v>
      </c>
      <c r="AK31" s="189">
        <v>3984760.61</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c r="BX31" s="189">
        <v>0</v>
      </c>
      <c r="BY31" s="189">
        <v>0</v>
      </c>
      <c r="BZ31" s="189">
        <v>0</v>
      </c>
      <c r="CA31" s="189">
        <v>0</v>
      </c>
      <c r="CB31" s="189">
        <v>0</v>
      </c>
      <c r="CC31" s="189">
        <v>0</v>
      </c>
      <c r="CD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A31" sqref="A31"/>
    </sheetView>
  </sheetViews>
  <sheetFormatPr defaultRowHeight="14.4" x14ac:dyDescent="0.25"/>
  <cols>
    <col min="1" max="1" width="57.77734375" style="189" bestFit="1" customWidth="1"/>
    <col min="2" max="2" width="12.77734375" style="189" hidden="1" customWidth="1"/>
    <col min="3" max="3" width="13.88671875" style="189" hidden="1" customWidth="1"/>
    <col min="4" max="4" width="12.77734375" style="189" hidden="1" customWidth="1"/>
    <col min="5" max="5" width="13.88671875" style="189" bestFit="1" customWidth="1"/>
    <col min="6" max="8" width="13.88671875" style="189" hidden="1" customWidth="1"/>
    <col min="9" max="9" width="13.88671875" style="189" bestFit="1" customWidth="1"/>
    <col min="10" max="12" width="13.88671875" style="189" hidden="1" customWidth="1"/>
    <col min="13" max="13" width="13.88671875" style="189" bestFit="1" customWidth="1"/>
    <col min="14" max="16" width="13.88671875" style="189" hidden="1" customWidth="1"/>
    <col min="17" max="17" width="13.88671875" style="189" bestFit="1" customWidth="1"/>
    <col min="18" max="20" width="13.88671875" style="189" hidden="1" customWidth="1"/>
    <col min="21" max="21" width="13.88671875" style="189" bestFit="1" customWidth="1"/>
    <col min="22" max="24" width="13.88671875" style="189" hidden="1" customWidth="1"/>
    <col min="25" max="25" width="13.88671875" style="189" bestFit="1" customWidth="1"/>
    <col min="26" max="26" width="12.77734375" style="189" hidden="1" customWidth="1"/>
    <col min="27" max="28" width="13.88671875" style="189" hidden="1" customWidth="1"/>
    <col min="29" max="29" width="13.88671875" style="189" bestFit="1" customWidth="1"/>
    <col min="30" max="32" width="13.88671875" style="189" hidden="1" customWidth="1"/>
    <col min="33" max="33" width="13.88671875" style="189" bestFit="1" customWidth="1"/>
    <col min="34" max="36" width="13.88671875" style="189" hidden="1" customWidth="1"/>
    <col min="37" max="37" width="13.88671875" style="189" bestFit="1" customWidth="1"/>
    <col min="38" max="40" width="13.88671875" style="189" hidden="1" customWidth="1"/>
    <col min="41" max="41" width="13.88671875" style="189" bestFit="1" customWidth="1"/>
    <col min="42" max="43" width="13.88671875" style="189" hidden="1" customWidth="1"/>
    <col min="44" max="44" width="12.77734375" style="189" hidden="1" customWidth="1"/>
    <col min="45" max="45" width="13.88671875" style="189" bestFit="1" customWidth="1"/>
    <col min="46" max="48" width="13.88671875" style="189" hidden="1" customWidth="1"/>
    <col min="49" max="49" width="13.88671875" style="189" bestFit="1" customWidth="1"/>
    <col min="50"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3.88671875" style="189" bestFit="1" customWidth="1"/>
    <col min="62" max="64" width="13.88671875" style="189" hidden="1" customWidth="1"/>
    <col min="65" max="65" width="13.88671875" style="189" bestFit="1" customWidth="1"/>
    <col min="66" max="66" width="13.88671875" style="189" hidden="1" customWidth="1"/>
    <col min="67" max="67" width="13.88671875" style="189" bestFit="1" customWidth="1"/>
    <col min="68" max="68" width="13.88671875" style="189" hidden="1" customWidth="1"/>
    <col min="69" max="69" width="13.88671875" style="189" bestFit="1" customWidth="1"/>
    <col min="70" max="70" width="13.88671875" style="189" hidden="1" customWidth="1"/>
    <col min="71" max="72" width="13.88671875" style="189" bestFit="1" customWidth="1"/>
    <col min="73" max="73" width="13.88671875" style="189" hidden="1" customWidth="1"/>
    <col min="74" max="74" width="9.5546875" style="189" hidden="1" customWidth="1"/>
    <col min="75" max="16384" width="8.88671875" style="189"/>
  </cols>
  <sheetData>
    <row r="1" spans="1:74" x14ac:dyDescent="0.25">
      <c r="A1" s="189">
        <v>600066</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20010630</v>
      </c>
      <c r="BQ1" s="189">
        <v>20001231</v>
      </c>
      <c r="BR1" s="189">
        <v>20000630</v>
      </c>
      <c r="BS1" s="189">
        <v>19991231</v>
      </c>
      <c r="BT1" s="189">
        <v>19981231</v>
      </c>
      <c r="BU1" s="189">
        <v>19980630</v>
      </c>
      <c r="BV1" s="189">
        <v>19700101</v>
      </c>
    </row>
    <row r="2" spans="1:7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row>
    <row r="3" spans="1:74" x14ac:dyDescent="0.25">
      <c r="A3" s="189" t="s">
        <v>219</v>
      </c>
    </row>
    <row r="4" spans="1:74" x14ac:dyDescent="0.25">
      <c r="A4" s="189" t="s">
        <v>220</v>
      </c>
      <c r="B4" s="189">
        <v>21270526265.43</v>
      </c>
      <c r="C4" s="189">
        <v>13816523729.02</v>
      </c>
      <c r="D4" s="189">
        <v>5568914384</v>
      </c>
      <c r="E4" s="189">
        <v>29017559075.490002</v>
      </c>
      <c r="F4" s="189">
        <v>18476249243.220001</v>
      </c>
      <c r="G4" s="189">
        <v>10869755862.27</v>
      </c>
      <c r="H4" s="189">
        <v>5463223784.1700001</v>
      </c>
      <c r="I4" s="189">
        <v>29825398493.130001</v>
      </c>
      <c r="J4" s="189">
        <v>17704140972.529999</v>
      </c>
      <c r="K4" s="189">
        <v>11243093504.530001</v>
      </c>
      <c r="L4" s="189">
        <v>5739672957.04</v>
      </c>
      <c r="M4" s="189">
        <v>31848557533.529999</v>
      </c>
      <c r="N4" s="189">
        <v>20548394272.939999</v>
      </c>
      <c r="O4" s="189">
        <v>10992299095.620001</v>
      </c>
      <c r="P4" s="189">
        <v>4766682654.8299999</v>
      </c>
      <c r="Q4" s="189">
        <v>20412007010.75</v>
      </c>
      <c r="R4" s="189">
        <v>13642476528.18</v>
      </c>
      <c r="S4" s="189">
        <v>8337010534.8500004</v>
      </c>
      <c r="T4" s="189">
        <v>3935380165.6799998</v>
      </c>
      <c r="U4" s="189">
        <v>20813935648.990002</v>
      </c>
      <c r="V4" s="189">
        <v>12906965397.9</v>
      </c>
      <c r="W4" s="189">
        <v>7911012499.5799999</v>
      </c>
      <c r="X4" s="189">
        <v>3196977115.8800001</v>
      </c>
      <c r="Y4" s="189">
        <v>15617948232.389999</v>
      </c>
      <c r="Z4" s="189">
        <v>11132049225.68</v>
      </c>
      <c r="AA4" s="189">
        <v>7211460295.3400002</v>
      </c>
      <c r="AB4" s="189">
        <v>3606000601.46</v>
      </c>
      <c r="AC4" s="189">
        <v>16108618454.73</v>
      </c>
      <c r="AD4" s="189">
        <v>9863178652.5200005</v>
      </c>
      <c r="AE4" s="189">
        <v>6180674009.2799997</v>
      </c>
      <c r="AF4" s="189">
        <v>3100414395.21</v>
      </c>
      <c r="AG4" s="189">
        <v>14211916938.9</v>
      </c>
      <c r="AH4" s="189">
        <v>9219700280.0400009</v>
      </c>
      <c r="AI4" s="189">
        <v>5595666389.2700005</v>
      </c>
      <c r="AJ4" s="189">
        <v>2664584966.5799999</v>
      </c>
      <c r="AK4" s="189">
        <v>9492444180.5400009</v>
      </c>
      <c r="AL4" s="189">
        <v>5778595374.25</v>
      </c>
      <c r="AM4" s="189">
        <v>3447071212.5100002</v>
      </c>
      <c r="AN4" s="189">
        <v>1276829128.5</v>
      </c>
      <c r="AO4" s="189">
        <v>10183090687.26</v>
      </c>
      <c r="AP4" s="189">
        <v>6263935565.9899998</v>
      </c>
      <c r="AQ4" s="189">
        <v>4446352643.5</v>
      </c>
      <c r="AR4" s="189">
        <v>2036389955</v>
      </c>
      <c r="AS4" s="189">
        <v>8589409046</v>
      </c>
      <c r="AT4" s="189">
        <v>4956099752.6000004</v>
      </c>
      <c r="AU4" s="189">
        <v>3010339739.2399998</v>
      </c>
      <c r="AV4" s="189">
        <v>1309084373.4300001</v>
      </c>
      <c r="AW4" s="189">
        <v>6073487673.2700005</v>
      </c>
      <c r="AX4" s="189">
        <v>3445984327.3600001</v>
      </c>
      <c r="AY4" s="189">
        <v>2253719918.4899998</v>
      </c>
      <c r="AZ4" s="189">
        <v>1001717469.46</v>
      </c>
      <c r="BA4" s="189">
        <v>5611036038.3400002</v>
      </c>
      <c r="BB4" s="189">
        <v>3057984770.5500002</v>
      </c>
      <c r="BC4" s="189">
        <v>1804907419.78</v>
      </c>
      <c r="BD4" s="189">
        <v>739478006.95000005</v>
      </c>
      <c r="BE4" s="189">
        <v>5169653085.0500002</v>
      </c>
      <c r="BF4" s="189">
        <v>2628526545.2199998</v>
      </c>
      <c r="BG4" s="189">
        <v>1484332572.52</v>
      </c>
      <c r="BH4" s="189">
        <v>697601022.32000005</v>
      </c>
      <c r="BI4" s="189">
        <v>3498632723.8499999</v>
      </c>
      <c r="BJ4" s="189">
        <v>1586823776.79</v>
      </c>
      <c r="BK4" s="189">
        <v>908532965.87</v>
      </c>
      <c r="BL4" s="189">
        <v>510448749.42000002</v>
      </c>
      <c r="BM4" s="189">
        <v>3394502436.5300002</v>
      </c>
      <c r="BN4" s="189">
        <v>1055297789.96</v>
      </c>
      <c r="BO4" s="189">
        <v>1741743559.3</v>
      </c>
      <c r="BP4" s="189">
        <v>675593535.20000005</v>
      </c>
      <c r="BQ4" s="189">
        <v>1459057727.6600001</v>
      </c>
      <c r="BR4" s="189">
        <v>495362750.58999997</v>
      </c>
      <c r="BS4" s="189">
        <v>846791888.38</v>
      </c>
      <c r="BT4" s="189">
        <v>642687212.08000004</v>
      </c>
      <c r="BU4" s="189">
        <v>210511163.96000001</v>
      </c>
      <c r="BV4" s="189">
        <v>0</v>
      </c>
    </row>
    <row r="5" spans="1:74" x14ac:dyDescent="0.25">
      <c r="A5" s="189" t="s">
        <v>221</v>
      </c>
      <c r="B5" s="189">
        <v>405882845.58999997</v>
      </c>
      <c r="C5" s="189">
        <v>232389921.38999999</v>
      </c>
      <c r="D5" s="189">
        <v>111912122.69</v>
      </c>
      <c r="E5" s="189">
        <v>442550845.16000003</v>
      </c>
      <c r="F5" s="189">
        <v>353981606.87</v>
      </c>
      <c r="G5" s="189">
        <v>249977071.94</v>
      </c>
      <c r="H5" s="189">
        <v>143695060.38</v>
      </c>
      <c r="I5" s="189">
        <v>566699850.37</v>
      </c>
      <c r="J5" s="189">
        <v>427699247.29000002</v>
      </c>
      <c r="K5" s="189">
        <v>230514701.38</v>
      </c>
      <c r="L5" s="189">
        <v>164685731.31</v>
      </c>
      <c r="M5" s="189">
        <v>473991387.24000001</v>
      </c>
      <c r="N5" s="189">
        <v>330342562.76999998</v>
      </c>
      <c r="O5" s="189">
        <v>210804656.61000001</v>
      </c>
      <c r="P5" s="189">
        <v>62823837</v>
      </c>
      <c r="Q5" s="189">
        <v>277960313.19999999</v>
      </c>
      <c r="R5" s="189">
        <v>276938742.79000002</v>
      </c>
      <c r="S5" s="189">
        <v>207980044.03999999</v>
      </c>
      <c r="T5" s="189">
        <v>134187650.25</v>
      </c>
      <c r="U5" s="189">
        <v>86125898.629999995</v>
      </c>
      <c r="V5" s="189">
        <v>81694084.219999999</v>
      </c>
      <c r="W5" s="189">
        <v>53346878.979999997</v>
      </c>
      <c r="X5" s="189">
        <v>50685074.859999999</v>
      </c>
      <c r="Y5" s="189">
        <v>94921616.159999996</v>
      </c>
      <c r="Z5" s="189">
        <v>24446092.43</v>
      </c>
      <c r="AA5" s="189">
        <v>24446092.43</v>
      </c>
      <c r="AB5" s="189">
        <v>19682509.18</v>
      </c>
      <c r="AC5" s="189">
        <v>20477169.989999998</v>
      </c>
      <c r="AD5" s="189">
        <v>16920911.539999999</v>
      </c>
      <c r="AE5" s="189">
        <v>16920911.539999999</v>
      </c>
      <c r="AF5" s="189">
        <v>9399729.5099999998</v>
      </c>
      <c r="AG5" s="189">
        <v>22417313.289999999</v>
      </c>
      <c r="AH5" s="189">
        <v>14788859.16</v>
      </c>
      <c r="AI5" s="189">
        <v>14788859.16</v>
      </c>
      <c r="AJ5" s="189">
        <v>2537148.5499999998</v>
      </c>
      <c r="AK5" s="189">
        <v>14994984.949999999</v>
      </c>
      <c r="AL5" s="189">
        <v>35852516.420000002</v>
      </c>
      <c r="AM5" s="189">
        <v>35849412.109999999</v>
      </c>
      <c r="AN5" s="189">
        <v>33782522.57</v>
      </c>
      <c r="AO5" s="189">
        <v>20974349.609999999</v>
      </c>
      <c r="AP5" s="189">
        <v>13553872.18</v>
      </c>
      <c r="AQ5" s="189">
        <v>7569277.1799999997</v>
      </c>
      <c r="AR5" s="189">
        <v>7569277.1799999997</v>
      </c>
      <c r="AS5" s="189">
        <v>0</v>
      </c>
      <c r="AT5" s="189">
        <v>49970.46</v>
      </c>
      <c r="AU5" s="189">
        <v>0</v>
      </c>
      <c r="AV5" s="189">
        <v>0</v>
      </c>
      <c r="AW5" s="189">
        <v>786279.32</v>
      </c>
      <c r="AX5" s="189">
        <v>714937.78</v>
      </c>
      <c r="AY5" s="189">
        <v>0</v>
      </c>
      <c r="AZ5" s="189">
        <v>0</v>
      </c>
      <c r="BA5" s="189">
        <v>0</v>
      </c>
      <c r="BB5" s="189">
        <v>0</v>
      </c>
      <c r="BC5" s="189">
        <v>0</v>
      </c>
      <c r="BD5" s="189">
        <v>0</v>
      </c>
      <c r="BE5" s="189">
        <v>0</v>
      </c>
      <c r="BF5" s="189">
        <v>897000</v>
      </c>
      <c r="BG5" s="189">
        <v>0</v>
      </c>
      <c r="BH5" s="189">
        <v>0</v>
      </c>
      <c r="BI5" s="189">
        <v>0</v>
      </c>
      <c r="BJ5" s="189">
        <v>145000</v>
      </c>
      <c r="BK5" s="189">
        <v>0</v>
      </c>
      <c r="BL5" s="189">
        <v>0</v>
      </c>
      <c r="BM5" s="189">
        <v>0</v>
      </c>
      <c r="BN5" s="189">
        <v>0</v>
      </c>
      <c r="BO5" s="189">
        <v>22832603</v>
      </c>
      <c r="BP5" s="189">
        <v>3812142.12</v>
      </c>
      <c r="BQ5" s="189">
        <v>30614700</v>
      </c>
      <c r="BR5" s="189">
        <v>17730000</v>
      </c>
      <c r="BS5" s="189">
        <v>14764829.59</v>
      </c>
      <c r="BT5" s="189">
        <v>9600000</v>
      </c>
      <c r="BU5" s="189">
        <v>45486573.07</v>
      </c>
      <c r="BV5" s="189">
        <v>0</v>
      </c>
    </row>
    <row r="6" spans="1:74" x14ac:dyDescent="0.25">
      <c r="A6" s="189" t="s">
        <v>222</v>
      </c>
      <c r="B6" s="189">
        <v>686686867.24000001</v>
      </c>
      <c r="C6" s="189">
        <v>458213122.75999999</v>
      </c>
      <c r="D6" s="189">
        <v>79102080.189999998</v>
      </c>
      <c r="E6" s="189">
        <v>447875840.88999999</v>
      </c>
      <c r="F6" s="189">
        <v>259028449.28</v>
      </c>
      <c r="G6" s="189">
        <v>125611025.59999999</v>
      </c>
      <c r="H6" s="189">
        <v>25355136.449999999</v>
      </c>
      <c r="I6" s="189">
        <v>398084733.48000002</v>
      </c>
      <c r="J6" s="189">
        <v>202712717.71000001</v>
      </c>
      <c r="K6" s="189">
        <v>106200113.97</v>
      </c>
      <c r="L6" s="189">
        <v>14817209.369999999</v>
      </c>
      <c r="M6" s="189">
        <v>619975638.21000004</v>
      </c>
      <c r="N6" s="189">
        <v>240988742.03</v>
      </c>
      <c r="O6" s="189">
        <v>170155375.24000001</v>
      </c>
      <c r="P6" s="189">
        <v>38165593.310000002</v>
      </c>
      <c r="Q6" s="189">
        <v>366824727.56</v>
      </c>
      <c r="R6" s="189">
        <v>165119392.77000001</v>
      </c>
      <c r="S6" s="189">
        <v>136514257.19</v>
      </c>
      <c r="T6" s="189">
        <v>26778367</v>
      </c>
      <c r="U6" s="189">
        <v>232033959.69</v>
      </c>
      <c r="V6" s="189">
        <v>125397477.89</v>
      </c>
      <c r="W6" s="189">
        <v>99024622.370000005</v>
      </c>
      <c r="X6" s="189">
        <v>77398575.939999998</v>
      </c>
      <c r="Y6" s="189">
        <v>484674000.58999997</v>
      </c>
      <c r="Z6" s="189">
        <v>87029145.859999999</v>
      </c>
      <c r="AA6" s="189">
        <v>43723004.950000003</v>
      </c>
      <c r="AB6" s="189">
        <v>8428178.1400000006</v>
      </c>
      <c r="AC6" s="189">
        <v>120259523.39</v>
      </c>
      <c r="AD6" s="189">
        <v>80386793.629999995</v>
      </c>
      <c r="AE6" s="189">
        <v>70679819.819999993</v>
      </c>
      <c r="AF6" s="189">
        <v>6551341.9500000002</v>
      </c>
      <c r="AG6" s="189">
        <v>66606859.119999997</v>
      </c>
      <c r="AH6" s="189">
        <v>53588387.130000003</v>
      </c>
      <c r="AI6" s="189">
        <v>25292058.280000001</v>
      </c>
      <c r="AJ6" s="189">
        <v>9851760.9600000009</v>
      </c>
      <c r="AK6" s="189">
        <v>74918445.890000001</v>
      </c>
      <c r="AL6" s="189">
        <v>48705915.299999997</v>
      </c>
      <c r="AM6" s="189">
        <v>20093908.440000001</v>
      </c>
      <c r="AN6" s="189">
        <v>7428276.6299999999</v>
      </c>
      <c r="AO6" s="189">
        <v>77659497.129999995</v>
      </c>
      <c r="AP6" s="189">
        <v>87706844.049999997</v>
      </c>
      <c r="AQ6" s="189">
        <v>21256063.850000001</v>
      </c>
      <c r="AR6" s="189">
        <v>8545705.0899999999</v>
      </c>
      <c r="AS6" s="189">
        <v>64138377.340000004</v>
      </c>
      <c r="AT6" s="189">
        <v>78694479.430000007</v>
      </c>
      <c r="AU6" s="189">
        <v>28420886.370000001</v>
      </c>
      <c r="AV6" s="189">
        <v>9617847.25</v>
      </c>
      <c r="AW6" s="189">
        <v>47951582.880000003</v>
      </c>
      <c r="AX6" s="189">
        <v>35571830.979999997</v>
      </c>
      <c r="AY6" s="189">
        <v>27232107.18</v>
      </c>
      <c r="AZ6" s="189">
        <v>956773.77</v>
      </c>
      <c r="BA6" s="189">
        <v>37780968.450000003</v>
      </c>
      <c r="BB6" s="189">
        <v>29110812.59</v>
      </c>
      <c r="BC6" s="189">
        <v>24032998.370000001</v>
      </c>
      <c r="BD6" s="189">
        <v>3077484.14</v>
      </c>
      <c r="BE6" s="189">
        <v>7729755.1299999999</v>
      </c>
      <c r="BF6" s="189">
        <v>20397063.809999999</v>
      </c>
      <c r="BG6" s="189">
        <v>18017050.039999999</v>
      </c>
      <c r="BH6" s="189">
        <v>16280053.43</v>
      </c>
      <c r="BI6" s="189">
        <v>6264786.9400000004</v>
      </c>
      <c r="BJ6" s="189">
        <v>7636408.6200000001</v>
      </c>
      <c r="BK6" s="189">
        <v>4813163.4400000004</v>
      </c>
      <c r="BL6" s="189">
        <v>2727278.16</v>
      </c>
      <c r="BM6" s="189">
        <v>3488028.48</v>
      </c>
      <c r="BN6" s="189">
        <v>2253477.5</v>
      </c>
      <c r="BO6" s="189">
        <v>1041546.32</v>
      </c>
      <c r="BP6" s="189">
        <v>200070.25</v>
      </c>
      <c r="BQ6" s="189">
        <v>634936.19999999995</v>
      </c>
      <c r="BR6" s="189">
        <v>99754.16</v>
      </c>
      <c r="BS6" s="189">
        <v>1572556.27</v>
      </c>
      <c r="BT6" s="189">
        <v>539801.66</v>
      </c>
      <c r="BU6" s="189">
        <v>1838865.78</v>
      </c>
      <c r="BV6" s="189">
        <v>0</v>
      </c>
    </row>
    <row r="7" spans="1:74" x14ac:dyDescent="0.25">
      <c r="A7" s="189" t="s">
        <v>223</v>
      </c>
      <c r="B7" s="189">
        <v>22363095978.259998</v>
      </c>
      <c r="C7" s="189">
        <v>14507126773.17</v>
      </c>
      <c r="D7" s="189">
        <v>5759928586.8800001</v>
      </c>
      <c r="E7" s="189">
        <v>29907985761.540001</v>
      </c>
      <c r="F7" s="189">
        <v>19089259299.369999</v>
      </c>
      <c r="G7" s="189">
        <v>11245343959.809999</v>
      </c>
      <c r="H7" s="189">
        <v>5632273981</v>
      </c>
      <c r="I7" s="189">
        <v>30790183076.98</v>
      </c>
      <c r="J7" s="189">
        <v>18334552937.529999</v>
      </c>
      <c r="K7" s="189">
        <v>11579808319.879999</v>
      </c>
      <c r="L7" s="189">
        <v>5919175897.7200003</v>
      </c>
      <c r="M7" s="189">
        <v>32942524558.98</v>
      </c>
      <c r="N7" s="189">
        <v>21119725577.740002</v>
      </c>
      <c r="O7" s="189">
        <v>11373259127.469999</v>
      </c>
      <c r="P7" s="189">
        <v>4867672085.1400003</v>
      </c>
      <c r="Q7" s="189">
        <v>21056792051.509998</v>
      </c>
      <c r="R7" s="189">
        <v>14084534663.74</v>
      </c>
      <c r="S7" s="189">
        <v>8681504836.0799999</v>
      </c>
      <c r="T7" s="189">
        <v>4096346182.9299998</v>
      </c>
      <c r="U7" s="189">
        <v>21132095507.310001</v>
      </c>
      <c r="V7" s="189">
        <v>13114056960.01</v>
      </c>
      <c r="W7" s="189">
        <v>8063384000.9300003</v>
      </c>
      <c r="X7" s="189">
        <v>3325060766.6799998</v>
      </c>
      <c r="Y7" s="189">
        <v>16197543849.139999</v>
      </c>
      <c r="Z7" s="189">
        <v>11243524463.969999</v>
      </c>
      <c r="AA7" s="189">
        <v>7279629392.7200003</v>
      </c>
      <c r="AB7" s="189">
        <v>3634111288.7800002</v>
      </c>
      <c r="AC7" s="189">
        <v>16249355148.110001</v>
      </c>
      <c r="AD7" s="189">
        <v>9960486357.6900005</v>
      </c>
      <c r="AE7" s="189">
        <v>6268274740.6400003</v>
      </c>
      <c r="AF7" s="189">
        <v>3116365466.6700001</v>
      </c>
      <c r="AG7" s="189">
        <v>14300941111.309999</v>
      </c>
      <c r="AH7" s="189">
        <v>9288077526.3299999</v>
      </c>
      <c r="AI7" s="189">
        <v>5635747306.71</v>
      </c>
      <c r="AJ7" s="189">
        <v>2676973876.0900002</v>
      </c>
      <c r="AK7" s="189">
        <v>9582357611.3799992</v>
      </c>
      <c r="AL7" s="189">
        <v>5863153805.9700003</v>
      </c>
      <c r="AM7" s="189">
        <v>3503014533.0599999</v>
      </c>
      <c r="AN7" s="189">
        <v>1318039927.7</v>
      </c>
      <c r="AO7" s="189">
        <v>10281724534</v>
      </c>
      <c r="AP7" s="189">
        <v>6365196282.2200003</v>
      </c>
      <c r="AQ7" s="189">
        <v>4475177984.5299997</v>
      </c>
      <c r="AR7" s="189">
        <v>2052504937.27</v>
      </c>
      <c r="AS7" s="189">
        <v>8653547423.3400002</v>
      </c>
      <c r="AT7" s="189">
        <v>5034844202.4899998</v>
      </c>
      <c r="AU7" s="189">
        <v>3038760625.6100001</v>
      </c>
      <c r="AV7" s="189">
        <v>1318702220.6800001</v>
      </c>
      <c r="AW7" s="189">
        <v>6122225535.4700003</v>
      </c>
      <c r="AX7" s="189">
        <v>3482271096.1199999</v>
      </c>
      <c r="AY7" s="189">
        <v>2280952025.6700001</v>
      </c>
      <c r="AZ7" s="189">
        <v>1002674243.23</v>
      </c>
      <c r="BA7" s="189">
        <v>5648817006.79</v>
      </c>
      <c r="BB7" s="189">
        <v>3087095583.1399999</v>
      </c>
      <c r="BC7" s="189">
        <v>1828940418.1500001</v>
      </c>
      <c r="BD7" s="189">
        <v>742555491.09000003</v>
      </c>
      <c r="BE7" s="189">
        <v>5177382840.1800003</v>
      </c>
      <c r="BF7" s="189">
        <v>2649820609.0300002</v>
      </c>
      <c r="BG7" s="189">
        <v>1502349622.5599999</v>
      </c>
      <c r="BH7" s="189">
        <v>713881075.75</v>
      </c>
      <c r="BI7" s="189">
        <v>3504897510.79</v>
      </c>
      <c r="BJ7" s="189">
        <v>1594605185.4100001</v>
      </c>
      <c r="BK7" s="189">
        <v>913346129.30999994</v>
      </c>
      <c r="BL7" s="189">
        <v>513176027.57999998</v>
      </c>
      <c r="BM7" s="189">
        <v>3397990465.0100002</v>
      </c>
      <c r="BN7" s="189">
        <v>1057551267.46</v>
      </c>
      <c r="BO7" s="189">
        <v>1765617708.6199999</v>
      </c>
      <c r="BP7" s="189">
        <v>679605747.57000005</v>
      </c>
      <c r="BQ7" s="189">
        <v>1490307363.8599999</v>
      </c>
      <c r="BR7" s="189">
        <v>513192504.75</v>
      </c>
      <c r="BS7" s="189">
        <v>863129274.24000001</v>
      </c>
      <c r="BT7" s="189">
        <v>652827013.74000001</v>
      </c>
      <c r="BU7" s="189">
        <v>257836602.81</v>
      </c>
      <c r="BV7" s="189">
        <v>0</v>
      </c>
    </row>
    <row r="8" spans="1:74" x14ac:dyDescent="0.25">
      <c r="A8" s="189" t="s">
        <v>224</v>
      </c>
      <c r="B8" s="189">
        <v>17699676305.369999</v>
      </c>
      <c r="C8" s="189">
        <v>11792840806.799999</v>
      </c>
      <c r="D8" s="189">
        <v>5946271301.25</v>
      </c>
      <c r="E8" s="189">
        <v>24879737312.700001</v>
      </c>
      <c r="F8" s="189">
        <v>18037631579.869999</v>
      </c>
      <c r="G8" s="189">
        <v>12394971891.379999</v>
      </c>
      <c r="H8" s="189">
        <v>7239302763.2399998</v>
      </c>
      <c r="I8" s="189">
        <v>21332971423.259998</v>
      </c>
      <c r="J8" s="189">
        <v>15310354181.85</v>
      </c>
      <c r="K8" s="189">
        <v>10648734895.17</v>
      </c>
      <c r="L8" s="189">
        <v>6285603747.0699997</v>
      </c>
      <c r="M8" s="189">
        <v>21071605399.639999</v>
      </c>
      <c r="N8" s="189">
        <v>11993403249.49</v>
      </c>
      <c r="O8" s="189">
        <v>6903212275.0100002</v>
      </c>
      <c r="P8" s="189">
        <v>3840175029.8099999</v>
      </c>
      <c r="Q8" s="189">
        <v>13228146241.16</v>
      </c>
      <c r="R8" s="189">
        <v>8954411668.5400009</v>
      </c>
      <c r="S8" s="189">
        <v>5308686296.3800001</v>
      </c>
      <c r="T8" s="189">
        <v>2487522537.3299999</v>
      </c>
      <c r="U8" s="189">
        <v>15582170206.25</v>
      </c>
      <c r="V8" s="189">
        <v>7747188393.9300003</v>
      </c>
      <c r="W8" s="189">
        <v>4944843689.5600004</v>
      </c>
      <c r="X8" s="189">
        <v>2784297155.6500001</v>
      </c>
      <c r="Y8" s="189">
        <v>11784097339.209999</v>
      </c>
      <c r="Z8" s="189">
        <v>7186047089.2200003</v>
      </c>
      <c r="AA8" s="189">
        <v>4518082033.3100004</v>
      </c>
      <c r="AB8" s="189">
        <v>1889341184.8</v>
      </c>
      <c r="AC8" s="189">
        <v>12256607102.5</v>
      </c>
      <c r="AD8" s="189">
        <v>7143672790.6000004</v>
      </c>
      <c r="AE8" s="189">
        <v>4631927553.9499998</v>
      </c>
      <c r="AF8" s="189">
        <v>2043123788.1500001</v>
      </c>
      <c r="AG8" s="189">
        <v>10909832737.540001</v>
      </c>
      <c r="AH8" s="189">
        <v>5478616986.8199997</v>
      </c>
      <c r="AI8" s="189">
        <v>3663475663.4400001</v>
      </c>
      <c r="AJ8" s="189">
        <v>1829715181.54</v>
      </c>
      <c r="AK8" s="189">
        <v>8044282244.7700005</v>
      </c>
      <c r="AL8" s="189">
        <v>4076879214.3800001</v>
      </c>
      <c r="AM8" s="189">
        <v>2614500747.4699998</v>
      </c>
      <c r="AN8" s="189">
        <v>1196193835.49</v>
      </c>
      <c r="AO8" s="189">
        <v>7985865765.5699997</v>
      </c>
      <c r="AP8" s="189">
        <v>4818789192.6499996</v>
      </c>
      <c r="AQ8" s="189">
        <v>3377265188.46</v>
      </c>
      <c r="AR8" s="189">
        <v>1485126561.6800001</v>
      </c>
      <c r="AS8" s="189">
        <v>6837848966.7299995</v>
      </c>
      <c r="AT8" s="189">
        <v>3755314668.9099998</v>
      </c>
      <c r="AU8" s="189">
        <v>2299090807.5300002</v>
      </c>
      <c r="AV8" s="189">
        <v>968047396.83000004</v>
      </c>
      <c r="AW8" s="189">
        <v>4167401215.0599999</v>
      </c>
      <c r="AX8" s="189">
        <v>2216109665.5799999</v>
      </c>
      <c r="AY8" s="189">
        <v>1407138620.52</v>
      </c>
      <c r="AZ8" s="189">
        <v>627531350.44000006</v>
      </c>
      <c r="BA8" s="189">
        <v>4326483377.9700003</v>
      </c>
      <c r="BB8" s="189">
        <v>2037391837.54</v>
      </c>
      <c r="BC8" s="189">
        <v>1289941533.3199999</v>
      </c>
      <c r="BD8" s="189">
        <v>563062562.73000002</v>
      </c>
      <c r="BE8" s="189">
        <v>4025540385.8000002</v>
      </c>
      <c r="BF8" s="189">
        <v>1967715797.53</v>
      </c>
      <c r="BG8" s="189">
        <v>1274272743.9300001</v>
      </c>
      <c r="BH8" s="189">
        <v>607463156.39999998</v>
      </c>
      <c r="BI8" s="189">
        <v>2722937856.8000002</v>
      </c>
      <c r="BJ8" s="189">
        <v>1165286157.6700001</v>
      </c>
      <c r="BK8" s="189">
        <v>714807112.65999997</v>
      </c>
      <c r="BL8" s="189">
        <v>358911948.73000002</v>
      </c>
      <c r="BM8" s="189">
        <v>2600470981.4099998</v>
      </c>
      <c r="BN8" s="189">
        <v>790098927.19000006</v>
      </c>
      <c r="BO8" s="189">
        <v>1355543696.98</v>
      </c>
      <c r="BP8" s="189">
        <v>542073313.75999999</v>
      </c>
      <c r="BQ8" s="189">
        <v>1043500080.21</v>
      </c>
      <c r="BR8" s="189">
        <v>363723432.27999997</v>
      </c>
      <c r="BS8" s="189">
        <v>678664210.58000004</v>
      </c>
      <c r="BT8" s="189">
        <v>529409848.98000002</v>
      </c>
      <c r="BU8" s="189">
        <v>195615521.28</v>
      </c>
      <c r="BV8" s="189">
        <v>0</v>
      </c>
    </row>
    <row r="9" spans="1:74" x14ac:dyDescent="0.25">
      <c r="A9" s="189" t="s">
        <v>225</v>
      </c>
      <c r="B9" s="189">
        <v>2030355439.04</v>
      </c>
      <c r="C9" s="189">
        <v>1457436350.3800001</v>
      </c>
      <c r="D9" s="189">
        <v>630536865.59000003</v>
      </c>
      <c r="E9" s="189">
        <v>2692949193.4099998</v>
      </c>
      <c r="F9" s="189">
        <v>1993372878.29</v>
      </c>
      <c r="G9" s="189">
        <v>1333335034.4300001</v>
      </c>
      <c r="H9" s="189">
        <v>739173788.10000002</v>
      </c>
      <c r="I9" s="189">
        <v>2478454684.2800002</v>
      </c>
      <c r="J9" s="189">
        <v>1676421089.27</v>
      </c>
      <c r="K9" s="189">
        <v>1143364721.95</v>
      </c>
      <c r="L9" s="189">
        <v>641966190.70000005</v>
      </c>
      <c r="M9" s="189">
        <v>2221585833.8000002</v>
      </c>
      <c r="N9" s="189">
        <v>1586652999.8399999</v>
      </c>
      <c r="O9" s="189">
        <v>1071418570.13</v>
      </c>
      <c r="P9" s="189">
        <v>483822116.75</v>
      </c>
      <c r="Q9" s="189">
        <v>1616474021.46</v>
      </c>
      <c r="R9" s="189">
        <v>1048197402.8099999</v>
      </c>
      <c r="S9" s="189">
        <v>702452391.13999999</v>
      </c>
      <c r="T9" s="189">
        <v>335082571.35000002</v>
      </c>
      <c r="U9" s="189">
        <v>1204304588</v>
      </c>
      <c r="V9" s="189">
        <v>857014268.19000006</v>
      </c>
      <c r="W9" s="189">
        <v>605830699.42999995</v>
      </c>
      <c r="X9" s="189">
        <v>288491065.56</v>
      </c>
      <c r="Y9" s="189">
        <v>945728017.10000002</v>
      </c>
      <c r="Z9" s="189">
        <v>671186080.90999997</v>
      </c>
      <c r="AA9" s="189">
        <v>471678758.20999998</v>
      </c>
      <c r="AB9" s="189">
        <v>227231774.86000001</v>
      </c>
      <c r="AC9" s="189">
        <v>752591851.88999999</v>
      </c>
      <c r="AD9" s="189">
        <v>483629238.5</v>
      </c>
      <c r="AE9" s="189">
        <v>319019233.99000001</v>
      </c>
      <c r="AF9" s="189">
        <v>171036030.41999999</v>
      </c>
      <c r="AG9" s="189">
        <v>688630939.09000003</v>
      </c>
      <c r="AH9" s="189">
        <v>541148107.97000003</v>
      </c>
      <c r="AI9" s="189">
        <v>349786613.80000001</v>
      </c>
      <c r="AJ9" s="189">
        <v>187825430.59999999</v>
      </c>
      <c r="AK9" s="189">
        <v>557886421.37</v>
      </c>
      <c r="AL9" s="189">
        <v>357196534.43000001</v>
      </c>
      <c r="AM9" s="189">
        <v>237341432.49000001</v>
      </c>
      <c r="AN9" s="189">
        <v>118915832.59</v>
      </c>
      <c r="AO9" s="189">
        <v>380088388.23000002</v>
      </c>
      <c r="AP9" s="189">
        <v>276440272.19999999</v>
      </c>
      <c r="AQ9" s="189">
        <v>192042059.09</v>
      </c>
      <c r="AR9" s="189">
        <v>119817881.34</v>
      </c>
      <c r="AS9" s="189">
        <v>359719149.83999997</v>
      </c>
      <c r="AT9" s="189">
        <v>276564356.66000003</v>
      </c>
      <c r="AU9" s="189">
        <v>178365987</v>
      </c>
      <c r="AV9" s="189">
        <v>109716084.56</v>
      </c>
      <c r="AW9" s="189">
        <v>291308584.66000003</v>
      </c>
      <c r="AX9" s="189">
        <v>198450036.72999999</v>
      </c>
      <c r="AY9" s="189">
        <v>141042923.87</v>
      </c>
      <c r="AZ9" s="189">
        <v>89506205</v>
      </c>
      <c r="BA9" s="189">
        <v>230308378.09999999</v>
      </c>
      <c r="BB9" s="189">
        <v>143378848.05000001</v>
      </c>
      <c r="BC9" s="189">
        <v>96335977.5</v>
      </c>
      <c r="BD9" s="189">
        <v>35010482.579999998</v>
      </c>
      <c r="BE9" s="189">
        <v>204829289.78</v>
      </c>
      <c r="BF9" s="189">
        <v>123722822.84</v>
      </c>
      <c r="BG9" s="189">
        <v>79191182.010000005</v>
      </c>
      <c r="BH9" s="189">
        <v>40264409.18</v>
      </c>
      <c r="BI9" s="189">
        <v>171362919.16999999</v>
      </c>
      <c r="BJ9" s="189">
        <v>91309434.549999997</v>
      </c>
      <c r="BK9" s="189">
        <v>58734685.369999997</v>
      </c>
      <c r="BL9" s="189">
        <v>30579322.02</v>
      </c>
      <c r="BM9" s="189">
        <v>146949906.75</v>
      </c>
      <c r="BN9" s="189">
        <v>41979440.479999997</v>
      </c>
      <c r="BO9" s="189">
        <v>80359417.290000007</v>
      </c>
      <c r="BP9" s="189">
        <v>0</v>
      </c>
      <c r="BQ9" s="189">
        <v>67794489.140000001</v>
      </c>
      <c r="BR9" s="189">
        <v>32190823.5</v>
      </c>
      <c r="BS9" s="189">
        <v>54487232.759999998</v>
      </c>
      <c r="BT9" s="189">
        <v>33209246.420000002</v>
      </c>
      <c r="BU9" s="189">
        <v>13125468.890000001</v>
      </c>
      <c r="BV9" s="189">
        <v>0</v>
      </c>
    </row>
    <row r="10" spans="1:74" x14ac:dyDescent="0.25">
      <c r="A10" s="189" t="s">
        <v>226</v>
      </c>
      <c r="B10" s="189">
        <v>896880096.51999998</v>
      </c>
      <c r="C10" s="189">
        <v>556874907.02999997</v>
      </c>
      <c r="D10" s="189">
        <v>330791382.30000001</v>
      </c>
      <c r="E10" s="189">
        <v>1250705298.97</v>
      </c>
      <c r="F10" s="189">
        <v>1046686572.9</v>
      </c>
      <c r="G10" s="189">
        <v>819590325.83000004</v>
      </c>
      <c r="H10" s="189">
        <v>323814457.67000002</v>
      </c>
      <c r="I10" s="189">
        <v>1087352201.8399999</v>
      </c>
      <c r="J10" s="189">
        <v>893488136.70000005</v>
      </c>
      <c r="K10" s="189">
        <v>542107949.50999999</v>
      </c>
      <c r="L10" s="189">
        <v>313036740.12</v>
      </c>
      <c r="M10" s="189">
        <v>1526638622.4000001</v>
      </c>
      <c r="N10" s="189">
        <v>1110758149.1400001</v>
      </c>
      <c r="O10" s="189">
        <v>651694257.29999995</v>
      </c>
      <c r="P10" s="189">
        <v>326110665.97000003</v>
      </c>
      <c r="Q10" s="189">
        <v>1312762229.9200001</v>
      </c>
      <c r="R10" s="189">
        <v>789999040.77999997</v>
      </c>
      <c r="S10" s="189">
        <v>542578337.57000005</v>
      </c>
      <c r="T10" s="189">
        <v>314386867.52999997</v>
      </c>
      <c r="U10" s="189">
        <v>1010817520.6</v>
      </c>
      <c r="V10" s="189">
        <v>773348851.92999995</v>
      </c>
      <c r="W10" s="189">
        <v>597275534.77999997</v>
      </c>
      <c r="X10" s="189">
        <v>368649223.31999999</v>
      </c>
      <c r="Y10" s="189">
        <v>817714131.64999998</v>
      </c>
      <c r="Z10" s="189">
        <v>641599354.91999996</v>
      </c>
      <c r="AA10" s="189">
        <v>460398874.17000002</v>
      </c>
      <c r="AB10" s="189">
        <v>286606527.51999998</v>
      </c>
      <c r="AC10" s="189">
        <v>697601622.72000003</v>
      </c>
      <c r="AD10" s="189">
        <v>617008319.95000005</v>
      </c>
      <c r="AE10" s="189">
        <v>467682830.00999999</v>
      </c>
      <c r="AF10" s="189">
        <v>363589848.25999999</v>
      </c>
      <c r="AG10" s="189">
        <v>533727485.77999997</v>
      </c>
      <c r="AH10" s="189">
        <v>462769490.75999999</v>
      </c>
      <c r="AI10" s="189">
        <v>349730715.39999998</v>
      </c>
      <c r="AJ10" s="189">
        <v>198832446.06999999</v>
      </c>
      <c r="AK10" s="189">
        <v>380767340.80000001</v>
      </c>
      <c r="AL10" s="189">
        <v>290634023.89999998</v>
      </c>
      <c r="AM10" s="189">
        <v>230678195.22</v>
      </c>
      <c r="AN10" s="189">
        <v>134638225.87</v>
      </c>
      <c r="AO10" s="189">
        <v>459898106.44</v>
      </c>
      <c r="AP10" s="189">
        <v>453269949.57999998</v>
      </c>
      <c r="AQ10" s="189">
        <v>377383728.57999998</v>
      </c>
      <c r="AR10" s="189">
        <v>230365477.71000001</v>
      </c>
      <c r="AS10" s="189">
        <v>414065607.80000001</v>
      </c>
      <c r="AT10" s="189">
        <v>307484361.10000002</v>
      </c>
      <c r="AU10" s="189">
        <v>243221086.00999999</v>
      </c>
      <c r="AV10" s="189">
        <v>135439279</v>
      </c>
      <c r="AW10" s="189">
        <v>324136039.56999999</v>
      </c>
      <c r="AX10" s="189">
        <v>232303686.74000001</v>
      </c>
      <c r="AY10" s="189">
        <v>190342680.41</v>
      </c>
      <c r="AZ10" s="189">
        <v>111566452.04000001</v>
      </c>
      <c r="BA10" s="189">
        <v>244123220.61000001</v>
      </c>
      <c r="BB10" s="189">
        <v>199880125.69999999</v>
      </c>
      <c r="BC10" s="189">
        <v>154026218.80000001</v>
      </c>
      <c r="BD10" s="189">
        <v>99211978.489999995</v>
      </c>
      <c r="BE10" s="189">
        <v>212589326.86000001</v>
      </c>
      <c r="BF10" s="189">
        <v>149319127.50999999</v>
      </c>
      <c r="BG10" s="189">
        <v>81886294.540000007</v>
      </c>
      <c r="BH10" s="189">
        <v>64791458.869999997</v>
      </c>
      <c r="BI10" s="189">
        <v>174316078.68000001</v>
      </c>
      <c r="BJ10" s="189">
        <v>125451152.55</v>
      </c>
      <c r="BK10" s="189">
        <v>94120610.870000005</v>
      </c>
      <c r="BL10" s="189">
        <v>86249825.180000007</v>
      </c>
      <c r="BM10" s="189">
        <v>160895297.19</v>
      </c>
      <c r="BN10" s="189">
        <v>63810656.479999997</v>
      </c>
      <c r="BO10" s="189">
        <v>130319517.95</v>
      </c>
      <c r="BP10" s="189">
        <v>52012673.729999997</v>
      </c>
      <c r="BQ10" s="189">
        <v>87206214.450000003</v>
      </c>
      <c r="BR10" s="189">
        <v>45009381.700000003</v>
      </c>
      <c r="BS10" s="189">
        <v>59652445.329999998</v>
      </c>
      <c r="BT10" s="189">
        <v>36330317.460000001</v>
      </c>
      <c r="BU10" s="189">
        <v>47259229.049999997</v>
      </c>
      <c r="BV10" s="189">
        <v>0</v>
      </c>
    </row>
    <row r="11" spans="1:74" x14ac:dyDescent="0.25">
      <c r="A11" s="189" t="s">
        <v>227</v>
      </c>
      <c r="B11" s="189">
        <v>3048014314.1500001</v>
      </c>
      <c r="C11" s="189">
        <v>1887197094.3399999</v>
      </c>
      <c r="D11" s="189">
        <v>1108829221.1400001</v>
      </c>
      <c r="E11" s="189">
        <v>2833556096.9499998</v>
      </c>
      <c r="F11" s="189">
        <v>2030358369.27</v>
      </c>
      <c r="G11" s="189">
        <v>1190475298.49</v>
      </c>
      <c r="H11" s="189">
        <v>663719387.57000005</v>
      </c>
      <c r="I11" s="189">
        <v>2359073077.8000002</v>
      </c>
      <c r="J11" s="189">
        <v>1827048612.6500001</v>
      </c>
      <c r="K11" s="189">
        <v>1110370086.97</v>
      </c>
      <c r="L11" s="189">
        <v>634955616.14999998</v>
      </c>
      <c r="M11" s="189">
        <v>2112954223.04</v>
      </c>
      <c r="N11" s="189">
        <v>1412112618.6300001</v>
      </c>
      <c r="O11" s="189">
        <v>885506404.87</v>
      </c>
      <c r="P11" s="189">
        <v>526273948.01999998</v>
      </c>
      <c r="Q11" s="189">
        <v>1694148801.04</v>
      </c>
      <c r="R11" s="189">
        <v>968078762.50999999</v>
      </c>
      <c r="S11" s="189">
        <v>598236905.76999998</v>
      </c>
      <c r="T11" s="189">
        <v>368881891.93000001</v>
      </c>
      <c r="U11" s="189">
        <v>1397835575.51</v>
      </c>
      <c r="V11" s="189">
        <v>978502927.45000005</v>
      </c>
      <c r="W11" s="189">
        <v>578582540.10000002</v>
      </c>
      <c r="X11" s="189">
        <v>297839752.06999999</v>
      </c>
      <c r="Y11" s="189">
        <v>1277848599.3599999</v>
      </c>
      <c r="Z11" s="189">
        <v>828291836.19000006</v>
      </c>
      <c r="AA11" s="189">
        <v>497390513.72000003</v>
      </c>
      <c r="AB11" s="189">
        <v>419492172.26999998</v>
      </c>
      <c r="AC11" s="189">
        <v>1096296625.1700001</v>
      </c>
      <c r="AD11" s="189">
        <v>721536544.73000002</v>
      </c>
      <c r="AE11" s="189">
        <v>315683721.99000001</v>
      </c>
      <c r="AF11" s="189">
        <v>158691182.08000001</v>
      </c>
      <c r="AG11" s="189">
        <v>851048459.00999999</v>
      </c>
      <c r="AH11" s="189">
        <v>634289416.45000005</v>
      </c>
      <c r="AI11" s="189">
        <v>257269847.88999999</v>
      </c>
      <c r="AJ11" s="189">
        <v>116200924.08</v>
      </c>
      <c r="AK11" s="189">
        <v>526475547.80000001</v>
      </c>
      <c r="AL11" s="189">
        <v>297679452.81</v>
      </c>
      <c r="AM11" s="189">
        <v>175101150.97</v>
      </c>
      <c r="AN11" s="189">
        <v>65217569.340000004</v>
      </c>
      <c r="AO11" s="189">
        <v>491639562.76999998</v>
      </c>
      <c r="AP11" s="189">
        <v>335821348.44999999</v>
      </c>
      <c r="AQ11" s="189">
        <v>198597044.84999999</v>
      </c>
      <c r="AR11" s="189">
        <v>121924262.27</v>
      </c>
      <c r="AS11" s="189">
        <v>452409739.02999997</v>
      </c>
      <c r="AT11" s="189">
        <v>339803948.76999998</v>
      </c>
      <c r="AU11" s="189">
        <v>304958187.01999998</v>
      </c>
      <c r="AV11" s="189">
        <v>86206444.719999999</v>
      </c>
      <c r="AW11" s="189">
        <v>397126820.14999998</v>
      </c>
      <c r="AX11" s="189">
        <v>254302949.34999999</v>
      </c>
      <c r="AY11" s="189">
        <v>166247134.38999999</v>
      </c>
      <c r="AZ11" s="189">
        <v>76388897.760000005</v>
      </c>
      <c r="BA11" s="189">
        <v>341734574.17000002</v>
      </c>
      <c r="BB11" s="189">
        <v>284006007.10000002</v>
      </c>
      <c r="BC11" s="189">
        <v>126991295.73999999</v>
      </c>
      <c r="BD11" s="189">
        <v>84520972.099999994</v>
      </c>
      <c r="BE11" s="189">
        <v>297676239.10000002</v>
      </c>
      <c r="BF11" s="189">
        <v>191211657.18000001</v>
      </c>
      <c r="BG11" s="189">
        <v>106277713.47</v>
      </c>
      <c r="BH11" s="189">
        <v>66887501.890000001</v>
      </c>
      <c r="BI11" s="189">
        <v>305204089.19999999</v>
      </c>
      <c r="BJ11" s="189">
        <v>129274957.44</v>
      </c>
      <c r="BK11" s="189">
        <v>77711947.790000007</v>
      </c>
      <c r="BL11" s="189">
        <v>33677422.229999997</v>
      </c>
      <c r="BM11" s="189">
        <v>216046387.61000001</v>
      </c>
      <c r="BN11" s="189">
        <v>69023459.269999996</v>
      </c>
      <c r="BO11" s="189">
        <v>101596331.12</v>
      </c>
      <c r="BP11" s="189">
        <v>29920462.23</v>
      </c>
      <c r="BQ11" s="189">
        <v>72724124.049999997</v>
      </c>
      <c r="BR11" s="189">
        <v>30607996.91</v>
      </c>
      <c r="BS11" s="189">
        <v>47959415.689999998</v>
      </c>
      <c r="BT11" s="189">
        <v>36498728.659999996</v>
      </c>
      <c r="BU11" s="189">
        <v>25288732.620000001</v>
      </c>
      <c r="BV11" s="189">
        <v>0</v>
      </c>
    </row>
    <row r="12" spans="1:74" x14ac:dyDescent="0.25">
      <c r="A12" s="189" t="s">
        <v>228</v>
      </c>
      <c r="B12" s="189">
        <v>23674926155.080002</v>
      </c>
      <c r="C12" s="189">
        <v>15694349158.549999</v>
      </c>
      <c r="D12" s="189">
        <v>8016428770.2799997</v>
      </c>
      <c r="E12" s="189">
        <v>31656947902.029999</v>
      </c>
      <c r="F12" s="189">
        <v>23108049400.330002</v>
      </c>
      <c r="G12" s="189">
        <v>15738372550.129999</v>
      </c>
      <c r="H12" s="189">
        <v>8966010396.5799999</v>
      </c>
      <c r="I12" s="189">
        <v>27257851387.18</v>
      </c>
      <c r="J12" s="189">
        <v>19707312020.470001</v>
      </c>
      <c r="K12" s="189">
        <v>13444577653.6</v>
      </c>
      <c r="L12" s="189">
        <v>7875562294.04</v>
      </c>
      <c r="M12" s="189">
        <v>26932784078.880001</v>
      </c>
      <c r="N12" s="189">
        <v>16102927017.1</v>
      </c>
      <c r="O12" s="189">
        <v>9511831507.3099995</v>
      </c>
      <c r="P12" s="189">
        <v>5176381760.5500002</v>
      </c>
      <c r="Q12" s="189">
        <v>17851531293.580002</v>
      </c>
      <c r="R12" s="189">
        <v>11760686874.639999</v>
      </c>
      <c r="S12" s="189">
        <v>7151953930.8599997</v>
      </c>
      <c r="T12" s="189">
        <v>3505873868.1399999</v>
      </c>
      <c r="U12" s="189">
        <v>19195127890.360001</v>
      </c>
      <c r="V12" s="189">
        <v>10356054441.5</v>
      </c>
      <c r="W12" s="189">
        <v>6726532463.8699999</v>
      </c>
      <c r="X12" s="189">
        <v>3739277196.5999999</v>
      </c>
      <c r="Y12" s="189">
        <v>14825388087.32</v>
      </c>
      <c r="Z12" s="189">
        <v>9327124361.2399998</v>
      </c>
      <c r="AA12" s="189">
        <v>5947550179.4099998</v>
      </c>
      <c r="AB12" s="189">
        <v>2822671659.4499998</v>
      </c>
      <c r="AC12" s="189">
        <v>14803097202.280001</v>
      </c>
      <c r="AD12" s="189">
        <v>8965846893.7800007</v>
      </c>
      <c r="AE12" s="189">
        <v>5734313339.9399996</v>
      </c>
      <c r="AF12" s="189">
        <v>2736440848.9099998</v>
      </c>
      <c r="AG12" s="189">
        <v>12983239621.42</v>
      </c>
      <c r="AH12" s="189">
        <v>7116824002</v>
      </c>
      <c r="AI12" s="189">
        <v>4620262840.5299997</v>
      </c>
      <c r="AJ12" s="189">
        <v>2332573982.29</v>
      </c>
      <c r="AK12" s="189">
        <v>9509411554.7399998</v>
      </c>
      <c r="AL12" s="189">
        <v>5022389225.5200005</v>
      </c>
      <c r="AM12" s="189">
        <v>3257621526.1500001</v>
      </c>
      <c r="AN12" s="189">
        <v>1514965463.29</v>
      </c>
      <c r="AO12" s="189">
        <v>9317491823.0100002</v>
      </c>
      <c r="AP12" s="189">
        <v>5884320762.8800001</v>
      </c>
      <c r="AQ12" s="189">
        <v>4145288020.98</v>
      </c>
      <c r="AR12" s="189">
        <v>1957234183</v>
      </c>
      <c r="AS12" s="189">
        <v>8064043463.3999996</v>
      </c>
      <c r="AT12" s="189">
        <v>4679167335.4399996</v>
      </c>
      <c r="AU12" s="189">
        <v>3025636067.5599999</v>
      </c>
      <c r="AV12" s="189">
        <v>1299409205.1099999</v>
      </c>
      <c r="AW12" s="189">
        <v>5179972659.4399996</v>
      </c>
      <c r="AX12" s="189">
        <v>2901166338.4000001</v>
      </c>
      <c r="AY12" s="189">
        <v>1904771359.1900001</v>
      </c>
      <c r="AZ12" s="189">
        <v>904992905.24000001</v>
      </c>
      <c r="BA12" s="189">
        <v>5142649550.8500004</v>
      </c>
      <c r="BB12" s="189">
        <v>2664656818.3899999</v>
      </c>
      <c r="BC12" s="189">
        <v>1667295025.3599999</v>
      </c>
      <c r="BD12" s="189">
        <v>781805995.89999998</v>
      </c>
      <c r="BE12" s="189">
        <v>4740635241.54</v>
      </c>
      <c r="BF12" s="189">
        <v>2431969405.0599999</v>
      </c>
      <c r="BG12" s="189">
        <v>1541627933.95</v>
      </c>
      <c r="BH12" s="189">
        <v>779406526.34000003</v>
      </c>
      <c r="BI12" s="189">
        <v>3373820943.8499999</v>
      </c>
      <c r="BJ12" s="189">
        <v>1511321702.21</v>
      </c>
      <c r="BK12" s="189">
        <v>945374356.69000006</v>
      </c>
      <c r="BL12" s="189">
        <v>509418518.16000003</v>
      </c>
      <c r="BM12" s="189">
        <v>3124362572.96</v>
      </c>
      <c r="BN12" s="189">
        <v>964912483.41999996</v>
      </c>
      <c r="BO12" s="189">
        <v>1667818963.3399999</v>
      </c>
      <c r="BP12" s="189">
        <v>624006449.72000003</v>
      </c>
      <c r="BQ12" s="189">
        <v>1271224907.8499999</v>
      </c>
      <c r="BR12" s="189">
        <v>471531634.38999999</v>
      </c>
      <c r="BS12" s="189">
        <v>840763304.36000001</v>
      </c>
      <c r="BT12" s="189">
        <v>635448141.51999998</v>
      </c>
      <c r="BU12" s="189">
        <v>281288951.83999997</v>
      </c>
      <c r="BV12" s="189">
        <v>0</v>
      </c>
    </row>
    <row r="13" spans="1:74" x14ac:dyDescent="0.25">
      <c r="A13" s="189" t="s">
        <v>229</v>
      </c>
      <c r="B13" s="189">
        <v>-1311830176.8199999</v>
      </c>
      <c r="C13" s="189">
        <v>-1187222385.3800001</v>
      </c>
      <c r="D13" s="189">
        <v>-2256500183.4000001</v>
      </c>
      <c r="E13" s="189">
        <v>-1748962140.49</v>
      </c>
      <c r="F13" s="189">
        <v>-4018790100.96</v>
      </c>
      <c r="G13" s="189">
        <v>-4493028590.3199997</v>
      </c>
      <c r="H13" s="189">
        <v>-3333736415.5799999</v>
      </c>
      <c r="I13" s="189">
        <v>3532331689.8000002</v>
      </c>
      <c r="J13" s="189">
        <v>-1372759082.9400001</v>
      </c>
      <c r="K13" s="189">
        <v>-1864769333.72</v>
      </c>
      <c r="L13" s="189">
        <v>-1956386396.3199999</v>
      </c>
      <c r="M13" s="189">
        <v>6009740480.1000004</v>
      </c>
      <c r="N13" s="189">
        <v>5016798560.6400003</v>
      </c>
      <c r="O13" s="189">
        <v>1861427620.1600001</v>
      </c>
      <c r="P13" s="189">
        <v>-308709675.41000003</v>
      </c>
      <c r="Q13" s="189">
        <v>3205260757.9299998</v>
      </c>
      <c r="R13" s="189">
        <v>2323847789.0999999</v>
      </c>
      <c r="S13" s="189">
        <v>1529550905.22</v>
      </c>
      <c r="T13" s="189">
        <v>590472314.78999996</v>
      </c>
      <c r="U13" s="189">
        <v>1936967616.95</v>
      </c>
      <c r="V13" s="189">
        <v>2758002518.5100002</v>
      </c>
      <c r="W13" s="189">
        <v>1336851537.0599999</v>
      </c>
      <c r="X13" s="189">
        <v>-414216429.92000002</v>
      </c>
      <c r="Y13" s="189">
        <v>1372155761.8199999</v>
      </c>
      <c r="Z13" s="189">
        <v>1916400102.73</v>
      </c>
      <c r="AA13" s="189">
        <v>1332079213.3099999</v>
      </c>
      <c r="AB13" s="189">
        <v>811439629.33000004</v>
      </c>
      <c r="AC13" s="189">
        <v>1446257945.8299999</v>
      </c>
      <c r="AD13" s="189">
        <v>994639463.90999997</v>
      </c>
      <c r="AE13" s="189">
        <v>533961400.69999999</v>
      </c>
      <c r="AF13" s="189">
        <v>379924617.75999999</v>
      </c>
      <c r="AG13" s="189">
        <v>1317701489.8900001</v>
      </c>
      <c r="AH13" s="189">
        <v>2171253524.3299999</v>
      </c>
      <c r="AI13" s="189">
        <v>1015484466.1799999</v>
      </c>
      <c r="AJ13" s="189">
        <v>344399893.80000001</v>
      </c>
      <c r="AK13" s="189">
        <v>72946056.640000001</v>
      </c>
      <c r="AL13" s="189">
        <v>840764580.45000005</v>
      </c>
      <c r="AM13" s="189">
        <v>245393006.91</v>
      </c>
      <c r="AN13" s="189">
        <v>-196925535.59</v>
      </c>
      <c r="AO13" s="189">
        <v>964232710.99000001</v>
      </c>
      <c r="AP13" s="189">
        <v>480875519.33999997</v>
      </c>
      <c r="AQ13" s="189">
        <v>329889963.55000001</v>
      </c>
      <c r="AR13" s="189">
        <v>95270754.269999996</v>
      </c>
      <c r="AS13" s="189">
        <v>589503959.94000006</v>
      </c>
      <c r="AT13" s="189">
        <v>355676867.05000001</v>
      </c>
      <c r="AU13" s="189">
        <v>13124558.050000001</v>
      </c>
      <c r="AV13" s="189">
        <v>19293015.57</v>
      </c>
      <c r="AW13" s="189">
        <v>942252876.02999997</v>
      </c>
      <c r="AX13" s="189">
        <v>581104757.72000003</v>
      </c>
      <c r="AY13" s="189">
        <v>376180666.48000002</v>
      </c>
      <c r="AZ13" s="189">
        <v>97681337.989999995</v>
      </c>
      <c r="BA13" s="189">
        <v>506167455.94</v>
      </c>
      <c r="BB13" s="189">
        <v>422438764.75</v>
      </c>
      <c r="BC13" s="189">
        <v>161645392.78999999</v>
      </c>
      <c r="BD13" s="189">
        <v>-39250504.810000002</v>
      </c>
      <c r="BE13" s="189">
        <v>436747598.63999999</v>
      </c>
      <c r="BF13" s="189">
        <v>217851203.97</v>
      </c>
      <c r="BG13" s="189">
        <v>-39278311.390000001</v>
      </c>
      <c r="BH13" s="189">
        <v>-65525450.590000004</v>
      </c>
      <c r="BI13" s="189">
        <v>131076566.94</v>
      </c>
      <c r="BJ13" s="189">
        <v>83283483.200000003</v>
      </c>
      <c r="BK13" s="189">
        <v>-32028227.379999999</v>
      </c>
      <c r="BL13" s="189">
        <v>3757509.42</v>
      </c>
      <c r="BM13" s="189">
        <v>273627892.05000001</v>
      </c>
      <c r="BN13" s="189">
        <v>92638784.040000007</v>
      </c>
      <c r="BO13" s="189">
        <v>97798745.280000001</v>
      </c>
      <c r="BP13" s="189">
        <v>55599297.850000001</v>
      </c>
      <c r="BQ13" s="189">
        <v>219082456.00999999</v>
      </c>
      <c r="BR13" s="189">
        <v>41660870.359999999</v>
      </c>
      <c r="BS13" s="189">
        <v>22365969.879999999</v>
      </c>
      <c r="BT13" s="189">
        <v>17378872.219999999</v>
      </c>
      <c r="BU13" s="189">
        <v>-23452349.030000001</v>
      </c>
      <c r="BV13" s="189">
        <v>0</v>
      </c>
    </row>
    <row r="14" spans="1:74" x14ac:dyDescent="0.25">
      <c r="A14" s="189" t="s">
        <v>230</v>
      </c>
    </row>
    <row r="15" spans="1:74" x14ac:dyDescent="0.25">
      <c r="A15" s="189" t="s">
        <v>231</v>
      </c>
      <c r="B15" s="189">
        <v>14363966593</v>
      </c>
      <c r="C15" s="189">
        <v>12093390937.84</v>
      </c>
      <c r="D15" s="189">
        <v>1744629520.3299999</v>
      </c>
      <c r="E15" s="189">
        <v>12613425464.98</v>
      </c>
      <c r="F15" s="189">
        <v>9603279786.75</v>
      </c>
      <c r="G15" s="189">
        <v>7104432550.6800003</v>
      </c>
      <c r="H15" s="189">
        <v>3131842601.0100002</v>
      </c>
      <c r="I15" s="189">
        <v>7738563754.1300001</v>
      </c>
      <c r="J15" s="189">
        <v>5639502946.29</v>
      </c>
      <c r="K15" s="189">
        <v>4798896849.6300001</v>
      </c>
      <c r="L15" s="189">
        <v>2200520577</v>
      </c>
      <c r="M15" s="189">
        <v>13826716778.809999</v>
      </c>
      <c r="N15" s="189">
        <v>7631148028.0600004</v>
      </c>
      <c r="O15" s="189">
        <v>3725058294.0900002</v>
      </c>
      <c r="P15" s="189">
        <v>1519799684.02</v>
      </c>
      <c r="Q15" s="189">
        <v>9835516869.2299995</v>
      </c>
      <c r="R15" s="189">
        <v>6213117006.54</v>
      </c>
      <c r="S15" s="189">
        <v>2139623909.97</v>
      </c>
      <c r="T15" s="189">
        <v>556364308.5</v>
      </c>
      <c r="U15" s="189">
        <v>10632249137.24</v>
      </c>
      <c r="V15" s="189">
        <v>5181205752.3100004</v>
      </c>
      <c r="W15" s="189">
        <v>3110452930.3400002</v>
      </c>
      <c r="X15" s="189">
        <v>1565692999.28</v>
      </c>
      <c r="Y15" s="189">
        <v>6695713722.6300001</v>
      </c>
      <c r="Z15" s="189">
        <v>5016319548.8900003</v>
      </c>
      <c r="AA15" s="189">
        <v>3263562685.8600001</v>
      </c>
      <c r="AB15" s="189">
        <v>1499621522.0699999</v>
      </c>
      <c r="AC15" s="189">
        <v>1786955299.75</v>
      </c>
      <c r="AD15" s="189">
        <v>1512465744.5799999</v>
      </c>
      <c r="AE15" s="189">
        <v>1227571059.3699999</v>
      </c>
      <c r="AF15" s="189">
        <v>615878246.62</v>
      </c>
      <c r="AG15" s="189">
        <v>3547023740.3099999</v>
      </c>
      <c r="AH15" s="189">
        <v>2347933266.3800001</v>
      </c>
      <c r="AI15" s="189">
        <v>1493330329.3699999</v>
      </c>
      <c r="AJ15" s="189">
        <v>576214321.17999995</v>
      </c>
      <c r="AK15" s="189">
        <v>3314744861.8099999</v>
      </c>
      <c r="AL15" s="189">
        <v>2283585063.7600002</v>
      </c>
      <c r="AM15" s="189">
        <v>1711188300.8</v>
      </c>
      <c r="AN15" s="189">
        <v>821250154.97000003</v>
      </c>
      <c r="AO15" s="189">
        <v>2167360955</v>
      </c>
      <c r="AP15" s="189">
        <v>1087686253.3499999</v>
      </c>
      <c r="AQ15" s="189">
        <v>414970964.44999999</v>
      </c>
      <c r="AR15" s="189">
        <v>179383834.97999999</v>
      </c>
      <c r="AS15" s="189">
        <v>85603723.359999999</v>
      </c>
      <c r="AT15" s="189">
        <v>197409443.83000001</v>
      </c>
      <c r="AU15" s="189">
        <v>138229391.49000001</v>
      </c>
      <c r="AV15" s="189">
        <v>61832460</v>
      </c>
      <c r="AW15" s="189">
        <v>31000000</v>
      </c>
      <c r="AX15" s="189">
        <v>20570660</v>
      </c>
      <c r="AY15" s="189">
        <v>4000000</v>
      </c>
      <c r="AZ15" s="189">
        <v>0</v>
      </c>
      <c r="BA15" s="189">
        <v>23000000</v>
      </c>
      <c r="BB15" s="189">
        <v>8000000</v>
      </c>
      <c r="BC15" s="189">
        <v>0</v>
      </c>
      <c r="BD15" s="189">
        <v>0</v>
      </c>
      <c r="BE15" s="189">
        <v>410000</v>
      </c>
      <c r="BF15" s="189">
        <v>0</v>
      </c>
      <c r="BG15" s="189">
        <v>0</v>
      </c>
      <c r="BH15" s="189">
        <v>0</v>
      </c>
      <c r="BI15" s="189">
        <v>3798841.39</v>
      </c>
      <c r="BJ15" s="189">
        <v>0</v>
      </c>
      <c r="BK15" s="189">
        <v>0</v>
      </c>
      <c r="BL15" s="189">
        <v>0</v>
      </c>
      <c r="BM15" s="189">
        <v>62852316.189999998</v>
      </c>
      <c r="BN15" s="189">
        <v>92860720.120000005</v>
      </c>
      <c r="BO15" s="189">
        <v>7095341.4199999999</v>
      </c>
      <c r="BP15" s="189">
        <v>50000000</v>
      </c>
      <c r="BQ15" s="189">
        <v>21270</v>
      </c>
      <c r="BR15" s="189">
        <v>0</v>
      </c>
      <c r="BS15" s="189">
        <v>111612768</v>
      </c>
      <c r="BT15" s="189">
        <v>60000000</v>
      </c>
      <c r="BU15" s="189">
        <v>0</v>
      </c>
      <c r="BV15" s="189">
        <v>0</v>
      </c>
    </row>
    <row r="16" spans="1:74" x14ac:dyDescent="0.25">
      <c r="A16" s="189" t="s">
        <v>232</v>
      </c>
      <c r="B16" s="189">
        <v>70026849.689999998</v>
      </c>
      <c r="C16" s="189">
        <v>62695667.939999998</v>
      </c>
      <c r="D16" s="189">
        <v>28500378.920000002</v>
      </c>
      <c r="E16" s="189">
        <v>47296943.399999999</v>
      </c>
      <c r="F16" s="189">
        <v>39709757.329999998</v>
      </c>
      <c r="G16" s="189">
        <v>37242552.689999998</v>
      </c>
      <c r="H16" s="189">
        <v>30957849.899999999</v>
      </c>
      <c r="I16" s="189">
        <v>49393696.799999997</v>
      </c>
      <c r="J16" s="189">
        <v>28182392.98</v>
      </c>
      <c r="K16" s="189">
        <v>28328878.93</v>
      </c>
      <c r="L16" s="189">
        <v>28036904.579999998</v>
      </c>
      <c r="M16" s="189">
        <v>40286331.270000003</v>
      </c>
      <c r="N16" s="189">
        <v>3422654.6</v>
      </c>
      <c r="O16" s="189">
        <v>2394900.9300000002</v>
      </c>
      <c r="P16" s="189">
        <v>3083924.72</v>
      </c>
      <c r="Q16" s="189">
        <v>32236290.09</v>
      </c>
      <c r="R16" s="189">
        <v>18085548.239999998</v>
      </c>
      <c r="S16" s="189">
        <v>11568942.060000001</v>
      </c>
      <c r="T16" s="189">
        <v>11314560.67</v>
      </c>
      <c r="U16" s="189">
        <v>2436968.48</v>
      </c>
      <c r="V16" s="189">
        <v>2132800</v>
      </c>
      <c r="W16" s="189">
        <v>2132800</v>
      </c>
      <c r="X16" s="189">
        <v>2774199.99</v>
      </c>
      <c r="Y16" s="189">
        <v>898870</v>
      </c>
      <c r="Z16" s="189">
        <v>1416951.08</v>
      </c>
      <c r="AA16" s="189">
        <v>954088.87</v>
      </c>
      <c r="AB16" s="189">
        <v>647191.1</v>
      </c>
      <c r="AC16" s="189">
        <v>13243610</v>
      </c>
      <c r="AD16" s="189">
        <v>13403328.960000001</v>
      </c>
      <c r="AE16" s="189">
        <v>5188607.42</v>
      </c>
      <c r="AF16" s="189">
        <v>4210107.4400000004</v>
      </c>
      <c r="AG16" s="189">
        <v>6879400</v>
      </c>
      <c r="AH16" s="189">
        <v>8219579.9500000002</v>
      </c>
      <c r="AI16" s="189">
        <v>1719351.12</v>
      </c>
      <c r="AJ16" s="189">
        <v>258264.45</v>
      </c>
      <c r="AK16" s="189">
        <v>4065273.94</v>
      </c>
      <c r="AL16" s="189">
        <v>7732996.2199999997</v>
      </c>
      <c r="AM16" s="189">
        <v>2348102.83</v>
      </c>
      <c r="AN16" s="189">
        <v>80372.240000000005</v>
      </c>
      <c r="AO16" s="189">
        <v>75274138.670000002</v>
      </c>
      <c r="AP16" s="189">
        <v>58878869.740000002</v>
      </c>
      <c r="AQ16" s="189">
        <v>1921551.76</v>
      </c>
      <c r="AR16" s="189">
        <v>0</v>
      </c>
      <c r="AS16" s="189">
        <v>2339020.7400000002</v>
      </c>
      <c r="AT16" s="189">
        <v>18410306</v>
      </c>
      <c r="AU16" s="189">
        <v>15610306</v>
      </c>
      <c r="AV16" s="189">
        <v>8527122.2200000007</v>
      </c>
      <c r="AW16" s="189">
        <v>20674083.710000001</v>
      </c>
      <c r="AX16" s="189">
        <v>12839895.33</v>
      </c>
      <c r="AY16" s="189">
        <v>5755991.75</v>
      </c>
      <c r="AZ16" s="189">
        <v>226765</v>
      </c>
      <c r="BA16" s="189">
        <v>4864285.62</v>
      </c>
      <c r="BB16" s="189">
        <v>5536349.8499999996</v>
      </c>
      <c r="BC16" s="189">
        <v>3320227.55</v>
      </c>
      <c r="BD16" s="189">
        <v>2400000</v>
      </c>
      <c r="BE16" s="189">
        <v>840000</v>
      </c>
      <c r="BF16" s="189">
        <v>840000</v>
      </c>
      <c r="BG16" s="189">
        <v>840000</v>
      </c>
      <c r="BH16" s="189">
        <v>840000</v>
      </c>
      <c r="BI16" s="189">
        <v>20000</v>
      </c>
      <c r="BJ16" s="189">
        <v>0</v>
      </c>
      <c r="BK16" s="189">
        <v>0</v>
      </c>
      <c r="BL16" s="189">
        <v>0</v>
      </c>
      <c r="BM16" s="189">
        <v>0</v>
      </c>
      <c r="BN16" s="189">
        <v>0</v>
      </c>
      <c r="BO16" s="189">
        <v>7095341.4199999999</v>
      </c>
      <c r="BP16" s="189">
        <v>7000000</v>
      </c>
      <c r="BQ16" s="189">
        <v>0</v>
      </c>
      <c r="BR16" s="189">
        <v>0</v>
      </c>
      <c r="BS16" s="189">
        <v>11260000</v>
      </c>
      <c r="BT16" s="189">
        <v>7000000</v>
      </c>
      <c r="BU16" s="189">
        <v>0</v>
      </c>
      <c r="BV16" s="189">
        <v>0</v>
      </c>
    </row>
    <row r="17" spans="1:74" x14ac:dyDescent="0.25">
      <c r="A17" s="189" t="s">
        <v>233</v>
      </c>
      <c r="B17" s="189">
        <v>14917519.74</v>
      </c>
      <c r="C17" s="189">
        <v>13797980.4</v>
      </c>
      <c r="D17" s="189">
        <v>12312580</v>
      </c>
      <c r="E17" s="189">
        <v>3126213.65</v>
      </c>
      <c r="F17" s="189">
        <v>1131476.2</v>
      </c>
      <c r="G17" s="189">
        <v>513626.2</v>
      </c>
      <c r="H17" s="189">
        <v>188000.13</v>
      </c>
      <c r="I17" s="189">
        <v>23072595.489999998</v>
      </c>
      <c r="J17" s="189">
        <v>850231.22</v>
      </c>
      <c r="K17" s="189">
        <v>373406.98</v>
      </c>
      <c r="L17" s="189">
        <v>420434</v>
      </c>
      <c r="M17" s="189">
        <v>7810334.71</v>
      </c>
      <c r="N17" s="189">
        <v>4629836.25</v>
      </c>
      <c r="O17" s="189">
        <v>1250450.25</v>
      </c>
      <c r="P17" s="189">
        <v>713012</v>
      </c>
      <c r="Q17" s="189">
        <v>4645493.07</v>
      </c>
      <c r="R17" s="189">
        <v>2147872.4700000002</v>
      </c>
      <c r="S17" s="189">
        <v>1341927.23</v>
      </c>
      <c r="T17" s="189">
        <v>920473.84</v>
      </c>
      <c r="U17" s="189">
        <v>3617838.51</v>
      </c>
      <c r="V17" s="189">
        <v>1238110</v>
      </c>
      <c r="W17" s="189">
        <v>979500</v>
      </c>
      <c r="X17" s="189">
        <v>100700</v>
      </c>
      <c r="Y17" s="189">
        <v>1233414.83</v>
      </c>
      <c r="Z17" s="189">
        <v>1027740.69</v>
      </c>
      <c r="AA17" s="189">
        <v>963530</v>
      </c>
      <c r="AB17" s="189">
        <v>897530</v>
      </c>
      <c r="AC17" s="189">
        <v>1252947.2</v>
      </c>
      <c r="AD17" s="189">
        <v>276265</v>
      </c>
      <c r="AE17" s="189">
        <v>213465</v>
      </c>
      <c r="AF17" s="189">
        <v>102665</v>
      </c>
      <c r="AG17" s="189">
        <v>2196404.69</v>
      </c>
      <c r="AH17" s="189">
        <v>793363.02</v>
      </c>
      <c r="AI17" s="189">
        <v>378333.02</v>
      </c>
      <c r="AJ17" s="189">
        <v>316297.02</v>
      </c>
      <c r="AK17" s="189">
        <v>5639441.75</v>
      </c>
      <c r="AL17" s="189">
        <v>2195307.98</v>
      </c>
      <c r="AM17" s="189">
        <v>490993.98</v>
      </c>
      <c r="AN17" s="189">
        <v>0</v>
      </c>
      <c r="AO17" s="189">
        <v>6187715.7199999997</v>
      </c>
      <c r="AP17" s="189">
        <v>757278.07</v>
      </c>
      <c r="AQ17" s="189">
        <v>756906</v>
      </c>
      <c r="AR17" s="189">
        <v>153000</v>
      </c>
      <c r="AS17" s="189">
        <v>20298548.609999999</v>
      </c>
      <c r="AT17" s="189">
        <v>1116760</v>
      </c>
      <c r="AU17" s="189">
        <v>1100200</v>
      </c>
      <c r="AV17" s="189">
        <v>20000</v>
      </c>
      <c r="AW17" s="189">
        <v>3035557.17</v>
      </c>
      <c r="AX17" s="189">
        <v>2704202.73</v>
      </c>
      <c r="AY17" s="189">
        <v>2288851.73</v>
      </c>
      <c r="AZ17" s="189">
        <v>416414.68</v>
      </c>
      <c r="BA17" s="189">
        <v>7302044.4299999997</v>
      </c>
      <c r="BB17" s="189">
        <v>5142582.2699999996</v>
      </c>
      <c r="BC17" s="189">
        <v>2945344</v>
      </c>
      <c r="BD17" s="189">
        <v>67000</v>
      </c>
      <c r="BE17" s="189">
        <v>855866.49</v>
      </c>
      <c r="BF17" s="189">
        <v>180300</v>
      </c>
      <c r="BG17" s="189">
        <v>142800</v>
      </c>
      <c r="BH17" s="189">
        <v>135000</v>
      </c>
      <c r="BI17" s="189">
        <v>1050346.26</v>
      </c>
      <c r="BJ17" s="189">
        <v>0</v>
      </c>
      <c r="BK17" s="189">
        <v>0</v>
      </c>
      <c r="BL17" s="189">
        <v>0</v>
      </c>
      <c r="BM17" s="189">
        <v>105253</v>
      </c>
      <c r="BN17" s="189">
        <v>77600</v>
      </c>
      <c r="BO17" s="189">
        <v>0</v>
      </c>
      <c r="BP17" s="189">
        <v>18000</v>
      </c>
      <c r="BQ17" s="189">
        <v>39858.94</v>
      </c>
      <c r="BR17" s="189">
        <v>158000</v>
      </c>
      <c r="BS17" s="189">
        <v>6994373.2000000002</v>
      </c>
      <c r="BT17" s="189">
        <v>69150</v>
      </c>
      <c r="BU17" s="189">
        <v>5500</v>
      </c>
      <c r="BV17" s="189">
        <v>0</v>
      </c>
    </row>
    <row r="18" spans="1:74" x14ac:dyDescent="0.25">
      <c r="A18" s="189" t="s">
        <v>234</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44842500</v>
      </c>
      <c r="AD18" s="189">
        <v>0</v>
      </c>
      <c r="AE18" s="189">
        <v>0</v>
      </c>
      <c r="AF18" s="189">
        <v>0</v>
      </c>
      <c r="AG18" s="189">
        <v>0</v>
      </c>
      <c r="AH18" s="189">
        <v>0</v>
      </c>
      <c r="AI18" s="189">
        <v>0</v>
      </c>
      <c r="AJ18" s="189">
        <v>0</v>
      </c>
      <c r="AK18" s="189">
        <v>0</v>
      </c>
      <c r="AL18" s="189">
        <v>0</v>
      </c>
      <c r="AM18" s="189">
        <v>0</v>
      </c>
      <c r="AN18" s="189">
        <v>0</v>
      </c>
      <c r="AO18" s="189">
        <v>153753039.96000001</v>
      </c>
      <c r="AP18" s="189">
        <v>131727233.64</v>
      </c>
      <c r="AQ18" s="189">
        <v>131727233.64</v>
      </c>
      <c r="AR18" s="189">
        <v>131727233.64</v>
      </c>
      <c r="AS18" s="189">
        <v>2621875.85</v>
      </c>
      <c r="AT18" s="189">
        <v>2690659</v>
      </c>
      <c r="AU18" s="189">
        <v>2690659</v>
      </c>
      <c r="AV18" s="189">
        <v>2690659</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row>
    <row r="19" spans="1:74" x14ac:dyDescent="0.25">
      <c r="A19" s="189" t="s">
        <v>235</v>
      </c>
      <c r="B19" s="189">
        <v>0</v>
      </c>
      <c r="C19" s="189">
        <v>0</v>
      </c>
      <c r="D19" s="189">
        <v>0</v>
      </c>
      <c r="E19" s="189">
        <v>0</v>
      </c>
      <c r="F19" s="189">
        <v>0</v>
      </c>
      <c r="G19" s="189">
        <v>0</v>
      </c>
      <c r="H19" s="189">
        <v>0</v>
      </c>
      <c r="I19" s="189">
        <v>0</v>
      </c>
      <c r="J19" s="189">
        <v>0</v>
      </c>
      <c r="K19" s="189">
        <v>0</v>
      </c>
      <c r="L19" s="189">
        <v>0</v>
      </c>
      <c r="M19" s="189">
        <v>114219.8</v>
      </c>
      <c r="N19" s="189">
        <v>0</v>
      </c>
      <c r="O19" s="189">
        <v>0</v>
      </c>
      <c r="P19" s="189">
        <v>0</v>
      </c>
      <c r="Q19" s="189">
        <v>0</v>
      </c>
      <c r="R19" s="189">
        <v>0</v>
      </c>
      <c r="S19" s="189">
        <v>0</v>
      </c>
      <c r="T19" s="189">
        <v>0</v>
      </c>
      <c r="U19" s="189">
        <v>800000000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28436727.77</v>
      </c>
      <c r="AL19" s="189">
        <v>0</v>
      </c>
      <c r="AM19" s="189">
        <v>0</v>
      </c>
      <c r="AN19" s="189">
        <v>0</v>
      </c>
      <c r="AO19" s="189">
        <v>14451832.029999999</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14576283.289999999</v>
      </c>
      <c r="BT19" s="189">
        <v>43000</v>
      </c>
      <c r="BU19" s="189">
        <v>0</v>
      </c>
      <c r="BV19" s="189">
        <v>0</v>
      </c>
    </row>
    <row r="20" spans="1:74" x14ac:dyDescent="0.25">
      <c r="A20" s="189" t="s">
        <v>236</v>
      </c>
      <c r="B20" s="189">
        <v>14448910962.43</v>
      </c>
      <c r="C20" s="189">
        <v>12169884586.18</v>
      </c>
      <c r="D20" s="189">
        <v>1785442479.25</v>
      </c>
      <c r="E20" s="189">
        <v>12663848622.030001</v>
      </c>
      <c r="F20" s="189">
        <v>9644121020.2800007</v>
      </c>
      <c r="G20" s="189">
        <v>7142188729.5699997</v>
      </c>
      <c r="H20" s="189">
        <v>3162988451.04</v>
      </c>
      <c r="I20" s="189">
        <v>7811030046.4200001</v>
      </c>
      <c r="J20" s="189">
        <v>5668535570.4899998</v>
      </c>
      <c r="K20" s="189">
        <v>4827599135.54</v>
      </c>
      <c r="L20" s="189">
        <v>2228977915.5799999</v>
      </c>
      <c r="M20" s="189">
        <v>13874927664.59</v>
      </c>
      <c r="N20" s="189">
        <v>7639200518.9099998</v>
      </c>
      <c r="O20" s="189">
        <v>3728703645.27</v>
      </c>
      <c r="P20" s="189">
        <v>1523596620.74</v>
      </c>
      <c r="Q20" s="189">
        <v>9872398652.3899994</v>
      </c>
      <c r="R20" s="189">
        <v>6233350427.25</v>
      </c>
      <c r="S20" s="189">
        <v>2152534779.2600002</v>
      </c>
      <c r="T20" s="189">
        <v>568599343.00999999</v>
      </c>
      <c r="U20" s="189">
        <v>11438303944.23</v>
      </c>
      <c r="V20" s="189">
        <v>5184576662.3100004</v>
      </c>
      <c r="W20" s="189">
        <v>3113565230.3400002</v>
      </c>
      <c r="X20" s="189">
        <v>1568567899.27</v>
      </c>
      <c r="Y20" s="189">
        <v>6697846007.46</v>
      </c>
      <c r="Z20" s="189">
        <v>5018764240.6599998</v>
      </c>
      <c r="AA20" s="189">
        <v>3265480304.73</v>
      </c>
      <c r="AB20" s="189">
        <v>1501166243.1700001</v>
      </c>
      <c r="AC20" s="189">
        <v>1846294356.95</v>
      </c>
      <c r="AD20" s="189">
        <v>1526145338.54</v>
      </c>
      <c r="AE20" s="189">
        <v>1232973131.79</v>
      </c>
      <c r="AF20" s="189">
        <v>620191019.05999994</v>
      </c>
      <c r="AG20" s="189">
        <v>3556099545</v>
      </c>
      <c r="AH20" s="189">
        <v>2356946209.3499999</v>
      </c>
      <c r="AI20" s="189">
        <v>1495428013.51</v>
      </c>
      <c r="AJ20" s="189">
        <v>576788882.64999998</v>
      </c>
      <c r="AK20" s="189">
        <v>3352886305.27</v>
      </c>
      <c r="AL20" s="189">
        <v>2293513367.96</v>
      </c>
      <c r="AM20" s="189">
        <v>1714027397.6099999</v>
      </c>
      <c r="AN20" s="189">
        <v>821330527.21000004</v>
      </c>
      <c r="AO20" s="189">
        <v>2417027681.3800001</v>
      </c>
      <c r="AP20" s="189">
        <v>1279049634.8</v>
      </c>
      <c r="AQ20" s="189">
        <v>549376655.85000002</v>
      </c>
      <c r="AR20" s="189">
        <v>311264068.62</v>
      </c>
      <c r="AS20" s="189">
        <v>110863168.56</v>
      </c>
      <c r="AT20" s="189">
        <v>219627168.83000001</v>
      </c>
      <c r="AU20" s="189">
        <v>157630556.49000001</v>
      </c>
      <c r="AV20" s="189">
        <v>73070241.219999999</v>
      </c>
      <c r="AW20" s="189">
        <v>54709640.880000003</v>
      </c>
      <c r="AX20" s="189">
        <v>36114758.060000002</v>
      </c>
      <c r="AY20" s="189">
        <v>12044843.48</v>
      </c>
      <c r="AZ20" s="189">
        <v>643179.68000000005</v>
      </c>
      <c r="BA20" s="189">
        <v>35166330.049999997</v>
      </c>
      <c r="BB20" s="189">
        <v>18678932.120000001</v>
      </c>
      <c r="BC20" s="189">
        <v>6265571.5499999998</v>
      </c>
      <c r="BD20" s="189">
        <v>2467000</v>
      </c>
      <c r="BE20" s="189">
        <v>2105866.4900000002</v>
      </c>
      <c r="BF20" s="189">
        <v>1020300</v>
      </c>
      <c r="BG20" s="189">
        <v>982800</v>
      </c>
      <c r="BH20" s="189">
        <v>975000</v>
      </c>
      <c r="BI20" s="189">
        <v>4869187.6500000004</v>
      </c>
      <c r="BJ20" s="189">
        <v>0</v>
      </c>
      <c r="BK20" s="189">
        <v>0</v>
      </c>
      <c r="BL20" s="189">
        <v>0</v>
      </c>
      <c r="BM20" s="189">
        <v>62957569.189999998</v>
      </c>
      <c r="BN20" s="189">
        <v>92938320.120000005</v>
      </c>
      <c r="BO20" s="189">
        <v>7095341.4199999999</v>
      </c>
      <c r="BP20" s="189">
        <v>57018000</v>
      </c>
      <c r="BQ20" s="189">
        <v>61128.94</v>
      </c>
      <c r="BR20" s="189">
        <v>158000</v>
      </c>
      <c r="BS20" s="189">
        <v>144443424.49000001</v>
      </c>
      <c r="BT20" s="189">
        <v>67112150</v>
      </c>
      <c r="BU20" s="189">
        <v>5500</v>
      </c>
      <c r="BV20" s="189">
        <v>0</v>
      </c>
    </row>
    <row r="21" spans="1:74" x14ac:dyDescent="0.25">
      <c r="A21" s="189" t="s">
        <v>237</v>
      </c>
      <c r="B21" s="189">
        <v>664609958.54999995</v>
      </c>
      <c r="C21" s="189">
        <v>347747374.67000002</v>
      </c>
      <c r="D21" s="189">
        <v>180684431.34999999</v>
      </c>
      <c r="E21" s="189">
        <v>730067960.97000003</v>
      </c>
      <c r="F21" s="189">
        <v>388780031.81999999</v>
      </c>
      <c r="G21" s="189">
        <v>212249963.55000001</v>
      </c>
      <c r="H21" s="189">
        <v>104240285.61</v>
      </c>
      <c r="I21" s="189">
        <v>444782071.31</v>
      </c>
      <c r="J21" s="189">
        <v>446798664.60000002</v>
      </c>
      <c r="K21" s="189">
        <v>319549568.55000001</v>
      </c>
      <c r="L21" s="189">
        <v>182289752.19</v>
      </c>
      <c r="M21" s="189">
        <v>1302239870.5799999</v>
      </c>
      <c r="N21" s="189">
        <v>916915810.36000001</v>
      </c>
      <c r="O21" s="189">
        <v>641687237.23000002</v>
      </c>
      <c r="P21" s="189">
        <v>446347757.56999999</v>
      </c>
      <c r="Q21" s="189">
        <v>1918768663.5899999</v>
      </c>
      <c r="R21" s="189">
        <v>561144150.86000001</v>
      </c>
      <c r="S21" s="189">
        <v>404208497.04000002</v>
      </c>
      <c r="T21" s="189">
        <v>180369079.28</v>
      </c>
      <c r="U21" s="189">
        <v>921431061.00999999</v>
      </c>
      <c r="V21" s="189">
        <v>607114343.98000002</v>
      </c>
      <c r="W21" s="189">
        <v>429831875.13</v>
      </c>
      <c r="X21" s="189">
        <v>242036913.25999999</v>
      </c>
      <c r="Y21" s="189">
        <v>1895844737.75</v>
      </c>
      <c r="Z21" s="189">
        <v>1485742431.3699999</v>
      </c>
      <c r="AA21" s="189">
        <v>818969292.22000003</v>
      </c>
      <c r="AB21" s="189">
        <v>325703361.80000001</v>
      </c>
      <c r="AC21" s="189">
        <v>992385719.98000002</v>
      </c>
      <c r="AD21" s="189">
        <v>841878502.52999997</v>
      </c>
      <c r="AE21" s="189">
        <v>680307532.71000004</v>
      </c>
      <c r="AF21" s="189">
        <v>402941797.57999998</v>
      </c>
      <c r="AG21" s="189">
        <v>926303642.41999996</v>
      </c>
      <c r="AH21" s="189">
        <v>707278276.25999999</v>
      </c>
      <c r="AI21" s="189">
        <v>637784009.90999997</v>
      </c>
      <c r="AJ21" s="189">
        <v>39692541.759999998</v>
      </c>
      <c r="AK21" s="189">
        <v>250186140.28999999</v>
      </c>
      <c r="AL21" s="189">
        <v>234338139.19</v>
      </c>
      <c r="AM21" s="189">
        <v>186284434.38</v>
      </c>
      <c r="AN21" s="189">
        <v>78114825.629999995</v>
      </c>
      <c r="AO21" s="189">
        <v>564568480.58000004</v>
      </c>
      <c r="AP21" s="189">
        <v>419429489.33999997</v>
      </c>
      <c r="AQ21" s="189">
        <v>264092603.75</v>
      </c>
      <c r="AR21" s="189">
        <v>184513744.56999999</v>
      </c>
      <c r="AS21" s="189">
        <v>253773913.5</v>
      </c>
      <c r="AT21" s="189">
        <v>175559776.66</v>
      </c>
      <c r="AU21" s="189">
        <v>75035738.769999996</v>
      </c>
      <c r="AV21" s="189">
        <v>20585623.32</v>
      </c>
      <c r="AW21" s="189">
        <v>195504277.72999999</v>
      </c>
      <c r="AX21" s="189">
        <v>176837669.34</v>
      </c>
      <c r="AY21" s="189">
        <v>25846944.719999999</v>
      </c>
      <c r="AZ21" s="189">
        <v>9286750.6400000006</v>
      </c>
      <c r="BA21" s="189">
        <v>70590161.430000007</v>
      </c>
      <c r="BB21" s="189">
        <v>58341195.420000002</v>
      </c>
      <c r="BC21" s="189">
        <v>31701451.66</v>
      </c>
      <c r="BD21" s="189">
        <v>9348180.0500000007</v>
      </c>
      <c r="BE21" s="189">
        <v>119919564.31</v>
      </c>
      <c r="BF21" s="189">
        <v>182933259.81999999</v>
      </c>
      <c r="BG21" s="189">
        <v>49745619.399999999</v>
      </c>
      <c r="BH21" s="189">
        <v>31058521.800000001</v>
      </c>
      <c r="BI21" s="189">
        <v>201931829.56999999</v>
      </c>
      <c r="BJ21" s="189">
        <v>143884019.03999999</v>
      </c>
      <c r="BK21" s="189">
        <v>77133772.209999993</v>
      </c>
      <c r="BL21" s="189">
        <v>30672036.620000001</v>
      </c>
      <c r="BM21" s="189">
        <v>133920337.29000001</v>
      </c>
      <c r="BN21" s="189">
        <v>28082590.710000001</v>
      </c>
      <c r="BO21" s="189">
        <v>44676310.020000003</v>
      </c>
      <c r="BP21" s="189">
        <v>19848134.899999999</v>
      </c>
      <c r="BQ21" s="189">
        <v>51915145.670000002</v>
      </c>
      <c r="BR21" s="189">
        <v>29745174.18</v>
      </c>
      <c r="BS21" s="189">
        <v>49266775.350000001</v>
      </c>
      <c r="BT21" s="189">
        <v>174376073.34999999</v>
      </c>
      <c r="BU21" s="189">
        <v>99787508.269999996</v>
      </c>
      <c r="BV21" s="189">
        <v>0</v>
      </c>
    </row>
    <row r="22" spans="1:74" x14ac:dyDescent="0.25">
      <c r="A22" s="189" t="s">
        <v>238</v>
      </c>
      <c r="B22" s="189">
        <v>15276200000</v>
      </c>
      <c r="C22" s="189">
        <v>10523040000</v>
      </c>
      <c r="D22" s="189">
        <v>388840000</v>
      </c>
      <c r="E22" s="189">
        <v>12752288592.780001</v>
      </c>
      <c r="F22" s="189">
        <v>7930519862.6000004</v>
      </c>
      <c r="G22" s="189">
        <v>5461512505.3299999</v>
      </c>
      <c r="H22" s="189">
        <v>1207279884.3499999</v>
      </c>
      <c r="I22" s="189">
        <v>8374513679.0600004</v>
      </c>
      <c r="J22" s="189">
        <v>4773170654.1899996</v>
      </c>
      <c r="K22" s="189">
        <v>3744248763.6100001</v>
      </c>
      <c r="L22" s="189">
        <v>2455610597.7199998</v>
      </c>
      <c r="M22" s="189">
        <v>16335135803.959999</v>
      </c>
      <c r="N22" s="189">
        <v>10797243193.16</v>
      </c>
      <c r="O22" s="189">
        <v>5086376750.2399998</v>
      </c>
      <c r="P22" s="189">
        <v>1788000000</v>
      </c>
      <c r="Q22" s="189">
        <v>9099374520</v>
      </c>
      <c r="R22" s="189">
        <v>6469131935.8199997</v>
      </c>
      <c r="S22" s="189">
        <v>2017870000</v>
      </c>
      <c r="T22" s="189">
        <v>1257100000</v>
      </c>
      <c r="U22" s="189">
        <v>10620557148.129999</v>
      </c>
      <c r="V22" s="189">
        <v>5124150000</v>
      </c>
      <c r="W22" s="189">
        <v>2660150000</v>
      </c>
      <c r="X22" s="189">
        <v>890150000</v>
      </c>
      <c r="Y22" s="189">
        <v>7118330000</v>
      </c>
      <c r="Z22" s="189">
        <v>5305000000</v>
      </c>
      <c r="AA22" s="189">
        <v>2885000000</v>
      </c>
      <c r="AB22" s="189">
        <v>1700000000</v>
      </c>
      <c r="AC22" s="189">
        <v>1823284900</v>
      </c>
      <c r="AD22" s="189">
        <v>1468252400</v>
      </c>
      <c r="AE22" s="189">
        <v>1228252400</v>
      </c>
      <c r="AF22" s="189">
        <v>615000000</v>
      </c>
      <c r="AG22" s="189">
        <v>3232917315</v>
      </c>
      <c r="AH22" s="189">
        <v>2698649637.7800002</v>
      </c>
      <c r="AI22" s="189">
        <v>1220649637.78</v>
      </c>
      <c r="AJ22" s="189">
        <v>565370590</v>
      </c>
      <c r="AK22" s="189">
        <v>3475699670.6399999</v>
      </c>
      <c r="AL22" s="189">
        <v>3036145460.8400002</v>
      </c>
      <c r="AM22" s="189">
        <v>1945130000</v>
      </c>
      <c r="AN22" s="189">
        <v>971005000</v>
      </c>
      <c r="AO22" s="189">
        <v>1682351673.1900001</v>
      </c>
      <c r="AP22" s="189">
        <v>657885173.19000006</v>
      </c>
      <c r="AQ22" s="189">
        <v>404697773.19</v>
      </c>
      <c r="AR22" s="189">
        <v>67011969.740000002</v>
      </c>
      <c r="AS22" s="189">
        <v>628933980</v>
      </c>
      <c r="AT22" s="189">
        <v>739801736.03999996</v>
      </c>
      <c r="AU22" s="189">
        <v>335252910.88</v>
      </c>
      <c r="AV22" s="189">
        <v>310290840</v>
      </c>
      <c r="AW22" s="189">
        <v>467900000</v>
      </c>
      <c r="AX22" s="189">
        <v>166228100</v>
      </c>
      <c r="AY22" s="189">
        <v>5969040</v>
      </c>
      <c r="AZ22" s="189">
        <v>0</v>
      </c>
      <c r="BA22" s="189">
        <v>74000000</v>
      </c>
      <c r="BB22" s="189">
        <v>44000000</v>
      </c>
      <c r="BC22" s="189">
        <v>44000000</v>
      </c>
      <c r="BD22" s="189">
        <v>24000000</v>
      </c>
      <c r="BE22" s="189">
        <v>80200000</v>
      </c>
      <c r="BF22" s="189">
        <v>46600000</v>
      </c>
      <c r="BG22" s="189">
        <v>33000000</v>
      </c>
      <c r="BH22" s="189">
        <v>0</v>
      </c>
      <c r="BI22" s="189">
        <v>0</v>
      </c>
      <c r="BJ22" s="189">
        <v>26008181</v>
      </c>
      <c r="BK22" s="189">
        <v>5385300</v>
      </c>
      <c r="BL22" s="189">
        <v>5385300</v>
      </c>
      <c r="BM22" s="189">
        <v>10400000</v>
      </c>
      <c r="BN22" s="189">
        <v>34000000</v>
      </c>
      <c r="BO22" s="189">
        <v>0</v>
      </c>
      <c r="BP22" s="189">
        <v>0</v>
      </c>
      <c r="BQ22" s="189">
        <v>13299958.029999999</v>
      </c>
      <c r="BR22" s="189">
        <v>6273378.0300000003</v>
      </c>
      <c r="BS22" s="189">
        <v>80000000</v>
      </c>
      <c r="BT22" s="189">
        <v>0</v>
      </c>
      <c r="BU22" s="189">
        <v>0</v>
      </c>
      <c r="BV22" s="189">
        <v>0</v>
      </c>
    </row>
    <row r="23" spans="1:74" x14ac:dyDescent="0.25">
      <c r="A23" s="189" t="s">
        <v>239</v>
      </c>
      <c r="B23" s="189">
        <v>0</v>
      </c>
      <c r="C23" s="189">
        <v>0</v>
      </c>
      <c r="D23" s="189">
        <v>0</v>
      </c>
      <c r="E23" s="189">
        <v>0</v>
      </c>
      <c r="F23" s="189">
        <v>0</v>
      </c>
      <c r="G23" s="189">
        <v>0</v>
      </c>
      <c r="H23" s="189">
        <v>0</v>
      </c>
      <c r="I23" s="189">
        <v>0</v>
      </c>
      <c r="J23" s="189">
        <v>0</v>
      </c>
      <c r="K23" s="189">
        <v>0</v>
      </c>
      <c r="L23" s="189">
        <v>0</v>
      </c>
      <c r="M23" s="189">
        <v>0</v>
      </c>
      <c r="N23" s="189">
        <v>0</v>
      </c>
      <c r="O23" s="189">
        <v>0</v>
      </c>
      <c r="P23" s="189">
        <v>0</v>
      </c>
      <c r="Q23" s="189">
        <v>568007427.91999996</v>
      </c>
      <c r="R23" s="189">
        <v>0</v>
      </c>
      <c r="S23" s="189">
        <v>0</v>
      </c>
      <c r="T23" s="189">
        <v>0</v>
      </c>
      <c r="U23" s="189">
        <v>0</v>
      </c>
      <c r="V23" s="189">
        <v>0</v>
      </c>
      <c r="W23" s="189">
        <v>0</v>
      </c>
      <c r="X23" s="189">
        <v>0</v>
      </c>
      <c r="Y23" s="189">
        <v>0</v>
      </c>
      <c r="Z23" s="189">
        <v>0</v>
      </c>
      <c r="AA23" s="189">
        <v>0</v>
      </c>
      <c r="AB23" s="189">
        <v>0</v>
      </c>
      <c r="AC23" s="189">
        <v>29755311.73</v>
      </c>
      <c r="AD23" s="189">
        <v>0</v>
      </c>
      <c r="AE23" s="189">
        <v>0</v>
      </c>
      <c r="AF23" s="189">
        <v>0</v>
      </c>
      <c r="AG23" s="189">
        <v>0</v>
      </c>
      <c r="AH23" s="189">
        <v>0</v>
      </c>
      <c r="AI23" s="189">
        <v>0</v>
      </c>
      <c r="AJ23" s="189">
        <v>0</v>
      </c>
      <c r="AK23" s="189">
        <v>0</v>
      </c>
      <c r="AL23" s="189">
        <v>0</v>
      </c>
      <c r="AM23" s="189">
        <v>0</v>
      </c>
      <c r="AN23" s="189">
        <v>0</v>
      </c>
      <c r="AO23" s="189">
        <v>-66663051.219999999</v>
      </c>
      <c r="AP23" s="189">
        <v>50764620</v>
      </c>
      <c r="AQ23" s="189">
        <v>50764620</v>
      </c>
      <c r="AR23" s="189">
        <v>50764620</v>
      </c>
      <c r="AS23" s="189">
        <v>14278495.539999999</v>
      </c>
      <c r="AT23" s="189">
        <v>19900000</v>
      </c>
      <c r="AU23" s="189">
        <v>19900000</v>
      </c>
      <c r="AV23" s="189">
        <v>19900000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row>
    <row r="24" spans="1:74" x14ac:dyDescent="0.25">
      <c r="A24" s="189" t="s">
        <v>240</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10185766.09</v>
      </c>
      <c r="AL24" s="189">
        <v>0</v>
      </c>
      <c r="AM24" s="189">
        <v>0</v>
      </c>
      <c r="AN24" s="189">
        <v>0</v>
      </c>
      <c r="AO24" s="189">
        <v>122064040.81999999</v>
      </c>
      <c r="AP24" s="189">
        <v>0</v>
      </c>
      <c r="AQ24" s="189">
        <v>0</v>
      </c>
      <c r="AR24" s="189">
        <v>0</v>
      </c>
      <c r="AS24" s="189">
        <v>5621504.46</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0</v>
      </c>
      <c r="BM24" s="189">
        <v>0</v>
      </c>
      <c r="BN24" s="189">
        <v>0</v>
      </c>
      <c r="BO24" s="189">
        <v>0</v>
      </c>
      <c r="BP24" s="189">
        <v>50128420</v>
      </c>
      <c r="BQ24" s="189">
        <v>50000000</v>
      </c>
      <c r="BR24" s="189">
        <v>213208.46</v>
      </c>
      <c r="BS24" s="189">
        <v>12917001.470000001</v>
      </c>
      <c r="BT24" s="189">
        <v>100000000</v>
      </c>
      <c r="BU24" s="189">
        <v>462499.4</v>
      </c>
      <c r="BV24" s="189">
        <v>0</v>
      </c>
    </row>
    <row r="25" spans="1:74" x14ac:dyDescent="0.25">
      <c r="A25" s="189" t="s">
        <v>241</v>
      </c>
      <c r="B25" s="189">
        <v>15940809958.549999</v>
      </c>
      <c r="C25" s="189">
        <v>10870787374.67</v>
      </c>
      <c r="D25" s="189">
        <v>569524431.35000002</v>
      </c>
      <c r="E25" s="189">
        <v>13482356553.75</v>
      </c>
      <c r="F25" s="189">
        <v>8319299894.4200001</v>
      </c>
      <c r="G25" s="189">
        <v>5673762468.8800001</v>
      </c>
      <c r="H25" s="189">
        <v>1311520169.96</v>
      </c>
      <c r="I25" s="189">
        <v>8819295750.3700008</v>
      </c>
      <c r="J25" s="189">
        <v>5219969318.79</v>
      </c>
      <c r="K25" s="189">
        <v>4063798332.1599998</v>
      </c>
      <c r="L25" s="189">
        <v>2637900349.9099998</v>
      </c>
      <c r="M25" s="189">
        <v>17637375674.540001</v>
      </c>
      <c r="N25" s="189">
        <v>11714159003.52</v>
      </c>
      <c r="O25" s="189">
        <v>5728063987.4700003</v>
      </c>
      <c r="P25" s="189">
        <v>2234347757.5700002</v>
      </c>
      <c r="Q25" s="189">
        <v>11586150611.51</v>
      </c>
      <c r="R25" s="189">
        <v>7030276086.6800003</v>
      </c>
      <c r="S25" s="189">
        <v>2422078497.04</v>
      </c>
      <c r="T25" s="189">
        <v>1437469079.28</v>
      </c>
      <c r="U25" s="189">
        <v>11541988209.139999</v>
      </c>
      <c r="V25" s="189">
        <v>5731264343.9799995</v>
      </c>
      <c r="W25" s="189">
        <v>3089981875.1300001</v>
      </c>
      <c r="X25" s="189">
        <v>1132186913.26</v>
      </c>
      <c r="Y25" s="189">
        <v>9014174737.75</v>
      </c>
      <c r="Z25" s="189">
        <v>6790742431.3699999</v>
      </c>
      <c r="AA25" s="189">
        <v>3703969292.2199998</v>
      </c>
      <c r="AB25" s="189">
        <v>2025703361.8</v>
      </c>
      <c r="AC25" s="189">
        <v>2845425931.71</v>
      </c>
      <c r="AD25" s="189">
        <v>2310130902.5300002</v>
      </c>
      <c r="AE25" s="189">
        <v>1908559932.71</v>
      </c>
      <c r="AF25" s="189">
        <v>1017941797.58</v>
      </c>
      <c r="AG25" s="189">
        <v>4159220957.4200001</v>
      </c>
      <c r="AH25" s="189">
        <v>3405927914.04</v>
      </c>
      <c r="AI25" s="189">
        <v>1858433647.6900001</v>
      </c>
      <c r="AJ25" s="189">
        <v>605063131.75999999</v>
      </c>
      <c r="AK25" s="189">
        <v>3736071577.02</v>
      </c>
      <c r="AL25" s="189">
        <v>3270483600.0300002</v>
      </c>
      <c r="AM25" s="189">
        <v>2131414434.3800001</v>
      </c>
      <c r="AN25" s="189">
        <v>1049119825.63</v>
      </c>
      <c r="AO25" s="189">
        <v>2302321143.3699999</v>
      </c>
      <c r="AP25" s="189">
        <v>1128079282.53</v>
      </c>
      <c r="AQ25" s="189">
        <v>719554996.94000006</v>
      </c>
      <c r="AR25" s="189">
        <v>302290334.31</v>
      </c>
      <c r="AS25" s="189">
        <v>902607893.5</v>
      </c>
      <c r="AT25" s="189">
        <v>935261512.70000005</v>
      </c>
      <c r="AU25" s="189">
        <v>430188649.64999998</v>
      </c>
      <c r="AV25" s="189">
        <v>350776463.31999999</v>
      </c>
      <c r="AW25" s="189">
        <v>663404277.73000002</v>
      </c>
      <c r="AX25" s="189">
        <v>343065769.33999997</v>
      </c>
      <c r="AY25" s="189">
        <v>31815984.719999999</v>
      </c>
      <c r="AZ25" s="189">
        <v>9286750.6400000006</v>
      </c>
      <c r="BA25" s="189">
        <v>144590161.43000001</v>
      </c>
      <c r="BB25" s="189">
        <v>102341195.42</v>
      </c>
      <c r="BC25" s="189">
        <v>75701451.659999996</v>
      </c>
      <c r="BD25" s="189">
        <v>33348180.050000001</v>
      </c>
      <c r="BE25" s="189">
        <v>200119564.31</v>
      </c>
      <c r="BF25" s="189">
        <v>229533259.81999999</v>
      </c>
      <c r="BG25" s="189">
        <v>82745619.400000006</v>
      </c>
      <c r="BH25" s="189">
        <v>31058521.800000001</v>
      </c>
      <c r="BI25" s="189">
        <v>201931829.56999999</v>
      </c>
      <c r="BJ25" s="189">
        <v>169892200.03999999</v>
      </c>
      <c r="BK25" s="189">
        <v>82519072.209999993</v>
      </c>
      <c r="BL25" s="189">
        <v>36057336.619999997</v>
      </c>
      <c r="BM25" s="189">
        <v>144320337.28999999</v>
      </c>
      <c r="BN25" s="189">
        <v>62082590.710000001</v>
      </c>
      <c r="BO25" s="189">
        <v>44676310.020000003</v>
      </c>
      <c r="BP25" s="189">
        <v>69976554.900000006</v>
      </c>
      <c r="BQ25" s="189">
        <v>115215103.7</v>
      </c>
      <c r="BR25" s="189">
        <v>36231760.670000002</v>
      </c>
      <c r="BS25" s="189">
        <v>102183776.81999999</v>
      </c>
      <c r="BT25" s="189">
        <v>274376073.35000002</v>
      </c>
      <c r="BU25" s="189">
        <v>100250007.67</v>
      </c>
      <c r="BV25" s="189">
        <v>0</v>
      </c>
    </row>
    <row r="26" spans="1:74" x14ac:dyDescent="0.25">
      <c r="A26" s="189" t="s">
        <v>242</v>
      </c>
      <c r="B26" s="189">
        <v>-1491898996.1199999</v>
      </c>
      <c r="C26" s="189">
        <v>1299097211.51</v>
      </c>
      <c r="D26" s="189">
        <v>1215918047.9000001</v>
      </c>
      <c r="E26" s="189">
        <v>-818507931.72000003</v>
      </c>
      <c r="F26" s="189">
        <v>1324821125.8599999</v>
      </c>
      <c r="G26" s="189">
        <v>1468426260.6900001</v>
      </c>
      <c r="H26" s="189">
        <v>1851468281.0799999</v>
      </c>
      <c r="I26" s="189">
        <v>-1008265703.95</v>
      </c>
      <c r="J26" s="189">
        <v>448566251.69999999</v>
      </c>
      <c r="K26" s="189">
        <v>763800803.38</v>
      </c>
      <c r="L26" s="189">
        <v>-408922434.32999998</v>
      </c>
      <c r="M26" s="189">
        <v>-3762448009.9499998</v>
      </c>
      <c r="N26" s="189">
        <v>-4074958484.6100001</v>
      </c>
      <c r="O26" s="189">
        <v>-1999360342.2</v>
      </c>
      <c r="P26" s="189">
        <v>-710751136.83000004</v>
      </c>
      <c r="Q26" s="189">
        <v>-1713751959.1199999</v>
      </c>
      <c r="R26" s="189">
        <v>-796925659.42999995</v>
      </c>
      <c r="S26" s="189">
        <v>-269543717.77999997</v>
      </c>
      <c r="T26" s="189">
        <v>-868869736.26999998</v>
      </c>
      <c r="U26" s="189">
        <v>-103684264.91</v>
      </c>
      <c r="V26" s="189">
        <v>-546687681.66999996</v>
      </c>
      <c r="W26" s="189">
        <v>23583355.210000001</v>
      </c>
      <c r="X26" s="189">
        <v>436380986.00999999</v>
      </c>
      <c r="Y26" s="189">
        <v>-2316328730.29</v>
      </c>
      <c r="Z26" s="189">
        <v>-1771978190.71</v>
      </c>
      <c r="AA26" s="189">
        <v>-438488987.49000001</v>
      </c>
      <c r="AB26" s="189">
        <v>-524537118.63</v>
      </c>
      <c r="AC26" s="189">
        <v>-999131574.75999999</v>
      </c>
      <c r="AD26" s="189">
        <v>-783985563.99000001</v>
      </c>
      <c r="AE26" s="189">
        <v>-675586800.91999996</v>
      </c>
      <c r="AF26" s="189">
        <v>-397750778.51999998</v>
      </c>
      <c r="AG26" s="189">
        <v>-603121412.41999996</v>
      </c>
      <c r="AH26" s="189">
        <v>-1048981704.6900001</v>
      </c>
      <c r="AI26" s="189">
        <v>-363005634.18000001</v>
      </c>
      <c r="AJ26" s="189">
        <v>-28274249.109999999</v>
      </c>
      <c r="AK26" s="189">
        <v>-383185271.75</v>
      </c>
      <c r="AL26" s="189">
        <v>-976970232.07000005</v>
      </c>
      <c r="AM26" s="189">
        <v>-417387036.76999998</v>
      </c>
      <c r="AN26" s="189">
        <v>-227789298.41999999</v>
      </c>
      <c r="AO26" s="189">
        <v>114706538.01000001</v>
      </c>
      <c r="AP26" s="189">
        <v>150970352.27000001</v>
      </c>
      <c r="AQ26" s="189">
        <v>-170178341.09</v>
      </c>
      <c r="AR26" s="189">
        <v>8973734.3100000005</v>
      </c>
      <c r="AS26" s="189">
        <v>-791744724.94000006</v>
      </c>
      <c r="AT26" s="189">
        <v>-715634343.87</v>
      </c>
      <c r="AU26" s="189">
        <v>-272558093.16000003</v>
      </c>
      <c r="AV26" s="189">
        <v>-277706222.10000002</v>
      </c>
      <c r="AW26" s="189">
        <v>-608694636.85000002</v>
      </c>
      <c r="AX26" s="189">
        <v>-306951011.27999997</v>
      </c>
      <c r="AY26" s="189">
        <v>-19771141.239999998</v>
      </c>
      <c r="AZ26" s="189">
        <v>-8643570.9600000009</v>
      </c>
      <c r="BA26" s="189">
        <v>-109423831.38</v>
      </c>
      <c r="BB26" s="189">
        <v>-83662263.299999997</v>
      </c>
      <c r="BC26" s="189">
        <v>-69435880.109999999</v>
      </c>
      <c r="BD26" s="189">
        <v>-30881180.050000001</v>
      </c>
      <c r="BE26" s="189">
        <v>-198013697.81999999</v>
      </c>
      <c r="BF26" s="189">
        <v>-228512959.81999999</v>
      </c>
      <c r="BG26" s="189">
        <v>-81762819.400000006</v>
      </c>
      <c r="BH26" s="189">
        <v>-30083521.800000001</v>
      </c>
      <c r="BI26" s="189">
        <v>-197062641.91999999</v>
      </c>
      <c r="BJ26" s="189">
        <v>-169892200.03999999</v>
      </c>
      <c r="BK26" s="189">
        <v>-82519072.209999993</v>
      </c>
      <c r="BL26" s="189">
        <v>-36057336.619999997</v>
      </c>
      <c r="BM26" s="189">
        <v>-81362768.099999994</v>
      </c>
      <c r="BN26" s="189">
        <v>30855729.41</v>
      </c>
      <c r="BO26" s="189">
        <v>-37580968.600000001</v>
      </c>
      <c r="BP26" s="189">
        <v>-12958554.9</v>
      </c>
      <c r="BQ26" s="189">
        <v>-115153974.76000001</v>
      </c>
      <c r="BR26" s="189">
        <v>-36073760.670000002</v>
      </c>
      <c r="BS26" s="189">
        <v>42259647.670000002</v>
      </c>
      <c r="BT26" s="189">
        <v>-207263923.34999999</v>
      </c>
      <c r="BU26" s="189">
        <v>-100244507.67</v>
      </c>
      <c r="BV26" s="189">
        <v>0</v>
      </c>
    </row>
    <row r="27" spans="1:74" x14ac:dyDescent="0.25">
      <c r="A27" s="189" t="s">
        <v>243</v>
      </c>
    </row>
    <row r="28" spans="1:74" x14ac:dyDescent="0.25">
      <c r="A28" s="189" t="s">
        <v>244</v>
      </c>
      <c r="B28" s="189">
        <v>0</v>
      </c>
      <c r="C28" s="189">
        <v>0</v>
      </c>
      <c r="D28" s="189">
        <v>0</v>
      </c>
      <c r="E28" s="189">
        <v>0</v>
      </c>
      <c r="F28" s="189">
        <v>3433927237.4899998</v>
      </c>
      <c r="G28" s="189">
        <v>0</v>
      </c>
      <c r="H28" s="189">
        <v>0</v>
      </c>
      <c r="I28" s="189">
        <v>0</v>
      </c>
      <c r="J28" s="189">
        <v>0</v>
      </c>
      <c r="K28" s="189">
        <v>0</v>
      </c>
      <c r="L28" s="189">
        <v>0</v>
      </c>
      <c r="M28" s="189">
        <v>0</v>
      </c>
      <c r="N28" s="189">
        <v>0</v>
      </c>
      <c r="O28" s="189">
        <v>0</v>
      </c>
      <c r="P28" s="189">
        <v>0</v>
      </c>
      <c r="Q28" s="189">
        <v>33880000</v>
      </c>
      <c r="R28" s="189">
        <v>0</v>
      </c>
      <c r="S28" s="189">
        <v>0</v>
      </c>
      <c r="T28" s="189">
        <v>0</v>
      </c>
      <c r="U28" s="189">
        <v>71269869</v>
      </c>
      <c r="V28" s="189">
        <v>60288360</v>
      </c>
      <c r="W28" s="189">
        <v>54288360</v>
      </c>
      <c r="X28" s="189">
        <v>0</v>
      </c>
      <c r="Y28" s="189">
        <v>2593666875.29</v>
      </c>
      <c r="Z28" s="189">
        <v>2598376587.46</v>
      </c>
      <c r="AA28" s="189">
        <v>2466637807.46</v>
      </c>
      <c r="AB28" s="189">
        <v>2194196307.46</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3246806.65</v>
      </c>
      <c r="BF28" s="189">
        <v>0</v>
      </c>
      <c r="BG28" s="189">
        <v>0</v>
      </c>
      <c r="BH28" s="189">
        <v>0</v>
      </c>
      <c r="BI28" s="189">
        <v>0</v>
      </c>
      <c r="BJ28" s="189">
        <v>0</v>
      </c>
      <c r="BK28" s="189">
        <v>0</v>
      </c>
      <c r="BL28" s="189">
        <v>0</v>
      </c>
      <c r="BM28" s="189">
        <v>0</v>
      </c>
      <c r="BN28" s="189">
        <v>0</v>
      </c>
      <c r="BO28" s="189">
        <v>0</v>
      </c>
      <c r="BP28" s="189">
        <v>0</v>
      </c>
      <c r="BQ28" s="189">
        <v>223917370</v>
      </c>
      <c r="BR28" s="189">
        <v>0</v>
      </c>
      <c r="BS28" s="189">
        <v>0</v>
      </c>
      <c r="BT28" s="189">
        <v>149196735.09999999</v>
      </c>
      <c r="BU28" s="189">
        <v>0</v>
      </c>
      <c r="BV28" s="189">
        <v>0</v>
      </c>
    </row>
    <row r="29" spans="1:74" x14ac:dyDescent="0.25">
      <c r="A29" s="189" t="s">
        <v>245</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6000000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row>
    <row r="30" spans="1:74" x14ac:dyDescent="0.25">
      <c r="A30" s="189" t="s">
        <v>246</v>
      </c>
      <c r="B30" s="189">
        <v>7410894999.9899998</v>
      </c>
      <c r="C30" s="189">
        <v>5510894999.9899998</v>
      </c>
      <c r="D30" s="189">
        <v>2664230000</v>
      </c>
      <c r="E30" s="189">
        <v>6385423647.4899998</v>
      </c>
      <c r="F30" s="189">
        <v>0</v>
      </c>
      <c r="G30" s="189">
        <v>3413681737.4899998</v>
      </c>
      <c r="H30" s="189">
        <v>0</v>
      </c>
      <c r="I30" s="189">
        <v>300000000</v>
      </c>
      <c r="J30" s="189">
        <v>0</v>
      </c>
      <c r="K30" s="189">
        <v>0</v>
      </c>
      <c r="L30" s="189">
        <v>0</v>
      </c>
      <c r="M30" s="189">
        <v>0</v>
      </c>
      <c r="N30" s="189">
        <v>0</v>
      </c>
      <c r="O30" s="189">
        <v>0</v>
      </c>
      <c r="P30" s="189">
        <v>0</v>
      </c>
      <c r="Q30" s="189">
        <v>0</v>
      </c>
      <c r="R30" s="189">
        <v>0</v>
      </c>
      <c r="S30" s="189">
        <v>0</v>
      </c>
      <c r="T30" s="189">
        <v>0</v>
      </c>
      <c r="U30" s="189">
        <v>215166379.68000001</v>
      </c>
      <c r="V30" s="189">
        <v>183548285.12</v>
      </c>
      <c r="W30" s="189">
        <v>183548285.12</v>
      </c>
      <c r="X30" s="189">
        <v>22746449.91</v>
      </c>
      <c r="Y30" s="189">
        <v>519837007.10000002</v>
      </c>
      <c r="Z30" s="189">
        <v>210186264.5</v>
      </c>
      <c r="AA30" s="189">
        <v>205186264.5</v>
      </c>
      <c r="AB30" s="189">
        <v>196188344.87</v>
      </c>
      <c r="AC30" s="189">
        <v>75601300.930000007</v>
      </c>
      <c r="AD30" s="189">
        <v>0</v>
      </c>
      <c r="AE30" s="189">
        <v>0</v>
      </c>
      <c r="AF30" s="189">
        <v>0</v>
      </c>
      <c r="AG30" s="189">
        <v>19980000</v>
      </c>
      <c r="AH30" s="189">
        <v>19980000</v>
      </c>
      <c r="AI30" s="189">
        <v>0</v>
      </c>
      <c r="AJ30" s="189">
        <v>0</v>
      </c>
      <c r="AK30" s="189">
        <v>523026000</v>
      </c>
      <c r="AL30" s="189">
        <v>520000000</v>
      </c>
      <c r="AM30" s="189">
        <v>520000000</v>
      </c>
      <c r="AN30" s="189">
        <v>220000000</v>
      </c>
      <c r="AO30" s="189">
        <v>520142000</v>
      </c>
      <c r="AP30" s="189">
        <v>418512000</v>
      </c>
      <c r="AQ30" s="189">
        <v>414012000</v>
      </c>
      <c r="AR30" s="189">
        <v>332072000</v>
      </c>
      <c r="AS30" s="189">
        <v>1433393600</v>
      </c>
      <c r="AT30" s="189">
        <v>1311393600</v>
      </c>
      <c r="AU30" s="189">
        <v>690000000</v>
      </c>
      <c r="AV30" s="189">
        <v>270000000</v>
      </c>
      <c r="AW30" s="189">
        <v>60000000</v>
      </c>
      <c r="AX30" s="189">
        <v>0</v>
      </c>
      <c r="AY30" s="189">
        <v>0</v>
      </c>
      <c r="AZ30" s="189">
        <v>0</v>
      </c>
      <c r="BA30" s="189">
        <v>0</v>
      </c>
      <c r="BB30" s="189">
        <v>0</v>
      </c>
      <c r="BC30" s="189">
        <v>0</v>
      </c>
      <c r="BD30" s="189">
        <v>0</v>
      </c>
      <c r="BE30" s="189">
        <v>67500000</v>
      </c>
      <c r="BF30" s="189">
        <v>228669766.91</v>
      </c>
      <c r="BG30" s="189">
        <v>0</v>
      </c>
      <c r="BH30" s="189">
        <v>60894100</v>
      </c>
      <c r="BI30" s="189">
        <v>170219495</v>
      </c>
      <c r="BJ30" s="189">
        <v>100000000</v>
      </c>
      <c r="BK30" s="189">
        <v>100000000</v>
      </c>
      <c r="BL30" s="189">
        <v>50000000</v>
      </c>
      <c r="BM30" s="189">
        <v>0</v>
      </c>
      <c r="BN30" s="189">
        <v>69000000</v>
      </c>
      <c r="BO30" s="189">
        <v>0</v>
      </c>
      <c r="BP30" s="189">
        <v>0</v>
      </c>
      <c r="BQ30" s="189">
        <v>33000000</v>
      </c>
      <c r="BR30" s="189">
        <v>125000000</v>
      </c>
      <c r="BS30" s="189">
        <v>97500000</v>
      </c>
      <c r="BT30" s="189">
        <v>180000000</v>
      </c>
      <c r="BU30" s="189">
        <v>72000000</v>
      </c>
      <c r="BV30" s="189">
        <v>0</v>
      </c>
    </row>
    <row r="31" spans="1:74" x14ac:dyDescent="0.25">
      <c r="A31" s="189" t="s">
        <v>247</v>
      </c>
      <c r="B31" s="189">
        <v>0</v>
      </c>
      <c r="C31" s="189">
        <v>0</v>
      </c>
      <c r="D31" s="189">
        <v>0</v>
      </c>
      <c r="E31" s="189">
        <v>1000000000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row>
    <row r="32" spans="1:74" x14ac:dyDescent="0.25">
      <c r="A32" s="189" t="s">
        <v>248</v>
      </c>
      <c r="B32" s="189">
        <v>557290470.08000004</v>
      </c>
      <c r="C32" s="189">
        <v>550209170.08000004</v>
      </c>
      <c r="D32" s="189">
        <v>4032</v>
      </c>
      <c r="E32" s="189">
        <v>1018531828.13</v>
      </c>
      <c r="F32" s="189">
        <v>0</v>
      </c>
      <c r="G32" s="189">
        <v>0</v>
      </c>
      <c r="H32" s="189">
        <v>0</v>
      </c>
      <c r="I32" s="189">
        <v>13914969.24</v>
      </c>
      <c r="J32" s="189">
        <v>4123976.74</v>
      </c>
      <c r="K32" s="189">
        <v>8890976.7400000002</v>
      </c>
      <c r="L32" s="189">
        <v>11753725.050000001</v>
      </c>
      <c r="M32" s="189">
        <v>143685934.28</v>
      </c>
      <c r="N32" s="189">
        <v>143685934.28</v>
      </c>
      <c r="O32" s="189">
        <v>143685934.28</v>
      </c>
      <c r="P32" s="189">
        <v>56833392.57</v>
      </c>
      <c r="Q32" s="189">
        <v>74244912</v>
      </c>
      <c r="R32" s="189">
        <v>2025343.83</v>
      </c>
      <c r="S32" s="189">
        <v>2014898.09</v>
      </c>
      <c r="T32" s="189">
        <v>2014898.09</v>
      </c>
      <c r="U32" s="189">
        <v>41693568.939999998</v>
      </c>
      <c r="V32" s="189">
        <v>1842508.34</v>
      </c>
      <c r="W32" s="189">
        <v>0</v>
      </c>
      <c r="X32" s="189">
        <v>20059917.960000001</v>
      </c>
      <c r="Y32" s="189">
        <v>79880652.450000003</v>
      </c>
      <c r="Z32" s="189">
        <v>42401320.829999998</v>
      </c>
      <c r="AA32" s="189">
        <v>42556126.57</v>
      </c>
      <c r="AB32" s="189">
        <v>31089033.859999999</v>
      </c>
      <c r="AC32" s="189">
        <v>210377320.47</v>
      </c>
      <c r="AD32" s="189">
        <v>0</v>
      </c>
      <c r="AE32" s="189">
        <v>156104402.97999999</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42350</v>
      </c>
      <c r="BQ32" s="189">
        <v>0</v>
      </c>
      <c r="BR32" s="189">
        <v>85177.2</v>
      </c>
      <c r="BS32" s="189">
        <v>828066.49</v>
      </c>
      <c r="BT32" s="189">
        <v>0</v>
      </c>
      <c r="BU32" s="189">
        <v>0</v>
      </c>
      <c r="BV32" s="189">
        <v>0</v>
      </c>
    </row>
    <row r="33" spans="1:74" x14ac:dyDescent="0.25">
      <c r="A33" s="189" t="s">
        <v>249</v>
      </c>
      <c r="B33" s="189">
        <v>7968185470.0699997</v>
      </c>
      <c r="C33" s="189">
        <v>6061104170.0699997</v>
      </c>
      <c r="D33" s="189">
        <v>2664234032</v>
      </c>
      <c r="E33" s="189">
        <v>8403955475.6199999</v>
      </c>
      <c r="F33" s="189">
        <v>3433927237.4899998</v>
      </c>
      <c r="G33" s="189">
        <v>3413681737.4899998</v>
      </c>
      <c r="H33" s="189">
        <v>0</v>
      </c>
      <c r="I33" s="189">
        <v>313914969.24000001</v>
      </c>
      <c r="J33" s="189">
        <v>4123976.74</v>
      </c>
      <c r="K33" s="189">
        <v>8890976.7400000002</v>
      </c>
      <c r="L33" s="189">
        <v>11753725.050000001</v>
      </c>
      <c r="M33" s="189">
        <v>143685934.28</v>
      </c>
      <c r="N33" s="189">
        <v>143685934.28</v>
      </c>
      <c r="O33" s="189">
        <v>143685934.28</v>
      </c>
      <c r="P33" s="189">
        <v>56833392.57</v>
      </c>
      <c r="Q33" s="189">
        <v>108124912</v>
      </c>
      <c r="R33" s="189">
        <v>2025343.83</v>
      </c>
      <c r="S33" s="189">
        <v>2014898.09</v>
      </c>
      <c r="T33" s="189">
        <v>2014898.09</v>
      </c>
      <c r="U33" s="189">
        <v>328129817.62</v>
      </c>
      <c r="V33" s="189">
        <v>245679153.46000001</v>
      </c>
      <c r="W33" s="189">
        <v>237836645.12</v>
      </c>
      <c r="X33" s="189">
        <v>42806367.869999997</v>
      </c>
      <c r="Y33" s="189">
        <v>3193384534.8400002</v>
      </c>
      <c r="Z33" s="189">
        <v>2850964172.79</v>
      </c>
      <c r="AA33" s="189">
        <v>2714380198.5300002</v>
      </c>
      <c r="AB33" s="189">
        <v>2421473686.1900001</v>
      </c>
      <c r="AC33" s="189">
        <v>285978621.39999998</v>
      </c>
      <c r="AD33" s="189">
        <v>0</v>
      </c>
      <c r="AE33" s="189">
        <v>156104402.97999999</v>
      </c>
      <c r="AF33" s="189">
        <v>0</v>
      </c>
      <c r="AG33" s="189">
        <v>19980000</v>
      </c>
      <c r="AH33" s="189">
        <v>19980000</v>
      </c>
      <c r="AI33" s="189">
        <v>0</v>
      </c>
      <c r="AJ33" s="189">
        <v>0</v>
      </c>
      <c r="AK33" s="189">
        <v>523026000</v>
      </c>
      <c r="AL33" s="189">
        <v>520000000</v>
      </c>
      <c r="AM33" s="189">
        <v>520000000</v>
      </c>
      <c r="AN33" s="189">
        <v>220000000</v>
      </c>
      <c r="AO33" s="189">
        <v>520142000</v>
      </c>
      <c r="AP33" s="189">
        <v>418512000</v>
      </c>
      <c r="AQ33" s="189">
        <v>414012000</v>
      </c>
      <c r="AR33" s="189">
        <v>332072000</v>
      </c>
      <c r="AS33" s="189">
        <v>1433393600</v>
      </c>
      <c r="AT33" s="189">
        <v>1311393600</v>
      </c>
      <c r="AU33" s="189">
        <v>690000000</v>
      </c>
      <c r="AV33" s="189">
        <v>270000000</v>
      </c>
      <c r="AW33" s="189">
        <v>60000000</v>
      </c>
      <c r="AX33" s="189">
        <v>0</v>
      </c>
      <c r="AY33" s="189">
        <v>0</v>
      </c>
      <c r="AZ33" s="189">
        <v>0</v>
      </c>
      <c r="BA33" s="189">
        <v>0</v>
      </c>
      <c r="BB33" s="189">
        <v>0</v>
      </c>
      <c r="BC33" s="189">
        <v>0</v>
      </c>
      <c r="BD33" s="189">
        <v>0</v>
      </c>
      <c r="BE33" s="189">
        <v>70746806.650000006</v>
      </c>
      <c r="BF33" s="189">
        <v>228669766.91</v>
      </c>
      <c r="BG33" s="189">
        <v>0</v>
      </c>
      <c r="BH33" s="189">
        <v>60894100</v>
      </c>
      <c r="BI33" s="189">
        <v>170219495</v>
      </c>
      <c r="BJ33" s="189">
        <v>100000000</v>
      </c>
      <c r="BK33" s="189">
        <v>100000000</v>
      </c>
      <c r="BL33" s="189">
        <v>50000000</v>
      </c>
      <c r="BM33" s="189">
        <v>0</v>
      </c>
      <c r="BN33" s="189">
        <v>69000000</v>
      </c>
      <c r="BO33" s="189">
        <v>0</v>
      </c>
      <c r="BP33" s="189">
        <v>42350</v>
      </c>
      <c r="BQ33" s="189">
        <v>256917370</v>
      </c>
      <c r="BR33" s="189">
        <v>125085177.2</v>
      </c>
      <c r="BS33" s="189">
        <v>98328066.489999995</v>
      </c>
      <c r="BT33" s="189">
        <v>329196735.10000002</v>
      </c>
      <c r="BU33" s="189">
        <v>72000000</v>
      </c>
      <c r="BV33" s="189">
        <v>0</v>
      </c>
    </row>
    <row r="34" spans="1:74" x14ac:dyDescent="0.25">
      <c r="A34" s="189" t="s">
        <v>250</v>
      </c>
      <c r="B34" s="189">
        <v>3883460777.5700002</v>
      </c>
      <c r="C34" s="189">
        <v>3872075158.3299999</v>
      </c>
      <c r="D34" s="189">
        <v>620245500</v>
      </c>
      <c r="E34" s="189">
        <v>6570305737.4899998</v>
      </c>
      <c r="F34" s="189">
        <v>1396624000</v>
      </c>
      <c r="G34" s="189">
        <v>0</v>
      </c>
      <c r="H34" s="189">
        <v>0</v>
      </c>
      <c r="I34" s="189">
        <v>300000000</v>
      </c>
      <c r="J34" s="189">
        <v>0</v>
      </c>
      <c r="K34" s="189">
        <v>18029612.5</v>
      </c>
      <c r="L34" s="189">
        <v>0</v>
      </c>
      <c r="M34" s="189">
        <v>4127783.83</v>
      </c>
      <c r="N34" s="189">
        <v>3815307.85</v>
      </c>
      <c r="O34" s="189">
        <v>2545856.04</v>
      </c>
      <c r="P34" s="189">
        <v>7969166.0099999998</v>
      </c>
      <c r="Q34" s="189">
        <v>194500471.27000001</v>
      </c>
      <c r="R34" s="189">
        <v>209141780.09999999</v>
      </c>
      <c r="S34" s="189">
        <v>191712614.09</v>
      </c>
      <c r="T34" s="189">
        <v>17304551.620000001</v>
      </c>
      <c r="U34" s="189">
        <v>469771091.66000003</v>
      </c>
      <c r="V34" s="189">
        <v>189747429.00999999</v>
      </c>
      <c r="W34" s="189">
        <v>68190643.430000007</v>
      </c>
      <c r="X34" s="189">
        <v>62006274.340000004</v>
      </c>
      <c r="Y34" s="189">
        <v>77034171.5</v>
      </c>
      <c r="Z34" s="189">
        <v>3398868.7</v>
      </c>
      <c r="AA34" s="189">
        <v>2161979.9900000002</v>
      </c>
      <c r="AB34" s="189">
        <v>1084813.28</v>
      </c>
      <c r="AC34" s="189">
        <v>136452078.41999999</v>
      </c>
      <c r="AD34" s="189">
        <v>7854363.3899999997</v>
      </c>
      <c r="AE34" s="189">
        <v>2081812.07</v>
      </c>
      <c r="AF34" s="189">
        <v>849427.62</v>
      </c>
      <c r="AG34" s="189">
        <v>6550344.4100000001</v>
      </c>
      <c r="AH34" s="189">
        <v>2355054.7000000002</v>
      </c>
      <c r="AI34" s="189">
        <v>1627254.38</v>
      </c>
      <c r="AJ34" s="189">
        <v>750189.77</v>
      </c>
      <c r="AK34" s="189">
        <v>522371811.16000003</v>
      </c>
      <c r="AL34" s="189">
        <v>221805085.55000001</v>
      </c>
      <c r="AM34" s="189">
        <v>221306933.05000001</v>
      </c>
      <c r="AN34" s="189">
        <v>20507841.66</v>
      </c>
      <c r="AO34" s="189">
        <v>1281022506.98</v>
      </c>
      <c r="AP34" s="189">
        <v>1076698433.4300001</v>
      </c>
      <c r="AQ34" s="189">
        <v>1076379690.0599999</v>
      </c>
      <c r="AR34" s="189">
        <v>43808518.18</v>
      </c>
      <c r="AS34" s="189">
        <v>642413600</v>
      </c>
      <c r="AT34" s="189">
        <v>276616400</v>
      </c>
      <c r="AU34" s="189">
        <v>269840000</v>
      </c>
      <c r="AV34" s="189">
        <v>0</v>
      </c>
      <c r="AW34" s="189">
        <v>20000000</v>
      </c>
      <c r="AX34" s="189">
        <v>0</v>
      </c>
      <c r="AY34" s="189">
        <v>0</v>
      </c>
      <c r="AZ34" s="189">
        <v>0</v>
      </c>
      <c r="BA34" s="189">
        <v>47500000</v>
      </c>
      <c r="BB34" s="189">
        <v>42500000</v>
      </c>
      <c r="BC34" s="189">
        <v>47500000</v>
      </c>
      <c r="BD34" s="189">
        <v>47500000</v>
      </c>
      <c r="BE34" s="189">
        <v>210219495</v>
      </c>
      <c r="BF34" s="189">
        <v>221412685</v>
      </c>
      <c r="BG34" s="189">
        <v>57719495</v>
      </c>
      <c r="BH34" s="189">
        <v>120219495</v>
      </c>
      <c r="BI34" s="189">
        <v>0</v>
      </c>
      <c r="BJ34" s="189">
        <v>50000000</v>
      </c>
      <c r="BK34" s="189">
        <v>40000000</v>
      </c>
      <c r="BL34" s="189">
        <v>0</v>
      </c>
      <c r="BM34" s="189">
        <v>78500000</v>
      </c>
      <c r="BN34" s="189">
        <v>68500000</v>
      </c>
      <c r="BO34" s="189">
        <v>0</v>
      </c>
      <c r="BP34" s="189">
        <v>0</v>
      </c>
      <c r="BQ34" s="189">
        <v>7000000</v>
      </c>
      <c r="BR34" s="189">
        <v>109000000</v>
      </c>
      <c r="BS34" s="189">
        <v>128500000</v>
      </c>
      <c r="BT34" s="189">
        <v>145000000</v>
      </c>
      <c r="BU34" s="189">
        <v>0</v>
      </c>
      <c r="BV34" s="189">
        <v>0</v>
      </c>
    </row>
    <row r="35" spans="1:74" x14ac:dyDescent="0.25">
      <c r="A35" s="189" t="s">
        <v>551</v>
      </c>
      <c r="B35" s="189">
        <v>1192730529.7</v>
      </c>
      <c r="C35" s="189">
        <v>45157429.280000001</v>
      </c>
      <c r="D35" s="189">
        <v>9132852.6199999992</v>
      </c>
      <c r="E35" s="189">
        <v>2367527140.5</v>
      </c>
      <c r="F35" s="189">
        <v>2283726088.46</v>
      </c>
      <c r="G35" s="189">
        <v>2257994430.3499999</v>
      </c>
      <c r="H35" s="189">
        <v>4899207.09</v>
      </c>
      <c r="I35" s="189">
        <v>3451582703.3099999</v>
      </c>
      <c r="J35" s="189">
        <v>3376459171.6500001</v>
      </c>
      <c r="K35" s="189">
        <v>3389481357</v>
      </c>
      <c r="L35" s="189">
        <v>3002096.86</v>
      </c>
      <c r="M35" s="189">
        <v>1608352162.9000001</v>
      </c>
      <c r="N35" s="189">
        <v>1576091900.24</v>
      </c>
      <c r="O35" s="189">
        <v>1535053796.0599999</v>
      </c>
      <c r="P35" s="189">
        <v>1873422.91</v>
      </c>
      <c r="Q35" s="189">
        <v>921982902.14999998</v>
      </c>
      <c r="R35" s="189">
        <v>651371320.48000002</v>
      </c>
      <c r="S35" s="189">
        <v>623843693.13999999</v>
      </c>
      <c r="T35" s="189">
        <v>5917209.5599999996</v>
      </c>
      <c r="U35" s="189">
        <v>496968714.29000002</v>
      </c>
      <c r="V35" s="189">
        <v>489316343.82999998</v>
      </c>
      <c r="W35" s="189">
        <v>480911501.50999999</v>
      </c>
      <c r="X35" s="189">
        <v>13655862.66</v>
      </c>
      <c r="Y35" s="189">
        <v>215248620.94</v>
      </c>
      <c r="Z35" s="189">
        <v>207726860.33000001</v>
      </c>
      <c r="AA35" s="189">
        <v>205243982.90000001</v>
      </c>
      <c r="AB35" s="189">
        <v>907198.14</v>
      </c>
      <c r="AC35" s="189">
        <v>159210183.78</v>
      </c>
      <c r="AD35" s="189">
        <v>159158268.34</v>
      </c>
      <c r="AE35" s="189">
        <v>158214360.88999999</v>
      </c>
      <c r="AF35" s="189">
        <v>730863.44</v>
      </c>
      <c r="AG35" s="189">
        <v>530026267.13</v>
      </c>
      <c r="AH35" s="189">
        <v>521493657.38999999</v>
      </c>
      <c r="AI35" s="189">
        <v>521053111.81999999</v>
      </c>
      <c r="AJ35" s="189">
        <v>196051.69</v>
      </c>
      <c r="AK35" s="189">
        <v>333852599.18000001</v>
      </c>
      <c r="AL35" s="189">
        <v>321116081.11000001</v>
      </c>
      <c r="AM35" s="189">
        <v>316780383.95999998</v>
      </c>
      <c r="AN35" s="189">
        <v>2038765.14</v>
      </c>
      <c r="AO35" s="189">
        <v>332273863.98000002</v>
      </c>
      <c r="AP35" s="189">
        <v>299393377.32999998</v>
      </c>
      <c r="AQ35" s="189">
        <v>298423821.75</v>
      </c>
      <c r="AR35" s="189">
        <v>23484560.960000001</v>
      </c>
      <c r="AS35" s="189">
        <v>228824766.46000001</v>
      </c>
      <c r="AT35" s="189">
        <v>221190471.97999999</v>
      </c>
      <c r="AU35" s="189">
        <v>212761083.69</v>
      </c>
      <c r="AV35" s="189">
        <v>1190047.5</v>
      </c>
      <c r="AW35" s="189">
        <v>267476554.87</v>
      </c>
      <c r="AX35" s="189">
        <v>266882227.84999999</v>
      </c>
      <c r="AY35" s="189">
        <v>266797319.40000001</v>
      </c>
      <c r="AZ35" s="189">
        <v>0</v>
      </c>
      <c r="BA35" s="189">
        <v>103728653.13</v>
      </c>
      <c r="BB35" s="189">
        <v>104607993.40000001</v>
      </c>
      <c r="BC35" s="189">
        <v>103081211.95</v>
      </c>
      <c r="BD35" s="189">
        <v>734327.5</v>
      </c>
      <c r="BE35" s="189">
        <v>62500375.700000003</v>
      </c>
      <c r="BF35" s="189">
        <v>55988777.920000002</v>
      </c>
      <c r="BG35" s="189">
        <v>50720734.100000001</v>
      </c>
      <c r="BH35" s="189">
        <v>1565930.78</v>
      </c>
      <c r="BI35" s="189">
        <v>4395087.8099999996</v>
      </c>
      <c r="BJ35" s="189">
        <v>2351033.85</v>
      </c>
      <c r="BK35" s="189">
        <v>1271380.77</v>
      </c>
      <c r="BL35" s="189">
        <v>224140</v>
      </c>
      <c r="BM35" s="189">
        <v>86119073.099999994</v>
      </c>
      <c r="BN35" s="189">
        <v>83665308.480000004</v>
      </c>
      <c r="BO35" s="189">
        <v>85457490.180000007</v>
      </c>
      <c r="BP35" s="189">
        <v>1613541</v>
      </c>
      <c r="BQ35" s="189">
        <v>9441720.6300000008</v>
      </c>
      <c r="BR35" s="189">
        <v>5189992.96</v>
      </c>
      <c r="BS35" s="189">
        <v>58886569.5</v>
      </c>
      <c r="BT35" s="189">
        <v>43771743.07</v>
      </c>
      <c r="BU35" s="189">
        <v>38603595.07</v>
      </c>
      <c r="BV35" s="189">
        <v>0</v>
      </c>
    </row>
    <row r="36" spans="1:74" x14ac:dyDescent="0.25">
      <c r="A36" s="189" t="s">
        <v>251</v>
      </c>
      <c r="B36" s="189">
        <v>0</v>
      </c>
      <c r="C36" s="189">
        <v>0</v>
      </c>
      <c r="D36" s="189">
        <v>0</v>
      </c>
      <c r="E36" s="189">
        <v>28200000</v>
      </c>
      <c r="F36" s="189">
        <v>28200000</v>
      </c>
      <c r="G36" s="189">
        <v>28200000</v>
      </c>
      <c r="H36" s="189">
        <v>0</v>
      </c>
      <c r="I36" s="189">
        <v>42000000</v>
      </c>
      <c r="J36" s="189">
        <v>42000000</v>
      </c>
      <c r="K36" s="189">
        <v>42000000</v>
      </c>
      <c r="L36" s="189">
        <v>0</v>
      </c>
      <c r="M36" s="189">
        <v>30000000</v>
      </c>
      <c r="N36" s="189">
        <v>30000000</v>
      </c>
      <c r="O36" s="189">
        <v>30000000</v>
      </c>
      <c r="P36" s="189">
        <v>0</v>
      </c>
      <c r="Q36" s="189">
        <v>11400000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5400000</v>
      </c>
      <c r="AL36" s="189">
        <v>1200000</v>
      </c>
      <c r="AM36" s="189">
        <v>1200000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row>
    <row r="37" spans="1:74" x14ac:dyDescent="0.25">
      <c r="A37" s="189" t="s">
        <v>252</v>
      </c>
      <c r="B37" s="189">
        <v>0</v>
      </c>
      <c r="C37" s="189">
        <v>0</v>
      </c>
      <c r="D37" s="189">
        <v>0</v>
      </c>
      <c r="E37" s="189">
        <v>538710564.53999996</v>
      </c>
      <c r="F37" s="189">
        <v>3012240.94</v>
      </c>
      <c r="G37" s="189">
        <v>8127.74</v>
      </c>
      <c r="H37" s="189">
        <v>4017.69</v>
      </c>
      <c r="I37" s="189">
        <v>18531828.129999999</v>
      </c>
      <c r="J37" s="189">
        <v>25187915.510000002</v>
      </c>
      <c r="K37" s="189">
        <v>25187915.510000002</v>
      </c>
      <c r="L37" s="189">
        <v>0</v>
      </c>
      <c r="M37" s="189">
        <v>21589362.039999999</v>
      </c>
      <c r="N37" s="189">
        <v>66123370.420000002</v>
      </c>
      <c r="O37" s="189">
        <v>125917991.68000001</v>
      </c>
      <c r="P37" s="189">
        <v>10742712.550000001</v>
      </c>
      <c r="Q37" s="189">
        <v>168180496.15000001</v>
      </c>
      <c r="R37" s="189">
        <v>0</v>
      </c>
      <c r="S37" s="189">
        <v>0</v>
      </c>
      <c r="T37" s="189">
        <v>0</v>
      </c>
      <c r="U37" s="189">
        <v>16985480.620000001</v>
      </c>
      <c r="V37" s="189">
        <v>0</v>
      </c>
      <c r="W37" s="189">
        <v>3341831.04</v>
      </c>
      <c r="X37" s="189">
        <v>0</v>
      </c>
      <c r="Y37" s="189">
        <v>41693568.939999998</v>
      </c>
      <c r="Z37" s="189">
        <v>0</v>
      </c>
      <c r="AA37" s="189">
        <v>0</v>
      </c>
      <c r="AB37" s="189">
        <v>0</v>
      </c>
      <c r="AC37" s="189">
        <v>0</v>
      </c>
      <c r="AD37" s="189">
        <v>137668610.99000001</v>
      </c>
      <c r="AE37" s="189">
        <v>0</v>
      </c>
      <c r="AF37" s="189">
        <v>13966918.1</v>
      </c>
      <c r="AG37" s="189">
        <v>127920382.11</v>
      </c>
      <c r="AH37" s="189">
        <v>364297156.58999997</v>
      </c>
      <c r="AI37" s="189">
        <v>124822935.8</v>
      </c>
      <c r="AJ37" s="189">
        <v>112555510.63</v>
      </c>
      <c r="AK37" s="189">
        <v>155438889.78999999</v>
      </c>
      <c r="AL37" s="189">
        <v>0</v>
      </c>
      <c r="AM37" s="189">
        <v>0</v>
      </c>
      <c r="AN37" s="189">
        <v>0</v>
      </c>
      <c r="AO37" s="189">
        <v>0</v>
      </c>
      <c r="AP37" s="189">
        <v>628791.68000000005</v>
      </c>
      <c r="AQ37" s="189">
        <v>0</v>
      </c>
      <c r="AR37" s="189">
        <v>0</v>
      </c>
      <c r="AS37" s="189">
        <v>0</v>
      </c>
      <c r="AT37" s="189">
        <v>709571.49</v>
      </c>
      <c r="AU37" s="189">
        <v>602399.67000000004</v>
      </c>
      <c r="AV37" s="189">
        <v>0</v>
      </c>
      <c r="AW37" s="189">
        <v>1980969.62</v>
      </c>
      <c r="AX37" s="189">
        <v>518323.46</v>
      </c>
      <c r="AY37" s="189">
        <v>518323.46</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396726.6</v>
      </c>
      <c r="BS37" s="189">
        <v>230663.94</v>
      </c>
      <c r="BT37" s="189">
        <v>946771.5</v>
      </c>
      <c r="BU37" s="189">
        <v>0</v>
      </c>
      <c r="BV37" s="189">
        <v>0</v>
      </c>
    </row>
    <row r="38" spans="1:74" x14ac:dyDescent="0.25">
      <c r="A38" s="189" t="s">
        <v>253</v>
      </c>
      <c r="B38" s="189">
        <v>5076191307.2700005</v>
      </c>
      <c r="C38" s="189">
        <v>3917232587.6100001</v>
      </c>
      <c r="D38" s="189">
        <v>629378352.62</v>
      </c>
      <c r="E38" s="189">
        <v>9476543442.5300007</v>
      </c>
      <c r="F38" s="189">
        <v>3683362329.4000001</v>
      </c>
      <c r="G38" s="189">
        <v>2258002558.0900002</v>
      </c>
      <c r="H38" s="189">
        <v>4903224.78</v>
      </c>
      <c r="I38" s="189">
        <v>3770114531.4400001</v>
      </c>
      <c r="J38" s="189">
        <v>3401647087.1599998</v>
      </c>
      <c r="K38" s="189">
        <v>3432698885.0100002</v>
      </c>
      <c r="L38" s="189">
        <v>3002096.86</v>
      </c>
      <c r="M38" s="189">
        <v>1634069308.77</v>
      </c>
      <c r="N38" s="189">
        <v>1646030578.51</v>
      </c>
      <c r="O38" s="189">
        <v>1663517643.78</v>
      </c>
      <c r="P38" s="189">
        <v>20585301.469999999</v>
      </c>
      <c r="Q38" s="189">
        <v>1284663869.5699999</v>
      </c>
      <c r="R38" s="189">
        <v>860513100.58000004</v>
      </c>
      <c r="S38" s="189">
        <v>815556307.23000002</v>
      </c>
      <c r="T38" s="189">
        <v>23221761.18</v>
      </c>
      <c r="U38" s="189">
        <v>983725286.57000005</v>
      </c>
      <c r="V38" s="189">
        <v>679063772.84000003</v>
      </c>
      <c r="W38" s="189">
        <v>552443975.98000002</v>
      </c>
      <c r="X38" s="189">
        <v>75662137</v>
      </c>
      <c r="Y38" s="189">
        <v>333976361.38</v>
      </c>
      <c r="Z38" s="189">
        <v>211125729.03</v>
      </c>
      <c r="AA38" s="189">
        <v>207405962.88999999</v>
      </c>
      <c r="AB38" s="189">
        <v>1992011.42</v>
      </c>
      <c r="AC38" s="189">
        <v>295662262.19999999</v>
      </c>
      <c r="AD38" s="189">
        <v>304681242.72000003</v>
      </c>
      <c r="AE38" s="189">
        <v>160296172.96000001</v>
      </c>
      <c r="AF38" s="189">
        <v>15547209.16</v>
      </c>
      <c r="AG38" s="189">
        <v>664496993.64999998</v>
      </c>
      <c r="AH38" s="189">
        <v>888145868.67999995</v>
      </c>
      <c r="AI38" s="189">
        <v>647503302</v>
      </c>
      <c r="AJ38" s="189">
        <v>113501752.09</v>
      </c>
      <c r="AK38" s="189">
        <v>1011663300.13</v>
      </c>
      <c r="AL38" s="189">
        <v>542921166.65999997</v>
      </c>
      <c r="AM38" s="189">
        <v>538087317.00999999</v>
      </c>
      <c r="AN38" s="189">
        <v>22546606.800000001</v>
      </c>
      <c r="AO38" s="189">
        <v>1613296370.96</v>
      </c>
      <c r="AP38" s="189">
        <v>1376720602.4400001</v>
      </c>
      <c r="AQ38" s="189">
        <v>1374803511.8099999</v>
      </c>
      <c r="AR38" s="189">
        <v>67293079.140000001</v>
      </c>
      <c r="AS38" s="189">
        <v>871238366.46000004</v>
      </c>
      <c r="AT38" s="189">
        <v>498516443.47000003</v>
      </c>
      <c r="AU38" s="189">
        <v>483203483.36000001</v>
      </c>
      <c r="AV38" s="189">
        <v>1190047.5</v>
      </c>
      <c r="AW38" s="189">
        <v>289457524.49000001</v>
      </c>
      <c r="AX38" s="189">
        <v>267400551.31</v>
      </c>
      <c r="AY38" s="189">
        <v>267315642.86000001</v>
      </c>
      <c r="AZ38" s="189">
        <v>0</v>
      </c>
      <c r="BA38" s="189">
        <v>151228653.13</v>
      </c>
      <c r="BB38" s="189">
        <v>147107993.40000001</v>
      </c>
      <c r="BC38" s="189">
        <v>150581211.94999999</v>
      </c>
      <c r="BD38" s="189">
        <v>48234327.5</v>
      </c>
      <c r="BE38" s="189">
        <v>272719870.69999999</v>
      </c>
      <c r="BF38" s="189">
        <v>277401462.92000002</v>
      </c>
      <c r="BG38" s="189">
        <v>108440229.09999999</v>
      </c>
      <c r="BH38" s="189">
        <v>121785425.78</v>
      </c>
      <c r="BI38" s="189">
        <v>4395087.8099999996</v>
      </c>
      <c r="BJ38" s="189">
        <v>52351033.850000001</v>
      </c>
      <c r="BK38" s="189">
        <v>41271380.770000003</v>
      </c>
      <c r="BL38" s="189">
        <v>224140</v>
      </c>
      <c r="BM38" s="189">
        <v>164619073.09999999</v>
      </c>
      <c r="BN38" s="189">
        <v>152165308.47999999</v>
      </c>
      <c r="BO38" s="189">
        <v>85457490.180000007</v>
      </c>
      <c r="BP38" s="189">
        <v>1613541</v>
      </c>
      <c r="BQ38" s="189">
        <v>16441720.630000001</v>
      </c>
      <c r="BR38" s="189">
        <v>114586719.56</v>
      </c>
      <c r="BS38" s="189">
        <v>187617233.44</v>
      </c>
      <c r="BT38" s="189">
        <v>189718514.56999999</v>
      </c>
      <c r="BU38" s="189">
        <v>38603595.07</v>
      </c>
      <c r="BV38" s="189">
        <v>0</v>
      </c>
    </row>
    <row r="39" spans="1:74" x14ac:dyDescent="0.25">
      <c r="A39" s="189" t="s">
        <v>254</v>
      </c>
      <c r="B39" s="189">
        <v>2891994162.8000002</v>
      </c>
      <c r="C39" s="189">
        <v>2143871582.46</v>
      </c>
      <c r="D39" s="189">
        <v>2034855679.3800001</v>
      </c>
      <c r="E39" s="189">
        <v>-1072587966.91</v>
      </c>
      <c r="F39" s="189">
        <v>-249435091.91</v>
      </c>
      <c r="G39" s="189">
        <v>1155679179.4000001</v>
      </c>
      <c r="H39" s="189">
        <v>-4903224.78</v>
      </c>
      <c r="I39" s="189">
        <v>-3456199562.1999998</v>
      </c>
      <c r="J39" s="189">
        <v>-3397523110.4200001</v>
      </c>
      <c r="K39" s="189">
        <v>-3423807908.27</v>
      </c>
      <c r="L39" s="189">
        <v>8751628.1899999995</v>
      </c>
      <c r="M39" s="189">
        <v>-1490383374.49</v>
      </c>
      <c r="N39" s="189">
        <v>-1502344644.23</v>
      </c>
      <c r="O39" s="189">
        <v>-1519831709.5</v>
      </c>
      <c r="P39" s="189">
        <v>36248091.100000001</v>
      </c>
      <c r="Q39" s="189">
        <v>-1176538957.5699999</v>
      </c>
      <c r="R39" s="189">
        <v>-858487756.75</v>
      </c>
      <c r="S39" s="189">
        <v>-813541409.13999999</v>
      </c>
      <c r="T39" s="189">
        <v>-21206863.09</v>
      </c>
      <c r="U39" s="189">
        <v>-655595468.95000005</v>
      </c>
      <c r="V39" s="189">
        <v>-433384619.38</v>
      </c>
      <c r="W39" s="189">
        <v>-314607330.86000001</v>
      </c>
      <c r="X39" s="189">
        <v>-32855769.129999999</v>
      </c>
      <c r="Y39" s="189">
        <v>2859408173.46</v>
      </c>
      <c r="Z39" s="189">
        <v>2639838443.7600002</v>
      </c>
      <c r="AA39" s="189">
        <v>2506974235.6399999</v>
      </c>
      <c r="AB39" s="189">
        <v>2419481674.77</v>
      </c>
      <c r="AC39" s="189">
        <v>-9683640.8000000007</v>
      </c>
      <c r="AD39" s="189">
        <v>-304681242.72000003</v>
      </c>
      <c r="AE39" s="189">
        <v>-4191769.98</v>
      </c>
      <c r="AF39" s="189">
        <v>-15547209.16</v>
      </c>
      <c r="AG39" s="189">
        <v>-644516993.64999998</v>
      </c>
      <c r="AH39" s="189">
        <v>-868165868.67999995</v>
      </c>
      <c r="AI39" s="189">
        <v>-647503302</v>
      </c>
      <c r="AJ39" s="189">
        <v>-113501752.09</v>
      </c>
      <c r="AK39" s="189">
        <v>-488637300.13</v>
      </c>
      <c r="AL39" s="189">
        <v>-22921166.66</v>
      </c>
      <c r="AM39" s="189">
        <v>-18087317.010000002</v>
      </c>
      <c r="AN39" s="189">
        <v>197453393.19999999</v>
      </c>
      <c r="AO39" s="189">
        <v>-1093154370.96</v>
      </c>
      <c r="AP39" s="189">
        <v>-958208602.44000006</v>
      </c>
      <c r="AQ39" s="189">
        <v>-960791511.80999994</v>
      </c>
      <c r="AR39" s="189">
        <v>264778920.86000001</v>
      </c>
      <c r="AS39" s="189">
        <v>562155233.53999996</v>
      </c>
      <c r="AT39" s="189">
        <v>812877156.52999997</v>
      </c>
      <c r="AU39" s="189">
        <v>206796516.63999999</v>
      </c>
      <c r="AV39" s="189">
        <v>268809952.5</v>
      </c>
      <c r="AW39" s="189">
        <v>-229457524.49000001</v>
      </c>
      <c r="AX39" s="189">
        <v>-267400551.31</v>
      </c>
      <c r="AY39" s="189">
        <v>-267315642.86000001</v>
      </c>
      <c r="AZ39" s="189">
        <v>0</v>
      </c>
      <c r="BA39" s="189">
        <v>-151228653.13</v>
      </c>
      <c r="BB39" s="189">
        <v>-147107993.40000001</v>
      </c>
      <c r="BC39" s="189">
        <v>-150581211.94999999</v>
      </c>
      <c r="BD39" s="189">
        <v>-48234327.5</v>
      </c>
      <c r="BE39" s="189">
        <v>-201973064.05000001</v>
      </c>
      <c r="BF39" s="189">
        <v>-48731696.009999998</v>
      </c>
      <c r="BG39" s="189">
        <v>-108440229.09999999</v>
      </c>
      <c r="BH39" s="189">
        <v>-60891325.780000001</v>
      </c>
      <c r="BI39" s="189">
        <v>165824407.19</v>
      </c>
      <c r="BJ39" s="189">
        <v>47648966.149999999</v>
      </c>
      <c r="BK39" s="189">
        <v>58728619.229999997</v>
      </c>
      <c r="BL39" s="189">
        <v>49775860</v>
      </c>
      <c r="BM39" s="189">
        <v>-164619073.09999999</v>
      </c>
      <c r="BN39" s="189">
        <v>-83165308.480000004</v>
      </c>
      <c r="BO39" s="189">
        <v>-85457490.180000007</v>
      </c>
      <c r="BP39" s="189">
        <v>-1571191</v>
      </c>
      <c r="BQ39" s="189">
        <v>240475649.37</v>
      </c>
      <c r="BR39" s="189">
        <v>10498457.640000001</v>
      </c>
      <c r="BS39" s="189">
        <v>-89289166.950000003</v>
      </c>
      <c r="BT39" s="189">
        <v>139478220.53</v>
      </c>
      <c r="BU39" s="189">
        <v>33396404.93</v>
      </c>
      <c r="BV39" s="189">
        <v>0</v>
      </c>
    </row>
    <row r="40" spans="1:74" x14ac:dyDescent="0.25">
      <c r="A40" s="189" t="s">
        <v>255</v>
      </c>
      <c r="B40" s="189">
        <v>19689853.379999999</v>
      </c>
      <c r="C40" s="189">
        <v>55155484.549999997</v>
      </c>
      <c r="D40" s="189">
        <v>9009578.9000000004</v>
      </c>
      <c r="E40" s="189">
        <v>-8763570.7200000007</v>
      </c>
      <c r="F40" s="189">
        <v>2319358.08</v>
      </c>
      <c r="G40" s="189">
        <v>-8141142.9299999997</v>
      </c>
      <c r="H40" s="189">
        <v>-12879607.960000001</v>
      </c>
      <c r="I40" s="189">
        <v>-155297509.47999999</v>
      </c>
      <c r="J40" s="189">
        <v>-80568863.189999998</v>
      </c>
      <c r="K40" s="189">
        <v>-43302083.509999998</v>
      </c>
      <c r="L40" s="189">
        <v>-27046540.699999999</v>
      </c>
      <c r="M40" s="189">
        <v>53049166.560000002</v>
      </c>
      <c r="N40" s="189">
        <v>53100301.340000004</v>
      </c>
      <c r="O40" s="189">
        <v>94336556.629999995</v>
      </c>
      <c r="P40" s="189">
        <v>41317000.490000002</v>
      </c>
      <c r="Q40" s="189">
        <v>18360639.899999999</v>
      </c>
      <c r="R40" s="189">
        <v>9885965.3200000003</v>
      </c>
      <c r="S40" s="189">
        <v>354168.84</v>
      </c>
      <c r="T40" s="189">
        <v>-1881726.08</v>
      </c>
      <c r="U40" s="189">
        <v>-782743.9</v>
      </c>
      <c r="V40" s="189">
        <v>-545245.27</v>
      </c>
      <c r="W40" s="189">
        <v>1804274.29</v>
      </c>
      <c r="X40" s="189">
        <v>602098.4</v>
      </c>
      <c r="Y40" s="189">
        <v>6492974.3899999997</v>
      </c>
      <c r="Z40" s="189">
        <v>4546405.5999999996</v>
      </c>
      <c r="AA40" s="189">
        <v>-49975.26</v>
      </c>
      <c r="AB40" s="189">
        <v>349924.8</v>
      </c>
      <c r="AC40" s="189">
        <v>-5683876.0499999998</v>
      </c>
      <c r="AD40" s="189">
        <v>3738057.32</v>
      </c>
      <c r="AE40" s="189">
        <v>2736862.03</v>
      </c>
      <c r="AF40" s="189">
        <v>1561559.63</v>
      </c>
      <c r="AG40" s="189">
        <v>3060449.79</v>
      </c>
      <c r="AH40" s="189">
        <v>3679478.37</v>
      </c>
      <c r="AI40" s="189">
        <v>-4335810.88</v>
      </c>
      <c r="AJ40" s="189">
        <v>-262900.14</v>
      </c>
      <c r="AK40" s="189">
        <v>-292077.03000000003</v>
      </c>
      <c r="AL40" s="189">
        <v>-167332.44</v>
      </c>
      <c r="AM40" s="189">
        <v>-106264.8</v>
      </c>
      <c r="AN40" s="189">
        <v>-100619.7</v>
      </c>
      <c r="AO40" s="189">
        <v>-685072.87</v>
      </c>
      <c r="AP40" s="189">
        <v>-202442.49</v>
      </c>
      <c r="AQ40" s="189">
        <v>-46608.44</v>
      </c>
      <c r="AR40" s="189">
        <v>8466.76</v>
      </c>
      <c r="AS40" s="189">
        <v>-134838.78</v>
      </c>
      <c r="AT40" s="189">
        <v>-18263.61</v>
      </c>
      <c r="AU40" s="189">
        <v>-18263.61</v>
      </c>
      <c r="AV40" s="189">
        <v>9092.69</v>
      </c>
      <c r="AW40" s="189">
        <v>-464224.35</v>
      </c>
      <c r="AX40" s="189">
        <v>170781.19</v>
      </c>
      <c r="AY40" s="189">
        <v>103138.56</v>
      </c>
      <c r="AZ40" s="189">
        <v>378370.28</v>
      </c>
      <c r="BA40" s="189">
        <v>-1079499.6499999999</v>
      </c>
      <c r="BB40" s="189">
        <v>-178843</v>
      </c>
      <c r="BC40" s="189">
        <v>-613084.86</v>
      </c>
      <c r="BD40" s="189">
        <v>0</v>
      </c>
      <c r="BE40" s="189">
        <v>-309702.09999999998</v>
      </c>
      <c r="BF40" s="189">
        <v>-859989.73</v>
      </c>
      <c r="BG40" s="189">
        <v>-872218.56</v>
      </c>
      <c r="BH40" s="189">
        <v>-743938.64</v>
      </c>
      <c r="BI40" s="189">
        <v>1455247.23</v>
      </c>
      <c r="BJ40" s="189">
        <v>0</v>
      </c>
      <c r="BK40" s="189">
        <v>0</v>
      </c>
      <c r="BL40" s="189">
        <v>0</v>
      </c>
      <c r="BM40" s="189">
        <v>227347.64</v>
      </c>
      <c r="BN40" s="189">
        <v>0</v>
      </c>
      <c r="BO40" s="189">
        <v>0</v>
      </c>
      <c r="BP40" s="189">
        <v>0</v>
      </c>
      <c r="BQ40" s="189">
        <v>-211.81</v>
      </c>
      <c r="BR40" s="189">
        <v>-118.99</v>
      </c>
      <c r="BS40" s="189">
        <v>0</v>
      </c>
      <c r="BT40" s="189">
        <v>0</v>
      </c>
      <c r="BU40" s="189">
        <v>0</v>
      </c>
      <c r="BV40" s="189">
        <v>0</v>
      </c>
    </row>
    <row r="41" spans="1:74" x14ac:dyDescent="0.25">
      <c r="A41" s="189" t="s">
        <v>256</v>
      </c>
      <c r="B41" s="189">
        <v>107954843.23999999</v>
      </c>
      <c r="C41" s="189">
        <v>2310901893.1399999</v>
      </c>
      <c r="D41" s="189">
        <v>1003283122.78</v>
      </c>
      <c r="E41" s="189">
        <v>-3648821609.8400002</v>
      </c>
      <c r="F41" s="189">
        <v>-2941084708.9299998</v>
      </c>
      <c r="G41" s="189">
        <v>-1877064293.1600001</v>
      </c>
      <c r="H41" s="189">
        <v>-1500050967.24</v>
      </c>
      <c r="I41" s="189">
        <v>-1087431085.8299999</v>
      </c>
      <c r="J41" s="189">
        <v>-4402284804.8500004</v>
      </c>
      <c r="K41" s="189">
        <v>-4568078522.1199999</v>
      </c>
      <c r="L41" s="189">
        <v>-2383603743.1599998</v>
      </c>
      <c r="M41" s="189">
        <v>809958262.22000003</v>
      </c>
      <c r="N41" s="189">
        <v>-507404266.86000001</v>
      </c>
      <c r="O41" s="189">
        <v>-1563427874.9100001</v>
      </c>
      <c r="P41" s="189">
        <v>-941895720.64999998</v>
      </c>
      <c r="Q41" s="189">
        <v>333330481.13999999</v>
      </c>
      <c r="R41" s="189">
        <v>678320338.24000001</v>
      </c>
      <c r="S41" s="189">
        <v>446819947.13999999</v>
      </c>
      <c r="T41" s="189">
        <v>-301486010.64999998</v>
      </c>
      <c r="U41" s="189">
        <v>1176905139.1900001</v>
      </c>
      <c r="V41" s="189">
        <v>1777384972.1900001</v>
      </c>
      <c r="W41" s="189">
        <v>1044023287.12</v>
      </c>
      <c r="X41" s="189">
        <v>-10089114.640000001</v>
      </c>
      <c r="Y41" s="189">
        <v>1921728179.3800001</v>
      </c>
      <c r="Z41" s="189">
        <v>2788806761.3800001</v>
      </c>
      <c r="AA41" s="189">
        <v>3400514486.1999998</v>
      </c>
      <c r="AB41" s="189">
        <v>2706734110.27</v>
      </c>
      <c r="AC41" s="189">
        <v>431758854.22000003</v>
      </c>
      <c r="AD41" s="189">
        <v>-90289285.480000004</v>
      </c>
      <c r="AE41" s="189">
        <v>-143080308.16999999</v>
      </c>
      <c r="AF41" s="189">
        <v>-31811810.289999999</v>
      </c>
      <c r="AG41" s="189">
        <v>73123533.609999999</v>
      </c>
      <c r="AH41" s="189">
        <v>257785429.33000001</v>
      </c>
      <c r="AI41" s="189">
        <v>639719.12</v>
      </c>
      <c r="AJ41" s="189">
        <v>202360992.46000001</v>
      </c>
      <c r="AK41" s="189">
        <v>-799168592.26999998</v>
      </c>
      <c r="AL41" s="189">
        <v>-159294150.72</v>
      </c>
      <c r="AM41" s="189">
        <v>-190187611.66999999</v>
      </c>
      <c r="AN41" s="189">
        <v>-227362060.50999999</v>
      </c>
      <c r="AO41" s="189">
        <v>-14900194.83</v>
      </c>
      <c r="AP41" s="189">
        <v>-326565173.31999999</v>
      </c>
      <c r="AQ41" s="189">
        <v>-801126497.78999996</v>
      </c>
      <c r="AR41" s="189">
        <v>369031876.19999999</v>
      </c>
      <c r="AS41" s="189">
        <v>359779629.75999999</v>
      </c>
      <c r="AT41" s="189">
        <v>452901416.10000002</v>
      </c>
      <c r="AU41" s="189">
        <v>-52655282.079999998</v>
      </c>
      <c r="AV41" s="189">
        <v>10405838.66</v>
      </c>
      <c r="AW41" s="189">
        <v>103636490.34</v>
      </c>
      <c r="AX41" s="189">
        <v>6923976.3200000003</v>
      </c>
      <c r="AY41" s="189">
        <v>89197020.939999998</v>
      </c>
      <c r="AZ41" s="189">
        <v>89416137.310000002</v>
      </c>
      <c r="BA41" s="189">
        <v>244435471.78</v>
      </c>
      <c r="BB41" s="189">
        <v>191489665.05000001</v>
      </c>
      <c r="BC41" s="189">
        <v>-58984784.130000003</v>
      </c>
      <c r="BD41" s="189">
        <v>-118366012.36</v>
      </c>
      <c r="BE41" s="189">
        <v>36451134.670000002</v>
      </c>
      <c r="BF41" s="189">
        <v>-60253441.590000004</v>
      </c>
      <c r="BG41" s="189">
        <v>-230353578.44999999</v>
      </c>
      <c r="BH41" s="189">
        <v>-157244236.81</v>
      </c>
      <c r="BI41" s="189">
        <v>101293579.44</v>
      </c>
      <c r="BJ41" s="189">
        <v>-38959750.689999998</v>
      </c>
      <c r="BK41" s="189">
        <v>-55818680.359999999</v>
      </c>
      <c r="BL41" s="189">
        <v>17476032.800000001</v>
      </c>
      <c r="BM41" s="189">
        <v>27873398.489999998</v>
      </c>
      <c r="BN41" s="189">
        <v>40329204.969999999</v>
      </c>
      <c r="BO41" s="189">
        <v>-25239713.5</v>
      </c>
      <c r="BP41" s="189">
        <v>41069551.950000003</v>
      </c>
      <c r="BQ41" s="189">
        <v>344403918.81</v>
      </c>
      <c r="BR41" s="189">
        <v>16085448.34</v>
      </c>
      <c r="BS41" s="189">
        <v>-24663549.399999999</v>
      </c>
      <c r="BT41" s="189">
        <v>-50406830.600000001</v>
      </c>
      <c r="BU41" s="189">
        <v>-90300451.769999996</v>
      </c>
      <c r="BV41" s="189">
        <v>0</v>
      </c>
    </row>
    <row r="42" spans="1:74" x14ac:dyDescent="0.25">
      <c r="A42" s="189" t="s">
        <v>257</v>
      </c>
      <c r="B42" s="189">
        <v>1931034001.8900001</v>
      </c>
      <c r="C42" s="189">
        <v>1931034001.8900001</v>
      </c>
      <c r="D42" s="189">
        <v>1931034001.8900001</v>
      </c>
      <c r="E42" s="189">
        <v>5579855611.7299995</v>
      </c>
      <c r="F42" s="189">
        <v>5579855611.7299995</v>
      </c>
      <c r="G42" s="189">
        <v>5579855611.7299995</v>
      </c>
      <c r="H42" s="189">
        <v>5579855611.7299995</v>
      </c>
      <c r="I42" s="189">
        <v>6667286697.5600004</v>
      </c>
      <c r="J42" s="189">
        <v>6672053697.5600004</v>
      </c>
      <c r="K42" s="189">
        <v>6667286697.5600004</v>
      </c>
      <c r="L42" s="189">
        <v>6667286697.5600004</v>
      </c>
      <c r="M42" s="189">
        <v>5857328435.3400002</v>
      </c>
      <c r="N42" s="189">
        <v>5857328435.3400002</v>
      </c>
      <c r="O42" s="189">
        <v>5857328435.3400002</v>
      </c>
      <c r="P42" s="189">
        <v>5857328428.8000002</v>
      </c>
      <c r="Q42" s="189">
        <v>5523997954.1999998</v>
      </c>
      <c r="R42" s="189">
        <v>4189755781.0900002</v>
      </c>
      <c r="S42" s="189">
        <v>4189755781.0900002</v>
      </c>
      <c r="T42" s="189">
        <v>4189755781.0900002</v>
      </c>
      <c r="U42" s="189">
        <v>3012850641.9000001</v>
      </c>
      <c r="V42" s="189">
        <v>3012850641.9000001</v>
      </c>
      <c r="W42" s="189">
        <v>3012850641.9000001</v>
      </c>
      <c r="X42" s="189">
        <v>3012850641.9000001</v>
      </c>
      <c r="Y42" s="189">
        <v>1091122462.52</v>
      </c>
      <c r="Z42" s="189">
        <v>1091122462.52</v>
      </c>
      <c r="AA42" s="189">
        <v>1091122462.52</v>
      </c>
      <c r="AB42" s="189">
        <v>1091122462.52</v>
      </c>
      <c r="AC42" s="189">
        <v>659363608.29999995</v>
      </c>
      <c r="AD42" s="189">
        <v>634429089.20000005</v>
      </c>
      <c r="AE42" s="189">
        <v>634429089.20000005</v>
      </c>
      <c r="AF42" s="189">
        <v>634429089.20000005</v>
      </c>
      <c r="AG42" s="189">
        <v>561305555.59000003</v>
      </c>
      <c r="AH42" s="189">
        <v>716744445.38</v>
      </c>
      <c r="AI42" s="189">
        <v>716744445.38</v>
      </c>
      <c r="AJ42" s="189">
        <v>716744445.38</v>
      </c>
      <c r="AK42" s="189">
        <v>1360474147.8599999</v>
      </c>
      <c r="AL42" s="189">
        <v>1360474147.8599999</v>
      </c>
      <c r="AM42" s="189">
        <v>1360474147.8599999</v>
      </c>
      <c r="AN42" s="189">
        <v>1360474147.8599999</v>
      </c>
      <c r="AO42" s="189">
        <v>1375374342.6900001</v>
      </c>
      <c r="AP42" s="189">
        <v>1375374342.6900001</v>
      </c>
      <c r="AQ42" s="189">
        <v>1375374342.6900001</v>
      </c>
      <c r="AR42" s="189">
        <v>1375374342.6900001</v>
      </c>
      <c r="AS42" s="189">
        <v>903648321.34000003</v>
      </c>
      <c r="AT42" s="189">
        <v>903648321.34000003</v>
      </c>
      <c r="AU42" s="189">
        <v>903648321.34000003</v>
      </c>
      <c r="AV42" s="189">
        <v>902205633.40999997</v>
      </c>
      <c r="AW42" s="189">
        <v>798569143.07000005</v>
      </c>
      <c r="AX42" s="189">
        <v>798569143.07000005</v>
      </c>
      <c r="AY42" s="189">
        <v>798569143.07000005</v>
      </c>
      <c r="AZ42" s="189">
        <v>798569143.07000005</v>
      </c>
      <c r="BA42" s="189">
        <v>554133671.28999996</v>
      </c>
      <c r="BB42" s="189">
        <v>554133671.28999996</v>
      </c>
      <c r="BC42" s="189">
        <v>554133671.28999996</v>
      </c>
      <c r="BD42" s="189">
        <v>554133671.28999996</v>
      </c>
      <c r="BE42" s="189">
        <v>517682536.62</v>
      </c>
      <c r="BF42" s="189">
        <v>516861673.04000002</v>
      </c>
      <c r="BG42" s="189">
        <v>516861673.04000002</v>
      </c>
      <c r="BH42" s="189">
        <v>516861673.04000002</v>
      </c>
      <c r="BI42" s="189">
        <v>415568093.60000002</v>
      </c>
      <c r="BJ42" s="189">
        <v>415568093.60000002</v>
      </c>
      <c r="BK42" s="189">
        <v>415568093.60000002</v>
      </c>
      <c r="BL42" s="189">
        <v>415568093.60000002</v>
      </c>
      <c r="BM42" s="189">
        <v>387694695.11000001</v>
      </c>
      <c r="BN42" s="189">
        <v>385155907.57999998</v>
      </c>
      <c r="BO42" s="189">
        <v>412934408.61000001</v>
      </c>
      <c r="BP42" s="189">
        <v>412934620.42000002</v>
      </c>
      <c r="BQ42" s="189">
        <v>68530489.799999997</v>
      </c>
      <c r="BR42" s="189">
        <v>68530489.799999997</v>
      </c>
      <c r="BS42" s="189">
        <v>93194039.200000003</v>
      </c>
      <c r="BT42" s="189">
        <v>143600869.80000001</v>
      </c>
      <c r="BU42" s="189">
        <v>143600869.80000001</v>
      </c>
      <c r="BV42" s="189">
        <v>0</v>
      </c>
    </row>
    <row r="43" spans="1:74" x14ac:dyDescent="0.25">
      <c r="A43" s="189" t="s">
        <v>258</v>
      </c>
      <c r="B43" s="189">
        <v>2038988845.1300001</v>
      </c>
      <c r="C43" s="189">
        <v>4241935895.0300002</v>
      </c>
      <c r="D43" s="189">
        <v>2934317124.6700001</v>
      </c>
      <c r="E43" s="189">
        <v>1931034001.8900001</v>
      </c>
      <c r="F43" s="189">
        <v>2638770902.8000002</v>
      </c>
      <c r="G43" s="189">
        <v>3702791318.5700002</v>
      </c>
      <c r="H43" s="189">
        <v>4079804644.4899998</v>
      </c>
      <c r="I43" s="189">
        <v>5579855611.7299995</v>
      </c>
      <c r="J43" s="189">
        <v>2269768892.71</v>
      </c>
      <c r="K43" s="189">
        <v>2099208175.4400001</v>
      </c>
      <c r="L43" s="189">
        <v>4283682954.4000001</v>
      </c>
      <c r="M43" s="189">
        <v>6667286697.5600004</v>
      </c>
      <c r="N43" s="189">
        <v>5349924168.4799995</v>
      </c>
      <c r="O43" s="189">
        <v>4293900560.4299998</v>
      </c>
      <c r="P43" s="189">
        <v>4915432708.1499996</v>
      </c>
      <c r="Q43" s="189">
        <v>5857328435.3400002</v>
      </c>
      <c r="R43" s="189">
        <v>4868076119.3299999</v>
      </c>
      <c r="S43" s="189">
        <v>4636575728.2299995</v>
      </c>
      <c r="T43" s="189">
        <v>3888269770.4400001</v>
      </c>
      <c r="U43" s="189">
        <v>4189755781.0900002</v>
      </c>
      <c r="V43" s="189">
        <v>4790235614.0900002</v>
      </c>
      <c r="W43" s="189">
        <v>4056873929.02</v>
      </c>
      <c r="X43" s="189">
        <v>3002761527.2600002</v>
      </c>
      <c r="Y43" s="189">
        <v>3012850641.9000001</v>
      </c>
      <c r="Z43" s="189">
        <v>3879929223.9000001</v>
      </c>
      <c r="AA43" s="189">
        <v>4491636948.7200003</v>
      </c>
      <c r="AB43" s="189">
        <v>3797856572.79</v>
      </c>
      <c r="AC43" s="189">
        <v>1091122462.52</v>
      </c>
      <c r="AD43" s="189">
        <v>544139803.72000003</v>
      </c>
      <c r="AE43" s="189">
        <v>491348781.02999997</v>
      </c>
      <c r="AF43" s="189">
        <v>602617278.90999997</v>
      </c>
      <c r="AG43" s="189">
        <v>634429089.20000005</v>
      </c>
      <c r="AH43" s="189">
        <v>974529874.71000004</v>
      </c>
      <c r="AI43" s="189">
        <v>717384164.5</v>
      </c>
      <c r="AJ43" s="189">
        <v>919105437.84000003</v>
      </c>
      <c r="AK43" s="189">
        <v>561305555.59000003</v>
      </c>
      <c r="AL43" s="189">
        <v>1201179997.1400001</v>
      </c>
      <c r="AM43" s="189">
        <v>1170286536.1900001</v>
      </c>
      <c r="AN43" s="189">
        <v>1133112087.3499999</v>
      </c>
      <c r="AO43" s="189">
        <v>1360474147.8599999</v>
      </c>
      <c r="AP43" s="189">
        <v>1048809169.37</v>
      </c>
      <c r="AQ43" s="189">
        <v>574247844.89999998</v>
      </c>
      <c r="AR43" s="189">
        <v>1744406218.8900001</v>
      </c>
      <c r="AS43" s="189">
        <v>1263427951.0999999</v>
      </c>
      <c r="AT43" s="189">
        <v>1356549737.4400001</v>
      </c>
      <c r="AU43" s="189">
        <v>850993039.25999999</v>
      </c>
      <c r="AV43" s="189">
        <v>914054160</v>
      </c>
      <c r="AW43" s="189">
        <v>902205633.40999997</v>
      </c>
      <c r="AX43" s="189">
        <v>805493119.38999999</v>
      </c>
      <c r="AY43" s="189">
        <v>887766164.00999999</v>
      </c>
      <c r="AZ43" s="189">
        <v>887985280.38</v>
      </c>
      <c r="BA43" s="189">
        <v>798569143.07000005</v>
      </c>
      <c r="BB43" s="189">
        <v>745623336.34000003</v>
      </c>
      <c r="BC43" s="189">
        <v>495148887.16000003</v>
      </c>
      <c r="BD43" s="189">
        <v>435767658.93000001</v>
      </c>
      <c r="BE43" s="189">
        <v>554133671.28999996</v>
      </c>
      <c r="BF43" s="189">
        <v>458162640.56</v>
      </c>
      <c r="BG43" s="189">
        <v>287328958.17000002</v>
      </c>
      <c r="BH43" s="189">
        <v>359617436.23000002</v>
      </c>
      <c r="BI43" s="189">
        <v>516861673.04000002</v>
      </c>
      <c r="BJ43" s="189">
        <v>376608342.91000003</v>
      </c>
      <c r="BK43" s="189">
        <v>359749413.24000001</v>
      </c>
      <c r="BL43" s="189">
        <v>433044126.39999998</v>
      </c>
      <c r="BM43" s="189">
        <v>415568093.60000002</v>
      </c>
      <c r="BN43" s="189">
        <v>425485112.55000001</v>
      </c>
      <c r="BO43" s="189">
        <v>387694695.11000001</v>
      </c>
      <c r="BP43" s="189">
        <v>454004172.37</v>
      </c>
      <c r="BQ43" s="189">
        <v>412934408.61000001</v>
      </c>
      <c r="BR43" s="189">
        <v>84615938.140000001</v>
      </c>
      <c r="BS43" s="189">
        <v>68530489.799999997</v>
      </c>
      <c r="BT43" s="189">
        <v>93194039.200000003</v>
      </c>
      <c r="BU43" s="189">
        <v>53300418.030000001</v>
      </c>
      <c r="BV43" s="189">
        <v>0</v>
      </c>
    </row>
    <row r="44" spans="1:74" x14ac:dyDescent="0.25">
      <c r="A44" s="189" t="s">
        <v>259</v>
      </c>
    </row>
    <row r="45" spans="1:74" x14ac:dyDescent="0.25">
      <c r="A45" s="189" t="s">
        <v>260</v>
      </c>
      <c r="B45" s="189">
        <v>0</v>
      </c>
      <c r="C45" s="189">
        <v>626634101.41999996</v>
      </c>
      <c r="D45" s="189">
        <v>0</v>
      </c>
      <c r="E45" s="189">
        <v>3167845979.77</v>
      </c>
      <c r="F45" s="189">
        <v>0</v>
      </c>
      <c r="G45" s="189">
        <v>826876923.53999996</v>
      </c>
      <c r="H45" s="189">
        <v>0</v>
      </c>
      <c r="I45" s="189">
        <v>4102339404.0900002</v>
      </c>
      <c r="J45" s="189">
        <v>0</v>
      </c>
      <c r="K45" s="189">
        <v>1267633937.53</v>
      </c>
      <c r="L45" s="189">
        <v>0</v>
      </c>
      <c r="M45" s="189">
        <v>3587689128.1999998</v>
      </c>
      <c r="N45" s="189">
        <v>0</v>
      </c>
      <c r="O45" s="189">
        <v>965983479.91999996</v>
      </c>
      <c r="P45" s="189">
        <v>0</v>
      </c>
      <c r="Q45" s="189">
        <v>2652631091.23</v>
      </c>
      <c r="R45" s="189">
        <v>0</v>
      </c>
      <c r="S45" s="189">
        <v>695556800.34000003</v>
      </c>
      <c r="T45" s="189">
        <v>0</v>
      </c>
      <c r="U45" s="189">
        <v>1821907900.5899999</v>
      </c>
      <c r="V45" s="189">
        <v>0</v>
      </c>
      <c r="W45" s="189">
        <v>631968468.64999998</v>
      </c>
      <c r="X45" s="189">
        <v>0</v>
      </c>
      <c r="Y45" s="189">
        <v>1549787221.0799999</v>
      </c>
      <c r="Z45" s="189">
        <v>0</v>
      </c>
      <c r="AA45" s="189">
        <v>590400343.59000003</v>
      </c>
      <c r="AB45" s="189">
        <v>0</v>
      </c>
      <c r="AC45" s="189">
        <v>1182380359.9400001</v>
      </c>
      <c r="AD45" s="189">
        <v>0</v>
      </c>
      <c r="AE45" s="189">
        <v>423336103.57999998</v>
      </c>
      <c r="AF45" s="189">
        <v>0</v>
      </c>
      <c r="AG45" s="189">
        <v>857116385.45000005</v>
      </c>
      <c r="AH45" s="189">
        <v>0</v>
      </c>
      <c r="AI45" s="189">
        <v>361966997.97000003</v>
      </c>
      <c r="AJ45" s="189">
        <v>0</v>
      </c>
      <c r="AK45" s="189">
        <v>567469904.38999999</v>
      </c>
      <c r="AL45" s="189">
        <v>0</v>
      </c>
      <c r="AM45" s="189">
        <v>193555596.28</v>
      </c>
      <c r="AN45" s="189">
        <v>0</v>
      </c>
      <c r="AO45" s="189">
        <v>524097901.31</v>
      </c>
      <c r="AP45" s="189">
        <v>0</v>
      </c>
      <c r="AQ45" s="189">
        <v>396931234.61000001</v>
      </c>
      <c r="AR45" s="189">
        <v>0</v>
      </c>
      <c r="AS45" s="189">
        <v>435850673.97000003</v>
      </c>
      <c r="AT45" s="189">
        <v>0</v>
      </c>
      <c r="AU45" s="189">
        <v>95907935.900000006</v>
      </c>
      <c r="AV45" s="189">
        <v>0</v>
      </c>
      <c r="AW45" s="189">
        <v>220741667.41999999</v>
      </c>
      <c r="AX45" s="189">
        <v>127391794.39</v>
      </c>
      <c r="AY45" s="189">
        <v>77833886.75</v>
      </c>
      <c r="AZ45" s="189">
        <v>34496638.25</v>
      </c>
      <c r="BA45" s="189">
        <v>185677970.33000001</v>
      </c>
      <c r="BB45" s="189">
        <v>114319339.3</v>
      </c>
      <c r="BC45" s="189">
        <v>66787484.920000002</v>
      </c>
      <c r="BD45" s="189">
        <v>27871145.050000001</v>
      </c>
      <c r="BE45" s="189">
        <v>143683639.97999999</v>
      </c>
      <c r="BF45" s="189">
        <v>90808581.780000001</v>
      </c>
      <c r="BG45" s="189">
        <v>42117836.810000002</v>
      </c>
      <c r="BH45" s="189">
        <v>20654179.050000001</v>
      </c>
      <c r="BI45" s="189">
        <v>128254588.06</v>
      </c>
      <c r="BJ45" s="189">
        <v>71707172.719999999</v>
      </c>
      <c r="BK45" s="189">
        <v>26972349.449999999</v>
      </c>
      <c r="BL45" s="189">
        <v>24412008.140000001</v>
      </c>
      <c r="BM45" s="189">
        <v>104058010.26000001</v>
      </c>
      <c r="BN45" s="189">
        <v>32980203.649999999</v>
      </c>
      <c r="BO45" s="189">
        <v>98425147</v>
      </c>
      <c r="BP45" s="189">
        <v>30386890.600000001</v>
      </c>
      <c r="BQ45" s="189">
        <v>87071643.299999997</v>
      </c>
      <c r="BR45" s="189">
        <v>19129705.52</v>
      </c>
      <c r="BS45" s="189">
        <v>70690625.760000005</v>
      </c>
      <c r="BT45" s="189">
        <v>59018395.049999997</v>
      </c>
      <c r="BU45" s="189">
        <v>20335769.640000001</v>
      </c>
      <c r="BV45" s="189">
        <v>0</v>
      </c>
    </row>
    <row r="46" spans="1:74" x14ac:dyDescent="0.2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0</v>
      </c>
      <c r="AT46" s="189">
        <v>0</v>
      </c>
      <c r="AU46" s="189">
        <v>0</v>
      </c>
      <c r="AV46" s="189">
        <v>0</v>
      </c>
      <c r="AW46" s="189">
        <v>4216229.21</v>
      </c>
      <c r="AX46" s="189">
        <v>2583707.12</v>
      </c>
      <c r="AY46" s="189">
        <v>-3681549.04</v>
      </c>
      <c r="AZ46" s="189">
        <v>-1776139.91</v>
      </c>
      <c r="BA46" s="189">
        <v>-3718134.73</v>
      </c>
      <c r="BB46" s="189">
        <v>-1823087.78</v>
      </c>
      <c r="BC46" s="189">
        <v>-772077.36</v>
      </c>
      <c r="BD46" s="189">
        <v>-83571.94</v>
      </c>
      <c r="BE46" s="189">
        <v>-172186.79</v>
      </c>
      <c r="BF46" s="189">
        <v>-328416.65999999997</v>
      </c>
      <c r="BG46" s="189">
        <v>-115594.47</v>
      </c>
      <c r="BH46" s="189">
        <v>-32951.03</v>
      </c>
      <c r="BI46" s="189">
        <v>-82455.539999999994</v>
      </c>
      <c r="BJ46" s="189">
        <v>0</v>
      </c>
      <c r="BK46" s="189">
        <v>0</v>
      </c>
      <c r="BL46" s="189">
        <v>0</v>
      </c>
      <c r="BM46" s="189">
        <v>0</v>
      </c>
      <c r="BN46" s="189">
        <v>0</v>
      </c>
      <c r="BO46" s="189">
        <v>0</v>
      </c>
      <c r="BP46" s="189">
        <v>0</v>
      </c>
      <c r="BQ46" s="189">
        <v>0</v>
      </c>
      <c r="BR46" s="189">
        <v>0</v>
      </c>
      <c r="BS46" s="189">
        <v>0</v>
      </c>
      <c r="BT46" s="189">
        <v>0</v>
      </c>
      <c r="BU46" s="189">
        <v>0</v>
      </c>
      <c r="BV46" s="189">
        <v>0</v>
      </c>
    </row>
    <row r="47" spans="1:74" x14ac:dyDescent="0.2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c r="BP47" s="189">
        <v>0</v>
      </c>
      <c r="BQ47" s="189">
        <v>0</v>
      </c>
      <c r="BR47" s="189">
        <v>0</v>
      </c>
      <c r="BS47" s="189">
        <v>0</v>
      </c>
      <c r="BT47" s="189">
        <v>0</v>
      </c>
      <c r="BU47" s="189">
        <v>0</v>
      </c>
      <c r="BV47" s="189">
        <v>0</v>
      </c>
    </row>
    <row r="48" spans="1:74" x14ac:dyDescent="0.25">
      <c r="A48" s="189" t="s">
        <v>262</v>
      </c>
      <c r="B48" s="189">
        <v>0</v>
      </c>
      <c r="C48" s="189">
        <v>-110788307.19</v>
      </c>
      <c r="D48" s="189">
        <v>0</v>
      </c>
      <c r="E48" s="189">
        <v>560350406.35000002</v>
      </c>
      <c r="F48" s="189">
        <v>0</v>
      </c>
      <c r="G48" s="189">
        <v>25803137.550000001</v>
      </c>
      <c r="H48" s="189">
        <v>0</v>
      </c>
      <c r="I48" s="189">
        <v>437965546.48000002</v>
      </c>
      <c r="J48" s="189">
        <v>0</v>
      </c>
      <c r="K48" s="189">
        <v>93790916.879999995</v>
      </c>
      <c r="L48" s="189">
        <v>0</v>
      </c>
      <c r="M48" s="189">
        <v>240740779.00999999</v>
      </c>
      <c r="N48" s="189">
        <v>0</v>
      </c>
      <c r="O48" s="189">
        <v>-50117286.490000002</v>
      </c>
      <c r="P48" s="189">
        <v>0</v>
      </c>
      <c r="Q48" s="189">
        <v>356544590.82999998</v>
      </c>
      <c r="R48" s="189">
        <v>0</v>
      </c>
      <c r="S48" s="189">
        <v>52789038.43</v>
      </c>
      <c r="T48" s="189">
        <v>0</v>
      </c>
      <c r="U48" s="189">
        <v>10876314.699999999</v>
      </c>
      <c r="V48" s="189">
        <v>0</v>
      </c>
      <c r="W48" s="189">
        <v>176033326.75999999</v>
      </c>
      <c r="X48" s="189">
        <v>0</v>
      </c>
      <c r="Y48" s="189">
        <v>258726975.11000001</v>
      </c>
      <c r="Z48" s="189">
        <v>0</v>
      </c>
      <c r="AA48" s="189">
        <v>57231779.520000003</v>
      </c>
      <c r="AB48" s="189">
        <v>0</v>
      </c>
      <c r="AC48" s="189">
        <v>39806258.420000002</v>
      </c>
      <c r="AD48" s="189">
        <v>0</v>
      </c>
      <c r="AE48" s="189">
        <v>9430681.3399999999</v>
      </c>
      <c r="AF48" s="189">
        <v>0</v>
      </c>
      <c r="AG48" s="189">
        <v>40379439.049999997</v>
      </c>
      <c r="AH48" s="189">
        <v>0</v>
      </c>
      <c r="AI48" s="189">
        <v>24495553.59</v>
      </c>
      <c r="AJ48" s="189">
        <v>0</v>
      </c>
      <c r="AK48" s="189">
        <v>39616708.619999997</v>
      </c>
      <c r="AL48" s="189">
        <v>0</v>
      </c>
      <c r="AM48" s="189">
        <v>9914485.5299999993</v>
      </c>
      <c r="AN48" s="189">
        <v>0</v>
      </c>
      <c r="AO48" s="189">
        <v>136518656.44</v>
      </c>
      <c r="AP48" s="189">
        <v>0</v>
      </c>
      <c r="AQ48" s="189">
        <v>-16013320.02</v>
      </c>
      <c r="AR48" s="189">
        <v>0</v>
      </c>
      <c r="AS48" s="189">
        <v>39052075.049999997</v>
      </c>
      <c r="AT48" s="189">
        <v>0</v>
      </c>
      <c r="AU48" s="189">
        <v>4425313.41</v>
      </c>
      <c r="AV48" s="189">
        <v>0</v>
      </c>
      <c r="AW48" s="189">
        <v>-17130701.940000001</v>
      </c>
      <c r="AX48" s="189">
        <v>485750.09</v>
      </c>
      <c r="AY48" s="189">
        <v>485750.09</v>
      </c>
      <c r="AZ48" s="189">
        <v>0</v>
      </c>
      <c r="BA48" s="189">
        <v>35472912.789999999</v>
      </c>
      <c r="BB48" s="189">
        <v>4171553.55</v>
      </c>
      <c r="BC48" s="189">
        <v>4266864.62</v>
      </c>
      <c r="BD48" s="189">
        <v>-131330.81</v>
      </c>
      <c r="BE48" s="189">
        <v>-2182648.71</v>
      </c>
      <c r="BF48" s="189">
        <v>-20116.669999999998</v>
      </c>
      <c r="BG48" s="189">
        <v>-5892646.1799999997</v>
      </c>
      <c r="BH48" s="189">
        <v>108882.97</v>
      </c>
      <c r="BI48" s="189">
        <v>2073804.81</v>
      </c>
      <c r="BJ48" s="189">
        <v>-4523896.12</v>
      </c>
      <c r="BK48" s="189">
        <v>-4479228.55</v>
      </c>
      <c r="BL48" s="189">
        <v>-4479228.55</v>
      </c>
      <c r="BM48" s="189">
        <v>21237271.25</v>
      </c>
      <c r="BN48" s="189">
        <v>-56376.65</v>
      </c>
      <c r="BO48" s="189">
        <v>35176997.810000002</v>
      </c>
      <c r="BP48" s="189">
        <v>18607657.719999999</v>
      </c>
      <c r="BQ48" s="189">
        <v>5453546.79</v>
      </c>
      <c r="BR48" s="189">
        <v>-68000</v>
      </c>
      <c r="BS48" s="189">
        <v>-330591.13</v>
      </c>
      <c r="BT48" s="189">
        <v>82601.350000000006</v>
      </c>
      <c r="BU48" s="189">
        <v>41326.629999999997</v>
      </c>
      <c r="BV48" s="189">
        <v>0</v>
      </c>
    </row>
    <row r="49" spans="1:74" x14ac:dyDescent="0.25">
      <c r="A49" s="189" t="s">
        <v>263</v>
      </c>
      <c r="B49" s="189">
        <v>0</v>
      </c>
      <c r="C49" s="189">
        <v>259642220.38</v>
      </c>
      <c r="D49" s="189">
        <v>0</v>
      </c>
      <c r="E49" s="189">
        <v>659489882.05999994</v>
      </c>
      <c r="F49" s="189">
        <v>0</v>
      </c>
      <c r="G49" s="189">
        <v>317422551.16000003</v>
      </c>
      <c r="H49" s="189">
        <v>0</v>
      </c>
      <c r="I49" s="189">
        <v>662175633.45000005</v>
      </c>
      <c r="J49" s="189">
        <v>0</v>
      </c>
      <c r="K49" s="189">
        <v>275037745.47000003</v>
      </c>
      <c r="L49" s="189">
        <v>0</v>
      </c>
      <c r="M49" s="189">
        <v>690796964.13999999</v>
      </c>
      <c r="N49" s="189">
        <v>0</v>
      </c>
      <c r="O49" s="189">
        <v>315168659.48000002</v>
      </c>
      <c r="P49" s="189">
        <v>0</v>
      </c>
      <c r="Q49" s="189">
        <v>636749145.70000005</v>
      </c>
      <c r="R49" s="189">
        <v>0</v>
      </c>
      <c r="S49" s="189">
        <v>239331503.19</v>
      </c>
      <c r="T49" s="189">
        <v>0</v>
      </c>
      <c r="U49" s="189">
        <v>562054653.70000005</v>
      </c>
      <c r="V49" s="189">
        <v>0</v>
      </c>
      <c r="W49" s="189">
        <v>255320954.13</v>
      </c>
      <c r="X49" s="189">
        <v>0</v>
      </c>
      <c r="Y49" s="189">
        <v>275413445.70999998</v>
      </c>
      <c r="Z49" s="189">
        <v>0</v>
      </c>
      <c r="AA49" s="189">
        <v>97112342.859999999</v>
      </c>
      <c r="AB49" s="189">
        <v>0</v>
      </c>
      <c r="AC49" s="189">
        <v>210966414.24000001</v>
      </c>
      <c r="AD49" s="189">
        <v>0</v>
      </c>
      <c r="AE49" s="189">
        <v>95153293.799999997</v>
      </c>
      <c r="AF49" s="189">
        <v>0</v>
      </c>
      <c r="AG49" s="189">
        <v>185747716.58000001</v>
      </c>
      <c r="AH49" s="189">
        <v>0</v>
      </c>
      <c r="AI49" s="189">
        <v>116553559.33</v>
      </c>
      <c r="AJ49" s="189">
        <v>0</v>
      </c>
      <c r="AK49" s="189">
        <v>174730838.71000001</v>
      </c>
      <c r="AL49" s="189">
        <v>0</v>
      </c>
      <c r="AM49" s="189">
        <v>71671214.469999999</v>
      </c>
      <c r="AN49" s="189">
        <v>0</v>
      </c>
      <c r="AO49" s="189">
        <v>116454236.84999999</v>
      </c>
      <c r="AP49" s="189">
        <v>0</v>
      </c>
      <c r="AQ49" s="189">
        <v>48928022.170000002</v>
      </c>
      <c r="AR49" s="189">
        <v>0</v>
      </c>
      <c r="AS49" s="189">
        <v>85798312.950000003</v>
      </c>
      <c r="AT49" s="189">
        <v>0</v>
      </c>
      <c r="AU49" s="189">
        <v>40527218.950000003</v>
      </c>
      <c r="AV49" s="189">
        <v>0</v>
      </c>
      <c r="AW49" s="189">
        <v>87866672.469999999</v>
      </c>
      <c r="AX49" s="189">
        <v>63744891.5</v>
      </c>
      <c r="AY49" s="189">
        <v>45865629.329999998</v>
      </c>
      <c r="AZ49" s="189">
        <v>21633801.859999999</v>
      </c>
      <c r="BA49" s="189">
        <v>77853553.819999993</v>
      </c>
      <c r="BB49" s="189">
        <v>52042802.289999999</v>
      </c>
      <c r="BC49" s="189">
        <v>38162884.369999997</v>
      </c>
      <c r="BD49" s="189">
        <v>18922487.41</v>
      </c>
      <c r="BE49" s="189">
        <v>82569480.349999994</v>
      </c>
      <c r="BF49" s="189">
        <v>60221696.560000002</v>
      </c>
      <c r="BG49" s="189">
        <v>38694363.369999997</v>
      </c>
      <c r="BH49" s="189">
        <v>19179087.300000001</v>
      </c>
      <c r="BI49" s="189">
        <v>73142367.620000005</v>
      </c>
      <c r="BJ49" s="189">
        <v>51771110.539999999</v>
      </c>
      <c r="BK49" s="189">
        <v>33792412.57</v>
      </c>
      <c r="BL49" s="189">
        <v>16515649.85</v>
      </c>
      <c r="BM49" s="189">
        <v>78900228.019999996</v>
      </c>
      <c r="BN49" s="189">
        <v>35039037.140000001</v>
      </c>
      <c r="BO49" s="189">
        <v>30675518.879999999</v>
      </c>
      <c r="BP49" s="189">
        <v>16255720.300000001</v>
      </c>
      <c r="BQ49" s="189">
        <v>30419063.109999999</v>
      </c>
      <c r="BR49" s="189">
        <v>15023217.310000001</v>
      </c>
      <c r="BS49" s="189">
        <v>23509854.199999999</v>
      </c>
      <c r="BT49" s="189">
        <v>7733782.7999999998</v>
      </c>
      <c r="BU49" s="189">
        <v>2550620.25</v>
      </c>
      <c r="BV49" s="189">
        <v>0</v>
      </c>
    </row>
    <row r="50" spans="1:74" x14ac:dyDescent="0.25">
      <c r="A50" s="189" t="s">
        <v>264</v>
      </c>
      <c r="B50" s="189">
        <v>0</v>
      </c>
      <c r="C50" s="189">
        <v>19580311.989999998</v>
      </c>
      <c r="D50" s="189">
        <v>0</v>
      </c>
      <c r="E50" s="189">
        <v>38899795.020000003</v>
      </c>
      <c r="F50" s="189">
        <v>0</v>
      </c>
      <c r="G50" s="189">
        <v>16410932.869999999</v>
      </c>
      <c r="H50" s="189">
        <v>0</v>
      </c>
      <c r="I50" s="189">
        <v>38193695.560000002</v>
      </c>
      <c r="J50" s="189">
        <v>0</v>
      </c>
      <c r="K50" s="189">
        <v>19105790.719999999</v>
      </c>
      <c r="L50" s="189">
        <v>0</v>
      </c>
      <c r="M50" s="189">
        <v>34277690.350000001</v>
      </c>
      <c r="N50" s="189">
        <v>0</v>
      </c>
      <c r="O50" s="189">
        <v>13638769.93</v>
      </c>
      <c r="P50" s="189">
        <v>0</v>
      </c>
      <c r="Q50" s="189">
        <v>24762878.719999999</v>
      </c>
      <c r="R50" s="189">
        <v>0</v>
      </c>
      <c r="S50" s="189">
        <v>8807462.9199999999</v>
      </c>
      <c r="T50" s="189">
        <v>0</v>
      </c>
      <c r="U50" s="189">
        <v>18169642.59</v>
      </c>
      <c r="V50" s="189">
        <v>0</v>
      </c>
      <c r="W50" s="189">
        <v>9029217.4800000004</v>
      </c>
      <c r="X50" s="189">
        <v>0</v>
      </c>
      <c r="Y50" s="189">
        <v>16431604.09</v>
      </c>
      <c r="Z50" s="189">
        <v>0</v>
      </c>
      <c r="AA50" s="189">
        <v>7838459.8200000003</v>
      </c>
      <c r="AB50" s="189">
        <v>0</v>
      </c>
      <c r="AC50" s="189">
        <v>13020872.41</v>
      </c>
      <c r="AD50" s="189">
        <v>0</v>
      </c>
      <c r="AE50" s="189">
        <v>5183818.55</v>
      </c>
      <c r="AF50" s="189">
        <v>0</v>
      </c>
      <c r="AG50" s="189">
        <v>9461305.3699999992</v>
      </c>
      <c r="AH50" s="189">
        <v>0</v>
      </c>
      <c r="AI50" s="189">
        <v>4488736.75</v>
      </c>
      <c r="AJ50" s="189">
        <v>0</v>
      </c>
      <c r="AK50" s="189">
        <v>10144856.43</v>
      </c>
      <c r="AL50" s="189">
        <v>0</v>
      </c>
      <c r="AM50" s="189">
        <v>4917789.0599999996</v>
      </c>
      <c r="AN50" s="189">
        <v>0</v>
      </c>
      <c r="AO50" s="189">
        <v>7064789.0599999996</v>
      </c>
      <c r="AP50" s="189">
        <v>0</v>
      </c>
      <c r="AQ50" s="189">
        <v>3019436.11</v>
      </c>
      <c r="AR50" s="189">
        <v>0</v>
      </c>
      <c r="AS50" s="189">
        <v>4669492.04</v>
      </c>
      <c r="AT50" s="189">
        <v>0</v>
      </c>
      <c r="AU50" s="189">
        <v>2483355.67</v>
      </c>
      <c r="AV50" s="189">
        <v>0</v>
      </c>
      <c r="AW50" s="189">
        <v>5815529</v>
      </c>
      <c r="AX50" s="189">
        <v>5773794.8899999997</v>
      </c>
      <c r="AY50" s="189">
        <v>2989091.63</v>
      </c>
      <c r="AZ50" s="189">
        <v>1573317.14</v>
      </c>
      <c r="BA50" s="189">
        <v>6639618.4400000004</v>
      </c>
      <c r="BB50" s="189">
        <v>4950257.96</v>
      </c>
      <c r="BC50" s="189">
        <v>3280878.16</v>
      </c>
      <c r="BD50" s="189">
        <v>1611710.84</v>
      </c>
      <c r="BE50" s="189">
        <v>5623071.4400000004</v>
      </c>
      <c r="BF50" s="189">
        <v>3826610.44</v>
      </c>
      <c r="BG50" s="189">
        <v>2345347.66</v>
      </c>
      <c r="BH50" s="189">
        <v>1169980.3700000001</v>
      </c>
      <c r="BI50" s="189">
        <v>4111167.07</v>
      </c>
      <c r="BJ50" s="189">
        <v>2448572.8199999998</v>
      </c>
      <c r="BK50" s="189">
        <v>1495816.79</v>
      </c>
      <c r="BL50" s="189">
        <v>631052.81000000006</v>
      </c>
      <c r="BM50" s="189">
        <v>1253777.0900000001</v>
      </c>
      <c r="BN50" s="189">
        <v>271874.71000000002</v>
      </c>
      <c r="BO50" s="189">
        <v>552234.48</v>
      </c>
      <c r="BP50" s="189">
        <v>278230.05</v>
      </c>
      <c r="BQ50" s="189">
        <v>515959.18</v>
      </c>
      <c r="BR50" s="189">
        <v>239841.94</v>
      </c>
      <c r="BS50" s="189">
        <v>460711.29</v>
      </c>
      <c r="BT50" s="189">
        <v>459223.8</v>
      </c>
      <c r="BU50" s="189">
        <v>229611.9</v>
      </c>
      <c r="BV50" s="189">
        <v>0</v>
      </c>
    </row>
    <row r="51" spans="1:74" x14ac:dyDescent="0.25">
      <c r="A51" s="189" t="s">
        <v>265</v>
      </c>
      <c r="B51" s="189">
        <v>0</v>
      </c>
      <c r="C51" s="189">
        <v>4995607.3499999996</v>
      </c>
      <c r="D51" s="189">
        <v>0</v>
      </c>
      <c r="E51" s="189">
        <v>12987602.67</v>
      </c>
      <c r="F51" s="189">
        <v>0</v>
      </c>
      <c r="G51" s="189">
        <v>5382103.2300000004</v>
      </c>
      <c r="H51" s="189">
        <v>0</v>
      </c>
      <c r="I51" s="189">
        <v>13701761.630000001</v>
      </c>
      <c r="J51" s="189">
        <v>0</v>
      </c>
      <c r="K51" s="189">
        <v>6425594.8399999999</v>
      </c>
      <c r="L51" s="189">
        <v>0</v>
      </c>
      <c r="M51" s="189">
        <v>13150105.02</v>
      </c>
      <c r="N51" s="189">
        <v>0</v>
      </c>
      <c r="O51" s="189">
        <v>5204980.82</v>
      </c>
      <c r="P51" s="189">
        <v>0</v>
      </c>
      <c r="Q51" s="189">
        <v>7624943.3399999999</v>
      </c>
      <c r="R51" s="189">
        <v>0</v>
      </c>
      <c r="S51" s="189">
        <v>0</v>
      </c>
      <c r="T51" s="189">
        <v>0</v>
      </c>
      <c r="U51" s="189">
        <v>15272.29</v>
      </c>
      <c r="V51" s="189">
        <v>0</v>
      </c>
      <c r="W51" s="189">
        <v>15272.29</v>
      </c>
      <c r="X51" s="189">
        <v>0</v>
      </c>
      <c r="Y51" s="189">
        <v>61088.88</v>
      </c>
      <c r="Z51" s="189">
        <v>0</v>
      </c>
      <c r="AA51" s="189">
        <v>12301997.74</v>
      </c>
      <c r="AB51" s="189">
        <v>0</v>
      </c>
      <c r="AC51" s="189">
        <v>61088.88</v>
      </c>
      <c r="AD51" s="189">
        <v>0</v>
      </c>
      <c r="AE51" s="189">
        <v>30544.44</v>
      </c>
      <c r="AF51" s="189">
        <v>0</v>
      </c>
      <c r="AG51" s="189">
        <v>61088.88</v>
      </c>
      <c r="AH51" s="189">
        <v>0</v>
      </c>
      <c r="AI51" s="189">
        <v>363294.44</v>
      </c>
      <c r="AJ51" s="189">
        <v>0</v>
      </c>
      <c r="AK51" s="189">
        <v>4231023.7</v>
      </c>
      <c r="AL51" s="189">
        <v>0</v>
      </c>
      <c r="AM51" s="189">
        <v>2115511.7999999998</v>
      </c>
      <c r="AN51" s="189">
        <v>0</v>
      </c>
      <c r="AO51" s="189">
        <v>4215751.38</v>
      </c>
      <c r="AP51" s="189">
        <v>0</v>
      </c>
      <c r="AQ51" s="189">
        <v>1778443.91</v>
      </c>
      <c r="AR51" s="189">
        <v>0</v>
      </c>
      <c r="AS51" s="189">
        <v>265500</v>
      </c>
      <c r="AT51" s="189">
        <v>0</v>
      </c>
      <c r="AU51" s="189">
        <v>0</v>
      </c>
      <c r="AV51" s="189">
        <v>0</v>
      </c>
      <c r="AW51" s="189">
        <v>26666.67</v>
      </c>
      <c r="AX51" s="189">
        <v>26666.67</v>
      </c>
      <c r="AY51" s="189">
        <v>26666.67</v>
      </c>
      <c r="AZ51" s="189">
        <v>20000</v>
      </c>
      <c r="BA51" s="189">
        <v>80000</v>
      </c>
      <c r="BB51" s="189">
        <v>60000</v>
      </c>
      <c r="BC51" s="189">
        <v>40000</v>
      </c>
      <c r="BD51" s="189">
        <v>20000</v>
      </c>
      <c r="BE51" s="189">
        <v>80000</v>
      </c>
      <c r="BF51" s="189">
        <v>-24203.98</v>
      </c>
      <c r="BG51" s="189">
        <v>40000</v>
      </c>
      <c r="BH51" s="189">
        <v>29885</v>
      </c>
      <c r="BI51" s="189">
        <v>13333.33</v>
      </c>
      <c r="BJ51" s="189">
        <v>0</v>
      </c>
      <c r="BK51" s="189">
        <v>250</v>
      </c>
      <c r="BL51" s="189">
        <v>0</v>
      </c>
      <c r="BM51" s="189">
        <v>0</v>
      </c>
      <c r="BN51" s="189">
        <v>0</v>
      </c>
      <c r="BO51" s="189">
        <v>0</v>
      </c>
      <c r="BP51" s="189">
        <v>0</v>
      </c>
      <c r="BQ51" s="189">
        <v>0</v>
      </c>
      <c r="BR51" s="189">
        <v>0</v>
      </c>
      <c r="BS51" s="189">
        <v>0</v>
      </c>
      <c r="BT51" s="189">
        <v>0</v>
      </c>
      <c r="BU51" s="189">
        <v>0</v>
      </c>
      <c r="BV51" s="189">
        <v>0</v>
      </c>
    </row>
    <row r="52" spans="1:74" x14ac:dyDescent="0.2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-27430.13</v>
      </c>
      <c r="AX52" s="189">
        <v>-492915.15</v>
      </c>
      <c r="AY52" s="189">
        <v>56889.17</v>
      </c>
      <c r="AZ52" s="189">
        <v>-154460.13</v>
      </c>
      <c r="BA52" s="189">
        <v>-14885.5</v>
      </c>
      <c r="BB52" s="189">
        <v>42003.67</v>
      </c>
      <c r="BC52" s="189">
        <v>42003.67</v>
      </c>
      <c r="BD52" s="189">
        <v>-1247287.45</v>
      </c>
      <c r="BE52" s="189">
        <v>-1230.28</v>
      </c>
      <c r="BF52" s="189">
        <v>-4150267.64</v>
      </c>
      <c r="BG52" s="189">
        <v>-6868619.0999999996</v>
      </c>
      <c r="BH52" s="189">
        <v>-8828937.0800000001</v>
      </c>
      <c r="BI52" s="189">
        <v>306713.90000000002</v>
      </c>
      <c r="BJ52" s="189">
        <v>364527</v>
      </c>
      <c r="BK52" s="189">
        <v>189976.98</v>
      </c>
      <c r="BL52" s="189">
        <v>261826.94</v>
      </c>
      <c r="BM52" s="189">
        <v>369306.39</v>
      </c>
      <c r="BN52" s="189">
        <v>-159687.76999999999</v>
      </c>
      <c r="BO52" s="189">
        <v>-24709.55</v>
      </c>
      <c r="BP52" s="189">
        <v>-246819.42</v>
      </c>
      <c r="BQ52" s="189">
        <v>2639674.9700000002</v>
      </c>
      <c r="BR52" s="189">
        <v>0</v>
      </c>
      <c r="BS52" s="189">
        <v>-2802720.92</v>
      </c>
      <c r="BT52" s="189">
        <v>751578.37</v>
      </c>
      <c r="BU52" s="189">
        <v>0</v>
      </c>
      <c r="BV52" s="189">
        <v>0</v>
      </c>
    </row>
    <row r="53" spans="1:74" x14ac:dyDescent="0.2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0</v>
      </c>
      <c r="AW53" s="189">
        <v>0</v>
      </c>
      <c r="AX53" s="189">
        <v>2901210.92</v>
      </c>
      <c r="AY53" s="189">
        <v>1695532.42</v>
      </c>
      <c r="AZ53" s="189">
        <v>0</v>
      </c>
      <c r="BA53" s="189">
        <v>-1890</v>
      </c>
      <c r="BB53" s="189">
        <v>22193062.329999998</v>
      </c>
      <c r="BC53" s="189">
        <v>1278782.82</v>
      </c>
      <c r="BD53" s="189">
        <v>-1890</v>
      </c>
      <c r="BE53" s="189">
        <v>1890</v>
      </c>
      <c r="BF53" s="189">
        <v>251756.54</v>
      </c>
      <c r="BG53" s="189">
        <v>1221936.3</v>
      </c>
      <c r="BH53" s="189">
        <v>3100458.76</v>
      </c>
      <c r="BI53" s="189">
        <v>17010</v>
      </c>
      <c r="BJ53" s="189">
        <v>11180514.77</v>
      </c>
      <c r="BK53" s="189">
        <v>10911840.43</v>
      </c>
      <c r="BL53" s="189">
        <v>9358210.1799999997</v>
      </c>
      <c r="BM53" s="189">
        <v>-2998197.85</v>
      </c>
      <c r="BN53" s="189">
        <v>19629210.170000002</v>
      </c>
      <c r="BO53" s="189">
        <v>1058723.3799999999</v>
      </c>
      <c r="BP53" s="189">
        <v>12348128.68</v>
      </c>
      <c r="BQ53" s="189">
        <v>0</v>
      </c>
      <c r="BR53" s="189">
        <v>0</v>
      </c>
      <c r="BS53" s="189">
        <v>481880</v>
      </c>
      <c r="BT53" s="189">
        <v>259004</v>
      </c>
      <c r="BU53" s="189">
        <v>0</v>
      </c>
      <c r="BV53" s="189">
        <v>0</v>
      </c>
    </row>
    <row r="54" spans="1:74" x14ac:dyDescent="0.25">
      <c r="A54" s="189" t="s">
        <v>268</v>
      </c>
      <c r="B54" s="189">
        <v>0</v>
      </c>
      <c r="C54" s="189">
        <v>0</v>
      </c>
      <c r="D54" s="189">
        <v>0</v>
      </c>
      <c r="E54" s="189">
        <v>-1075601.71</v>
      </c>
      <c r="F54" s="189">
        <v>0</v>
      </c>
      <c r="G54" s="189">
        <v>-211013.99</v>
      </c>
      <c r="H54" s="189">
        <v>0</v>
      </c>
      <c r="I54" s="189">
        <v>-14407231.060000001</v>
      </c>
      <c r="J54" s="189">
        <v>0</v>
      </c>
      <c r="K54" s="189">
        <v>-102310.35</v>
      </c>
      <c r="L54" s="189">
        <v>0</v>
      </c>
      <c r="M54" s="189">
        <v>4992497.3899999997</v>
      </c>
      <c r="N54" s="189">
        <v>0</v>
      </c>
      <c r="O54" s="189">
        <v>1829112.15</v>
      </c>
      <c r="P54" s="189">
        <v>0</v>
      </c>
      <c r="Q54" s="189">
        <v>-378183.18</v>
      </c>
      <c r="R54" s="189">
        <v>0</v>
      </c>
      <c r="S54" s="189">
        <v>0</v>
      </c>
      <c r="T54" s="189">
        <v>0</v>
      </c>
      <c r="U54" s="189">
        <v>-248789.14</v>
      </c>
      <c r="V54" s="189">
        <v>0</v>
      </c>
      <c r="W54" s="189">
        <v>0</v>
      </c>
      <c r="X54" s="189">
        <v>0</v>
      </c>
      <c r="Y54" s="189">
        <v>-207196.19</v>
      </c>
      <c r="Z54" s="189">
        <v>0</v>
      </c>
      <c r="AA54" s="189">
        <v>0</v>
      </c>
      <c r="AB54" s="189">
        <v>0</v>
      </c>
      <c r="AC54" s="189">
        <v>-422047.67</v>
      </c>
      <c r="AD54" s="189">
        <v>0</v>
      </c>
      <c r="AE54" s="189">
        <v>0</v>
      </c>
      <c r="AF54" s="189">
        <v>0</v>
      </c>
      <c r="AG54" s="189">
        <v>1879109.56</v>
      </c>
      <c r="AH54" s="189">
        <v>0</v>
      </c>
      <c r="AI54" s="189">
        <v>-291750.96000000002</v>
      </c>
      <c r="AJ54" s="189">
        <v>0</v>
      </c>
      <c r="AK54" s="189">
        <v>2388482.41</v>
      </c>
      <c r="AL54" s="189">
        <v>0</v>
      </c>
      <c r="AM54" s="189">
        <v>-400174.75</v>
      </c>
      <c r="AN54" s="189">
        <v>0</v>
      </c>
      <c r="AO54" s="189">
        <v>4432564.9800000004</v>
      </c>
      <c r="AP54" s="189">
        <v>0</v>
      </c>
      <c r="AQ54" s="189">
        <v>-570440.99</v>
      </c>
      <c r="AR54" s="189">
        <v>0</v>
      </c>
      <c r="AS54" s="189">
        <v>171715.73</v>
      </c>
      <c r="AT54" s="189">
        <v>0</v>
      </c>
      <c r="AU54" s="189">
        <v>-782090.85</v>
      </c>
      <c r="AV54" s="189">
        <v>0</v>
      </c>
      <c r="AW54" s="189">
        <v>286829.36</v>
      </c>
      <c r="AX54" s="189">
        <v>-109349.82</v>
      </c>
      <c r="AY54" s="189">
        <v>-6742.04</v>
      </c>
      <c r="AZ54" s="189">
        <v>550593.46</v>
      </c>
      <c r="BA54" s="189">
        <v>-758923.09</v>
      </c>
      <c r="BB54" s="189">
        <v>-1778729.52</v>
      </c>
      <c r="BC54" s="189">
        <v>-1428275.06</v>
      </c>
      <c r="BD54" s="189">
        <v>-12000</v>
      </c>
      <c r="BE54" s="189">
        <v>638404.5</v>
      </c>
      <c r="BF54" s="189">
        <v>-63969.4</v>
      </c>
      <c r="BG54" s="189">
        <v>-26469.4</v>
      </c>
      <c r="BH54" s="189">
        <v>-26469.4</v>
      </c>
      <c r="BI54" s="189">
        <v>1673708.42</v>
      </c>
      <c r="BJ54" s="189">
        <v>3780</v>
      </c>
      <c r="BK54" s="189">
        <v>3780</v>
      </c>
      <c r="BL54" s="189">
        <v>0</v>
      </c>
      <c r="BM54" s="189">
        <v>15885571.27</v>
      </c>
      <c r="BN54" s="189">
        <v>-2637.52</v>
      </c>
      <c r="BO54" s="189">
        <v>17178233.09</v>
      </c>
      <c r="BP54" s="189">
        <v>-18000</v>
      </c>
      <c r="BQ54" s="189">
        <v>2009504.5</v>
      </c>
      <c r="BR54" s="189">
        <v>598672.47</v>
      </c>
      <c r="BS54" s="189">
        <v>0</v>
      </c>
      <c r="BT54" s="189">
        <v>153573.57999999999</v>
      </c>
      <c r="BU54" s="189">
        <v>4594.6499999999996</v>
      </c>
      <c r="BV54" s="189">
        <v>0</v>
      </c>
    </row>
    <row r="55" spans="1:74" x14ac:dyDescent="0.25">
      <c r="A55" s="189" t="s">
        <v>269</v>
      </c>
      <c r="B55" s="189">
        <v>0</v>
      </c>
      <c r="C55" s="189">
        <v>-65608.56</v>
      </c>
      <c r="D55" s="189">
        <v>0</v>
      </c>
      <c r="E55" s="189">
        <v>11030681.93</v>
      </c>
      <c r="F55" s="189">
        <v>0</v>
      </c>
      <c r="G55" s="189">
        <v>0</v>
      </c>
      <c r="H55" s="189">
        <v>0</v>
      </c>
      <c r="I55" s="189">
        <v>0</v>
      </c>
      <c r="J55" s="189">
        <v>0</v>
      </c>
      <c r="K55" s="189">
        <v>0</v>
      </c>
      <c r="L55" s="189">
        <v>0</v>
      </c>
      <c r="M55" s="189">
        <v>0</v>
      </c>
      <c r="N55" s="189">
        <v>0</v>
      </c>
      <c r="O55" s="189">
        <v>0</v>
      </c>
      <c r="P55" s="189">
        <v>0</v>
      </c>
      <c r="Q55" s="189">
        <v>0</v>
      </c>
      <c r="R55" s="189">
        <v>0</v>
      </c>
      <c r="S55" s="189">
        <v>-667979.77</v>
      </c>
      <c r="T55" s="189">
        <v>0</v>
      </c>
      <c r="U55" s="189">
        <v>0</v>
      </c>
      <c r="V55" s="189">
        <v>0</v>
      </c>
      <c r="W55" s="189">
        <v>-360893.64</v>
      </c>
      <c r="X55" s="189">
        <v>0</v>
      </c>
      <c r="Y55" s="189">
        <v>0</v>
      </c>
      <c r="Z55" s="189">
        <v>0</v>
      </c>
      <c r="AA55" s="189">
        <v>-330849.37</v>
      </c>
      <c r="AB55" s="189">
        <v>0</v>
      </c>
      <c r="AC55" s="189">
        <v>0</v>
      </c>
      <c r="AD55" s="189">
        <v>0</v>
      </c>
      <c r="AE55" s="189">
        <v>-229445.36</v>
      </c>
      <c r="AF55" s="189">
        <v>0</v>
      </c>
      <c r="AG55" s="189">
        <v>0</v>
      </c>
      <c r="AH55" s="189">
        <v>0</v>
      </c>
      <c r="AI55" s="189">
        <v>856740.53</v>
      </c>
      <c r="AJ55" s="189">
        <v>0</v>
      </c>
      <c r="AK55" s="189">
        <v>91759.75</v>
      </c>
      <c r="AL55" s="189">
        <v>0</v>
      </c>
      <c r="AM55" s="189">
        <v>1650916.64</v>
      </c>
      <c r="AN55" s="189">
        <v>0</v>
      </c>
      <c r="AO55" s="189">
        <v>0</v>
      </c>
      <c r="AP55" s="189">
        <v>0</v>
      </c>
      <c r="AQ55" s="189">
        <v>252922.01</v>
      </c>
      <c r="AR55" s="189">
        <v>0</v>
      </c>
      <c r="AS55" s="189">
        <v>0</v>
      </c>
      <c r="AT55" s="189">
        <v>0</v>
      </c>
      <c r="AU55" s="189">
        <v>331431.44</v>
      </c>
      <c r="AV55" s="189">
        <v>0</v>
      </c>
      <c r="AW55" s="189">
        <v>0</v>
      </c>
      <c r="AX55" s="189">
        <v>493499.05</v>
      </c>
      <c r="AY55" s="189">
        <v>699614.17</v>
      </c>
      <c r="AZ55" s="189">
        <v>0</v>
      </c>
      <c r="BA55" s="189">
        <v>0</v>
      </c>
      <c r="BB55" s="189">
        <v>822204.74</v>
      </c>
      <c r="BC55" s="189">
        <v>935091.66</v>
      </c>
      <c r="BD55" s="189">
        <v>1101911.31</v>
      </c>
      <c r="BE55" s="189">
        <v>0</v>
      </c>
      <c r="BF55" s="189">
        <v>1057216.06</v>
      </c>
      <c r="BG55" s="189">
        <v>1057216.06</v>
      </c>
      <c r="BH55" s="189">
        <v>121360.29</v>
      </c>
      <c r="BI55" s="189">
        <v>0</v>
      </c>
      <c r="BJ55" s="189">
        <v>241416.69</v>
      </c>
      <c r="BK55" s="189">
        <v>201998.55</v>
      </c>
      <c r="BL55" s="189">
        <v>0</v>
      </c>
      <c r="BM55" s="189">
        <v>0</v>
      </c>
      <c r="BN55" s="189">
        <v>2608.38</v>
      </c>
      <c r="BO55" s="189">
        <v>0</v>
      </c>
      <c r="BP55" s="189">
        <v>397123.75</v>
      </c>
      <c r="BQ55" s="189">
        <v>0</v>
      </c>
      <c r="BR55" s="189">
        <v>0</v>
      </c>
      <c r="BS55" s="189">
        <v>1934528.35</v>
      </c>
      <c r="BT55" s="189">
        <v>0</v>
      </c>
      <c r="BU55" s="189">
        <v>3695595.07</v>
      </c>
      <c r="BV55" s="189">
        <v>0</v>
      </c>
    </row>
    <row r="56" spans="1:74" x14ac:dyDescent="0.25">
      <c r="A56" s="189" t="s">
        <v>270</v>
      </c>
      <c r="B56" s="189">
        <v>0</v>
      </c>
      <c r="C56" s="189">
        <v>70316784.040000007</v>
      </c>
      <c r="D56" s="189">
        <v>0</v>
      </c>
      <c r="E56" s="189">
        <v>-121323856.59</v>
      </c>
      <c r="F56" s="189">
        <v>0</v>
      </c>
      <c r="G56" s="189">
        <v>-39498591</v>
      </c>
      <c r="H56" s="189">
        <v>0</v>
      </c>
      <c r="I56" s="189">
        <v>-58012445.780000001</v>
      </c>
      <c r="J56" s="189">
        <v>0</v>
      </c>
      <c r="K56" s="189">
        <v>44823636.020000003</v>
      </c>
      <c r="L56" s="189">
        <v>0</v>
      </c>
      <c r="M56" s="189">
        <v>41039008.729999997</v>
      </c>
      <c r="N56" s="189">
        <v>0</v>
      </c>
      <c r="O56" s="189">
        <v>39287252.329999998</v>
      </c>
      <c r="P56" s="189">
        <v>0</v>
      </c>
      <c r="Q56" s="189">
        <v>-14531529.98</v>
      </c>
      <c r="R56" s="189">
        <v>0</v>
      </c>
      <c r="S56" s="189">
        <v>2855220.13</v>
      </c>
      <c r="T56" s="189">
        <v>0</v>
      </c>
      <c r="U56" s="189">
        <v>-8155741.7699999996</v>
      </c>
      <c r="V56" s="189">
        <v>0</v>
      </c>
      <c r="W56" s="189">
        <v>-4344103.1500000004</v>
      </c>
      <c r="X56" s="189">
        <v>0</v>
      </c>
      <c r="Y56" s="189">
        <v>1860661.04</v>
      </c>
      <c r="Z56" s="189">
        <v>0</v>
      </c>
      <c r="AA56" s="189">
        <v>0</v>
      </c>
      <c r="AB56" s="189">
        <v>0</v>
      </c>
      <c r="AC56" s="189">
        <v>0</v>
      </c>
      <c r="AD56" s="189">
        <v>0</v>
      </c>
      <c r="AE56" s="189">
        <v>0</v>
      </c>
      <c r="AF56" s="189">
        <v>0</v>
      </c>
      <c r="AG56" s="189">
        <v>5116889.53</v>
      </c>
      <c r="AH56" s="189">
        <v>0</v>
      </c>
      <c r="AI56" s="189">
        <v>5141049.53</v>
      </c>
      <c r="AJ56" s="189">
        <v>0</v>
      </c>
      <c r="AK56" s="189">
        <v>-5096306.03</v>
      </c>
      <c r="AL56" s="189">
        <v>0</v>
      </c>
      <c r="AM56" s="189">
        <v>20583.5</v>
      </c>
      <c r="AN56" s="189">
        <v>0</v>
      </c>
      <c r="AO56" s="189">
        <v>16843696.16</v>
      </c>
      <c r="AP56" s="189">
        <v>0</v>
      </c>
      <c r="AQ56" s="189">
        <v>15564331.15</v>
      </c>
      <c r="AR56" s="189">
        <v>0</v>
      </c>
      <c r="AS56" s="189">
        <v>-15378029.99</v>
      </c>
      <c r="AT56" s="189">
        <v>0</v>
      </c>
      <c r="AU56" s="189">
        <v>-41666.75</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row>
    <row r="57" spans="1:74" x14ac:dyDescent="0.25">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row>
    <row r="58" spans="1:74" x14ac:dyDescent="0.2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row>
    <row r="59" spans="1:74" x14ac:dyDescent="0.25">
      <c r="A59" s="189" t="s">
        <v>197</v>
      </c>
      <c r="B59" s="189">
        <v>0</v>
      </c>
      <c r="C59" s="189">
        <v>43311656.32</v>
      </c>
      <c r="D59" s="189">
        <v>0</v>
      </c>
      <c r="E59" s="189">
        <v>340573342.76999998</v>
      </c>
      <c r="F59" s="189">
        <v>0</v>
      </c>
      <c r="G59" s="189">
        <v>20325507.449999999</v>
      </c>
      <c r="H59" s="189">
        <v>0</v>
      </c>
      <c r="I59" s="189">
        <v>243082695.59999999</v>
      </c>
      <c r="J59" s="189">
        <v>0</v>
      </c>
      <c r="K59" s="189">
        <v>60156709.380000003</v>
      </c>
      <c r="L59" s="189">
        <v>0</v>
      </c>
      <c r="M59" s="189">
        <v>31737773.23</v>
      </c>
      <c r="N59" s="189">
        <v>0</v>
      </c>
      <c r="O59" s="189">
        <v>27231934.789999999</v>
      </c>
      <c r="P59" s="189">
        <v>0</v>
      </c>
      <c r="Q59" s="189">
        <v>50035886.25</v>
      </c>
      <c r="R59" s="189">
        <v>0</v>
      </c>
      <c r="S59" s="189">
        <v>11459992.779999999</v>
      </c>
      <c r="T59" s="189">
        <v>0</v>
      </c>
      <c r="U59" s="189">
        <v>13304099.859999999</v>
      </c>
      <c r="V59" s="189">
        <v>0</v>
      </c>
      <c r="W59" s="189">
        <v>9728172.9499999993</v>
      </c>
      <c r="X59" s="189">
        <v>0</v>
      </c>
      <c r="Y59" s="189">
        <v>6182380.3300000001</v>
      </c>
      <c r="Z59" s="189">
        <v>0</v>
      </c>
      <c r="AA59" s="189">
        <v>2235610.6800000002</v>
      </c>
      <c r="AB59" s="189">
        <v>0</v>
      </c>
      <c r="AC59" s="189">
        <v>4485819.03</v>
      </c>
      <c r="AD59" s="189">
        <v>0</v>
      </c>
      <c r="AE59" s="189">
        <v>738075.82</v>
      </c>
      <c r="AF59" s="189">
        <v>0</v>
      </c>
      <c r="AG59" s="189">
        <v>27140258.739999998</v>
      </c>
      <c r="AH59" s="189">
        <v>0</v>
      </c>
      <c r="AI59" s="189">
        <v>0</v>
      </c>
      <c r="AJ59" s="189">
        <v>0</v>
      </c>
      <c r="AK59" s="189">
        <v>18997311.670000002</v>
      </c>
      <c r="AL59" s="189">
        <v>0</v>
      </c>
      <c r="AM59" s="189">
        <v>3197784.19</v>
      </c>
      <c r="AN59" s="189">
        <v>0</v>
      </c>
      <c r="AO59" s="189">
        <v>41383158.18</v>
      </c>
      <c r="AP59" s="189">
        <v>0</v>
      </c>
      <c r="AQ59" s="189">
        <v>22836333.379999999</v>
      </c>
      <c r="AR59" s="189">
        <v>0</v>
      </c>
      <c r="AS59" s="189">
        <v>29001250.239999998</v>
      </c>
      <c r="AT59" s="189">
        <v>0</v>
      </c>
      <c r="AU59" s="189">
        <v>14254215.279999999</v>
      </c>
      <c r="AV59" s="189">
        <v>0</v>
      </c>
      <c r="AW59" s="189">
        <v>1300964.22</v>
      </c>
      <c r="AX59" s="189">
        <v>517042.31</v>
      </c>
      <c r="AY59" s="189">
        <v>289317.96000000002</v>
      </c>
      <c r="AZ59" s="189">
        <v>615335.4</v>
      </c>
      <c r="BA59" s="189">
        <v>2236133.0299999998</v>
      </c>
      <c r="BB59" s="189">
        <v>805591.13</v>
      </c>
      <c r="BC59" s="189">
        <v>1151550.81</v>
      </c>
      <c r="BD59" s="189">
        <v>664133.75</v>
      </c>
      <c r="BE59" s="189">
        <v>6756477.1399999997</v>
      </c>
      <c r="BF59" s="189">
        <v>8245906.3499999996</v>
      </c>
      <c r="BG59" s="189">
        <v>1452267.7</v>
      </c>
      <c r="BH59" s="189">
        <v>2195375.7799999998</v>
      </c>
      <c r="BI59" s="189">
        <v>1434474.17</v>
      </c>
      <c r="BJ59" s="189">
        <v>2361791.15</v>
      </c>
      <c r="BK59" s="189">
        <v>1271380.77</v>
      </c>
      <c r="BL59" s="189">
        <v>224140</v>
      </c>
      <c r="BM59" s="189">
        <v>5297049.0999999996</v>
      </c>
      <c r="BN59" s="189">
        <v>2961704.5</v>
      </c>
      <c r="BO59" s="189">
        <v>3423293.58</v>
      </c>
      <c r="BP59" s="189">
        <v>1613541</v>
      </c>
      <c r="BQ59" s="189">
        <v>7758232.8700000001</v>
      </c>
      <c r="BR59" s="189">
        <v>5271476.18</v>
      </c>
      <c r="BS59" s="189">
        <v>8669958.0099999998</v>
      </c>
      <c r="BT59" s="189">
        <v>9013459.8699999992</v>
      </c>
      <c r="BU59" s="189">
        <v>0</v>
      </c>
      <c r="BV59" s="189">
        <v>0</v>
      </c>
    </row>
    <row r="60" spans="1:74" x14ac:dyDescent="0.25">
      <c r="A60" s="189" t="s">
        <v>273</v>
      </c>
      <c r="B60" s="189">
        <v>0</v>
      </c>
      <c r="C60" s="189">
        <v>-63844363.859999999</v>
      </c>
      <c r="D60" s="189">
        <v>0</v>
      </c>
      <c r="E60" s="189">
        <v>-86307598.790000007</v>
      </c>
      <c r="F60" s="189">
        <v>0</v>
      </c>
      <c r="G60" s="189">
        <v>-74986987.340000004</v>
      </c>
      <c r="H60" s="189">
        <v>0</v>
      </c>
      <c r="I60" s="189">
        <v>12668793.67</v>
      </c>
      <c r="J60" s="189">
        <v>0</v>
      </c>
      <c r="K60" s="189">
        <v>-28268775.199999999</v>
      </c>
      <c r="L60" s="189">
        <v>0</v>
      </c>
      <c r="M60" s="189">
        <v>-61737809.619999997</v>
      </c>
      <c r="N60" s="189">
        <v>0</v>
      </c>
      <c r="O60" s="189">
        <v>-12346189.75</v>
      </c>
      <c r="P60" s="189">
        <v>0</v>
      </c>
      <c r="Q60" s="189">
        <v>-97897015.230000004</v>
      </c>
      <c r="R60" s="189">
        <v>0</v>
      </c>
      <c r="S60" s="189">
        <v>-45441193.189999998</v>
      </c>
      <c r="T60" s="189">
        <v>0</v>
      </c>
      <c r="U60" s="189">
        <v>-31006105.719999999</v>
      </c>
      <c r="V60" s="189">
        <v>0</v>
      </c>
      <c r="W60" s="189">
        <v>-12435730.34</v>
      </c>
      <c r="X60" s="189">
        <v>0</v>
      </c>
      <c r="Y60" s="189">
        <v>-61341955.799999997</v>
      </c>
      <c r="Z60" s="189">
        <v>0</v>
      </c>
      <c r="AA60" s="189">
        <v>-59713018.549999997</v>
      </c>
      <c r="AB60" s="189">
        <v>0</v>
      </c>
      <c r="AC60" s="189">
        <v>-7929677.96</v>
      </c>
      <c r="AD60" s="189">
        <v>0</v>
      </c>
      <c r="AE60" s="189">
        <v>-5648989.3700000001</v>
      </c>
      <c r="AF60" s="189">
        <v>0</v>
      </c>
      <c r="AG60" s="189">
        <v>-17182324.800000001</v>
      </c>
      <c r="AH60" s="189">
        <v>0</v>
      </c>
      <c r="AI60" s="189">
        <v>-5939834.1200000001</v>
      </c>
      <c r="AJ60" s="189">
        <v>0</v>
      </c>
      <c r="AK60" s="189">
        <v>-31518724.789999999</v>
      </c>
      <c r="AL60" s="189">
        <v>0</v>
      </c>
      <c r="AM60" s="189">
        <v>-16168988.65</v>
      </c>
      <c r="AN60" s="189">
        <v>0</v>
      </c>
      <c r="AO60" s="189">
        <v>-353001055.26999998</v>
      </c>
      <c r="AP60" s="189">
        <v>0</v>
      </c>
      <c r="AQ60" s="189">
        <v>-294960372.10000002</v>
      </c>
      <c r="AR60" s="189">
        <v>0</v>
      </c>
      <c r="AS60" s="189">
        <v>-49295649.890000001</v>
      </c>
      <c r="AT60" s="189">
        <v>0</v>
      </c>
      <c r="AU60" s="189">
        <v>-13624473.16</v>
      </c>
      <c r="AV60" s="189">
        <v>0</v>
      </c>
      <c r="AW60" s="189">
        <v>-13185255.029999999</v>
      </c>
      <c r="AX60" s="189">
        <v>-2081152.92</v>
      </c>
      <c r="AY60" s="189">
        <v>6550107.71</v>
      </c>
      <c r="AZ60" s="189">
        <v>-1172525.6399999999</v>
      </c>
      <c r="BA60" s="189">
        <v>-9171774.9000000004</v>
      </c>
      <c r="BB60" s="189">
        <v>-7395958.3899999997</v>
      </c>
      <c r="BC60" s="189">
        <v>-4984582.96</v>
      </c>
      <c r="BD60" s="189">
        <v>-3050360.76</v>
      </c>
      <c r="BE60" s="189">
        <v>-2186545.7999999998</v>
      </c>
      <c r="BF60" s="189">
        <v>-1577732.45</v>
      </c>
      <c r="BG60" s="189">
        <v>-1183478.1499999999</v>
      </c>
      <c r="BH60" s="189">
        <v>-840000</v>
      </c>
      <c r="BI60" s="189">
        <v>486358.5</v>
      </c>
      <c r="BJ60" s="189">
        <v>-156839.66</v>
      </c>
      <c r="BK60" s="189">
        <v>-156839.66</v>
      </c>
      <c r="BL60" s="189">
        <v>-118808.74</v>
      </c>
      <c r="BM60" s="189">
        <v>-840242.51</v>
      </c>
      <c r="BN60" s="189">
        <v>-1068816.83</v>
      </c>
      <c r="BO60" s="189">
        <v>-5477612.75</v>
      </c>
      <c r="BP60" s="189">
        <v>-7000000</v>
      </c>
      <c r="BQ60" s="189">
        <v>0</v>
      </c>
      <c r="BR60" s="189">
        <v>0</v>
      </c>
      <c r="BS60" s="189">
        <v>-11254042</v>
      </c>
      <c r="BT60" s="189">
        <v>-7005958</v>
      </c>
      <c r="BU60" s="189">
        <v>0</v>
      </c>
      <c r="BV60" s="189">
        <v>0</v>
      </c>
    </row>
    <row r="61" spans="1:74" x14ac:dyDescent="0.25">
      <c r="A61" s="189" t="s">
        <v>274</v>
      </c>
      <c r="B61" s="189">
        <v>0</v>
      </c>
      <c r="C61" s="189">
        <v>109412427.78</v>
      </c>
      <c r="D61" s="189">
        <v>0</v>
      </c>
      <c r="E61" s="189">
        <v>-106499839.43000001</v>
      </c>
      <c r="F61" s="189">
        <v>0</v>
      </c>
      <c r="G61" s="189">
        <v>80898667</v>
      </c>
      <c r="H61" s="189">
        <v>0</v>
      </c>
      <c r="I61" s="189">
        <v>-213661799.88</v>
      </c>
      <c r="J61" s="189">
        <v>0</v>
      </c>
      <c r="K61" s="189">
        <v>-2907358.91</v>
      </c>
      <c r="L61" s="189">
        <v>0</v>
      </c>
      <c r="M61" s="189">
        <v>-153894062.43000001</v>
      </c>
      <c r="N61" s="189">
        <v>0</v>
      </c>
      <c r="O61" s="189">
        <v>-2522577.75</v>
      </c>
      <c r="P61" s="189">
        <v>0</v>
      </c>
      <c r="Q61" s="189">
        <v>-88263210.810000002</v>
      </c>
      <c r="R61" s="189">
        <v>0</v>
      </c>
      <c r="S61" s="189">
        <v>9958784.4600000009</v>
      </c>
      <c r="T61" s="189">
        <v>0</v>
      </c>
      <c r="U61" s="189">
        <v>-30074068.809999999</v>
      </c>
      <c r="V61" s="189">
        <v>0</v>
      </c>
      <c r="W61" s="189">
        <v>-38899645.060000002</v>
      </c>
      <c r="X61" s="189">
        <v>0</v>
      </c>
      <c r="Y61" s="189">
        <v>-71452202.239999995</v>
      </c>
      <c r="Z61" s="189">
        <v>0</v>
      </c>
      <c r="AA61" s="189">
        <v>-6598820.8399999999</v>
      </c>
      <c r="AB61" s="189">
        <v>0</v>
      </c>
      <c r="AC61" s="189">
        <v>-41595003.490000002</v>
      </c>
      <c r="AD61" s="189">
        <v>0</v>
      </c>
      <c r="AE61" s="189">
        <v>-2999028.32</v>
      </c>
      <c r="AF61" s="189">
        <v>0</v>
      </c>
      <c r="AG61" s="189">
        <v>-30628907.66</v>
      </c>
      <c r="AH61" s="189">
        <v>0</v>
      </c>
      <c r="AI61" s="189">
        <v>-6340456.4299999997</v>
      </c>
      <c r="AJ61" s="189">
        <v>0</v>
      </c>
      <c r="AK61" s="189">
        <v>-24728234.920000002</v>
      </c>
      <c r="AL61" s="189">
        <v>0</v>
      </c>
      <c r="AM61" s="189">
        <v>5878575.1200000001</v>
      </c>
      <c r="AN61" s="189">
        <v>0</v>
      </c>
      <c r="AO61" s="189">
        <v>13119935.41</v>
      </c>
      <c r="AP61" s="189">
        <v>0</v>
      </c>
      <c r="AQ61" s="189">
        <v>8069384.7300000004</v>
      </c>
      <c r="AR61" s="189">
        <v>0</v>
      </c>
      <c r="AS61" s="189">
        <v>-8258675.1399999997</v>
      </c>
      <c r="AT61" s="189">
        <v>0</v>
      </c>
      <c r="AU61" s="189">
        <v>-14037893.970000001</v>
      </c>
      <c r="AV61" s="189">
        <v>0</v>
      </c>
      <c r="AW61" s="189">
        <v>0</v>
      </c>
      <c r="AX61" s="189">
        <v>0</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c r="BP61" s="189">
        <v>0</v>
      </c>
      <c r="BQ61" s="189">
        <v>0</v>
      </c>
      <c r="BR61" s="189">
        <v>0</v>
      </c>
      <c r="BS61" s="189">
        <v>0</v>
      </c>
      <c r="BT61" s="189">
        <v>0</v>
      </c>
      <c r="BU61" s="189">
        <v>0</v>
      </c>
      <c r="BV61" s="189">
        <v>0</v>
      </c>
    </row>
    <row r="62" spans="1:74" x14ac:dyDescent="0.25">
      <c r="A62" s="189" t="s">
        <v>275</v>
      </c>
      <c r="B62" s="189">
        <v>0</v>
      </c>
      <c r="C62" s="189">
        <v>-8328800.4500000002</v>
      </c>
      <c r="D62" s="189">
        <v>0</v>
      </c>
      <c r="E62" s="189">
        <v>17816412.690000001</v>
      </c>
      <c r="F62" s="189">
        <v>0</v>
      </c>
      <c r="G62" s="189">
        <v>3751607.34</v>
      </c>
      <c r="H62" s="189">
        <v>0</v>
      </c>
      <c r="I62" s="189">
        <v>1073881.8899999999</v>
      </c>
      <c r="J62" s="189">
        <v>0</v>
      </c>
      <c r="K62" s="189">
        <v>0</v>
      </c>
      <c r="L62" s="189">
        <v>0</v>
      </c>
      <c r="M62" s="189">
        <v>-3123991.61</v>
      </c>
      <c r="N62" s="189">
        <v>0</v>
      </c>
      <c r="O62" s="189">
        <v>-1186475.53</v>
      </c>
      <c r="P62" s="189">
        <v>0</v>
      </c>
      <c r="Q62" s="189">
        <v>2291628.0499999998</v>
      </c>
      <c r="R62" s="189">
        <v>0</v>
      </c>
      <c r="S62" s="189">
        <v>-303624.58</v>
      </c>
      <c r="T62" s="189">
        <v>0</v>
      </c>
      <c r="U62" s="189">
        <v>832363.56</v>
      </c>
      <c r="V62" s="189">
        <v>0</v>
      </c>
      <c r="W62" s="189">
        <v>262672.59999999998</v>
      </c>
      <c r="X62" s="189">
        <v>0</v>
      </c>
      <c r="Y62" s="189">
        <v>0</v>
      </c>
      <c r="Z62" s="189">
        <v>0</v>
      </c>
      <c r="AA62" s="189">
        <v>0</v>
      </c>
      <c r="AB62" s="189">
        <v>0</v>
      </c>
      <c r="AC62" s="189">
        <v>0</v>
      </c>
      <c r="AD62" s="189">
        <v>0</v>
      </c>
      <c r="AE62" s="189">
        <v>-11119950</v>
      </c>
      <c r="AF62" s="189">
        <v>0</v>
      </c>
      <c r="AG62" s="189">
        <v>-767533.43</v>
      </c>
      <c r="AH62" s="189">
        <v>0</v>
      </c>
      <c r="AI62" s="189">
        <v>-14831383.43</v>
      </c>
      <c r="AJ62" s="189">
        <v>0</v>
      </c>
      <c r="AK62" s="189">
        <v>764445.9</v>
      </c>
      <c r="AL62" s="189">
        <v>0</v>
      </c>
      <c r="AM62" s="189">
        <v>23478466.25</v>
      </c>
      <c r="AN62" s="189">
        <v>0</v>
      </c>
      <c r="AO62" s="189">
        <v>-4212982.3899999997</v>
      </c>
      <c r="AP62" s="189">
        <v>0</v>
      </c>
      <c r="AQ62" s="189">
        <v>-3891082.79</v>
      </c>
      <c r="AR62" s="189">
        <v>0</v>
      </c>
      <c r="AS62" s="189">
        <v>3725607.53</v>
      </c>
      <c r="AT62" s="189">
        <v>0</v>
      </c>
      <c r="AU62" s="189">
        <v>18750.03</v>
      </c>
      <c r="AV62" s="189">
        <v>0</v>
      </c>
      <c r="AW62" s="189">
        <v>0</v>
      </c>
      <c r="AX62" s="189">
        <v>0</v>
      </c>
      <c r="AY62" s="189">
        <v>0</v>
      </c>
      <c r="AZ62" s="189">
        <v>0</v>
      </c>
      <c r="BA62" s="189">
        <v>0</v>
      </c>
      <c r="BB62" s="189">
        <v>46794</v>
      </c>
      <c r="BC62" s="189">
        <v>0</v>
      </c>
      <c r="BD62" s="189">
        <v>0</v>
      </c>
      <c r="BE62" s="189">
        <v>0</v>
      </c>
      <c r="BF62" s="189">
        <v>98276.5</v>
      </c>
      <c r="BG62" s="189">
        <v>0</v>
      </c>
      <c r="BH62" s="189">
        <v>72864</v>
      </c>
      <c r="BI62" s="189">
        <v>-81119.61</v>
      </c>
      <c r="BJ62" s="189">
        <v>7966332</v>
      </c>
      <c r="BK62" s="189">
        <v>4006332</v>
      </c>
      <c r="BL62" s="189">
        <v>46332</v>
      </c>
      <c r="BM62" s="189">
        <v>0</v>
      </c>
      <c r="BN62" s="189">
        <v>81119.61</v>
      </c>
      <c r="BO62" s="189">
        <v>0</v>
      </c>
      <c r="BP62" s="189">
        <v>0</v>
      </c>
      <c r="BQ62" s="189">
        <v>0</v>
      </c>
      <c r="BR62" s="189">
        <v>0</v>
      </c>
      <c r="BS62" s="189">
        <v>0</v>
      </c>
      <c r="BT62" s="189">
        <v>0</v>
      </c>
      <c r="BU62" s="189">
        <v>0</v>
      </c>
      <c r="BV62" s="189">
        <v>0</v>
      </c>
    </row>
    <row r="63" spans="1:74" x14ac:dyDescent="0.25">
      <c r="A63" s="189" t="s">
        <v>276</v>
      </c>
      <c r="B63" s="189">
        <v>0</v>
      </c>
      <c r="C63" s="189">
        <v>-239814035.03</v>
      </c>
      <c r="D63" s="189">
        <v>0</v>
      </c>
      <c r="E63" s="189">
        <v>-1189333020.23</v>
      </c>
      <c r="F63" s="189">
        <v>0</v>
      </c>
      <c r="G63" s="189">
        <v>-449070138.52999997</v>
      </c>
      <c r="H63" s="189">
        <v>0</v>
      </c>
      <c r="I63" s="189">
        <v>-441387776.45999998</v>
      </c>
      <c r="J63" s="189">
        <v>0</v>
      </c>
      <c r="K63" s="189">
        <v>-169009194.69</v>
      </c>
      <c r="L63" s="189">
        <v>0</v>
      </c>
      <c r="M63" s="189">
        <v>-466487105.14999998</v>
      </c>
      <c r="N63" s="189">
        <v>0</v>
      </c>
      <c r="O63" s="189">
        <v>-472427901.47000003</v>
      </c>
      <c r="P63" s="189">
        <v>0</v>
      </c>
      <c r="Q63" s="189">
        <v>184302388.94999999</v>
      </c>
      <c r="R63" s="189">
        <v>0</v>
      </c>
      <c r="S63" s="189">
        <v>728687539.24000001</v>
      </c>
      <c r="T63" s="189">
        <v>0</v>
      </c>
      <c r="U63" s="189">
        <v>-181890598.93000001</v>
      </c>
      <c r="V63" s="189">
        <v>0</v>
      </c>
      <c r="W63" s="189">
        <v>443107020.51999998</v>
      </c>
      <c r="X63" s="189">
        <v>0</v>
      </c>
      <c r="Y63" s="189">
        <v>-171948447</v>
      </c>
      <c r="Z63" s="189">
        <v>0</v>
      </c>
      <c r="AA63" s="189">
        <v>456541201.69999999</v>
      </c>
      <c r="AB63" s="189">
        <v>0</v>
      </c>
      <c r="AC63" s="189">
        <v>91781297.269999996</v>
      </c>
      <c r="AD63" s="189">
        <v>0</v>
      </c>
      <c r="AE63" s="189">
        <v>197710972.69</v>
      </c>
      <c r="AF63" s="189">
        <v>0</v>
      </c>
      <c r="AG63" s="189">
        <v>-473908041.16000003</v>
      </c>
      <c r="AH63" s="189">
        <v>0</v>
      </c>
      <c r="AI63" s="189">
        <v>122022813.33</v>
      </c>
      <c r="AJ63" s="189">
        <v>0</v>
      </c>
      <c r="AK63" s="189">
        <v>-148990689.09999999</v>
      </c>
      <c r="AL63" s="189">
        <v>0</v>
      </c>
      <c r="AM63" s="189">
        <v>202351408.30000001</v>
      </c>
      <c r="AN63" s="189">
        <v>0</v>
      </c>
      <c r="AO63" s="189">
        <v>96757179.379999995</v>
      </c>
      <c r="AP63" s="189">
        <v>0</v>
      </c>
      <c r="AQ63" s="189">
        <v>115825177.27</v>
      </c>
      <c r="AR63" s="189">
        <v>0</v>
      </c>
      <c r="AS63" s="189">
        <v>-603512451.83000004</v>
      </c>
      <c r="AT63" s="189">
        <v>0</v>
      </c>
      <c r="AU63" s="189">
        <v>-420101985.06999999</v>
      </c>
      <c r="AV63" s="189">
        <v>0</v>
      </c>
      <c r="AW63" s="189">
        <v>-72070067.819999993</v>
      </c>
      <c r="AX63" s="189">
        <v>25382898.670000002</v>
      </c>
      <c r="AY63" s="189">
        <v>120697318.81999999</v>
      </c>
      <c r="AZ63" s="189">
        <v>73133183.579999998</v>
      </c>
      <c r="BA63" s="189">
        <v>113508965.09</v>
      </c>
      <c r="BB63" s="189">
        <v>203484849.41</v>
      </c>
      <c r="BC63" s="189">
        <v>259242406.09</v>
      </c>
      <c r="BD63" s="189">
        <v>183287232.94</v>
      </c>
      <c r="BE63" s="189">
        <v>-186714182.52000001</v>
      </c>
      <c r="BF63" s="189">
        <v>22345120.579999998</v>
      </c>
      <c r="BG63" s="189">
        <v>17181721.829999998</v>
      </c>
      <c r="BH63" s="189">
        <v>-37209271.869999997</v>
      </c>
      <c r="BI63" s="189">
        <v>4086620.99</v>
      </c>
      <c r="BJ63" s="189">
        <v>54110051.479999997</v>
      </c>
      <c r="BK63" s="189">
        <v>108057050.08</v>
      </c>
      <c r="BL63" s="189">
        <v>84966620.140000001</v>
      </c>
      <c r="BM63" s="189">
        <v>-290467383.45999998</v>
      </c>
      <c r="BN63" s="189">
        <v>-56363357.350000001</v>
      </c>
      <c r="BO63" s="189">
        <v>-38263957.030000001</v>
      </c>
      <c r="BP63" s="189">
        <v>16043629.92</v>
      </c>
      <c r="BQ63" s="189">
        <v>-27825037.550000001</v>
      </c>
      <c r="BR63" s="189">
        <v>41014802.299999997</v>
      </c>
      <c r="BS63" s="189">
        <v>-58967559.130000003</v>
      </c>
      <c r="BT63" s="189">
        <v>-75657887.890000001</v>
      </c>
      <c r="BU63" s="189">
        <v>-25463314.649999999</v>
      </c>
      <c r="BV63" s="189">
        <v>0</v>
      </c>
    </row>
    <row r="64" spans="1:74" x14ac:dyDescent="0.25">
      <c r="A64" s="189" t="s">
        <v>277</v>
      </c>
      <c r="B64" s="189">
        <v>0</v>
      </c>
      <c r="C64" s="189">
        <v>327692349.31</v>
      </c>
      <c r="D64" s="189">
        <v>0</v>
      </c>
      <c r="E64" s="189">
        <v>-3171075384.5500002</v>
      </c>
      <c r="F64" s="189">
        <v>0</v>
      </c>
      <c r="G64" s="189">
        <v>1215247383.3800001</v>
      </c>
      <c r="H64" s="189">
        <v>0</v>
      </c>
      <c r="I64" s="189">
        <v>-4707186680.5200005</v>
      </c>
      <c r="J64" s="189">
        <v>0</v>
      </c>
      <c r="K64" s="189">
        <v>-991707793.70000005</v>
      </c>
      <c r="L64" s="189">
        <v>0</v>
      </c>
      <c r="M64" s="189">
        <v>-1444063958.7</v>
      </c>
      <c r="N64" s="189">
        <v>0</v>
      </c>
      <c r="O64" s="189">
        <v>1643079430.45</v>
      </c>
      <c r="P64" s="189">
        <v>0</v>
      </c>
      <c r="Q64" s="189">
        <v>-4539796271.8800001</v>
      </c>
      <c r="R64" s="189">
        <v>0</v>
      </c>
      <c r="S64" s="189">
        <v>-180694473.25999999</v>
      </c>
      <c r="T64" s="189">
        <v>0</v>
      </c>
      <c r="U64" s="189">
        <v>-1205363249.6199999</v>
      </c>
      <c r="V64" s="189">
        <v>0</v>
      </c>
      <c r="W64" s="189">
        <v>-1035781344.6</v>
      </c>
      <c r="X64" s="189">
        <v>0</v>
      </c>
      <c r="Y64" s="189">
        <v>-2182679356.9099998</v>
      </c>
      <c r="Z64" s="189">
        <v>0</v>
      </c>
      <c r="AA64" s="189">
        <v>-951292775.84000003</v>
      </c>
      <c r="AB64" s="189">
        <v>0</v>
      </c>
      <c r="AC64" s="189">
        <v>27802932.370000001</v>
      </c>
      <c r="AD64" s="189">
        <v>0</v>
      </c>
      <c r="AE64" s="189">
        <v>-260370826.74000001</v>
      </c>
      <c r="AF64" s="189">
        <v>0</v>
      </c>
      <c r="AG64" s="189">
        <v>-322308617.81999999</v>
      </c>
      <c r="AH64" s="189">
        <v>0</v>
      </c>
      <c r="AI64" s="189">
        <v>-214190280.16</v>
      </c>
      <c r="AJ64" s="189">
        <v>0</v>
      </c>
      <c r="AK64" s="189">
        <v>-854452215.83000004</v>
      </c>
      <c r="AL64" s="189">
        <v>0</v>
      </c>
      <c r="AM64" s="189">
        <v>-190782812.96000001</v>
      </c>
      <c r="AN64" s="189">
        <v>0</v>
      </c>
      <c r="AO64" s="189">
        <v>641337361.25999999</v>
      </c>
      <c r="AP64" s="189">
        <v>0</v>
      </c>
      <c r="AQ64" s="189">
        <v>323364522.30000001</v>
      </c>
      <c r="AR64" s="189">
        <v>0</v>
      </c>
      <c r="AS64" s="189">
        <v>-1220610227.1400001</v>
      </c>
      <c r="AT64" s="189">
        <v>0</v>
      </c>
      <c r="AU64" s="189">
        <v>-100118352.40000001</v>
      </c>
      <c r="AV64" s="189">
        <v>0</v>
      </c>
      <c r="AW64" s="189">
        <v>-79933158.129999995</v>
      </c>
      <c r="AX64" s="189">
        <v>-105506292.18000001</v>
      </c>
      <c r="AY64" s="189">
        <v>-49884094.600000001</v>
      </c>
      <c r="AZ64" s="189">
        <v>77754739.780000001</v>
      </c>
      <c r="BA64" s="189">
        <v>-57379684.82</v>
      </c>
      <c r="BB64" s="189">
        <v>-9643161.3100000005</v>
      </c>
      <c r="BC64" s="189">
        <v>88958729.670000002</v>
      </c>
      <c r="BD64" s="189">
        <v>45035073.75</v>
      </c>
      <c r="BE64" s="189">
        <v>164912341.56</v>
      </c>
      <c r="BF64" s="189">
        <v>237845636.22</v>
      </c>
      <c r="BG64" s="189">
        <v>-58307717.090000004</v>
      </c>
      <c r="BH64" s="189">
        <v>109883431.48999999</v>
      </c>
      <c r="BI64" s="189">
        <v>-358797870.94</v>
      </c>
      <c r="BJ64" s="189">
        <v>-93479162.909999996</v>
      </c>
      <c r="BK64" s="189">
        <v>-25921086.079999998</v>
      </c>
      <c r="BL64" s="189">
        <v>-3511652.57</v>
      </c>
      <c r="BM64" s="189">
        <v>-37015075.049999997</v>
      </c>
      <c r="BN64" s="189">
        <v>-136543880.38</v>
      </c>
      <c r="BO64" s="189">
        <v>-24601894.739999998</v>
      </c>
      <c r="BP64" s="189">
        <v>-64894460.420000002</v>
      </c>
      <c r="BQ64" s="189">
        <v>-14890460.140000001</v>
      </c>
      <c r="BR64" s="189">
        <v>-22039106.539999999</v>
      </c>
      <c r="BS64" s="189">
        <v>-52027564.960000001</v>
      </c>
      <c r="BT64" s="189">
        <v>-41431413.340000004</v>
      </c>
      <c r="BU64" s="189">
        <v>-17311171.25</v>
      </c>
      <c r="BV64" s="189">
        <v>0</v>
      </c>
    </row>
    <row r="65" spans="1:74" x14ac:dyDescent="0.25">
      <c r="A65" s="189" t="s">
        <v>278</v>
      </c>
      <c r="B65" s="189">
        <v>0</v>
      </c>
      <c r="C65" s="189">
        <v>-2225966728.8800001</v>
      </c>
      <c r="D65" s="189">
        <v>0</v>
      </c>
      <c r="E65" s="189">
        <v>-1882340942.45</v>
      </c>
      <c r="F65" s="189">
        <v>0</v>
      </c>
      <c r="G65" s="189">
        <v>-6441380672.9799995</v>
      </c>
      <c r="H65" s="189">
        <v>0</v>
      </c>
      <c r="I65" s="189">
        <v>3455786211.1300001</v>
      </c>
      <c r="J65" s="189">
        <v>0</v>
      </c>
      <c r="K65" s="189">
        <v>-2451738298.8400002</v>
      </c>
      <c r="L65" s="189">
        <v>0</v>
      </c>
      <c r="M65" s="189">
        <v>3489985631.1799998</v>
      </c>
      <c r="N65" s="189">
        <v>0</v>
      </c>
      <c r="O65" s="189">
        <v>-634213162.50999999</v>
      </c>
      <c r="P65" s="189">
        <v>0</v>
      </c>
      <c r="Q65" s="189">
        <v>4000733042.9200001</v>
      </c>
      <c r="R65" s="189">
        <v>0</v>
      </c>
      <c r="S65" s="189">
        <v>16723057.550000001</v>
      </c>
      <c r="T65" s="189">
        <v>0</v>
      </c>
      <c r="U65" s="189">
        <v>905727504.51999998</v>
      </c>
      <c r="V65" s="189">
        <v>0</v>
      </c>
      <c r="W65" s="189">
        <v>903208148.47000003</v>
      </c>
      <c r="X65" s="189">
        <v>0</v>
      </c>
      <c r="Y65" s="189">
        <v>1712531935.6199999</v>
      </c>
      <c r="Z65" s="189">
        <v>0</v>
      </c>
      <c r="AA65" s="189">
        <v>1126352942</v>
      </c>
      <c r="AB65" s="189">
        <v>0</v>
      </c>
      <c r="AC65" s="189">
        <v>-74100367.609999999</v>
      </c>
      <c r="AD65" s="189">
        <v>0</v>
      </c>
      <c r="AE65" s="189">
        <v>82746150.269999996</v>
      </c>
      <c r="AF65" s="189">
        <v>0</v>
      </c>
      <c r="AG65" s="189">
        <v>1035594721.6</v>
      </c>
      <c r="AH65" s="189">
        <v>0</v>
      </c>
      <c r="AI65" s="189">
        <v>621189425.80999994</v>
      </c>
      <c r="AJ65" s="189">
        <v>0</v>
      </c>
      <c r="AK65" s="189">
        <v>319296895.73000002</v>
      </c>
      <c r="AL65" s="189">
        <v>0</v>
      </c>
      <c r="AM65" s="189">
        <v>-66007347.869999997</v>
      </c>
      <c r="AN65" s="189">
        <v>0</v>
      </c>
      <c r="AO65" s="189">
        <v>-280778481.75999999</v>
      </c>
      <c r="AP65" s="189">
        <v>0</v>
      </c>
      <c r="AQ65" s="189">
        <v>-291244628.19</v>
      </c>
      <c r="AR65" s="189">
        <v>0</v>
      </c>
      <c r="AS65" s="189">
        <v>1896364235.96</v>
      </c>
      <c r="AT65" s="189">
        <v>0</v>
      </c>
      <c r="AU65" s="189">
        <v>403882799.56999999</v>
      </c>
      <c r="AV65" s="189">
        <v>0</v>
      </c>
      <c r="AW65" s="189">
        <v>804344930.73000002</v>
      </c>
      <c r="AX65" s="189">
        <v>459993212.18000001</v>
      </c>
      <c r="AY65" s="189">
        <v>172563247.44</v>
      </c>
      <c r="AZ65" s="189">
        <v>-108993145.8</v>
      </c>
      <c r="BA65" s="189">
        <v>155743595.47999999</v>
      </c>
      <c r="BB65" s="189">
        <v>40141243.369999997</v>
      </c>
      <c r="BC65" s="189">
        <v>-295316348.62</v>
      </c>
      <c r="BD65" s="189">
        <v>-313237758.89999998</v>
      </c>
      <c r="BE65" s="189">
        <v>223739087.77000001</v>
      </c>
      <c r="BF65" s="189">
        <v>-203272125.93000001</v>
      </c>
      <c r="BG65" s="189">
        <v>-70994476.730000004</v>
      </c>
      <c r="BH65" s="189">
        <v>-175103326.19999999</v>
      </c>
      <c r="BI65" s="189">
        <v>274437866.16000003</v>
      </c>
      <c r="BJ65" s="189">
        <v>-19793253.050000001</v>
      </c>
      <c r="BK65" s="189">
        <v>-179102678.72</v>
      </c>
      <c r="BL65" s="189">
        <v>-142684827.91</v>
      </c>
      <c r="BM65" s="189">
        <v>377947577.54000002</v>
      </c>
      <c r="BN65" s="189">
        <v>188504577.91999999</v>
      </c>
      <c r="BO65" s="189">
        <v>-20323228.870000001</v>
      </c>
      <c r="BP65" s="189">
        <v>55469256.689999998</v>
      </c>
      <c r="BQ65" s="189">
        <v>125930328.98</v>
      </c>
      <c r="BR65" s="189">
        <v>-22183735.559999999</v>
      </c>
      <c r="BS65" s="189">
        <v>42000890.409999996</v>
      </c>
      <c r="BT65" s="189">
        <v>64002512.630000003</v>
      </c>
      <c r="BU65" s="189">
        <v>-5893874.9299999997</v>
      </c>
      <c r="BV65" s="189">
        <v>0</v>
      </c>
    </row>
    <row r="66" spans="1:74" x14ac:dyDescent="0.2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row>
    <row r="67" spans="1:74" x14ac:dyDescent="0.2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row>
    <row r="68" spans="1:74" x14ac:dyDescent="0.25">
      <c r="A68" s="189" t="s">
        <v>281</v>
      </c>
      <c r="B68" s="189">
        <v>0</v>
      </c>
      <c r="C68" s="189">
        <v>0</v>
      </c>
      <c r="D68" s="189">
        <v>0</v>
      </c>
      <c r="E68" s="189">
        <v>0</v>
      </c>
      <c r="F68" s="189">
        <v>0</v>
      </c>
      <c r="G68" s="189">
        <v>0</v>
      </c>
      <c r="H68" s="189">
        <v>0</v>
      </c>
      <c r="I68" s="189">
        <v>0</v>
      </c>
      <c r="J68" s="189">
        <v>0</v>
      </c>
      <c r="K68" s="189">
        <v>11990067.130000001</v>
      </c>
      <c r="L68" s="189">
        <v>0</v>
      </c>
      <c r="M68" s="189">
        <v>4637830.3600000003</v>
      </c>
      <c r="N68" s="189">
        <v>0</v>
      </c>
      <c r="O68" s="189">
        <v>22817593.789999999</v>
      </c>
      <c r="P68" s="189">
        <v>0</v>
      </c>
      <c r="Q68" s="189">
        <v>30451373.02</v>
      </c>
      <c r="R68" s="189">
        <v>0</v>
      </c>
      <c r="S68" s="189">
        <v>-9511223.0199999996</v>
      </c>
      <c r="T68" s="189">
        <v>0</v>
      </c>
      <c r="U68" s="189">
        <v>60818419.130000003</v>
      </c>
      <c r="V68" s="189">
        <v>0</v>
      </c>
      <c r="W68" s="189">
        <v>0</v>
      </c>
      <c r="X68" s="189">
        <v>0</v>
      </c>
      <c r="Y68" s="189">
        <v>38789608.100000001</v>
      </c>
      <c r="Z68" s="189">
        <v>0</v>
      </c>
      <c r="AA68" s="189">
        <v>0</v>
      </c>
      <c r="AB68" s="189">
        <v>0</v>
      </c>
      <c r="AC68" s="189">
        <v>0</v>
      </c>
      <c r="AD68" s="189">
        <v>0</v>
      </c>
      <c r="AE68" s="189">
        <v>0</v>
      </c>
      <c r="AF68" s="189">
        <v>0</v>
      </c>
      <c r="AG68" s="189">
        <v>0</v>
      </c>
      <c r="AH68" s="189">
        <v>0</v>
      </c>
      <c r="AI68" s="189">
        <v>0</v>
      </c>
      <c r="AJ68" s="189">
        <v>0</v>
      </c>
      <c r="AK68" s="189">
        <v>0</v>
      </c>
      <c r="AL68" s="189">
        <v>0</v>
      </c>
      <c r="AM68" s="189">
        <v>0</v>
      </c>
      <c r="AN68" s="189">
        <v>0</v>
      </c>
      <c r="AO68" s="189">
        <v>0</v>
      </c>
      <c r="AP68" s="189">
        <v>0</v>
      </c>
      <c r="AQ68" s="189">
        <v>0</v>
      </c>
      <c r="AR68" s="189">
        <v>0</v>
      </c>
      <c r="AS68" s="189">
        <v>-8339869.54</v>
      </c>
      <c r="AT68" s="189">
        <v>0</v>
      </c>
      <c r="AU68" s="189">
        <v>0</v>
      </c>
      <c r="AV68" s="189">
        <v>0</v>
      </c>
      <c r="AW68" s="189">
        <v>0</v>
      </c>
      <c r="AX68" s="189">
        <v>0</v>
      </c>
      <c r="AY68" s="189">
        <v>0</v>
      </c>
      <c r="AZ68" s="189">
        <v>0</v>
      </c>
      <c r="BA68" s="189">
        <v>0</v>
      </c>
      <c r="BB68" s="189">
        <v>0</v>
      </c>
      <c r="BC68" s="189">
        <v>0</v>
      </c>
      <c r="BD68" s="189">
        <v>0</v>
      </c>
      <c r="BE68" s="189">
        <v>0</v>
      </c>
      <c r="BF68" s="189">
        <v>2587235.67</v>
      </c>
      <c r="BG68" s="189">
        <v>0</v>
      </c>
      <c r="BH68" s="189">
        <v>0</v>
      </c>
      <c r="BI68" s="189">
        <v>0</v>
      </c>
      <c r="BJ68" s="189">
        <v>-918634.23</v>
      </c>
      <c r="BK68" s="189">
        <v>-9271581.9900000002</v>
      </c>
      <c r="BL68" s="189">
        <v>18136187.129999999</v>
      </c>
      <c r="BM68" s="189">
        <v>0</v>
      </c>
      <c r="BN68" s="189">
        <v>7363204.46</v>
      </c>
      <c r="BO68" s="189">
        <v>0</v>
      </c>
      <c r="BP68" s="189">
        <v>-23641601.02</v>
      </c>
      <c r="BQ68" s="189">
        <v>0</v>
      </c>
      <c r="BR68" s="189">
        <v>4673996.74</v>
      </c>
      <c r="BS68" s="189">
        <v>0</v>
      </c>
      <c r="BT68" s="189">
        <v>0</v>
      </c>
      <c r="BU68" s="189">
        <v>108333.93</v>
      </c>
      <c r="BV68" s="189">
        <v>0</v>
      </c>
    </row>
    <row r="69" spans="1:74" x14ac:dyDescent="0.25">
      <c r="A69" s="189" t="s">
        <v>282</v>
      </c>
      <c r="B69" s="189">
        <v>0</v>
      </c>
      <c r="C69" s="189">
        <v>-1187222385.3800001</v>
      </c>
      <c r="D69" s="189">
        <v>0</v>
      </c>
      <c r="E69" s="189">
        <v>-1748962140.49</v>
      </c>
      <c r="F69" s="189">
        <v>0</v>
      </c>
      <c r="G69" s="189">
        <v>-4493028590.3199997</v>
      </c>
      <c r="H69" s="189">
        <v>0</v>
      </c>
      <c r="I69" s="189">
        <v>3532331689.8000002</v>
      </c>
      <c r="J69" s="189">
        <v>0</v>
      </c>
      <c r="K69" s="189">
        <v>-1864769333.72</v>
      </c>
      <c r="L69" s="189">
        <v>0</v>
      </c>
      <c r="M69" s="189">
        <v>6009740480.1000004</v>
      </c>
      <c r="N69" s="189">
        <v>0</v>
      </c>
      <c r="O69" s="189">
        <v>1861427620.1600001</v>
      </c>
      <c r="P69" s="189">
        <v>0</v>
      </c>
      <c r="Q69" s="189">
        <v>3205260757.9299998</v>
      </c>
      <c r="R69" s="189">
        <v>0</v>
      </c>
      <c r="S69" s="189">
        <v>1529550905.22</v>
      </c>
      <c r="T69" s="189">
        <v>0</v>
      </c>
      <c r="U69" s="189">
        <v>1936967616.95</v>
      </c>
      <c r="V69" s="189">
        <v>0</v>
      </c>
      <c r="W69" s="189">
        <v>1336851537.0599999</v>
      </c>
      <c r="X69" s="189">
        <v>0</v>
      </c>
      <c r="Y69" s="189">
        <v>1372155761.8199999</v>
      </c>
      <c r="Z69" s="189">
        <v>0</v>
      </c>
      <c r="AA69" s="189">
        <v>1332079213.3099999</v>
      </c>
      <c r="AB69" s="189">
        <v>0</v>
      </c>
      <c r="AC69" s="189">
        <v>1446257945.8299999</v>
      </c>
      <c r="AD69" s="189">
        <v>0</v>
      </c>
      <c r="AE69" s="189">
        <v>533961400.69999999</v>
      </c>
      <c r="AF69" s="189">
        <v>0</v>
      </c>
      <c r="AG69" s="189">
        <v>1317701489.8900001</v>
      </c>
      <c r="AH69" s="189">
        <v>0</v>
      </c>
      <c r="AI69" s="189">
        <v>1015484466.1799999</v>
      </c>
      <c r="AJ69" s="189">
        <v>0</v>
      </c>
      <c r="AK69" s="189">
        <v>72946056.640000001</v>
      </c>
      <c r="AL69" s="189">
        <v>0</v>
      </c>
      <c r="AM69" s="189">
        <v>245393006.91</v>
      </c>
      <c r="AN69" s="189">
        <v>0</v>
      </c>
      <c r="AO69" s="189">
        <v>964232710.99000001</v>
      </c>
      <c r="AP69" s="189">
        <v>0</v>
      </c>
      <c r="AQ69" s="189">
        <v>329889963.55000001</v>
      </c>
      <c r="AR69" s="189">
        <v>0</v>
      </c>
      <c r="AS69" s="189">
        <v>589503959.94000006</v>
      </c>
      <c r="AT69" s="189">
        <v>0</v>
      </c>
      <c r="AU69" s="189">
        <v>13124558.050000001</v>
      </c>
      <c r="AV69" s="189">
        <v>0</v>
      </c>
      <c r="AW69" s="189">
        <v>942252876.02999997</v>
      </c>
      <c r="AX69" s="189">
        <v>581104757.72000003</v>
      </c>
      <c r="AY69" s="189">
        <v>376180666.48000002</v>
      </c>
      <c r="AZ69" s="189">
        <v>97681337.989999995</v>
      </c>
      <c r="BA69" s="189">
        <v>506167455.94</v>
      </c>
      <c r="BB69" s="189">
        <v>422438764.75</v>
      </c>
      <c r="BC69" s="189">
        <v>161645392.78999999</v>
      </c>
      <c r="BD69" s="189">
        <v>-39250504.810000002</v>
      </c>
      <c r="BE69" s="189">
        <v>436747598.63999999</v>
      </c>
      <c r="BF69" s="189">
        <v>217851203.97</v>
      </c>
      <c r="BG69" s="189">
        <v>-39278311.390000001</v>
      </c>
      <c r="BH69" s="189">
        <v>-65525450.590000004</v>
      </c>
      <c r="BI69" s="189">
        <v>131076566.94</v>
      </c>
      <c r="BJ69" s="189">
        <v>83283483.200000003</v>
      </c>
      <c r="BK69" s="189">
        <v>-32028227.379999999</v>
      </c>
      <c r="BL69" s="189">
        <v>3757509.42</v>
      </c>
      <c r="BM69" s="189">
        <v>273627892.05000001</v>
      </c>
      <c r="BN69" s="189">
        <v>92638784.040000007</v>
      </c>
      <c r="BO69" s="189">
        <v>97798745.280000001</v>
      </c>
      <c r="BP69" s="189">
        <v>55599297.850000001</v>
      </c>
      <c r="BQ69" s="189">
        <v>219082456.00999999</v>
      </c>
      <c r="BR69" s="189">
        <v>41660870.359999999</v>
      </c>
      <c r="BS69" s="189">
        <v>22365969.879999999</v>
      </c>
      <c r="BT69" s="189">
        <v>17378872.219999999</v>
      </c>
      <c r="BU69" s="189">
        <v>-23452349.030000001</v>
      </c>
      <c r="BV69" s="189">
        <v>0</v>
      </c>
    </row>
    <row r="70" spans="1:74" x14ac:dyDescent="0.2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0</v>
      </c>
      <c r="BU70" s="189">
        <v>0</v>
      </c>
      <c r="BV70" s="189">
        <v>0</v>
      </c>
    </row>
    <row r="71" spans="1:74" x14ac:dyDescent="0.2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c r="AQ71" s="189">
        <v>0</v>
      </c>
      <c r="AR71" s="189">
        <v>0</v>
      </c>
      <c r="AS71" s="189">
        <v>0</v>
      </c>
      <c r="AT71" s="189">
        <v>0</v>
      </c>
      <c r="AU71" s="189">
        <v>0</v>
      </c>
      <c r="AV71" s="189">
        <v>0</v>
      </c>
      <c r="AW71" s="189">
        <v>0</v>
      </c>
      <c r="AX71" s="189">
        <v>0</v>
      </c>
      <c r="AY71" s="189">
        <v>0</v>
      </c>
      <c r="AZ71" s="189">
        <v>0</v>
      </c>
      <c r="BA71" s="189">
        <v>0</v>
      </c>
      <c r="BB71" s="189">
        <v>0</v>
      </c>
      <c r="BC71" s="189">
        <v>0</v>
      </c>
      <c r="BD71" s="189">
        <v>0</v>
      </c>
      <c r="BE71" s="189">
        <v>0</v>
      </c>
      <c r="BF71" s="189">
        <v>0</v>
      </c>
      <c r="BG71" s="189">
        <v>0</v>
      </c>
      <c r="BH71" s="189">
        <v>0</v>
      </c>
      <c r="BI71" s="189">
        <v>0</v>
      </c>
      <c r="BJ71" s="189">
        <v>0</v>
      </c>
      <c r="BK71" s="189">
        <v>0</v>
      </c>
      <c r="BL71" s="189">
        <v>0</v>
      </c>
      <c r="BM71" s="189">
        <v>0</v>
      </c>
      <c r="BN71" s="189">
        <v>0</v>
      </c>
      <c r="BO71" s="189">
        <v>0</v>
      </c>
      <c r="BP71" s="189">
        <v>0</v>
      </c>
      <c r="BQ71" s="189">
        <v>0</v>
      </c>
      <c r="BR71" s="189">
        <v>0</v>
      </c>
      <c r="BS71" s="189">
        <v>0</v>
      </c>
      <c r="BT71" s="189">
        <v>0</v>
      </c>
      <c r="BU71" s="189">
        <v>0</v>
      </c>
      <c r="BV71" s="189">
        <v>0</v>
      </c>
    </row>
    <row r="72" spans="1:74" x14ac:dyDescent="0.25">
      <c r="A72" s="189" t="s">
        <v>285</v>
      </c>
      <c r="B72" s="189">
        <v>0</v>
      </c>
      <c r="C72" s="189">
        <v>0</v>
      </c>
      <c r="D72" s="189">
        <v>0</v>
      </c>
      <c r="E72" s="189">
        <v>0</v>
      </c>
      <c r="F72" s="189">
        <v>0</v>
      </c>
      <c r="G72" s="189">
        <v>0</v>
      </c>
      <c r="H72" s="189">
        <v>0</v>
      </c>
      <c r="I72" s="189">
        <v>0</v>
      </c>
      <c r="J72" s="189">
        <v>0</v>
      </c>
      <c r="K72" s="189">
        <v>0</v>
      </c>
      <c r="L72" s="189">
        <v>0</v>
      </c>
      <c r="M72" s="189">
        <v>0</v>
      </c>
      <c r="N72" s="189">
        <v>0</v>
      </c>
      <c r="O72" s="189">
        <v>0</v>
      </c>
      <c r="P72" s="189">
        <v>0</v>
      </c>
      <c r="Q72" s="189">
        <v>0</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c r="AQ72" s="189">
        <v>0</v>
      </c>
      <c r="AR72" s="189">
        <v>0</v>
      </c>
      <c r="AS72" s="189">
        <v>0</v>
      </c>
      <c r="AT72" s="189">
        <v>0</v>
      </c>
      <c r="AU72" s="189">
        <v>0</v>
      </c>
      <c r="AV72" s="189">
        <v>0</v>
      </c>
      <c r="AW72" s="189">
        <v>0</v>
      </c>
      <c r="AX72" s="189">
        <v>0</v>
      </c>
      <c r="AY72" s="189">
        <v>0</v>
      </c>
      <c r="AZ72" s="189">
        <v>0</v>
      </c>
      <c r="BA72" s="189">
        <v>0</v>
      </c>
      <c r="BB72" s="189">
        <v>0</v>
      </c>
      <c r="BC72" s="189">
        <v>0</v>
      </c>
      <c r="BD72" s="189">
        <v>0</v>
      </c>
      <c r="BE72" s="189">
        <v>0</v>
      </c>
      <c r="BF72" s="189">
        <v>0</v>
      </c>
      <c r="BG72" s="189">
        <v>0</v>
      </c>
      <c r="BH72" s="189">
        <v>0</v>
      </c>
      <c r="BI72" s="189">
        <v>0</v>
      </c>
      <c r="BJ72" s="189">
        <v>0</v>
      </c>
      <c r="BK72" s="189">
        <v>0</v>
      </c>
      <c r="BL72" s="189">
        <v>0</v>
      </c>
      <c r="BM72" s="189">
        <v>0</v>
      </c>
      <c r="BN72" s="189">
        <v>0</v>
      </c>
      <c r="BO72" s="189">
        <v>0</v>
      </c>
      <c r="BP72" s="189">
        <v>0</v>
      </c>
      <c r="BQ72" s="189">
        <v>0</v>
      </c>
      <c r="BR72" s="189">
        <v>0</v>
      </c>
      <c r="BS72" s="189">
        <v>0</v>
      </c>
      <c r="BT72" s="189">
        <v>0</v>
      </c>
      <c r="BU72" s="189">
        <v>0</v>
      </c>
      <c r="BV72" s="189">
        <v>0</v>
      </c>
    </row>
    <row r="73" spans="1:74" x14ac:dyDescent="0.25">
      <c r="A73" s="189" t="s">
        <v>286</v>
      </c>
      <c r="B73" s="189">
        <v>0</v>
      </c>
      <c r="C73" s="189">
        <v>4241935895.0300002</v>
      </c>
      <c r="D73" s="189">
        <v>0</v>
      </c>
      <c r="E73" s="189">
        <v>1931034001.8900001</v>
      </c>
      <c r="F73" s="189">
        <v>0</v>
      </c>
      <c r="G73" s="189">
        <v>3702791318.5700002</v>
      </c>
      <c r="H73" s="189">
        <v>0</v>
      </c>
      <c r="I73" s="189">
        <v>5579855611.7299995</v>
      </c>
      <c r="J73" s="189">
        <v>0</v>
      </c>
      <c r="K73" s="189">
        <v>2099208175.4400001</v>
      </c>
      <c r="L73" s="189">
        <v>0</v>
      </c>
      <c r="M73" s="189">
        <v>6667286697.5600004</v>
      </c>
      <c r="N73" s="189">
        <v>0</v>
      </c>
      <c r="O73" s="189">
        <v>4293900560.4299998</v>
      </c>
      <c r="P73" s="189">
        <v>0</v>
      </c>
      <c r="Q73" s="189">
        <v>5857328435.3400002</v>
      </c>
      <c r="R73" s="189">
        <v>0</v>
      </c>
      <c r="S73" s="189">
        <v>4636575728.2299995</v>
      </c>
      <c r="T73" s="189">
        <v>0</v>
      </c>
      <c r="U73" s="189">
        <v>4189755781.0900002</v>
      </c>
      <c r="V73" s="189">
        <v>0</v>
      </c>
      <c r="W73" s="189">
        <v>4056873929.02</v>
      </c>
      <c r="X73" s="189">
        <v>0</v>
      </c>
      <c r="Y73" s="189">
        <v>3012850641.9000001</v>
      </c>
      <c r="Z73" s="189">
        <v>0</v>
      </c>
      <c r="AA73" s="189">
        <v>4491636948.7200003</v>
      </c>
      <c r="AB73" s="189">
        <v>0</v>
      </c>
      <c r="AC73" s="189">
        <v>1091122462.52</v>
      </c>
      <c r="AD73" s="189">
        <v>0</v>
      </c>
      <c r="AE73" s="189">
        <v>491348781.02999997</v>
      </c>
      <c r="AF73" s="189">
        <v>602617278.90999997</v>
      </c>
      <c r="AG73" s="189">
        <v>634429089.20000005</v>
      </c>
      <c r="AH73" s="189">
        <v>974529874.71000004</v>
      </c>
      <c r="AI73" s="189">
        <v>717384164.5</v>
      </c>
      <c r="AJ73" s="189">
        <v>919105437.84000003</v>
      </c>
      <c r="AK73" s="189">
        <v>561305555.59000003</v>
      </c>
      <c r="AL73" s="189">
        <v>1201179997.1400001</v>
      </c>
      <c r="AM73" s="189">
        <v>1170286536.1900001</v>
      </c>
      <c r="AN73" s="189">
        <v>1133112087.3499999</v>
      </c>
      <c r="AO73" s="189">
        <v>1360474147.8599999</v>
      </c>
      <c r="AP73" s="189">
        <v>1048809169.37</v>
      </c>
      <c r="AQ73" s="189">
        <v>574247844.89999998</v>
      </c>
      <c r="AR73" s="189">
        <v>1744406218.8900001</v>
      </c>
      <c r="AS73" s="189">
        <v>1263427951.0999999</v>
      </c>
      <c r="AT73" s="189">
        <v>1356549737.4400001</v>
      </c>
      <c r="AU73" s="189">
        <v>850993039.25999999</v>
      </c>
      <c r="AV73" s="189">
        <v>914054160</v>
      </c>
      <c r="AW73" s="189">
        <v>902205633.40999997</v>
      </c>
      <c r="AX73" s="189">
        <v>805493119.38999999</v>
      </c>
      <c r="AY73" s="189">
        <v>887766164.00999999</v>
      </c>
      <c r="AZ73" s="189">
        <v>887985280.38</v>
      </c>
      <c r="BA73" s="189">
        <v>798569143.07000005</v>
      </c>
      <c r="BB73" s="189">
        <v>745623336.34000003</v>
      </c>
      <c r="BC73" s="189">
        <v>495148887.16000003</v>
      </c>
      <c r="BD73" s="189">
        <v>435767658.93000001</v>
      </c>
      <c r="BE73" s="189">
        <v>554133671.28999996</v>
      </c>
      <c r="BF73" s="189">
        <v>458162640.56</v>
      </c>
      <c r="BG73" s="189">
        <v>287328958.17000002</v>
      </c>
      <c r="BH73" s="189">
        <v>359617436.23000002</v>
      </c>
      <c r="BI73" s="189">
        <v>516861673.04000002</v>
      </c>
      <c r="BJ73" s="189">
        <v>376608342.91000003</v>
      </c>
      <c r="BK73" s="189">
        <v>359749413.24000001</v>
      </c>
      <c r="BL73" s="189">
        <v>433044126.39999998</v>
      </c>
      <c r="BM73" s="189">
        <v>415568093.60000002</v>
      </c>
      <c r="BN73" s="189">
        <v>425485112.55000001</v>
      </c>
      <c r="BO73" s="189">
        <v>387694695.11000001</v>
      </c>
      <c r="BP73" s="189">
        <v>454004172.37</v>
      </c>
      <c r="BQ73" s="189">
        <v>412934408.61000001</v>
      </c>
      <c r="BR73" s="189">
        <v>0</v>
      </c>
      <c r="BS73" s="189">
        <v>68530489.799999997</v>
      </c>
      <c r="BT73" s="189">
        <v>93194039.200000003</v>
      </c>
      <c r="BU73" s="189">
        <v>53300418.030000001</v>
      </c>
      <c r="BV73" s="189">
        <v>0</v>
      </c>
    </row>
    <row r="74" spans="1:74" x14ac:dyDescent="0.25">
      <c r="A74" s="189" t="s">
        <v>287</v>
      </c>
      <c r="B74" s="189">
        <v>0</v>
      </c>
      <c r="C74" s="189">
        <v>1931034001.8900001</v>
      </c>
      <c r="D74" s="189">
        <v>0</v>
      </c>
      <c r="E74" s="189">
        <v>5579855611.7299995</v>
      </c>
      <c r="F74" s="189">
        <v>0</v>
      </c>
      <c r="G74" s="189">
        <v>5579855611.7299995</v>
      </c>
      <c r="H74" s="189">
        <v>0</v>
      </c>
      <c r="I74" s="189">
        <v>6667286697.5600004</v>
      </c>
      <c r="J74" s="189">
        <v>0</v>
      </c>
      <c r="K74" s="189">
        <v>6667286697.5600004</v>
      </c>
      <c r="L74" s="189">
        <v>0</v>
      </c>
      <c r="M74" s="189">
        <v>5857328435.3400002</v>
      </c>
      <c r="N74" s="189">
        <v>0</v>
      </c>
      <c r="O74" s="189">
        <v>5857328435.3400002</v>
      </c>
      <c r="P74" s="189">
        <v>0</v>
      </c>
      <c r="Q74" s="189">
        <v>5523997954.1999998</v>
      </c>
      <c r="R74" s="189">
        <v>0</v>
      </c>
      <c r="S74" s="189">
        <v>4189755781.0900002</v>
      </c>
      <c r="T74" s="189">
        <v>0</v>
      </c>
      <c r="U74" s="189">
        <v>3012850641.9000001</v>
      </c>
      <c r="V74" s="189">
        <v>0</v>
      </c>
      <c r="W74" s="189">
        <v>3012850641.9000001</v>
      </c>
      <c r="X74" s="189">
        <v>0</v>
      </c>
      <c r="Y74" s="189">
        <v>1091122462.52</v>
      </c>
      <c r="Z74" s="189">
        <v>0</v>
      </c>
      <c r="AA74" s="189">
        <v>1091122462.52</v>
      </c>
      <c r="AB74" s="189">
        <v>0</v>
      </c>
      <c r="AC74" s="189">
        <v>659363608.29999995</v>
      </c>
      <c r="AD74" s="189">
        <v>0</v>
      </c>
      <c r="AE74" s="189">
        <v>634429089.20000005</v>
      </c>
      <c r="AF74" s="189">
        <v>634429089.20000005</v>
      </c>
      <c r="AG74" s="189">
        <v>561305555.59000003</v>
      </c>
      <c r="AH74" s="189">
        <v>716744445.38</v>
      </c>
      <c r="AI74" s="189">
        <v>716744445.38</v>
      </c>
      <c r="AJ74" s="189">
        <v>716744445.38</v>
      </c>
      <c r="AK74" s="189">
        <v>1360474147.8599999</v>
      </c>
      <c r="AL74" s="189">
        <v>1360474147.8599999</v>
      </c>
      <c r="AM74" s="189">
        <v>1360474147.8599999</v>
      </c>
      <c r="AN74" s="189">
        <v>1360474147.8599999</v>
      </c>
      <c r="AO74" s="189">
        <v>1375374342.6900001</v>
      </c>
      <c r="AP74" s="189">
        <v>1375374342.6900001</v>
      </c>
      <c r="AQ74" s="189">
        <v>1375374342.6900001</v>
      </c>
      <c r="AR74" s="189">
        <v>1375374342.6900001</v>
      </c>
      <c r="AS74" s="189">
        <v>903648321.34000003</v>
      </c>
      <c r="AT74" s="189">
        <v>903648321.34000003</v>
      </c>
      <c r="AU74" s="189">
        <v>903648321.34000003</v>
      </c>
      <c r="AV74" s="189">
        <v>902205633.40999997</v>
      </c>
      <c r="AW74" s="189">
        <v>798569143.07000005</v>
      </c>
      <c r="AX74" s="189">
        <v>798569143.07000005</v>
      </c>
      <c r="AY74" s="189">
        <v>798569143.07000005</v>
      </c>
      <c r="AZ74" s="189">
        <v>798569143.07000005</v>
      </c>
      <c r="BA74" s="189">
        <v>554133671.28999996</v>
      </c>
      <c r="BB74" s="189">
        <v>554133671.28999996</v>
      </c>
      <c r="BC74" s="189">
        <v>554133671.28999996</v>
      </c>
      <c r="BD74" s="189">
        <v>554133671.28999996</v>
      </c>
      <c r="BE74" s="189">
        <v>516861673.04000002</v>
      </c>
      <c r="BF74" s="189">
        <v>516861673.04000002</v>
      </c>
      <c r="BG74" s="189">
        <v>516861673.04000002</v>
      </c>
      <c r="BH74" s="189">
        <v>516861673.04000002</v>
      </c>
      <c r="BI74" s="189">
        <v>415568093.60000002</v>
      </c>
      <c r="BJ74" s="189">
        <v>415568093.60000002</v>
      </c>
      <c r="BK74" s="189">
        <v>415568093.60000002</v>
      </c>
      <c r="BL74" s="189">
        <v>415568093.60000002</v>
      </c>
      <c r="BM74" s="189">
        <v>387694695.11000001</v>
      </c>
      <c r="BN74" s="189">
        <v>385155907.57999998</v>
      </c>
      <c r="BO74" s="189">
        <v>412934408.61000001</v>
      </c>
      <c r="BP74" s="189">
        <v>412934620.42000002</v>
      </c>
      <c r="BQ74" s="189">
        <v>68530489.799999997</v>
      </c>
      <c r="BR74" s="189">
        <v>0</v>
      </c>
      <c r="BS74" s="189">
        <v>93194039.200000003</v>
      </c>
      <c r="BT74" s="189">
        <v>143600869.80000001</v>
      </c>
      <c r="BU74" s="189">
        <v>143600869.80000001</v>
      </c>
      <c r="BV74" s="189">
        <v>0</v>
      </c>
    </row>
    <row r="75" spans="1:74" x14ac:dyDescent="0.25">
      <c r="A75" s="189" t="s">
        <v>288</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84615938.140000001</v>
      </c>
      <c r="BS75" s="189">
        <v>0</v>
      </c>
      <c r="BT75" s="189">
        <v>0</v>
      </c>
      <c r="BU75" s="189">
        <v>0</v>
      </c>
      <c r="BV75" s="189">
        <v>0</v>
      </c>
    </row>
    <row r="76" spans="1:74" x14ac:dyDescent="0.25">
      <c r="A76" s="189" t="s">
        <v>289</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820863.58</v>
      </c>
      <c r="BF76" s="189">
        <v>0</v>
      </c>
      <c r="BG76" s="189">
        <v>0</v>
      </c>
      <c r="BH76" s="189">
        <v>0</v>
      </c>
      <c r="BI76" s="189">
        <v>0</v>
      </c>
      <c r="BJ76" s="189">
        <v>0</v>
      </c>
      <c r="BK76" s="189">
        <v>0</v>
      </c>
      <c r="BL76" s="189">
        <v>0</v>
      </c>
      <c r="BM76" s="189">
        <v>0</v>
      </c>
      <c r="BN76" s="189">
        <v>0</v>
      </c>
      <c r="BO76" s="189">
        <v>0</v>
      </c>
      <c r="BP76" s="189">
        <v>0</v>
      </c>
      <c r="BQ76" s="189">
        <v>0</v>
      </c>
      <c r="BR76" s="189">
        <v>68530489.799999997</v>
      </c>
      <c r="BS76" s="189">
        <v>0</v>
      </c>
      <c r="BT76" s="189">
        <v>0</v>
      </c>
      <c r="BU76" s="189">
        <v>0</v>
      </c>
      <c r="BV76" s="189">
        <v>0</v>
      </c>
    </row>
    <row r="77" spans="1:74" x14ac:dyDescent="0.25">
      <c r="A77" s="189" t="s">
        <v>290</v>
      </c>
      <c r="B77" s="189">
        <v>0</v>
      </c>
      <c r="C77" s="189">
        <v>2310901893.1399999</v>
      </c>
      <c r="D77" s="189">
        <v>0</v>
      </c>
      <c r="E77" s="189">
        <v>-3648821609.8400002</v>
      </c>
      <c r="F77" s="189">
        <v>0</v>
      </c>
      <c r="G77" s="189">
        <v>-1877064293.1600001</v>
      </c>
      <c r="H77" s="189">
        <v>0</v>
      </c>
      <c r="I77" s="189">
        <v>-1087431085.8299999</v>
      </c>
      <c r="J77" s="189">
        <v>0</v>
      </c>
      <c r="K77" s="189">
        <v>-4568078522.1199999</v>
      </c>
      <c r="L77" s="189">
        <v>0</v>
      </c>
      <c r="M77" s="189">
        <v>809958262.22000003</v>
      </c>
      <c r="N77" s="189">
        <v>0</v>
      </c>
      <c r="O77" s="189">
        <v>-1563427874.9100001</v>
      </c>
      <c r="P77" s="189">
        <v>0</v>
      </c>
      <c r="Q77" s="189">
        <v>333330481.13999999</v>
      </c>
      <c r="R77" s="189">
        <v>0</v>
      </c>
      <c r="S77" s="189">
        <v>446819947.13999999</v>
      </c>
      <c r="T77" s="189">
        <v>0</v>
      </c>
      <c r="U77" s="189">
        <v>1176905139.1900001</v>
      </c>
      <c r="V77" s="189">
        <v>0</v>
      </c>
      <c r="W77" s="189">
        <v>1044023287.12</v>
      </c>
      <c r="X77" s="189">
        <v>0</v>
      </c>
      <c r="Y77" s="189">
        <v>1921728179.3800001</v>
      </c>
      <c r="Z77" s="189">
        <v>0</v>
      </c>
      <c r="AA77" s="189">
        <v>3400514486.1999998</v>
      </c>
      <c r="AB77" s="189">
        <v>0</v>
      </c>
      <c r="AC77" s="189">
        <v>431758854.22000003</v>
      </c>
      <c r="AD77" s="189">
        <v>0</v>
      </c>
      <c r="AE77" s="189">
        <v>-143080308.16999999</v>
      </c>
      <c r="AF77" s="189">
        <v>-31811810.289999999</v>
      </c>
      <c r="AG77" s="189">
        <v>73123533.609999999</v>
      </c>
      <c r="AH77" s="189">
        <v>257785429.33000001</v>
      </c>
      <c r="AI77" s="189">
        <v>639719.12</v>
      </c>
      <c r="AJ77" s="189">
        <v>202360992.46000001</v>
      </c>
      <c r="AK77" s="189">
        <v>-799168592.26999998</v>
      </c>
      <c r="AL77" s="189">
        <v>-159294150.72</v>
      </c>
      <c r="AM77" s="189">
        <v>-190187611.66999999</v>
      </c>
      <c r="AN77" s="189">
        <v>-227362060.50999999</v>
      </c>
      <c r="AO77" s="189">
        <v>-14900194.83</v>
      </c>
      <c r="AP77" s="189">
        <v>-326565173.31999999</v>
      </c>
      <c r="AQ77" s="189">
        <v>-801126497.78999996</v>
      </c>
      <c r="AR77" s="189">
        <v>369031876.19999999</v>
      </c>
      <c r="AS77" s="189">
        <v>359779629.75999999</v>
      </c>
      <c r="AT77" s="189">
        <v>452901416.10000002</v>
      </c>
      <c r="AU77" s="189">
        <v>-52655282.079999998</v>
      </c>
      <c r="AV77" s="189">
        <v>10405838.66</v>
      </c>
      <c r="AW77" s="189">
        <v>103636490.34</v>
      </c>
      <c r="AX77" s="189">
        <v>6923976.3200000003</v>
      </c>
      <c r="AY77" s="189">
        <v>89197020.939999998</v>
      </c>
      <c r="AZ77" s="189">
        <v>89416137.310000002</v>
      </c>
      <c r="BA77" s="189">
        <v>244435471.78</v>
      </c>
      <c r="BB77" s="189">
        <v>191489665.05000001</v>
      </c>
      <c r="BC77" s="189">
        <v>-58984784.130000003</v>
      </c>
      <c r="BD77" s="189">
        <v>-118366012.36</v>
      </c>
      <c r="BE77" s="189">
        <v>36451134.670000002</v>
      </c>
      <c r="BF77" s="189">
        <v>-60253441.57</v>
      </c>
      <c r="BG77" s="189">
        <v>-230353578.44999999</v>
      </c>
      <c r="BH77" s="189">
        <v>-157244236.81</v>
      </c>
      <c r="BI77" s="189">
        <v>101293579.44</v>
      </c>
      <c r="BJ77" s="189">
        <v>-38959750.689999998</v>
      </c>
      <c r="BK77" s="189">
        <v>-55818680.359999999</v>
      </c>
      <c r="BL77" s="189">
        <v>17476032.800000001</v>
      </c>
      <c r="BM77" s="189">
        <v>27873398.489999998</v>
      </c>
      <c r="BN77" s="189">
        <v>40329204.969999999</v>
      </c>
      <c r="BO77" s="189">
        <v>-25239713.5</v>
      </c>
      <c r="BP77" s="189">
        <v>41069551.950000003</v>
      </c>
      <c r="BQ77" s="189">
        <v>344403918.81</v>
      </c>
      <c r="BR77" s="189">
        <v>16085448.34</v>
      </c>
      <c r="BS77" s="189">
        <v>-24663549.399999999</v>
      </c>
      <c r="BT77" s="189">
        <v>-50406830.600000001</v>
      </c>
      <c r="BU77" s="189">
        <v>-90300451.769999996</v>
      </c>
      <c r="BV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7" width="21.44140625" hidden="1" customWidth="1"/>
    <col min="8"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4" width="20.44140625" hidden="1" customWidth="1"/>
    <col min="35" max="36" width="19.33203125" hidden="1" customWidth="1"/>
    <col min="37" max="37" width="19.332031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7.77734375" bestFit="1" customWidth="1"/>
    <col min="66" max="68" width="19.33203125" hidden="1" customWidth="1"/>
    <col min="69" max="69" width="19.33203125" bestFit="1" customWidth="1"/>
    <col min="70" max="70" width="19.33203125" hidden="1" customWidth="1"/>
    <col min="71" max="71" width="19.33203125" bestFit="1" customWidth="1"/>
    <col min="72" max="72" width="17.77734375" hidden="1" customWidth="1"/>
    <col min="73" max="73" width="17.77734375" bestFit="1" customWidth="1"/>
    <col min="74" max="74" width="17.77734375" hidden="1" customWidth="1"/>
    <col min="75" max="75" width="17.77734375" bestFit="1" customWidth="1"/>
    <col min="76" max="76" width="19" hidden="1" customWidth="1"/>
    <col min="77" max="77" width="17.77734375" bestFit="1" customWidth="1"/>
    <col min="78" max="78" width="17.21875" hidden="1" customWidth="1"/>
    <col min="79" max="81" width="17.77734375" bestFit="1" customWidth="1"/>
    <col min="82" max="82" width="9.5546875" hidden="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600066</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19951231</v>
      </c>
      <c r="CC1" s="189">
        <v>19941231</v>
      </c>
      <c r="CD1" s="189">
        <v>19700101</v>
      </c>
      <c r="CE1" s="189"/>
      <c r="CF1" s="189"/>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2056980255.6900001</v>
      </c>
      <c r="C4" s="189">
        <v>4259919057.29</v>
      </c>
      <c r="D4" s="189">
        <v>3490986477</v>
      </c>
      <c r="E4" s="189">
        <v>2487707386.2199998</v>
      </c>
      <c r="F4" s="189">
        <v>2763742805.79</v>
      </c>
      <c r="G4" s="189">
        <v>3739294094.23</v>
      </c>
      <c r="H4" s="189">
        <v>4117949970.4400001</v>
      </c>
      <c r="I4" s="189">
        <v>5616350259.6499996</v>
      </c>
      <c r="J4" s="189">
        <v>2313321464.3499999</v>
      </c>
      <c r="K4" s="189">
        <v>2144391255.24</v>
      </c>
      <c r="L4" s="189">
        <v>4303812916.6499996</v>
      </c>
      <c r="M4" s="189">
        <v>6699164486.5900002</v>
      </c>
      <c r="N4" s="189">
        <v>5431371480.8900003</v>
      </c>
      <c r="O4" s="189">
        <v>4435142494.1000004</v>
      </c>
      <c r="P4" s="189">
        <v>5028999635.5</v>
      </c>
      <c r="Q4" s="189">
        <v>6016338311.6099997</v>
      </c>
      <c r="R4" s="189">
        <v>4883057147.6000004</v>
      </c>
      <c r="S4" s="189">
        <v>4651546310.7600002</v>
      </c>
      <c r="T4" s="189">
        <v>3903240352.9699998</v>
      </c>
      <c r="U4" s="189">
        <v>4206741261.71</v>
      </c>
      <c r="V4" s="189">
        <v>4830086674.6899996</v>
      </c>
      <c r="W4" s="189">
        <v>4101909329</v>
      </c>
      <c r="X4" s="189">
        <v>3024395178.2399998</v>
      </c>
      <c r="Y4" s="189">
        <v>3054544210.8400002</v>
      </c>
      <c r="Z4" s="189">
        <v>3917408555.52</v>
      </c>
      <c r="AA4" s="189">
        <v>4528961474.6000004</v>
      </c>
      <c r="AB4" s="189">
        <v>3846648191.3800001</v>
      </c>
      <c r="AC4" s="189">
        <v>1171003114.97</v>
      </c>
      <c r="AD4" s="189">
        <v>965167686.61000001</v>
      </c>
      <c r="AE4" s="189">
        <v>618603649.95000005</v>
      </c>
      <c r="AF4" s="189">
        <v>899943468.90999997</v>
      </c>
      <c r="AG4" s="189">
        <v>917788361.10000002</v>
      </c>
      <c r="AH4" s="189">
        <v>1338827031.3</v>
      </c>
      <c r="AI4" s="189">
        <v>842207100.29999995</v>
      </c>
      <c r="AJ4" s="189">
        <v>1031660948.47</v>
      </c>
      <c r="AK4" s="189">
        <v>716744445.38</v>
      </c>
      <c r="AL4" s="189">
        <v>1201179997.1400001</v>
      </c>
      <c r="AM4" s="189">
        <v>1170286536.1900001</v>
      </c>
      <c r="AN4" s="189">
        <v>1133112087.3499999</v>
      </c>
      <c r="AO4" s="189">
        <v>1360474147.8599999</v>
      </c>
      <c r="AP4" s="189">
        <v>1048809169.37</v>
      </c>
      <c r="AQ4" s="189">
        <v>574247844.89999998</v>
      </c>
      <c r="AR4" s="189">
        <v>1744406218.8900001</v>
      </c>
      <c r="AS4" s="189">
        <v>1263427951.0999999</v>
      </c>
      <c r="AT4" s="189">
        <v>1356549737.4400001</v>
      </c>
      <c r="AU4" s="189">
        <v>850993039.25999999</v>
      </c>
      <c r="AV4" s="189">
        <v>913962988.17999995</v>
      </c>
      <c r="AW4" s="189">
        <v>902205633.40999997</v>
      </c>
      <c r="AX4" s="189">
        <v>805493119.38999999</v>
      </c>
      <c r="AY4" s="189">
        <v>887766164.00999999</v>
      </c>
      <c r="AZ4" s="189">
        <v>887985280.38</v>
      </c>
      <c r="BA4" s="189">
        <v>798569143.07000005</v>
      </c>
      <c r="BB4" s="189">
        <v>745623336.34000003</v>
      </c>
      <c r="BC4" s="189">
        <v>495148887.16000003</v>
      </c>
      <c r="BD4" s="189">
        <v>435767658.93000001</v>
      </c>
      <c r="BE4" s="189">
        <v>554133671.28999996</v>
      </c>
      <c r="BF4" s="189">
        <v>458162640.56</v>
      </c>
      <c r="BG4" s="189">
        <v>287328958.17000002</v>
      </c>
      <c r="BH4" s="189">
        <v>359617436.23000002</v>
      </c>
      <c r="BI4" s="189">
        <v>516861673.04000002</v>
      </c>
      <c r="BJ4" s="189">
        <v>376608342.91000003</v>
      </c>
      <c r="BK4" s="189">
        <v>359749413.24000001</v>
      </c>
      <c r="BL4" s="189">
        <v>433044126.39999998</v>
      </c>
      <c r="BM4" s="189">
        <v>415568093.60000002</v>
      </c>
      <c r="BN4" s="189">
        <v>536574453.91000003</v>
      </c>
      <c r="BO4" s="189">
        <v>425485112.55000001</v>
      </c>
      <c r="BP4" s="189">
        <v>323445234.97000003</v>
      </c>
      <c r="BQ4" s="189">
        <v>387694695.11000001</v>
      </c>
      <c r="BR4" s="189">
        <v>454004172.37</v>
      </c>
      <c r="BS4" s="189">
        <v>412934408.61000001</v>
      </c>
      <c r="BT4" s="189">
        <v>84615938.140000001</v>
      </c>
      <c r="BU4" s="189">
        <v>68530489.799999997</v>
      </c>
      <c r="BV4" s="189">
        <v>112400599.03</v>
      </c>
      <c r="BW4" s="189">
        <v>93194039.200000003</v>
      </c>
      <c r="BX4" s="189">
        <v>53300418.030000001</v>
      </c>
      <c r="BY4" s="189">
        <v>143600869.80000001</v>
      </c>
      <c r="BZ4" s="189">
        <v>0</v>
      </c>
      <c r="CA4" s="189">
        <v>32520083</v>
      </c>
      <c r="CB4" s="189">
        <v>12605622</v>
      </c>
      <c r="CC4" s="189">
        <v>8695672</v>
      </c>
      <c r="CD4" s="189">
        <v>0</v>
      </c>
      <c r="CE4" s="189"/>
      <c r="CF4" s="189"/>
      <c r="CG4" s="189"/>
      <c r="CH4" s="189"/>
      <c r="CI4" s="189"/>
      <c r="CJ4" s="189"/>
      <c r="CK4" s="189"/>
      <c r="CL4" s="189"/>
    </row>
    <row r="5" spans="1:90" x14ac:dyDescent="0.25">
      <c r="A5" s="17" t="s">
        <v>2</v>
      </c>
      <c r="B5" s="189">
        <v>24517347.260000002</v>
      </c>
      <c r="C5" s="189">
        <v>88807120.310000002</v>
      </c>
      <c r="D5" s="189">
        <v>193459330.71000001</v>
      </c>
      <c r="E5" s="189">
        <v>159123904.34999999</v>
      </c>
      <c r="F5" s="189">
        <v>119563697.15000001</v>
      </c>
      <c r="G5" s="189">
        <v>89795966.170000002</v>
      </c>
      <c r="H5" s="189">
        <v>67093462.07</v>
      </c>
      <c r="I5" s="189">
        <v>358494332.57999998</v>
      </c>
      <c r="J5" s="189">
        <v>516721621.17000002</v>
      </c>
      <c r="K5" s="189">
        <v>847995289.70000005</v>
      </c>
      <c r="L5" s="189">
        <v>987827236.33000004</v>
      </c>
      <c r="M5" s="189">
        <v>1307895694.72</v>
      </c>
      <c r="N5" s="189">
        <v>1198420963.6300001</v>
      </c>
      <c r="O5" s="189">
        <v>1251577137.8</v>
      </c>
      <c r="P5" s="189">
        <v>24729155.059999999</v>
      </c>
      <c r="Q5" s="189">
        <v>20826610.710000001</v>
      </c>
      <c r="R5" s="189">
        <v>8089786</v>
      </c>
      <c r="S5" s="189">
        <v>3439860.6</v>
      </c>
      <c r="T5" s="189">
        <v>1135893.22</v>
      </c>
      <c r="U5" s="189">
        <v>6295080.7300000004</v>
      </c>
      <c r="V5" s="189">
        <v>4206751.2300000004</v>
      </c>
      <c r="W5" s="189">
        <v>2483442.11</v>
      </c>
      <c r="X5" s="189">
        <v>0</v>
      </c>
      <c r="Y5" s="189">
        <v>0</v>
      </c>
      <c r="Z5" s="189">
        <v>670000000</v>
      </c>
      <c r="AA5" s="189">
        <v>0</v>
      </c>
      <c r="AB5" s="189">
        <v>300000000</v>
      </c>
      <c r="AC5" s="189">
        <v>0</v>
      </c>
      <c r="AD5" s="189">
        <v>0</v>
      </c>
      <c r="AE5" s="189">
        <v>0</v>
      </c>
      <c r="AF5" s="189">
        <v>0</v>
      </c>
      <c r="AG5" s="189">
        <v>0</v>
      </c>
      <c r="AH5" s="189">
        <v>660000000</v>
      </c>
      <c r="AI5" s="189">
        <v>35184650</v>
      </c>
      <c r="AJ5" s="189">
        <v>297218469.56999999</v>
      </c>
      <c r="AK5" s="189">
        <v>308639871.41000003</v>
      </c>
      <c r="AL5" s="189">
        <v>868275135.16999996</v>
      </c>
      <c r="AM5" s="189">
        <v>344000000</v>
      </c>
      <c r="AN5" s="189">
        <v>200000000</v>
      </c>
      <c r="AO5" s="189">
        <v>50020583.5</v>
      </c>
      <c r="AP5" s="189">
        <v>0</v>
      </c>
      <c r="AQ5" s="189">
        <v>143410308.78999999</v>
      </c>
      <c r="AR5" s="189">
        <v>48616041.68</v>
      </c>
      <c r="AS5" s="189">
        <v>85827244.060000002</v>
      </c>
      <c r="AT5" s="189">
        <v>21652814.140000001</v>
      </c>
      <c r="AU5" s="189">
        <v>54489987.299999997</v>
      </c>
      <c r="AV5" s="189">
        <v>71148910.739999995</v>
      </c>
      <c r="AW5" s="189">
        <v>471600000</v>
      </c>
      <c r="AX5" s="189">
        <v>219458520</v>
      </c>
      <c r="AY5" s="189">
        <v>76969040</v>
      </c>
      <c r="AZ5" s="189">
        <v>74000000</v>
      </c>
      <c r="BA5" s="189">
        <v>74000000</v>
      </c>
      <c r="BB5" s="189">
        <v>54000000</v>
      </c>
      <c r="BC5" s="189">
        <v>59000000</v>
      </c>
      <c r="BD5" s="189">
        <v>39000000</v>
      </c>
      <c r="BE5" s="189">
        <v>15000000</v>
      </c>
      <c r="BF5" s="189">
        <v>0</v>
      </c>
      <c r="BG5" s="189">
        <v>0</v>
      </c>
      <c r="BH5" s="189">
        <v>0</v>
      </c>
      <c r="BI5" s="189">
        <v>0</v>
      </c>
      <c r="BJ5" s="189">
        <v>20000000</v>
      </c>
      <c r="BK5" s="189">
        <v>0</v>
      </c>
      <c r="BL5" s="189">
        <v>0</v>
      </c>
      <c r="BM5" s="189">
        <v>0</v>
      </c>
      <c r="BN5" s="189">
        <v>0</v>
      </c>
      <c r="BO5" s="189">
        <v>0</v>
      </c>
      <c r="BP5" s="189">
        <v>91767291.799999997</v>
      </c>
      <c r="BQ5" s="189">
        <v>61783499.359999999</v>
      </c>
      <c r="BR5" s="189">
        <v>63299958.030000001</v>
      </c>
      <c r="BS5" s="189">
        <v>63299958.030000001</v>
      </c>
      <c r="BT5" s="189">
        <v>6273378.0300000003</v>
      </c>
      <c r="BU5" s="189">
        <v>0</v>
      </c>
      <c r="BV5" s="189">
        <v>40000000</v>
      </c>
      <c r="BW5" s="189">
        <v>50000000</v>
      </c>
      <c r="BX5" s="189">
        <v>0</v>
      </c>
      <c r="BY5" s="189">
        <v>0</v>
      </c>
      <c r="BZ5" s="189">
        <v>0</v>
      </c>
      <c r="CA5" s="189">
        <v>0</v>
      </c>
      <c r="CB5" s="189">
        <v>0</v>
      </c>
      <c r="CC5" s="189">
        <v>0</v>
      </c>
      <c r="CD5" s="189">
        <v>0</v>
      </c>
      <c r="CE5" s="189"/>
      <c r="CF5" s="189"/>
      <c r="CG5" s="189"/>
      <c r="CH5" s="189"/>
      <c r="CI5" s="189"/>
      <c r="CJ5" s="189"/>
      <c r="CK5" s="189"/>
      <c r="CL5" s="189"/>
    </row>
    <row r="6" spans="1:90" x14ac:dyDescent="0.25">
      <c r="A6" s="17" t="s">
        <v>13</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c r="CF6" s="189"/>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v>0</v>
      </c>
      <c r="BR7" s="189">
        <v>0</v>
      </c>
      <c r="BS7" s="189">
        <v>0</v>
      </c>
      <c r="BT7" s="189">
        <v>0</v>
      </c>
      <c r="BU7" s="189">
        <v>0</v>
      </c>
      <c r="BV7" s="189">
        <v>0</v>
      </c>
      <c r="BW7" s="189">
        <v>0</v>
      </c>
      <c r="BX7" s="189">
        <v>0</v>
      </c>
      <c r="BY7" s="189">
        <v>0</v>
      </c>
      <c r="BZ7" s="189">
        <v>0</v>
      </c>
      <c r="CA7" s="189">
        <v>0</v>
      </c>
      <c r="CB7" s="189">
        <v>0</v>
      </c>
      <c r="CC7" s="189">
        <v>0</v>
      </c>
      <c r="CD7" s="189">
        <v>0</v>
      </c>
      <c r="CE7" s="189"/>
      <c r="CF7" s="189"/>
      <c r="CG7" s="189"/>
      <c r="CH7" s="189"/>
      <c r="CI7" s="189"/>
      <c r="CJ7" s="189"/>
      <c r="CK7" s="189"/>
      <c r="CL7" s="189"/>
    </row>
    <row r="8" spans="1:90" x14ac:dyDescent="0.25">
      <c r="A8" s="17" t="s">
        <v>5</v>
      </c>
      <c r="B8" s="189">
        <v>1454057710.8800001</v>
      </c>
      <c r="C8" s="189">
        <v>1474328010.8800001</v>
      </c>
      <c r="D8" s="189">
        <v>1328141210.8800001</v>
      </c>
      <c r="E8" s="189">
        <v>1329965605.02</v>
      </c>
      <c r="F8" s="189">
        <v>1077143493.02</v>
      </c>
      <c r="G8" s="189">
        <v>1078795032.52</v>
      </c>
      <c r="H8" s="189">
        <v>1008581782</v>
      </c>
      <c r="I8" s="189">
        <v>1008581782</v>
      </c>
      <c r="J8" s="189">
        <v>858581782</v>
      </c>
      <c r="K8" s="189">
        <v>578660200</v>
      </c>
      <c r="L8" s="189">
        <v>578660200</v>
      </c>
      <c r="M8" s="189">
        <v>378660200</v>
      </c>
      <c r="N8" s="189">
        <v>348867800</v>
      </c>
      <c r="O8" s="189">
        <v>349047800</v>
      </c>
      <c r="P8" s="189">
        <v>149047800</v>
      </c>
      <c r="Q8" s="189">
        <v>149047800</v>
      </c>
      <c r="R8" s="189">
        <v>149047800</v>
      </c>
      <c r="S8" s="189">
        <v>0</v>
      </c>
      <c r="T8" s="189">
        <v>0</v>
      </c>
      <c r="U8" s="189">
        <v>0</v>
      </c>
      <c r="V8" s="189">
        <v>0</v>
      </c>
      <c r="W8" s="189">
        <v>0</v>
      </c>
      <c r="X8" s="189">
        <v>0</v>
      </c>
      <c r="Y8" s="189">
        <v>0</v>
      </c>
      <c r="Z8" s="189">
        <v>0</v>
      </c>
      <c r="AA8" s="189">
        <v>0</v>
      </c>
      <c r="AB8" s="189">
        <v>244484614.13999999</v>
      </c>
      <c r="AC8" s="189">
        <v>317074128</v>
      </c>
      <c r="AD8" s="189">
        <v>329812000</v>
      </c>
      <c r="AE8" s="189">
        <v>465189000</v>
      </c>
      <c r="AF8" s="189">
        <v>483235000</v>
      </c>
      <c r="AG8" s="189">
        <v>539322000</v>
      </c>
      <c r="AH8" s="189">
        <v>513359000</v>
      </c>
      <c r="AI8" s="189">
        <v>475232000</v>
      </c>
      <c r="AJ8" s="189">
        <v>518656000</v>
      </c>
      <c r="AK8" s="189">
        <v>568991000</v>
      </c>
      <c r="AL8" s="189">
        <v>518156000</v>
      </c>
      <c r="AM8" s="189">
        <v>510825766</v>
      </c>
      <c r="AN8" s="189">
        <v>428390581</v>
      </c>
      <c r="AO8" s="189">
        <v>305052689</v>
      </c>
      <c r="AP8" s="189">
        <v>524166717</v>
      </c>
      <c r="AQ8" s="189">
        <v>1086651646</v>
      </c>
      <c r="AR8" s="189">
        <v>1283057361</v>
      </c>
      <c r="AS8" s="189">
        <v>2546490710</v>
      </c>
      <c r="AT8" s="189">
        <v>2122309621.5</v>
      </c>
      <c r="AU8" s="189">
        <v>987027807.14999998</v>
      </c>
      <c r="AV8" s="189">
        <v>766814338.5</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v>0</v>
      </c>
      <c r="BR8" s="189">
        <v>0</v>
      </c>
      <c r="BS8" s="189">
        <v>0</v>
      </c>
      <c r="BT8" s="189">
        <v>0</v>
      </c>
      <c r="BU8" s="189">
        <v>0</v>
      </c>
      <c r="BV8" s="189">
        <v>0</v>
      </c>
      <c r="BW8" s="189">
        <v>0</v>
      </c>
      <c r="BX8" s="189">
        <v>0</v>
      </c>
      <c r="BY8" s="189">
        <v>0</v>
      </c>
      <c r="BZ8" s="189">
        <v>0</v>
      </c>
      <c r="CA8" s="189">
        <v>0</v>
      </c>
      <c r="CB8" s="189">
        <v>0</v>
      </c>
      <c r="CC8" s="189">
        <v>0</v>
      </c>
      <c r="CD8" s="189">
        <v>0</v>
      </c>
      <c r="CE8" s="189"/>
      <c r="CF8" s="189"/>
      <c r="CG8" s="189"/>
      <c r="CH8" s="189"/>
      <c r="CI8" s="189"/>
      <c r="CJ8" s="189"/>
      <c r="CK8" s="189"/>
      <c r="CL8" s="189"/>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4505400</v>
      </c>
      <c r="AQ9" s="189">
        <v>0</v>
      </c>
      <c r="AR9" s="189">
        <v>0</v>
      </c>
      <c r="AS9" s="189">
        <v>0</v>
      </c>
      <c r="AT9" s="189">
        <v>0</v>
      </c>
      <c r="AU9" s="189">
        <v>0</v>
      </c>
      <c r="AV9" s="189">
        <v>0</v>
      </c>
      <c r="AW9" s="189">
        <v>0</v>
      </c>
      <c r="AX9" s="189">
        <v>0</v>
      </c>
      <c r="AY9" s="189">
        <v>0</v>
      </c>
      <c r="AZ9" s="189">
        <v>0</v>
      </c>
      <c r="BA9" s="189">
        <v>0</v>
      </c>
      <c r="BB9" s="189">
        <v>0</v>
      </c>
      <c r="BC9" s="189">
        <v>8000000</v>
      </c>
      <c r="BD9" s="189">
        <v>8000000</v>
      </c>
      <c r="BE9" s="189">
        <v>8000000</v>
      </c>
      <c r="BF9" s="189">
        <v>0</v>
      </c>
      <c r="BG9" s="189">
        <v>0</v>
      </c>
      <c r="BH9" s="189">
        <v>0</v>
      </c>
      <c r="BI9" s="189">
        <v>0</v>
      </c>
      <c r="BJ9" s="189">
        <v>0</v>
      </c>
      <c r="BK9" s="189">
        <v>0</v>
      </c>
      <c r="BL9" s="189">
        <v>0</v>
      </c>
      <c r="BM9" s="189">
        <v>0</v>
      </c>
      <c r="BN9" s="189">
        <v>0</v>
      </c>
      <c r="BO9" s="189">
        <v>0</v>
      </c>
      <c r="BP9" s="189">
        <v>0</v>
      </c>
      <c r="BQ9" s="189">
        <v>0</v>
      </c>
      <c r="BR9" s="189">
        <v>1270</v>
      </c>
      <c r="BS9" s="189">
        <v>1270</v>
      </c>
      <c r="BT9" s="189">
        <v>0</v>
      </c>
      <c r="BU9" s="189">
        <v>22540</v>
      </c>
      <c r="BV9" s="189">
        <v>29350</v>
      </c>
      <c r="BW9" s="189">
        <v>29350</v>
      </c>
      <c r="BX9" s="189">
        <v>0</v>
      </c>
      <c r="BY9" s="189">
        <v>0</v>
      </c>
      <c r="BZ9" s="189">
        <v>0</v>
      </c>
      <c r="CA9" s="189">
        <v>0</v>
      </c>
      <c r="CB9" s="189">
        <v>0</v>
      </c>
      <c r="CC9" s="189">
        <v>0</v>
      </c>
      <c r="CD9" s="189">
        <v>0</v>
      </c>
      <c r="CE9" s="189"/>
      <c r="CF9" s="189"/>
      <c r="CG9" s="189"/>
      <c r="CH9" s="189"/>
      <c r="CI9" s="189"/>
      <c r="CJ9" s="189"/>
      <c r="CK9" s="189"/>
      <c r="CL9" s="189"/>
    </row>
    <row r="10" spans="1:90" x14ac:dyDescent="0.25">
      <c r="A10" s="19" t="s">
        <v>7</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c r="CF10" s="189"/>
      <c r="CG10" s="189"/>
      <c r="CH10" s="189"/>
      <c r="CI10" s="189"/>
      <c r="CJ10" s="189"/>
      <c r="CK10" s="189"/>
      <c r="CL10" s="189"/>
    </row>
    <row r="11" spans="1:90" x14ac:dyDescent="0.25">
      <c r="A11" s="17" t="s">
        <v>8</v>
      </c>
      <c r="B11" s="189">
        <v>0</v>
      </c>
      <c r="C11" s="189">
        <v>0</v>
      </c>
      <c r="D11" s="189">
        <v>0</v>
      </c>
      <c r="E11" s="189">
        <v>200400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55004400</v>
      </c>
      <c r="AR11" s="189">
        <v>55004400</v>
      </c>
      <c r="AS11" s="189">
        <v>0</v>
      </c>
      <c r="AT11" s="189">
        <v>1661420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c r="CF11" s="189"/>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c r="CF12" s="189"/>
      <c r="CG12" s="189"/>
      <c r="CH12" s="189"/>
      <c r="CI12" s="189"/>
      <c r="CJ12" s="189"/>
      <c r="CK12" s="189"/>
      <c r="CL12" s="189"/>
    </row>
    <row r="13" spans="1:90" x14ac:dyDescent="0.25">
      <c r="A13" s="17" t="s">
        <v>10</v>
      </c>
      <c r="B13" s="189">
        <v>2751.27</v>
      </c>
      <c r="C13" s="189">
        <v>0</v>
      </c>
      <c r="D13" s="189">
        <v>145564.38</v>
      </c>
      <c r="E13" s="189">
        <v>0</v>
      </c>
      <c r="F13" s="189">
        <v>0</v>
      </c>
      <c r="G13" s="189">
        <v>0</v>
      </c>
      <c r="H13" s="189">
        <v>0</v>
      </c>
      <c r="I13" s="189">
        <v>0</v>
      </c>
      <c r="J13" s="189">
        <v>0</v>
      </c>
      <c r="K13" s="189">
        <v>0</v>
      </c>
      <c r="L13" s="189">
        <v>1608098.4</v>
      </c>
      <c r="M13" s="189">
        <v>875538.36</v>
      </c>
      <c r="N13" s="189">
        <v>0</v>
      </c>
      <c r="O13" s="189">
        <v>224876.71</v>
      </c>
      <c r="P13" s="189">
        <v>561549.16</v>
      </c>
      <c r="Q13" s="189">
        <v>2892285.86</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17805</v>
      </c>
      <c r="BU13" s="189">
        <v>17805</v>
      </c>
      <c r="BV13" s="189">
        <v>17805</v>
      </c>
      <c r="BW13" s="189">
        <v>17805</v>
      </c>
      <c r="BX13" s="189">
        <v>0</v>
      </c>
      <c r="BY13" s="189">
        <v>0</v>
      </c>
      <c r="BZ13" s="189">
        <v>0</v>
      </c>
      <c r="CA13" s="189">
        <v>0</v>
      </c>
      <c r="CB13" s="189">
        <v>0</v>
      </c>
      <c r="CC13" s="189">
        <v>0</v>
      </c>
      <c r="CD13" s="189">
        <v>0</v>
      </c>
      <c r="CE13" s="189"/>
      <c r="CF13" s="189"/>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3535558065.0999999</v>
      </c>
      <c r="C17" s="33">
        <f t="shared" ref="C17:BN17" si="0">SUM(C4:C13)</f>
        <v>5823054188.4800005</v>
      </c>
      <c r="D17" s="33">
        <f t="shared" si="0"/>
        <v>5012732582.9700003</v>
      </c>
      <c r="E17" s="33">
        <f t="shared" si="0"/>
        <v>3976997295.5899997</v>
      </c>
      <c r="F17" s="33">
        <f t="shared" si="0"/>
        <v>3960449995.96</v>
      </c>
      <c r="G17" s="33">
        <f t="shared" si="0"/>
        <v>4907885092.9200001</v>
      </c>
      <c r="H17" s="33">
        <f t="shared" si="0"/>
        <v>5193625214.5100002</v>
      </c>
      <c r="I17" s="33">
        <f t="shared" si="0"/>
        <v>6983426374.2299995</v>
      </c>
      <c r="J17" s="33">
        <f t="shared" si="0"/>
        <v>3688624867.52</v>
      </c>
      <c r="K17" s="33">
        <f t="shared" si="0"/>
        <v>3571046744.9400001</v>
      </c>
      <c r="L17" s="33">
        <f t="shared" si="0"/>
        <v>5871908451.3799992</v>
      </c>
      <c r="M17" s="33">
        <f t="shared" si="0"/>
        <v>8386595919.6700001</v>
      </c>
      <c r="N17" s="33">
        <f t="shared" si="0"/>
        <v>6978660244.5200005</v>
      </c>
      <c r="O17" s="33">
        <f t="shared" si="0"/>
        <v>6035992308.6100006</v>
      </c>
      <c r="P17" s="33">
        <f t="shared" si="0"/>
        <v>5203338139.7200003</v>
      </c>
      <c r="Q17" s="33">
        <f t="shared" si="0"/>
        <v>6189105008.1799994</v>
      </c>
      <c r="R17" s="33">
        <f t="shared" si="0"/>
        <v>5040194733.6000004</v>
      </c>
      <c r="S17" s="33">
        <f t="shared" si="0"/>
        <v>4654986171.3600006</v>
      </c>
      <c r="T17" s="33">
        <f t="shared" si="0"/>
        <v>3904376246.1899996</v>
      </c>
      <c r="U17" s="33">
        <f t="shared" si="0"/>
        <v>4213036342.4400001</v>
      </c>
      <c r="V17" s="33">
        <f t="shared" si="0"/>
        <v>4834293425.9199991</v>
      </c>
      <c r="W17" s="33">
        <f t="shared" si="0"/>
        <v>4104392771.1100001</v>
      </c>
      <c r="X17" s="33">
        <f t="shared" si="0"/>
        <v>3024395178.2399998</v>
      </c>
      <c r="Y17" s="33">
        <f t="shared" si="0"/>
        <v>3054544210.8400002</v>
      </c>
      <c r="Z17" s="33">
        <f t="shared" si="0"/>
        <v>4587408555.5200005</v>
      </c>
      <c r="AA17" s="33">
        <f t="shared" si="0"/>
        <v>4528961474.6000004</v>
      </c>
      <c r="AB17" s="33">
        <f t="shared" si="0"/>
        <v>4391132805.5200005</v>
      </c>
      <c r="AC17" s="33">
        <f t="shared" si="0"/>
        <v>1488077242.97</v>
      </c>
      <c r="AD17" s="33">
        <f t="shared" si="0"/>
        <v>1294979686.6100001</v>
      </c>
      <c r="AE17" s="33">
        <f t="shared" si="0"/>
        <v>1083792649.95</v>
      </c>
      <c r="AF17" s="33">
        <f t="shared" si="0"/>
        <v>1383178468.9099998</v>
      </c>
      <c r="AG17" s="33">
        <f t="shared" si="0"/>
        <v>1457110361.0999999</v>
      </c>
      <c r="AH17" s="33">
        <f t="shared" si="0"/>
        <v>2512186031.3000002</v>
      </c>
      <c r="AI17" s="33">
        <f t="shared" si="0"/>
        <v>1352623750.3</v>
      </c>
      <c r="AJ17" s="33">
        <f t="shared" si="0"/>
        <v>1847535418.04</v>
      </c>
      <c r="AK17" s="33">
        <f t="shared" si="0"/>
        <v>1594375316.79</v>
      </c>
      <c r="AL17" s="33">
        <f t="shared" si="0"/>
        <v>2587611132.3099999</v>
      </c>
      <c r="AM17" s="33">
        <f t="shared" si="0"/>
        <v>2025112302.1900001</v>
      </c>
      <c r="AN17" s="33">
        <f t="shared" si="0"/>
        <v>1761502668.3499999</v>
      </c>
      <c r="AO17" s="33">
        <f t="shared" si="0"/>
        <v>1715547420.3599999</v>
      </c>
      <c r="AP17" s="33">
        <f t="shared" si="0"/>
        <v>1577481286.3699999</v>
      </c>
      <c r="AQ17" s="33">
        <f t="shared" si="0"/>
        <v>1859314199.6900001</v>
      </c>
      <c r="AR17" s="33">
        <f t="shared" si="0"/>
        <v>3131084021.5700002</v>
      </c>
      <c r="AS17" s="33">
        <f t="shared" si="0"/>
        <v>3895745905.1599998</v>
      </c>
      <c r="AT17" s="33">
        <f t="shared" si="0"/>
        <v>3502173593.0799999</v>
      </c>
      <c r="AU17" s="33">
        <f t="shared" si="0"/>
        <v>1892510833.71</v>
      </c>
      <c r="AV17" s="33">
        <f t="shared" si="0"/>
        <v>1751926237.4200001</v>
      </c>
      <c r="AW17" s="33">
        <f t="shared" si="0"/>
        <v>1373805633.4099998</v>
      </c>
      <c r="AX17" s="33">
        <f t="shared" si="0"/>
        <v>1024951639.39</v>
      </c>
      <c r="AY17" s="33">
        <f t="shared" si="0"/>
        <v>964735204.00999999</v>
      </c>
      <c r="AZ17" s="33">
        <f t="shared" si="0"/>
        <v>961985280.38</v>
      </c>
      <c r="BA17" s="33">
        <f t="shared" si="0"/>
        <v>872569143.07000005</v>
      </c>
      <c r="BB17" s="33">
        <f t="shared" si="0"/>
        <v>799623336.34000003</v>
      </c>
      <c r="BC17" s="33">
        <f t="shared" si="0"/>
        <v>562148887.16000009</v>
      </c>
      <c r="BD17" s="33">
        <f t="shared" si="0"/>
        <v>482767658.93000001</v>
      </c>
      <c r="BE17" s="33">
        <f t="shared" si="0"/>
        <v>577133671.28999996</v>
      </c>
      <c r="BF17" s="33">
        <f t="shared" si="0"/>
        <v>458162640.56</v>
      </c>
      <c r="BG17" s="33">
        <f t="shared" si="0"/>
        <v>287328958.17000002</v>
      </c>
      <c r="BH17" s="33">
        <f t="shared" si="0"/>
        <v>359617436.23000002</v>
      </c>
      <c r="BI17" s="33">
        <f t="shared" si="0"/>
        <v>516861673.04000002</v>
      </c>
      <c r="BJ17" s="33">
        <f t="shared" si="0"/>
        <v>396608342.91000003</v>
      </c>
      <c r="BK17" s="33">
        <f t="shared" si="0"/>
        <v>359749413.24000001</v>
      </c>
      <c r="BL17" s="33">
        <f t="shared" si="0"/>
        <v>433044126.39999998</v>
      </c>
      <c r="BM17" s="33">
        <f t="shared" si="0"/>
        <v>415568093.60000002</v>
      </c>
      <c r="BN17" s="33">
        <f t="shared" si="0"/>
        <v>536574453.91000003</v>
      </c>
      <c r="BO17" s="33">
        <f t="shared" ref="BO17:CK17" si="1">SUM(BO4:BO13)</f>
        <v>425485112.55000001</v>
      </c>
      <c r="BP17" s="33">
        <f t="shared" si="1"/>
        <v>415212526.77000004</v>
      </c>
      <c r="BQ17" s="33">
        <f t="shared" si="1"/>
        <v>449478194.47000003</v>
      </c>
      <c r="BR17" s="33">
        <f t="shared" si="1"/>
        <v>517305400.39999998</v>
      </c>
      <c r="BS17" s="33">
        <f t="shared" si="1"/>
        <v>476235636.63999999</v>
      </c>
      <c r="BT17" s="33">
        <f t="shared" si="1"/>
        <v>90907121.170000002</v>
      </c>
      <c r="BU17" s="33">
        <f t="shared" si="1"/>
        <v>68570834.799999997</v>
      </c>
      <c r="BV17" s="33">
        <f t="shared" si="1"/>
        <v>152447754.03</v>
      </c>
      <c r="BW17" s="33">
        <f t="shared" si="1"/>
        <v>143241194.19999999</v>
      </c>
      <c r="BX17" s="33">
        <f t="shared" si="1"/>
        <v>53300418.030000001</v>
      </c>
      <c r="BY17" s="33">
        <f t="shared" si="1"/>
        <v>143600869.80000001</v>
      </c>
      <c r="BZ17" s="33">
        <f t="shared" si="1"/>
        <v>0</v>
      </c>
      <c r="CA17" s="33">
        <f t="shared" si="1"/>
        <v>32520083</v>
      </c>
      <c r="CB17" s="33">
        <f t="shared" si="1"/>
        <v>12605622</v>
      </c>
      <c r="CC17" s="33">
        <f t="shared" si="1"/>
        <v>8695672</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690486381.66999996</v>
      </c>
      <c r="C19" s="189">
        <v>678571072.77999997</v>
      </c>
      <c r="D19" s="189">
        <v>666790746.99000001</v>
      </c>
      <c r="E19" s="189">
        <v>664494468.41999996</v>
      </c>
      <c r="F19" s="189">
        <v>670939921.27999997</v>
      </c>
      <c r="G19" s="189">
        <v>372682522.97000003</v>
      </c>
      <c r="H19" s="189">
        <v>335456622.17000002</v>
      </c>
      <c r="I19" s="189">
        <v>321640929.30000001</v>
      </c>
      <c r="J19" s="189">
        <v>304416697.56</v>
      </c>
      <c r="K19" s="189">
        <v>296272506.47000003</v>
      </c>
      <c r="L19" s="189">
        <v>290000000</v>
      </c>
      <c r="M19" s="189">
        <v>0</v>
      </c>
      <c r="N19" s="189">
        <v>0</v>
      </c>
      <c r="O19" s="189">
        <v>0</v>
      </c>
      <c r="P19" s="189">
        <v>0</v>
      </c>
      <c r="Q19" s="189">
        <v>0</v>
      </c>
      <c r="R19" s="189">
        <v>0</v>
      </c>
      <c r="S19" s="189">
        <v>149047800</v>
      </c>
      <c r="T19" s="189">
        <v>142377800</v>
      </c>
      <c r="U19" s="189">
        <v>142377800</v>
      </c>
      <c r="V19" s="189">
        <v>142377800</v>
      </c>
      <c r="W19" s="189">
        <v>142377800</v>
      </c>
      <c r="X19" s="189">
        <v>142377800</v>
      </c>
      <c r="Y19" s="189">
        <v>142377800</v>
      </c>
      <c r="Z19" s="189">
        <v>160308500</v>
      </c>
      <c r="AA19" s="189">
        <v>160308500</v>
      </c>
      <c r="AB19" s="189">
        <v>160308500</v>
      </c>
      <c r="AC19" s="189">
        <v>85308500</v>
      </c>
      <c r="AD19" s="189">
        <v>85308500</v>
      </c>
      <c r="AE19" s="189">
        <v>85308500</v>
      </c>
      <c r="AF19" s="189">
        <v>83094500</v>
      </c>
      <c r="AG19" s="189">
        <v>83094500</v>
      </c>
      <c r="AH19" s="189">
        <v>83194500</v>
      </c>
      <c r="AI19" s="189">
        <v>83194500</v>
      </c>
      <c r="AJ19" s="189">
        <v>83194500</v>
      </c>
      <c r="AK19" s="189">
        <v>83194500</v>
      </c>
      <c r="AL19" s="189">
        <v>99054500</v>
      </c>
      <c r="AM19" s="189">
        <v>99929500</v>
      </c>
      <c r="AN19" s="189">
        <v>132489814.95</v>
      </c>
      <c r="AO19" s="189">
        <v>132823313.09999999</v>
      </c>
      <c r="AP19" s="189">
        <v>138518173.62</v>
      </c>
      <c r="AQ19" s="189">
        <v>48918601.030000001</v>
      </c>
      <c r="AR19" s="189">
        <v>50351070.5</v>
      </c>
      <c r="AS19" s="189">
        <v>68628986.680000007</v>
      </c>
      <c r="AT19" s="189">
        <v>88769682.420000002</v>
      </c>
      <c r="AU19" s="189">
        <v>89213891.769999996</v>
      </c>
      <c r="AV19" s="189">
        <v>86994412.819999993</v>
      </c>
      <c r="AW19" s="189">
        <v>57454828.520000003</v>
      </c>
      <c r="AX19" s="189">
        <v>54962097.950000003</v>
      </c>
      <c r="AY19" s="189">
        <v>51940081.740000002</v>
      </c>
      <c r="AZ19" s="189">
        <v>66109941.840000004</v>
      </c>
      <c r="BA19" s="189">
        <v>65088181.200000003</v>
      </c>
      <c r="BB19" s="189">
        <v>63987870.460000001</v>
      </c>
      <c r="BC19" s="189">
        <v>62445047.329999998</v>
      </c>
      <c r="BD19" s="189">
        <v>61431052.68</v>
      </c>
      <c r="BE19" s="189">
        <v>60780691.920000002</v>
      </c>
      <c r="BF19" s="189">
        <v>79279399.219999999</v>
      </c>
      <c r="BG19" s="189">
        <v>34200848.210000001</v>
      </c>
      <c r="BH19" s="189">
        <v>39831930.219999999</v>
      </c>
      <c r="BI19" s="189">
        <v>29631930.219999999</v>
      </c>
      <c r="BJ19" s="189">
        <v>35680428.380000003</v>
      </c>
      <c r="BK19" s="189">
        <v>23680428.379999999</v>
      </c>
      <c r="BL19" s="189">
        <v>15675534.42</v>
      </c>
      <c r="BM19" s="189">
        <v>10171425.68</v>
      </c>
      <c r="BN19" s="189">
        <v>0</v>
      </c>
      <c r="BO19" s="189">
        <v>4000000</v>
      </c>
      <c r="BP19" s="189">
        <v>0</v>
      </c>
      <c r="BQ19" s="189">
        <v>0</v>
      </c>
      <c r="BR19" s="189">
        <v>0</v>
      </c>
      <c r="BS19" s="189">
        <v>1270</v>
      </c>
      <c r="BT19" s="189">
        <v>22540</v>
      </c>
      <c r="BU19" s="189">
        <v>0</v>
      </c>
      <c r="BV19" s="189">
        <v>21605958</v>
      </c>
      <c r="BW19" s="189">
        <v>21605958</v>
      </c>
      <c r="BX19" s="189">
        <v>31600000</v>
      </c>
      <c r="BY19" s="189">
        <v>31600000</v>
      </c>
      <c r="BZ19" s="189">
        <v>0</v>
      </c>
      <c r="CA19" s="189">
        <v>118047</v>
      </c>
      <c r="CB19" s="189">
        <v>223487</v>
      </c>
      <c r="CC19" s="189">
        <v>250511</v>
      </c>
      <c r="CD19" s="189">
        <v>0</v>
      </c>
      <c r="CE19" s="189"/>
      <c r="CF19" s="189"/>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1217906843.73</v>
      </c>
      <c r="C22" s="189">
        <v>1683573966.6800001</v>
      </c>
      <c r="D22" s="189">
        <v>1422326046.77</v>
      </c>
      <c r="E22" s="189">
        <v>1484845658.6300001</v>
      </c>
      <c r="F22" s="189">
        <v>742201713.88</v>
      </c>
      <c r="G22" s="189">
        <v>562334576.76999998</v>
      </c>
      <c r="H22" s="189">
        <v>523653461.00999999</v>
      </c>
      <c r="I22" s="189">
        <v>1135116275.55</v>
      </c>
      <c r="J22" s="189">
        <v>1383667407.4400001</v>
      </c>
      <c r="K22" s="189">
        <v>1165570957.3</v>
      </c>
      <c r="L22" s="189">
        <v>1496450843.8199999</v>
      </c>
      <c r="M22" s="189">
        <v>1414464687.5699999</v>
      </c>
      <c r="N22" s="189">
        <v>622506518.84000003</v>
      </c>
      <c r="O22" s="189">
        <v>341624306.72000003</v>
      </c>
      <c r="P22" s="189">
        <v>444774255.70999998</v>
      </c>
      <c r="Q22" s="189">
        <v>725364151.13</v>
      </c>
      <c r="R22" s="189">
        <v>676156432.96000004</v>
      </c>
      <c r="S22" s="189">
        <v>713615142.23000002</v>
      </c>
      <c r="T22" s="189">
        <v>947400463.39999998</v>
      </c>
      <c r="U22" s="189">
        <v>841045424.40999997</v>
      </c>
      <c r="V22" s="189">
        <v>450733060.45999998</v>
      </c>
      <c r="W22" s="189">
        <v>837339343.88</v>
      </c>
      <c r="X22" s="189">
        <v>875564336.96000004</v>
      </c>
      <c r="Y22" s="189">
        <v>828161588.25999999</v>
      </c>
      <c r="Z22" s="189">
        <v>651997775.46000004</v>
      </c>
      <c r="AA22" s="189">
        <v>984345997.20000005</v>
      </c>
      <c r="AB22" s="189">
        <v>733886475.45000005</v>
      </c>
      <c r="AC22" s="189">
        <v>169880909.19999999</v>
      </c>
      <c r="AD22" s="189">
        <v>320398315.23000002</v>
      </c>
      <c r="AE22" s="189">
        <v>235609897.47</v>
      </c>
      <c r="AF22" s="189">
        <v>381246559.18000001</v>
      </c>
      <c r="AG22" s="189">
        <v>446104377.63999999</v>
      </c>
      <c r="AH22" s="189">
        <v>399367616.88999999</v>
      </c>
      <c r="AI22" s="189">
        <v>208010443.5</v>
      </c>
      <c r="AJ22" s="189">
        <v>228892110</v>
      </c>
      <c r="AK22" s="189">
        <v>544880275.63999999</v>
      </c>
      <c r="AL22" s="189">
        <v>223861536.44999999</v>
      </c>
      <c r="AM22" s="189">
        <v>137491872.33000001</v>
      </c>
      <c r="AN22" s="189">
        <v>75610135.5</v>
      </c>
      <c r="AO22" s="189">
        <v>190569728.44</v>
      </c>
      <c r="AP22" s="189">
        <v>109021175.44</v>
      </c>
      <c r="AQ22" s="189">
        <v>35980236.289999999</v>
      </c>
      <c r="AR22" s="189">
        <v>97628911.829999998</v>
      </c>
      <c r="AS22" s="189">
        <v>171083363.19</v>
      </c>
      <c r="AT22" s="189">
        <v>78964011.5</v>
      </c>
      <c r="AU22" s="189">
        <v>117407264.59999999</v>
      </c>
      <c r="AV22" s="189">
        <v>108609220</v>
      </c>
      <c r="AW22" s="189">
        <v>151678319.5</v>
      </c>
      <c r="AX22" s="189">
        <v>119111308.95</v>
      </c>
      <c r="AY22" s="189">
        <v>74724504.959999993</v>
      </c>
      <c r="AZ22" s="189">
        <v>15338604.73</v>
      </c>
      <c r="BA22" s="189">
        <v>72425802</v>
      </c>
      <c r="BB22" s="189">
        <v>41852773.869999997</v>
      </c>
      <c r="BC22" s="189">
        <v>81949113.340000004</v>
      </c>
      <c r="BD22" s="189">
        <v>88235180.260000005</v>
      </c>
      <c r="BE22" s="189">
        <v>157900900.5</v>
      </c>
      <c r="BF22" s="189">
        <v>46287270</v>
      </c>
      <c r="BG22" s="189">
        <v>57643650</v>
      </c>
      <c r="BH22" s="189">
        <v>94407566.799999997</v>
      </c>
      <c r="BI22" s="189">
        <v>306087680</v>
      </c>
      <c r="BJ22" s="189">
        <v>78706020</v>
      </c>
      <c r="BK22" s="189">
        <v>15293050</v>
      </c>
      <c r="BL22" s="189">
        <v>19058300</v>
      </c>
      <c r="BM22" s="189">
        <v>10496000</v>
      </c>
      <c r="BN22" s="189">
        <v>19561925</v>
      </c>
      <c r="BO22" s="189">
        <v>1696840</v>
      </c>
      <c r="BP22" s="189">
        <v>2198920</v>
      </c>
      <c r="BQ22" s="189">
        <v>9504750</v>
      </c>
      <c r="BR22" s="189">
        <v>5372590</v>
      </c>
      <c r="BS22" s="189">
        <v>2806000</v>
      </c>
      <c r="BT22" s="189">
        <v>6005115</v>
      </c>
      <c r="BU22" s="189">
        <v>1535715</v>
      </c>
      <c r="BV22" s="189">
        <v>294000</v>
      </c>
      <c r="BW22" s="189">
        <v>782100</v>
      </c>
      <c r="BX22" s="189">
        <v>1813000</v>
      </c>
      <c r="BY22" s="189">
        <v>3927800</v>
      </c>
      <c r="BZ22" s="189">
        <v>0</v>
      </c>
      <c r="CA22" s="189">
        <v>0</v>
      </c>
      <c r="CB22" s="189">
        <v>0</v>
      </c>
      <c r="CC22" s="189">
        <v>0</v>
      </c>
      <c r="CD22" s="189">
        <v>0</v>
      </c>
      <c r="CE22" s="189"/>
      <c r="CF22" s="189"/>
      <c r="CG22" s="189"/>
      <c r="CH22" s="189"/>
      <c r="CI22" s="189"/>
      <c r="CJ22" s="189"/>
      <c r="CK22" s="189"/>
      <c r="CL22" s="189"/>
    </row>
    <row r="23" spans="1:90" x14ac:dyDescent="0.25">
      <c r="A23" s="17" t="s">
        <v>15</v>
      </c>
      <c r="B23" s="189">
        <v>16746768909.309999</v>
      </c>
      <c r="C23" s="189">
        <v>16257325915.66</v>
      </c>
      <c r="D23" s="189">
        <v>16894086065.32</v>
      </c>
      <c r="E23" s="189">
        <v>17388097276.639999</v>
      </c>
      <c r="F23" s="189">
        <v>15805146962.940001</v>
      </c>
      <c r="G23" s="189">
        <v>14243227056.139999</v>
      </c>
      <c r="H23" s="189">
        <v>13578819760.92</v>
      </c>
      <c r="I23" s="189">
        <v>15049323450.1</v>
      </c>
      <c r="J23" s="189">
        <v>12929132083.17</v>
      </c>
      <c r="K23" s="189">
        <v>11207042308.709999</v>
      </c>
      <c r="L23" s="189">
        <v>9275377692.9200001</v>
      </c>
      <c r="M23" s="189">
        <v>9948959661.9200001</v>
      </c>
      <c r="N23" s="189">
        <v>7059539604.75</v>
      </c>
      <c r="O23" s="189">
        <v>7273502237.8999996</v>
      </c>
      <c r="P23" s="189">
        <v>7435787765.0200005</v>
      </c>
      <c r="Q23" s="189">
        <v>8584497051.6700001</v>
      </c>
      <c r="R23" s="189">
        <v>5103386651.5299997</v>
      </c>
      <c r="S23" s="189">
        <v>4615387455.1199999</v>
      </c>
      <c r="T23" s="189">
        <v>4568146170.6899996</v>
      </c>
      <c r="U23" s="189">
        <v>4175354300.1799998</v>
      </c>
      <c r="V23" s="189">
        <v>3206337478.8699999</v>
      </c>
      <c r="W23" s="189">
        <v>4000265431.2199998</v>
      </c>
      <c r="X23" s="189">
        <v>3879062360.1100001</v>
      </c>
      <c r="Y23" s="189">
        <v>3115571858.2800002</v>
      </c>
      <c r="Z23" s="189">
        <v>2112873517</v>
      </c>
      <c r="AA23" s="189">
        <v>1906614837.55</v>
      </c>
      <c r="AB23" s="189">
        <v>1527301823.45</v>
      </c>
      <c r="AC23" s="189">
        <v>1661258652.25</v>
      </c>
      <c r="AD23" s="189">
        <v>1837142814.8299999</v>
      </c>
      <c r="AE23" s="189">
        <v>1372642817.4400001</v>
      </c>
      <c r="AF23" s="189">
        <v>1181306475.0799999</v>
      </c>
      <c r="AG23" s="189">
        <v>1210821028.76</v>
      </c>
      <c r="AH23" s="189">
        <v>1641749089.54</v>
      </c>
      <c r="AI23" s="189">
        <v>1417426841.6400001</v>
      </c>
      <c r="AJ23" s="189">
        <v>916698611.13</v>
      </c>
      <c r="AK23" s="189">
        <v>949028747.75999999</v>
      </c>
      <c r="AL23" s="189">
        <v>804516776.09000003</v>
      </c>
      <c r="AM23" s="189">
        <v>735710976.63</v>
      </c>
      <c r="AN23" s="189">
        <v>621257340.33000004</v>
      </c>
      <c r="AO23" s="189">
        <v>542889738.52999997</v>
      </c>
      <c r="AP23" s="189">
        <v>453687706.44</v>
      </c>
      <c r="AQ23" s="189">
        <v>711069940.87</v>
      </c>
      <c r="AR23" s="189">
        <v>630284965.94000006</v>
      </c>
      <c r="AS23" s="189">
        <v>1034432864.0700001</v>
      </c>
      <c r="AT23" s="189">
        <v>819892149.82000005</v>
      </c>
      <c r="AU23" s="189">
        <v>446723753.64999998</v>
      </c>
      <c r="AV23" s="189">
        <v>420148191.99000001</v>
      </c>
      <c r="AW23" s="189">
        <v>324801455.50999999</v>
      </c>
      <c r="AX23" s="189">
        <v>401466155.69</v>
      </c>
      <c r="AY23" s="189">
        <v>368165659.17000002</v>
      </c>
      <c r="AZ23" s="189">
        <v>359857346.89999998</v>
      </c>
      <c r="BA23" s="189">
        <v>310066613.55000001</v>
      </c>
      <c r="BB23" s="189">
        <v>325470980.85000002</v>
      </c>
      <c r="BC23" s="189">
        <v>215330701.50999999</v>
      </c>
      <c r="BD23" s="189">
        <v>198767614.28999999</v>
      </c>
      <c r="BE23" s="189">
        <v>199888010.50999999</v>
      </c>
      <c r="BF23" s="189">
        <v>295929010.69999999</v>
      </c>
      <c r="BG23" s="189">
        <v>277502306.39999998</v>
      </c>
      <c r="BH23" s="189">
        <v>169149645.97</v>
      </c>
      <c r="BI23" s="189">
        <v>172831023.12</v>
      </c>
      <c r="BJ23" s="189">
        <v>137351589.71000001</v>
      </c>
      <c r="BK23" s="189">
        <v>109887060.54000001</v>
      </c>
      <c r="BL23" s="189">
        <v>80400810.939999998</v>
      </c>
      <c r="BM23" s="189">
        <v>49960217.229999997</v>
      </c>
      <c r="BN23" s="189">
        <v>111308237.36</v>
      </c>
      <c r="BO23" s="189">
        <v>202090196.18000001</v>
      </c>
      <c r="BP23" s="189">
        <v>121388296.34999999</v>
      </c>
      <c r="BQ23" s="189">
        <v>110938844.20999999</v>
      </c>
      <c r="BR23" s="189">
        <v>115285889.84999999</v>
      </c>
      <c r="BS23" s="189">
        <v>50257130.700000003</v>
      </c>
      <c r="BT23" s="189">
        <v>64839575.270000003</v>
      </c>
      <c r="BU23" s="189">
        <v>39202251.020000003</v>
      </c>
      <c r="BV23" s="189">
        <v>55190572.799999997</v>
      </c>
      <c r="BW23" s="189">
        <v>60970788.630000003</v>
      </c>
      <c r="BX23" s="189">
        <v>47212548.479999997</v>
      </c>
      <c r="BY23" s="189">
        <v>33437003.789999999</v>
      </c>
      <c r="BZ23" s="189">
        <v>0</v>
      </c>
      <c r="CA23" s="189">
        <v>0</v>
      </c>
      <c r="CB23" s="189">
        <v>0</v>
      </c>
      <c r="CC23" s="189">
        <v>0</v>
      </c>
      <c r="CD23" s="189">
        <v>0</v>
      </c>
      <c r="CE23" s="189"/>
      <c r="CF23" s="189"/>
      <c r="CG23" s="189"/>
      <c r="CH23" s="189"/>
      <c r="CI23" s="189"/>
      <c r="CJ23" s="189"/>
      <c r="CK23" s="189"/>
      <c r="CL23" s="189"/>
    </row>
    <row r="24" spans="1:90" x14ac:dyDescent="0.25">
      <c r="A24" s="17" t="s">
        <v>16</v>
      </c>
      <c r="B24" s="189">
        <v>354618382.99000001</v>
      </c>
      <c r="C24" s="189">
        <v>583092433.48000002</v>
      </c>
      <c r="D24" s="189">
        <v>320507190.31999999</v>
      </c>
      <c r="E24" s="189">
        <v>299981183.75</v>
      </c>
      <c r="F24" s="189">
        <v>334602583.81999999</v>
      </c>
      <c r="G24" s="189">
        <v>274384911.07999998</v>
      </c>
      <c r="H24" s="189">
        <v>232946168.56</v>
      </c>
      <c r="I24" s="189">
        <v>226634221.22999999</v>
      </c>
      <c r="J24" s="189">
        <v>281385700.48000002</v>
      </c>
      <c r="K24" s="189">
        <v>299241365.89999998</v>
      </c>
      <c r="L24" s="189">
        <v>404147543.68000001</v>
      </c>
      <c r="M24" s="189">
        <v>427599707.66000003</v>
      </c>
      <c r="N24" s="189">
        <v>280607725.29000002</v>
      </c>
      <c r="O24" s="189">
        <v>227614028.52000001</v>
      </c>
      <c r="P24" s="189">
        <v>136551236.84999999</v>
      </c>
      <c r="Q24" s="189">
        <v>260158688.00999999</v>
      </c>
      <c r="R24" s="189">
        <v>411469638.99000001</v>
      </c>
      <c r="S24" s="189">
        <v>300566504.47000003</v>
      </c>
      <c r="T24" s="189">
        <v>166084547.38</v>
      </c>
      <c r="U24" s="189">
        <v>207280045.50999999</v>
      </c>
      <c r="V24" s="189">
        <v>202530405.19999999</v>
      </c>
      <c r="W24" s="189">
        <v>125607401.34999999</v>
      </c>
      <c r="X24" s="189">
        <v>186458595</v>
      </c>
      <c r="Y24" s="189">
        <v>164057168.25999999</v>
      </c>
      <c r="Z24" s="189">
        <v>477450609.42000002</v>
      </c>
      <c r="AA24" s="189">
        <v>356336542.61000001</v>
      </c>
      <c r="AB24" s="189">
        <v>386394695.20999998</v>
      </c>
      <c r="AC24" s="189">
        <v>1147864991.9300001</v>
      </c>
      <c r="AD24" s="189">
        <v>1009806401.12</v>
      </c>
      <c r="AE24" s="189">
        <v>1020318015.5599999</v>
      </c>
      <c r="AF24" s="189">
        <v>1091494983.3</v>
      </c>
      <c r="AG24" s="189">
        <v>716749639.80999994</v>
      </c>
      <c r="AH24" s="189">
        <v>742160357.13999999</v>
      </c>
      <c r="AI24" s="189">
        <v>659353140.73000002</v>
      </c>
      <c r="AJ24" s="189">
        <v>134287084.55000001</v>
      </c>
      <c r="AK24" s="189">
        <v>85643831.769999996</v>
      </c>
      <c r="AL24" s="189">
        <v>91279492.939999998</v>
      </c>
      <c r="AM24" s="189">
        <v>70728935.959999993</v>
      </c>
      <c r="AN24" s="189">
        <v>82923607.040000007</v>
      </c>
      <c r="AO24" s="189">
        <v>68079405.260000005</v>
      </c>
      <c r="AP24" s="189">
        <v>258600200.28999999</v>
      </c>
      <c r="AQ24" s="189">
        <v>230945444.44999999</v>
      </c>
      <c r="AR24" s="189">
        <v>232454726.99000001</v>
      </c>
      <c r="AS24" s="189">
        <v>206343250.11000001</v>
      </c>
      <c r="AT24" s="189">
        <v>148650786.88999999</v>
      </c>
      <c r="AU24" s="189">
        <v>65258000.659999996</v>
      </c>
      <c r="AV24" s="189">
        <v>117156140.01000001</v>
      </c>
      <c r="AW24" s="189">
        <v>60729522.880000003</v>
      </c>
      <c r="AX24" s="189">
        <v>95422419.409999996</v>
      </c>
      <c r="AY24" s="189">
        <v>71437360.430000007</v>
      </c>
      <c r="AZ24" s="189">
        <v>91547057.909999996</v>
      </c>
      <c r="BA24" s="189">
        <v>73242113.310000002</v>
      </c>
      <c r="BB24" s="189">
        <v>143085923</v>
      </c>
      <c r="BC24" s="189">
        <v>125565999.87</v>
      </c>
      <c r="BD24" s="189">
        <v>77937591.530000001</v>
      </c>
      <c r="BE24" s="189">
        <v>65769895.590000004</v>
      </c>
      <c r="BF24" s="189">
        <v>34476971.18</v>
      </c>
      <c r="BG24" s="189">
        <v>134875389.91</v>
      </c>
      <c r="BH24" s="189">
        <v>170919025.94999999</v>
      </c>
      <c r="BI24" s="189">
        <v>80478100.519999996</v>
      </c>
      <c r="BJ24" s="189">
        <v>76209193.530000001</v>
      </c>
      <c r="BK24" s="189">
        <v>130534707.23</v>
      </c>
      <c r="BL24" s="189">
        <v>131150103.64</v>
      </c>
      <c r="BM24" s="189">
        <v>163380851.34999999</v>
      </c>
      <c r="BN24" s="189">
        <v>148202781.41999999</v>
      </c>
      <c r="BO24" s="189">
        <v>124820664.09</v>
      </c>
      <c r="BP24" s="189">
        <v>90394155.140000001</v>
      </c>
      <c r="BQ24" s="189">
        <v>79304404.379999995</v>
      </c>
      <c r="BR24" s="189">
        <v>44609879.789999999</v>
      </c>
      <c r="BS24" s="189">
        <v>107750352.81</v>
      </c>
      <c r="BT24" s="189">
        <v>76488015.75</v>
      </c>
      <c r="BU24" s="189">
        <v>77937719.510000005</v>
      </c>
      <c r="BV24" s="189">
        <v>11712832.5</v>
      </c>
      <c r="BW24" s="189">
        <v>16882382.210000001</v>
      </c>
      <c r="BX24" s="189">
        <v>17499875.84</v>
      </c>
      <c r="BY24" s="189">
        <v>15856774.85</v>
      </c>
      <c r="BZ24" s="189">
        <v>0</v>
      </c>
      <c r="CA24" s="189">
        <v>2604507</v>
      </c>
      <c r="CB24" s="189">
        <v>1139651</v>
      </c>
      <c r="CC24" s="189">
        <v>2236498</v>
      </c>
      <c r="CD24" s="189">
        <v>0</v>
      </c>
      <c r="CE24" s="189"/>
      <c r="CF24" s="189"/>
      <c r="CG24" s="189"/>
      <c r="CH24" s="189"/>
      <c r="CI24" s="189"/>
      <c r="CJ24" s="189"/>
      <c r="CK24" s="189"/>
      <c r="CL24" s="189"/>
    </row>
    <row r="25" spans="1:90" x14ac:dyDescent="0.25">
      <c r="A25" s="17" t="s">
        <v>17</v>
      </c>
      <c r="B25" s="189">
        <v>698157796.39999998</v>
      </c>
      <c r="C25" s="189">
        <v>887741999.33000004</v>
      </c>
      <c r="D25" s="189">
        <v>899559045.88</v>
      </c>
      <c r="E25" s="189">
        <v>752766786.00999999</v>
      </c>
      <c r="F25" s="189">
        <v>679275024.52999997</v>
      </c>
      <c r="G25" s="189">
        <v>585303037.47000003</v>
      </c>
      <c r="H25" s="189">
        <v>517773541.48000002</v>
      </c>
      <c r="I25" s="189">
        <v>512822884.88999999</v>
      </c>
      <c r="J25" s="189">
        <v>375067613.94999999</v>
      </c>
      <c r="K25" s="189">
        <v>371759022.38999999</v>
      </c>
      <c r="L25" s="189">
        <v>815758553.86000001</v>
      </c>
      <c r="M25" s="189">
        <v>260006265.09</v>
      </c>
      <c r="N25" s="189">
        <v>264994140.13</v>
      </c>
      <c r="O25" s="189">
        <v>205691952</v>
      </c>
      <c r="P25" s="189">
        <v>240888155.75999999</v>
      </c>
      <c r="Q25" s="189">
        <v>171609351.27000001</v>
      </c>
      <c r="R25" s="189">
        <v>119000445.20999999</v>
      </c>
      <c r="S25" s="189">
        <v>128317932.95999999</v>
      </c>
      <c r="T25" s="189">
        <v>161996282.05000001</v>
      </c>
      <c r="U25" s="189">
        <v>108320092.37</v>
      </c>
      <c r="V25" s="189">
        <v>699643626</v>
      </c>
      <c r="W25" s="189">
        <v>667665716.05999994</v>
      </c>
      <c r="X25" s="189">
        <v>759860860.39999998</v>
      </c>
      <c r="Y25" s="189">
        <v>775764751.46000004</v>
      </c>
      <c r="Z25" s="189">
        <v>975796194.94000006</v>
      </c>
      <c r="AA25" s="189">
        <v>888628799.69000006</v>
      </c>
      <c r="AB25" s="189">
        <v>877852237.92999995</v>
      </c>
      <c r="AC25" s="189">
        <v>207088594.78</v>
      </c>
      <c r="AD25" s="189">
        <v>271639728.79000002</v>
      </c>
      <c r="AE25" s="189">
        <v>128094625.72</v>
      </c>
      <c r="AF25" s="189">
        <v>118153059.34</v>
      </c>
      <c r="AG25" s="189">
        <v>110973156.40000001</v>
      </c>
      <c r="AH25" s="189">
        <v>92606419.459999993</v>
      </c>
      <c r="AI25" s="189">
        <v>66349535.799999997</v>
      </c>
      <c r="AJ25" s="189">
        <v>31399105.890000001</v>
      </c>
      <c r="AK25" s="189">
        <v>31821206.75</v>
      </c>
      <c r="AL25" s="189">
        <v>61386426.640000001</v>
      </c>
      <c r="AM25" s="189">
        <v>47036778.119999997</v>
      </c>
      <c r="AN25" s="189">
        <v>42911784.82</v>
      </c>
      <c r="AO25" s="189">
        <v>47465999.759999998</v>
      </c>
      <c r="AP25" s="189">
        <v>44760068.109999999</v>
      </c>
      <c r="AQ25" s="189">
        <v>49655501.140000001</v>
      </c>
      <c r="AR25" s="189">
        <v>37174643.770000003</v>
      </c>
      <c r="AS25" s="189">
        <v>96367323.180000007</v>
      </c>
      <c r="AT25" s="189">
        <v>206019921.72999999</v>
      </c>
      <c r="AU25" s="189">
        <v>170328278.53</v>
      </c>
      <c r="AV25" s="189">
        <v>67447385.599999994</v>
      </c>
      <c r="AW25" s="189">
        <v>46189686.909999996</v>
      </c>
      <c r="AX25" s="189">
        <v>34638527.859999999</v>
      </c>
      <c r="AY25" s="189">
        <v>37776269.009999998</v>
      </c>
      <c r="AZ25" s="189">
        <v>39792980.5</v>
      </c>
      <c r="BA25" s="189">
        <v>41200761.219999999</v>
      </c>
      <c r="BB25" s="189">
        <v>73134692.670000002</v>
      </c>
      <c r="BC25" s="189">
        <v>49495247.759999998</v>
      </c>
      <c r="BD25" s="189">
        <v>62166656.109999999</v>
      </c>
      <c r="BE25" s="189">
        <v>51701407.369999997</v>
      </c>
      <c r="BF25" s="189">
        <v>30106941.34</v>
      </c>
      <c r="BG25" s="189">
        <v>63612273.609999999</v>
      </c>
      <c r="BH25" s="189">
        <v>47104293.399999999</v>
      </c>
      <c r="BI25" s="189">
        <v>52067159.960000001</v>
      </c>
      <c r="BJ25" s="189">
        <v>80566804.400000006</v>
      </c>
      <c r="BK25" s="189">
        <v>70797863.840000004</v>
      </c>
      <c r="BL25" s="189">
        <v>41570223.159999996</v>
      </c>
      <c r="BM25" s="189">
        <v>55517376.149999999</v>
      </c>
      <c r="BN25" s="189">
        <v>31973330.739999998</v>
      </c>
      <c r="BO25" s="189">
        <v>19672356.530000001</v>
      </c>
      <c r="BP25" s="189">
        <v>16252685.470000001</v>
      </c>
      <c r="BQ25" s="189">
        <v>10402119.25</v>
      </c>
      <c r="BR25" s="189">
        <v>23828450.780000001</v>
      </c>
      <c r="BS25" s="189">
        <v>26942191.379999999</v>
      </c>
      <c r="BT25" s="189">
        <v>36358270.899999999</v>
      </c>
      <c r="BU25" s="189">
        <v>37479139.5</v>
      </c>
      <c r="BV25" s="189">
        <v>12884288.050000001</v>
      </c>
      <c r="BW25" s="189">
        <v>26739954.93</v>
      </c>
      <c r="BX25" s="189">
        <v>23721985.98</v>
      </c>
      <c r="BY25" s="189">
        <v>17643989.989999998</v>
      </c>
      <c r="BZ25" s="189">
        <v>0</v>
      </c>
      <c r="CA25" s="189">
        <v>4134646</v>
      </c>
      <c r="CB25" s="189">
        <v>4137840</v>
      </c>
      <c r="CC25" s="189">
        <v>2848337</v>
      </c>
      <c r="CD25" s="189">
        <v>0</v>
      </c>
      <c r="CE25" s="189"/>
      <c r="CF25" s="189"/>
      <c r="CG25" s="189"/>
      <c r="CH25" s="189"/>
      <c r="CI25" s="189"/>
      <c r="CJ25" s="189"/>
      <c r="CK25" s="189"/>
      <c r="CL25" s="189"/>
    </row>
    <row r="26" spans="1:90" x14ac:dyDescent="0.25">
      <c r="A26" s="17" t="s">
        <v>18</v>
      </c>
      <c r="B26" s="189">
        <v>4607979790.4499998</v>
      </c>
      <c r="C26" s="189">
        <v>3314258563.9400001</v>
      </c>
      <c r="D26" s="189">
        <v>3105721513.1100001</v>
      </c>
      <c r="E26" s="189">
        <v>3074444528.9099998</v>
      </c>
      <c r="F26" s="189">
        <v>2363761966.52</v>
      </c>
      <c r="G26" s="189">
        <v>2372539201.9000001</v>
      </c>
      <c r="H26" s="189">
        <v>1876877155.6400001</v>
      </c>
      <c r="I26" s="189">
        <v>1923469063.3699999</v>
      </c>
      <c r="J26" s="189">
        <v>1758389561.5999999</v>
      </c>
      <c r="K26" s="189">
        <v>1716388628.8800001</v>
      </c>
      <c r="L26" s="189">
        <v>1144504460.0799999</v>
      </c>
      <c r="M26" s="189">
        <v>1547379434.1900001</v>
      </c>
      <c r="N26" s="189">
        <v>1475152540.21</v>
      </c>
      <c r="O26" s="189">
        <v>1631937651.47</v>
      </c>
      <c r="P26" s="189">
        <v>1523971890.0599999</v>
      </c>
      <c r="Q26" s="189">
        <v>1159509750</v>
      </c>
      <c r="R26" s="189">
        <v>1570278613.4400001</v>
      </c>
      <c r="S26" s="189">
        <v>647439129.96000004</v>
      </c>
      <c r="T26" s="189">
        <v>893444861.89999998</v>
      </c>
      <c r="U26" s="189">
        <v>1400658822.5999999</v>
      </c>
      <c r="V26" s="189">
        <v>1416184085.7</v>
      </c>
      <c r="W26" s="189">
        <v>815221480.40999997</v>
      </c>
      <c r="X26" s="189">
        <v>974584127.44000006</v>
      </c>
      <c r="Y26" s="189">
        <v>1258328500.9300001</v>
      </c>
      <c r="Z26" s="189">
        <v>861798139</v>
      </c>
      <c r="AA26" s="189">
        <v>665055821.59000003</v>
      </c>
      <c r="AB26" s="189">
        <v>868651948.33000004</v>
      </c>
      <c r="AC26" s="189">
        <v>1121597023.29</v>
      </c>
      <c r="AD26" s="189">
        <v>1086626833.76</v>
      </c>
      <c r="AE26" s="189">
        <v>1027634959.7</v>
      </c>
      <c r="AF26" s="189">
        <v>889982099.25</v>
      </c>
      <c r="AG26" s="189">
        <v>1225345932.3900001</v>
      </c>
      <c r="AH26" s="189">
        <v>833765792.40999997</v>
      </c>
      <c r="AI26" s="189">
        <v>636334629.60000002</v>
      </c>
      <c r="AJ26" s="189">
        <v>738532870</v>
      </c>
      <c r="AK26" s="189">
        <v>758357442.92999995</v>
      </c>
      <c r="AL26" s="189">
        <v>485240048.95999998</v>
      </c>
      <c r="AM26" s="189">
        <v>433634682</v>
      </c>
      <c r="AN26" s="189">
        <v>496425719.56</v>
      </c>
      <c r="AO26" s="189">
        <v>635986090.29999995</v>
      </c>
      <c r="AP26" s="189">
        <v>720039935.87</v>
      </c>
      <c r="AQ26" s="189">
        <v>694547109.04999995</v>
      </c>
      <c r="AR26" s="189">
        <v>714614180.78999996</v>
      </c>
      <c r="AS26" s="189">
        <v>1504114983.8900001</v>
      </c>
      <c r="AT26" s="189">
        <v>1326797790.5599999</v>
      </c>
      <c r="AU26" s="189">
        <v>1282806019.99</v>
      </c>
      <c r="AV26" s="189">
        <v>907488160.35000002</v>
      </c>
      <c r="AW26" s="189">
        <v>837471188.09000003</v>
      </c>
      <c r="AX26" s="189">
        <v>698878048.46000004</v>
      </c>
      <c r="AY26" s="189">
        <v>603563628.30999994</v>
      </c>
      <c r="AZ26" s="189">
        <v>651231571.61000001</v>
      </c>
      <c r="BA26" s="189">
        <v>724260947.13</v>
      </c>
      <c r="BB26" s="189">
        <v>632366968.04999995</v>
      </c>
      <c r="BC26" s="189">
        <v>577921348.40999997</v>
      </c>
      <c r="BD26" s="189">
        <v>653834472.66999996</v>
      </c>
      <c r="BE26" s="189">
        <v>837121705.61000001</v>
      </c>
      <c r="BF26" s="189">
        <v>557004251.38999999</v>
      </c>
      <c r="BG26" s="189">
        <v>540842595.70000005</v>
      </c>
      <c r="BH26" s="189">
        <v>594814396.70000005</v>
      </c>
      <c r="BI26" s="189">
        <v>557605124.83000004</v>
      </c>
      <c r="BJ26" s="189">
        <v>503208377.49000001</v>
      </c>
      <c r="BK26" s="189">
        <v>477434114.23000002</v>
      </c>
      <c r="BL26" s="189">
        <v>476757459.77999997</v>
      </c>
      <c r="BM26" s="189">
        <v>557318428.97000003</v>
      </c>
      <c r="BN26" s="189">
        <v>391813561.82999998</v>
      </c>
      <c r="BO26" s="189">
        <v>362143508.83999997</v>
      </c>
      <c r="BP26" s="189">
        <v>327415063.32999998</v>
      </c>
      <c r="BQ26" s="189">
        <v>288527974.61000001</v>
      </c>
      <c r="BR26" s="189">
        <v>267289933.68000001</v>
      </c>
      <c r="BS26" s="189">
        <v>283333563.60000002</v>
      </c>
      <c r="BT26" s="189">
        <v>219428652.97</v>
      </c>
      <c r="BU26" s="189">
        <v>260443455.27000001</v>
      </c>
      <c r="BV26" s="189">
        <v>201265328.84999999</v>
      </c>
      <c r="BW26" s="189">
        <v>204716769.96000001</v>
      </c>
      <c r="BX26" s="189">
        <v>151396972.00999999</v>
      </c>
      <c r="BY26" s="189">
        <v>129445405.86</v>
      </c>
      <c r="BZ26" s="189">
        <v>0</v>
      </c>
      <c r="CA26" s="189">
        <v>101902709</v>
      </c>
      <c r="CB26" s="189">
        <v>65258394</v>
      </c>
      <c r="CC26" s="189">
        <v>38655425</v>
      </c>
      <c r="CD26" s="189">
        <v>0</v>
      </c>
      <c r="CE26" s="189"/>
      <c r="CF26" s="189"/>
      <c r="CG26" s="189"/>
      <c r="CH26" s="189"/>
      <c r="CI26" s="189"/>
      <c r="CJ26" s="189"/>
      <c r="CK26" s="189"/>
      <c r="CL26" s="189"/>
    </row>
    <row r="27" spans="1:90" x14ac:dyDescent="0.25">
      <c r="A27" s="17" t="s">
        <v>19</v>
      </c>
      <c r="B27" s="189">
        <v>2651220554.1900001</v>
      </c>
      <c r="C27" s="189">
        <v>407054846.77999997</v>
      </c>
      <c r="D27" s="189">
        <v>587312860.49000001</v>
      </c>
      <c r="E27" s="189">
        <v>1746040606.21</v>
      </c>
      <c r="F27" s="189">
        <v>80153176.989999995</v>
      </c>
      <c r="G27" s="189">
        <v>653391542.20000005</v>
      </c>
      <c r="H27" s="189">
        <v>402921097.26999998</v>
      </c>
      <c r="I27" s="189">
        <v>2047857351.6500001</v>
      </c>
      <c r="J27" s="189">
        <v>315815643.14999998</v>
      </c>
      <c r="K27" s="189">
        <v>237897089.24000001</v>
      </c>
      <c r="L27" s="189">
        <v>1409505047.6500001</v>
      </c>
      <c r="M27" s="189">
        <v>1336981360.1700001</v>
      </c>
      <c r="N27" s="189">
        <v>2172154705.8099999</v>
      </c>
      <c r="O27" s="189">
        <v>282537681.17000002</v>
      </c>
      <c r="P27" s="189">
        <v>632499171.91999996</v>
      </c>
      <c r="Q27" s="189">
        <v>258916025.74000001</v>
      </c>
      <c r="R27" s="189">
        <v>1111204447.96</v>
      </c>
      <c r="S27" s="189">
        <v>786199613.13</v>
      </c>
      <c r="T27" s="189">
        <v>1512304447.96</v>
      </c>
      <c r="U27" s="189">
        <v>807323012.41999996</v>
      </c>
      <c r="V27" s="189">
        <v>779000000</v>
      </c>
      <c r="W27" s="189">
        <v>380000000</v>
      </c>
      <c r="X27" s="189">
        <v>152000000</v>
      </c>
      <c r="Y27" s="189">
        <v>820000000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15120180</v>
      </c>
      <c r="AQ27" s="189">
        <v>15120180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c r="CF27" s="189"/>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c r="CF28" s="189"/>
      <c r="CG28" s="189"/>
      <c r="CH28" s="189"/>
      <c r="CI28" s="189"/>
      <c r="CJ28" s="189"/>
      <c r="CK28" s="189"/>
      <c r="CL28" s="189"/>
    </row>
    <row r="29" spans="1:90" x14ac:dyDescent="0.25">
      <c r="A29" s="17" t="s">
        <v>3</v>
      </c>
      <c r="B29" s="189">
        <v>5831126.4800000004</v>
      </c>
      <c r="C29" s="189">
        <v>11615568.439999999</v>
      </c>
      <c r="D29" s="189">
        <v>13293610.93</v>
      </c>
      <c r="E29" s="189">
        <v>38036244.659999996</v>
      </c>
      <c r="F29" s="189">
        <v>46115325.240000002</v>
      </c>
      <c r="G29" s="189">
        <v>33932445.829999998</v>
      </c>
      <c r="H29" s="189">
        <v>34291245.509999998</v>
      </c>
      <c r="I29" s="189">
        <v>40977999.340000004</v>
      </c>
      <c r="J29" s="189">
        <v>39314288.950000003</v>
      </c>
      <c r="K29" s="189">
        <v>43007511.049999997</v>
      </c>
      <c r="L29" s="189">
        <v>34210926.57</v>
      </c>
      <c r="M29" s="189">
        <v>39777433.789999999</v>
      </c>
      <c r="N29" s="189">
        <v>21367103.719999999</v>
      </c>
      <c r="O29" s="189">
        <v>21367103.719999999</v>
      </c>
      <c r="P29" s="189">
        <v>21871667.5</v>
      </c>
      <c r="Q29" s="189">
        <v>23376772.620000001</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c r="CF29" s="189"/>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26282483403.550003</v>
      </c>
      <c r="C33" s="35">
        <f t="shared" ref="C33:BN33" si="2">SUM(C22:C29)</f>
        <v>23144663294.309998</v>
      </c>
      <c r="D33" s="35">
        <f t="shared" si="2"/>
        <v>23242806332.820004</v>
      </c>
      <c r="E33" s="35">
        <f t="shared" si="2"/>
        <v>24784212284.809998</v>
      </c>
      <c r="F33" s="35">
        <f t="shared" si="2"/>
        <v>20051256753.920002</v>
      </c>
      <c r="G33" s="35">
        <f t="shared" si="2"/>
        <v>18725112771.390003</v>
      </c>
      <c r="H33" s="35">
        <f t="shared" si="2"/>
        <v>17167282430.389999</v>
      </c>
      <c r="I33" s="35">
        <f t="shared" si="2"/>
        <v>20936201246.130001</v>
      </c>
      <c r="J33" s="35">
        <f t="shared" si="2"/>
        <v>17082772298.740002</v>
      </c>
      <c r="K33" s="35">
        <f t="shared" si="2"/>
        <v>15040906883.469995</v>
      </c>
      <c r="L33" s="35">
        <f t="shared" si="2"/>
        <v>14579955068.58</v>
      </c>
      <c r="M33" s="35">
        <f t="shared" si="2"/>
        <v>14975168550.390001</v>
      </c>
      <c r="N33" s="35">
        <f t="shared" si="2"/>
        <v>11896322338.75</v>
      </c>
      <c r="O33" s="35">
        <f t="shared" si="2"/>
        <v>9984274961.5</v>
      </c>
      <c r="P33" s="35">
        <f t="shared" si="2"/>
        <v>10436344142.820002</v>
      </c>
      <c r="Q33" s="35">
        <f t="shared" si="2"/>
        <v>11183431790.440001</v>
      </c>
      <c r="R33" s="35">
        <f t="shared" si="2"/>
        <v>8991496230.0900002</v>
      </c>
      <c r="S33" s="35">
        <f t="shared" si="2"/>
        <v>7191525777.8700008</v>
      </c>
      <c r="T33" s="35">
        <f t="shared" si="2"/>
        <v>8249376773.3799992</v>
      </c>
      <c r="U33" s="35">
        <f t="shared" si="2"/>
        <v>7539981697.4899998</v>
      </c>
      <c r="V33" s="35">
        <f t="shared" si="2"/>
        <v>6754428656.2299995</v>
      </c>
      <c r="W33" s="35">
        <f t="shared" si="2"/>
        <v>6826099372.9200001</v>
      </c>
      <c r="X33" s="35">
        <f t="shared" si="2"/>
        <v>6827530279.9099998</v>
      </c>
      <c r="Y33" s="35">
        <f t="shared" si="2"/>
        <v>6961883867.1900005</v>
      </c>
      <c r="Z33" s="35">
        <f t="shared" si="2"/>
        <v>5079916235.8199997</v>
      </c>
      <c r="AA33" s="35">
        <f t="shared" si="2"/>
        <v>4800981998.6400003</v>
      </c>
      <c r="AB33" s="35">
        <f t="shared" si="2"/>
        <v>4394087180.3699999</v>
      </c>
      <c r="AC33" s="35">
        <f t="shared" si="2"/>
        <v>4307690171.4500008</v>
      </c>
      <c r="AD33" s="35">
        <f t="shared" si="2"/>
        <v>4525614093.7299995</v>
      </c>
      <c r="AE33" s="35">
        <f t="shared" si="2"/>
        <v>3784300315.8900003</v>
      </c>
      <c r="AF33" s="35">
        <f t="shared" si="2"/>
        <v>3662183176.1500001</v>
      </c>
      <c r="AG33" s="35">
        <f t="shared" si="2"/>
        <v>3709994135</v>
      </c>
      <c r="AH33" s="35">
        <f t="shared" si="2"/>
        <v>3709649275.4399996</v>
      </c>
      <c r="AI33" s="35">
        <f t="shared" si="2"/>
        <v>2987474591.27</v>
      </c>
      <c r="AJ33" s="35">
        <f t="shared" si="2"/>
        <v>2049809781.5700002</v>
      </c>
      <c r="AK33" s="35">
        <f t="shared" si="2"/>
        <v>2369731504.8499999</v>
      </c>
      <c r="AL33" s="35">
        <f t="shared" si="2"/>
        <v>1666284281.0800002</v>
      </c>
      <c r="AM33" s="35">
        <f t="shared" si="2"/>
        <v>1424603245.04</v>
      </c>
      <c r="AN33" s="35">
        <f t="shared" si="2"/>
        <v>1319128587.25</v>
      </c>
      <c r="AO33" s="35">
        <f t="shared" si="2"/>
        <v>1484990962.29</v>
      </c>
      <c r="AP33" s="35">
        <f t="shared" si="2"/>
        <v>1601229266.1500001</v>
      </c>
      <c r="AQ33" s="35">
        <f t="shared" si="2"/>
        <v>1737318411.7999997</v>
      </c>
      <c r="AR33" s="35">
        <f t="shared" si="2"/>
        <v>1712157429.3200002</v>
      </c>
      <c r="AS33" s="35">
        <f t="shared" si="2"/>
        <v>3012341784.4400001</v>
      </c>
      <c r="AT33" s="35">
        <f t="shared" si="2"/>
        <v>2580324660.5</v>
      </c>
      <c r="AU33" s="35">
        <f t="shared" si="2"/>
        <v>2082523317.4299998</v>
      </c>
      <c r="AV33" s="35">
        <f t="shared" si="2"/>
        <v>1620849097.95</v>
      </c>
      <c r="AW33" s="35">
        <f t="shared" si="2"/>
        <v>1420870172.8899999</v>
      </c>
      <c r="AX33" s="35">
        <f t="shared" si="2"/>
        <v>1349516460.3699999</v>
      </c>
      <c r="AY33" s="35">
        <f t="shared" si="2"/>
        <v>1155667421.8800001</v>
      </c>
      <c r="AZ33" s="35">
        <f t="shared" si="2"/>
        <v>1157767561.6500001</v>
      </c>
      <c r="BA33" s="35">
        <f t="shared" si="2"/>
        <v>1221196237.21</v>
      </c>
      <c r="BB33" s="35">
        <f t="shared" si="2"/>
        <v>1215911338.4400001</v>
      </c>
      <c r="BC33" s="35">
        <f t="shared" si="2"/>
        <v>1050262410.89</v>
      </c>
      <c r="BD33" s="35">
        <f t="shared" si="2"/>
        <v>1080941514.8600001</v>
      </c>
      <c r="BE33" s="35">
        <f t="shared" si="2"/>
        <v>1312381919.5799999</v>
      </c>
      <c r="BF33" s="35">
        <f t="shared" si="2"/>
        <v>963804444.6099999</v>
      </c>
      <c r="BG33" s="35">
        <f t="shared" si="2"/>
        <v>1074476215.6199999</v>
      </c>
      <c r="BH33" s="35">
        <f t="shared" si="2"/>
        <v>1076394928.8199999</v>
      </c>
      <c r="BI33" s="35">
        <f t="shared" si="2"/>
        <v>1169069088.4300001</v>
      </c>
      <c r="BJ33" s="35">
        <f t="shared" si="2"/>
        <v>876041985.13</v>
      </c>
      <c r="BK33" s="35">
        <f t="shared" si="2"/>
        <v>803946795.84000003</v>
      </c>
      <c r="BL33" s="35">
        <f t="shared" si="2"/>
        <v>748936897.51999998</v>
      </c>
      <c r="BM33" s="35">
        <f t="shared" si="2"/>
        <v>836672873.70000005</v>
      </c>
      <c r="BN33" s="35">
        <f t="shared" si="2"/>
        <v>702859836.3499999</v>
      </c>
      <c r="BO33" s="35">
        <f t="shared" ref="BO33:CK33" si="3">SUM(BO22:BO29)</f>
        <v>710423565.63999987</v>
      </c>
      <c r="BP33" s="35">
        <f t="shared" si="3"/>
        <v>557649120.28999996</v>
      </c>
      <c r="BQ33" s="35">
        <f t="shared" si="3"/>
        <v>498678092.44999999</v>
      </c>
      <c r="BR33" s="35">
        <f t="shared" si="3"/>
        <v>456386744.10000002</v>
      </c>
      <c r="BS33" s="35">
        <f t="shared" si="3"/>
        <v>471089238.49000001</v>
      </c>
      <c r="BT33" s="35">
        <f t="shared" si="3"/>
        <v>403119629.88999999</v>
      </c>
      <c r="BU33" s="35">
        <f t="shared" si="3"/>
        <v>416598280.30000001</v>
      </c>
      <c r="BV33" s="35">
        <f t="shared" si="3"/>
        <v>281347022.19999999</v>
      </c>
      <c r="BW33" s="35">
        <f t="shared" si="3"/>
        <v>310091995.73000002</v>
      </c>
      <c r="BX33" s="35">
        <f t="shared" si="3"/>
        <v>241644382.31</v>
      </c>
      <c r="BY33" s="35">
        <f t="shared" si="3"/>
        <v>200310974.49000001</v>
      </c>
      <c r="BZ33" s="35">
        <f t="shared" si="3"/>
        <v>0</v>
      </c>
      <c r="CA33" s="35">
        <f t="shared" si="3"/>
        <v>108641862</v>
      </c>
      <c r="CB33" s="35">
        <f t="shared" si="3"/>
        <v>70535885</v>
      </c>
      <c r="CC33" s="35">
        <f t="shared" si="3"/>
        <v>43740260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5453486375.3199997</v>
      </c>
      <c r="D35" s="189">
        <v>6056971399.3699999</v>
      </c>
      <c r="E35" s="189">
        <v>5887779501.4399996</v>
      </c>
      <c r="F35" s="189">
        <v>3393254912.4000001</v>
      </c>
      <c r="G35" s="189">
        <v>4080494984.1500001</v>
      </c>
      <c r="H35" s="189">
        <v>5529892685.9099998</v>
      </c>
      <c r="I35" s="189">
        <v>5389634002.2299995</v>
      </c>
      <c r="J35" s="189">
        <v>4098202384.0500002</v>
      </c>
      <c r="K35" s="189">
        <v>3970199227.6399999</v>
      </c>
      <c r="L35" s="189">
        <v>4621122908.2299995</v>
      </c>
      <c r="M35" s="189">
        <v>4322966337.25</v>
      </c>
      <c r="N35" s="189">
        <v>3297135314.4099998</v>
      </c>
      <c r="O35" s="189">
        <v>2924935716.5999999</v>
      </c>
      <c r="P35" s="189">
        <v>2544250053.9000001</v>
      </c>
      <c r="Q35" s="189">
        <v>2747011515.4200001</v>
      </c>
      <c r="R35" s="189">
        <v>1876016802.73</v>
      </c>
      <c r="S35" s="189">
        <v>1698273959.4100001</v>
      </c>
      <c r="T35" s="189">
        <v>1624155878.1800001</v>
      </c>
      <c r="U35" s="189">
        <v>1309857941.54</v>
      </c>
      <c r="V35" s="189">
        <v>1979538270.6099999</v>
      </c>
      <c r="W35" s="189">
        <v>1412870972.28</v>
      </c>
      <c r="X35" s="189">
        <v>896245316.58000004</v>
      </c>
      <c r="Y35" s="189">
        <v>555254450.63</v>
      </c>
      <c r="Z35" s="189">
        <v>994819144.25999999</v>
      </c>
      <c r="AA35" s="189">
        <v>863106739.87</v>
      </c>
      <c r="AB35" s="189">
        <v>451626412.81999999</v>
      </c>
      <c r="AC35" s="189">
        <v>818479957.38999999</v>
      </c>
      <c r="AD35" s="189">
        <v>726743755.04999995</v>
      </c>
      <c r="AE35" s="189">
        <v>440064451.33999997</v>
      </c>
      <c r="AF35" s="189">
        <v>917731902.87</v>
      </c>
      <c r="AG35" s="189">
        <v>1793214578.49</v>
      </c>
      <c r="AH35" s="189">
        <v>2128322196.5999999</v>
      </c>
      <c r="AI35" s="189">
        <v>1091933095.6900001</v>
      </c>
      <c r="AJ35" s="189">
        <v>646226126.76999998</v>
      </c>
      <c r="AK35" s="189">
        <v>1336893193.5899999</v>
      </c>
      <c r="AL35" s="189">
        <v>1302827142.3099999</v>
      </c>
      <c r="AM35" s="189">
        <v>942569059.26999998</v>
      </c>
      <c r="AN35" s="189">
        <v>1022073657.09</v>
      </c>
      <c r="AO35" s="189">
        <v>1189371190.28</v>
      </c>
      <c r="AP35" s="189">
        <v>1384860795.1400001</v>
      </c>
      <c r="AQ35" s="189">
        <v>1009369560.55</v>
      </c>
      <c r="AR35" s="189">
        <v>1059042114.48</v>
      </c>
      <c r="AS35" s="189">
        <v>1236679910.1300001</v>
      </c>
      <c r="AT35" s="189">
        <v>995084912.48000002</v>
      </c>
      <c r="AU35" s="189">
        <v>870468369.12</v>
      </c>
      <c r="AV35" s="189">
        <v>716357479.80999994</v>
      </c>
      <c r="AW35" s="189">
        <v>717905328.24000001</v>
      </c>
      <c r="AX35" s="189">
        <v>602687243.08000004</v>
      </c>
      <c r="AY35" s="189">
        <v>453163444.70999998</v>
      </c>
      <c r="AZ35" s="189">
        <v>313217482.45999998</v>
      </c>
      <c r="BA35" s="189">
        <v>256699854.44</v>
      </c>
      <c r="BB35" s="189">
        <v>272240504.66000003</v>
      </c>
      <c r="BC35" s="189">
        <v>226608593.03999999</v>
      </c>
      <c r="BD35" s="189">
        <v>234634952.66999999</v>
      </c>
      <c r="BE35" s="189">
        <v>244325150.41</v>
      </c>
      <c r="BF35" s="189">
        <v>68223341.150000006</v>
      </c>
      <c r="BG35" s="189">
        <v>35570612.729999997</v>
      </c>
      <c r="BH35" s="189">
        <v>161905979.21000001</v>
      </c>
      <c r="BI35" s="189">
        <v>226536100.18000001</v>
      </c>
      <c r="BJ35" s="189">
        <v>145131801.28</v>
      </c>
      <c r="BK35" s="189">
        <v>138172136.36000001</v>
      </c>
      <c r="BL35" s="189">
        <v>3398156.83</v>
      </c>
      <c r="BM35" s="189">
        <v>0</v>
      </c>
      <c r="BN35" s="189">
        <v>83056000</v>
      </c>
      <c r="BO35" s="189">
        <v>186169835.25999999</v>
      </c>
      <c r="BP35" s="189">
        <v>38971831.210000001</v>
      </c>
      <c r="BQ35" s="189">
        <v>43500000</v>
      </c>
      <c r="BR35" s="189">
        <v>76400000</v>
      </c>
      <c r="BS35" s="189">
        <v>51300000</v>
      </c>
      <c r="BT35" s="189">
        <v>67700000</v>
      </c>
      <c r="BU35" s="189">
        <v>54300000</v>
      </c>
      <c r="BV35" s="189">
        <v>44900000</v>
      </c>
      <c r="BW35" s="189">
        <v>54300000</v>
      </c>
      <c r="BX35" s="189">
        <v>38740000</v>
      </c>
      <c r="BY35" s="189">
        <v>30650000</v>
      </c>
      <c r="BZ35" s="189">
        <v>0</v>
      </c>
      <c r="CA35" s="189">
        <v>30500000</v>
      </c>
      <c r="CB35" s="189">
        <v>4800000</v>
      </c>
      <c r="CC35" s="189">
        <v>1918215</v>
      </c>
      <c r="CD35" s="189">
        <v>0</v>
      </c>
      <c r="CE35" s="189"/>
      <c r="CF35" s="189"/>
      <c r="CG35" s="189"/>
      <c r="CH35" s="189"/>
      <c r="CI35" s="189"/>
      <c r="CJ35" s="189"/>
      <c r="CK35" s="189"/>
      <c r="CL35" s="189"/>
    </row>
    <row r="36" spans="1:90" x14ac:dyDescent="0.25">
      <c r="A36" s="17" t="s">
        <v>22</v>
      </c>
      <c r="B36" s="189">
        <v>0</v>
      </c>
      <c r="C36" s="189">
        <v>7304558944.8800001</v>
      </c>
      <c r="D36" s="189">
        <v>6074095420.8999996</v>
      </c>
      <c r="E36" s="189">
        <v>8175113575.0500002</v>
      </c>
      <c r="F36" s="189">
        <v>7727084009.0799999</v>
      </c>
      <c r="G36" s="189">
        <v>5972686096.3800001</v>
      </c>
      <c r="H36" s="189">
        <v>5179296151.5600004</v>
      </c>
      <c r="I36" s="189">
        <v>10371408862.219999</v>
      </c>
      <c r="J36" s="189">
        <v>7340012173.3299999</v>
      </c>
      <c r="K36" s="189">
        <v>6800155912.6899996</v>
      </c>
      <c r="L36" s="189">
        <v>5522502555.0200005</v>
      </c>
      <c r="M36" s="189">
        <v>7868166485.1099997</v>
      </c>
      <c r="N36" s="189">
        <v>7088232014.3000002</v>
      </c>
      <c r="O36" s="189">
        <v>5944398734.9399996</v>
      </c>
      <c r="P36" s="189">
        <v>5173812253.2200003</v>
      </c>
      <c r="Q36" s="189">
        <v>6357651729.4399996</v>
      </c>
      <c r="R36" s="189">
        <v>5045299040.79</v>
      </c>
      <c r="S36" s="189">
        <v>3796542125.3699999</v>
      </c>
      <c r="T36" s="189">
        <v>3690145755.3000002</v>
      </c>
      <c r="U36" s="189">
        <v>3406505398.79</v>
      </c>
      <c r="V36" s="189">
        <v>3963561114.5100002</v>
      </c>
      <c r="W36" s="189">
        <v>4029980183.71</v>
      </c>
      <c r="X36" s="189">
        <v>3533321443.8699999</v>
      </c>
      <c r="Y36" s="189">
        <v>3736242097.6199999</v>
      </c>
      <c r="Z36" s="189">
        <v>3281838181.3899999</v>
      </c>
      <c r="AA36" s="189">
        <v>2830275762.1599998</v>
      </c>
      <c r="AB36" s="189">
        <v>2795537736.0799999</v>
      </c>
      <c r="AC36" s="189">
        <v>1538310470.1700001</v>
      </c>
      <c r="AD36" s="189">
        <v>3113298651.5300002</v>
      </c>
      <c r="AE36" s="189">
        <v>2668374786.4899998</v>
      </c>
      <c r="AF36" s="189">
        <v>2169751695.71</v>
      </c>
      <c r="AG36" s="189">
        <v>1233926830.1099999</v>
      </c>
      <c r="AH36" s="189">
        <v>2472710286.5</v>
      </c>
      <c r="AI36" s="189">
        <v>2050778480.6800001</v>
      </c>
      <c r="AJ36" s="189">
        <v>1739319078.26</v>
      </c>
      <c r="AK36" s="189">
        <v>1106198390.25</v>
      </c>
      <c r="AL36" s="189">
        <v>1556300552.21</v>
      </c>
      <c r="AM36" s="189">
        <v>1376143783.74</v>
      </c>
      <c r="AN36" s="189">
        <v>962907920.75</v>
      </c>
      <c r="AO36" s="189">
        <v>1241272601.5599999</v>
      </c>
      <c r="AP36" s="189">
        <v>1157606332.95</v>
      </c>
      <c r="AQ36" s="189">
        <v>1454066278.2</v>
      </c>
      <c r="AR36" s="189">
        <v>1239075341.1900001</v>
      </c>
      <c r="AS36" s="189">
        <v>1471997335.8199999</v>
      </c>
      <c r="AT36" s="189">
        <v>1180907358.1199999</v>
      </c>
      <c r="AU36" s="189">
        <v>1042025175.77</v>
      </c>
      <c r="AV36" s="189">
        <v>893717986.63999999</v>
      </c>
      <c r="AW36" s="189">
        <v>898381556.53999996</v>
      </c>
      <c r="AX36" s="189">
        <v>843900496.47000003</v>
      </c>
      <c r="AY36" s="189">
        <v>722479602.30999994</v>
      </c>
      <c r="AZ36" s="189">
        <v>635151216.91999996</v>
      </c>
      <c r="BA36" s="189">
        <v>703407186.92999995</v>
      </c>
      <c r="BB36" s="189">
        <v>771284856.97000003</v>
      </c>
      <c r="BC36" s="189">
        <v>547457045.38</v>
      </c>
      <c r="BD36" s="189">
        <v>529135957.06</v>
      </c>
      <c r="BE36" s="189">
        <v>759350974.78999996</v>
      </c>
      <c r="BF36" s="189">
        <v>699059752.80999994</v>
      </c>
      <c r="BG36" s="189">
        <v>567253862.76999998</v>
      </c>
      <c r="BH36" s="189">
        <v>530554036.88</v>
      </c>
      <c r="BI36" s="189">
        <v>609186475.97000003</v>
      </c>
      <c r="BJ36" s="189">
        <v>419922119.13</v>
      </c>
      <c r="BK36" s="189">
        <v>338505633.67000002</v>
      </c>
      <c r="BL36" s="189">
        <v>508075009.60000002</v>
      </c>
      <c r="BM36" s="189">
        <v>490143211.58999997</v>
      </c>
      <c r="BN36" s="189">
        <v>406789862.61000001</v>
      </c>
      <c r="BO36" s="189">
        <v>284679123.41000003</v>
      </c>
      <c r="BP36" s="189">
        <v>247671416.56</v>
      </c>
      <c r="BQ36" s="189">
        <v>216546150.88</v>
      </c>
      <c r="BR36" s="189">
        <v>176842139.13999999</v>
      </c>
      <c r="BS36" s="189">
        <v>162007254.21000001</v>
      </c>
      <c r="BT36" s="189">
        <v>106320520.94</v>
      </c>
      <c r="BU36" s="189">
        <v>87812348.489999995</v>
      </c>
      <c r="BV36" s="189">
        <v>83404401.650000006</v>
      </c>
      <c r="BW36" s="189">
        <v>74098166.170000002</v>
      </c>
      <c r="BX36" s="189">
        <v>50179690.659999996</v>
      </c>
      <c r="BY36" s="189">
        <v>45744280.32</v>
      </c>
      <c r="BZ36" s="189">
        <v>0</v>
      </c>
      <c r="CA36" s="189">
        <v>19496840</v>
      </c>
      <c r="CB36" s="189">
        <v>20140959</v>
      </c>
      <c r="CC36" s="189">
        <v>15311776</v>
      </c>
      <c r="CD36" s="189">
        <v>0</v>
      </c>
      <c r="CE36" s="189"/>
      <c r="CF36" s="189"/>
      <c r="CG36" s="189"/>
      <c r="CH36" s="189"/>
      <c r="CI36" s="189"/>
      <c r="CJ36" s="189"/>
      <c r="CK36" s="189"/>
      <c r="CL36" s="189"/>
    </row>
    <row r="37" spans="1:90" x14ac:dyDescent="0.25">
      <c r="A37" s="17" t="s">
        <v>23</v>
      </c>
      <c r="B37" s="189">
        <v>905904467.10000002</v>
      </c>
      <c r="C37" s="189">
        <v>963843294.24000001</v>
      </c>
      <c r="D37" s="189">
        <v>1008659009.34</v>
      </c>
      <c r="E37" s="189">
        <v>1027136030.17</v>
      </c>
      <c r="F37" s="189">
        <v>1074219974.75</v>
      </c>
      <c r="G37" s="189">
        <v>1529137934.1400001</v>
      </c>
      <c r="H37" s="189">
        <v>1017196316.84</v>
      </c>
      <c r="I37" s="189">
        <v>1182623227.1600001</v>
      </c>
      <c r="J37" s="189">
        <v>1628832402.53</v>
      </c>
      <c r="K37" s="189">
        <v>1139928972.77</v>
      </c>
      <c r="L37" s="189">
        <v>1482395152.3</v>
      </c>
      <c r="M37" s="189">
        <v>1933616871.8399999</v>
      </c>
      <c r="N37" s="189">
        <v>1526114717.4000001</v>
      </c>
      <c r="O37" s="189">
        <v>1291020898.3</v>
      </c>
      <c r="P37" s="189">
        <v>1473814976.6800001</v>
      </c>
      <c r="Q37" s="189">
        <v>1211446201.99</v>
      </c>
      <c r="R37" s="189">
        <v>494309424.14999998</v>
      </c>
      <c r="S37" s="189">
        <v>290027024.54000002</v>
      </c>
      <c r="T37" s="189">
        <v>494935587.32999998</v>
      </c>
      <c r="U37" s="189">
        <v>850826513.75999999</v>
      </c>
      <c r="V37" s="189">
        <v>538800948.15999997</v>
      </c>
      <c r="W37" s="189">
        <v>242969730.18000001</v>
      </c>
      <c r="X37" s="189">
        <v>254960552.25</v>
      </c>
      <c r="Y37" s="189">
        <v>384909001.11000001</v>
      </c>
      <c r="Z37" s="189">
        <v>364435050.27999997</v>
      </c>
      <c r="AA37" s="189">
        <v>740974766.44000006</v>
      </c>
      <c r="AB37" s="189">
        <v>711710757.12</v>
      </c>
      <c r="AC37" s="189">
        <v>737336616.37</v>
      </c>
      <c r="AD37" s="189">
        <v>218515906.09</v>
      </c>
      <c r="AE37" s="189">
        <v>137021030</v>
      </c>
      <c r="AF37" s="189">
        <v>223809405.61000001</v>
      </c>
      <c r="AG37" s="189">
        <v>298992567.80000001</v>
      </c>
      <c r="AH37" s="189">
        <v>228926174.83000001</v>
      </c>
      <c r="AI37" s="189">
        <v>121038911.06</v>
      </c>
      <c r="AJ37" s="189">
        <v>101841976.42</v>
      </c>
      <c r="AK37" s="189">
        <v>132278707.41</v>
      </c>
      <c r="AL37" s="189">
        <v>79914880.5</v>
      </c>
      <c r="AM37" s="189">
        <v>68336533.640000001</v>
      </c>
      <c r="AN37" s="189">
        <v>86913160.420000002</v>
      </c>
      <c r="AO37" s="189">
        <v>69660125.400000006</v>
      </c>
      <c r="AP37" s="189">
        <v>53573195.119999997</v>
      </c>
      <c r="AQ37" s="189">
        <v>77534575.060000002</v>
      </c>
      <c r="AR37" s="189">
        <v>161952759.66999999</v>
      </c>
      <c r="AS37" s="189">
        <v>456249251.44999999</v>
      </c>
      <c r="AT37" s="189">
        <v>739349166.48000002</v>
      </c>
      <c r="AU37" s="189">
        <v>462018145.38999999</v>
      </c>
      <c r="AV37" s="189">
        <v>322106747.88</v>
      </c>
      <c r="AW37" s="189">
        <v>204508649.03999999</v>
      </c>
      <c r="AX37" s="189">
        <v>88308373.180000007</v>
      </c>
      <c r="AY37" s="189">
        <v>120354905.88</v>
      </c>
      <c r="AZ37" s="189">
        <v>174732227.03999999</v>
      </c>
      <c r="BA37" s="189">
        <v>114324896.73</v>
      </c>
      <c r="BB37" s="189">
        <v>89737310.75</v>
      </c>
      <c r="BC37" s="189">
        <v>100909087.68000001</v>
      </c>
      <c r="BD37" s="189">
        <v>48683351.299999997</v>
      </c>
      <c r="BE37" s="189">
        <v>78420574.099999994</v>
      </c>
      <c r="BF37" s="189">
        <v>56338694.43</v>
      </c>
      <c r="BG37" s="189">
        <v>56339194.200000003</v>
      </c>
      <c r="BH37" s="189">
        <v>47759606.700000003</v>
      </c>
      <c r="BI37" s="189">
        <v>51471552.32</v>
      </c>
      <c r="BJ37" s="189">
        <v>38838266.060000002</v>
      </c>
      <c r="BK37" s="189">
        <v>27595737.84</v>
      </c>
      <c r="BL37" s="189">
        <v>15940578.67</v>
      </c>
      <c r="BM37" s="189">
        <v>155242765.74000001</v>
      </c>
      <c r="BN37" s="189">
        <v>26851325</v>
      </c>
      <c r="BO37" s="189">
        <v>21623648</v>
      </c>
      <c r="BP37" s="189">
        <v>19914766.600000001</v>
      </c>
      <c r="BQ37" s="189">
        <v>27687279.760000002</v>
      </c>
      <c r="BR37" s="189">
        <v>21201098</v>
      </c>
      <c r="BS37" s="189">
        <v>95839821</v>
      </c>
      <c r="BT37" s="189">
        <v>10155370</v>
      </c>
      <c r="BU37" s="189">
        <v>67192728.719999999</v>
      </c>
      <c r="BV37" s="189">
        <v>20853215.670000002</v>
      </c>
      <c r="BW37" s="189">
        <v>30407779.18</v>
      </c>
      <c r="BX37" s="189">
        <v>1118875.18</v>
      </c>
      <c r="BY37" s="189">
        <v>11545830.67</v>
      </c>
      <c r="BZ37" s="189">
        <v>0</v>
      </c>
      <c r="CA37" s="189">
        <v>1614261</v>
      </c>
      <c r="CB37" s="189">
        <v>6560182</v>
      </c>
      <c r="CC37" s="189">
        <v>4882750</v>
      </c>
      <c r="CD37" s="189">
        <v>0</v>
      </c>
      <c r="CE37" s="189"/>
      <c r="CF37" s="189"/>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0</v>
      </c>
      <c r="CA38" s="189">
        <v>0</v>
      </c>
      <c r="CB38" s="189">
        <v>0</v>
      </c>
      <c r="CC38" s="189">
        <v>0</v>
      </c>
      <c r="CD38" s="189">
        <v>0</v>
      </c>
      <c r="CE38" s="189"/>
      <c r="CF38" s="189"/>
      <c r="CG38" s="189"/>
      <c r="CH38" s="189"/>
      <c r="CI38" s="189"/>
      <c r="CJ38" s="189"/>
      <c r="CK38" s="189"/>
      <c r="CL38" s="189"/>
    </row>
    <row r="39" spans="1:90" x14ac:dyDescent="0.25">
      <c r="A39" s="17" t="s">
        <v>25</v>
      </c>
      <c r="B39" s="189">
        <v>722044186.51999998</v>
      </c>
      <c r="C39" s="189">
        <v>681953862.28999996</v>
      </c>
      <c r="D39" s="189">
        <v>746255655.27999997</v>
      </c>
      <c r="E39" s="189">
        <v>1011263631.7</v>
      </c>
      <c r="F39" s="189">
        <v>744932400.13999999</v>
      </c>
      <c r="G39" s="189">
        <v>785481997.04999995</v>
      </c>
      <c r="H39" s="189">
        <v>939422558.62</v>
      </c>
      <c r="I39" s="189">
        <v>1126851533.97</v>
      </c>
      <c r="J39" s="189">
        <v>772098027.02999997</v>
      </c>
      <c r="K39" s="189">
        <v>661462387.32000005</v>
      </c>
      <c r="L39" s="189">
        <v>589769609.83000004</v>
      </c>
      <c r="M39" s="189">
        <v>704462732.54999995</v>
      </c>
      <c r="N39" s="189">
        <v>635024792.37</v>
      </c>
      <c r="O39" s="189">
        <v>569391180.65999997</v>
      </c>
      <c r="P39" s="189">
        <v>471042637.41000003</v>
      </c>
      <c r="Q39" s="189">
        <v>586806036.54999995</v>
      </c>
      <c r="R39" s="189">
        <v>472467205.83999997</v>
      </c>
      <c r="S39" s="189">
        <v>415425249.16000003</v>
      </c>
      <c r="T39" s="189">
        <v>433972710.61000001</v>
      </c>
      <c r="U39" s="189">
        <v>468440830.20999998</v>
      </c>
      <c r="V39" s="189">
        <v>468859553.81999999</v>
      </c>
      <c r="W39" s="189">
        <v>410329279.00999999</v>
      </c>
      <c r="X39" s="189">
        <v>435786870.48000002</v>
      </c>
      <c r="Y39" s="189">
        <v>412257706.77999997</v>
      </c>
      <c r="Z39" s="189">
        <v>467282900.38999999</v>
      </c>
      <c r="AA39" s="189">
        <v>359825619.95999998</v>
      </c>
      <c r="AB39" s="189">
        <v>330627464.33999997</v>
      </c>
      <c r="AC39" s="189">
        <v>374993306.02999997</v>
      </c>
      <c r="AD39" s="189">
        <v>298882434.25</v>
      </c>
      <c r="AE39" s="189">
        <v>249825262.91</v>
      </c>
      <c r="AF39" s="189">
        <v>233521523.46000001</v>
      </c>
      <c r="AG39" s="189">
        <v>306846031.05000001</v>
      </c>
      <c r="AH39" s="189">
        <v>254827510.56</v>
      </c>
      <c r="AI39" s="189">
        <v>187248239.08000001</v>
      </c>
      <c r="AJ39" s="189">
        <v>163803432.94999999</v>
      </c>
      <c r="AK39" s="189">
        <v>154942098.97999999</v>
      </c>
      <c r="AL39" s="189">
        <v>119255642.84999999</v>
      </c>
      <c r="AM39" s="189">
        <v>115971874.43000001</v>
      </c>
      <c r="AN39" s="189">
        <v>97023052.260000005</v>
      </c>
      <c r="AO39" s="189">
        <v>110106179.42</v>
      </c>
      <c r="AP39" s="189">
        <v>66041329.210000001</v>
      </c>
      <c r="AQ39" s="189">
        <v>89451082.519999996</v>
      </c>
      <c r="AR39" s="189">
        <v>97448453.939999998</v>
      </c>
      <c r="AS39" s="189">
        <v>120460554.53</v>
      </c>
      <c r="AT39" s="189">
        <v>156498451.84999999</v>
      </c>
      <c r="AU39" s="189">
        <v>147749334.71000001</v>
      </c>
      <c r="AV39" s="189">
        <v>115772176.66</v>
      </c>
      <c r="AW39" s="189">
        <v>121812156.43000001</v>
      </c>
      <c r="AX39" s="189">
        <v>99412285.840000004</v>
      </c>
      <c r="AY39" s="189">
        <v>87612373.420000002</v>
      </c>
      <c r="AZ39" s="189">
        <v>81132965.120000005</v>
      </c>
      <c r="BA39" s="189">
        <v>92838163.810000002</v>
      </c>
      <c r="BB39" s="189">
        <v>80042792.530000001</v>
      </c>
      <c r="BC39" s="189">
        <v>46607956.039999999</v>
      </c>
      <c r="BD39" s="189">
        <v>38941231.93</v>
      </c>
      <c r="BE39" s="189">
        <v>37992321.5</v>
      </c>
      <c r="BF39" s="189">
        <v>73782998.079999998</v>
      </c>
      <c r="BG39" s="189">
        <v>41410448.509999998</v>
      </c>
      <c r="BH39" s="189">
        <v>42088155.469999999</v>
      </c>
      <c r="BI39" s="189">
        <v>43546450.990000002</v>
      </c>
      <c r="BJ39" s="189">
        <v>56012584.710000001</v>
      </c>
      <c r="BK39" s="189">
        <v>55387189.240000002</v>
      </c>
      <c r="BL39" s="189">
        <v>59104438.979999997</v>
      </c>
      <c r="BM39" s="189">
        <v>32146461.289999999</v>
      </c>
      <c r="BN39" s="189">
        <v>49401775.520000003</v>
      </c>
      <c r="BO39" s="189">
        <v>43618392</v>
      </c>
      <c r="BP39" s="189">
        <v>32293621.420000002</v>
      </c>
      <c r="BQ39" s="189">
        <v>37047930.729999997</v>
      </c>
      <c r="BR39" s="189">
        <v>50984568.640000001</v>
      </c>
      <c r="BS39" s="189">
        <v>35414507.689999998</v>
      </c>
      <c r="BT39" s="189">
        <v>22025756.23</v>
      </c>
      <c r="BU39" s="189">
        <v>27442369.75</v>
      </c>
      <c r="BV39" s="189">
        <v>24650543.940000001</v>
      </c>
      <c r="BW39" s="189">
        <v>25268702.25</v>
      </c>
      <c r="BX39" s="189">
        <v>17215225.379999999</v>
      </c>
      <c r="BY39" s="189">
        <v>3248273.54</v>
      </c>
      <c r="BZ39" s="189">
        <v>0</v>
      </c>
      <c r="CA39" s="189">
        <v>577138</v>
      </c>
      <c r="CB39" s="189">
        <v>90167</v>
      </c>
      <c r="CC39" s="189">
        <v>147741</v>
      </c>
      <c r="CD39" s="189">
        <v>0</v>
      </c>
      <c r="CE39" s="189"/>
      <c r="CF39" s="189"/>
      <c r="CG39" s="189"/>
      <c r="CH39" s="189"/>
      <c r="CI39" s="189"/>
      <c r="CJ39" s="189"/>
      <c r="CK39" s="189"/>
      <c r="CL39" s="189"/>
    </row>
    <row r="40" spans="1:90" x14ac:dyDescent="0.25">
      <c r="A40" s="17" t="s">
        <v>26</v>
      </c>
      <c r="B40" s="189">
        <v>70536460.799999997</v>
      </c>
      <c r="C40" s="189">
        <v>53603177.119999997</v>
      </c>
      <c r="D40" s="189">
        <v>131263475.18000001</v>
      </c>
      <c r="E40" s="189">
        <v>400964080.47000003</v>
      </c>
      <c r="F40" s="189">
        <v>100593523.39</v>
      </c>
      <c r="G40" s="189">
        <v>81593037.689999998</v>
      </c>
      <c r="H40" s="189">
        <v>298439624.70999998</v>
      </c>
      <c r="I40" s="189">
        <v>559386569.07000005</v>
      </c>
      <c r="J40" s="189">
        <v>252450061.55000001</v>
      </c>
      <c r="K40" s="189">
        <v>226452602.11000001</v>
      </c>
      <c r="L40" s="189">
        <v>97015090.909999996</v>
      </c>
      <c r="M40" s="189">
        <v>270201258.54000002</v>
      </c>
      <c r="N40" s="189">
        <v>215881011.25</v>
      </c>
      <c r="O40" s="189">
        <v>160661887.65000001</v>
      </c>
      <c r="P40" s="189">
        <v>124337625.84</v>
      </c>
      <c r="Q40" s="189">
        <v>269327435.06</v>
      </c>
      <c r="R40" s="189">
        <v>117438791.76000001</v>
      </c>
      <c r="S40" s="189">
        <v>68619756.599999994</v>
      </c>
      <c r="T40" s="189">
        <v>28636685.41</v>
      </c>
      <c r="U40" s="189">
        <v>103772387.56999999</v>
      </c>
      <c r="V40" s="189">
        <v>-57876001.630000003</v>
      </c>
      <c r="W40" s="189">
        <v>39822240.259999998</v>
      </c>
      <c r="X40" s="189">
        <v>14691170.08</v>
      </c>
      <c r="Y40" s="189">
        <v>308721924.77999997</v>
      </c>
      <c r="Z40" s="189">
        <v>40515341.469999999</v>
      </c>
      <c r="AA40" s="189">
        <v>90864162.189999998</v>
      </c>
      <c r="AB40" s="189">
        <v>56215032.200000003</v>
      </c>
      <c r="AC40" s="189">
        <v>274635344.23000002</v>
      </c>
      <c r="AD40" s="189">
        <v>88010028.780000001</v>
      </c>
      <c r="AE40" s="189">
        <v>40460176.939999998</v>
      </c>
      <c r="AF40" s="189">
        <v>-34130256.640000001</v>
      </c>
      <c r="AG40" s="189">
        <v>152425689.28</v>
      </c>
      <c r="AH40" s="189">
        <v>108563233.92</v>
      </c>
      <c r="AI40" s="189">
        <v>51119895.899999999</v>
      </c>
      <c r="AJ40" s="189">
        <v>53474494.530000001</v>
      </c>
      <c r="AK40" s="189">
        <v>144107921.38999999</v>
      </c>
      <c r="AL40" s="189">
        <v>91255169.310000002</v>
      </c>
      <c r="AM40" s="189">
        <v>26222011.260000002</v>
      </c>
      <c r="AN40" s="189">
        <v>682954.68</v>
      </c>
      <c r="AO40" s="189">
        <v>33968435.420000002</v>
      </c>
      <c r="AP40" s="189">
        <v>-31129781.41</v>
      </c>
      <c r="AQ40" s="189">
        <v>52065837.100000001</v>
      </c>
      <c r="AR40" s="189">
        <v>52358914.100000001</v>
      </c>
      <c r="AS40" s="189">
        <v>141895819.30000001</v>
      </c>
      <c r="AT40" s="189">
        <v>9760093.3699999992</v>
      </c>
      <c r="AU40" s="189">
        <v>-19892654.670000002</v>
      </c>
      <c r="AV40" s="189">
        <v>23894639.82</v>
      </c>
      <c r="AW40" s="189">
        <v>69312426.799999997</v>
      </c>
      <c r="AX40" s="189">
        <v>67182739.390000001</v>
      </c>
      <c r="AY40" s="189">
        <v>19192552.550000001</v>
      </c>
      <c r="AZ40" s="189">
        <v>23946252.41</v>
      </c>
      <c r="BA40" s="189">
        <v>89274395.129999995</v>
      </c>
      <c r="BB40" s="189">
        <v>39083517.119999997</v>
      </c>
      <c r="BC40" s="189">
        <v>17892511.609999999</v>
      </c>
      <c r="BD40" s="189">
        <v>-7628903.3600000003</v>
      </c>
      <c r="BE40" s="189">
        <v>30012613.829999998</v>
      </c>
      <c r="BF40" s="189">
        <v>62752363.259999998</v>
      </c>
      <c r="BG40" s="189">
        <v>41404103.420000002</v>
      </c>
      <c r="BH40" s="189">
        <v>16356852.23</v>
      </c>
      <c r="BI40" s="189">
        <v>39294470.75</v>
      </c>
      <c r="BJ40" s="189">
        <v>1417320</v>
      </c>
      <c r="BK40" s="189">
        <v>-2237562.86</v>
      </c>
      <c r="BL40" s="189">
        <v>-5453891.2000000002</v>
      </c>
      <c r="BM40" s="189">
        <v>8224758.9699999997</v>
      </c>
      <c r="BN40" s="189">
        <v>11252548.609999999</v>
      </c>
      <c r="BO40" s="189">
        <v>6437669.1799999997</v>
      </c>
      <c r="BP40" s="189">
        <v>-9485370</v>
      </c>
      <c r="BQ40" s="189">
        <v>9837618.25</v>
      </c>
      <c r="BR40" s="189">
        <v>15724500.539999999</v>
      </c>
      <c r="BS40" s="189">
        <v>12315088.640000001</v>
      </c>
      <c r="BT40" s="189">
        <v>4092193.09</v>
      </c>
      <c r="BU40" s="189">
        <v>7560940.3200000003</v>
      </c>
      <c r="BV40" s="189">
        <v>4293327.2699999996</v>
      </c>
      <c r="BW40" s="189">
        <v>8449345.5899999999</v>
      </c>
      <c r="BX40" s="189">
        <v>6896217.2999999998</v>
      </c>
      <c r="BY40" s="189">
        <v>8371046.2400000002</v>
      </c>
      <c r="BZ40" s="189">
        <v>0</v>
      </c>
      <c r="CA40" s="189">
        <v>6358902</v>
      </c>
      <c r="CB40" s="189">
        <v>1568544</v>
      </c>
      <c r="CC40" s="189">
        <v>580693</v>
      </c>
      <c r="CD40" s="189">
        <v>0</v>
      </c>
      <c r="CE40" s="189"/>
      <c r="CF40" s="189"/>
      <c r="CG40" s="189"/>
      <c r="CH40" s="189"/>
      <c r="CI40" s="189"/>
      <c r="CJ40" s="189"/>
      <c r="CK40" s="189"/>
      <c r="CL40" s="189"/>
    </row>
    <row r="41" spans="1:90" x14ac:dyDescent="0.25">
      <c r="A41" s="17" t="s">
        <v>27</v>
      </c>
      <c r="B41" s="189">
        <v>953953938.59000003</v>
      </c>
      <c r="C41" s="189">
        <v>1118055876.0799999</v>
      </c>
      <c r="D41" s="189">
        <v>1059718463.52</v>
      </c>
      <c r="E41" s="189">
        <v>1357116436.8199999</v>
      </c>
      <c r="F41" s="189">
        <v>972578053.71000004</v>
      </c>
      <c r="G41" s="189">
        <v>889565665.66999996</v>
      </c>
      <c r="H41" s="189">
        <v>941095093.58000004</v>
      </c>
      <c r="I41" s="189">
        <v>1290639200.99</v>
      </c>
      <c r="J41" s="189">
        <v>908862888.89999998</v>
      </c>
      <c r="K41" s="189">
        <v>1028912274.03</v>
      </c>
      <c r="L41" s="189">
        <v>937714842.45000005</v>
      </c>
      <c r="M41" s="189">
        <v>1211198340.5799999</v>
      </c>
      <c r="N41" s="189">
        <v>885114758.42999995</v>
      </c>
      <c r="O41" s="189">
        <v>964321122.01999998</v>
      </c>
      <c r="P41" s="189">
        <v>751877900.76999998</v>
      </c>
      <c r="Q41" s="189">
        <v>1163573406.71</v>
      </c>
      <c r="R41" s="189">
        <v>717850286.67999995</v>
      </c>
      <c r="S41" s="189">
        <v>710058951.80999994</v>
      </c>
      <c r="T41" s="189">
        <v>680291176.27999997</v>
      </c>
      <c r="U41" s="189">
        <v>659330376</v>
      </c>
      <c r="V41" s="189">
        <v>433009121.64999998</v>
      </c>
      <c r="W41" s="189">
        <v>551781038.04999995</v>
      </c>
      <c r="X41" s="189">
        <v>638906785.38</v>
      </c>
      <c r="Y41" s="189">
        <v>702658011.09000003</v>
      </c>
      <c r="Z41" s="189">
        <v>550033782.60000002</v>
      </c>
      <c r="AA41" s="189">
        <v>772864040.82000005</v>
      </c>
      <c r="AB41" s="189">
        <v>464313835.97000003</v>
      </c>
      <c r="AC41" s="189">
        <v>418719889.06999999</v>
      </c>
      <c r="AD41" s="189">
        <v>239634589.19</v>
      </c>
      <c r="AE41" s="189">
        <v>278467467.88</v>
      </c>
      <c r="AF41" s="189">
        <v>229007580.68000001</v>
      </c>
      <c r="AG41" s="189">
        <v>228135454.36000001</v>
      </c>
      <c r="AH41" s="189">
        <v>191192648.44999999</v>
      </c>
      <c r="AI41" s="189">
        <v>216609894.69999999</v>
      </c>
      <c r="AJ41" s="189">
        <v>192261757.77000001</v>
      </c>
      <c r="AK41" s="189">
        <v>193824886.88</v>
      </c>
      <c r="AL41" s="189">
        <v>251393419.94</v>
      </c>
      <c r="AM41" s="189">
        <v>244264017.53</v>
      </c>
      <c r="AN41" s="189">
        <v>215882329.63999999</v>
      </c>
      <c r="AO41" s="189">
        <v>209641273.05000001</v>
      </c>
      <c r="AP41" s="189">
        <v>206991302.78999999</v>
      </c>
      <c r="AQ41" s="189">
        <v>235358290.47</v>
      </c>
      <c r="AR41" s="189">
        <v>229562128.28</v>
      </c>
      <c r="AS41" s="189">
        <v>282557080.39999998</v>
      </c>
      <c r="AT41" s="189">
        <v>260871535.11000001</v>
      </c>
      <c r="AU41" s="189">
        <v>247929956.36000001</v>
      </c>
      <c r="AV41" s="189">
        <v>290127043.56</v>
      </c>
      <c r="AW41" s="189">
        <v>174375194.21000001</v>
      </c>
      <c r="AX41" s="189">
        <v>93404194.560000002</v>
      </c>
      <c r="AY41" s="189">
        <v>135492358.31999999</v>
      </c>
      <c r="AZ41" s="189">
        <v>136486290.25</v>
      </c>
      <c r="BA41" s="189">
        <v>132400769.62</v>
      </c>
      <c r="BB41" s="189">
        <v>124361197.04000001</v>
      </c>
      <c r="BC41" s="189">
        <v>97615933.599999994</v>
      </c>
      <c r="BD41" s="189">
        <v>94399648.370000005</v>
      </c>
      <c r="BE41" s="189">
        <v>105625737.95</v>
      </c>
      <c r="BF41" s="189">
        <v>60668833.859999999</v>
      </c>
      <c r="BG41" s="189">
        <v>49881285.289999999</v>
      </c>
      <c r="BH41" s="189">
        <v>45145129.200000003</v>
      </c>
      <c r="BI41" s="189">
        <v>58862527.5</v>
      </c>
      <c r="BJ41" s="189">
        <v>24098640.68</v>
      </c>
      <c r="BK41" s="189">
        <v>46756486.310000002</v>
      </c>
      <c r="BL41" s="189">
        <v>21167302.469999999</v>
      </c>
      <c r="BM41" s="189">
        <v>60851789.82</v>
      </c>
      <c r="BN41" s="189">
        <v>52397519.549999997</v>
      </c>
      <c r="BO41" s="189">
        <v>24177835.5</v>
      </c>
      <c r="BP41" s="189">
        <v>32690853.309999999</v>
      </c>
      <c r="BQ41" s="189">
        <v>25785121</v>
      </c>
      <c r="BR41" s="189">
        <v>33088516.710000001</v>
      </c>
      <c r="BS41" s="189">
        <v>26246015.140000001</v>
      </c>
      <c r="BT41" s="189">
        <v>22648147.329999998</v>
      </c>
      <c r="BU41" s="189">
        <v>28818748.309999999</v>
      </c>
      <c r="BV41" s="189">
        <v>8376856.96</v>
      </c>
      <c r="BW41" s="189">
        <v>18498404.27</v>
      </c>
      <c r="BX41" s="189">
        <v>21865125.309999999</v>
      </c>
      <c r="BY41" s="189">
        <v>29726908.719999999</v>
      </c>
      <c r="BZ41" s="189">
        <v>0</v>
      </c>
      <c r="CA41" s="189">
        <v>14408189</v>
      </c>
      <c r="CB41" s="189">
        <v>12127032</v>
      </c>
      <c r="CC41" s="189">
        <v>7816995</v>
      </c>
      <c r="CD41" s="189">
        <v>0</v>
      </c>
      <c r="CE41" s="189"/>
      <c r="CF41" s="189"/>
      <c r="CG41" s="189"/>
      <c r="CH41" s="189"/>
      <c r="CI41" s="189"/>
      <c r="CJ41" s="189"/>
      <c r="CK41" s="189"/>
      <c r="CL41" s="189"/>
    </row>
    <row r="42" spans="1:90" s="39" customFormat="1" x14ac:dyDescent="0.25">
      <c r="A42" s="124" t="s">
        <v>28</v>
      </c>
      <c r="B42" s="189">
        <v>0</v>
      </c>
      <c r="C42" s="189">
        <v>0</v>
      </c>
      <c r="D42" s="189">
        <v>0</v>
      </c>
      <c r="E42" s="189">
        <v>0</v>
      </c>
      <c r="F42" s="189">
        <v>0</v>
      </c>
      <c r="G42" s="189">
        <v>0</v>
      </c>
      <c r="H42" s="189">
        <v>0</v>
      </c>
      <c r="I42" s="189">
        <v>0</v>
      </c>
      <c r="J42" s="189">
        <v>0</v>
      </c>
      <c r="K42" s="189">
        <v>0</v>
      </c>
      <c r="L42" s="189">
        <v>0</v>
      </c>
      <c r="M42" s="189">
        <v>0</v>
      </c>
      <c r="N42" s="189">
        <v>0</v>
      </c>
      <c r="O42" s="189">
        <v>0</v>
      </c>
      <c r="P42" s="189">
        <v>0</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v>0</v>
      </c>
      <c r="BR42" s="189">
        <v>0</v>
      </c>
      <c r="BS42" s="189">
        <v>0</v>
      </c>
      <c r="BT42" s="189">
        <v>0</v>
      </c>
      <c r="BU42" s="189">
        <v>0</v>
      </c>
      <c r="BV42" s="189">
        <v>0</v>
      </c>
      <c r="BW42" s="189">
        <v>0</v>
      </c>
      <c r="BX42" s="189">
        <v>0</v>
      </c>
      <c r="BY42" s="189">
        <v>0</v>
      </c>
      <c r="BZ42" s="189">
        <v>0</v>
      </c>
      <c r="CA42" s="189">
        <v>0</v>
      </c>
      <c r="CB42" s="189">
        <v>0</v>
      </c>
      <c r="CC42" s="189">
        <v>0</v>
      </c>
      <c r="CD42" s="189">
        <v>0</v>
      </c>
      <c r="CE42" s="189"/>
      <c r="CF42" s="189"/>
      <c r="CG42" s="189"/>
      <c r="CH42" s="189"/>
      <c r="CI42" s="189"/>
      <c r="CJ42" s="189"/>
      <c r="CK42" s="189"/>
      <c r="CL42" s="189"/>
    </row>
    <row r="43" spans="1:90" x14ac:dyDescent="0.25">
      <c r="A43" s="17" t="s">
        <v>29</v>
      </c>
      <c r="B43" s="189">
        <v>634561345.05999994</v>
      </c>
      <c r="C43" s="189">
        <v>494363047.88999999</v>
      </c>
      <c r="D43" s="189">
        <v>287642660.43000001</v>
      </c>
      <c r="E43" s="189">
        <v>292627339.63999999</v>
      </c>
      <c r="F43" s="189">
        <v>288849549.41000003</v>
      </c>
      <c r="G43" s="189">
        <v>299780021.58999997</v>
      </c>
      <c r="H43" s="189">
        <v>309570508.37</v>
      </c>
      <c r="I43" s="189">
        <v>318405439.37</v>
      </c>
      <c r="J43" s="189">
        <v>321791017</v>
      </c>
      <c r="K43" s="189">
        <v>326252126.39999998</v>
      </c>
      <c r="L43" s="189">
        <v>335379652.44999999</v>
      </c>
      <c r="M43" s="189">
        <v>386678794</v>
      </c>
      <c r="N43" s="189">
        <v>286503740.06</v>
      </c>
      <c r="O43" s="189">
        <v>296522050.93000001</v>
      </c>
      <c r="P43" s="189">
        <v>275691289.11000001</v>
      </c>
      <c r="Q43" s="189">
        <v>286441599.98000002</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44460000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v>0</v>
      </c>
      <c r="BR43" s="189">
        <v>0</v>
      </c>
      <c r="BS43" s="189">
        <v>0</v>
      </c>
      <c r="BT43" s="189">
        <v>0</v>
      </c>
      <c r="BU43" s="189">
        <v>0</v>
      </c>
      <c r="BV43" s="189">
        <v>0</v>
      </c>
      <c r="BW43" s="189">
        <v>0</v>
      </c>
      <c r="BX43" s="189">
        <v>0</v>
      </c>
      <c r="BY43" s="189">
        <v>0</v>
      </c>
      <c r="BZ43" s="189">
        <v>0</v>
      </c>
      <c r="CA43" s="189">
        <v>0</v>
      </c>
      <c r="CB43" s="189">
        <v>0</v>
      </c>
      <c r="CC43" s="189">
        <v>0</v>
      </c>
      <c r="CD43" s="189">
        <v>0</v>
      </c>
      <c r="CE43" s="189"/>
      <c r="CF43" s="189"/>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300000</v>
      </c>
      <c r="AS44" s="189">
        <v>0</v>
      </c>
      <c r="AT44" s="189">
        <v>0</v>
      </c>
      <c r="AU44" s="189">
        <v>0</v>
      </c>
      <c r="AV44" s="189">
        <v>0</v>
      </c>
      <c r="AW44" s="189">
        <v>44460000</v>
      </c>
      <c r="AX44" s="189">
        <v>48808900</v>
      </c>
      <c r="AY44" s="189">
        <v>46408900</v>
      </c>
      <c r="AZ44" s="189">
        <v>24108900</v>
      </c>
      <c r="BA44" s="189">
        <v>24108900</v>
      </c>
      <c r="BB44" s="189">
        <v>2188900</v>
      </c>
      <c r="BC44" s="189">
        <v>2188900</v>
      </c>
      <c r="BD44" s="189">
        <v>2188900</v>
      </c>
      <c r="BE44" s="189">
        <v>2188900</v>
      </c>
      <c r="BF44" s="189">
        <v>2926700</v>
      </c>
      <c r="BG44" s="189">
        <v>1538900</v>
      </c>
      <c r="BH44" s="189">
        <v>1546700</v>
      </c>
      <c r="BI44" s="189">
        <v>1538900</v>
      </c>
      <c r="BJ44" s="189">
        <v>458900</v>
      </c>
      <c r="BK44" s="189">
        <v>300000</v>
      </c>
      <c r="BL44" s="189">
        <v>300000</v>
      </c>
      <c r="BM44" s="189">
        <v>300000</v>
      </c>
      <c r="BN44" s="189">
        <v>0</v>
      </c>
      <c r="BO44" s="189">
        <v>0</v>
      </c>
      <c r="BP44" s="189">
        <v>0</v>
      </c>
      <c r="BQ44" s="189">
        <v>0</v>
      </c>
      <c r="BR44" s="189">
        <v>0</v>
      </c>
      <c r="BS44" s="189">
        <v>0</v>
      </c>
      <c r="BT44" s="189">
        <v>0</v>
      </c>
      <c r="BU44" s="189">
        <v>0</v>
      </c>
      <c r="BV44" s="189">
        <v>0</v>
      </c>
      <c r="BW44" s="189">
        <v>0</v>
      </c>
      <c r="BX44" s="189">
        <v>0</v>
      </c>
      <c r="BY44" s="189">
        <v>0</v>
      </c>
      <c r="BZ44" s="189">
        <v>0</v>
      </c>
      <c r="CA44" s="189">
        <v>0</v>
      </c>
      <c r="CB44" s="189">
        <v>0</v>
      </c>
      <c r="CC44" s="189">
        <v>0</v>
      </c>
      <c r="CD44" s="189">
        <v>0</v>
      </c>
      <c r="CE44" s="189"/>
      <c r="CF44" s="189"/>
      <c r="CG44" s="189"/>
      <c r="CH44" s="189"/>
      <c r="CI44" s="189"/>
      <c r="CJ44" s="189"/>
      <c r="CK44" s="189"/>
      <c r="CL44" s="189"/>
    </row>
    <row r="45" spans="1:90" x14ac:dyDescent="0.25">
      <c r="A45" s="17" t="s">
        <v>31</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c r="CF45" s="189"/>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3287000398.0699997</v>
      </c>
      <c r="C49" s="35">
        <f>SUM(C35:C41)+SUM(C43:C45)</f>
        <v>16069864577.82</v>
      </c>
      <c r="D49" s="35">
        <f>SUM(D35:D41)+SUM(D43:D45)</f>
        <v>15364606084.020002</v>
      </c>
      <c r="E49" s="35">
        <f>SUM(E35:E45)</f>
        <v>18152000595.290001</v>
      </c>
      <c r="F49" s="35">
        <f t="shared" ref="F49:BQ49" si="4">SUM(F35:F45)</f>
        <v>14301512422.879997</v>
      </c>
      <c r="G49" s="35">
        <f t="shared" si="4"/>
        <v>13638739736.67</v>
      </c>
      <c r="H49" s="35">
        <f t="shared" si="4"/>
        <v>14214912939.590002</v>
      </c>
      <c r="I49" s="35">
        <f t="shared" si="4"/>
        <v>20238948835.009998</v>
      </c>
      <c r="J49" s="35">
        <f t="shared" si="4"/>
        <v>15322248954.390001</v>
      </c>
      <c r="K49" s="35">
        <f t="shared" si="4"/>
        <v>14153363502.960001</v>
      </c>
      <c r="L49" s="35">
        <f t="shared" si="4"/>
        <v>13585899811.190001</v>
      </c>
      <c r="M49" s="35">
        <f t="shared" si="4"/>
        <v>16697290819.870001</v>
      </c>
      <c r="N49" s="35">
        <f t="shared" si="4"/>
        <v>13934006348.219999</v>
      </c>
      <c r="O49" s="35">
        <f t="shared" si="4"/>
        <v>12151251591.099998</v>
      </c>
      <c r="P49" s="35">
        <f t="shared" si="4"/>
        <v>10814826736.930002</v>
      </c>
      <c r="Q49" s="35">
        <f t="shared" si="4"/>
        <v>12622257925.149998</v>
      </c>
      <c r="R49" s="35">
        <f t="shared" si="4"/>
        <v>8723381551.9500008</v>
      </c>
      <c r="S49" s="35">
        <f t="shared" si="4"/>
        <v>6978947066.8899994</v>
      </c>
      <c r="T49" s="35">
        <f t="shared" si="4"/>
        <v>6952137793.1099997</v>
      </c>
      <c r="U49" s="35">
        <f t="shared" si="4"/>
        <v>6798733447.8699999</v>
      </c>
      <c r="V49" s="35">
        <f t="shared" si="4"/>
        <v>7325893007.1199989</v>
      </c>
      <c r="W49" s="35">
        <f t="shared" si="4"/>
        <v>6687753443.4900007</v>
      </c>
      <c r="X49" s="35">
        <f t="shared" si="4"/>
        <v>5773912138.6400003</v>
      </c>
      <c r="Y49" s="35">
        <f t="shared" si="4"/>
        <v>6100043192.0099993</v>
      </c>
      <c r="Z49" s="35">
        <f t="shared" si="4"/>
        <v>5698924400.3900003</v>
      </c>
      <c r="AA49" s="35">
        <f t="shared" si="4"/>
        <v>5657911091.4399986</v>
      </c>
      <c r="AB49" s="35">
        <f t="shared" si="4"/>
        <v>4810031238.5300007</v>
      </c>
      <c r="AC49" s="35">
        <f t="shared" si="4"/>
        <v>4162475583.2600002</v>
      </c>
      <c r="AD49" s="35">
        <f t="shared" si="4"/>
        <v>4685085364.8899994</v>
      </c>
      <c r="AE49" s="35">
        <f t="shared" si="4"/>
        <v>3814213175.5599999</v>
      </c>
      <c r="AF49" s="35">
        <f t="shared" si="4"/>
        <v>3739691851.6900001</v>
      </c>
      <c r="AG49" s="35">
        <f t="shared" si="4"/>
        <v>4013541151.0900006</v>
      </c>
      <c r="AH49" s="35">
        <f t="shared" si="4"/>
        <v>5384542050.8600006</v>
      </c>
      <c r="AI49" s="35">
        <f t="shared" si="4"/>
        <v>3718728517.1099997</v>
      </c>
      <c r="AJ49" s="35">
        <f t="shared" si="4"/>
        <v>2896926866.6999998</v>
      </c>
      <c r="AK49" s="35">
        <f t="shared" si="4"/>
        <v>3068245198.5</v>
      </c>
      <c r="AL49" s="35">
        <f t="shared" si="4"/>
        <v>3400946807.1199999</v>
      </c>
      <c r="AM49" s="35">
        <f t="shared" si="4"/>
        <v>2773507279.8700004</v>
      </c>
      <c r="AN49" s="35">
        <f t="shared" si="4"/>
        <v>2385483074.8400002</v>
      </c>
      <c r="AO49" s="35">
        <f t="shared" si="4"/>
        <v>2854019805.1300006</v>
      </c>
      <c r="AP49" s="35">
        <f t="shared" si="4"/>
        <v>2837943173.8000002</v>
      </c>
      <c r="AQ49" s="35">
        <f t="shared" si="4"/>
        <v>2917845623.8999996</v>
      </c>
      <c r="AR49" s="35">
        <f t="shared" si="4"/>
        <v>2839739711.6600003</v>
      </c>
      <c r="AS49" s="35">
        <f t="shared" si="4"/>
        <v>3709839951.6300001</v>
      </c>
      <c r="AT49" s="35">
        <f t="shared" si="4"/>
        <v>3342471517.4099998</v>
      </c>
      <c r="AU49" s="35">
        <f t="shared" si="4"/>
        <v>2750298326.6799998</v>
      </c>
      <c r="AV49" s="35">
        <f t="shared" si="4"/>
        <v>2406436074.3699999</v>
      </c>
      <c r="AW49" s="35">
        <f t="shared" si="4"/>
        <v>2230755311.2599998</v>
      </c>
      <c r="AX49" s="35">
        <f t="shared" si="4"/>
        <v>1843704232.5200002</v>
      </c>
      <c r="AY49" s="35">
        <f t="shared" si="4"/>
        <v>1584704137.1900001</v>
      </c>
      <c r="AZ49" s="35">
        <f t="shared" si="4"/>
        <v>1388775334.2</v>
      </c>
      <c r="BA49" s="35">
        <f t="shared" si="4"/>
        <v>1413054166.6599998</v>
      </c>
      <c r="BB49" s="35">
        <f t="shared" si="4"/>
        <v>1378939079.0699999</v>
      </c>
      <c r="BC49" s="35">
        <f t="shared" si="4"/>
        <v>1039280027.3499999</v>
      </c>
      <c r="BD49" s="35">
        <f t="shared" si="4"/>
        <v>940355137.96999991</v>
      </c>
      <c r="BE49" s="35">
        <f t="shared" si="4"/>
        <v>1257916272.5799999</v>
      </c>
      <c r="BF49" s="35">
        <f t="shared" si="4"/>
        <v>1023752683.5899999</v>
      </c>
      <c r="BG49" s="35">
        <f t="shared" si="4"/>
        <v>793398406.91999996</v>
      </c>
      <c r="BH49" s="35">
        <f t="shared" si="4"/>
        <v>845356459.69000018</v>
      </c>
      <c r="BI49" s="35">
        <f t="shared" si="4"/>
        <v>1030436477.7100002</v>
      </c>
      <c r="BJ49" s="35">
        <f t="shared" si="4"/>
        <v>685879631.86000001</v>
      </c>
      <c r="BK49" s="35">
        <f t="shared" si="4"/>
        <v>604479620.55999994</v>
      </c>
      <c r="BL49" s="35">
        <f t="shared" si="4"/>
        <v>602531595.35000002</v>
      </c>
      <c r="BM49" s="35">
        <f t="shared" si="4"/>
        <v>746908987.40999997</v>
      </c>
      <c r="BN49" s="35">
        <f t="shared" si="4"/>
        <v>629749031.28999996</v>
      </c>
      <c r="BO49" s="35">
        <f t="shared" si="4"/>
        <v>566706503.35000002</v>
      </c>
      <c r="BP49" s="35">
        <f t="shared" si="4"/>
        <v>362057119.10000002</v>
      </c>
      <c r="BQ49" s="35">
        <f t="shared" si="4"/>
        <v>360404100.62</v>
      </c>
      <c r="BR49" s="35">
        <f t="shared" ref="BR49:CK49" si="5">SUM(BR35:BR45)</f>
        <v>374240823.02999997</v>
      </c>
      <c r="BS49" s="35">
        <f t="shared" si="5"/>
        <v>383122686.68000001</v>
      </c>
      <c r="BT49" s="35">
        <f t="shared" si="5"/>
        <v>232941987.58999997</v>
      </c>
      <c r="BU49" s="35">
        <f t="shared" si="5"/>
        <v>273127135.58999997</v>
      </c>
      <c r="BV49" s="35">
        <f t="shared" si="5"/>
        <v>186478345.49000001</v>
      </c>
      <c r="BW49" s="35">
        <f t="shared" si="5"/>
        <v>211022397.46000001</v>
      </c>
      <c r="BX49" s="35">
        <f t="shared" si="5"/>
        <v>136015133.82999998</v>
      </c>
      <c r="BY49" s="35">
        <f t="shared" si="5"/>
        <v>129286339.48999999</v>
      </c>
      <c r="BZ49" s="35">
        <f t="shared" si="5"/>
        <v>0</v>
      </c>
      <c r="CA49" s="35">
        <f t="shared" si="5"/>
        <v>72955330</v>
      </c>
      <c r="CB49" s="35">
        <f t="shared" si="5"/>
        <v>45286884</v>
      </c>
      <c r="CC49" s="35">
        <f t="shared" si="5"/>
        <v>30658170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22995483005.480003</v>
      </c>
      <c r="C50" s="36">
        <f t="shared" ref="C50:BN50" si="6">C33-C49</f>
        <v>7074798716.4899979</v>
      </c>
      <c r="D50" s="36">
        <f t="shared" si="6"/>
        <v>7878200248.8000011</v>
      </c>
      <c r="E50" s="36">
        <f t="shared" si="6"/>
        <v>6632211689.5199966</v>
      </c>
      <c r="F50" s="36">
        <f t="shared" si="6"/>
        <v>5749744331.0400047</v>
      </c>
      <c r="G50" s="36">
        <f t="shared" si="6"/>
        <v>5086373034.7200031</v>
      </c>
      <c r="H50" s="36">
        <f t="shared" si="6"/>
        <v>2952369490.7999973</v>
      </c>
      <c r="I50" s="36">
        <f t="shared" si="6"/>
        <v>697252411.12000275</v>
      </c>
      <c r="J50" s="36">
        <f t="shared" si="6"/>
        <v>1760523344.3500004</v>
      </c>
      <c r="K50" s="36">
        <f t="shared" si="6"/>
        <v>887543380.50999451</v>
      </c>
      <c r="L50" s="36">
        <f t="shared" si="6"/>
        <v>994055257.38999939</v>
      </c>
      <c r="M50" s="36">
        <f t="shared" si="6"/>
        <v>-1722122269.4799995</v>
      </c>
      <c r="N50" s="36">
        <f t="shared" si="6"/>
        <v>-2037684009.4699993</v>
      </c>
      <c r="O50" s="36">
        <f t="shared" si="6"/>
        <v>-2166976629.5999985</v>
      </c>
      <c r="P50" s="36">
        <f t="shared" si="6"/>
        <v>-378482594.11000061</v>
      </c>
      <c r="Q50" s="36">
        <f t="shared" si="6"/>
        <v>-1438826134.7099972</v>
      </c>
      <c r="R50" s="36">
        <f t="shared" si="6"/>
        <v>268114678.13999939</v>
      </c>
      <c r="S50" s="36">
        <f t="shared" si="6"/>
        <v>212578710.98000145</v>
      </c>
      <c r="T50" s="36">
        <f t="shared" si="6"/>
        <v>1297238980.2699995</v>
      </c>
      <c r="U50" s="36">
        <f t="shared" si="6"/>
        <v>741248249.61999989</v>
      </c>
      <c r="V50" s="36">
        <f t="shared" si="6"/>
        <v>-571464350.88999939</v>
      </c>
      <c r="W50" s="36">
        <f t="shared" si="6"/>
        <v>138345929.42999935</v>
      </c>
      <c r="X50" s="36">
        <f t="shared" si="6"/>
        <v>1053618141.2699995</v>
      </c>
      <c r="Y50" s="36">
        <f t="shared" si="6"/>
        <v>861840675.18000126</v>
      </c>
      <c r="Z50" s="36">
        <f t="shared" si="6"/>
        <v>-619008164.57000065</v>
      </c>
      <c r="AA50" s="36">
        <f t="shared" si="6"/>
        <v>-856929092.79999828</v>
      </c>
      <c r="AB50" s="36">
        <f t="shared" si="6"/>
        <v>-415944058.1600008</v>
      </c>
      <c r="AC50" s="36">
        <f t="shared" si="6"/>
        <v>145214588.19000053</v>
      </c>
      <c r="AD50" s="36">
        <f t="shared" si="6"/>
        <v>-159471271.15999985</v>
      </c>
      <c r="AE50" s="36">
        <f t="shared" si="6"/>
        <v>-29912859.669999599</v>
      </c>
      <c r="AF50" s="36">
        <f t="shared" si="6"/>
        <v>-77508675.539999962</v>
      </c>
      <c r="AG50" s="36">
        <f t="shared" si="6"/>
        <v>-303547016.09000063</v>
      </c>
      <c r="AH50" s="36">
        <f t="shared" si="6"/>
        <v>-1674892775.420001</v>
      </c>
      <c r="AI50" s="36">
        <f t="shared" si="6"/>
        <v>-731253925.83999968</v>
      </c>
      <c r="AJ50" s="36">
        <f t="shared" si="6"/>
        <v>-847117085.12999964</v>
      </c>
      <c r="AK50" s="36">
        <f t="shared" si="6"/>
        <v>-698513693.6500001</v>
      </c>
      <c r="AL50" s="36">
        <f t="shared" si="6"/>
        <v>-1734662526.0399997</v>
      </c>
      <c r="AM50" s="36">
        <f t="shared" si="6"/>
        <v>-1348904034.8300004</v>
      </c>
      <c r="AN50" s="36">
        <f t="shared" si="6"/>
        <v>-1066354487.5900002</v>
      </c>
      <c r="AO50" s="36">
        <f t="shared" si="6"/>
        <v>-1369028842.8400006</v>
      </c>
      <c r="AP50" s="36">
        <f t="shared" si="6"/>
        <v>-1236713907.6500001</v>
      </c>
      <c r="AQ50" s="36">
        <f t="shared" si="6"/>
        <v>-1180527212.0999999</v>
      </c>
      <c r="AR50" s="36">
        <f t="shared" si="6"/>
        <v>-1127582282.3400002</v>
      </c>
      <c r="AS50" s="36">
        <f t="shared" si="6"/>
        <v>-697498167.19000006</v>
      </c>
      <c r="AT50" s="36">
        <f t="shared" si="6"/>
        <v>-762146856.90999985</v>
      </c>
      <c r="AU50" s="36">
        <f t="shared" si="6"/>
        <v>-667775009.25</v>
      </c>
      <c r="AV50" s="36">
        <f t="shared" si="6"/>
        <v>-785586976.41999984</v>
      </c>
      <c r="AW50" s="36">
        <f t="shared" si="6"/>
        <v>-809885138.36999989</v>
      </c>
      <c r="AX50" s="36">
        <f t="shared" si="6"/>
        <v>-494187772.15000033</v>
      </c>
      <c r="AY50" s="36">
        <f t="shared" si="6"/>
        <v>-429036715.30999994</v>
      </c>
      <c r="AZ50" s="36">
        <f t="shared" si="6"/>
        <v>-231007772.54999995</v>
      </c>
      <c r="BA50" s="36">
        <f t="shared" si="6"/>
        <v>-191857929.44999981</v>
      </c>
      <c r="BB50" s="36">
        <f t="shared" si="6"/>
        <v>-163027740.62999988</v>
      </c>
      <c r="BC50" s="36">
        <f t="shared" si="6"/>
        <v>10982383.540000081</v>
      </c>
      <c r="BD50" s="36">
        <f t="shared" si="6"/>
        <v>140586376.89000022</v>
      </c>
      <c r="BE50" s="36">
        <f t="shared" si="6"/>
        <v>54465647</v>
      </c>
      <c r="BF50" s="36">
        <f t="shared" si="6"/>
        <v>-59948238.980000019</v>
      </c>
      <c r="BG50" s="36">
        <f t="shared" si="6"/>
        <v>281077808.69999993</v>
      </c>
      <c r="BH50" s="36">
        <f t="shared" si="6"/>
        <v>231038469.12999976</v>
      </c>
      <c r="BI50" s="36">
        <f t="shared" si="6"/>
        <v>138632610.71999991</v>
      </c>
      <c r="BJ50" s="36">
        <f t="shared" si="6"/>
        <v>190162353.26999998</v>
      </c>
      <c r="BK50" s="36">
        <f t="shared" si="6"/>
        <v>199467175.28000009</v>
      </c>
      <c r="BL50" s="36">
        <f t="shared" si="6"/>
        <v>146405302.16999996</v>
      </c>
      <c r="BM50" s="36">
        <f t="shared" si="6"/>
        <v>89763886.290000081</v>
      </c>
      <c r="BN50" s="36">
        <f t="shared" si="6"/>
        <v>73110805.059999943</v>
      </c>
      <c r="BO50" s="36">
        <f t="shared" ref="BO50:CK50" si="7">BO33-BO49</f>
        <v>143717062.28999984</v>
      </c>
      <c r="BP50" s="36">
        <f t="shared" si="7"/>
        <v>195592001.18999994</v>
      </c>
      <c r="BQ50" s="36">
        <f t="shared" si="7"/>
        <v>138273991.82999998</v>
      </c>
      <c r="BR50" s="36">
        <f t="shared" si="7"/>
        <v>82145921.070000052</v>
      </c>
      <c r="BS50" s="36">
        <f t="shared" si="7"/>
        <v>87966551.810000002</v>
      </c>
      <c r="BT50" s="36">
        <f t="shared" si="7"/>
        <v>170177642.30000001</v>
      </c>
      <c r="BU50" s="36">
        <f t="shared" si="7"/>
        <v>143471144.71000004</v>
      </c>
      <c r="BV50" s="36">
        <f t="shared" si="7"/>
        <v>94868676.709999979</v>
      </c>
      <c r="BW50" s="36">
        <f t="shared" si="7"/>
        <v>99069598.270000011</v>
      </c>
      <c r="BX50" s="36">
        <f t="shared" si="7"/>
        <v>105629248.48000002</v>
      </c>
      <c r="BY50" s="36">
        <f t="shared" si="7"/>
        <v>71024635.000000015</v>
      </c>
      <c r="BZ50" s="36">
        <f t="shared" si="7"/>
        <v>0</v>
      </c>
      <c r="CA50" s="36">
        <f t="shared" si="7"/>
        <v>35686532</v>
      </c>
      <c r="CB50" s="36">
        <f t="shared" si="7"/>
        <v>25249001</v>
      </c>
      <c r="CC50" s="36">
        <f t="shared" si="7"/>
        <v>13082090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3739296570.6399999</v>
      </c>
      <c r="C52" s="189">
        <v>3806636178.1799998</v>
      </c>
      <c r="D52" s="189">
        <v>3904837211.3600001</v>
      </c>
      <c r="E52" s="189">
        <v>3982767010.3299999</v>
      </c>
      <c r="F52" s="189">
        <v>4095441705.8299999</v>
      </c>
      <c r="G52" s="189">
        <v>4235449777.0300002</v>
      </c>
      <c r="H52" s="189">
        <v>4358378334.1499996</v>
      </c>
      <c r="I52" s="189">
        <v>4537663835.8500004</v>
      </c>
      <c r="J52" s="189">
        <v>4443352373.1300001</v>
      </c>
      <c r="K52" s="189">
        <v>3863364637.71</v>
      </c>
      <c r="L52" s="189">
        <v>3963721622.1799998</v>
      </c>
      <c r="M52" s="189">
        <v>4071835776.9000001</v>
      </c>
      <c r="N52" s="189">
        <v>3443954195.4899998</v>
      </c>
      <c r="O52" s="189">
        <v>3621428117.5799999</v>
      </c>
      <c r="P52" s="189">
        <v>3698392170.6399999</v>
      </c>
      <c r="Q52" s="189">
        <v>3630320013.9400001</v>
      </c>
      <c r="R52" s="189">
        <v>2845124055.0300002</v>
      </c>
      <c r="S52" s="189">
        <v>2927557160.25</v>
      </c>
      <c r="T52" s="189">
        <v>2912807755.2600002</v>
      </c>
      <c r="U52" s="189">
        <v>2979858868.46</v>
      </c>
      <c r="V52" s="189">
        <v>2894214357.6300001</v>
      </c>
      <c r="W52" s="189">
        <v>2988196081</v>
      </c>
      <c r="X52" s="189">
        <v>3082661256.52</v>
      </c>
      <c r="Y52" s="189">
        <v>3146517801.1399999</v>
      </c>
      <c r="Z52" s="189">
        <v>1283023930.03</v>
      </c>
      <c r="AA52" s="189">
        <v>1188923979.6500001</v>
      </c>
      <c r="AB52" s="189">
        <v>1139863574.3499999</v>
      </c>
      <c r="AC52" s="189">
        <v>1010615512.64</v>
      </c>
      <c r="AD52" s="189">
        <v>1025505056.45</v>
      </c>
      <c r="AE52" s="189">
        <v>1055009693.29</v>
      </c>
      <c r="AF52" s="189">
        <v>1079861795.3099999</v>
      </c>
      <c r="AG52" s="189">
        <v>1104114516.98</v>
      </c>
      <c r="AH52" s="189">
        <v>981054589.71000004</v>
      </c>
      <c r="AI52" s="189">
        <v>996941595.33000004</v>
      </c>
      <c r="AJ52" s="189">
        <v>1028437015.22</v>
      </c>
      <c r="AK52" s="189">
        <v>1053247011.39</v>
      </c>
      <c r="AL52" s="189">
        <v>1028696636.89</v>
      </c>
      <c r="AM52" s="189">
        <v>750281619.63999999</v>
      </c>
      <c r="AN52" s="189">
        <v>733379135.08000004</v>
      </c>
      <c r="AO52" s="189">
        <v>751492270.57000005</v>
      </c>
      <c r="AP52" s="189">
        <v>598116555.05999994</v>
      </c>
      <c r="AQ52" s="189">
        <v>596912842.48000002</v>
      </c>
      <c r="AR52" s="189">
        <v>597388851.12</v>
      </c>
      <c r="AS52" s="189">
        <v>507128068.42000002</v>
      </c>
      <c r="AT52" s="189">
        <v>477480672.80000001</v>
      </c>
      <c r="AU52" s="189">
        <v>475508405.08999997</v>
      </c>
      <c r="AV52" s="189">
        <v>491770951.13</v>
      </c>
      <c r="AW52" s="189">
        <v>512384978.29000002</v>
      </c>
      <c r="AX52" s="189">
        <v>452729110.33999997</v>
      </c>
      <c r="AY52" s="189">
        <v>465234771.00999999</v>
      </c>
      <c r="AZ52" s="189">
        <v>485803911.95999998</v>
      </c>
      <c r="BA52" s="189">
        <v>507338829.87</v>
      </c>
      <c r="BB52" s="189">
        <v>447484323.25999999</v>
      </c>
      <c r="BC52" s="189">
        <v>461011354.66000003</v>
      </c>
      <c r="BD52" s="189">
        <v>477143035.86000001</v>
      </c>
      <c r="BE52" s="189">
        <v>495945258.48000002</v>
      </c>
      <c r="BF52" s="189">
        <v>463469401.5</v>
      </c>
      <c r="BG52" s="189">
        <v>469052801</v>
      </c>
      <c r="BH52" s="189">
        <v>469071033.86000001</v>
      </c>
      <c r="BI52" s="189">
        <v>464880526.54000002</v>
      </c>
      <c r="BJ52" s="189">
        <v>366031374.63999999</v>
      </c>
      <c r="BK52" s="189">
        <v>372012573.81</v>
      </c>
      <c r="BL52" s="189">
        <v>382277026.64999998</v>
      </c>
      <c r="BM52" s="189">
        <v>392616827.49000001</v>
      </c>
      <c r="BN52" s="189">
        <v>397195145.38</v>
      </c>
      <c r="BO52" s="189">
        <v>402845065.31</v>
      </c>
      <c r="BP52" s="189">
        <v>429674374.89999998</v>
      </c>
      <c r="BQ52" s="189">
        <v>434791432.91000003</v>
      </c>
      <c r="BR52" s="189">
        <v>423952295.44</v>
      </c>
      <c r="BS52" s="189">
        <v>434855338.73000002</v>
      </c>
      <c r="BT52" s="189">
        <v>437436248.17000002</v>
      </c>
      <c r="BU52" s="189">
        <v>448175392.82999998</v>
      </c>
      <c r="BV52" s="189">
        <v>423846603.76999998</v>
      </c>
      <c r="BW52" s="189">
        <v>414365909.83999997</v>
      </c>
      <c r="BX52" s="189">
        <v>60156348.25</v>
      </c>
      <c r="BY52" s="189">
        <v>57243239.469999999</v>
      </c>
      <c r="BZ52" s="189">
        <v>55497864.740000002</v>
      </c>
      <c r="CA52" s="189">
        <v>54541567</v>
      </c>
      <c r="CB52" s="189">
        <v>46131480</v>
      </c>
      <c r="CC52" s="189">
        <v>9808901</v>
      </c>
      <c r="CD52" s="189">
        <v>0</v>
      </c>
      <c r="CE52" s="189"/>
      <c r="CF52" s="189"/>
      <c r="CG52" s="189"/>
      <c r="CH52" s="189"/>
      <c r="CI52" s="189"/>
      <c r="CJ52" s="189"/>
      <c r="CK52" s="189"/>
      <c r="CL52" s="189"/>
    </row>
    <row r="53" spans="1:90" s="192" customFormat="1" x14ac:dyDescent="0.25">
      <c r="A53" s="192" t="s">
        <v>35</v>
      </c>
      <c r="B53" s="189">
        <v>626961069.38</v>
      </c>
      <c r="C53" s="189">
        <v>455432989</v>
      </c>
      <c r="D53" s="189">
        <v>334863583.77999997</v>
      </c>
      <c r="E53" s="189">
        <v>297253674.33999997</v>
      </c>
      <c r="F53" s="189">
        <v>235770936.78</v>
      </c>
      <c r="G53" s="189">
        <v>140258943.81999999</v>
      </c>
      <c r="H53" s="189">
        <v>106831215.66</v>
      </c>
      <c r="I53" s="189">
        <v>90849899.430000007</v>
      </c>
      <c r="J53" s="189">
        <v>238157472.56999999</v>
      </c>
      <c r="K53" s="189">
        <v>714061355.13999999</v>
      </c>
      <c r="L53" s="189">
        <v>659600030</v>
      </c>
      <c r="M53" s="189">
        <v>584839095.75999999</v>
      </c>
      <c r="N53" s="189">
        <v>1605514788.0899999</v>
      </c>
      <c r="O53" s="189">
        <v>1568406081.47</v>
      </c>
      <c r="P53" s="189">
        <v>1453284846.0899999</v>
      </c>
      <c r="Q53" s="189">
        <v>955967947</v>
      </c>
      <c r="R53" s="189">
        <v>569124013.22000003</v>
      </c>
      <c r="S53" s="189">
        <v>463090851.30000001</v>
      </c>
      <c r="T53" s="189">
        <v>539624059.63999999</v>
      </c>
      <c r="U53" s="189">
        <v>444189429.57999998</v>
      </c>
      <c r="V53" s="189">
        <v>408588126.5</v>
      </c>
      <c r="W53" s="189">
        <v>296829524.36000001</v>
      </c>
      <c r="X53" s="189">
        <v>244939341.52000001</v>
      </c>
      <c r="Y53" s="189">
        <v>126008930.90000001</v>
      </c>
      <c r="Z53" s="189">
        <v>1142018898.4200001</v>
      </c>
      <c r="AA53" s="189">
        <v>744681401.53999996</v>
      </c>
      <c r="AB53" s="189">
        <v>385209683.62</v>
      </c>
      <c r="AC53" s="189">
        <v>300920290.50999999</v>
      </c>
      <c r="AD53" s="189">
        <v>572770781.01999998</v>
      </c>
      <c r="AE53" s="189">
        <v>435827681.50999999</v>
      </c>
      <c r="AF53" s="189">
        <v>44045330.560000002</v>
      </c>
      <c r="AG53" s="189">
        <v>41610514.240000002</v>
      </c>
      <c r="AH53" s="189">
        <v>142440861.63999999</v>
      </c>
      <c r="AI53" s="189">
        <v>92120318.370000005</v>
      </c>
      <c r="AJ53" s="189">
        <v>24735504.699999999</v>
      </c>
      <c r="AK53" s="189">
        <v>20216673.68</v>
      </c>
      <c r="AL53" s="189">
        <v>80902155.890000001</v>
      </c>
      <c r="AM53" s="189">
        <v>366368816.51999998</v>
      </c>
      <c r="AN53" s="189">
        <v>316814185.66000003</v>
      </c>
      <c r="AO53" s="189">
        <v>267409277.63</v>
      </c>
      <c r="AP53" s="189">
        <v>302837977.95999998</v>
      </c>
      <c r="AQ53" s="189">
        <v>184309815.58000001</v>
      </c>
      <c r="AR53" s="189">
        <v>301967835.37</v>
      </c>
      <c r="AS53" s="189">
        <v>226723970.94</v>
      </c>
      <c r="AT53" s="189">
        <v>216895803.81</v>
      </c>
      <c r="AU53" s="189">
        <v>164716283.09999999</v>
      </c>
      <c r="AV53" s="189">
        <v>141559687.90000001</v>
      </c>
      <c r="AW53" s="189">
        <v>126356320.56999999</v>
      </c>
      <c r="AX53" s="189">
        <v>93169241.370000005</v>
      </c>
      <c r="AY53" s="189">
        <v>20149098.010000002</v>
      </c>
      <c r="AZ53" s="189">
        <v>11406641.279999999</v>
      </c>
      <c r="BA53" s="189">
        <v>7785116.7999999998</v>
      </c>
      <c r="BB53" s="189">
        <v>64185650.469999999</v>
      </c>
      <c r="BC53" s="189">
        <v>46593525.299999997</v>
      </c>
      <c r="BD53" s="189">
        <v>51262001.57</v>
      </c>
      <c r="BE53" s="189">
        <v>45223830.549999997</v>
      </c>
      <c r="BF53" s="189">
        <v>101751320.70999999</v>
      </c>
      <c r="BG53" s="189">
        <v>82314745.150000006</v>
      </c>
      <c r="BH53" s="189">
        <v>76558293.189999998</v>
      </c>
      <c r="BI53" s="189">
        <v>71025585.219999999</v>
      </c>
      <c r="BJ53" s="189">
        <v>138853452.69999999</v>
      </c>
      <c r="BK53" s="189">
        <v>87644125.579999998</v>
      </c>
      <c r="BL53" s="189">
        <v>51944520.649999999</v>
      </c>
      <c r="BM53" s="189">
        <v>41106828.130000003</v>
      </c>
      <c r="BN53" s="189">
        <v>42538081.630000003</v>
      </c>
      <c r="BO53" s="189">
        <v>20323487.219999999</v>
      </c>
      <c r="BP53" s="189">
        <v>4386711.92</v>
      </c>
      <c r="BQ53" s="189">
        <v>1368812.27</v>
      </c>
      <c r="BR53" s="189">
        <v>21490359.190000001</v>
      </c>
      <c r="BS53" s="189">
        <v>4810348.4000000004</v>
      </c>
      <c r="BT53" s="189">
        <v>38860425.880000003</v>
      </c>
      <c r="BU53" s="189">
        <v>21970269.859999999</v>
      </c>
      <c r="BV53" s="189">
        <v>42541101.68</v>
      </c>
      <c r="BW53" s="189">
        <v>24846569.920000002</v>
      </c>
      <c r="BX53" s="189">
        <v>297963576.10000002</v>
      </c>
      <c r="BY53" s="189">
        <v>197695782.27000001</v>
      </c>
      <c r="BZ53" s="189">
        <v>104320570.31</v>
      </c>
      <c r="CA53" s="189">
        <v>17252394</v>
      </c>
      <c r="CB53" s="189">
        <v>6200879</v>
      </c>
      <c r="CC53" s="189">
        <v>35026648</v>
      </c>
      <c r="CD53" s="189">
        <v>0</v>
      </c>
      <c r="CE53" s="189"/>
      <c r="CF53" s="189"/>
      <c r="CG53" s="189"/>
      <c r="CH53" s="189"/>
      <c r="CI53" s="189"/>
      <c r="CJ53" s="189"/>
      <c r="CK53" s="189"/>
      <c r="CL53" s="189"/>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0</v>
      </c>
      <c r="BD54" s="189">
        <v>0</v>
      </c>
      <c r="BE54" s="189">
        <v>0</v>
      </c>
      <c r="BF54" s="189">
        <v>0</v>
      </c>
      <c r="BG54" s="189">
        <v>0</v>
      </c>
      <c r="BH54" s="189">
        <v>0</v>
      </c>
      <c r="BI54" s="189">
        <v>0</v>
      </c>
      <c r="BJ54" s="189">
        <v>0</v>
      </c>
      <c r="BK54" s="189">
        <v>0</v>
      </c>
      <c r="BL54" s="189">
        <v>0</v>
      </c>
      <c r="BM54" s="189">
        <v>0</v>
      </c>
      <c r="BN54" s="189">
        <v>0</v>
      </c>
      <c r="BO54" s="189">
        <v>0</v>
      </c>
      <c r="BP54" s="189">
        <v>0</v>
      </c>
      <c r="BQ54" s="189">
        <v>0</v>
      </c>
      <c r="BR54" s="189">
        <v>0</v>
      </c>
      <c r="BS54" s="189">
        <v>0</v>
      </c>
      <c r="BT54" s="189">
        <v>0</v>
      </c>
      <c r="BU54" s="189">
        <v>0</v>
      </c>
      <c r="BV54" s="189">
        <v>0</v>
      </c>
      <c r="BW54" s="189">
        <v>0</v>
      </c>
      <c r="BX54" s="189">
        <v>0</v>
      </c>
      <c r="BY54" s="189">
        <v>0</v>
      </c>
      <c r="BZ54" s="189">
        <v>0</v>
      </c>
      <c r="CA54" s="189">
        <v>0</v>
      </c>
      <c r="CB54" s="189">
        <v>0</v>
      </c>
      <c r="CC54" s="189">
        <v>0</v>
      </c>
      <c r="CD54" s="189">
        <v>0</v>
      </c>
      <c r="CE54" s="189"/>
      <c r="CF54" s="189"/>
      <c r="CG54" s="189"/>
      <c r="CH54" s="189"/>
      <c r="CI54" s="189"/>
      <c r="CJ54" s="189"/>
      <c r="CK54" s="189"/>
      <c r="CL54" s="189"/>
    </row>
    <row r="55" spans="1:90" s="192" customFormat="1" x14ac:dyDescent="0.25">
      <c r="A55" s="192" t="s">
        <v>37</v>
      </c>
      <c r="B55" s="189">
        <v>0</v>
      </c>
      <c r="C55" s="189">
        <v>3415186.24</v>
      </c>
      <c r="D55" s="189">
        <v>3401968.8</v>
      </c>
      <c r="E55" s="189">
        <v>2461403.7599999998</v>
      </c>
      <c r="F55" s="189">
        <v>12314466.9</v>
      </c>
      <c r="G55" s="189">
        <v>354612.42</v>
      </c>
      <c r="H55" s="189">
        <v>327031.73</v>
      </c>
      <c r="I55" s="189">
        <v>0</v>
      </c>
      <c r="J55" s="189">
        <v>3164096.98</v>
      </c>
      <c r="K55" s="189">
        <v>3091290.26</v>
      </c>
      <c r="L55" s="189">
        <v>209719</v>
      </c>
      <c r="M55" s="189">
        <v>0</v>
      </c>
      <c r="N55" s="189">
        <v>63441.65</v>
      </c>
      <c r="O55" s="189">
        <v>95777.94</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0</v>
      </c>
      <c r="AX55" s="189">
        <v>0</v>
      </c>
      <c r="AY55" s="189">
        <v>0</v>
      </c>
      <c r="AZ55" s="189">
        <v>0</v>
      </c>
      <c r="BA55" s="189">
        <v>0</v>
      </c>
      <c r="BB55" s="189">
        <v>0</v>
      </c>
      <c r="BC55" s="189">
        <v>0</v>
      </c>
      <c r="BD55" s="189">
        <v>0</v>
      </c>
      <c r="BE55" s="189">
        <v>0</v>
      </c>
      <c r="BF55" s="189">
        <v>0</v>
      </c>
      <c r="BG55" s="189">
        <v>0</v>
      </c>
      <c r="BH55" s="189">
        <v>0</v>
      </c>
      <c r="BI55" s="189">
        <v>0</v>
      </c>
      <c r="BJ55" s="189">
        <v>0</v>
      </c>
      <c r="BK55" s="189">
        <v>0</v>
      </c>
      <c r="BL55" s="189">
        <v>0</v>
      </c>
      <c r="BM55" s="189">
        <v>0</v>
      </c>
      <c r="BN55" s="189">
        <v>0</v>
      </c>
      <c r="BO55" s="189">
        <v>226327.24</v>
      </c>
      <c r="BP55" s="189">
        <v>193064.45</v>
      </c>
      <c r="BQ55" s="189">
        <v>0</v>
      </c>
      <c r="BR55" s="189">
        <v>0</v>
      </c>
      <c r="BS55" s="189">
        <v>0</v>
      </c>
      <c r="BT55" s="189">
        <v>-148000</v>
      </c>
      <c r="BU55" s="189">
        <v>0</v>
      </c>
      <c r="BV55" s="189">
        <v>89995.58</v>
      </c>
      <c r="BW55" s="189">
        <v>7265.52</v>
      </c>
      <c r="BX55" s="189">
        <v>-470.28</v>
      </c>
      <c r="BY55" s="189">
        <v>0</v>
      </c>
      <c r="BZ55" s="189">
        <v>0</v>
      </c>
      <c r="CA55" s="189">
        <v>0</v>
      </c>
      <c r="CB55" s="189">
        <v>6447</v>
      </c>
      <c r="CC55" s="189">
        <v>2246</v>
      </c>
      <c r="CD55" s="189">
        <v>0</v>
      </c>
      <c r="CE55" s="189"/>
      <c r="CF55" s="189"/>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c r="CF56" s="189"/>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c r="CF57" s="189"/>
      <c r="CG57" s="189"/>
      <c r="CH57" s="189"/>
      <c r="CI57" s="189"/>
      <c r="CJ57" s="189"/>
      <c r="CK57" s="189"/>
      <c r="CL57" s="189"/>
    </row>
    <row r="58" spans="1:90" s="192" customFormat="1" x14ac:dyDescent="0.25">
      <c r="A58" s="192" t="s">
        <v>40</v>
      </c>
      <c r="B58" s="189">
        <v>1520660105.78</v>
      </c>
      <c r="C58" s="189">
        <v>1517278374.46</v>
      </c>
      <c r="D58" s="189">
        <v>1527157133.7</v>
      </c>
      <c r="E58" s="189">
        <v>1426619439.9100001</v>
      </c>
      <c r="F58" s="189">
        <v>1436423992.25</v>
      </c>
      <c r="G58" s="189">
        <v>1444717417.5</v>
      </c>
      <c r="H58" s="189">
        <v>1453641733.9300001</v>
      </c>
      <c r="I58" s="189">
        <v>1457537900.1400001</v>
      </c>
      <c r="J58" s="189">
        <v>1446257261.27</v>
      </c>
      <c r="K58" s="189">
        <v>1452646404.26</v>
      </c>
      <c r="L58" s="189">
        <v>1459093632.4000001</v>
      </c>
      <c r="M58" s="189">
        <v>1463507513.8099999</v>
      </c>
      <c r="N58" s="189">
        <v>978106618.20000005</v>
      </c>
      <c r="O58" s="189">
        <v>982716902.02999997</v>
      </c>
      <c r="P58" s="189">
        <v>933264614.46000004</v>
      </c>
      <c r="Q58" s="189">
        <v>939429685.03999996</v>
      </c>
      <c r="R58" s="189">
        <v>600745429.10000002</v>
      </c>
      <c r="S58" s="189">
        <v>605092644.51999998</v>
      </c>
      <c r="T58" s="189">
        <v>588107028.23000002</v>
      </c>
      <c r="U58" s="189">
        <v>592362905.75</v>
      </c>
      <c r="V58" s="189">
        <v>596742184.01999998</v>
      </c>
      <c r="W58" s="189">
        <v>599654675.40999997</v>
      </c>
      <c r="X58" s="189">
        <v>601808579.82000005</v>
      </c>
      <c r="Y58" s="189">
        <v>601869887.13</v>
      </c>
      <c r="Z58" s="189">
        <v>605594554.72000003</v>
      </c>
      <c r="AA58" s="189">
        <v>609314133.92999995</v>
      </c>
      <c r="AB58" s="189">
        <v>491162457.67000002</v>
      </c>
      <c r="AC58" s="189">
        <v>492652528.75999999</v>
      </c>
      <c r="AD58" s="189">
        <v>216681538.90000001</v>
      </c>
      <c r="AE58" s="189">
        <v>218332367.28999999</v>
      </c>
      <c r="AF58" s="189">
        <v>220527293.55000001</v>
      </c>
      <c r="AG58" s="189">
        <v>220691549.88999999</v>
      </c>
      <c r="AH58" s="189">
        <v>221835019.72999999</v>
      </c>
      <c r="AI58" s="189">
        <v>221775635.47999999</v>
      </c>
      <c r="AJ58" s="189">
        <v>221506929.28</v>
      </c>
      <c r="AK58" s="189">
        <v>221061656.47</v>
      </c>
      <c r="AL58" s="189">
        <v>232077174.47</v>
      </c>
      <c r="AM58" s="189">
        <v>234162898.03999999</v>
      </c>
      <c r="AN58" s="189">
        <v>234759679.25</v>
      </c>
      <c r="AO58" s="189">
        <v>234717847.37</v>
      </c>
      <c r="AP58" s="189">
        <v>245065738.31999999</v>
      </c>
      <c r="AQ58" s="189">
        <v>246790489.30000001</v>
      </c>
      <c r="AR58" s="189">
        <v>97099333.290000007</v>
      </c>
      <c r="AS58" s="189">
        <v>86788247.439999998</v>
      </c>
      <c r="AT58" s="189">
        <v>90725022.099999994</v>
      </c>
      <c r="AU58" s="189">
        <v>91861265.019999996</v>
      </c>
      <c r="AV58" s="189">
        <v>93092489.939999998</v>
      </c>
      <c r="AW58" s="189">
        <v>109104603.5</v>
      </c>
      <c r="AX58" s="189">
        <v>109546502.73999999</v>
      </c>
      <c r="AY58" s="189">
        <v>110445760.87</v>
      </c>
      <c r="AZ58" s="189">
        <v>111861535.34999999</v>
      </c>
      <c r="BA58" s="189">
        <v>113434852.5</v>
      </c>
      <c r="BB58" s="189">
        <v>114369123.97</v>
      </c>
      <c r="BC58" s="189">
        <v>116038503.78</v>
      </c>
      <c r="BD58" s="189">
        <v>107266398.15000001</v>
      </c>
      <c r="BE58" s="189">
        <v>108878108.98999999</v>
      </c>
      <c r="BF58" s="189">
        <v>303111768.14999998</v>
      </c>
      <c r="BG58" s="189">
        <v>81019013.459999993</v>
      </c>
      <c r="BH58" s="189">
        <v>83060288.870000005</v>
      </c>
      <c r="BI58" s="189">
        <v>83209351.859999999</v>
      </c>
      <c r="BJ58" s="189">
        <v>46223327.810000002</v>
      </c>
      <c r="BK58" s="189">
        <v>43825303.82</v>
      </c>
      <c r="BL58" s="189">
        <v>41301057.960000001</v>
      </c>
      <c r="BM58" s="189">
        <v>36795887.140000001</v>
      </c>
      <c r="BN58" s="189">
        <v>41881621.109999999</v>
      </c>
      <c r="BO58" s="189">
        <v>18715471.859999999</v>
      </c>
      <c r="BP58" s="189">
        <v>18800363.82</v>
      </c>
      <c r="BQ58" s="189">
        <v>18938422.440000001</v>
      </c>
      <c r="BR58" s="189">
        <v>19266149.949999999</v>
      </c>
      <c r="BS58" s="189">
        <v>19490656.920000002</v>
      </c>
      <c r="BT58" s="189">
        <v>19766774.16</v>
      </c>
      <c r="BU58" s="189">
        <v>19136008.600000001</v>
      </c>
      <c r="BV58" s="189">
        <v>23209060.989999998</v>
      </c>
      <c r="BW58" s="189">
        <v>23438672.890000001</v>
      </c>
      <c r="BX58" s="189">
        <v>19766831.789999999</v>
      </c>
      <c r="BY58" s="189">
        <v>19996443.690000001</v>
      </c>
      <c r="BZ58" s="189">
        <v>0</v>
      </c>
      <c r="CA58" s="189">
        <v>19905667</v>
      </c>
      <c r="CB58" s="189">
        <v>0</v>
      </c>
      <c r="CC58" s="189">
        <v>0</v>
      </c>
      <c r="CD58" s="189">
        <v>0</v>
      </c>
      <c r="CE58" s="189"/>
      <c r="CF58" s="189"/>
      <c r="CG58" s="189"/>
      <c r="CH58" s="189"/>
      <c r="CI58" s="189"/>
      <c r="CJ58" s="189"/>
      <c r="CK58" s="189"/>
      <c r="CL58" s="189"/>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c r="CF59" s="189"/>
      <c r="CG59" s="189"/>
      <c r="CH59" s="189"/>
      <c r="CI59" s="189"/>
      <c r="CJ59" s="189"/>
      <c r="CK59" s="189"/>
      <c r="CL59" s="189"/>
    </row>
    <row r="60" spans="1:90" s="192" customFormat="1" x14ac:dyDescent="0.25">
      <c r="A60" s="192" t="s">
        <v>42</v>
      </c>
      <c r="B60" s="189">
        <v>492016.01</v>
      </c>
      <c r="C60" s="189">
        <v>492016.01</v>
      </c>
      <c r="D60" s="189">
        <v>492016.01</v>
      </c>
      <c r="E60" s="189">
        <v>492016.01</v>
      </c>
      <c r="F60" s="189">
        <v>492016.01</v>
      </c>
      <c r="G60" s="189">
        <v>492016.01</v>
      </c>
      <c r="H60" s="189">
        <v>492016.01</v>
      </c>
      <c r="I60" s="189">
        <v>492016.01</v>
      </c>
      <c r="J60" s="189">
        <v>492016.01</v>
      </c>
      <c r="K60" s="189">
        <v>492016.01</v>
      </c>
      <c r="L60" s="189">
        <v>492016.01</v>
      </c>
      <c r="M60" s="189">
        <v>492016.01</v>
      </c>
      <c r="N60" s="189">
        <v>492016.01</v>
      </c>
      <c r="O60" s="189">
        <v>492016.01</v>
      </c>
      <c r="P60" s="189">
        <v>492016.01</v>
      </c>
      <c r="Q60" s="189">
        <v>492016.01</v>
      </c>
      <c r="R60" s="189">
        <v>492016.01</v>
      </c>
      <c r="S60" s="189">
        <v>492016.01</v>
      </c>
      <c r="T60" s="189">
        <v>492016.01</v>
      </c>
      <c r="U60" s="189">
        <v>492016.01</v>
      </c>
      <c r="V60" s="189">
        <v>492016.01</v>
      </c>
      <c r="W60" s="189">
        <v>492016.01</v>
      </c>
      <c r="X60" s="189">
        <v>492016.01</v>
      </c>
      <c r="Y60" s="189">
        <v>492016.01</v>
      </c>
      <c r="Z60" s="189">
        <v>492016.01</v>
      </c>
      <c r="AA60" s="189">
        <v>492016.01</v>
      </c>
      <c r="AB60" s="189">
        <v>492016.01</v>
      </c>
      <c r="AC60" s="189">
        <v>492016.01</v>
      </c>
      <c r="AD60" s="189">
        <v>492016.01</v>
      </c>
      <c r="AE60" s="189">
        <v>492016.01</v>
      </c>
      <c r="AF60" s="189">
        <v>492016.01</v>
      </c>
      <c r="AG60" s="189">
        <v>492016.01</v>
      </c>
      <c r="AH60" s="189">
        <v>492016.01</v>
      </c>
      <c r="AI60" s="189">
        <v>5138272.1900000004</v>
      </c>
      <c r="AJ60" s="189">
        <v>5138272.1900000004</v>
      </c>
      <c r="AK60" s="189">
        <v>5138272.1900000004</v>
      </c>
      <c r="AL60" s="189">
        <v>5138272.1900000004</v>
      </c>
      <c r="AM60" s="189">
        <v>5138272.1900000004</v>
      </c>
      <c r="AN60" s="189">
        <v>5138272.1900000004</v>
      </c>
      <c r="AO60" s="189">
        <v>5138272.1900000004</v>
      </c>
      <c r="AP60" s="189">
        <v>492016.01</v>
      </c>
      <c r="AQ60" s="189">
        <v>492016.01</v>
      </c>
      <c r="AR60" s="189">
        <v>492016.01</v>
      </c>
      <c r="AS60" s="189">
        <v>492016.01</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v>0</v>
      </c>
      <c r="BR60" s="189">
        <v>0</v>
      </c>
      <c r="BS60" s="189">
        <v>0</v>
      </c>
      <c r="BT60" s="189">
        <v>0</v>
      </c>
      <c r="BU60" s="189">
        <v>0</v>
      </c>
      <c r="BV60" s="189">
        <v>0</v>
      </c>
      <c r="BW60" s="189">
        <v>0</v>
      </c>
      <c r="BX60" s="189">
        <v>0</v>
      </c>
      <c r="BY60" s="189">
        <v>0</v>
      </c>
      <c r="BZ60" s="189">
        <v>0</v>
      </c>
      <c r="CA60" s="189">
        <v>0</v>
      </c>
      <c r="CB60" s="189">
        <v>0</v>
      </c>
      <c r="CC60" s="189">
        <v>0</v>
      </c>
      <c r="CD60" s="189">
        <v>0</v>
      </c>
      <c r="CE60" s="189"/>
      <c r="CF60" s="189"/>
      <c r="CG60" s="189"/>
      <c r="CH60" s="189"/>
      <c r="CI60" s="189"/>
      <c r="CJ60" s="189"/>
      <c r="CK60" s="189"/>
      <c r="CL60" s="189"/>
    </row>
    <row r="61" spans="1:90" s="192" customFormat="1" x14ac:dyDescent="0.25">
      <c r="A61" s="192" t="s">
        <v>43</v>
      </c>
      <c r="B61" s="189">
        <v>7659329.7300000004</v>
      </c>
      <c r="C61" s="189">
        <v>7559072.2300000004</v>
      </c>
      <c r="D61" s="189">
        <v>6627488.71</v>
      </c>
      <c r="E61" s="189">
        <v>11330733.939999999</v>
      </c>
      <c r="F61" s="189">
        <v>4887896.2</v>
      </c>
      <c r="G61" s="189">
        <v>5743141</v>
      </c>
      <c r="H61" s="189">
        <v>6866551.5899999999</v>
      </c>
      <c r="I61" s="189">
        <v>10813365.119999999</v>
      </c>
      <c r="J61" s="189">
        <v>16833070.829999998</v>
      </c>
      <c r="K61" s="189">
        <v>3867616.41</v>
      </c>
      <c r="L61" s="189">
        <v>6139147.54</v>
      </c>
      <c r="M61" s="189">
        <v>10293211.25</v>
      </c>
      <c r="N61" s="189">
        <v>14591787.17</v>
      </c>
      <c r="O61" s="189">
        <v>6414616.1500000004</v>
      </c>
      <c r="P61" s="189">
        <v>7459348.5700000003</v>
      </c>
      <c r="Q61" s="189">
        <v>11619596.970000001</v>
      </c>
      <c r="R61" s="189">
        <v>16327737.82</v>
      </c>
      <c r="S61" s="189">
        <v>0</v>
      </c>
      <c r="T61" s="189">
        <v>0</v>
      </c>
      <c r="U61" s="189">
        <v>0</v>
      </c>
      <c r="V61" s="189">
        <v>0</v>
      </c>
      <c r="W61" s="189">
        <v>0</v>
      </c>
      <c r="X61" s="189">
        <v>0</v>
      </c>
      <c r="Y61" s="189">
        <v>15272.29</v>
      </c>
      <c r="Z61" s="189">
        <v>99642599.930000007</v>
      </c>
      <c r="AA61" s="189">
        <v>118065052.09999999</v>
      </c>
      <c r="AB61" s="189">
        <v>61088.95</v>
      </c>
      <c r="AC61" s="189">
        <v>76361.17</v>
      </c>
      <c r="AD61" s="189">
        <v>91633.39</v>
      </c>
      <c r="AE61" s="189">
        <v>106905.61</v>
      </c>
      <c r="AF61" s="189">
        <v>122177.83</v>
      </c>
      <c r="AG61" s="189">
        <v>137450.04999999999</v>
      </c>
      <c r="AH61" s="189">
        <v>186055.59</v>
      </c>
      <c r="AI61" s="189">
        <v>167994.49</v>
      </c>
      <c r="AJ61" s="189">
        <v>183266.71</v>
      </c>
      <c r="AK61" s="189">
        <v>198538.93</v>
      </c>
      <c r="AL61" s="189">
        <v>1256294.93</v>
      </c>
      <c r="AM61" s="189">
        <v>2314050.83</v>
      </c>
      <c r="AN61" s="189">
        <v>3371806.73</v>
      </c>
      <c r="AO61" s="189">
        <v>4429562.63</v>
      </c>
      <c r="AP61" s="189">
        <v>5487318.5300000003</v>
      </c>
      <c r="AQ61" s="189">
        <v>6545074.4299999997</v>
      </c>
      <c r="AR61" s="189">
        <v>7297385.8600000003</v>
      </c>
      <c r="AS61" s="189">
        <v>8339869.54</v>
      </c>
      <c r="AT61" s="189">
        <v>0</v>
      </c>
      <c r="AU61" s="189">
        <v>0</v>
      </c>
      <c r="AV61" s="189">
        <v>0</v>
      </c>
      <c r="AW61" s="189">
        <v>0</v>
      </c>
      <c r="AX61" s="189">
        <v>0</v>
      </c>
      <c r="AY61" s="189">
        <v>0</v>
      </c>
      <c r="AZ61" s="189">
        <v>6666.67</v>
      </c>
      <c r="BA61" s="189">
        <v>26666.67</v>
      </c>
      <c r="BB61" s="189">
        <v>46666.67</v>
      </c>
      <c r="BC61" s="189">
        <v>66666.67</v>
      </c>
      <c r="BD61" s="189">
        <v>132377.96</v>
      </c>
      <c r="BE61" s="189">
        <v>106666.67</v>
      </c>
      <c r="BF61" s="189">
        <v>387900.95</v>
      </c>
      <c r="BG61" s="189">
        <v>146666.67000000001</v>
      </c>
      <c r="BH61" s="189">
        <v>365106.25</v>
      </c>
      <c r="BI61" s="189">
        <v>186666.67</v>
      </c>
      <c r="BJ61" s="189">
        <v>0</v>
      </c>
      <c r="BK61" s="189">
        <v>0</v>
      </c>
      <c r="BL61" s="189">
        <v>0</v>
      </c>
      <c r="BM61" s="189">
        <v>0</v>
      </c>
      <c r="BN61" s="189">
        <v>0</v>
      </c>
      <c r="BO61" s="189">
        <v>0</v>
      </c>
      <c r="BP61" s="189">
        <v>0</v>
      </c>
      <c r="BQ61" s="189">
        <v>0</v>
      </c>
      <c r="BR61" s="189">
        <v>0</v>
      </c>
      <c r="BS61" s="189">
        <v>0</v>
      </c>
      <c r="BT61" s="189">
        <v>0</v>
      </c>
      <c r="BU61" s="189">
        <v>0</v>
      </c>
      <c r="BV61" s="189">
        <v>0</v>
      </c>
      <c r="BW61" s="189">
        <v>0</v>
      </c>
      <c r="BX61" s="189">
        <v>0</v>
      </c>
      <c r="BY61" s="189">
        <v>0</v>
      </c>
      <c r="BZ61" s="189">
        <v>0</v>
      </c>
      <c r="CA61" s="189">
        <v>0</v>
      </c>
      <c r="CB61" s="189">
        <v>0</v>
      </c>
      <c r="CC61" s="189">
        <v>0</v>
      </c>
      <c r="CD61" s="189">
        <v>0</v>
      </c>
      <c r="CE61" s="189"/>
      <c r="CF61" s="189"/>
      <c r="CG61" s="189"/>
      <c r="CH61" s="189"/>
      <c r="CI61" s="189"/>
      <c r="CJ61" s="189"/>
      <c r="CK61" s="189"/>
      <c r="CL61" s="189"/>
    </row>
    <row r="62" spans="1:90" s="192" customFormat="1" x14ac:dyDescent="0.25">
      <c r="A62" s="192" t="s">
        <v>44</v>
      </c>
      <c r="B62" s="189">
        <v>770666647.99000001</v>
      </c>
      <c r="C62" s="189">
        <v>771961152.05999994</v>
      </c>
      <c r="D62" s="189">
        <v>816672353.38999999</v>
      </c>
      <c r="E62" s="189">
        <v>881373579.84000003</v>
      </c>
      <c r="F62" s="189">
        <v>742769653.92999995</v>
      </c>
      <c r="G62" s="189">
        <v>693975073.40999997</v>
      </c>
      <c r="H62" s="189">
        <v>702163381.97000003</v>
      </c>
      <c r="I62" s="189">
        <v>774873740.40999997</v>
      </c>
      <c r="J62" s="189">
        <v>600360961.71000004</v>
      </c>
      <c r="K62" s="189">
        <v>558304581.62</v>
      </c>
      <c r="L62" s="189">
        <v>516924867.88999999</v>
      </c>
      <c r="M62" s="189">
        <v>561211940.52999997</v>
      </c>
      <c r="N62" s="189">
        <v>446370315.63</v>
      </c>
      <c r="O62" s="189">
        <v>409840455.85000002</v>
      </c>
      <c r="P62" s="189">
        <v>369332515.29000002</v>
      </c>
      <c r="Q62" s="189">
        <v>407317878.10000002</v>
      </c>
      <c r="R62" s="189">
        <v>283383870.60000002</v>
      </c>
      <c r="S62" s="189">
        <v>265515639.91</v>
      </c>
      <c r="T62" s="189">
        <v>257617999.03999999</v>
      </c>
      <c r="U62" s="189">
        <v>275474424.37</v>
      </c>
      <c r="V62" s="189">
        <v>274194165.63</v>
      </c>
      <c r="W62" s="189">
        <v>284300000.62</v>
      </c>
      <c r="X62" s="189">
        <v>243050768.40000001</v>
      </c>
      <c r="Y62" s="189">
        <v>245400355.56</v>
      </c>
      <c r="Z62" s="189">
        <v>192474124.56999999</v>
      </c>
      <c r="AA62" s="189">
        <v>180837345.49000001</v>
      </c>
      <c r="AB62" s="189">
        <v>166258830.34</v>
      </c>
      <c r="AC62" s="189">
        <v>174238524.65000001</v>
      </c>
      <c r="AD62" s="189">
        <v>149353073.28</v>
      </c>
      <c r="AE62" s="189">
        <v>136617694.15000001</v>
      </c>
      <c r="AF62" s="189">
        <v>127197234.78</v>
      </c>
      <c r="AG62" s="189">
        <v>133618665.83</v>
      </c>
      <c r="AH62" s="189">
        <v>116761948.73999999</v>
      </c>
      <c r="AI62" s="189">
        <v>109330214.59999999</v>
      </c>
      <c r="AJ62" s="189">
        <v>103366249.95999999</v>
      </c>
      <c r="AK62" s="189">
        <v>102989758.17</v>
      </c>
      <c r="AL62" s="189">
        <v>82247314.739999995</v>
      </c>
      <c r="AM62" s="189">
        <v>82247314.739999995</v>
      </c>
      <c r="AN62" s="189">
        <v>75827777.659999996</v>
      </c>
      <c r="AO62" s="189">
        <v>88125889.859999999</v>
      </c>
      <c r="AP62" s="189">
        <v>113559684.06999999</v>
      </c>
      <c r="AQ62" s="189">
        <v>82046557.930000007</v>
      </c>
      <c r="AR62" s="189">
        <v>78565942.659999996</v>
      </c>
      <c r="AS62" s="189">
        <v>89698838.730000004</v>
      </c>
      <c r="AT62" s="189">
        <v>92569396.849999994</v>
      </c>
      <c r="AU62" s="189">
        <v>100437992.8</v>
      </c>
      <c r="AV62" s="189">
        <v>85485125.099999994</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v>0</v>
      </c>
      <c r="BY62" s="189">
        <v>0</v>
      </c>
      <c r="BZ62" s="189">
        <v>0</v>
      </c>
      <c r="CA62" s="189">
        <v>0</v>
      </c>
      <c r="CB62" s="189">
        <v>0</v>
      </c>
      <c r="CC62" s="189">
        <v>0</v>
      </c>
      <c r="CD62" s="189">
        <v>0</v>
      </c>
      <c r="CE62" s="189"/>
      <c r="CF62" s="189"/>
      <c r="CG62" s="189"/>
      <c r="CH62" s="189"/>
      <c r="CI62" s="189"/>
      <c r="CJ62" s="189"/>
      <c r="CK62" s="189"/>
      <c r="CL62" s="189"/>
    </row>
    <row r="63" spans="1:90" s="192" customFormat="1" x14ac:dyDescent="0.25">
      <c r="A63" s="192" t="s">
        <v>45</v>
      </c>
      <c r="B63" s="189">
        <v>5031045.43</v>
      </c>
      <c r="C63" s="189">
        <v>10561494.130000001</v>
      </c>
      <c r="D63" s="189">
        <v>23734630.390000001</v>
      </c>
      <c r="E63" s="189">
        <v>18890294.579999998</v>
      </c>
      <c r="F63" s="189">
        <v>12385858.949999999</v>
      </c>
      <c r="G63" s="189">
        <v>4825489.2300000004</v>
      </c>
      <c r="H63" s="189">
        <v>1493126.37</v>
      </c>
      <c r="I63" s="189">
        <v>1073881.8899999999</v>
      </c>
      <c r="J63" s="189">
        <v>0</v>
      </c>
      <c r="K63" s="189">
        <v>0</v>
      </c>
      <c r="L63" s="189">
        <v>0</v>
      </c>
      <c r="M63" s="189">
        <v>0</v>
      </c>
      <c r="N63" s="189">
        <v>3705930.69</v>
      </c>
      <c r="O63" s="189">
        <v>1937516.08</v>
      </c>
      <c r="P63" s="189">
        <v>3709373.26</v>
      </c>
      <c r="Q63" s="189">
        <v>3123991.61</v>
      </c>
      <c r="R63" s="189">
        <v>1193794.5900000001</v>
      </c>
      <c r="S63" s="189">
        <v>528738.98</v>
      </c>
      <c r="T63" s="189">
        <v>178212.42</v>
      </c>
      <c r="U63" s="189">
        <v>832363.56</v>
      </c>
      <c r="V63" s="189">
        <v>413186.01</v>
      </c>
      <c r="W63" s="189">
        <v>262672.59999999998</v>
      </c>
      <c r="X63" s="189">
        <v>0</v>
      </c>
      <c r="Y63" s="189">
        <v>0</v>
      </c>
      <c r="Z63" s="189">
        <v>0</v>
      </c>
      <c r="AA63" s="189">
        <v>0</v>
      </c>
      <c r="AB63" s="189">
        <v>1160243.29</v>
      </c>
      <c r="AC63" s="189">
        <v>0</v>
      </c>
      <c r="AD63" s="189">
        <v>0</v>
      </c>
      <c r="AE63" s="189">
        <v>16981764.539999999</v>
      </c>
      <c r="AF63" s="189">
        <v>19688664.539999999</v>
      </c>
      <c r="AG63" s="189">
        <v>28101714.539999999</v>
      </c>
      <c r="AH63" s="189">
        <v>24207264.539999999</v>
      </c>
      <c r="AI63" s="189">
        <v>18488214.539999999</v>
      </c>
      <c r="AJ63" s="189">
        <v>25327255.98</v>
      </c>
      <c r="AK63" s="189">
        <v>33319597.969999999</v>
      </c>
      <c r="AL63" s="189">
        <v>24926814.539999999</v>
      </c>
      <c r="AM63" s="189">
        <v>23481553.780000001</v>
      </c>
      <c r="AN63" s="189">
        <v>8636317.1899999995</v>
      </c>
      <c r="AO63" s="189">
        <v>3087.53</v>
      </c>
      <c r="AP63" s="189">
        <v>4917370.9800000004</v>
      </c>
      <c r="AQ63" s="189">
        <v>33327052.390000001</v>
      </c>
      <c r="AR63" s="189">
        <v>87609415.170000002</v>
      </c>
      <c r="AS63" s="189">
        <v>390910252.42000002</v>
      </c>
      <c r="AT63" s="189">
        <v>361265892.72000003</v>
      </c>
      <c r="AU63" s="189">
        <v>108962995.38</v>
      </c>
      <c r="AV63" s="189">
        <v>37588606.850000001</v>
      </c>
      <c r="AW63" s="189">
        <v>0</v>
      </c>
      <c r="AX63" s="189">
        <v>0</v>
      </c>
      <c r="AY63" s="189">
        <v>0</v>
      </c>
      <c r="AZ63" s="189">
        <v>0</v>
      </c>
      <c r="BA63" s="189">
        <v>0</v>
      </c>
      <c r="BB63" s="189">
        <v>46794</v>
      </c>
      <c r="BC63" s="189">
        <v>0</v>
      </c>
      <c r="BD63" s="189">
        <v>0</v>
      </c>
      <c r="BE63" s="189">
        <v>0</v>
      </c>
      <c r="BF63" s="189">
        <v>72864</v>
      </c>
      <c r="BG63" s="189">
        <v>0</v>
      </c>
      <c r="BH63" s="189">
        <v>72864</v>
      </c>
      <c r="BI63" s="189">
        <v>0</v>
      </c>
      <c r="BJ63" s="189">
        <v>8047451.6100000003</v>
      </c>
      <c r="BK63" s="189">
        <v>4087451.61</v>
      </c>
      <c r="BL63" s="189">
        <v>127451.61</v>
      </c>
      <c r="BM63" s="189">
        <v>81119.61</v>
      </c>
      <c r="BN63" s="189">
        <v>81119.61</v>
      </c>
      <c r="BO63" s="189">
        <v>81119.61</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c r="CF63" s="189"/>
      <c r="CG63" s="189"/>
      <c r="CH63" s="189"/>
      <c r="CI63" s="189"/>
      <c r="CJ63" s="189"/>
      <c r="CK63" s="189"/>
      <c r="CL63" s="189"/>
    </row>
    <row r="64" spans="1:90" s="192" customFormat="1" x14ac:dyDescent="0.25">
      <c r="A64" s="192" t="s">
        <v>46</v>
      </c>
      <c r="B64" s="189">
        <v>67673677.930000007</v>
      </c>
      <c r="C64" s="189">
        <v>52065530.840000004</v>
      </c>
      <c r="D64" s="189">
        <v>64026628.759999998</v>
      </c>
      <c r="E64" s="189">
        <v>137403898.44999999</v>
      </c>
      <c r="F64" s="189">
        <v>42892914.469999999</v>
      </c>
      <c r="G64" s="189">
        <v>40070528.600000001</v>
      </c>
      <c r="H64" s="189">
        <v>62600602.950000003</v>
      </c>
      <c r="I64" s="189">
        <v>40296759.380000003</v>
      </c>
      <c r="J64" s="189">
        <v>65040704.57</v>
      </c>
      <c r="K64" s="189">
        <v>81825979.409999996</v>
      </c>
      <c r="L64" s="189">
        <v>73836418.340000004</v>
      </c>
      <c r="M64" s="189">
        <v>85187287.260000005</v>
      </c>
      <c r="N64" s="189">
        <v>167406302.66</v>
      </c>
      <c r="O64" s="189">
        <v>171968496.52000001</v>
      </c>
      <c r="P64" s="189">
        <v>275345651.13999999</v>
      </c>
      <c r="Q64" s="189">
        <v>505815865.48000002</v>
      </c>
      <c r="R64" s="189">
        <v>27535189.210000001</v>
      </c>
      <c r="S64" s="189">
        <v>7463141.1600000001</v>
      </c>
      <c r="T64" s="189">
        <v>8636810.2200000007</v>
      </c>
      <c r="U64" s="189">
        <v>9800000</v>
      </c>
      <c r="V64" s="189">
        <v>0</v>
      </c>
      <c r="W64" s="189">
        <v>0</v>
      </c>
      <c r="X64" s="189">
        <v>0</v>
      </c>
      <c r="Y64" s="189">
        <v>0</v>
      </c>
      <c r="Z64" s="189">
        <v>0</v>
      </c>
      <c r="AA64" s="189">
        <v>0</v>
      </c>
      <c r="AB64" s="189">
        <v>0</v>
      </c>
      <c r="AC64" s="189">
        <v>0</v>
      </c>
      <c r="AD64" s="189">
        <v>0</v>
      </c>
      <c r="AE64" s="189">
        <v>46174262.869999997</v>
      </c>
      <c r="AF64" s="189">
        <v>46174262.869999997</v>
      </c>
      <c r="AG64" s="189">
        <v>46174262.869999997</v>
      </c>
      <c r="AH64" s="189">
        <v>57217928.490000002</v>
      </c>
      <c r="AI64" s="189">
        <v>57217928.490000002</v>
      </c>
      <c r="AJ64" s="189">
        <v>57217928.490000002</v>
      </c>
      <c r="AK64" s="189">
        <v>57217928.490000002</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0</v>
      </c>
      <c r="BT64" s="189">
        <v>0</v>
      </c>
      <c r="BU64" s="189">
        <v>0</v>
      </c>
      <c r="BV64" s="189">
        <v>0</v>
      </c>
      <c r="BW64" s="189">
        <v>0</v>
      </c>
      <c r="BX64" s="189">
        <v>0</v>
      </c>
      <c r="BY64" s="189">
        <v>0</v>
      </c>
      <c r="BZ64" s="189">
        <v>0</v>
      </c>
      <c r="CA64" s="189">
        <v>0</v>
      </c>
      <c r="CB64" s="189">
        <v>0</v>
      </c>
      <c r="CC64" s="189">
        <v>0</v>
      </c>
      <c r="CD64" s="189">
        <v>0</v>
      </c>
      <c r="CE64" s="189"/>
      <c r="CF64" s="189"/>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6728378372.0299997</v>
      </c>
      <c r="C68" s="36">
        <f t="shared" ref="C68:BN68" si="8">SUM(C52:C64)-2*C63</f>
        <v>6604279004.8899984</v>
      </c>
      <c r="D68" s="36">
        <f t="shared" si="8"/>
        <v>6634343754.1200018</v>
      </c>
      <c r="E68" s="36">
        <f t="shared" si="8"/>
        <v>6720811462</v>
      </c>
      <c r="F68" s="36">
        <f t="shared" si="8"/>
        <v>6558607723.4200001</v>
      </c>
      <c r="G68" s="36">
        <f t="shared" si="8"/>
        <v>6556236020.5600004</v>
      </c>
      <c r="H68" s="36">
        <f t="shared" si="8"/>
        <v>6689807741.6199999</v>
      </c>
      <c r="I68" s="36">
        <f t="shared" si="8"/>
        <v>6911453634.4500017</v>
      </c>
      <c r="J68" s="36">
        <f t="shared" si="8"/>
        <v>6813657957.0699987</v>
      </c>
      <c r="K68" s="36">
        <f t="shared" si="8"/>
        <v>6677653880.8200006</v>
      </c>
      <c r="L68" s="36">
        <f t="shared" si="8"/>
        <v>6680017453.3600006</v>
      </c>
      <c r="M68" s="36">
        <f t="shared" si="8"/>
        <v>6777366841.5199995</v>
      </c>
      <c r="N68" s="36">
        <f t="shared" si="8"/>
        <v>6652793534.2099991</v>
      </c>
      <c r="O68" s="36">
        <f t="shared" si="8"/>
        <v>6759424947.4700003</v>
      </c>
      <c r="P68" s="36">
        <f t="shared" si="8"/>
        <v>6733861788.9399996</v>
      </c>
      <c r="Q68" s="36">
        <f t="shared" si="8"/>
        <v>6447839010.9300013</v>
      </c>
      <c r="R68" s="36">
        <f t="shared" si="8"/>
        <v>4341538516.4000006</v>
      </c>
      <c r="S68" s="36">
        <f t="shared" si="8"/>
        <v>4268682714.1700001</v>
      </c>
      <c r="T68" s="36">
        <f t="shared" si="8"/>
        <v>4307107455.9800005</v>
      </c>
      <c r="U68" s="36">
        <f t="shared" si="8"/>
        <v>4301345280.6099997</v>
      </c>
      <c r="V68" s="36">
        <f t="shared" si="8"/>
        <v>4173817663.7800007</v>
      </c>
      <c r="W68" s="36">
        <f t="shared" si="8"/>
        <v>4169209624.8000002</v>
      </c>
      <c r="X68" s="36">
        <f t="shared" si="8"/>
        <v>4172951962.2700005</v>
      </c>
      <c r="Y68" s="36">
        <f t="shared" si="8"/>
        <v>4120304263.0300002</v>
      </c>
      <c r="Z68" s="36">
        <f t="shared" si="8"/>
        <v>3323246123.6800003</v>
      </c>
      <c r="AA68" s="36">
        <f t="shared" si="8"/>
        <v>2842313928.7200003</v>
      </c>
      <c r="AB68" s="36">
        <f t="shared" si="8"/>
        <v>2181887407.6500001</v>
      </c>
      <c r="AC68" s="36">
        <f t="shared" si="8"/>
        <v>1978995233.7400002</v>
      </c>
      <c r="AD68" s="36">
        <f t="shared" si="8"/>
        <v>1964894099.0500002</v>
      </c>
      <c r="AE68" s="36">
        <f t="shared" si="8"/>
        <v>1875578856.1899998</v>
      </c>
      <c r="AF68" s="36">
        <f t="shared" si="8"/>
        <v>1498731446.3699996</v>
      </c>
      <c r="AG68" s="36">
        <f t="shared" si="8"/>
        <v>1518737261.3299999</v>
      </c>
      <c r="AH68" s="36">
        <f t="shared" si="8"/>
        <v>1495781155.3699999</v>
      </c>
      <c r="AI68" s="36">
        <f t="shared" si="8"/>
        <v>1464203744.4100001</v>
      </c>
      <c r="AJ68" s="36">
        <f t="shared" si="8"/>
        <v>1415257910.5700002</v>
      </c>
      <c r="AK68" s="36">
        <f t="shared" si="8"/>
        <v>1426750241.3500001</v>
      </c>
      <c r="AL68" s="36">
        <f t="shared" si="8"/>
        <v>1405391034.5700002</v>
      </c>
      <c r="AM68" s="36">
        <f t="shared" si="8"/>
        <v>1417031418.1799998</v>
      </c>
      <c r="AN68" s="36">
        <f t="shared" si="8"/>
        <v>1360654539.3800001</v>
      </c>
      <c r="AO68" s="36">
        <f t="shared" si="8"/>
        <v>1351310032.7200003</v>
      </c>
      <c r="AP68" s="36">
        <f t="shared" si="8"/>
        <v>1260641918.9699998</v>
      </c>
      <c r="AQ68" s="36">
        <f t="shared" si="8"/>
        <v>1083769743.3400002</v>
      </c>
      <c r="AR68" s="36">
        <f t="shared" si="8"/>
        <v>995201949.13999999</v>
      </c>
      <c r="AS68" s="36">
        <f t="shared" si="8"/>
        <v>528260758.65999997</v>
      </c>
      <c r="AT68" s="36">
        <f t="shared" si="8"/>
        <v>516405002.84000015</v>
      </c>
      <c r="AU68" s="36">
        <f t="shared" si="8"/>
        <v>723560950.62999988</v>
      </c>
      <c r="AV68" s="36">
        <f t="shared" si="8"/>
        <v>774319647.22000003</v>
      </c>
      <c r="AW68" s="36">
        <f t="shared" si="8"/>
        <v>747845902.36000001</v>
      </c>
      <c r="AX68" s="36">
        <f t="shared" si="8"/>
        <v>655444854.45000005</v>
      </c>
      <c r="AY68" s="36">
        <f t="shared" si="8"/>
        <v>595829629.88999999</v>
      </c>
      <c r="AZ68" s="36">
        <f t="shared" si="8"/>
        <v>609078755.25999987</v>
      </c>
      <c r="BA68" s="36">
        <f t="shared" si="8"/>
        <v>628585465.84000003</v>
      </c>
      <c r="BB68" s="36">
        <f t="shared" si="8"/>
        <v>626038970.37</v>
      </c>
      <c r="BC68" s="36">
        <f t="shared" si="8"/>
        <v>623710050.40999997</v>
      </c>
      <c r="BD68" s="36">
        <f t="shared" si="8"/>
        <v>635803813.54000008</v>
      </c>
      <c r="BE68" s="36">
        <f t="shared" si="8"/>
        <v>650153864.68999994</v>
      </c>
      <c r="BF68" s="36">
        <f t="shared" si="8"/>
        <v>868647527.31000006</v>
      </c>
      <c r="BG68" s="36">
        <f t="shared" si="8"/>
        <v>632533226.27999997</v>
      </c>
      <c r="BH68" s="36">
        <f t="shared" si="8"/>
        <v>628981858.16999996</v>
      </c>
      <c r="BI68" s="36">
        <f t="shared" si="8"/>
        <v>619302130.28999996</v>
      </c>
      <c r="BJ68" s="36">
        <f t="shared" si="8"/>
        <v>543060703.53999996</v>
      </c>
      <c r="BK68" s="36">
        <f t="shared" si="8"/>
        <v>499394551.59999996</v>
      </c>
      <c r="BL68" s="36">
        <f t="shared" si="8"/>
        <v>475395153.64999992</v>
      </c>
      <c r="BM68" s="36">
        <f t="shared" si="8"/>
        <v>470438423.14999998</v>
      </c>
      <c r="BN68" s="36">
        <f t="shared" si="8"/>
        <v>481533728.50999999</v>
      </c>
      <c r="BO68" s="36">
        <f t="shared" ref="BO68:CK68" si="9">SUM(BO52:BO64)-2*BO63</f>
        <v>442029232.01999998</v>
      </c>
      <c r="BP68" s="36">
        <f t="shared" si="9"/>
        <v>453054515.08999997</v>
      </c>
      <c r="BQ68" s="36">
        <f t="shared" si="9"/>
        <v>455098667.62</v>
      </c>
      <c r="BR68" s="36">
        <f t="shared" si="9"/>
        <v>464708804.57999998</v>
      </c>
      <c r="BS68" s="36">
        <f t="shared" si="9"/>
        <v>459156344.05000001</v>
      </c>
      <c r="BT68" s="36">
        <f t="shared" si="9"/>
        <v>495915448.21000004</v>
      </c>
      <c r="BU68" s="36">
        <f t="shared" si="9"/>
        <v>489281671.29000002</v>
      </c>
      <c r="BV68" s="36">
        <f t="shared" si="9"/>
        <v>489686762.01999998</v>
      </c>
      <c r="BW68" s="36">
        <f t="shared" si="9"/>
        <v>462658418.16999996</v>
      </c>
      <c r="BX68" s="36">
        <f t="shared" si="9"/>
        <v>377886285.86000007</v>
      </c>
      <c r="BY68" s="36">
        <f t="shared" si="9"/>
        <v>274935465.43000001</v>
      </c>
      <c r="BZ68" s="36">
        <f t="shared" si="9"/>
        <v>159818435.05000001</v>
      </c>
      <c r="CA68" s="36">
        <f t="shared" si="9"/>
        <v>91699628</v>
      </c>
      <c r="CB68" s="36">
        <f t="shared" si="9"/>
        <v>52338806</v>
      </c>
      <c r="CC68" s="36">
        <f t="shared" si="9"/>
        <v>44837795</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29723861377.510002</v>
      </c>
      <c r="C69" s="33">
        <f t="shared" ref="C69:BN69" si="10">C50+C68</f>
        <v>13679077721.379997</v>
      </c>
      <c r="D69" s="33">
        <f t="shared" si="10"/>
        <v>14512544002.920002</v>
      </c>
      <c r="E69" s="33">
        <f t="shared" si="10"/>
        <v>13353023151.519997</v>
      </c>
      <c r="F69" s="33">
        <f t="shared" si="10"/>
        <v>12308352054.460005</v>
      </c>
      <c r="G69" s="33">
        <f t="shared" si="10"/>
        <v>11642609055.280003</v>
      </c>
      <c r="H69" s="33">
        <f t="shared" si="10"/>
        <v>9642177232.4199982</v>
      </c>
      <c r="I69" s="33">
        <f t="shared" si="10"/>
        <v>7608706045.5700045</v>
      </c>
      <c r="J69" s="33">
        <f t="shared" si="10"/>
        <v>8574181301.4199991</v>
      </c>
      <c r="K69" s="33">
        <f t="shared" si="10"/>
        <v>7565197261.3299952</v>
      </c>
      <c r="L69" s="33">
        <f t="shared" si="10"/>
        <v>7674072710.75</v>
      </c>
      <c r="M69" s="33">
        <f t="shared" si="10"/>
        <v>5055244572.04</v>
      </c>
      <c r="N69" s="33">
        <f t="shared" si="10"/>
        <v>4615109524.7399998</v>
      </c>
      <c r="O69" s="33">
        <f t="shared" si="10"/>
        <v>4592448317.8700018</v>
      </c>
      <c r="P69" s="33">
        <f t="shared" si="10"/>
        <v>6355379194.829999</v>
      </c>
      <c r="Q69" s="33">
        <f t="shared" si="10"/>
        <v>5009012876.2200041</v>
      </c>
      <c r="R69" s="33">
        <f t="shared" si="10"/>
        <v>4609653194.54</v>
      </c>
      <c r="S69" s="33">
        <f t="shared" si="10"/>
        <v>4481261425.1500015</v>
      </c>
      <c r="T69" s="33">
        <f t="shared" si="10"/>
        <v>5604346436.25</v>
      </c>
      <c r="U69" s="33">
        <f t="shared" si="10"/>
        <v>5042593530.2299995</v>
      </c>
      <c r="V69" s="33">
        <f t="shared" si="10"/>
        <v>3602353312.8900013</v>
      </c>
      <c r="W69" s="33">
        <f t="shared" si="10"/>
        <v>4307555554.2299995</v>
      </c>
      <c r="X69" s="33">
        <f t="shared" si="10"/>
        <v>5226570103.54</v>
      </c>
      <c r="Y69" s="33">
        <f t="shared" si="10"/>
        <v>4982144938.210001</v>
      </c>
      <c r="Z69" s="33">
        <f t="shared" si="10"/>
        <v>2704237959.1099997</v>
      </c>
      <c r="AA69" s="33">
        <f t="shared" si="10"/>
        <v>1985384835.920002</v>
      </c>
      <c r="AB69" s="33">
        <f t="shared" si="10"/>
        <v>1765943349.4899993</v>
      </c>
      <c r="AC69" s="33">
        <f t="shared" si="10"/>
        <v>2124209821.9300008</v>
      </c>
      <c r="AD69" s="33">
        <f t="shared" si="10"/>
        <v>1805422827.8900003</v>
      </c>
      <c r="AE69" s="33">
        <f t="shared" si="10"/>
        <v>1845665996.5200002</v>
      </c>
      <c r="AF69" s="33">
        <f t="shared" si="10"/>
        <v>1421222770.8299997</v>
      </c>
      <c r="AG69" s="33">
        <f t="shared" si="10"/>
        <v>1215190245.2399993</v>
      </c>
      <c r="AH69" s="33">
        <f t="shared" si="10"/>
        <v>-179111620.05000114</v>
      </c>
      <c r="AI69" s="33">
        <f t="shared" si="10"/>
        <v>732949818.57000041</v>
      </c>
      <c r="AJ69" s="33">
        <f t="shared" si="10"/>
        <v>568140825.44000053</v>
      </c>
      <c r="AK69" s="33">
        <f t="shared" si="10"/>
        <v>728236547.70000005</v>
      </c>
      <c r="AL69" s="33">
        <f t="shared" si="10"/>
        <v>-329271491.46999955</v>
      </c>
      <c r="AM69" s="33">
        <f t="shared" si="10"/>
        <v>68127383.349999428</v>
      </c>
      <c r="AN69" s="33">
        <f t="shared" si="10"/>
        <v>294300051.78999996</v>
      </c>
      <c r="AO69" s="33">
        <f t="shared" si="10"/>
        <v>-17718810.120000362</v>
      </c>
      <c r="AP69" s="33">
        <f t="shared" si="10"/>
        <v>23928011.319999695</v>
      </c>
      <c r="AQ69" s="33">
        <f t="shared" si="10"/>
        <v>-96757468.759999752</v>
      </c>
      <c r="AR69" s="33">
        <f t="shared" si="10"/>
        <v>-132380333.20000017</v>
      </c>
      <c r="AS69" s="33">
        <f t="shared" si="10"/>
        <v>-169237408.53000009</v>
      </c>
      <c r="AT69" s="33">
        <f t="shared" si="10"/>
        <v>-245741854.06999969</v>
      </c>
      <c r="AU69" s="33">
        <f t="shared" si="10"/>
        <v>55785941.379999876</v>
      </c>
      <c r="AV69" s="33">
        <f t="shared" si="10"/>
        <v>-11267329.199999809</v>
      </c>
      <c r="AW69" s="33">
        <f t="shared" si="10"/>
        <v>-62039236.009999871</v>
      </c>
      <c r="AX69" s="33">
        <f t="shared" si="10"/>
        <v>161257082.29999971</v>
      </c>
      <c r="AY69" s="33">
        <f t="shared" si="10"/>
        <v>166792914.58000004</v>
      </c>
      <c r="AZ69" s="33">
        <f t="shared" si="10"/>
        <v>378070982.70999992</v>
      </c>
      <c r="BA69" s="33">
        <f t="shared" si="10"/>
        <v>436727536.39000022</v>
      </c>
      <c r="BB69" s="33">
        <f t="shared" si="10"/>
        <v>463011229.74000013</v>
      </c>
      <c r="BC69" s="33">
        <f t="shared" si="10"/>
        <v>634692433.95000005</v>
      </c>
      <c r="BD69" s="33">
        <f t="shared" si="10"/>
        <v>776390190.43000031</v>
      </c>
      <c r="BE69" s="33">
        <f t="shared" si="10"/>
        <v>704619511.68999994</v>
      </c>
      <c r="BF69" s="33">
        <f t="shared" si="10"/>
        <v>808699288.33000004</v>
      </c>
      <c r="BG69" s="33">
        <f t="shared" si="10"/>
        <v>913611034.9799999</v>
      </c>
      <c r="BH69" s="33">
        <f t="shared" si="10"/>
        <v>860020327.29999971</v>
      </c>
      <c r="BI69" s="33">
        <f t="shared" si="10"/>
        <v>757934741.00999987</v>
      </c>
      <c r="BJ69" s="33">
        <f t="shared" si="10"/>
        <v>733223056.80999994</v>
      </c>
      <c r="BK69" s="33">
        <f t="shared" si="10"/>
        <v>698861726.88000011</v>
      </c>
      <c r="BL69" s="33">
        <f t="shared" si="10"/>
        <v>621800455.81999993</v>
      </c>
      <c r="BM69" s="33">
        <f t="shared" si="10"/>
        <v>560202309.44000006</v>
      </c>
      <c r="BN69" s="33">
        <f t="shared" si="10"/>
        <v>554644533.56999993</v>
      </c>
      <c r="BO69" s="33">
        <f t="shared" ref="BO69:CL69" si="11">BO50+BO68</f>
        <v>585746294.30999982</v>
      </c>
      <c r="BP69" s="33">
        <f t="shared" si="11"/>
        <v>648646516.27999997</v>
      </c>
      <c r="BQ69" s="33">
        <f t="shared" si="11"/>
        <v>593372659.45000005</v>
      </c>
      <c r="BR69" s="33">
        <f t="shared" si="11"/>
        <v>546854725.6500001</v>
      </c>
      <c r="BS69" s="33">
        <f t="shared" si="11"/>
        <v>547122895.86000001</v>
      </c>
      <c r="BT69" s="33">
        <f t="shared" si="11"/>
        <v>666093090.50999999</v>
      </c>
      <c r="BU69" s="33">
        <f t="shared" si="11"/>
        <v>632752816</v>
      </c>
      <c r="BV69" s="33">
        <f t="shared" si="11"/>
        <v>584555438.73000002</v>
      </c>
      <c r="BW69" s="33">
        <f t="shared" si="11"/>
        <v>561728016.43999994</v>
      </c>
      <c r="BX69" s="33">
        <f t="shared" si="11"/>
        <v>483515534.34000009</v>
      </c>
      <c r="BY69" s="33">
        <f t="shared" si="11"/>
        <v>345960100.43000001</v>
      </c>
      <c r="BZ69" s="33">
        <f t="shared" si="11"/>
        <v>159818435.05000001</v>
      </c>
      <c r="CA69" s="33">
        <f t="shared" si="11"/>
        <v>127386160</v>
      </c>
      <c r="CB69" s="33">
        <f t="shared" si="11"/>
        <v>77587807</v>
      </c>
      <c r="CC69" s="33">
        <f t="shared" si="11"/>
        <v>57919885</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33949905824.280003</v>
      </c>
      <c r="C70" s="37">
        <f t="shared" ref="C70:BN70" si="12">C17+C19+C69</f>
        <v>20180702982.639999</v>
      </c>
      <c r="D70" s="37">
        <f t="shared" si="12"/>
        <v>20192067332.880001</v>
      </c>
      <c r="E70" s="37">
        <f t="shared" si="12"/>
        <v>17994514915.529995</v>
      </c>
      <c r="F70" s="37">
        <f t="shared" si="12"/>
        <v>16939741971.700005</v>
      </c>
      <c r="G70" s="37">
        <f t="shared" si="12"/>
        <v>16923176671.170002</v>
      </c>
      <c r="H70" s="37">
        <f t="shared" si="12"/>
        <v>15171259069.099998</v>
      </c>
      <c r="I70" s="37">
        <f t="shared" si="12"/>
        <v>14913773349.100004</v>
      </c>
      <c r="J70" s="37">
        <f t="shared" si="12"/>
        <v>12567222866.5</v>
      </c>
      <c r="K70" s="37">
        <f t="shared" si="12"/>
        <v>11432516512.739994</v>
      </c>
      <c r="L70" s="37">
        <f t="shared" si="12"/>
        <v>13835981162.129999</v>
      </c>
      <c r="M70" s="37">
        <f t="shared" si="12"/>
        <v>13441840491.709999</v>
      </c>
      <c r="N70" s="37">
        <f t="shared" si="12"/>
        <v>11593769769.26</v>
      </c>
      <c r="O70" s="37">
        <f t="shared" si="12"/>
        <v>10628440626.480003</v>
      </c>
      <c r="P70" s="37">
        <f t="shared" si="12"/>
        <v>11558717334.549999</v>
      </c>
      <c r="Q70" s="37">
        <f t="shared" si="12"/>
        <v>11198117884.400003</v>
      </c>
      <c r="R70" s="37">
        <f t="shared" si="12"/>
        <v>9649847928.1399994</v>
      </c>
      <c r="S70" s="37">
        <f t="shared" si="12"/>
        <v>9285295396.5100021</v>
      </c>
      <c r="T70" s="37">
        <f t="shared" si="12"/>
        <v>9651100482.4399986</v>
      </c>
      <c r="U70" s="37">
        <f t="shared" si="12"/>
        <v>9398007672.6700001</v>
      </c>
      <c r="V70" s="37">
        <f t="shared" si="12"/>
        <v>8579024538.8100004</v>
      </c>
      <c r="W70" s="37">
        <f t="shared" si="12"/>
        <v>8554326125.3400002</v>
      </c>
      <c r="X70" s="37">
        <f t="shared" si="12"/>
        <v>8393343081.7799997</v>
      </c>
      <c r="Y70" s="37">
        <f t="shared" si="12"/>
        <v>8179066949.0500011</v>
      </c>
      <c r="Z70" s="37">
        <f t="shared" si="12"/>
        <v>7451955014.6300001</v>
      </c>
      <c r="AA70" s="37">
        <f t="shared" si="12"/>
        <v>6674654810.5200024</v>
      </c>
      <c r="AB70" s="37">
        <f t="shared" si="12"/>
        <v>6317384655.0100002</v>
      </c>
      <c r="AC70" s="37">
        <f t="shared" si="12"/>
        <v>3697595564.9000006</v>
      </c>
      <c r="AD70" s="37">
        <f t="shared" si="12"/>
        <v>3185711014.5000005</v>
      </c>
      <c r="AE70" s="37">
        <f t="shared" si="12"/>
        <v>3014767146.4700003</v>
      </c>
      <c r="AF70" s="37">
        <f t="shared" si="12"/>
        <v>2887495739.7399998</v>
      </c>
      <c r="AG70" s="37">
        <f t="shared" si="12"/>
        <v>2755395106.3399992</v>
      </c>
      <c r="AH70" s="37">
        <f t="shared" si="12"/>
        <v>2416268911.249999</v>
      </c>
      <c r="AI70" s="37">
        <f t="shared" si="12"/>
        <v>2168768068.8700004</v>
      </c>
      <c r="AJ70" s="37">
        <f t="shared" si="12"/>
        <v>2498870743.4800005</v>
      </c>
      <c r="AK70" s="37">
        <f t="shared" si="12"/>
        <v>2405806364.4899998</v>
      </c>
      <c r="AL70" s="37">
        <f t="shared" si="12"/>
        <v>2357394140.8400002</v>
      </c>
      <c r="AM70" s="37">
        <f t="shared" si="12"/>
        <v>2193169185.5399995</v>
      </c>
      <c r="AN70" s="37">
        <f t="shared" si="12"/>
        <v>2188292535.0900002</v>
      </c>
      <c r="AO70" s="37">
        <f t="shared" si="12"/>
        <v>1830651923.3399994</v>
      </c>
      <c r="AP70" s="37">
        <f t="shared" si="12"/>
        <v>1739927471.3099995</v>
      </c>
      <c r="AQ70" s="37">
        <f t="shared" si="12"/>
        <v>1811475331.9600003</v>
      </c>
      <c r="AR70" s="37">
        <f t="shared" si="12"/>
        <v>3049054758.8699999</v>
      </c>
      <c r="AS70" s="37">
        <f t="shared" si="12"/>
        <v>3795137483.3099995</v>
      </c>
      <c r="AT70" s="37">
        <f t="shared" si="12"/>
        <v>3345201421.4300003</v>
      </c>
      <c r="AU70" s="37">
        <f t="shared" si="12"/>
        <v>2037510666.8599999</v>
      </c>
      <c r="AV70" s="37">
        <f t="shared" si="12"/>
        <v>1827653321.0400002</v>
      </c>
      <c r="AW70" s="37">
        <f t="shared" si="12"/>
        <v>1369221225.9200001</v>
      </c>
      <c r="AX70" s="37">
        <f t="shared" si="12"/>
        <v>1241170819.6399996</v>
      </c>
      <c r="AY70" s="37">
        <f t="shared" si="12"/>
        <v>1183468200.3299999</v>
      </c>
      <c r="AZ70" s="37">
        <f t="shared" si="12"/>
        <v>1406166204.9299998</v>
      </c>
      <c r="BA70" s="37">
        <f t="shared" si="12"/>
        <v>1374384860.6600003</v>
      </c>
      <c r="BB70" s="37">
        <f t="shared" si="12"/>
        <v>1326622436.5400002</v>
      </c>
      <c r="BC70" s="37">
        <f t="shared" si="12"/>
        <v>1259286368.4400001</v>
      </c>
      <c r="BD70" s="37">
        <f t="shared" si="12"/>
        <v>1320588902.0400004</v>
      </c>
      <c r="BE70" s="37">
        <f t="shared" si="12"/>
        <v>1342533874.8999999</v>
      </c>
      <c r="BF70" s="37">
        <f t="shared" si="12"/>
        <v>1346141328.1100001</v>
      </c>
      <c r="BG70" s="37">
        <f t="shared" si="12"/>
        <v>1235140841.3599999</v>
      </c>
      <c r="BH70" s="37">
        <f t="shared" si="12"/>
        <v>1259469693.7499998</v>
      </c>
      <c r="BI70" s="37">
        <f t="shared" si="12"/>
        <v>1304428344.27</v>
      </c>
      <c r="BJ70" s="37">
        <f t="shared" si="12"/>
        <v>1165511828.0999999</v>
      </c>
      <c r="BK70" s="37">
        <f t="shared" si="12"/>
        <v>1082291568.5</v>
      </c>
      <c r="BL70" s="37">
        <f t="shared" si="12"/>
        <v>1070520116.6399999</v>
      </c>
      <c r="BM70" s="37">
        <f t="shared" si="12"/>
        <v>985941828.72000003</v>
      </c>
      <c r="BN70" s="37">
        <f t="shared" si="12"/>
        <v>1091218987.48</v>
      </c>
      <c r="BO70" s="37">
        <f t="shared" ref="BO70:CL70" si="13">BO17+BO19+BO69</f>
        <v>1015231406.8599999</v>
      </c>
      <c r="BP70" s="37">
        <f t="shared" si="13"/>
        <v>1063859043.05</v>
      </c>
      <c r="BQ70" s="37">
        <f t="shared" si="13"/>
        <v>1042850853.9200001</v>
      </c>
      <c r="BR70" s="37">
        <f t="shared" si="13"/>
        <v>1064160126.0500001</v>
      </c>
      <c r="BS70" s="37">
        <f t="shared" si="13"/>
        <v>1023359802.5</v>
      </c>
      <c r="BT70" s="37">
        <f t="shared" si="13"/>
        <v>757022751.67999995</v>
      </c>
      <c r="BU70" s="37">
        <f t="shared" si="13"/>
        <v>701323650.79999995</v>
      </c>
      <c r="BV70" s="37">
        <f t="shared" si="13"/>
        <v>758609150.75999999</v>
      </c>
      <c r="BW70" s="37">
        <f t="shared" si="13"/>
        <v>726575168.63999987</v>
      </c>
      <c r="BX70" s="37">
        <f t="shared" si="13"/>
        <v>568415952.37000012</v>
      </c>
      <c r="BY70" s="37">
        <f t="shared" si="13"/>
        <v>521160970.23000002</v>
      </c>
      <c r="BZ70" s="37">
        <f t="shared" si="13"/>
        <v>159818435.05000001</v>
      </c>
      <c r="CA70" s="37">
        <f t="shared" si="13"/>
        <v>160024290</v>
      </c>
      <c r="CB70" s="37">
        <f t="shared" si="13"/>
        <v>90416916</v>
      </c>
      <c r="CC70" s="37">
        <f t="shared" si="13"/>
        <v>66866068</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792688790</v>
      </c>
      <c r="F72" s="28">
        <f t="shared" ref="F72:BQ72" si="14">SUM(F73:F77)</f>
        <v>2136978237.49</v>
      </c>
      <c r="G72" s="28">
        <f t="shared" si="14"/>
        <v>3413681737.4899998</v>
      </c>
      <c r="H72" s="28">
        <f t="shared" si="14"/>
        <v>0</v>
      </c>
      <c r="I72" s="28">
        <f t="shared" si="14"/>
        <v>0</v>
      </c>
      <c r="J72" s="28">
        <f t="shared" si="14"/>
        <v>1576994.12</v>
      </c>
      <c r="K72" s="28">
        <f t="shared" si="14"/>
        <v>0</v>
      </c>
      <c r="L72" s="28">
        <f t="shared" si="14"/>
        <v>10140041.73</v>
      </c>
      <c r="M72" s="28">
        <f t="shared" si="14"/>
        <v>6377316.4500000002</v>
      </c>
      <c r="N72" s="28">
        <f t="shared" si="14"/>
        <v>0</v>
      </c>
      <c r="O72" s="28">
        <f t="shared" si="14"/>
        <v>1269451.81</v>
      </c>
      <c r="P72" s="28">
        <f t="shared" si="14"/>
        <v>2698617.82</v>
      </c>
      <c r="Q72" s="28">
        <f t="shared" si="14"/>
        <v>4127783.83</v>
      </c>
      <c r="R72" s="28">
        <f t="shared" si="14"/>
        <v>5556949.8399999999</v>
      </c>
      <c r="S72" s="28">
        <f t="shared" si="14"/>
        <v>5716664</v>
      </c>
      <c r="T72" s="28">
        <f t="shared" si="14"/>
        <v>178747542.03</v>
      </c>
      <c r="U72" s="28">
        <f t="shared" si="14"/>
        <v>194500471.23000002</v>
      </c>
      <c r="V72" s="28">
        <f t="shared" si="14"/>
        <v>353393390.41000003</v>
      </c>
      <c r="W72" s="28">
        <f t="shared" si="14"/>
        <v>559964335.15999997</v>
      </c>
      <c r="X72" s="28">
        <f t="shared" si="14"/>
        <v>266829075.06</v>
      </c>
      <c r="Y72" s="28">
        <f t="shared" si="14"/>
        <v>303727596.89999998</v>
      </c>
      <c r="Z72" s="28">
        <f t="shared" si="14"/>
        <v>226146411.70999998</v>
      </c>
      <c r="AA72" s="28">
        <f t="shared" si="14"/>
        <v>218758608.42000002</v>
      </c>
      <c r="AB72" s="28">
        <f t="shared" si="14"/>
        <v>210205961.47999999</v>
      </c>
      <c r="AC72" s="28">
        <f t="shared" si="14"/>
        <v>14198917.43</v>
      </c>
      <c r="AD72" s="28">
        <f t="shared" si="14"/>
        <v>4308666.84</v>
      </c>
      <c r="AE72" s="28">
        <f t="shared" si="14"/>
        <v>4367903.41</v>
      </c>
      <c r="AF72" s="28">
        <f t="shared" si="14"/>
        <v>8615534.3000000007</v>
      </c>
      <c r="AG72" s="28">
        <f t="shared" si="14"/>
        <v>4737732.28</v>
      </c>
      <c r="AH72" s="28">
        <f t="shared" si="14"/>
        <v>0</v>
      </c>
      <c r="AI72" s="28">
        <f t="shared" si="14"/>
        <v>0</v>
      </c>
      <c r="AJ72" s="28">
        <f t="shared" si="14"/>
        <v>48537.25</v>
      </c>
      <c r="AK72" s="28">
        <f t="shared" si="14"/>
        <v>0</v>
      </c>
      <c r="AL72" s="28">
        <f t="shared" si="14"/>
        <v>0</v>
      </c>
      <c r="AM72" s="28">
        <f t="shared" si="14"/>
        <v>0</v>
      </c>
      <c r="AN72" s="28">
        <f t="shared" si="14"/>
        <v>200000000</v>
      </c>
      <c r="AO72" s="28">
        <f t="shared" si="14"/>
        <v>0</v>
      </c>
      <c r="AP72" s="28">
        <f t="shared" si="14"/>
        <v>0</v>
      </c>
      <c r="AQ72" s="28">
        <f t="shared" si="14"/>
        <v>0</v>
      </c>
      <c r="AR72" s="28">
        <f t="shared" si="14"/>
        <v>954000000</v>
      </c>
      <c r="AS72" s="28">
        <f t="shared" si="14"/>
        <v>726012000</v>
      </c>
      <c r="AT72" s="28">
        <f t="shared" si="14"/>
        <v>987777200</v>
      </c>
      <c r="AU72" s="28">
        <f t="shared" si="14"/>
        <v>260000000</v>
      </c>
      <c r="AV72" s="28">
        <f t="shared" si="14"/>
        <v>270000000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47500000</v>
      </c>
      <c r="BF72" s="28">
        <f t="shared" si="14"/>
        <v>95500000</v>
      </c>
      <c r="BG72" s="28">
        <f t="shared" si="14"/>
        <v>132500000</v>
      </c>
      <c r="BH72" s="28">
        <f t="shared" si="14"/>
        <v>80894100</v>
      </c>
      <c r="BI72" s="28">
        <f t="shared" si="14"/>
        <v>140219495</v>
      </c>
      <c r="BJ72" s="28">
        <f t="shared" si="14"/>
        <v>70000000</v>
      </c>
      <c r="BK72" s="28">
        <f t="shared" si="14"/>
        <v>80000000</v>
      </c>
      <c r="BL72" s="28">
        <f t="shared" si="14"/>
        <v>50000000</v>
      </c>
      <c r="BM72" s="28">
        <f t="shared" si="14"/>
        <v>20000000</v>
      </c>
      <c r="BN72" s="28">
        <f t="shared" si="14"/>
        <v>94000000</v>
      </c>
      <c r="BO72" s="28">
        <f t="shared" si="14"/>
        <v>99000000</v>
      </c>
      <c r="BP72" s="28">
        <f t="shared" si="14"/>
        <v>99000000</v>
      </c>
      <c r="BQ72" s="28">
        <f t="shared" si="14"/>
        <v>98500000</v>
      </c>
      <c r="BR72" s="28">
        <f t="shared" ref="BR72:CL72" si="15">SUM(BR73:BR77)</f>
        <v>55500000</v>
      </c>
      <c r="BS72" s="28">
        <f t="shared" si="15"/>
        <v>65500000</v>
      </c>
      <c r="BT72" s="28">
        <f t="shared" si="15"/>
        <v>53000000</v>
      </c>
      <c r="BU72" s="28">
        <f t="shared" si="15"/>
        <v>37000000</v>
      </c>
      <c r="BV72" s="28">
        <f t="shared" si="15"/>
        <v>87000000</v>
      </c>
      <c r="BW72" s="28">
        <f t="shared" si="15"/>
        <v>63500000</v>
      </c>
      <c r="BX72" s="28">
        <f t="shared" si="15"/>
        <v>140500000</v>
      </c>
      <c r="BY72" s="28">
        <f t="shared" si="15"/>
        <v>68500000</v>
      </c>
      <c r="BZ72" s="28">
        <f t="shared" si="15"/>
        <v>0</v>
      </c>
      <c r="CA72" s="28">
        <f t="shared" si="15"/>
        <v>87319385</v>
      </c>
      <c r="CB72" s="28">
        <f t="shared" si="15"/>
        <v>56253000</v>
      </c>
      <c r="CC72" s="28">
        <f t="shared" si="15"/>
        <v>44060000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9">
        <v>4322499999.9899998</v>
      </c>
      <c r="C73" s="189">
        <v>2435500000</v>
      </c>
      <c r="D73" s="189">
        <v>1550543200</v>
      </c>
      <c r="E73" s="189">
        <v>770145800</v>
      </c>
      <c r="F73" s="189">
        <v>2124603237.49</v>
      </c>
      <c r="G73" s="189">
        <v>3413681737.4899998</v>
      </c>
      <c r="H73" s="189">
        <v>0</v>
      </c>
      <c r="I73" s="189">
        <v>0</v>
      </c>
      <c r="J73" s="189">
        <v>0</v>
      </c>
      <c r="K73" s="189">
        <v>0</v>
      </c>
      <c r="L73" s="189">
        <v>0</v>
      </c>
      <c r="M73" s="189">
        <v>0</v>
      </c>
      <c r="N73" s="189">
        <v>0</v>
      </c>
      <c r="O73" s="189">
        <v>0</v>
      </c>
      <c r="P73" s="189">
        <v>0</v>
      </c>
      <c r="Q73" s="189">
        <v>0</v>
      </c>
      <c r="R73" s="189">
        <v>0</v>
      </c>
      <c r="S73" s="189">
        <v>0</v>
      </c>
      <c r="T73" s="189">
        <v>160000000</v>
      </c>
      <c r="U73" s="189">
        <v>160408133.55000001</v>
      </c>
      <c r="V73" s="189">
        <v>203894825.11000001</v>
      </c>
      <c r="W73" s="189">
        <v>320317507.12</v>
      </c>
      <c r="X73" s="189">
        <v>167345561.97999999</v>
      </c>
      <c r="Y73" s="189">
        <v>204443779.31999999</v>
      </c>
      <c r="Z73" s="189">
        <v>220387359.16999999</v>
      </c>
      <c r="AA73" s="189">
        <v>214789053.18000001</v>
      </c>
      <c r="AB73" s="189">
        <v>206109239.53999999</v>
      </c>
      <c r="AC73" s="189">
        <v>9969300.9299999997</v>
      </c>
      <c r="AD73" s="189">
        <v>0</v>
      </c>
      <c r="AE73" s="189">
        <v>0</v>
      </c>
      <c r="AF73" s="189">
        <v>0</v>
      </c>
      <c r="AG73" s="189">
        <v>0</v>
      </c>
      <c r="AH73" s="189">
        <v>0</v>
      </c>
      <c r="AI73" s="189">
        <v>0</v>
      </c>
      <c r="AJ73" s="189">
        <v>0</v>
      </c>
      <c r="AK73" s="189">
        <v>0</v>
      </c>
      <c r="AL73" s="189">
        <v>0</v>
      </c>
      <c r="AM73" s="189">
        <v>0</v>
      </c>
      <c r="AN73" s="189">
        <v>200000000</v>
      </c>
      <c r="AO73" s="189">
        <v>0</v>
      </c>
      <c r="AP73" s="189">
        <v>0</v>
      </c>
      <c r="AQ73" s="189">
        <v>0</v>
      </c>
      <c r="AR73" s="189">
        <v>954000000</v>
      </c>
      <c r="AS73" s="189">
        <v>726012000</v>
      </c>
      <c r="AT73" s="189">
        <v>987777200</v>
      </c>
      <c r="AU73" s="189">
        <v>260000000</v>
      </c>
      <c r="AV73" s="189">
        <v>270000000</v>
      </c>
      <c r="AW73" s="189">
        <v>0</v>
      </c>
      <c r="AX73" s="189">
        <v>0</v>
      </c>
      <c r="AY73" s="189">
        <v>0</v>
      </c>
      <c r="AZ73" s="189">
        <v>0</v>
      </c>
      <c r="BA73" s="189">
        <v>0</v>
      </c>
      <c r="BB73" s="189">
        <v>0</v>
      </c>
      <c r="BC73" s="189">
        <v>0</v>
      </c>
      <c r="BD73" s="189">
        <v>0</v>
      </c>
      <c r="BE73" s="189">
        <v>47500000</v>
      </c>
      <c r="BF73" s="189">
        <v>95500000</v>
      </c>
      <c r="BG73" s="189">
        <v>132500000</v>
      </c>
      <c r="BH73" s="189">
        <v>80894100</v>
      </c>
      <c r="BI73" s="189">
        <v>140219495</v>
      </c>
      <c r="BJ73" s="189">
        <v>70000000</v>
      </c>
      <c r="BK73" s="189">
        <v>80000000</v>
      </c>
      <c r="BL73" s="189">
        <v>50000000</v>
      </c>
      <c r="BM73" s="189">
        <v>20000000</v>
      </c>
      <c r="BN73" s="189">
        <v>94000000</v>
      </c>
      <c r="BO73" s="189">
        <v>99000000</v>
      </c>
      <c r="BP73" s="189">
        <v>74000000</v>
      </c>
      <c r="BQ73" s="189">
        <v>65500000</v>
      </c>
      <c r="BR73" s="189">
        <v>55500000</v>
      </c>
      <c r="BS73" s="189">
        <v>30000000</v>
      </c>
      <c r="BT73" s="189">
        <v>53000000</v>
      </c>
      <c r="BU73" s="189">
        <v>37000000</v>
      </c>
      <c r="BV73" s="189">
        <v>87000000</v>
      </c>
      <c r="BW73" s="189">
        <v>63500000</v>
      </c>
      <c r="BX73" s="189">
        <v>140500000</v>
      </c>
      <c r="BY73" s="189">
        <v>68500000</v>
      </c>
      <c r="BZ73" s="189">
        <v>0</v>
      </c>
      <c r="CA73" s="189">
        <v>77250000</v>
      </c>
      <c r="CB73" s="189">
        <v>48553000</v>
      </c>
      <c r="CC73" s="189">
        <v>39360000</v>
      </c>
      <c r="CD73" s="189">
        <v>0</v>
      </c>
      <c r="CE73" s="189"/>
      <c r="CF73" s="189"/>
      <c r="CG73" s="189"/>
      <c r="CH73" s="189"/>
      <c r="CI73" s="189"/>
      <c r="CJ73" s="189"/>
      <c r="CK73" s="189"/>
      <c r="CL73" s="189"/>
    </row>
    <row r="74" spans="1:90" x14ac:dyDescent="0.25">
      <c r="A74" s="128" t="s">
        <v>77</v>
      </c>
      <c r="B74" s="189">
        <v>0</v>
      </c>
      <c r="C74" s="189">
        <v>0</v>
      </c>
      <c r="D74" s="189">
        <v>0</v>
      </c>
      <c r="E74" s="189">
        <v>0</v>
      </c>
      <c r="F74" s="189">
        <v>12375000</v>
      </c>
      <c r="G74" s="189">
        <v>0</v>
      </c>
      <c r="H74" s="189">
        <v>0</v>
      </c>
      <c r="I74" s="189">
        <v>0</v>
      </c>
      <c r="J74" s="189">
        <v>0</v>
      </c>
      <c r="K74" s="189">
        <v>0</v>
      </c>
      <c r="L74" s="189">
        <v>0</v>
      </c>
      <c r="M74" s="189">
        <v>0</v>
      </c>
      <c r="N74" s="189">
        <v>0</v>
      </c>
      <c r="O74" s="189">
        <v>0</v>
      </c>
      <c r="P74" s="189">
        <v>0</v>
      </c>
      <c r="Q74" s="189">
        <v>0</v>
      </c>
      <c r="R74" s="189">
        <v>0</v>
      </c>
      <c r="S74" s="189">
        <v>0</v>
      </c>
      <c r="T74" s="189">
        <v>0</v>
      </c>
      <c r="U74" s="189">
        <v>0</v>
      </c>
      <c r="V74" s="189">
        <v>0</v>
      </c>
      <c r="W74" s="189">
        <v>0</v>
      </c>
      <c r="X74" s="189">
        <v>0</v>
      </c>
      <c r="Y74" s="189">
        <v>0</v>
      </c>
      <c r="Z74" s="189">
        <v>0</v>
      </c>
      <c r="AA74" s="189">
        <v>0</v>
      </c>
      <c r="AB74" s="189">
        <v>0</v>
      </c>
      <c r="AC74" s="189">
        <v>0</v>
      </c>
      <c r="AD74" s="189">
        <v>0</v>
      </c>
      <c r="AE74" s="189">
        <v>0</v>
      </c>
      <c r="AF74" s="189">
        <v>93723.9</v>
      </c>
      <c r="AG74" s="189">
        <v>0</v>
      </c>
      <c r="AH74" s="189">
        <v>0</v>
      </c>
      <c r="AI74" s="189">
        <v>0</v>
      </c>
      <c r="AJ74" s="189">
        <v>48537.25</v>
      </c>
      <c r="AK74" s="189">
        <v>0</v>
      </c>
      <c r="AL74" s="189">
        <v>0</v>
      </c>
      <c r="AM74" s="189">
        <v>0</v>
      </c>
      <c r="AN74" s="189">
        <v>0</v>
      </c>
      <c r="AO74" s="189">
        <v>0</v>
      </c>
      <c r="AP74" s="189">
        <v>0</v>
      </c>
      <c r="AQ74" s="189">
        <v>0</v>
      </c>
      <c r="AR74" s="189">
        <v>0</v>
      </c>
      <c r="AS74" s="189">
        <v>0</v>
      </c>
      <c r="AT74" s="189">
        <v>0</v>
      </c>
      <c r="AU74" s="189">
        <v>0</v>
      </c>
      <c r="AV74" s="189">
        <v>0</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v>0</v>
      </c>
      <c r="BR74" s="189">
        <v>0</v>
      </c>
      <c r="BS74" s="189">
        <v>0</v>
      </c>
      <c r="BT74" s="189">
        <v>0</v>
      </c>
      <c r="BU74" s="189">
        <v>0</v>
      </c>
      <c r="BV74" s="189">
        <v>0</v>
      </c>
      <c r="BW74" s="189">
        <v>0</v>
      </c>
      <c r="BX74" s="189">
        <v>0</v>
      </c>
      <c r="BY74" s="189">
        <v>0</v>
      </c>
      <c r="BZ74" s="189">
        <v>0</v>
      </c>
      <c r="CA74" s="189">
        <v>0</v>
      </c>
      <c r="CB74" s="189">
        <v>0</v>
      </c>
      <c r="CC74" s="189">
        <v>0</v>
      </c>
      <c r="CD74" s="189">
        <v>0</v>
      </c>
      <c r="CE74" s="189"/>
      <c r="CF74" s="189"/>
      <c r="CG74" s="189"/>
      <c r="CH74" s="189"/>
      <c r="CI74" s="189"/>
      <c r="CJ74" s="189"/>
      <c r="CK74" s="189"/>
      <c r="CL74" s="189"/>
    </row>
    <row r="75" spans="1:90" x14ac:dyDescent="0.25">
      <c r="A75" s="128" t="s">
        <v>53</v>
      </c>
      <c r="B75" s="189">
        <v>0</v>
      </c>
      <c r="C75" s="189">
        <v>0</v>
      </c>
      <c r="D75" s="189">
        <v>0</v>
      </c>
      <c r="E75" s="189">
        <v>0</v>
      </c>
      <c r="F75" s="189">
        <v>0</v>
      </c>
      <c r="G75" s="189">
        <v>0</v>
      </c>
      <c r="H75" s="189">
        <v>0</v>
      </c>
      <c r="I75" s="189">
        <v>0</v>
      </c>
      <c r="J75" s="189">
        <v>1576994.12</v>
      </c>
      <c r="K75" s="189">
        <v>0</v>
      </c>
      <c r="L75" s="189">
        <v>10140041.73</v>
      </c>
      <c r="M75" s="189">
        <v>6377316.4500000002</v>
      </c>
      <c r="N75" s="189">
        <v>0</v>
      </c>
      <c r="O75" s="189">
        <v>0</v>
      </c>
      <c r="P75" s="189">
        <v>0</v>
      </c>
      <c r="Q75" s="189">
        <v>0</v>
      </c>
      <c r="R75" s="189">
        <v>0</v>
      </c>
      <c r="S75" s="189">
        <v>0</v>
      </c>
      <c r="T75" s="189">
        <v>0</v>
      </c>
      <c r="U75" s="189">
        <v>0</v>
      </c>
      <c r="V75" s="189">
        <v>0</v>
      </c>
      <c r="W75" s="189">
        <v>0</v>
      </c>
      <c r="X75" s="189">
        <v>2302553.27</v>
      </c>
      <c r="Y75" s="189">
        <v>1860661.04</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c r="BX75" s="189">
        <v>0</v>
      </c>
      <c r="BY75" s="189">
        <v>0</v>
      </c>
      <c r="BZ75" s="189">
        <v>0</v>
      </c>
      <c r="CA75" s="189">
        <v>0</v>
      </c>
      <c r="CB75" s="189">
        <v>0</v>
      </c>
      <c r="CC75" s="189">
        <v>0</v>
      </c>
      <c r="CD75" s="189">
        <v>0</v>
      </c>
      <c r="CE75" s="189"/>
      <c r="CF75" s="189"/>
      <c r="CG75" s="189"/>
      <c r="CH75" s="189"/>
      <c r="CI75" s="189"/>
      <c r="CJ75" s="189"/>
      <c r="CK75" s="189"/>
      <c r="CL75" s="189"/>
    </row>
    <row r="76" spans="1:90" x14ac:dyDescent="0.25">
      <c r="A76" s="128" t="s">
        <v>54</v>
      </c>
      <c r="B76" s="189">
        <v>12414980</v>
      </c>
      <c r="C76" s="189">
        <v>12414980</v>
      </c>
      <c r="D76" s="189">
        <v>22542990</v>
      </c>
      <c r="E76" s="189">
        <v>22542990</v>
      </c>
      <c r="F76" s="189">
        <v>0</v>
      </c>
      <c r="G76" s="189">
        <v>0</v>
      </c>
      <c r="H76" s="189">
        <v>0</v>
      </c>
      <c r="I76" s="189">
        <v>0</v>
      </c>
      <c r="J76" s="189">
        <v>0</v>
      </c>
      <c r="K76" s="189">
        <v>0</v>
      </c>
      <c r="L76" s="189">
        <v>0</v>
      </c>
      <c r="M76" s="189">
        <v>0</v>
      </c>
      <c r="N76" s="189">
        <v>0</v>
      </c>
      <c r="O76" s="189">
        <v>1269451.81</v>
      </c>
      <c r="P76" s="189">
        <v>2698617.82</v>
      </c>
      <c r="Q76" s="189">
        <v>4127783.83</v>
      </c>
      <c r="R76" s="189">
        <v>5556949.8399999999</v>
      </c>
      <c r="S76" s="189">
        <v>5716664</v>
      </c>
      <c r="T76" s="189">
        <v>18747542.030000001</v>
      </c>
      <c r="U76" s="189">
        <v>34092337.68</v>
      </c>
      <c r="V76" s="189">
        <v>149498565.30000001</v>
      </c>
      <c r="W76" s="189">
        <v>239646828.03999999</v>
      </c>
      <c r="X76" s="189">
        <v>97180959.810000002</v>
      </c>
      <c r="Y76" s="189">
        <v>97423156.540000007</v>
      </c>
      <c r="Z76" s="189">
        <v>5759052.54</v>
      </c>
      <c r="AA76" s="189">
        <v>3969555.24</v>
      </c>
      <c r="AB76" s="189">
        <v>4096721.94</v>
      </c>
      <c r="AC76" s="189">
        <v>4229616.5</v>
      </c>
      <c r="AD76" s="189">
        <v>4308666.84</v>
      </c>
      <c r="AE76" s="189">
        <v>4367903.41</v>
      </c>
      <c r="AF76" s="189">
        <v>8521810.4000000004</v>
      </c>
      <c r="AG76" s="189">
        <v>4737732.28</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25000000</v>
      </c>
      <c r="BQ76" s="189">
        <v>33000000</v>
      </c>
      <c r="BR76" s="189">
        <v>0</v>
      </c>
      <c r="BS76" s="189">
        <v>35500000</v>
      </c>
      <c r="BT76" s="189">
        <v>0</v>
      </c>
      <c r="BU76" s="189">
        <v>0</v>
      </c>
      <c r="BV76" s="189">
        <v>0</v>
      </c>
      <c r="BW76" s="189">
        <v>0</v>
      </c>
      <c r="BX76" s="189">
        <v>0</v>
      </c>
      <c r="BY76" s="189">
        <v>0</v>
      </c>
      <c r="BZ76" s="189">
        <v>0</v>
      </c>
      <c r="CA76" s="189">
        <v>10069385</v>
      </c>
      <c r="CB76" s="189">
        <v>7700000</v>
      </c>
      <c r="CC76" s="189">
        <v>4700000</v>
      </c>
      <c r="CD76" s="189">
        <v>0</v>
      </c>
      <c r="CE76" s="189"/>
      <c r="CF76" s="189"/>
      <c r="CG76" s="189"/>
      <c r="CH76" s="189"/>
      <c r="CI76" s="189"/>
      <c r="CJ76" s="189"/>
      <c r="CK76" s="189"/>
      <c r="CL76" s="189"/>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c r="CF77" s="189"/>
      <c r="CG77" s="189"/>
      <c r="CH77" s="189"/>
      <c r="CI77" s="189"/>
      <c r="CJ77" s="189"/>
      <c r="CK77" s="189"/>
      <c r="CL77" s="189"/>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21236150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246511669.06999999</v>
      </c>
      <c r="S81" s="28">
        <f t="shared" si="16"/>
        <v>255754463.44</v>
      </c>
      <c r="T81" s="28">
        <f t="shared" si="16"/>
        <v>264234601.63</v>
      </c>
      <c r="U81" s="28">
        <f t="shared" si="16"/>
        <v>271227310.19999999</v>
      </c>
      <c r="V81" s="28">
        <f t="shared" si="16"/>
        <v>261327050.81999999</v>
      </c>
      <c r="W81" s="28">
        <f t="shared" si="16"/>
        <v>272348894.68000001</v>
      </c>
      <c r="X81" s="28">
        <f t="shared" si="16"/>
        <v>354611252.82999998</v>
      </c>
      <c r="Y81" s="28">
        <f t="shared" si="16"/>
        <v>361508706.25</v>
      </c>
      <c r="Z81" s="28">
        <f t="shared" si="16"/>
        <v>208154115.19</v>
      </c>
      <c r="AA81" s="28">
        <f t="shared" si="16"/>
        <v>181003269.94999999</v>
      </c>
      <c r="AB81" s="28">
        <f t="shared" si="16"/>
        <v>184066038.71000001</v>
      </c>
      <c r="AC81" s="28">
        <f t="shared" si="16"/>
        <v>187130726.18000001</v>
      </c>
      <c r="AD81" s="28">
        <f t="shared" si="16"/>
        <v>181635409.19999999</v>
      </c>
      <c r="AE81" s="28">
        <f t="shared" si="16"/>
        <v>216367733.56</v>
      </c>
      <c r="AF81" s="28">
        <f t="shared" si="16"/>
        <v>160449491.11000001</v>
      </c>
      <c r="AG81" s="28">
        <f t="shared" si="16"/>
        <v>164303771.11000001</v>
      </c>
      <c r="AH81" s="28">
        <f t="shared" si="16"/>
        <v>175182573.47</v>
      </c>
      <c r="AI81" s="28">
        <f t="shared" si="16"/>
        <v>151886847.56</v>
      </c>
      <c r="AJ81" s="28">
        <f t="shared" si="16"/>
        <v>152291180.91</v>
      </c>
      <c r="AK81" s="28">
        <f t="shared" si="16"/>
        <v>154766639.42000002</v>
      </c>
      <c r="AL81" s="28">
        <f t="shared" si="16"/>
        <v>435019483.77000004</v>
      </c>
      <c r="AM81" s="28">
        <f t="shared" si="16"/>
        <v>426111628.88</v>
      </c>
      <c r="AN81" s="28">
        <f t="shared" si="16"/>
        <v>128013017.86</v>
      </c>
      <c r="AO81" s="28">
        <f t="shared" si="16"/>
        <v>129623157.11</v>
      </c>
      <c r="AP81" s="28">
        <f t="shared" si="16"/>
        <v>127154722.02000001</v>
      </c>
      <c r="AQ81" s="28">
        <f t="shared" si="16"/>
        <v>85760991.75</v>
      </c>
      <c r="AR81" s="28">
        <f t="shared" si="16"/>
        <v>81196913.280000001</v>
      </c>
      <c r="AS81" s="28">
        <f t="shared" si="16"/>
        <v>240551928.59</v>
      </c>
      <c r="AT81" s="28">
        <f t="shared" si="16"/>
        <v>228986571.44</v>
      </c>
      <c r="AU81" s="28">
        <f t="shared" si="16"/>
        <v>218497714.28999999</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50000000</v>
      </c>
      <c r="BI81" s="28">
        <f t="shared" si="16"/>
        <v>50000000</v>
      </c>
      <c r="BJ81" s="28">
        <f t="shared" si="16"/>
        <v>0</v>
      </c>
      <c r="BK81" s="28">
        <f t="shared" si="16"/>
        <v>0</v>
      </c>
      <c r="BL81" s="28">
        <f t="shared" si="16"/>
        <v>20000000</v>
      </c>
      <c r="BM81" s="28">
        <f t="shared" si="16"/>
        <v>0</v>
      </c>
      <c r="BN81" s="28">
        <f t="shared" si="16"/>
        <v>0</v>
      </c>
      <c r="BO81" s="28">
        <f t="shared" si="16"/>
        <v>0</v>
      </c>
      <c r="BP81" s="28">
        <f t="shared" si="16"/>
        <v>0</v>
      </c>
      <c r="BQ81" s="28">
        <f t="shared" si="16"/>
        <v>0</v>
      </c>
      <c r="BR81" s="28">
        <f t="shared" ref="BR81:CG81" si="17">SUM(BR82:BR85)</f>
        <v>43000000</v>
      </c>
      <c r="BS81" s="28">
        <f t="shared" si="17"/>
        <v>33555524.030000001</v>
      </c>
      <c r="BT81" s="28">
        <f t="shared" si="17"/>
        <v>36263845.549999997</v>
      </c>
      <c r="BU81" s="28">
        <f t="shared" si="17"/>
        <v>36472167.07</v>
      </c>
      <c r="BV81" s="28">
        <f t="shared" si="17"/>
        <v>51668706.729999997</v>
      </c>
      <c r="BW81" s="28">
        <f t="shared" si="17"/>
        <v>41388810.109999999</v>
      </c>
      <c r="BX81" s="28">
        <f t="shared" si="17"/>
        <v>1597131.63</v>
      </c>
      <c r="BY81" s="28">
        <f t="shared" si="17"/>
        <v>3864447.16</v>
      </c>
      <c r="BZ81" s="28">
        <f t="shared" si="17"/>
        <v>0</v>
      </c>
      <c r="CA81" s="28">
        <f t="shared" si="17"/>
        <v>4311064</v>
      </c>
      <c r="CB81" s="28">
        <f t="shared" si="17"/>
        <v>16340281</v>
      </c>
      <c r="CC81" s="28">
        <f t="shared" si="17"/>
        <v>25366503</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9">
        <v>22419435</v>
      </c>
      <c r="C82" s="189">
        <v>9419435</v>
      </c>
      <c r="D82" s="189">
        <v>1286016220</v>
      </c>
      <c r="E82" s="189">
        <v>21236150</v>
      </c>
      <c r="F82" s="189">
        <v>0</v>
      </c>
      <c r="G82" s="189">
        <v>0</v>
      </c>
      <c r="H82" s="189">
        <v>0</v>
      </c>
      <c r="I82" s="189">
        <v>0</v>
      </c>
      <c r="J82" s="189">
        <v>0</v>
      </c>
      <c r="K82" s="189">
        <v>0</v>
      </c>
      <c r="L82" s="189">
        <v>0</v>
      </c>
      <c r="M82" s="189">
        <v>0</v>
      </c>
      <c r="N82" s="189">
        <v>0</v>
      </c>
      <c r="O82" s="189">
        <v>0</v>
      </c>
      <c r="P82" s="189">
        <v>0</v>
      </c>
      <c r="Q82" s="189">
        <v>0</v>
      </c>
      <c r="R82" s="189">
        <v>0</v>
      </c>
      <c r="S82" s="189">
        <v>1269451.8500000001</v>
      </c>
      <c r="T82" s="189">
        <v>2698617.82</v>
      </c>
      <c r="U82" s="189">
        <v>4127783.87</v>
      </c>
      <c r="V82" s="189">
        <v>5556949.8399999999</v>
      </c>
      <c r="W82" s="189">
        <v>6986115.8499999996</v>
      </c>
      <c r="X82" s="189">
        <v>154194818.97999999</v>
      </c>
      <c r="Y82" s="189">
        <v>156111646.56999999</v>
      </c>
      <c r="Z82" s="189">
        <v>11273613.880000001</v>
      </c>
      <c r="AA82" s="189">
        <v>8549999.8900000006</v>
      </c>
      <c r="AB82" s="189">
        <v>9499999.9000000004</v>
      </c>
      <c r="AC82" s="189">
        <v>10451918.619999999</v>
      </c>
      <c r="AD82" s="189">
        <v>11843832.890000001</v>
      </c>
      <c r="AE82" s="189">
        <v>12963388.5</v>
      </c>
      <c r="AF82" s="189">
        <v>9932377.3000000007</v>
      </c>
      <c r="AG82" s="189">
        <v>14673888.550000001</v>
      </c>
      <c r="AH82" s="189">
        <v>23439922.16</v>
      </c>
      <c r="AI82" s="189">
        <v>4356427.4800000004</v>
      </c>
      <c r="AJ82" s="189">
        <v>5035492.09</v>
      </c>
      <c r="AK82" s="189">
        <v>5785681.8600000003</v>
      </c>
      <c r="AL82" s="189">
        <v>303354757.47000003</v>
      </c>
      <c r="AM82" s="189">
        <v>303824559.97000003</v>
      </c>
      <c r="AN82" s="189">
        <v>4623651.3600000003</v>
      </c>
      <c r="AO82" s="189">
        <v>5131493.0199999996</v>
      </c>
      <c r="AP82" s="189">
        <v>7823676.5700000003</v>
      </c>
      <c r="AQ82" s="189">
        <v>3646309.94</v>
      </c>
      <c r="AR82" s="189">
        <v>2021127.54</v>
      </c>
      <c r="AS82" s="189">
        <v>160000000</v>
      </c>
      <c r="AT82" s="189">
        <v>160000000</v>
      </c>
      <c r="AU82" s="189">
        <v>160000000</v>
      </c>
      <c r="AV82" s="189">
        <v>0</v>
      </c>
      <c r="AW82" s="189">
        <v>0</v>
      </c>
      <c r="AX82" s="189">
        <v>0</v>
      </c>
      <c r="AY82" s="189">
        <v>0</v>
      </c>
      <c r="AZ82" s="189">
        <v>0</v>
      </c>
      <c r="BA82" s="189">
        <v>0</v>
      </c>
      <c r="BB82" s="189">
        <v>0</v>
      </c>
      <c r="BC82" s="189">
        <v>0</v>
      </c>
      <c r="BD82" s="189">
        <v>0</v>
      </c>
      <c r="BE82" s="189">
        <v>0</v>
      </c>
      <c r="BF82" s="189">
        <v>0</v>
      </c>
      <c r="BG82" s="189">
        <v>0</v>
      </c>
      <c r="BH82" s="189">
        <v>50000000</v>
      </c>
      <c r="BI82" s="189">
        <v>50000000</v>
      </c>
      <c r="BJ82" s="189">
        <v>0</v>
      </c>
      <c r="BK82" s="189">
        <v>0</v>
      </c>
      <c r="BL82" s="189">
        <v>20000000</v>
      </c>
      <c r="BM82" s="189">
        <v>0</v>
      </c>
      <c r="BN82" s="189">
        <v>0</v>
      </c>
      <c r="BO82" s="189">
        <v>0</v>
      </c>
      <c r="BP82" s="189">
        <v>0</v>
      </c>
      <c r="BQ82" s="189">
        <v>0</v>
      </c>
      <c r="BR82" s="189">
        <v>43000000</v>
      </c>
      <c r="BS82" s="189">
        <v>33000000</v>
      </c>
      <c r="BT82" s="189">
        <v>35500000</v>
      </c>
      <c r="BU82" s="189">
        <v>35500000</v>
      </c>
      <c r="BV82" s="189">
        <v>50500000</v>
      </c>
      <c r="BW82" s="189">
        <v>40000000</v>
      </c>
      <c r="BX82" s="189">
        <v>0</v>
      </c>
      <c r="BY82" s="189">
        <v>0</v>
      </c>
      <c r="BZ82" s="189">
        <v>0</v>
      </c>
      <c r="CA82" s="189">
        <v>2800000</v>
      </c>
      <c r="CB82" s="189">
        <v>13475057</v>
      </c>
      <c r="CC82" s="189">
        <v>25095058</v>
      </c>
      <c r="CD82" s="189">
        <v>0</v>
      </c>
      <c r="CE82" s="189"/>
      <c r="CF82" s="189"/>
      <c r="CG82" s="189"/>
      <c r="CH82" s="189"/>
      <c r="CI82" s="189"/>
      <c r="CJ82" s="189"/>
      <c r="CK82" s="189"/>
      <c r="CL82" s="189"/>
    </row>
    <row r="83" spans="1:90" x14ac:dyDescent="0.25">
      <c r="A83" s="128" t="s">
        <v>58</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c r="CE83" s="189"/>
      <c r="CF83" s="189"/>
      <c r="CG83" s="189"/>
      <c r="CH83" s="189"/>
      <c r="CI83" s="189"/>
      <c r="CJ83" s="189"/>
      <c r="CK83" s="189"/>
      <c r="CL83" s="189"/>
    </row>
    <row r="84" spans="1:90" x14ac:dyDescent="0.25">
      <c r="A84" s="128" t="s">
        <v>59</v>
      </c>
      <c r="B84" s="189">
        <v>13893106.4</v>
      </c>
      <c r="C84" s="189">
        <v>0</v>
      </c>
      <c r="D84" s="189">
        <v>0</v>
      </c>
      <c r="E84" s="189">
        <v>0</v>
      </c>
      <c r="F84" s="189">
        <v>0</v>
      </c>
      <c r="G84" s="189">
        <v>0</v>
      </c>
      <c r="H84" s="189">
        <v>0</v>
      </c>
      <c r="I84" s="189">
        <v>0</v>
      </c>
      <c r="J84" s="189">
        <v>0</v>
      </c>
      <c r="K84" s="189">
        <v>0</v>
      </c>
      <c r="L84" s="189">
        <v>0</v>
      </c>
      <c r="M84" s="189">
        <v>0</v>
      </c>
      <c r="N84" s="189">
        <v>0</v>
      </c>
      <c r="O84" s="189">
        <v>0</v>
      </c>
      <c r="P84" s="189">
        <v>0</v>
      </c>
      <c r="Q84" s="189">
        <v>0</v>
      </c>
      <c r="R84" s="189">
        <v>0</v>
      </c>
      <c r="S84" s="189">
        <v>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v>0</v>
      </c>
      <c r="AO84" s="189">
        <v>0</v>
      </c>
      <c r="AP84" s="189">
        <v>0</v>
      </c>
      <c r="AQ84" s="189">
        <v>0</v>
      </c>
      <c r="AR84" s="189">
        <v>0</v>
      </c>
      <c r="AS84" s="189">
        <v>0</v>
      </c>
      <c r="AT84" s="189">
        <v>0</v>
      </c>
      <c r="AU84" s="189">
        <v>0</v>
      </c>
      <c r="AV84" s="189">
        <v>0</v>
      </c>
      <c r="AW84" s="189">
        <v>0</v>
      </c>
      <c r="AX84" s="189">
        <v>0</v>
      </c>
      <c r="AY84" s="189">
        <v>0</v>
      </c>
      <c r="AZ84" s="189">
        <v>0</v>
      </c>
      <c r="BA84" s="189">
        <v>0</v>
      </c>
      <c r="BB84" s="189">
        <v>0</v>
      </c>
      <c r="BC84" s="189">
        <v>0</v>
      </c>
      <c r="BD84" s="189">
        <v>0</v>
      </c>
      <c r="BE84" s="189">
        <v>0</v>
      </c>
      <c r="BF84" s="189">
        <v>0</v>
      </c>
      <c r="BG84" s="189">
        <v>0</v>
      </c>
      <c r="BH84" s="189">
        <v>0</v>
      </c>
      <c r="BI84" s="189">
        <v>0</v>
      </c>
      <c r="BJ84" s="189">
        <v>0</v>
      </c>
      <c r="BK84" s="189">
        <v>0</v>
      </c>
      <c r="BL84" s="189">
        <v>0</v>
      </c>
      <c r="BM84" s="189">
        <v>0</v>
      </c>
      <c r="BN84" s="189">
        <v>0</v>
      </c>
      <c r="BO84" s="189">
        <v>0</v>
      </c>
      <c r="BP84" s="189">
        <v>0</v>
      </c>
      <c r="BQ84" s="189">
        <v>0</v>
      </c>
      <c r="BR84" s="189">
        <v>0</v>
      </c>
      <c r="BS84" s="189">
        <v>555524.03</v>
      </c>
      <c r="BT84" s="189">
        <v>763845.55</v>
      </c>
      <c r="BU84" s="189">
        <v>972167.07</v>
      </c>
      <c r="BV84" s="189">
        <v>1168706.73</v>
      </c>
      <c r="BW84" s="189">
        <v>1388810.11</v>
      </c>
      <c r="BX84" s="189">
        <v>1597131.63</v>
      </c>
      <c r="BY84" s="189">
        <v>3864447.16</v>
      </c>
      <c r="BZ84" s="189">
        <v>0</v>
      </c>
      <c r="CA84" s="189">
        <v>1511064</v>
      </c>
      <c r="CB84" s="189">
        <v>2865224</v>
      </c>
      <c r="CC84" s="189">
        <v>271445</v>
      </c>
      <c r="CD84" s="189">
        <v>0</v>
      </c>
      <c r="CE84" s="189"/>
      <c r="CF84" s="189"/>
      <c r="CG84" s="189"/>
      <c r="CH84" s="189"/>
      <c r="CI84" s="189"/>
      <c r="CJ84" s="189"/>
      <c r="CK84" s="189"/>
      <c r="CL84" s="189"/>
    </row>
    <row r="85" spans="1:90" x14ac:dyDescent="0.25">
      <c r="A85" s="128"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246511669.06999999</v>
      </c>
      <c r="S85" s="189">
        <v>254485011.59</v>
      </c>
      <c r="T85" s="189">
        <v>261535983.81</v>
      </c>
      <c r="U85" s="189">
        <v>267099526.33000001</v>
      </c>
      <c r="V85" s="189">
        <v>255770100.97999999</v>
      </c>
      <c r="W85" s="189">
        <v>265362778.83000001</v>
      </c>
      <c r="X85" s="189">
        <v>200416433.84999999</v>
      </c>
      <c r="Y85" s="189">
        <v>205397059.68000001</v>
      </c>
      <c r="Z85" s="189">
        <v>196880501.31</v>
      </c>
      <c r="AA85" s="189">
        <v>172453270.06</v>
      </c>
      <c r="AB85" s="189">
        <v>174566038.81</v>
      </c>
      <c r="AC85" s="189">
        <v>176678807.56</v>
      </c>
      <c r="AD85" s="189">
        <v>169791576.31</v>
      </c>
      <c r="AE85" s="189">
        <v>203404345.06</v>
      </c>
      <c r="AF85" s="189">
        <v>150517113.81</v>
      </c>
      <c r="AG85" s="189">
        <v>149629882.56</v>
      </c>
      <c r="AH85" s="189">
        <v>151742651.31</v>
      </c>
      <c r="AI85" s="189">
        <v>147530420.08000001</v>
      </c>
      <c r="AJ85" s="189">
        <v>147255688.81999999</v>
      </c>
      <c r="AK85" s="189">
        <v>148980957.56</v>
      </c>
      <c r="AL85" s="189">
        <v>131664726.3</v>
      </c>
      <c r="AM85" s="189">
        <v>122287068.91</v>
      </c>
      <c r="AN85" s="189">
        <v>123389366.5</v>
      </c>
      <c r="AO85" s="189">
        <v>124491664.09</v>
      </c>
      <c r="AP85" s="189">
        <v>119331045.45</v>
      </c>
      <c r="AQ85" s="189">
        <v>82114681.810000002</v>
      </c>
      <c r="AR85" s="189">
        <v>79175785.739999995</v>
      </c>
      <c r="AS85" s="189">
        <v>80551928.590000004</v>
      </c>
      <c r="AT85" s="189">
        <v>68986571.439999998</v>
      </c>
      <c r="AU85" s="189">
        <v>58497714.289999999</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v>0</v>
      </c>
      <c r="BR85" s="189">
        <v>0</v>
      </c>
      <c r="BS85" s="189">
        <v>0</v>
      </c>
      <c r="BT85" s="189">
        <v>0</v>
      </c>
      <c r="BU85" s="189">
        <v>0</v>
      </c>
      <c r="BV85" s="189">
        <v>0</v>
      </c>
      <c r="BW85" s="189">
        <v>0</v>
      </c>
      <c r="BX85" s="189">
        <v>0</v>
      </c>
      <c r="BY85" s="189">
        <v>0</v>
      </c>
      <c r="BZ85" s="189">
        <v>0</v>
      </c>
      <c r="CA85" s="189">
        <v>0</v>
      </c>
      <c r="CB85" s="189">
        <v>0</v>
      </c>
      <c r="CC85" s="189">
        <v>0</v>
      </c>
      <c r="CD85" s="189">
        <v>0</v>
      </c>
      <c r="CE85" s="189"/>
      <c r="CF85" s="189"/>
      <c r="CG85" s="189"/>
      <c r="CH85" s="189"/>
      <c r="CI85" s="189"/>
      <c r="CJ85" s="189"/>
      <c r="CK85" s="189"/>
      <c r="CL85" s="189"/>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4371227521.3899994</v>
      </c>
      <c r="C89" s="33">
        <f>SUM(C73:C85)</f>
        <v>2457334415</v>
      </c>
      <c r="D89" s="33">
        <f>SUM(D73:D85)</f>
        <v>2859102410</v>
      </c>
      <c r="E89" s="33">
        <f>E72+E81</f>
        <v>813924940</v>
      </c>
      <c r="F89" s="33">
        <f t="shared" ref="F89:BQ89" si="18">F72+F81</f>
        <v>2136978237.49</v>
      </c>
      <c r="G89" s="33">
        <f t="shared" si="18"/>
        <v>3413681737.4899998</v>
      </c>
      <c r="H89" s="33">
        <f t="shared" si="18"/>
        <v>0</v>
      </c>
      <c r="I89" s="33">
        <f t="shared" si="18"/>
        <v>0</v>
      </c>
      <c r="J89" s="33">
        <f t="shared" si="18"/>
        <v>1576994.12</v>
      </c>
      <c r="K89" s="33">
        <f t="shared" si="18"/>
        <v>0</v>
      </c>
      <c r="L89" s="33">
        <f t="shared" si="18"/>
        <v>10140041.73</v>
      </c>
      <c r="M89" s="33">
        <f t="shared" si="18"/>
        <v>6377316.4500000002</v>
      </c>
      <c r="N89" s="33">
        <f t="shared" si="18"/>
        <v>0</v>
      </c>
      <c r="O89" s="33">
        <f t="shared" si="18"/>
        <v>1269451.81</v>
      </c>
      <c r="P89" s="33">
        <f t="shared" si="18"/>
        <v>2698617.82</v>
      </c>
      <c r="Q89" s="33">
        <f t="shared" si="18"/>
        <v>4127783.83</v>
      </c>
      <c r="R89" s="33">
        <f t="shared" si="18"/>
        <v>252068618.91</v>
      </c>
      <c r="S89" s="33">
        <f t="shared" si="18"/>
        <v>261471127.44</v>
      </c>
      <c r="T89" s="33">
        <f t="shared" si="18"/>
        <v>442982143.65999997</v>
      </c>
      <c r="U89" s="33">
        <f t="shared" si="18"/>
        <v>465727781.43000001</v>
      </c>
      <c r="V89" s="33">
        <f t="shared" si="18"/>
        <v>614720441.23000002</v>
      </c>
      <c r="W89" s="33">
        <f t="shared" si="18"/>
        <v>832313229.83999991</v>
      </c>
      <c r="X89" s="33">
        <f t="shared" si="18"/>
        <v>621440327.88999999</v>
      </c>
      <c r="Y89" s="33">
        <f t="shared" si="18"/>
        <v>665236303.14999998</v>
      </c>
      <c r="Z89" s="33">
        <f t="shared" si="18"/>
        <v>434300526.89999998</v>
      </c>
      <c r="AA89" s="33">
        <f t="shared" si="18"/>
        <v>399761878.37</v>
      </c>
      <c r="AB89" s="33">
        <f t="shared" si="18"/>
        <v>394272000.19</v>
      </c>
      <c r="AC89" s="33">
        <f t="shared" si="18"/>
        <v>201329643.61000001</v>
      </c>
      <c r="AD89" s="33">
        <f t="shared" si="18"/>
        <v>185944076.03999999</v>
      </c>
      <c r="AE89" s="33">
        <f t="shared" si="18"/>
        <v>220735636.97</v>
      </c>
      <c r="AF89" s="33">
        <f t="shared" si="18"/>
        <v>169065025.41000003</v>
      </c>
      <c r="AG89" s="33">
        <f t="shared" si="18"/>
        <v>169041503.39000002</v>
      </c>
      <c r="AH89" s="33">
        <f t="shared" si="18"/>
        <v>175182573.47</v>
      </c>
      <c r="AI89" s="33">
        <f t="shared" si="18"/>
        <v>151886847.56</v>
      </c>
      <c r="AJ89" s="33">
        <f t="shared" si="18"/>
        <v>152339718.16</v>
      </c>
      <c r="AK89" s="33">
        <f t="shared" si="18"/>
        <v>154766639.42000002</v>
      </c>
      <c r="AL89" s="33">
        <f t="shared" si="18"/>
        <v>435019483.77000004</v>
      </c>
      <c r="AM89" s="33">
        <f t="shared" si="18"/>
        <v>426111628.88</v>
      </c>
      <c r="AN89" s="33">
        <f t="shared" si="18"/>
        <v>328013017.86000001</v>
      </c>
      <c r="AO89" s="33">
        <f t="shared" si="18"/>
        <v>129623157.11</v>
      </c>
      <c r="AP89" s="33">
        <f t="shared" si="18"/>
        <v>127154722.02000001</v>
      </c>
      <c r="AQ89" s="33">
        <f t="shared" si="18"/>
        <v>85760991.75</v>
      </c>
      <c r="AR89" s="33">
        <f t="shared" si="18"/>
        <v>1035196913.28</v>
      </c>
      <c r="AS89" s="33">
        <f t="shared" si="18"/>
        <v>966563928.59000003</v>
      </c>
      <c r="AT89" s="33">
        <f t="shared" si="18"/>
        <v>1216763771.4400001</v>
      </c>
      <c r="AU89" s="33">
        <f t="shared" si="18"/>
        <v>478497714.28999996</v>
      </c>
      <c r="AV89" s="33">
        <f t="shared" si="18"/>
        <v>270000000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47500000</v>
      </c>
      <c r="BF89" s="33">
        <f t="shared" si="18"/>
        <v>95500000</v>
      </c>
      <c r="BG89" s="33">
        <f t="shared" si="18"/>
        <v>132500000</v>
      </c>
      <c r="BH89" s="33">
        <f t="shared" si="18"/>
        <v>130894100</v>
      </c>
      <c r="BI89" s="33">
        <f t="shared" si="18"/>
        <v>190219495</v>
      </c>
      <c r="BJ89" s="33">
        <f t="shared" si="18"/>
        <v>70000000</v>
      </c>
      <c r="BK89" s="33">
        <f t="shared" si="18"/>
        <v>80000000</v>
      </c>
      <c r="BL89" s="33">
        <f t="shared" si="18"/>
        <v>70000000</v>
      </c>
      <c r="BM89" s="33">
        <f t="shared" si="18"/>
        <v>20000000</v>
      </c>
      <c r="BN89" s="33">
        <f t="shared" si="18"/>
        <v>94000000</v>
      </c>
      <c r="BO89" s="33">
        <f t="shared" si="18"/>
        <v>99000000</v>
      </c>
      <c r="BP89" s="33">
        <f t="shared" si="18"/>
        <v>99000000</v>
      </c>
      <c r="BQ89" s="33">
        <f t="shared" si="18"/>
        <v>98500000</v>
      </c>
      <c r="BR89" s="33">
        <f t="shared" ref="BR89:CK89" si="19">BR72+BR81</f>
        <v>98500000</v>
      </c>
      <c r="BS89" s="33">
        <f t="shared" si="19"/>
        <v>99055524.030000001</v>
      </c>
      <c r="BT89" s="33">
        <f t="shared" si="19"/>
        <v>89263845.549999997</v>
      </c>
      <c r="BU89" s="33">
        <f t="shared" si="19"/>
        <v>73472167.069999993</v>
      </c>
      <c r="BV89" s="33">
        <f t="shared" si="19"/>
        <v>138668706.72999999</v>
      </c>
      <c r="BW89" s="33">
        <f t="shared" si="19"/>
        <v>104888810.11</v>
      </c>
      <c r="BX89" s="33">
        <f t="shared" si="19"/>
        <v>142097131.63</v>
      </c>
      <c r="BY89" s="33">
        <f t="shared" si="19"/>
        <v>72364447.159999996</v>
      </c>
      <c r="BZ89" s="33">
        <f t="shared" si="19"/>
        <v>0</v>
      </c>
      <c r="CA89" s="33">
        <f t="shared" si="19"/>
        <v>91630449</v>
      </c>
      <c r="CB89" s="33">
        <f t="shared" si="19"/>
        <v>72593281</v>
      </c>
      <c r="CC89" s="33">
        <f t="shared" si="19"/>
        <v>69426503</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2213939223</v>
      </c>
      <c r="C91" s="189">
        <v>2213939223</v>
      </c>
      <c r="D91" s="189">
        <v>2213939223</v>
      </c>
      <c r="E91" s="189">
        <v>2213939223</v>
      </c>
      <c r="F91" s="189">
        <v>2213939223</v>
      </c>
      <c r="G91" s="189">
        <v>2213939223</v>
      </c>
      <c r="H91" s="189">
        <v>2213939223</v>
      </c>
      <c r="I91" s="189">
        <v>2213939223</v>
      </c>
      <c r="J91" s="189">
        <v>2213939223</v>
      </c>
      <c r="K91" s="189">
        <v>2213939223</v>
      </c>
      <c r="L91" s="189">
        <v>2213939223</v>
      </c>
      <c r="M91" s="189">
        <v>2213939223</v>
      </c>
      <c r="N91" s="189">
        <v>2213939223</v>
      </c>
      <c r="O91" s="189">
        <v>2215998393</v>
      </c>
      <c r="P91" s="189">
        <v>1477332262</v>
      </c>
      <c r="Q91" s="189">
        <v>1477332262</v>
      </c>
      <c r="R91" s="189">
        <v>1270362262</v>
      </c>
      <c r="S91" s="189">
        <v>1273709862</v>
      </c>
      <c r="T91" s="189">
        <v>1273709862</v>
      </c>
      <c r="U91" s="189">
        <v>1273709862</v>
      </c>
      <c r="V91" s="189">
        <v>1273709862</v>
      </c>
      <c r="W91" s="189">
        <v>1275527862</v>
      </c>
      <c r="X91" s="189">
        <v>705286590</v>
      </c>
      <c r="Y91" s="189">
        <v>705286590</v>
      </c>
      <c r="Z91" s="189">
        <v>705286590</v>
      </c>
      <c r="AA91" s="189">
        <v>673660590</v>
      </c>
      <c r="AB91" s="189">
        <v>673660590</v>
      </c>
      <c r="AC91" s="189">
        <v>519891723</v>
      </c>
      <c r="AD91" s="189">
        <v>519891723</v>
      </c>
      <c r="AE91" s="189">
        <v>519891723</v>
      </c>
      <c r="AF91" s="189">
        <v>519891723</v>
      </c>
      <c r="AG91" s="189">
        <v>519891723</v>
      </c>
      <c r="AH91" s="189">
        <v>519891723</v>
      </c>
      <c r="AI91" s="189">
        <v>519891723</v>
      </c>
      <c r="AJ91" s="189">
        <v>519891723</v>
      </c>
      <c r="AK91" s="189">
        <v>519891723</v>
      </c>
      <c r="AL91" s="189">
        <v>519891723</v>
      </c>
      <c r="AM91" s="189">
        <v>519891723</v>
      </c>
      <c r="AN91" s="189">
        <v>519891723</v>
      </c>
      <c r="AO91" s="189">
        <v>519891723</v>
      </c>
      <c r="AP91" s="189">
        <v>519891723</v>
      </c>
      <c r="AQ91" s="189">
        <v>519891723</v>
      </c>
      <c r="AR91" s="189">
        <v>399916710</v>
      </c>
      <c r="AS91" s="189">
        <v>399916710</v>
      </c>
      <c r="AT91" s="189">
        <v>399916710</v>
      </c>
      <c r="AU91" s="189">
        <v>399916710</v>
      </c>
      <c r="AV91" s="189">
        <v>399916710</v>
      </c>
      <c r="AW91" s="189">
        <v>399916710</v>
      </c>
      <c r="AX91" s="189">
        <v>399916710</v>
      </c>
      <c r="AY91" s="189">
        <v>399916710</v>
      </c>
      <c r="AZ91" s="189">
        <v>266611140</v>
      </c>
      <c r="BA91" s="189">
        <v>266611140</v>
      </c>
      <c r="BB91" s="189">
        <v>266611140</v>
      </c>
      <c r="BC91" s="189">
        <v>266611140</v>
      </c>
      <c r="BD91" s="189">
        <v>205085492</v>
      </c>
      <c r="BE91" s="189">
        <v>205085492</v>
      </c>
      <c r="BF91" s="189">
        <v>205085492</v>
      </c>
      <c r="BG91" s="189">
        <v>205085492</v>
      </c>
      <c r="BH91" s="189">
        <v>136723661</v>
      </c>
      <c r="BI91" s="189">
        <v>136723661</v>
      </c>
      <c r="BJ91" s="189">
        <v>136723661</v>
      </c>
      <c r="BK91" s="189">
        <v>136723661</v>
      </c>
      <c r="BL91" s="189">
        <v>136723661</v>
      </c>
      <c r="BM91" s="189">
        <v>136723661</v>
      </c>
      <c r="BN91" s="189">
        <v>136723661</v>
      </c>
      <c r="BO91" s="189">
        <v>136723661</v>
      </c>
      <c r="BP91" s="189">
        <v>136723661</v>
      </c>
      <c r="BQ91" s="189">
        <v>136723661</v>
      </c>
      <c r="BR91" s="189">
        <v>136723661</v>
      </c>
      <c r="BS91" s="189">
        <v>136723661</v>
      </c>
      <c r="BT91" s="189">
        <v>113821734</v>
      </c>
      <c r="BU91" s="189">
        <v>113821734</v>
      </c>
      <c r="BV91" s="189">
        <v>113821734</v>
      </c>
      <c r="BW91" s="189">
        <v>113821734</v>
      </c>
      <c r="BX91" s="189">
        <v>73000000</v>
      </c>
      <c r="BY91" s="189">
        <v>73000000</v>
      </c>
      <c r="BZ91" s="189">
        <v>73000000</v>
      </c>
      <c r="CA91" s="189">
        <v>38000000</v>
      </c>
      <c r="CB91" s="189">
        <v>12500000</v>
      </c>
      <c r="CC91" s="189">
        <v>12500000</v>
      </c>
      <c r="CD91" s="189">
        <v>0</v>
      </c>
      <c r="CE91" s="189"/>
      <c r="CF91" s="189"/>
      <c r="CG91" s="189"/>
      <c r="CH91" s="189"/>
      <c r="CI91" s="189"/>
      <c r="CJ91" s="189"/>
      <c r="CK91" s="189"/>
      <c r="CL91" s="189"/>
    </row>
    <row r="92" spans="1:90" x14ac:dyDescent="0.25">
      <c r="A92" s="128" t="s">
        <v>63</v>
      </c>
      <c r="B92" s="189">
        <v>1278768580.22</v>
      </c>
      <c r="C92" s="189">
        <v>1278768580.22</v>
      </c>
      <c r="D92" s="189">
        <v>1278768580.22</v>
      </c>
      <c r="E92" s="189">
        <v>1278768580.22</v>
      </c>
      <c r="F92" s="189">
        <v>1278768580.22</v>
      </c>
      <c r="G92" s="189">
        <v>1278768580.22</v>
      </c>
      <c r="H92" s="189">
        <v>1278768580.22</v>
      </c>
      <c r="I92" s="189">
        <v>1278768580.22</v>
      </c>
      <c r="J92" s="189">
        <v>1278768580.22</v>
      </c>
      <c r="K92" s="189">
        <v>1278768580.22</v>
      </c>
      <c r="L92" s="189">
        <v>1278768580.22</v>
      </c>
      <c r="M92" s="189">
        <v>1278768580.22</v>
      </c>
      <c r="N92" s="189">
        <v>1278588580.22</v>
      </c>
      <c r="O92" s="189">
        <v>1288883166.7</v>
      </c>
      <c r="P92" s="189">
        <v>2024745668.97</v>
      </c>
      <c r="Q92" s="189">
        <v>2020540225.8599999</v>
      </c>
      <c r="R92" s="189">
        <v>2259426048.2600002</v>
      </c>
      <c r="S92" s="189">
        <v>2276985106.9400001</v>
      </c>
      <c r="T92" s="189">
        <v>2267826802.6399999</v>
      </c>
      <c r="U92" s="189">
        <v>2258668498.3400002</v>
      </c>
      <c r="V92" s="189">
        <v>2236520343.4499998</v>
      </c>
      <c r="W92" s="189">
        <v>2234713099.77</v>
      </c>
      <c r="X92" s="189">
        <v>2737085046.48</v>
      </c>
      <c r="Y92" s="189">
        <v>2724892791.21</v>
      </c>
      <c r="Z92" s="189">
        <v>2816393871.7800002</v>
      </c>
      <c r="AA92" s="189">
        <v>2443839591.7800002</v>
      </c>
      <c r="AB92" s="189">
        <v>2320123615.1300001</v>
      </c>
      <c r="AC92" s="189">
        <v>276185737.31999999</v>
      </c>
      <c r="AD92" s="189">
        <v>253381468.88</v>
      </c>
      <c r="AE92" s="189">
        <v>370272910.88</v>
      </c>
      <c r="AF92" s="189">
        <v>385612010.88</v>
      </c>
      <c r="AG92" s="189">
        <v>433285960.88</v>
      </c>
      <c r="AH92" s="189">
        <v>411217410.88</v>
      </c>
      <c r="AI92" s="189">
        <v>378809460.88</v>
      </c>
      <c r="AJ92" s="189">
        <v>415719860.88</v>
      </c>
      <c r="AK92" s="189">
        <v>458504610.88</v>
      </c>
      <c r="AL92" s="189">
        <v>415294860.88</v>
      </c>
      <c r="AM92" s="189">
        <v>407105049.88</v>
      </c>
      <c r="AN92" s="189">
        <v>326334030.13</v>
      </c>
      <c r="AO92" s="189">
        <v>221496821.93000001</v>
      </c>
      <c r="AP92" s="189">
        <v>290604033.49000001</v>
      </c>
      <c r="AQ92" s="189">
        <v>381596376.39999998</v>
      </c>
      <c r="AR92" s="189">
        <v>645970285.35000002</v>
      </c>
      <c r="AS92" s="189">
        <v>1571361977.3</v>
      </c>
      <c r="AT92" s="189">
        <v>1131633313.6500001</v>
      </c>
      <c r="AU92" s="189">
        <v>623843396.53999996</v>
      </c>
      <c r="AV92" s="189">
        <v>476305372.54000002</v>
      </c>
      <c r="AW92" s="189">
        <v>411592256.72000003</v>
      </c>
      <c r="AX92" s="189">
        <v>397481532.50999999</v>
      </c>
      <c r="AY92" s="189">
        <v>397481318.11000001</v>
      </c>
      <c r="AZ92" s="189">
        <v>530786888.11000001</v>
      </c>
      <c r="BA92" s="189">
        <v>530786888.11000001</v>
      </c>
      <c r="BB92" s="189">
        <v>530785038.11000001</v>
      </c>
      <c r="BC92" s="189">
        <v>530690032.11000001</v>
      </c>
      <c r="BD92" s="189">
        <v>592215680.11000001</v>
      </c>
      <c r="BE92" s="189">
        <v>592215680.11000001</v>
      </c>
      <c r="BF92" s="189">
        <v>591884314.65999997</v>
      </c>
      <c r="BG92" s="189">
        <v>588631813.00999999</v>
      </c>
      <c r="BH92" s="189">
        <v>657114426.23000002</v>
      </c>
      <c r="BI92" s="189">
        <v>656797141.63</v>
      </c>
      <c r="BJ92" s="189">
        <v>656762773.75999999</v>
      </c>
      <c r="BK92" s="189">
        <v>648698059.75999999</v>
      </c>
      <c r="BL92" s="189">
        <v>640655379.75999999</v>
      </c>
      <c r="BM92" s="189">
        <v>640555281.75999999</v>
      </c>
      <c r="BN92" s="189">
        <v>639939010.39999998</v>
      </c>
      <c r="BO92" s="189">
        <v>639939010.39999998</v>
      </c>
      <c r="BP92" s="189">
        <v>639774313.00999999</v>
      </c>
      <c r="BQ92" s="189">
        <v>639774313.00999999</v>
      </c>
      <c r="BR92" s="189">
        <v>639774313.00999999</v>
      </c>
      <c r="BS92" s="189">
        <v>639218788.98000002</v>
      </c>
      <c r="BT92" s="189">
        <v>439886833.74000001</v>
      </c>
      <c r="BU92" s="189">
        <v>439886833.74000001</v>
      </c>
      <c r="BV92" s="189">
        <v>439886833.74000001</v>
      </c>
      <c r="BW92" s="189">
        <v>439886833.74000001</v>
      </c>
      <c r="BX92" s="189">
        <v>309924232.63999999</v>
      </c>
      <c r="BY92" s="189">
        <v>309924232.63999999</v>
      </c>
      <c r="BZ92" s="189">
        <v>316453297.04000002</v>
      </c>
      <c r="CA92" s="189">
        <v>13995752</v>
      </c>
      <c r="CB92" s="189">
        <v>915752</v>
      </c>
      <c r="CC92" s="189">
        <v>0</v>
      </c>
      <c r="CD92" s="189">
        <v>0</v>
      </c>
      <c r="CE92" s="189"/>
      <c r="CF92" s="189"/>
      <c r="CG92" s="189"/>
      <c r="CH92" s="189"/>
      <c r="CI92" s="189"/>
      <c r="CJ92" s="189"/>
      <c r="CK92" s="189"/>
      <c r="CL92" s="189"/>
    </row>
    <row r="93" spans="1:90" x14ac:dyDescent="0.25">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0</v>
      </c>
      <c r="C94" s="189">
        <v>0</v>
      </c>
      <c r="D94" s="189">
        <v>0</v>
      </c>
      <c r="E94" s="189">
        <v>0</v>
      </c>
      <c r="F94" s="189">
        <v>0</v>
      </c>
      <c r="G94" s="189">
        <v>0</v>
      </c>
      <c r="H94" s="189">
        <v>0</v>
      </c>
      <c r="I94" s="189">
        <v>0</v>
      </c>
      <c r="J94" s="189">
        <v>0</v>
      </c>
      <c r="K94" s="189">
        <v>0</v>
      </c>
      <c r="L94" s="189">
        <v>0</v>
      </c>
      <c r="M94" s="189">
        <v>0</v>
      </c>
      <c r="N94" s="189">
        <v>0</v>
      </c>
      <c r="O94" s="189">
        <v>0</v>
      </c>
      <c r="P94" s="189">
        <v>0</v>
      </c>
      <c r="Q94" s="189">
        <v>0</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2882921.51</v>
      </c>
      <c r="C95" s="189">
        <v>2627556.62</v>
      </c>
      <c r="D95" s="189">
        <v>2412860.4700000002</v>
      </c>
      <c r="E95" s="189">
        <v>2165972.85</v>
      </c>
      <c r="F95" s="189">
        <v>1977183.63</v>
      </c>
      <c r="G95" s="189">
        <v>1750963.46</v>
      </c>
      <c r="H95" s="189">
        <v>1541702.62</v>
      </c>
      <c r="I95" s="189">
        <v>1346957.51</v>
      </c>
      <c r="J95" s="189">
        <v>1440336.1</v>
      </c>
      <c r="K95" s="189">
        <v>1194552.99</v>
      </c>
      <c r="L95" s="189">
        <v>1191673.33</v>
      </c>
      <c r="M95" s="189">
        <v>1096650.75</v>
      </c>
      <c r="N95" s="189">
        <v>869227.29</v>
      </c>
      <c r="O95" s="189">
        <v>740454.12</v>
      </c>
      <c r="P95" s="189">
        <v>464250.76</v>
      </c>
      <c r="Q95" s="189">
        <v>281615.84000000003</v>
      </c>
      <c r="R95" s="189">
        <v>846846.35</v>
      </c>
      <c r="S95" s="189">
        <v>945761.49</v>
      </c>
      <c r="T95" s="189">
        <v>531437.39</v>
      </c>
      <c r="U95" s="189">
        <v>395350.17</v>
      </c>
      <c r="V95" s="189">
        <v>218804.6</v>
      </c>
      <c r="W95" s="189">
        <v>10539.39</v>
      </c>
      <c r="X95" s="189">
        <v>328775.53999999998</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2274070668.4699998</v>
      </c>
      <c r="C96" s="189">
        <v>2274070668.4699998</v>
      </c>
      <c r="D96" s="189">
        <v>2274070668.4699998</v>
      </c>
      <c r="E96" s="189">
        <v>2274070668.4699998</v>
      </c>
      <c r="F96" s="189">
        <v>1951071439.6900001</v>
      </c>
      <c r="G96" s="189">
        <v>1951071439.6900001</v>
      </c>
      <c r="H96" s="189">
        <v>1951071439.6900001</v>
      </c>
      <c r="I96" s="189">
        <v>1951071439.6900001</v>
      </c>
      <c r="J96" s="189">
        <v>1554726589.1900001</v>
      </c>
      <c r="K96" s="189">
        <v>1554726589.1800001</v>
      </c>
      <c r="L96" s="189">
        <v>1554726589.1800001</v>
      </c>
      <c r="M96" s="189">
        <v>1554726589.1800001</v>
      </c>
      <c r="N96" s="189">
        <v>1255734345.4400001</v>
      </c>
      <c r="O96" s="189">
        <v>1255734345.4400001</v>
      </c>
      <c r="P96" s="189">
        <v>1255734345.4400001</v>
      </c>
      <c r="Q96" s="189">
        <v>1255734345.4400001</v>
      </c>
      <c r="R96" s="189">
        <v>860127771.41999996</v>
      </c>
      <c r="S96" s="189">
        <v>860127771.41999996</v>
      </c>
      <c r="T96" s="189">
        <v>860127771.41999996</v>
      </c>
      <c r="U96" s="189">
        <v>860127771.41999996</v>
      </c>
      <c r="V96" s="189">
        <v>676822408.36000001</v>
      </c>
      <c r="W96" s="189">
        <v>676822408.36000001</v>
      </c>
      <c r="X96" s="189">
        <v>676822408.36000001</v>
      </c>
      <c r="Y96" s="189">
        <v>676822408.36000001</v>
      </c>
      <c r="Z96" s="189">
        <v>523207061.33999997</v>
      </c>
      <c r="AA96" s="189">
        <v>523207061.33999997</v>
      </c>
      <c r="AB96" s="189">
        <v>523207061.33999997</v>
      </c>
      <c r="AC96" s="189">
        <v>523207061.33999997</v>
      </c>
      <c r="AD96" s="189">
        <v>404789768.01999998</v>
      </c>
      <c r="AE96" s="189">
        <v>404789768.01999998</v>
      </c>
      <c r="AF96" s="189">
        <v>404789768.01999998</v>
      </c>
      <c r="AG96" s="189">
        <v>404789768.01999998</v>
      </c>
      <c r="AH96" s="189">
        <v>317962760.52999997</v>
      </c>
      <c r="AI96" s="189">
        <v>317962760.52999997</v>
      </c>
      <c r="AJ96" s="189">
        <v>317962760.52999997</v>
      </c>
      <c r="AK96" s="189">
        <v>317962760.52999997</v>
      </c>
      <c r="AL96" s="189">
        <v>260974589.40000001</v>
      </c>
      <c r="AM96" s="189">
        <v>260974589.40000001</v>
      </c>
      <c r="AN96" s="189">
        <v>260974589.40000001</v>
      </c>
      <c r="AO96" s="189">
        <v>260974589.40000001</v>
      </c>
      <c r="AP96" s="189">
        <v>203384337.31</v>
      </c>
      <c r="AQ96" s="189">
        <v>203384337.31</v>
      </c>
      <c r="AR96" s="189">
        <v>203384337.31</v>
      </c>
      <c r="AS96" s="189">
        <v>203384337.31</v>
      </c>
      <c r="AT96" s="189">
        <v>169067341.65000001</v>
      </c>
      <c r="AU96" s="189">
        <v>169067341.65000001</v>
      </c>
      <c r="AV96" s="189">
        <v>169064988.90000001</v>
      </c>
      <c r="AW96" s="189">
        <v>160327753.03999999</v>
      </c>
      <c r="AX96" s="189">
        <v>137690460.25</v>
      </c>
      <c r="AY96" s="189">
        <v>137690460.25</v>
      </c>
      <c r="AZ96" s="189">
        <v>137690460.25</v>
      </c>
      <c r="BA96" s="189">
        <v>137690460.25</v>
      </c>
      <c r="BB96" s="189">
        <v>109838764.7</v>
      </c>
      <c r="BC96" s="189">
        <v>109838764.7</v>
      </c>
      <c r="BD96" s="189">
        <v>109838764.7</v>
      </c>
      <c r="BE96" s="189">
        <v>109838764.7</v>
      </c>
      <c r="BF96" s="189">
        <v>88286218.700000003</v>
      </c>
      <c r="BG96" s="189">
        <v>88286218.700000003</v>
      </c>
      <c r="BH96" s="189">
        <v>88286218.700000003</v>
      </c>
      <c r="BI96" s="189">
        <v>88286218.700000003</v>
      </c>
      <c r="BJ96" s="189">
        <v>69048030.489999995</v>
      </c>
      <c r="BK96" s="189">
        <v>69048030.489999995</v>
      </c>
      <c r="BL96" s="189">
        <v>69048030.489999995</v>
      </c>
      <c r="BM96" s="189">
        <v>69048030.489999995</v>
      </c>
      <c r="BN96" s="189">
        <v>53439328.950000003</v>
      </c>
      <c r="BO96" s="189">
        <v>53439328.950000003</v>
      </c>
      <c r="BP96" s="189">
        <v>53439328.950000003</v>
      </c>
      <c r="BQ96" s="189">
        <v>53439328.950000003</v>
      </c>
      <c r="BR96" s="189">
        <v>38498520.469999999</v>
      </c>
      <c r="BS96" s="189">
        <v>38675556.899999999</v>
      </c>
      <c r="BT96" s="189">
        <v>30349207.629999999</v>
      </c>
      <c r="BU96" s="189">
        <v>30349207.629999999</v>
      </c>
      <c r="BV96" s="189">
        <v>21040090.050000001</v>
      </c>
      <c r="BW96" s="189">
        <v>21040090.050000001</v>
      </c>
      <c r="BX96" s="189">
        <v>12187330.789999999</v>
      </c>
      <c r="BY96" s="189">
        <v>12187330.789999999</v>
      </c>
      <c r="BZ96" s="189">
        <v>5792432.96</v>
      </c>
      <c r="CA96" s="189">
        <v>5792433</v>
      </c>
      <c r="CB96" s="189">
        <v>2611679</v>
      </c>
      <c r="CC96" s="189">
        <v>382188</v>
      </c>
      <c r="CD96" s="189">
        <v>0</v>
      </c>
      <c r="CE96" s="189">
        <v>34778000</v>
      </c>
      <c r="CF96" s="189">
        <v>10546287.800000001</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8821552102.8500004</v>
      </c>
      <c r="C98" s="189">
        <v>8240317876.1400003</v>
      </c>
      <c r="D98" s="189">
        <v>9025489105.9400005</v>
      </c>
      <c r="E98" s="189">
        <v>8730792974.2900009</v>
      </c>
      <c r="F98" s="189">
        <v>7826934155.3100004</v>
      </c>
      <c r="G98" s="189">
        <v>6729650058.6000004</v>
      </c>
      <c r="H98" s="189">
        <v>8454753649.5799999</v>
      </c>
      <c r="I98" s="189">
        <v>8138537519.4799995</v>
      </c>
      <c r="J98" s="189">
        <v>6767475358.4200001</v>
      </c>
      <c r="K98" s="189">
        <v>5726438003.1000004</v>
      </c>
      <c r="L98" s="189">
        <v>8190580282.3100004</v>
      </c>
      <c r="M98" s="189">
        <v>7812045638.79</v>
      </c>
      <c r="N98" s="189">
        <v>6441118610.9399996</v>
      </c>
      <c r="O98" s="189">
        <v>5519415638.3800001</v>
      </c>
      <c r="P98" s="189">
        <v>6424092875.4700003</v>
      </c>
      <c r="Q98" s="189">
        <v>6050572478.5200005</v>
      </c>
      <c r="R98" s="189">
        <v>4847380170.1400003</v>
      </c>
      <c r="S98" s="189">
        <v>4414090129.0299997</v>
      </c>
      <c r="T98" s="189">
        <v>4637254881.54</v>
      </c>
      <c r="U98" s="189">
        <v>4354160425.9899998</v>
      </c>
      <c r="V98" s="189">
        <v>3618008569.8200002</v>
      </c>
      <c r="W98" s="189">
        <v>3346208932.1900001</v>
      </c>
      <c r="X98" s="189">
        <v>3473330574.9899998</v>
      </c>
      <c r="Y98" s="189">
        <v>3207884211.3800001</v>
      </c>
      <c r="Z98" s="189">
        <v>2784821778.9699998</v>
      </c>
      <c r="AA98" s="189">
        <v>2401467497.02</v>
      </c>
      <c r="AB98" s="189">
        <v>2255232513.73</v>
      </c>
      <c r="AC98" s="189">
        <v>2013876191.3199999</v>
      </c>
      <c r="AD98" s="189">
        <v>1699206020.0799999</v>
      </c>
      <c r="AE98" s="189">
        <v>1390089134.01</v>
      </c>
      <c r="AF98" s="189">
        <v>1301509826.4300001</v>
      </c>
      <c r="AG98" s="189">
        <v>1124276261.53</v>
      </c>
      <c r="AH98" s="189">
        <v>897403793.02999997</v>
      </c>
      <c r="AI98" s="189">
        <v>713081195.27999997</v>
      </c>
      <c r="AJ98" s="189">
        <v>1012630293.97</v>
      </c>
      <c r="AK98" s="189">
        <v>871330568.09000003</v>
      </c>
      <c r="AL98" s="189">
        <v>702242752.16999996</v>
      </c>
      <c r="AM98" s="189">
        <v>557138403.88</v>
      </c>
      <c r="AN98" s="189">
        <v>731662776.19000006</v>
      </c>
      <c r="AO98" s="189">
        <v>676768629.24000001</v>
      </c>
      <c r="AP98" s="189">
        <v>578698100.84000003</v>
      </c>
      <c r="AQ98" s="189">
        <v>600179732.29999995</v>
      </c>
      <c r="AR98" s="189">
        <v>743874842.48000002</v>
      </c>
      <c r="AS98" s="189">
        <v>483535172.94</v>
      </c>
      <c r="AT98" s="189">
        <v>322927101.92000002</v>
      </c>
      <c r="AU98" s="189">
        <v>258711026.63</v>
      </c>
      <c r="AV98" s="189">
        <v>198524398.88999999</v>
      </c>
      <c r="AW98" s="189">
        <v>275355376.79000002</v>
      </c>
      <c r="AX98" s="189">
        <v>204642796.55000001</v>
      </c>
      <c r="AY98" s="189">
        <v>155084888.91</v>
      </c>
      <c r="AZ98" s="189">
        <v>378358780.41000003</v>
      </c>
      <c r="BA98" s="189">
        <v>343862142.16000003</v>
      </c>
      <c r="BB98" s="189">
        <v>300355206.68000001</v>
      </c>
      <c r="BC98" s="189">
        <v>252823352.30000001</v>
      </c>
      <c r="BD98" s="189">
        <v>213907012.43000001</v>
      </c>
      <c r="BE98" s="189">
        <v>288578613.38</v>
      </c>
      <c r="BF98" s="189">
        <v>257256101.18000001</v>
      </c>
      <c r="BG98" s="189">
        <v>208565356.21000001</v>
      </c>
      <c r="BH98" s="189">
        <v>241791162.84999999</v>
      </c>
      <c r="BI98" s="189">
        <v>221136983.80000001</v>
      </c>
      <c r="BJ98" s="189">
        <v>183827756.66999999</v>
      </c>
      <c r="BK98" s="189">
        <v>139092933.38999999</v>
      </c>
      <c r="BL98" s="189">
        <v>136532592.09</v>
      </c>
      <c r="BM98" s="189">
        <v>112120583.95</v>
      </c>
      <c r="BN98" s="189">
        <v>85790879.280000001</v>
      </c>
      <c r="BO98" s="189">
        <v>56665969.380000003</v>
      </c>
      <c r="BP98" s="189">
        <v>35444280.030000001</v>
      </c>
      <c r="BQ98" s="189">
        <v>23671275.23</v>
      </c>
      <c r="BR98" s="189">
        <v>51151170.280000001</v>
      </c>
      <c r="BS98" s="189">
        <v>22044096.879999999</v>
      </c>
      <c r="BT98" s="189">
        <v>76025353.109999999</v>
      </c>
      <c r="BU98" s="189">
        <v>56895647.590000004</v>
      </c>
      <c r="BV98" s="189">
        <v>25682219.859999999</v>
      </c>
      <c r="BW98" s="189">
        <v>4143981.35</v>
      </c>
      <c r="BX98" s="189">
        <v>31224982.199999999</v>
      </c>
      <c r="BY98" s="189">
        <v>10889212.560000001</v>
      </c>
      <c r="BZ98" s="189">
        <v>36805088.310000002</v>
      </c>
      <c r="CA98" s="189">
        <v>18451458</v>
      </c>
      <c r="CB98" s="189">
        <v>12927188</v>
      </c>
      <c r="CC98" s="189">
        <v>293402</v>
      </c>
      <c r="CD98" s="189">
        <v>0</v>
      </c>
      <c r="CE98" s="189">
        <v>129889000</v>
      </c>
      <c r="CF98" s="189">
        <v>81321459.170000002</v>
      </c>
      <c r="CG98" s="189">
        <v>12975517.09</v>
      </c>
      <c r="CH98" s="189">
        <v>0</v>
      </c>
      <c r="CI98" s="189">
        <v>0</v>
      </c>
      <c r="CJ98" s="189">
        <v>0</v>
      </c>
      <c r="CK98" s="189">
        <v>0</v>
      </c>
      <c r="CL98" s="189">
        <v>0</v>
      </c>
    </row>
    <row r="99" spans="1:90" x14ac:dyDescent="0.25">
      <c r="A99" s="128" t="s">
        <v>70</v>
      </c>
      <c r="B99" s="189">
        <v>18000000</v>
      </c>
      <c r="C99" s="189">
        <v>1124969611.5</v>
      </c>
      <c r="D99" s="189">
        <v>0</v>
      </c>
      <c r="E99" s="189">
        <v>0</v>
      </c>
      <c r="F99" s="189">
        <v>0</v>
      </c>
      <c r="G99" s="189">
        <v>0</v>
      </c>
      <c r="H99" s="189">
        <v>0</v>
      </c>
      <c r="I99" s="189">
        <v>0</v>
      </c>
      <c r="J99" s="189">
        <v>0</v>
      </c>
      <c r="K99" s="189">
        <v>0</v>
      </c>
      <c r="L99" s="189">
        <v>0</v>
      </c>
      <c r="M99" s="189">
        <v>0</v>
      </c>
      <c r="N99" s="189">
        <v>0</v>
      </c>
      <c r="O99" s="189">
        <v>44312571.109999999</v>
      </c>
      <c r="P99" s="189">
        <v>18814751.109999999</v>
      </c>
      <c r="Q99" s="189">
        <v>18814751.109999999</v>
      </c>
      <c r="R99" s="189">
        <v>18814751.109999999</v>
      </c>
      <c r="S99" s="189">
        <v>42621880</v>
      </c>
      <c r="T99" s="189">
        <v>17091760</v>
      </c>
      <c r="U99" s="189">
        <v>17091760</v>
      </c>
      <c r="V99" s="189">
        <v>17518760</v>
      </c>
      <c r="W99" s="189">
        <v>22138200</v>
      </c>
      <c r="X99" s="189">
        <v>0</v>
      </c>
      <c r="Y99" s="189">
        <v>0</v>
      </c>
      <c r="Z99" s="189">
        <v>0</v>
      </c>
      <c r="AA99" s="189">
        <v>0</v>
      </c>
      <c r="AB99" s="189">
        <v>0</v>
      </c>
      <c r="AC99" s="189">
        <v>0</v>
      </c>
      <c r="AD99" s="189">
        <v>0</v>
      </c>
      <c r="AE99" s="189">
        <v>0</v>
      </c>
      <c r="AF99" s="189">
        <v>0</v>
      </c>
      <c r="AG99" s="189">
        <v>0</v>
      </c>
      <c r="AH99" s="189">
        <v>0</v>
      </c>
      <c r="AI99" s="189">
        <v>0</v>
      </c>
      <c r="AJ99" s="189">
        <v>0</v>
      </c>
      <c r="AK99" s="189">
        <v>0</v>
      </c>
      <c r="AL99" s="189">
        <v>0</v>
      </c>
      <c r="AM99" s="189">
        <v>0</v>
      </c>
      <c r="AN99" s="189">
        <v>0</v>
      </c>
      <c r="AO99" s="189">
        <v>0</v>
      </c>
      <c r="AP99" s="189">
        <v>0</v>
      </c>
      <c r="AQ99" s="189">
        <v>0</v>
      </c>
      <c r="AR99" s="189">
        <v>0</v>
      </c>
      <c r="AS99" s="189">
        <v>0</v>
      </c>
      <c r="AT99" s="189">
        <v>0</v>
      </c>
      <c r="AU99" s="189">
        <v>0</v>
      </c>
      <c r="AV99" s="189">
        <v>199958355</v>
      </c>
      <c r="AW99" s="189">
        <v>0</v>
      </c>
      <c r="AX99" s="189">
        <v>0</v>
      </c>
      <c r="AY99" s="189">
        <v>0</v>
      </c>
      <c r="AZ99" s="189">
        <v>0</v>
      </c>
      <c r="BA99" s="189">
        <v>0</v>
      </c>
      <c r="BB99" s="189">
        <v>0</v>
      </c>
      <c r="BC99" s="189">
        <v>0</v>
      </c>
      <c r="BD99" s="189">
        <v>102542746</v>
      </c>
      <c r="BE99" s="189">
        <v>0</v>
      </c>
      <c r="BF99" s="189">
        <v>4775328</v>
      </c>
      <c r="BG99" s="189">
        <v>6855328</v>
      </c>
      <c r="BH99" s="189">
        <v>1417320</v>
      </c>
      <c r="BI99" s="189">
        <v>1417320</v>
      </c>
      <c r="BJ99" s="189">
        <v>20720214.399999999</v>
      </c>
      <c r="BK99" s="189">
        <v>1417320</v>
      </c>
      <c r="BL99" s="189">
        <v>1417320</v>
      </c>
      <c r="BM99" s="189">
        <v>1417320</v>
      </c>
      <c r="BN99" s="189">
        <v>1417320</v>
      </c>
      <c r="BO99" s="189">
        <v>1417320</v>
      </c>
      <c r="BP99" s="189">
        <v>82034196.599999994</v>
      </c>
      <c r="BQ99" s="189">
        <v>82034196.599999994</v>
      </c>
      <c r="BR99" s="189">
        <v>82034196.599999994</v>
      </c>
      <c r="BS99" s="189">
        <v>82034196.599999994</v>
      </c>
      <c r="BT99" s="189">
        <v>0</v>
      </c>
      <c r="BU99" s="189">
        <v>0</v>
      </c>
      <c r="BV99" s="189">
        <v>26099645.859999999</v>
      </c>
      <c r="BW99" s="189">
        <v>56910867</v>
      </c>
      <c r="BX99" s="189">
        <v>0</v>
      </c>
      <c r="BY99" s="189">
        <v>43800000</v>
      </c>
      <c r="BZ99" s="189">
        <v>0</v>
      </c>
      <c r="CA99" s="189">
        <v>0</v>
      </c>
      <c r="CB99" s="189">
        <v>1009788</v>
      </c>
      <c r="CC99" s="189">
        <v>2053750</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v>0</v>
      </c>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15591213496.049999</v>
      </c>
      <c r="C102" s="189">
        <v>15009723904.450001</v>
      </c>
      <c r="D102" s="189">
        <v>15794680438.1</v>
      </c>
      <c r="E102" s="189">
        <v>15499737418.83</v>
      </c>
      <c r="F102" s="189">
        <v>13272690581.85</v>
      </c>
      <c r="G102" s="189">
        <v>12175180264.969999</v>
      </c>
      <c r="H102" s="189">
        <v>13900074595.110001</v>
      </c>
      <c r="I102" s="189">
        <v>13583663719.9</v>
      </c>
      <c r="J102" s="189">
        <v>11816350086.93</v>
      </c>
      <c r="K102" s="189">
        <v>10775066948.49</v>
      </c>
      <c r="L102" s="189">
        <v>13239206348.040001</v>
      </c>
      <c r="M102" s="189">
        <v>12860576681.940001</v>
      </c>
      <c r="N102" s="189">
        <v>11190249986.889999</v>
      </c>
      <c r="O102" s="189">
        <v>10280771997.639999</v>
      </c>
      <c r="P102" s="189">
        <v>11182369402.639999</v>
      </c>
      <c r="Q102" s="189">
        <v>10804460927.66</v>
      </c>
      <c r="R102" s="189">
        <v>9238143098.1700001</v>
      </c>
      <c r="S102" s="189">
        <v>8825858630.8799992</v>
      </c>
      <c r="T102" s="189">
        <v>9039450754.9899998</v>
      </c>
      <c r="U102" s="189">
        <v>8747061907.9200001</v>
      </c>
      <c r="V102" s="189">
        <v>7805279988.2299995</v>
      </c>
      <c r="W102" s="189">
        <v>7533282841.71</v>
      </c>
      <c r="X102" s="189">
        <v>7592853395.3699999</v>
      </c>
      <c r="Y102" s="189">
        <v>7314886000.9499998</v>
      </c>
      <c r="Z102" s="189">
        <v>6829709302.0900002</v>
      </c>
      <c r="AA102" s="189">
        <v>6042174740.1400003</v>
      </c>
      <c r="AB102" s="189">
        <v>5772223780.1999998</v>
      </c>
      <c r="AC102" s="189">
        <v>3333160712.98</v>
      </c>
      <c r="AD102" s="189">
        <v>2877268979.98</v>
      </c>
      <c r="AE102" s="189">
        <v>2685043535.9099998</v>
      </c>
      <c r="AF102" s="189">
        <v>2611803328.3299999</v>
      </c>
      <c r="AG102" s="189">
        <v>2482243713.4299998</v>
      </c>
      <c r="AH102" s="189">
        <v>2146475687.4400001</v>
      </c>
      <c r="AI102" s="189">
        <v>1929745139.6900001</v>
      </c>
      <c r="AJ102" s="189">
        <v>2266204638.3800001</v>
      </c>
      <c r="AK102" s="189">
        <v>2167689662.5</v>
      </c>
      <c r="AL102" s="189">
        <v>1898403925.45</v>
      </c>
      <c r="AM102" s="189">
        <v>1745109766.1600001</v>
      </c>
      <c r="AN102" s="189">
        <v>1838863118.72</v>
      </c>
      <c r="AO102" s="189">
        <v>1679131763.5699999</v>
      </c>
      <c r="AP102" s="189">
        <v>1592578194.6400001</v>
      </c>
      <c r="AQ102" s="189">
        <v>1705052169.01</v>
      </c>
      <c r="AR102" s="189">
        <v>1993146175.1400001</v>
      </c>
      <c r="AS102" s="189">
        <v>2658198197.5500002</v>
      </c>
      <c r="AT102" s="189">
        <v>2023544467.22</v>
      </c>
      <c r="AU102" s="189">
        <v>1451538474.8199999</v>
      </c>
      <c r="AV102" s="189">
        <v>1243811470.3299999</v>
      </c>
      <c r="AW102" s="189">
        <v>1247192096.55</v>
      </c>
      <c r="AX102" s="189">
        <v>1139731499.3099999</v>
      </c>
      <c r="AY102" s="189">
        <v>1090173377.27</v>
      </c>
      <c r="AZ102" s="189">
        <v>1313447268.77</v>
      </c>
      <c r="BA102" s="189">
        <v>1278950630.52</v>
      </c>
      <c r="BB102" s="189">
        <v>1207590149.49</v>
      </c>
      <c r="BC102" s="189">
        <v>1159963289.1099999</v>
      </c>
      <c r="BD102" s="189">
        <v>1121046949.24</v>
      </c>
      <c r="BE102" s="189">
        <v>1195718550.1900001</v>
      </c>
      <c r="BF102" s="189">
        <v>1142512126.54</v>
      </c>
      <c r="BG102" s="189">
        <v>1090568879.9200001</v>
      </c>
      <c r="BH102" s="189">
        <v>1123915468.78</v>
      </c>
      <c r="BI102" s="189">
        <v>1102944005.1300001</v>
      </c>
      <c r="BJ102" s="189">
        <v>1046362221.92</v>
      </c>
      <c r="BK102" s="189">
        <v>993562684.63999999</v>
      </c>
      <c r="BL102" s="189">
        <v>982959663.34000003</v>
      </c>
      <c r="BM102" s="189">
        <v>958447557.20000005</v>
      </c>
      <c r="BN102" s="189">
        <v>915892879.63</v>
      </c>
      <c r="BO102" s="189">
        <v>886767969.73000002</v>
      </c>
      <c r="BP102" s="189">
        <v>865381582.99000001</v>
      </c>
      <c r="BQ102" s="189">
        <v>853608578.19000006</v>
      </c>
      <c r="BR102" s="189">
        <v>866147664.75999999</v>
      </c>
      <c r="BS102" s="189">
        <v>836662103.75999999</v>
      </c>
      <c r="BT102" s="189">
        <v>660083128.48000002</v>
      </c>
      <c r="BU102" s="189">
        <v>640953422.96000004</v>
      </c>
      <c r="BV102" s="189">
        <v>600430877.64999998</v>
      </c>
      <c r="BW102" s="189">
        <v>578892639.13999999</v>
      </c>
      <c r="BX102" s="189">
        <v>426336545.63</v>
      </c>
      <c r="BY102" s="189">
        <v>406000775.99000001</v>
      </c>
      <c r="BZ102" s="189">
        <v>432050818.31</v>
      </c>
      <c r="CA102" s="189">
        <v>76239643</v>
      </c>
      <c r="CB102" s="189">
        <v>28954619</v>
      </c>
      <c r="CC102" s="189">
        <v>13175590</v>
      </c>
      <c r="CD102" s="189">
        <v>0</v>
      </c>
      <c r="CE102" s="189">
        <v>1079642000</v>
      </c>
      <c r="CF102" s="189">
        <v>1003922431.86</v>
      </c>
      <c r="CG102" s="189">
        <v>492362941.67000002</v>
      </c>
      <c r="CH102" s="189">
        <v>203800000</v>
      </c>
      <c r="CI102" s="189">
        <v>162870000</v>
      </c>
      <c r="CJ102" s="189">
        <v>92660000</v>
      </c>
      <c r="CK102" s="189">
        <v>75420000</v>
      </c>
      <c r="CL102" s="189">
        <v>0</v>
      </c>
    </row>
    <row r="103" spans="1:90" x14ac:dyDescent="0.25">
      <c r="A103" s="128" t="s">
        <v>73</v>
      </c>
      <c r="B103" s="189">
        <v>102408740.8</v>
      </c>
      <c r="C103" s="189">
        <v>98373009.700000003</v>
      </c>
      <c r="D103" s="189">
        <v>109450258.17</v>
      </c>
      <c r="E103" s="189">
        <v>106120440.73999999</v>
      </c>
      <c r="F103" s="189">
        <v>94642324.810000002</v>
      </c>
      <c r="G103" s="189">
        <v>89182158.5</v>
      </c>
      <c r="H103" s="189">
        <v>106650979.79000001</v>
      </c>
      <c r="I103" s="189">
        <v>95447213.359999999</v>
      </c>
      <c r="J103" s="189">
        <v>98292816.290000007</v>
      </c>
      <c r="K103" s="189">
        <v>69182659.560000002</v>
      </c>
      <c r="L103" s="189">
        <v>95365309.459999993</v>
      </c>
      <c r="M103" s="189">
        <v>78808606.700000003</v>
      </c>
      <c r="N103" s="189">
        <v>68695959.870000005</v>
      </c>
      <c r="O103" s="189">
        <v>46048406.479999997</v>
      </c>
      <c r="P103" s="189">
        <v>67038241.869999997</v>
      </c>
      <c r="Q103" s="189">
        <v>56113352.420000002</v>
      </c>
      <c r="R103" s="189">
        <v>2522332.44</v>
      </c>
      <c r="S103" s="189">
        <v>8855227.4900000002</v>
      </c>
      <c r="T103" s="189">
        <v>10688782.02</v>
      </c>
      <c r="U103" s="189">
        <v>10083061.189999999</v>
      </c>
      <c r="V103" s="189">
        <v>10491747.449999999</v>
      </c>
      <c r="W103" s="189">
        <v>4613087.6500000004</v>
      </c>
      <c r="X103" s="189">
        <v>5177355.42</v>
      </c>
      <c r="Y103" s="189">
        <v>4669952.8099999996</v>
      </c>
      <c r="Z103" s="189">
        <v>4778520.4800000004</v>
      </c>
      <c r="AA103" s="189">
        <v>5315136.7</v>
      </c>
      <c r="AB103" s="189">
        <v>5597500.75</v>
      </c>
      <c r="AC103" s="189">
        <v>4604275.8099999996</v>
      </c>
      <c r="AD103" s="189">
        <v>5639372.8200000003</v>
      </c>
      <c r="AE103" s="189">
        <v>5184956.88</v>
      </c>
      <c r="AF103" s="189">
        <v>4509835.72</v>
      </c>
      <c r="AG103" s="189">
        <v>3629242.68</v>
      </c>
      <c r="AH103" s="189">
        <v>4342506.75</v>
      </c>
      <c r="AI103" s="189">
        <v>6232035.6100000003</v>
      </c>
      <c r="AJ103" s="189">
        <v>6430718.4299999997</v>
      </c>
      <c r="AK103" s="189">
        <v>6177281.1600000001</v>
      </c>
      <c r="AL103" s="189">
        <v>23970731.620000001</v>
      </c>
      <c r="AM103" s="189">
        <v>21947790.5</v>
      </c>
      <c r="AN103" s="189">
        <v>21416398.510000002</v>
      </c>
      <c r="AO103" s="189">
        <v>21897002.66</v>
      </c>
      <c r="AP103" s="189">
        <v>20194554.649999999</v>
      </c>
      <c r="AQ103" s="189">
        <v>20662171.199999999</v>
      </c>
      <c r="AR103" s="189">
        <v>20711670.449999999</v>
      </c>
      <c r="AS103" s="189">
        <v>170375357.16999999</v>
      </c>
      <c r="AT103" s="189">
        <v>104893182.77</v>
      </c>
      <c r="AU103" s="189">
        <v>107474477.75</v>
      </c>
      <c r="AV103" s="189">
        <v>113883495.70999999</v>
      </c>
      <c r="AW103" s="189">
        <v>115117240.92</v>
      </c>
      <c r="AX103" s="189">
        <v>91133155.730000004</v>
      </c>
      <c r="AY103" s="189">
        <v>84867899.569999993</v>
      </c>
      <c r="AZ103" s="189">
        <v>86773308.700000003</v>
      </c>
      <c r="BA103" s="189">
        <v>88549448.609999999</v>
      </c>
      <c r="BB103" s="189">
        <v>90444495.560000002</v>
      </c>
      <c r="BC103" s="189">
        <v>91495505.980000004</v>
      </c>
      <c r="BD103" s="189">
        <v>92184011.400000006</v>
      </c>
      <c r="BE103" s="189">
        <v>92267583.340000004</v>
      </c>
      <c r="BF103" s="189">
        <v>92179461.140000001</v>
      </c>
      <c r="BG103" s="189">
        <v>4218857.17</v>
      </c>
      <c r="BH103" s="189">
        <v>2799293.43</v>
      </c>
      <c r="BI103" s="189">
        <v>2832244.46</v>
      </c>
      <c r="BJ103" s="189">
        <v>0</v>
      </c>
      <c r="BK103" s="189">
        <v>0</v>
      </c>
      <c r="BL103" s="189">
        <v>0</v>
      </c>
      <c r="BM103" s="189">
        <v>0</v>
      </c>
      <c r="BN103" s="189">
        <v>37295916.219999999</v>
      </c>
      <c r="BO103" s="189">
        <v>0</v>
      </c>
      <c r="BP103" s="189">
        <v>0</v>
      </c>
      <c r="BQ103" s="189">
        <v>0</v>
      </c>
      <c r="BR103" s="189">
        <v>0</v>
      </c>
      <c r="BS103" s="189">
        <v>0</v>
      </c>
      <c r="BT103" s="189">
        <v>0</v>
      </c>
      <c r="BU103" s="189">
        <v>0</v>
      </c>
      <c r="BV103" s="189">
        <v>0</v>
      </c>
      <c r="BW103" s="189">
        <v>0</v>
      </c>
      <c r="BX103" s="189">
        <v>0</v>
      </c>
      <c r="BY103" s="189">
        <v>0</v>
      </c>
      <c r="BZ103" s="189">
        <v>0</v>
      </c>
      <c r="CA103" s="189">
        <v>0</v>
      </c>
      <c r="CB103" s="189">
        <v>0</v>
      </c>
      <c r="CC103" s="189">
        <v>0</v>
      </c>
      <c r="CD103" s="189">
        <v>0</v>
      </c>
      <c r="CE103" s="189">
        <v>96000</v>
      </c>
      <c r="CF103" s="189">
        <v>305920.90000000002</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15693622236.849998</v>
      </c>
      <c r="C107" s="33">
        <f>C102+C103</f>
        <v>15108096914.150002</v>
      </c>
      <c r="D107" s="33">
        <f>D102+D103</f>
        <v>15904130696.27</v>
      </c>
      <c r="E107" s="33">
        <f>E102+E103</f>
        <v>15605857859.57</v>
      </c>
      <c r="F107" s="33">
        <f t="shared" ref="F107:BQ107" si="20">F102+F103</f>
        <v>13367332906.66</v>
      </c>
      <c r="G107" s="33">
        <f t="shared" si="20"/>
        <v>12264362423.469999</v>
      </c>
      <c r="H107" s="33">
        <f t="shared" si="20"/>
        <v>14006725574.900002</v>
      </c>
      <c r="I107" s="33">
        <f t="shared" si="20"/>
        <v>13679110933.26</v>
      </c>
      <c r="J107" s="33">
        <f t="shared" si="20"/>
        <v>11914642903.220001</v>
      </c>
      <c r="K107" s="33">
        <f t="shared" si="20"/>
        <v>10844249608.049999</v>
      </c>
      <c r="L107" s="33">
        <f t="shared" si="20"/>
        <v>13334571657.5</v>
      </c>
      <c r="M107" s="33">
        <f t="shared" si="20"/>
        <v>12939385288.640001</v>
      </c>
      <c r="N107" s="33">
        <f t="shared" si="20"/>
        <v>11258945946.76</v>
      </c>
      <c r="O107" s="33">
        <f t="shared" si="20"/>
        <v>10326820404.119999</v>
      </c>
      <c r="P107" s="33">
        <f t="shared" si="20"/>
        <v>11249407644.51</v>
      </c>
      <c r="Q107" s="33">
        <f t="shared" si="20"/>
        <v>10860574280.08</v>
      </c>
      <c r="R107" s="33">
        <f t="shared" si="20"/>
        <v>9240665430.6100006</v>
      </c>
      <c r="S107" s="33">
        <f t="shared" si="20"/>
        <v>8834713858.3699989</v>
      </c>
      <c r="T107" s="33">
        <f t="shared" si="20"/>
        <v>9050139537.0100002</v>
      </c>
      <c r="U107" s="33">
        <f t="shared" si="20"/>
        <v>8757144969.1100006</v>
      </c>
      <c r="V107" s="33">
        <f t="shared" si="20"/>
        <v>7815771735.6799994</v>
      </c>
      <c r="W107" s="33">
        <f t="shared" si="20"/>
        <v>7537895929.3599997</v>
      </c>
      <c r="X107" s="33">
        <f t="shared" si="20"/>
        <v>7598030750.79</v>
      </c>
      <c r="Y107" s="33">
        <f t="shared" si="20"/>
        <v>7319555953.7600002</v>
      </c>
      <c r="Z107" s="33">
        <f t="shared" si="20"/>
        <v>6834487822.5699997</v>
      </c>
      <c r="AA107" s="33">
        <f t="shared" si="20"/>
        <v>6047489876.8400002</v>
      </c>
      <c r="AB107" s="33">
        <f t="shared" si="20"/>
        <v>5777821280.9499998</v>
      </c>
      <c r="AC107" s="33">
        <f t="shared" si="20"/>
        <v>3337764988.79</v>
      </c>
      <c r="AD107" s="33">
        <f t="shared" si="20"/>
        <v>2882908352.8000002</v>
      </c>
      <c r="AE107" s="33">
        <f t="shared" si="20"/>
        <v>2690228492.79</v>
      </c>
      <c r="AF107" s="33">
        <f t="shared" si="20"/>
        <v>2616313164.0499997</v>
      </c>
      <c r="AG107" s="33">
        <f t="shared" si="20"/>
        <v>2485872956.1099997</v>
      </c>
      <c r="AH107" s="33">
        <f t="shared" si="20"/>
        <v>2150818194.1900001</v>
      </c>
      <c r="AI107" s="33">
        <f t="shared" si="20"/>
        <v>1935977175.3</v>
      </c>
      <c r="AJ107" s="33">
        <f t="shared" si="20"/>
        <v>2272635356.8099999</v>
      </c>
      <c r="AK107" s="33">
        <f t="shared" si="20"/>
        <v>2173866943.6599998</v>
      </c>
      <c r="AL107" s="33">
        <f t="shared" si="20"/>
        <v>1922374657.0699999</v>
      </c>
      <c r="AM107" s="33">
        <f t="shared" si="20"/>
        <v>1767057556.6600001</v>
      </c>
      <c r="AN107" s="33">
        <f t="shared" si="20"/>
        <v>1860279517.23</v>
      </c>
      <c r="AO107" s="33">
        <f t="shared" si="20"/>
        <v>1701028766.23</v>
      </c>
      <c r="AP107" s="33">
        <f t="shared" si="20"/>
        <v>1612772749.2900002</v>
      </c>
      <c r="AQ107" s="33">
        <f t="shared" si="20"/>
        <v>1725714340.21</v>
      </c>
      <c r="AR107" s="33">
        <f t="shared" si="20"/>
        <v>2013857845.5900002</v>
      </c>
      <c r="AS107" s="33">
        <f t="shared" si="20"/>
        <v>2828573554.7200003</v>
      </c>
      <c r="AT107" s="33">
        <f t="shared" si="20"/>
        <v>2128437649.99</v>
      </c>
      <c r="AU107" s="33">
        <f t="shared" si="20"/>
        <v>1559012952.5699999</v>
      </c>
      <c r="AV107" s="33">
        <f t="shared" si="20"/>
        <v>1357694966.04</v>
      </c>
      <c r="AW107" s="33">
        <f t="shared" si="20"/>
        <v>1362309337.47</v>
      </c>
      <c r="AX107" s="33">
        <f t="shared" si="20"/>
        <v>1230864655.04</v>
      </c>
      <c r="AY107" s="33">
        <f t="shared" si="20"/>
        <v>1175041276.8399999</v>
      </c>
      <c r="AZ107" s="33">
        <f t="shared" si="20"/>
        <v>1400220577.47</v>
      </c>
      <c r="BA107" s="33">
        <f t="shared" si="20"/>
        <v>1367500079.1299999</v>
      </c>
      <c r="BB107" s="33">
        <f t="shared" si="20"/>
        <v>1298034645.05</v>
      </c>
      <c r="BC107" s="33">
        <f t="shared" si="20"/>
        <v>1251458795.0899999</v>
      </c>
      <c r="BD107" s="33">
        <f t="shared" si="20"/>
        <v>1213230960.6400001</v>
      </c>
      <c r="BE107" s="33">
        <f t="shared" si="20"/>
        <v>1287986133.53</v>
      </c>
      <c r="BF107" s="33">
        <f t="shared" si="20"/>
        <v>1234691587.6800001</v>
      </c>
      <c r="BG107" s="33">
        <f t="shared" si="20"/>
        <v>1094787737.0900002</v>
      </c>
      <c r="BH107" s="33">
        <f t="shared" si="20"/>
        <v>1126714762.21</v>
      </c>
      <c r="BI107" s="33">
        <f t="shared" si="20"/>
        <v>1105776249.5900002</v>
      </c>
      <c r="BJ107" s="33">
        <f t="shared" si="20"/>
        <v>1046362221.92</v>
      </c>
      <c r="BK107" s="33">
        <f t="shared" si="20"/>
        <v>993562684.63999999</v>
      </c>
      <c r="BL107" s="33">
        <f t="shared" si="20"/>
        <v>982959663.34000003</v>
      </c>
      <c r="BM107" s="33">
        <f t="shared" si="20"/>
        <v>958447557.20000005</v>
      </c>
      <c r="BN107" s="33">
        <f t="shared" si="20"/>
        <v>953188795.85000002</v>
      </c>
      <c r="BO107" s="33">
        <f t="shared" si="20"/>
        <v>886767969.73000002</v>
      </c>
      <c r="BP107" s="33">
        <f t="shared" si="20"/>
        <v>865381582.99000001</v>
      </c>
      <c r="BQ107" s="33">
        <f t="shared" si="20"/>
        <v>853608578.19000006</v>
      </c>
      <c r="BR107" s="33">
        <f t="shared" ref="BR107:CK107" si="21">BR102+BR103</f>
        <v>866147664.75999999</v>
      </c>
      <c r="BS107" s="33">
        <f t="shared" si="21"/>
        <v>836662103.75999999</v>
      </c>
      <c r="BT107" s="33">
        <f t="shared" si="21"/>
        <v>660083128.48000002</v>
      </c>
      <c r="BU107" s="33">
        <f t="shared" si="21"/>
        <v>640953422.96000004</v>
      </c>
      <c r="BV107" s="33">
        <f t="shared" si="21"/>
        <v>600430877.64999998</v>
      </c>
      <c r="BW107" s="33">
        <f t="shared" si="21"/>
        <v>578892639.13999999</v>
      </c>
      <c r="BX107" s="33">
        <f t="shared" si="21"/>
        <v>426336545.63</v>
      </c>
      <c r="BY107" s="33">
        <f t="shared" si="21"/>
        <v>406000775.99000001</v>
      </c>
      <c r="BZ107" s="33">
        <f t="shared" si="21"/>
        <v>432050818.31</v>
      </c>
      <c r="CA107" s="33">
        <f t="shared" si="21"/>
        <v>76239643</v>
      </c>
      <c r="CB107" s="33">
        <f t="shared" si="21"/>
        <v>28954619</v>
      </c>
      <c r="CC107" s="33">
        <f t="shared" si="21"/>
        <v>13175590</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20064849758.239998</v>
      </c>
      <c r="C108" s="38">
        <f t="shared" ref="C108:BN108" si="22">SUM(C89+C107)</f>
        <v>17565431329.150002</v>
      </c>
      <c r="D108" s="38">
        <f t="shared" si="22"/>
        <v>18763233106.27</v>
      </c>
      <c r="E108" s="38">
        <f>SUM(E107+E89)</f>
        <v>16419782799.57</v>
      </c>
      <c r="F108" s="38">
        <f t="shared" si="22"/>
        <v>15504311144.15</v>
      </c>
      <c r="G108" s="38">
        <f t="shared" si="22"/>
        <v>15678044160.959999</v>
      </c>
      <c r="H108" s="38">
        <f t="shared" si="22"/>
        <v>14006725574.900002</v>
      </c>
      <c r="I108" s="38">
        <f t="shared" si="22"/>
        <v>13679110933.26</v>
      </c>
      <c r="J108" s="38">
        <f t="shared" si="22"/>
        <v>11916219897.340002</v>
      </c>
      <c r="K108" s="38">
        <f t="shared" si="22"/>
        <v>10844249608.049999</v>
      </c>
      <c r="L108" s="38">
        <f t="shared" si="22"/>
        <v>13344711699.23</v>
      </c>
      <c r="M108" s="38">
        <f t="shared" si="22"/>
        <v>12945762605.090002</v>
      </c>
      <c r="N108" s="38">
        <f t="shared" si="22"/>
        <v>11258945946.76</v>
      </c>
      <c r="O108" s="38">
        <f t="shared" si="22"/>
        <v>10328089855.929998</v>
      </c>
      <c r="P108" s="38">
        <f t="shared" si="22"/>
        <v>11252106262.33</v>
      </c>
      <c r="Q108" s="38">
        <f t="shared" si="22"/>
        <v>10864702063.91</v>
      </c>
      <c r="R108" s="38">
        <f t="shared" si="22"/>
        <v>9492734049.5200005</v>
      </c>
      <c r="S108" s="38">
        <f t="shared" si="22"/>
        <v>9096184985.8099995</v>
      </c>
      <c r="T108" s="38">
        <f t="shared" si="22"/>
        <v>9493121680.6700001</v>
      </c>
      <c r="U108" s="38">
        <f t="shared" si="22"/>
        <v>9222872750.5400009</v>
      </c>
      <c r="V108" s="38">
        <f t="shared" si="22"/>
        <v>8430492176.9099998</v>
      </c>
      <c r="W108" s="38">
        <f t="shared" si="22"/>
        <v>8370209159.1999998</v>
      </c>
      <c r="X108" s="38">
        <f t="shared" si="22"/>
        <v>8219471078.6800003</v>
      </c>
      <c r="Y108" s="38">
        <f t="shared" si="22"/>
        <v>7984792256.9099998</v>
      </c>
      <c r="Z108" s="38">
        <f t="shared" si="22"/>
        <v>7268788349.4699993</v>
      </c>
      <c r="AA108" s="38">
        <f t="shared" si="22"/>
        <v>6447251755.21</v>
      </c>
      <c r="AB108" s="38">
        <f t="shared" si="22"/>
        <v>6172093281.1399994</v>
      </c>
      <c r="AC108" s="38">
        <f t="shared" si="22"/>
        <v>3539094632.4000001</v>
      </c>
      <c r="AD108" s="38">
        <f t="shared" si="22"/>
        <v>3068852428.8400002</v>
      </c>
      <c r="AE108" s="38">
        <f t="shared" si="22"/>
        <v>2910964129.7599998</v>
      </c>
      <c r="AF108" s="38">
        <f t="shared" si="22"/>
        <v>2785378189.4599996</v>
      </c>
      <c r="AG108" s="38">
        <f t="shared" si="22"/>
        <v>2654914459.4999995</v>
      </c>
      <c r="AH108" s="38">
        <f t="shared" si="22"/>
        <v>2326000767.6599998</v>
      </c>
      <c r="AI108" s="38">
        <f t="shared" si="22"/>
        <v>2087864022.8599999</v>
      </c>
      <c r="AJ108" s="38">
        <f t="shared" si="22"/>
        <v>2424975074.9699998</v>
      </c>
      <c r="AK108" s="38">
        <f t="shared" si="22"/>
        <v>2328633583.0799999</v>
      </c>
      <c r="AL108" s="38">
        <f t="shared" si="22"/>
        <v>2357394140.8400002</v>
      </c>
      <c r="AM108" s="38">
        <f t="shared" si="22"/>
        <v>2193169185.54</v>
      </c>
      <c r="AN108" s="38">
        <f t="shared" si="22"/>
        <v>2188292535.0900002</v>
      </c>
      <c r="AO108" s="38">
        <f t="shared" si="22"/>
        <v>1830651923.3399999</v>
      </c>
      <c r="AP108" s="38">
        <f t="shared" si="22"/>
        <v>1739927471.3100002</v>
      </c>
      <c r="AQ108" s="38">
        <f t="shared" si="22"/>
        <v>1811475331.96</v>
      </c>
      <c r="AR108" s="38">
        <f t="shared" si="22"/>
        <v>3049054758.8699999</v>
      </c>
      <c r="AS108" s="38">
        <f t="shared" si="22"/>
        <v>3795137483.3100004</v>
      </c>
      <c r="AT108" s="38">
        <f t="shared" si="22"/>
        <v>3345201421.4300003</v>
      </c>
      <c r="AU108" s="38">
        <f t="shared" si="22"/>
        <v>2037510666.8599999</v>
      </c>
      <c r="AV108" s="38">
        <f t="shared" si="22"/>
        <v>1627694966.04</v>
      </c>
      <c r="AW108" s="38">
        <f t="shared" si="22"/>
        <v>1362309337.47</v>
      </c>
      <c r="AX108" s="38">
        <f t="shared" si="22"/>
        <v>1230864655.04</v>
      </c>
      <c r="AY108" s="38">
        <f t="shared" si="22"/>
        <v>1175041276.8399999</v>
      </c>
      <c r="AZ108" s="38">
        <f t="shared" si="22"/>
        <v>1400220577.47</v>
      </c>
      <c r="BA108" s="38">
        <f t="shared" si="22"/>
        <v>1367500079.1299999</v>
      </c>
      <c r="BB108" s="38">
        <f t="shared" si="22"/>
        <v>1298034645.05</v>
      </c>
      <c r="BC108" s="38">
        <f t="shared" si="22"/>
        <v>1251458795.0899999</v>
      </c>
      <c r="BD108" s="38">
        <f t="shared" si="22"/>
        <v>1213230960.6400001</v>
      </c>
      <c r="BE108" s="38">
        <f t="shared" si="22"/>
        <v>1335486133.53</v>
      </c>
      <c r="BF108" s="38">
        <f t="shared" si="22"/>
        <v>1330191587.6800001</v>
      </c>
      <c r="BG108" s="38">
        <f t="shared" si="22"/>
        <v>1227287737.0900002</v>
      </c>
      <c r="BH108" s="38">
        <f t="shared" si="22"/>
        <v>1257608862.21</v>
      </c>
      <c r="BI108" s="38">
        <f t="shared" si="22"/>
        <v>1295995744.5900002</v>
      </c>
      <c r="BJ108" s="38">
        <f t="shared" si="22"/>
        <v>1116362221.9200001</v>
      </c>
      <c r="BK108" s="38">
        <f t="shared" si="22"/>
        <v>1073562684.64</v>
      </c>
      <c r="BL108" s="38">
        <f t="shared" si="22"/>
        <v>1052959663.34</v>
      </c>
      <c r="BM108" s="38">
        <f t="shared" si="22"/>
        <v>978447557.20000005</v>
      </c>
      <c r="BN108" s="38">
        <f t="shared" si="22"/>
        <v>1047188795.85</v>
      </c>
      <c r="BO108" s="38">
        <f t="shared" ref="BO108:CK108" si="23">SUM(BO89+BO107)</f>
        <v>985767969.73000002</v>
      </c>
      <c r="BP108" s="38">
        <f t="shared" si="23"/>
        <v>964381582.99000001</v>
      </c>
      <c r="BQ108" s="38">
        <f t="shared" si="23"/>
        <v>952108578.19000006</v>
      </c>
      <c r="BR108" s="38">
        <f t="shared" si="23"/>
        <v>964647664.75999999</v>
      </c>
      <c r="BS108" s="38">
        <f t="shared" si="23"/>
        <v>935717627.78999996</v>
      </c>
      <c r="BT108" s="38">
        <f t="shared" si="23"/>
        <v>749346974.02999997</v>
      </c>
      <c r="BU108" s="38">
        <f t="shared" si="23"/>
        <v>714425590.02999997</v>
      </c>
      <c r="BV108" s="38">
        <f t="shared" si="23"/>
        <v>739099584.38</v>
      </c>
      <c r="BW108" s="38">
        <f t="shared" si="23"/>
        <v>683781449.25</v>
      </c>
      <c r="BX108" s="38">
        <f t="shared" si="23"/>
        <v>568433677.25999999</v>
      </c>
      <c r="BY108" s="38">
        <f t="shared" si="23"/>
        <v>478365223.14999998</v>
      </c>
      <c r="BZ108" s="38">
        <f t="shared" si="23"/>
        <v>432050818.31</v>
      </c>
      <c r="CA108" s="38">
        <f t="shared" si="23"/>
        <v>167870092</v>
      </c>
      <c r="CB108" s="38">
        <f t="shared" si="23"/>
        <v>101547900</v>
      </c>
      <c r="CC108" s="38">
        <f t="shared" si="23"/>
        <v>82602093</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Q41" workbookViewId="0">
      <selection activeCell="AG55" sqref="AG55"/>
    </sheetView>
  </sheetViews>
  <sheetFormatPr defaultRowHeight="14.4" x14ac:dyDescent="0.25"/>
  <cols>
    <col min="1" max="1" width="57.21875" style="17" bestFit="1" customWidth="1"/>
    <col min="2" max="2" width="21.44140625" hidden="1" customWidth="1"/>
    <col min="3" max="4" width="20.21875" hidden="1" customWidth="1"/>
    <col min="5" max="5" width="21.44140625" bestFit="1" customWidth="1"/>
    <col min="6" max="6" width="21.44140625" hidden="1" customWidth="1"/>
    <col min="7" max="8" width="20.2187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18" width="21.44140625" hidden="1" customWidth="1"/>
    <col min="19" max="19" width="19.33203125" hidden="1" customWidth="1"/>
    <col min="20" max="20" width="20.21875" hidden="1" customWidth="1"/>
    <col min="21" max="21" width="21.44140625" bestFit="1" customWidth="1"/>
    <col min="22" max="22" width="21.44140625" hidden="1" customWidth="1"/>
    <col min="23" max="23" width="19.33203125" hidden="1" customWidth="1"/>
    <col min="24" max="24" width="20.21875" hidden="1" customWidth="1"/>
    <col min="25" max="25" width="21.44140625" bestFit="1" customWidth="1"/>
    <col min="26" max="26" width="21.44140625" hidden="1" customWidth="1"/>
    <col min="27" max="27" width="19.33203125" hidden="1" customWidth="1"/>
    <col min="28" max="28" width="20.21875" hidden="1" customWidth="1"/>
    <col min="29" max="29" width="21.44140625" bestFit="1" customWidth="1"/>
    <col min="30" max="30" width="20.21875" hidden="1" customWidth="1"/>
    <col min="31" max="31" width="19.33203125" hidden="1" customWidth="1"/>
    <col min="32" max="32" width="19" hidden="1" customWidth="1"/>
    <col min="33" max="33" width="19.33203125" bestFit="1" customWidth="1"/>
    <col min="34" max="34" width="19.33203125" hidden="1" customWidth="1"/>
    <col min="35" max="36" width="19" hidden="1" customWidth="1"/>
    <col min="37" max="37" width="19.33203125" bestFit="1" customWidth="1"/>
    <col min="38" max="40" width="19" hidden="1" customWidth="1"/>
    <col min="41" max="41" width="19.33203125" bestFit="1" customWidth="1"/>
    <col min="42" max="44" width="19" hidden="1" customWidth="1"/>
    <col min="45" max="45" width="19.33203125" bestFit="1" customWidth="1"/>
    <col min="46" max="48" width="19" hidden="1" customWidth="1"/>
    <col min="49" max="49" width="19" bestFit="1" customWidth="1"/>
    <col min="50" max="52" width="19" hidden="1" customWidth="1"/>
    <col min="53" max="53" width="19" bestFit="1" customWidth="1"/>
    <col min="54" max="56" width="19" hidden="1" customWidth="1"/>
    <col min="57" max="57" width="19" bestFit="1" customWidth="1"/>
    <col min="58" max="60" width="19" hidden="1" customWidth="1"/>
    <col min="61" max="61" width="19" bestFit="1" customWidth="1"/>
    <col min="62" max="64" width="19" hidden="1" customWidth="1"/>
    <col min="65" max="65" width="19" bestFit="1" customWidth="1"/>
    <col min="66" max="68" width="19" hidden="1" customWidth="1"/>
    <col min="69" max="69" width="19" bestFit="1" customWidth="1"/>
    <col min="70" max="70" width="19" hidden="1" customWidth="1"/>
    <col min="71" max="71" width="17.77734375" bestFit="1" customWidth="1"/>
    <col min="72" max="72" width="19" hidden="1" customWidth="1"/>
    <col min="73" max="73" width="17.77734375" bestFit="1" customWidth="1"/>
    <col min="74" max="74" width="19" hidden="1" customWidth="1"/>
    <col min="75" max="75" width="17.77734375" bestFit="1" customWidth="1"/>
    <col min="76" max="76" width="19" hidden="1" customWidth="1"/>
    <col min="77" max="77" width="17.77734375" bestFit="1" customWidth="1"/>
    <col min="78" max="78" width="19" hidden="1" customWidth="1"/>
    <col min="79" max="80" width="17.77734375" bestFit="1" customWidth="1"/>
    <col min="81" max="81" width="16.5546875" bestFit="1" customWidth="1"/>
    <col min="82" max="82" width="9.5546875" hidden="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x14ac:dyDescent="0.25">
      <c r="A2" s="17" t="s">
        <v>84</v>
      </c>
    </row>
    <row r="3" spans="1:89" s="6" customFormat="1" x14ac:dyDescent="0.25">
      <c r="A3" s="18" t="s">
        <v>85</v>
      </c>
    </row>
    <row r="4" spans="1:89" x14ac:dyDescent="0.25">
      <c r="A4" s="17" t="s">
        <v>384</v>
      </c>
      <c r="B4" s="189">
        <v>19374237675.990002</v>
      </c>
      <c r="C4" s="189">
        <v>12016992590.110001</v>
      </c>
      <c r="D4" s="189">
        <v>4659150474.4799995</v>
      </c>
      <c r="E4" s="189">
        <v>33221948766.650002</v>
      </c>
      <c r="F4" s="189">
        <v>18994965921.450001</v>
      </c>
      <c r="G4" s="189">
        <v>9313067493.1000004</v>
      </c>
      <c r="H4" s="189">
        <v>3868458647.1999998</v>
      </c>
      <c r="I4" s="189">
        <v>35850442042.720001</v>
      </c>
      <c r="J4" s="189">
        <v>21659158276.32</v>
      </c>
      <c r="K4" s="189">
        <v>13268121440.85</v>
      </c>
      <c r="L4" s="189">
        <v>5126788582.8999996</v>
      </c>
      <c r="M4" s="189">
        <v>31210873852.540001</v>
      </c>
      <c r="N4" s="189">
        <v>18929067308.060001</v>
      </c>
      <c r="O4" s="189">
        <v>10387239701.25</v>
      </c>
      <c r="P4" s="189">
        <v>4273324043.52</v>
      </c>
      <c r="Q4" s="189">
        <v>25728299513.16</v>
      </c>
      <c r="R4" s="189">
        <v>15002502291.76</v>
      </c>
      <c r="S4" s="189">
        <v>9341476892.9099998</v>
      </c>
      <c r="T4" s="189">
        <v>4395955446.3000002</v>
      </c>
      <c r="U4" s="189">
        <v>22093826571.040001</v>
      </c>
      <c r="V4" s="189">
        <v>13669406746.49</v>
      </c>
      <c r="W4" s="189">
        <v>9663747340.3899994</v>
      </c>
      <c r="X4" s="189">
        <v>4337342804.8900003</v>
      </c>
      <c r="Y4" s="189">
        <v>19763459199.02</v>
      </c>
      <c r="Z4" s="189">
        <v>13309007254.129999</v>
      </c>
      <c r="AA4" s="189">
        <v>8296243064.9300003</v>
      </c>
      <c r="AB4" s="189">
        <v>3969350239.1399999</v>
      </c>
      <c r="AC4" s="189">
        <v>16931925945.07</v>
      </c>
      <c r="AD4" s="189">
        <v>11009538186.57</v>
      </c>
      <c r="AE4" s="189">
        <v>6405766461.7399998</v>
      </c>
      <c r="AF4" s="189">
        <v>2947959956.1799998</v>
      </c>
      <c r="AG4" s="189">
        <v>13478500120.48</v>
      </c>
      <c r="AH4" s="189">
        <v>9132486590.3700008</v>
      </c>
      <c r="AI4" s="189">
        <v>5525360311.0500002</v>
      </c>
      <c r="AJ4" s="189">
        <v>2357318390.8600001</v>
      </c>
      <c r="AK4" s="189">
        <v>8781731234.4200001</v>
      </c>
      <c r="AL4" s="189">
        <v>5832802762.3699999</v>
      </c>
      <c r="AM4" s="189">
        <v>3547502321.2199998</v>
      </c>
      <c r="AN4" s="189">
        <v>1322183548.28</v>
      </c>
      <c r="AO4" s="189">
        <v>8335671865.1199999</v>
      </c>
      <c r="AP4" s="189">
        <v>5909075990.5799999</v>
      </c>
      <c r="AQ4" s="189">
        <v>4269358208.9099998</v>
      </c>
      <c r="AR4" s="189">
        <v>1728783903.51</v>
      </c>
      <c r="AS4" s="189">
        <v>7880772643.7399998</v>
      </c>
      <c r="AT4" s="189">
        <v>4791323219.5799999</v>
      </c>
      <c r="AU4" s="189">
        <v>2824669536.7399998</v>
      </c>
      <c r="AV4" s="189">
        <v>1218986397.53</v>
      </c>
      <c r="AW4" s="189">
        <v>4954506733.5100002</v>
      </c>
      <c r="AX4" s="189">
        <v>3211706920.0700002</v>
      </c>
      <c r="AY4" s="189">
        <v>2039212675.8900001</v>
      </c>
      <c r="AZ4" s="189">
        <v>887602608.97000003</v>
      </c>
      <c r="BA4" s="189">
        <v>4576435573.4799995</v>
      </c>
      <c r="BB4" s="189">
        <v>2944163022.0500002</v>
      </c>
      <c r="BC4" s="189">
        <v>1699337866.3199999</v>
      </c>
      <c r="BD4" s="189">
        <v>739399700.55999994</v>
      </c>
      <c r="BE4" s="189">
        <v>3949088707.25</v>
      </c>
      <c r="BF4" s="189">
        <v>2762182434.1100001</v>
      </c>
      <c r="BG4" s="189">
        <v>1486749846.54</v>
      </c>
      <c r="BH4" s="189">
        <v>572856842.5</v>
      </c>
      <c r="BI4" s="189">
        <v>3253649665.4099998</v>
      </c>
      <c r="BJ4" s="189">
        <v>1946404611.7</v>
      </c>
      <c r="BK4" s="189">
        <v>1201983585.6400001</v>
      </c>
      <c r="BL4" s="189">
        <v>747595762.03999996</v>
      </c>
      <c r="BM4" s="189">
        <v>2685049399.9299998</v>
      </c>
      <c r="BN4" s="189">
        <v>1843794209.3099999</v>
      </c>
      <c r="BO4" s="189">
        <v>998872375.82000005</v>
      </c>
      <c r="BP4" s="189">
        <v>364636034.19</v>
      </c>
      <c r="BQ4" s="189">
        <v>1579515325.0899999</v>
      </c>
      <c r="BR4" s="189">
        <v>701830564.21000004</v>
      </c>
      <c r="BS4" s="189">
        <v>1198968349.3199999</v>
      </c>
      <c r="BT4" s="189">
        <v>469805804.99000001</v>
      </c>
      <c r="BU4" s="189">
        <v>700109344.52999997</v>
      </c>
      <c r="BV4" s="189">
        <v>319096258.16000003</v>
      </c>
      <c r="BW4" s="189">
        <v>565416206.90999997</v>
      </c>
      <c r="BX4" s="189">
        <v>226544658.12</v>
      </c>
      <c r="BY4" s="189">
        <v>436671752.77999997</v>
      </c>
      <c r="BZ4" s="189">
        <v>157092838.58000001</v>
      </c>
      <c r="CA4" s="189">
        <v>439068983</v>
      </c>
      <c r="CB4" s="189">
        <v>274237533</v>
      </c>
      <c r="CC4" s="189">
        <v>137629196</v>
      </c>
      <c r="CD4" s="189">
        <v>0</v>
      </c>
      <c r="CE4" s="189"/>
      <c r="CF4" s="189"/>
      <c r="CG4" s="189"/>
      <c r="CH4" s="189"/>
      <c r="CI4" s="189"/>
      <c r="CJ4" s="189"/>
      <c r="CK4" s="189"/>
    </row>
    <row r="5" spans="1:89" x14ac:dyDescent="0.25">
      <c r="A5" s="19" t="s">
        <v>385</v>
      </c>
      <c r="B5" s="189">
        <v>14794369460.33</v>
      </c>
      <c r="C5" s="189">
        <v>9443199245.5499992</v>
      </c>
      <c r="D5" s="189">
        <v>3601831010.9299998</v>
      </c>
      <c r="E5" s="189">
        <v>24478638345.450001</v>
      </c>
      <c r="F5" s="189">
        <v>14121403654.690001</v>
      </c>
      <c r="G5" s="189">
        <v>6990825699.3400002</v>
      </c>
      <c r="H5" s="189">
        <v>2939134421.02</v>
      </c>
      <c r="I5" s="189">
        <v>25876318999.369999</v>
      </c>
      <c r="J5" s="189">
        <v>16093040683.639999</v>
      </c>
      <c r="K5" s="189">
        <v>9971215461.4500008</v>
      </c>
      <c r="L5" s="189">
        <v>3888650143.8800001</v>
      </c>
      <c r="M5" s="189">
        <v>23305898509.150002</v>
      </c>
      <c r="N5" s="189">
        <v>14407927241.440001</v>
      </c>
      <c r="O5" s="189">
        <v>7958746567.7299995</v>
      </c>
      <c r="P5" s="189">
        <v>3293056646.0599999</v>
      </c>
      <c r="Q5" s="189">
        <v>19481360598.02</v>
      </c>
      <c r="R5" s="189">
        <v>12084870421.18</v>
      </c>
      <c r="S5" s="189">
        <v>7507615942.46</v>
      </c>
      <c r="T5" s="189">
        <v>3549148936.71</v>
      </c>
      <c r="U5" s="189">
        <v>17794266439</v>
      </c>
      <c r="V5" s="189">
        <v>11179258927.299999</v>
      </c>
      <c r="W5" s="189">
        <v>7894081245.0500002</v>
      </c>
      <c r="X5" s="189">
        <v>3549456898.02</v>
      </c>
      <c r="Y5" s="189">
        <v>15817656983.84</v>
      </c>
      <c r="Z5" s="189">
        <v>10791637167.530001</v>
      </c>
      <c r="AA5" s="189">
        <v>6740653410.54</v>
      </c>
      <c r="AB5" s="189">
        <v>3240050083.3099999</v>
      </c>
      <c r="AC5" s="189">
        <v>13850380881.74</v>
      </c>
      <c r="AD5" s="189">
        <v>9101798182.5499992</v>
      </c>
      <c r="AE5" s="189">
        <v>5305856182.1300001</v>
      </c>
      <c r="AF5" s="189">
        <v>2442077334.04</v>
      </c>
      <c r="AG5" s="189">
        <v>11142433611.040001</v>
      </c>
      <c r="AH5" s="189">
        <v>7564867694.8900003</v>
      </c>
      <c r="AI5" s="189">
        <v>4584544816.6199999</v>
      </c>
      <c r="AJ5" s="189">
        <v>1947669634.8099999</v>
      </c>
      <c r="AK5" s="189">
        <v>7259352892.6700001</v>
      </c>
      <c r="AL5" s="189">
        <v>4858571714.3999996</v>
      </c>
      <c r="AM5" s="189">
        <v>2963452423.54</v>
      </c>
      <c r="AN5" s="189">
        <v>1083319467.78</v>
      </c>
      <c r="AO5" s="189">
        <v>7024011472.3500004</v>
      </c>
      <c r="AP5" s="189">
        <v>5071120898.0299997</v>
      </c>
      <c r="AQ5" s="189">
        <v>3645150174.6799998</v>
      </c>
      <c r="AR5" s="189">
        <v>1444690742.1300001</v>
      </c>
      <c r="AS5" s="189">
        <v>6422600909.8599997</v>
      </c>
      <c r="AT5" s="189">
        <v>4036392929.8899999</v>
      </c>
      <c r="AU5" s="189">
        <v>2360176309.1399999</v>
      </c>
      <c r="AV5" s="189">
        <v>1010554712.9</v>
      </c>
      <c r="AW5" s="189">
        <v>4044004119.1300001</v>
      </c>
      <c r="AX5" s="189">
        <v>2660021369.1700001</v>
      </c>
      <c r="AY5" s="189">
        <v>1683552954.5899999</v>
      </c>
      <c r="AZ5" s="189">
        <v>732160459.53999996</v>
      </c>
      <c r="BA5" s="189">
        <v>3730373976.7600002</v>
      </c>
      <c r="BB5" s="189">
        <v>2427721005.29</v>
      </c>
      <c r="BC5" s="189">
        <v>1410254715.55</v>
      </c>
      <c r="BD5" s="189">
        <v>611087749.47000003</v>
      </c>
      <c r="BE5" s="189">
        <v>3276574385.25</v>
      </c>
      <c r="BF5" s="189">
        <v>2272572167.96</v>
      </c>
      <c r="BG5" s="189">
        <v>1231601629.0599999</v>
      </c>
      <c r="BH5" s="189">
        <v>450122432.81999999</v>
      </c>
      <c r="BI5" s="189">
        <v>2658677990.2399998</v>
      </c>
      <c r="BJ5" s="189">
        <v>1542116118.54</v>
      </c>
      <c r="BK5" s="189">
        <v>949358638.54999995</v>
      </c>
      <c r="BL5" s="189">
        <v>583912373.85000002</v>
      </c>
      <c r="BM5" s="189">
        <v>2185394749.9699998</v>
      </c>
      <c r="BN5" s="189">
        <v>1477664672.4200001</v>
      </c>
      <c r="BO5" s="189">
        <v>798471850.73000002</v>
      </c>
      <c r="BP5" s="189">
        <v>285998870.98000002</v>
      </c>
      <c r="BQ5" s="189">
        <v>1251281550.24</v>
      </c>
      <c r="BR5" s="189">
        <v>555472289.60000002</v>
      </c>
      <c r="BS5" s="189">
        <v>954991664.87</v>
      </c>
      <c r="BT5" s="189">
        <v>383723432.27999997</v>
      </c>
      <c r="BU5" s="189">
        <v>550899618.62</v>
      </c>
      <c r="BV5" s="189">
        <v>267579038.37</v>
      </c>
      <c r="BW5" s="189">
        <v>454870147.83999997</v>
      </c>
      <c r="BX5" s="189">
        <v>188374809.66999999</v>
      </c>
      <c r="BY5" s="189">
        <v>350700596.99000001</v>
      </c>
      <c r="BZ5" s="189">
        <v>0</v>
      </c>
      <c r="CA5" s="189">
        <v>369063910</v>
      </c>
      <c r="CB5" s="189">
        <v>225141238</v>
      </c>
      <c r="CC5" s="189">
        <v>121860020</v>
      </c>
      <c r="CD5" s="189">
        <v>0</v>
      </c>
      <c r="CE5" s="189"/>
      <c r="CF5" s="189"/>
      <c r="CG5" s="189"/>
      <c r="CH5" s="189"/>
      <c r="CI5" s="189"/>
      <c r="CJ5" s="189"/>
      <c r="CK5" s="189"/>
    </row>
    <row r="6" spans="1:89" s="3" customFormat="1" x14ac:dyDescent="0.25">
      <c r="A6" s="20" t="s">
        <v>386</v>
      </c>
      <c r="B6" s="27">
        <f>B4-B5</f>
        <v>4579868215.6600018</v>
      </c>
      <c r="C6" s="27">
        <f t="shared" ref="C6:BN6" si="0">C4-C5</f>
        <v>2573793344.5600014</v>
      </c>
      <c r="D6" s="27">
        <f t="shared" si="0"/>
        <v>1057319463.5499997</v>
      </c>
      <c r="E6" s="27">
        <f t="shared" si="0"/>
        <v>8743310421.2000008</v>
      </c>
      <c r="F6" s="27">
        <f t="shared" si="0"/>
        <v>4873562266.7600002</v>
      </c>
      <c r="G6" s="27">
        <f t="shared" si="0"/>
        <v>2322241793.7600002</v>
      </c>
      <c r="H6" s="27">
        <f t="shared" si="0"/>
        <v>929324226.17999983</v>
      </c>
      <c r="I6" s="27">
        <f t="shared" si="0"/>
        <v>9974123043.3500023</v>
      </c>
      <c r="J6" s="27">
        <f t="shared" si="0"/>
        <v>5566117592.6800003</v>
      </c>
      <c r="K6" s="27">
        <f t="shared" si="0"/>
        <v>3296905979.3999996</v>
      </c>
      <c r="L6" s="27">
        <f t="shared" si="0"/>
        <v>1238138439.0199995</v>
      </c>
      <c r="M6" s="27">
        <f t="shared" si="0"/>
        <v>7904975343.3899994</v>
      </c>
      <c r="N6" s="27">
        <f t="shared" si="0"/>
        <v>4521140066.6200008</v>
      </c>
      <c r="O6" s="27">
        <f t="shared" si="0"/>
        <v>2428493133.5200005</v>
      </c>
      <c r="P6" s="27">
        <f t="shared" si="0"/>
        <v>980267397.46000004</v>
      </c>
      <c r="Q6" s="27">
        <f t="shared" si="0"/>
        <v>6246938915.1399994</v>
      </c>
      <c r="R6" s="27">
        <f t="shared" si="0"/>
        <v>2917631870.5799999</v>
      </c>
      <c r="S6" s="27">
        <f t="shared" si="0"/>
        <v>1833860950.4499998</v>
      </c>
      <c r="T6" s="27">
        <f t="shared" si="0"/>
        <v>846806509.59000015</v>
      </c>
      <c r="U6" s="27">
        <f t="shared" si="0"/>
        <v>4299560132.0400009</v>
      </c>
      <c r="V6" s="27">
        <f t="shared" si="0"/>
        <v>2490147819.1900005</v>
      </c>
      <c r="W6" s="27">
        <f t="shared" si="0"/>
        <v>1769666095.3399992</v>
      </c>
      <c r="X6" s="27">
        <f t="shared" si="0"/>
        <v>787885906.87000036</v>
      </c>
      <c r="Y6" s="27">
        <f t="shared" si="0"/>
        <v>3945802215.1800003</v>
      </c>
      <c r="Z6" s="27">
        <f t="shared" si="0"/>
        <v>2517370086.5999985</v>
      </c>
      <c r="AA6" s="27">
        <f t="shared" si="0"/>
        <v>1555589654.3900003</v>
      </c>
      <c r="AB6" s="27">
        <f t="shared" si="0"/>
        <v>729300155.82999992</v>
      </c>
      <c r="AC6" s="27">
        <f t="shared" si="0"/>
        <v>3081545063.3299999</v>
      </c>
      <c r="AD6" s="27">
        <f t="shared" si="0"/>
        <v>1907740004.0200005</v>
      </c>
      <c r="AE6" s="27">
        <f t="shared" si="0"/>
        <v>1099910279.6099997</v>
      </c>
      <c r="AF6" s="27">
        <f t="shared" si="0"/>
        <v>505882622.13999987</v>
      </c>
      <c r="AG6" s="27">
        <f t="shared" si="0"/>
        <v>2336066509.4399986</v>
      </c>
      <c r="AH6" s="27">
        <f t="shared" si="0"/>
        <v>1567618895.4800005</v>
      </c>
      <c r="AI6" s="27">
        <f t="shared" si="0"/>
        <v>940815494.43000031</v>
      </c>
      <c r="AJ6" s="27">
        <f t="shared" si="0"/>
        <v>409648756.05000019</v>
      </c>
      <c r="AK6" s="27">
        <f t="shared" si="0"/>
        <v>1522378341.75</v>
      </c>
      <c r="AL6" s="27">
        <f t="shared" si="0"/>
        <v>974231047.97000027</v>
      </c>
      <c r="AM6" s="27">
        <f t="shared" si="0"/>
        <v>584049897.67999983</v>
      </c>
      <c r="AN6" s="27">
        <f t="shared" si="0"/>
        <v>238864080.5</v>
      </c>
      <c r="AO6" s="27">
        <f t="shared" si="0"/>
        <v>1311660392.7699995</v>
      </c>
      <c r="AP6" s="27">
        <f t="shared" si="0"/>
        <v>837955092.55000019</v>
      </c>
      <c r="AQ6" s="27">
        <f t="shared" si="0"/>
        <v>624208034.23000002</v>
      </c>
      <c r="AR6" s="27">
        <f t="shared" si="0"/>
        <v>284093161.37999988</v>
      </c>
      <c r="AS6" s="27">
        <f t="shared" si="0"/>
        <v>1458171733.8800001</v>
      </c>
      <c r="AT6" s="27">
        <f t="shared" si="0"/>
        <v>754930289.69000006</v>
      </c>
      <c r="AU6" s="27">
        <f t="shared" si="0"/>
        <v>464493227.5999999</v>
      </c>
      <c r="AV6" s="27">
        <f t="shared" si="0"/>
        <v>208431684.63</v>
      </c>
      <c r="AW6" s="27">
        <f t="shared" si="0"/>
        <v>910502614.38000011</v>
      </c>
      <c r="AX6" s="27">
        <f t="shared" si="0"/>
        <v>551685550.9000001</v>
      </c>
      <c r="AY6" s="27">
        <f t="shared" si="0"/>
        <v>355659721.30000019</v>
      </c>
      <c r="AZ6" s="27">
        <f t="shared" si="0"/>
        <v>155442149.43000007</v>
      </c>
      <c r="BA6" s="27">
        <f t="shared" si="0"/>
        <v>846061596.71999931</v>
      </c>
      <c r="BB6" s="27">
        <f t="shared" si="0"/>
        <v>516442016.76000023</v>
      </c>
      <c r="BC6" s="27">
        <f t="shared" si="0"/>
        <v>289083150.76999998</v>
      </c>
      <c r="BD6" s="27">
        <f t="shared" si="0"/>
        <v>128311951.08999991</v>
      </c>
      <c r="BE6" s="27">
        <f t="shared" si="0"/>
        <v>672514322</v>
      </c>
      <c r="BF6" s="27">
        <f t="shared" si="0"/>
        <v>489610266.1500001</v>
      </c>
      <c r="BG6" s="27">
        <f t="shared" si="0"/>
        <v>255148217.48000002</v>
      </c>
      <c r="BH6" s="27">
        <f t="shared" si="0"/>
        <v>122734409.68000001</v>
      </c>
      <c r="BI6" s="27">
        <f t="shared" si="0"/>
        <v>594971675.17000008</v>
      </c>
      <c r="BJ6" s="27">
        <f t="shared" si="0"/>
        <v>404288493.16000009</v>
      </c>
      <c r="BK6" s="27">
        <f t="shared" si="0"/>
        <v>252624947.09000015</v>
      </c>
      <c r="BL6" s="27">
        <f t="shared" si="0"/>
        <v>163683388.18999994</v>
      </c>
      <c r="BM6" s="27">
        <f t="shared" si="0"/>
        <v>499654649.96000004</v>
      </c>
      <c r="BN6" s="27">
        <f t="shared" si="0"/>
        <v>366129536.88999987</v>
      </c>
      <c r="BO6" s="27">
        <f t="shared" ref="BO6:CK6" si="1">BO4-BO5</f>
        <v>200400525.09000003</v>
      </c>
      <c r="BP6" s="27">
        <f t="shared" si="1"/>
        <v>78637163.209999979</v>
      </c>
      <c r="BQ6" s="27">
        <f t="shared" si="1"/>
        <v>328233774.8499999</v>
      </c>
      <c r="BR6" s="27">
        <f t="shared" si="1"/>
        <v>146358274.61000001</v>
      </c>
      <c r="BS6" s="27">
        <f t="shared" si="1"/>
        <v>243976684.44999993</v>
      </c>
      <c r="BT6" s="27">
        <f t="shared" si="1"/>
        <v>86082372.710000038</v>
      </c>
      <c r="BU6" s="27">
        <f t="shared" si="1"/>
        <v>149209725.90999997</v>
      </c>
      <c r="BV6" s="27">
        <f t="shared" si="1"/>
        <v>51517219.790000021</v>
      </c>
      <c r="BW6" s="27">
        <f t="shared" si="1"/>
        <v>110546059.06999999</v>
      </c>
      <c r="BX6" s="27">
        <f t="shared" si="1"/>
        <v>38169848.450000018</v>
      </c>
      <c r="BY6" s="27">
        <f t="shared" si="1"/>
        <v>85971155.789999962</v>
      </c>
      <c r="BZ6" s="27">
        <f t="shared" si="1"/>
        <v>157092838.58000001</v>
      </c>
      <c r="CA6" s="27">
        <f t="shared" si="1"/>
        <v>70005073</v>
      </c>
      <c r="CB6" s="27">
        <f t="shared" si="1"/>
        <v>49096295</v>
      </c>
      <c r="CC6" s="27">
        <f t="shared" si="1"/>
        <v>15769176</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23.638959592901639</v>
      </c>
      <c r="C7" s="57">
        <f t="shared" ref="C7:D7" si="2">C6/C4*100</f>
        <v>21.417949002300595</v>
      </c>
      <c r="D7" s="57">
        <f t="shared" si="2"/>
        <v>22.693395917160316</v>
      </c>
      <c r="E7" s="57">
        <f>E6/E4</f>
        <v>0.26317873411378601</v>
      </c>
      <c r="F7" s="57">
        <f t="shared" ref="F7:BQ7" si="3">F6/F4</f>
        <v>0.25657125613774051</v>
      </c>
      <c r="G7" s="57">
        <f t="shared" si="3"/>
        <v>0.24935305102003569</v>
      </c>
      <c r="H7" s="57">
        <f t="shared" si="3"/>
        <v>0.24023113879028979</v>
      </c>
      <c r="I7" s="57">
        <f t="shared" si="3"/>
        <v>0.2782147855098876</v>
      </c>
      <c r="J7" s="57">
        <f t="shared" si="3"/>
        <v>0.25698679153037296</v>
      </c>
      <c r="K7" s="57">
        <f t="shared" si="3"/>
        <v>0.24848325319434134</v>
      </c>
      <c r="L7" s="57">
        <f t="shared" si="3"/>
        <v>0.24150370529218096</v>
      </c>
      <c r="M7" s="57">
        <f t="shared" si="3"/>
        <v>0.25327632224391172</v>
      </c>
      <c r="N7" s="57">
        <f t="shared" si="3"/>
        <v>0.2388464256078216</v>
      </c>
      <c r="O7" s="57">
        <f t="shared" si="3"/>
        <v>0.2337958113383824</v>
      </c>
      <c r="P7" s="57">
        <f t="shared" si="3"/>
        <v>0.22939224535206071</v>
      </c>
      <c r="Q7" s="57">
        <f t="shared" si="3"/>
        <v>0.24280418968011067</v>
      </c>
      <c r="R7" s="57">
        <f t="shared" si="3"/>
        <v>0.1944763489343031</v>
      </c>
      <c r="S7" s="57">
        <f t="shared" si="3"/>
        <v>0.1963138132731308</v>
      </c>
      <c r="T7" s="57">
        <f t="shared" si="3"/>
        <v>0.19263309647570304</v>
      </c>
      <c r="U7" s="57">
        <f t="shared" si="3"/>
        <v>0.19460459319780077</v>
      </c>
      <c r="V7" s="57">
        <f t="shared" si="3"/>
        <v>0.1821694141795448</v>
      </c>
      <c r="W7" s="57">
        <f t="shared" si="3"/>
        <v>0.18312420979215924</v>
      </c>
      <c r="X7" s="57">
        <f t="shared" si="3"/>
        <v>0.1816517490805023</v>
      </c>
      <c r="Y7" s="57">
        <f t="shared" si="3"/>
        <v>0.19965139581312052</v>
      </c>
      <c r="Z7" s="57">
        <f t="shared" si="3"/>
        <v>0.18914784841061816</v>
      </c>
      <c r="AA7" s="57">
        <f t="shared" si="3"/>
        <v>0.18750531321409947</v>
      </c>
      <c r="AB7" s="57">
        <f t="shared" si="3"/>
        <v>0.18373288117503339</v>
      </c>
      <c r="AC7" s="57">
        <f t="shared" si="3"/>
        <v>0.18199613400903403</v>
      </c>
      <c r="AD7" s="57">
        <f t="shared" si="3"/>
        <v>0.17328065643544974</v>
      </c>
      <c r="AE7" s="57">
        <f t="shared" si="3"/>
        <v>0.17170627218139806</v>
      </c>
      <c r="AF7" s="57">
        <f t="shared" si="3"/>
        <v>0.17160430591314013</v>
      </c>
      <c r="AG7" s="57">
        <f t="shared" si="3"/>
        <v>0.17331798705780671</v>
      </c>
      <c r="AH7" s="57">
        <f t="shared" si="3"/>
        <v>0.1716530191386231</v>
      </c>
      <c r="AI7" s="57">
        <f t="shared" si="3"/>
        <v>0.17027224316005093</v>
      </c>
      <c r="AJ7" s="57">
        <f t="shared" si="3"/>
        <v>0.17377744034845949</v>
      </c>
      <c r="AK7" s="57">
        <f t="shared" si="3"/>
        <v>0.17335742817806099</v>
      </c>
      <c r="AL7" s="57">
        <f t="shared" si="3"/>
        <v>0.1670262286692081</v>
      </c>
      <c r="AM7" s="57">
        <f t="shared" si="3"/>
        <v>0.16463693178899536</v>
      </c>
      <c r="AN7" s="57">
        <f t="shared" si="3"/>
        <v>0.18065879038559596</v>
      </c>
      <c r="AO7" s="57">
        <f t="shared" si="3"/>
        <v>0.15735508954695601</v>
      </c>
      <c r="AP7" s="57">
        <f t="shared" si="3"/>
        <v>0.14180814291199384</v>
      </c>
      <c r="AQ7" s="57">
        <f t="shared" si="3"/>
        <v>0.14620652652834326</v>
      </c>
      <c r="AR7" s="57">
        <f t="shared" si="3"/>
        <v>0.16433121618219448</v>
      </c>
      <c r="AS7" s="57">
        <f t="shared" si="3"/>
        <v>0.18502903202496038</v>
      </c>
      <c r="AT7" s="57">
        <f t="shared" si="3"/>
        <v>0.157561962550332</v>
      </c>
      <c r="AU7" s="57">
        <f t="shared" si="3"/>
        <v>0.16444161752672831</v>
      </c>
      <c r="AV7" s="57">
        <f t="shared" si="3"/>
        <v>0.17098770343322914</v>
      </c>
      <c r="AW7" s="57">
        <f t="shared" si="3"/>
        <v>0.18377260610461582</v>
      </c>
      <c r="AX7" s="57">
        <f t="shared" si="3"/>
        <v>0.17177331700240442</v>
      </c>
      <c r="AY7" s="57">
        <f t="shared" si="3"/>
        <v>0.17441031311007077</v>
      </c>
      <c r="AZ7" s="57">
        <f t="shared" si="3"/>
        <v>0.17512583656145364</v>
      </c>
      <c r="BA7" s="57">
        <f t="shared" si="3"/>
        <v>0.18487348573698803</v>
      </c>
      <c r="BB7" s="57">
        <f t="shared" si="3"/>
        <v>0.175412167360354</v>
      </c>
      <c r="BC7" s="57">
        <f t="shared" si="3"/>
        <v>0.17011517044342914</v>
      </c>
      <c r="BD7" s="57">
        <f t="shared" si="3"/>
        <v>0.17353530302057216</v>
      </c>
      <c r="BE7" s="57">
        <f t="shared" si="3"/>
        <v>0.17029607888152865</v>
      </c>
      <c r="BF7" s="57">
        <f t="shared" si="3"/>
        <v>0.177254861990228</v>
      </c>
      <c r="BG7" s="57">
        <f t="shared" si="3"/>
        <v>0.17161475958701936</v>
      </c>
      <c r="BH7" s="57">
        <f t="shared" si="3"/>
        <v>0.21424970529177192</v>
      </c>
      <c r="BI7" s="57">
        <f t="shared" si="3"/>
        <v>0.18286285751512413</v>
      </c>
      <c r="BJ7" s="57">
        <f t="shared" si="3"/>
        <v>0.20771040652585199</v>
      </c>
      <c r="BK7" s="57">
        <f t="shared" si="3"/>
        <v>0.21017337516758947</v>
      </c>
      <c r="BL7" s="57">
        <f t="shared" si="3"/>
        <v>0.21894638319424034</v>
      </c>
      <c r="BM7" s="57">
        <f t="shared" si="3"/>
        <v>0.18608769357205354</v>
      </c>
      <c r="BN7" s="57">
        <f t="shared" si="3"/>
        <v>0.19857397047961003</v>
      </c>
      <c r="BO7" s="57">
        <f t="shared" si="3"/>
        <v>0.20062675667197832</v>
      </c>
      <c r="BP7" s="57">
        <f t="shared" si="3"/>
        <v>0.2156593310496151</v>
      </c>
      <c r="BQ7" s="57">
        <f t="shared" si="3"/>
        <v>0.2078066414653478</v>
      </c>
      <c r="BR7" s="57">
        <f t="shared" ref="BR7:CK7" si="4">BR6/BR4</f>
        <v>0.20853790369580863</v>
      </c>
      <c r="BS7" s="57">
        <f t="shared" si="4"/>
        <v>0.20348884487932675</v>
      </c>
      <c r="BT7" s="57">
        <f t="shared" si="4"/>
        <v>0.18322969149313159</v>
      </c>
      <c r="BU7" s="57">
        <f t="shared" si="4"/>
        <v>0.21312346003632904</v>
      </c>
      <c r="BV7" s="57">
        <f t="shared" si="4"/>
        <v>0.16144727013429425</v>
      </c>
      <c r="BW7" s="57">
        <f t="shared" si="4"/>
        <v>0.1955127173912016</v>
      </c>
      <c r="BX7" s="57">
        <f t="shared" si="4"/>
        <v>0.16848708226782186</v>
      </c>
      <c r="BY7" s="57">
        <f t="shared" si="4"/>
        <v>0.19687821628644062</v>
      </c>
      <c r="BZ7" s="57">
        <f t="shared" si="4"/>
        <v>1</v>
      </c>
      <c r="CA7" s="57">
        <f t="shared" si="4"/>
        <v>0.15943980492924048</v>
      </c>
      <c r="CB7" s="57">
        <f t="shared" si="4"/>
        <v>0.17902835714322152</v>
      </c>
      <c r="CC7" s="57">
        <f t="shared" si="4"/>
        <v>0.11457725873803695</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9">
        <v>134703260.72</v>
      </c>
      <c r="C8" s="189">
        <v>82169642.390000001</v>
      </c>
      <c r="D8" s="189">
        <v>41998721.109999999</v>
      </c>
      <c r="E8" s="189">
        <v>185639614.84</v>
      </c>
      <c r="F8" s="189">
        <v>128297438.25</v>
      </c>
      <c r="G8" s="189">
        <v>70517957.469999999</v>
      </c>
      <c r="H8" s="189">
        <v>29725850.300000001</v>
      </c>
      <c r="I8" s="189">
        <v>161368125.83000001</v>
      </c>
      <c r="J8" s="189">
        <v>80764424.370000005</v>
      </c>
      <c r="K8" s="189">
        <v>54553327.200000003</v>
      </c>
      <c r="L8" s="189">
        <v>18124933.739999998</v>
      </c>
      <c r="M8" s="189">
        <v>151755768.25</v>
      </c>
      <c r="N8" s="189">
        <v>121363808.81999999</v>
      </c>
      <c r="O8" s="189">
        <v>75151913.010000005</v>
      </c>
      <c r="P8" s="189">
        <v>14607386.41</v>
      </c>
      <c r="Q8" s="189">
        <v>154579150.66999999</v>
      </c>
      <c r="R8" s="189">
        <v>93818123.319999993</v>
      </c>
      <c r="S8" s="189">
        <v>48617816</v>
      </c>
      <c r="T8" s="189">
        <v>14489892.67</v>
      </c>
      <c r="U8" s="189">
        <v>123587552.8</v>
      </c>
      <c r="V8" s="189">
        <v>65469458.539999999</v>
      </c>
      <c r="W8" s="189">
        <v>50885609.140000001</v>
      </c>
      <c r="X8" s="189">
        <v>10555770.99</v>
      </c>
      <c r="Y8" s="189">
        <v>116779946.92</v>
      </c>
      <c r="Z8" s="189">
        <v>75162927.530000001</v>
      </c>
      <c r="AA8" s="189">
        <v>48269298.560000002</v>
      </c>
      <c r="AB8" s="189">
        <v>16641759.460000001</v>
      </c>
      <c r="AC8" s="189">
        <v>82419950.219999999</v>
      </c>
      <c r="AD8" s="189">
        <v>51691894.829999998</v>
      </c>
      <c r="AE8" s="189">
        <v>30965916.890000001</v>
      </c>
      <c r="AF8" s="189">
        <v>18141306.559999999</v>
      </c>
      <c r="AG8" s="189">
        <v>42289142.390000001</v>
      </c>
      <c r="AH8" s="189">
        <v>29641626.420000002</v>
      </c>
      <c r="AI8" s="189">
        <v>17449730.859999999</v>
      </c>
      <c r="AJ8" s="189">
        <v>8984216.3499999996</v>
      </c>
      <c r="AK8" s="189">
        <v>38916368.479999997</v>
      </c>
      <c r="AL8" s="189">
        <v>27959493</v>
      </c>
      <c r="AM8" s="189">
        <v>17998343.210000001</v>
      </c>
      <c r="AN8" s="189">
        <v>9292339.5299999993</v>
      </c>
      <c r="AO8" s="189">
        <v>29973907.100000001</v>
      </c>
      <c r="AP8" s="189">
        <v>18158860.969999999</v>
      </c>
      <c r="AQ8" s="189">
        <v>16801117.719999999</v>
      </c>
      <c r="AR8" s="189">
        <v>7243207.25</v>
      </c>
      <c r="AS8" s="189">
        <v>79172020.239999995</v>
      </c>
      <c r="AT8" s="189">
        <v>17198553.170000002</v>
      </c>
      <c r="AU8" s="189">
        <v>11824130.48</v>
      </c>
      <c r="AV8" s="189">
        <v>6513616.3399999999</v>
      </c>
      <c r="AW8" s="189">
        <v>37625834.859999999</v>
      </c>
      <c r="AX8" s="189">
        <v>16027684.460000001</v>
      </c>
      <c r="AY8" s="189">
        <v>10436146.32</v>
      </c>
      <c r="AZ8" s="189">
        <v>3713359.4</v>
      </c>
      <c r="BA8" s="189">
        <v>20823501.93</v>
      </c>
      <c r="BB8" s="189">
        <v>12541004.550000001</v>
      </c>
      <c r="BC8" s="189">
        <v>8667088.5800000001</v>
      </c>
      <c r="BD8" s="189">
        <v>5334592.7699999996</v>
      </c>
      <c r="BE8" s="189">
        <v>13688847.07</v>
      </c>
      <c r="BF8" s="189">
        <v>10872380.720000001</v>
      </c>
      <c r="BG8" s="189">
        <v>5218882.84</v>
      </c>
      <c r="BH8" s="189">
        <v>2867333.97</v>
      </c>
      <c r="BI8" s="189">
        <v>12766571.560000001</v>
      </c>
      <c r="BJ8" s="189">
        <v>7756698.7800000003</v>
      </c>
      <c r="BK8" s="189">
        <v>5220937.96</v>
      </c>
      <c r="BL8" s="189">
        <v>5216740.7699999996</v>
      </c>
      <c r="BM8" s="189">
        <v>8231378.9400000004</v>
      </c>
      <c r="BN8" s="189">
        <v>6717289.6699999999</v>
      </c>
      <c r="BO8" s="189">
        <v>3001526.26</v>
      </c>
      <c r="BP8" s="189">
        <v>2352525.83</v>
      </c>
      <c r="BQ8" s="189">
        <v>7826994.4699999997</v>
      </c>
      <c r="BR8" s="189">
        <v>3883780.13</v>
      </c>
      <c r="BS8" s="189">
        <v>6746639.4900000002</v>
      </c>
      <c r="BT8" s="189">
        <v>3543698.72</v>
      </c>
      <c r="BU8" s="189">
        <v>2694070.68</v>
      </c>
      <c r="BV8" s="189">
        <v>1625630.23</v>
      </c>
      <c r="BW8" s="189">
        <v>1242815.3899999999</v>
      </c>
      <c r="BX8" s="189">
        <v>1062317.1599999999</v>
      </c>
      <c r="BY8" s="189">
        <v>971693.92</v>
      </c>
      <c r="BZ8" s="189">
        <v>0</v>
      </c>
      <c r="CA8" s="189">
        <v>1224034</v>
      </c>
      <c r="CB8" s="189">
        <v>734461</v>
      </c>
      <c r="CC8" s="189">
        <v>430700</v>
      </c>
      <c r="CD8" s="189">
        <v>0</v>
      </c>
      <c r="CE8" s="189"/>
      <c r="CF8" s="189"/>
      <c r="CG8" s="189"/>
      <c r="CH8" s="189"/>
      <c r="CI8" s="189"/>
      <c r="CJ8" s="189"/>
      <c r="CK8" s="189"/>
    </row>
    <row r="9" spans="1:89" x14ac:dyDescent="0.25">
      <c r="A9" s="17" t="s">
        <v>389</v>
      </c>
      <c r="B9" s="189">
        <v>1487069770.2</v>
      </c>
      <c r="C9" s="189">
        <v>1010825239.71</v>
      </c>
      <c r="D9" s="189">
        <v>303596476.33999997</v>
      </c>
      <c r="E9" s="189">
        <v>2353432561.25</v>
      </c>
      <c r="F9" s="189">
        <v>1328312996.5699999</v>
      </c>
      <c r="G9" s="189">
        <v>706513406.10000002</v>
      </c>
      <c r="H9" s="189">
        <v>236390665.97</v>
      </c>
      <c r="I9" s="189">
        <v>2926673958.9200001</v>
      </c>
      <c r="J9" s="189">
        <v>1502320466.1800001</v>
      </c>
      <c r="K9" s="189">
        <v>968054175.01999998</v>
      </c>
      <c r="L9" s="189">
        <v>349205247.36000001</v>
      </c>
      <c r="M9" s="189">
        <v>2034365059.76</v>
      </c>
      <c r="N9" s="189">
        <v>1185418868</v>
      </c>
      <c r="O9" s="189">
        <v>671568493.53999996</v>
      </c>
      <c r="P9" s="189">
        <v>281531935.98000002</v>
      </c>
      <c r="Q9" s="189">
        <v>1518055430.49</v>
      </c>
      <c r="R9" s="189">
        <v>834689212.35000002</v>
      </c>
      <c r="S9" s="189">
        <v>524951624.47000003</v>
      </c>
      <c r="T9" s="189">
        <v>224688189.40000001</v>
      </c>
      <c r="U9" s="189">
        <v>1241389817.24</v>
      </c>
      <c r="V9" s="189">
        <v>730132314.66999996</v>
      </c>
      <c r="W9" s="189">
        <v>520987767.81999999</v>
      </c>
      <c r="X9" s="189">
        <v>239085592.90000001</v>
      </c>
      <c r="Y9" s="189">
        <v>1149954983.3900001</v>
      </c>
      <c r="Z9" s="189">
        <v>767392718.36000001</v>
      </c>
      <c r="AA9" s="189">
        <v>510109959.39999998</v>
      </c>
      <c r="AB9" s="189">
        <v>238871637.58000001</v>
      </c>
      <c r="AC9" s="189">
        <v>927571001.59000003</v>
      </c>
      <c r="AD9" s="189">
        <v>541675821.89999998</v>
      </c>
      <c r="AE9" s="189">
        <v>320176213.88</v>
      </c>
      <c r="AF9" s="189">
        <v>159218674.22999999</v>
      </c>
      <c r="AG9" s="189">
        <v>720775641.63999999</v>
      </c>
      <c r="AH9" s="189">
        <v>447289241.69999999</v>
      </c>
      <c r="AI9" s="189">
        <v>258986451.05000001</v>
      </c>
      <c r="AJ9" s="189">
        <v>143674381.62</v>
      </c>
      <c r="AK9" s="189">
        <v>470415363.69999999</v>
      </c>
      <c r="AL9" s="189">
        <v>282404551.30000001</v>
      </c>
      <c r="AM9" s="189">
        <v>170096735.83000001</v>
      </c>
      <c r="AN9" s="189">
        <v>70892092.219999999</v>
      </c>
      <c r="AO9" s="189">
        <v>405353055.02999997</v>
      </c>
      <c r="AP9" s="189">
        <v>255641174.88999999</v>
      </c>
      <c r="AQ9" s="189">
        <v>171286300.63</v>
      </c>
      <c r="AR9" s="189">
        <v>86046021.439999998</v>
      </c>
      <c r="AS9" s="189">
        <v>410999664.69</v>
      </c>
      <c r="AT9" s="189">
        <v>250382271.30000001</v>
      </c>
      <c r="AU9" s="189">
        <v>160542836.91</v>
      </c>
      <c r="AV9" s="189">
        <v>76433822.829999998</v>
      </c>
      <c r="AW9" s="189">
        <v>334663982.06999999</v>
      </c>
      <c r="AX9" s="189">
        <v>235133700.47999999</v>
      </c>
      <c r="AY9" s="189">
        <v>151285312.56</v>
      </c>
      <c r="AZ9" s="189">
        <v>54471960.229999997</v>
      </c>
      <c r="BA9" s="189">
        <v>305756609.54000002</v>
      </c>
      <c r="BB9" s="189">
        <v>181225555.91</v>
      </c>
      <c r="BC9" s="189">
        <v>94180585.439999998</v>
      </c>
      <c r="BD9" s="189">
        <v>35197472.590000004</v>
      </c>
      <c r="BE9" s="189">
        <v>241528132.36000001</v>
      </c>
      <c r="BF9" s="189">
        <v>162478232.75999999</v>
      </c>
      <c r="BG9" s="189">
        <v>79362335.939999998</v>
      </c>
      <c r="BH9" s="189">
        <v>35416428.619999997</v>
      </c>
      <c r="BI9" s="189">
        <v>193566859.59</v>
      </c>
      <c r="BJ9" s="189">
        <v>116783462.20999999</v>
      </c>
      <c r="BK9" s="189">
        <v>80727007.510000005</v>
      </c>
      <c r="BL9" s="189">
        <v>40066641.75</v>
      </c>
      <c r="BM9" s="189">
        <v>154938525.41999999</v>
      </c>
      <c r="BN9" s="189">
        <v>96274222.920000002</v>
      </c>
      <c r="BO9" s="189">
        <v>58895417.530000001</v>
      </c>
      <c r="BP9" s="189">
        <v>26507627.449999999</v>
      </c>
      <c r="BQ9" s="189">
        <v>64709098.049999997</v>
      </c>
      <c r="BR9" s="189">
        <v>34037263.399999999</v>
      </c>
      <c r="BS9" s="189">
        <v>31769993.309999999</v>
      </c>
      <c r="BT9" s="189">
        <v>9285876.6099999994</v>
      </c>
      <c r="BU9" s="189">
        <v>16375695.550000001</v>
      </c>
      <c r="BV9" s="189">
        <v>7252156.5800000001</v>
      </c>
      <c r="BW9" s="189">
        <v>11269225.09</v>
      </c>
      <c r="BX9" s="189">
        <v>3916037.15</v>
      </c>
      <c r="BY9" s="189">
        <v>11101935.949999999</v>
      </c>
      <c r="BZ9" s="189">
        <v>0</v>
      </c>
      <c r="CA9" s="189">
        <v>7030640</v>
      </c>
      <c r="CB9" s="189">
        <v>4451221</v>
      </c>
      <c r="CC9" s="189">
        <v>2763600</v>
      </c>
      <c r="CD9" s="189">
        <v>0</v>
      </c>
      <c r="CE9" s="189"/>
      <c r="CF9" s="189"/>
      <c r="CG9" s="189"/>
      <c r="CH9" s="189"/>
      <c r="CI9" s="189"/>
      <c r="CJ9" s="189"/>
      <c r="CK9" s="189"/>
    </row>
    <row r="10" spans="1:89" x14ac:dyDescent="0.25">
      <c r="A10" s="17" t="s">
        <v>390</v>
      </c>
      <c r="B10" s="189">
        <v>473061651.16000003</v>
      </c>
      <c r="C10" s="189">
        <v>927186313.38999999</v>
      </c>
      <c r="D10" s="189">
        <v>414172311.19</v>
      </c>
      <c r="E10" s="189">
        <v>2051275833.0599999</v>
      </c>
      <c r="F10" s="189">
        <v>1102439012.6400001</v>
      </c>
      <c r="G10" s="189">
        <v>681167145.64999998</v>
      </c>
      <c r="H10" s="189">
        <v>394099300.13999999</v>
      </c>
      <c r="I10" s="189">
        <v>1825537916.75</v>
      </c>
      <c r="J10" s="189">
        <v>1179240233.48</v>
      </c>
      <c r="K10" s="189">
        <v>762850423.29999995</v>
      </c>
      <c r="L10" s="189">
        <v>383664873.14999998</v>
      </c>
      <c r="M10" s="189">
        <v>1812930608.9200001</v>
      </c>
      <c r="N10" s="189">
        <v>1196003215.73</v>
      </c>
      <c r="O10" s="189">
        <v>782642166.84000003</v>
      </c>
      <c r="P10" s="189">
        <v>366029342.07999998</v>
      </c>
      <c r="Q10" s="189">
        <v>1452376480.1600001</v>
      </c>
      <c r="R10" s="189">
        <v>813320411.19000006</v>
      </c>
      <c r="S10" s="189">
        <v>549893109.62</v>
      </c>
      <c r="T10" s="189">
        <v>296527579.26999998</v>
      </c>
      <c r="U10" s="189">
        <v>1071030306.22</v>
      </c>
      <c r="V10" s="189">
        <v>723793176.41999996</v>
      </c>
      <c r="W10" s="189">
        <v>480316564.81999999</v>
      </c>
      <c r="X10" s="189">
        <v>239543726.65000001</v>
      </c>
      <c r="Y10" s="189">
        <v>880513246.49000001</v>
      </c>
      <c r="Z10" s="189">
        <v>588699251.63</v>
      </c>
      <c r="AA10" s="189">
        <v>359948868.73000002</v>
      </c>
      <c r="AB10" s="189">
        <v>179197381.71000001</v>
      </c>
      <c r="AC10" s="189">
        <v>698998678.25999999</v>
      </c>
      <c r="AD10" s="189">
        <v>462580285.74000001</v>
      </c>
      <c r="AE10" s="189">
        <v>275696964.37</v>
      </c>
      <c r="AF10" s="189">
        <v>133452455.86</v>
      </c>
      <c r="AG10" s="189">
        <v>523426742.54000002</v>
      </c>
      <c r="AH10" s="189">
        <v>374846325.30000001</v>
      </c>
      <c r="AI10" s="189">
        <v>224473640.03999999</v>
      </c>
      <c r="AJ10" s="189">
        <v>100851848.41</v>
      </c>
      <c r="AK10" s="189">
        <v>358150786.63</v>
      </c>
      <c r="AL10" s="189">
        <v>280716465.63</v>
      </c>
      <c r="AM10" s="189">
        <v>183887667.75999999</v>
      </c>
      <c r="AN10" s="189">
        <v>94098554.109999999</v>
      </c>
      <c r="AO10" s="189">
        <v>410060735.70999998</v>
      </c>
      <c r="AP10" s="189">
        <v>313364207.63</v>
      </c>
      <c r="AQ10" s="189">
        <v>221626498.81</v>
      </c>
      <c r="AR10" s="189">
        <v>126883062.36</v>
      </c>
      <c r="AS10" s="189">
        <v>369681844.36000001</v>
      </c>
      <c r="AT10" s="189">
        <v>250554601.13999999</v>
      </c>
      <c r="AU10" s="189">
        <v>155761236</v>
      </c>
      <c r="AV10" s="189">
        <v>68630785.109999999</v>
      </c>
      <c r="AW10" s="189">
        <v>281010186.29000002</v>
      </c>
      <c r="AX10" s="189">
        <v>177974375.25999999</v>
      </c>
      <c r="AY10" s="189">
        <v>109110684.33</v>
      </c>
      <c r="AZ10" s="189">
        <v>55182171.57</v>
      </c>
      <c r="BA10" s="189">
        <v>291412597.25999999</v>
      </c>
      <c r="BB10" s="189">
        <v>176286507.25999999</v>
      </c>
      <c r="BC10" s="189">
        <v>105140169.63</v>
      </c>
      <c r="BD10" s="189">
        <v>49172531.189999998</v>
      </c>
      <c r="BE10" s="189">
        <v>240598845.02000001</v>
      </c>
      <c r="BF10" s="189">
        <v>185177144.90000001</v>
      </c>
      <c r="BG10" s="189">
        <v>104756543.64</v>
      </c>
      <c r="BH10" s="189">
        <v>51311269.859999999</v>
      </c>
      <c r="BI10" s="189">
        <v>207612352.59</v>
      </c>
      <c r="BJ10" s="189">
        <v>178422651.16</v>
      </c>
      <c r="BK10" s="189">
        <v>118867271.18000001</v>
      </c>
      <c r="BL10" s="189">
        <v>85282478.069999993</v>
      </c>
      <c r="BM10" s="189">
        <v>157493020.16999999</v>
      </c>
      <c r="BN10" s="189">
        <v>165111587.21000001</v>
      </c>
      <c r="BO10" s="189">
        <v>87847561.030000001</v>
      </c>
      <c r="BP10" s="189">
        <v>33555535.149999999</v>
      </c>
      <c r="BQ10" s="189">
        <v>128357653.31999999</v>
      </c>
      <c r="BR10" s="189">
        <v>74118774.290000007</v>
      </c>
      <c r="BS10" s="189">
        <v>94748656.430000007</v>
      </c>
      <c r="BT10" s="189">
        <v>40470603.82</v>
      </c>
      <c r="BU10" s="189">
        <v>48361994.43</v>
      </c>
      <c r="BV10" s="189">
        <v>16586491.119999999</v>
      </c>
      <c r="BW10" s="189">
        <v>31127259.690000001</v>
      </c>
      <c r="BX10" s="189">
        <v>6316654.54</v>
      </c>
      <c r="BY10" s="189">
        <v>22011099.829999998</v>
      </c>
      <c r="BZ10" s="189">
        <v>0</v>
      </c>
      <c r="CA10" s="189">
        <v>23754785</v>
      </c>
      <c r="CB10" s="189">
        <v>16103087</v>
      </c>
      <c r="CC10" s="189">
        <v>5569596</v>
      </c>
      <c r="CD10" s="189">
        <v>0</v>
      </c>
      <c r="CE10" s="189"/>
      <c r="CF10" s="189"/>
      <c r="CG10" s="189"/>
      <c r="CH10" s="189"/>
      <c r="CI10" s="189"/>
      <c r="CJ10" s="189"/>
      <c r="CK10" s="189"/>
    </row>
    <row r="11" spans="1:89" x14ac:dyDescent="0.25">
      <c r="A11" s="17" t="s">
        <v>391</v>
      </c>
      <c r="B11" s="189">
        <v>-10830385.380000001</v>
      </c>
      <c r="C11" s="189">
        <v>-110788307.19</v>
      </c>
      <c r="D11" s="189">
        <v>-70089483.359999999</v>
      </c>
      <c r="E11" s="189">
        <v>560350406.35000002</v>
      </c>
      <c r="F11" s="189">
        <v>212508044.03999999</v>
      </c>
      <c r="G11" s="189">
        <v>25803137.550000001</v>
      </c>
      <c r="H11" s="189">
        <v>-66892569.729999997</v>
      </c>
      <c r="I11" s="189">
        <v>437965546.48000002</v>
      </c>
      <c r="J11" s="189">
        <v>211834317.93000001</v>
      </c>
      <c r="K11" s="189">
        <v>93790916.879999995</v>
      </c>
      <c r="L11" s="189">
        <v>-30512512.550000001</v>
      </c>
      <c r="M11" s="189">
        <v>240740779.00999999</v>
      </c>
      <c r="N11" s="189">
        <v>-3559174.98</v>
      </c>
      <c r="O11" s="189">
        <v>-50117286.490000002</v>
      </c>
      <c r="P11" s="189">
        <v>-41866112.770000003</v>
      </c>
      <c r="Q11" s="189">
        <v>356544590.82999998</v>
      </c>
      <c r="R11" s="189">
        <v>73614401.180000007</v>
      </c>
      <c r="S11" s="189">
        <v>52853538.43</v>
      </c>
      <c r="T11" s="189">
        <v>31558781.66</v>
      </c>
      <c r="U11" s="189">
        <v>10876314.699999999</v>
      </c>
      <c r="V11" s="189">
        <v>155313703.19</v>
      </c>
      <c r="W11" s="189">
        <v>176033326.75999999</v>
      </c>
      <c r="X11" s="189">
        <v>69605803.239999995</v>
      </c>
      <c r="Y11" s="189">
        <v>258726975.11000001</v>
      </c>
      <c r="Z11" s="189">
        <v>99775944.260000005</v>
      </c>
      <c r="AA11" s="189">
        <v>57231779.520000003</v>
      </c>
      <c r="AB11" s="189">
        <v>45047118.840000004</v>
      </c>
      <c r="AC11" s="189">
        <v>39806258.420000002</v>
      </c>
      <c r="AD11" s="189">
        <v>45658847.189999998</v>
      </c>
      <c r="AE11" s="189">
        <v>9430681.3399999999</v>
      </c>
      <c r="AF11" s="189">
        <v>1205498.8400000001</v>
      </c>
      <c r="AG11" s="189">
        <v>40379439.049999997</v>
      </c>
      <c r="AH11" s="189">
        <v>42895473.689999998</v>
      </c>
      <c r="AI11" s="189">
        <v>24495553.59</v>
      </c>
      <c r="AJ11" s="189">
        <v>-1859114.74</v>
      </c>
      <c r="AK11" s="189">
        <v>39616708.619999997</v>
      </c>
      <c r="AL11" s="189">
        <v>15233147.65</v>
      </c>
      <c r="AM11" s="189">
        <v>9914485.5299999993</v>
      </c>
      <c r="AN11" s="189">
        <v>3168473.74</v>
      </c>
      <c r="AO11" s="189">
        <v>151545293.86000001</v>
      </c>
      <c r="AP11" s="189">
        <v>144212178.31</v>
      </c>
      <c r="AQ11" s="189">
        <v>-16013320.02</v>
      </c>
      <c r="AR11" s="189">
        <v>-15568237</v>
      </c>
      <c r="AS11" s="189">
        <v>54864256.969999999</v>
      </c>
      <c r="AT11" s="189">
        <v>16384639.039999999</v>
      </c>
      <c r="AU11" s="189">
        <v>4425313.41</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4934929.22</v>
      </c>
      <c r="BT11" s="189">
        <v>0</v>
      </c>
      <c r="BU11" s="189">
        <v>2075722.79</v>
      </c>
      <c r="BV11" s="189">
        <v>0</v>
      </c>
      <c r="BW11" s="189">
        <v>0</v>
      </c>
      <c r="BX11" s="189">
        <v>0</v>
      </c>
      <c r="BY11" s="189">
        <v>0</v>
      </c>
      <c r="BZ11" s="189">
        <v>0</v>
      </c>
      <c r="CA11" s="189">
        <v>0</v>
      </c>
      <c r="CB11" s="189">
        <v>0</v>
      </c>
      <c r="CC11" s="189">
        <v>0</v>
      </c>
      <c r="CD11" s="189">
        <v>0</v>
      </c>
      <c r="CE11" s="189"/>
      <c r="CF11" s="189"/>
      <c r="CG11" s="189"/>
      <c r="CH11" s="189"/>
      <c r="CI11" s="189"/>
      <c r="CJ11" s="189"/>
      <c r="CK11" s="189"/>
    </row>
    <row r="12" spans="1:89" s="7" customFormat="1" x14ac:dyDescent="0.25">
      <c r="A12" s="21" t="s">
        <v>392</v>
      </c>
      <c r="B12" s="29">
        <f>B55</f>
        <v>463</v>
      </c>
      <c r="C12" s="29">
        <f t="shared" ref="C12:BN12" si="5">C55</f>
        <v>603</v>
      </c>
      <c r="D12" s="29">
        <f t="shared" si="5"/>
        <v>653</v>
      </c>
      <c r="E12" s="29">
        <f t="shared" si="5"/>
        <v>15727776.189999999</v>
      </c>
      <c r="F12" s="29">
        <f t="shared" si="5"/>
        <v>1204</v>
      </c>
      <c r="G12" s="29">
        <f t="shared" si="5"/>
        <v>868</v>
      </c>
      <c r="H12" s="29">
        <f t="shared" si="5"/>
        <v>644</v>
      </c>
      <c r="I12" s="29">
        <f t="shared" si="5"/>
        <v>13765636.810000001</v>
      </c>
      <c r="J12" s="29">
        <f t="shared" si="5"/>
        <v>0</v>
      </c>
      <c r="K12" s="29">
        <f t="shared" si="5"/>
        <v>0</v>
      </c>
      <c r="L12" s="29">
        <f t="shared" si="5"/>
        <v>0</v>
      </c>
      <c r="M12" s="29">
        <f t="shared" si="5"/>
        <v>9417861.1199999992</v>
      </c>
      <c r="N12" s="29">
        <f t="shared" si="5"/>
        <v>0</v>
      </c>
      <c r="O12" s="29">
        <f t="shared" si="5"/>
        <v>0</v>
      </c>
      <c r="P12" s="29">
        <f t="shared" si="5"/>
        <v>0</v>
      </c>
      <c r="Q12" s="29">
        <f t="shared" si="5"/>
        <v>11421798.140000001</v>
      </c>
      <c r="R12" s="29">
        <f t="shared" si="5"/>
        <v>0</v>
      </c>
      <c r="S12" s="29">
        <f t="shared" si="5"/>
        <v>0</v>
      </c>
      <c r="T12" s="29">
        <f t="shared" si="5"/>
        <v>0</v>
      </c>
      <c r="U12" s="29">
        <f t="shared" si="5"/>
        <v>19326234.550000001</v>
      </c>
      <c r="V12" s="29">
        <f t="shared" si="5"/>
        <v>0</v>
      </c>
      <c r="W12" s="29">
        <f t="shared" si="5"/>
        <v>0</v>
      </c>
      <c r="X12" s="29">
        <f t="shared" si="5"/>
        <v>0</v>
      </c>
      <c r="Y12" s="29">
        <f t="shared" si="5"/>
        <v>3892751.06</v>
      </c>
      <c r="Z12" s="29">
        <f t="shared" si="5"/>
        <v>0</v>
      </c>
      <c r="AA12" s="29">
        <f t="shared" si="5"/>
        <v>0</v>
      </c>
      <c r="AB12" s="29">
        <f t="shared" si="5"/>
        <v>0</v>
      </c>
      <c r="AC12" s="29">
        <f t="shared" si="5"/>
        <v>6517796.0499999998</v>
      </c>
      <c r="AD12" s="29">
        <f t="shared" si="5"/>
        <v>0</v>
      </c>
      <c r="AE12" s="29">
        <f t="shared" si="5"/>
        <v>0</v>
      </c>
      <c r="AF12" s="29">
        <f t="shared" si="5"/>
        <v>0</v>
      </c>
      <c r="AG12" s="29">
        <f t="shared" si="5"/>
        <v>3125361.43</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9">
        <v>63443367.390000001</v>
      </c>
      <c r="C13" s="189">
        <v>23204029.050000001</v>
      </c>
      <c r="D13" s="189">
        <v>8568328.1600000001</v>
      </c>
      <c r="E13" s="189">
        <v>51261590.18</v>
      </c>
      <c r="F13" s="189">
        <v>39194829.229999997</v>
      </c>
      <c r="G13" s="189">
        <v>22233727.16</v>
      </c>
      <c r="H13" s="189">
        <v>20759972.98</v>
      </c>
      <c r="I13" s="189">
        <v>423462915.60000002</v>
      </c>
      <c r="J13" s="189">
        <v>201473382.15000001</v>
      </c>
      <c r="K13" s="189">
        <v>105762087.33</v>
      </c>
      <c r="L13" s="189">
        <v>61290341.560000002</v>
      </c>
      <c r="M13" s="189">
        <v>331944083.18000001</v>
      </c>
      <c r="N13" s="189">
        <v>134799125.69999999</v>
      </c>
      <c r="O13" s="189">
        <v>64841571.799999997</v>
      </c>
      <c r="P13" s="189">
        <v>22445351.800000001</v>
      </c>
      <c r="Q13" s="189">
        <v>167933759.72</v>
      </c>
      <c r="R13" s="189">
        <v>85509134.129999995</v>
      </c>
      <c r="S13" s="189">
        <v>63072260.57</v>
      </c>
      <c r="T13" s="189">
        <v>10566312.449999999</v>
      </c>
      <c r="U13" s="189">
        <v>210302895.16</v>
      </c>
      <c r="V13" s="189">
        <v>185517064.49000001</v>
      </c>
      <c r="W13" s="189">
        <v>168033622.78</v>
      </c>
      <c r="X13" s="189">
        <v>51338185.140000001</v>
      </c>
      <c r="Y13" s="189">
        <v>144038156.40000001</v>
      </c>
      <c r="Z13" s="189">
        <v>30167182.399999999</v>
      </c>
      <c r="AA13" s="189">
        <v>15631229.58</v>
      </c>
      <c r="AB13" s="189">
        <v>4796993.0199999996</v>
      </c>
      <c r="AC13" s="189">
        <v>67803764.780000001</v>
      </c>
      <c r="AD13" s="189">
        <v>51938868.340000004</v>
      </c>
      <c r="AE13" s="189">
        <v>10955078.09</v>
      </c>
      <c r="AF13" s="189">
        <v>3010692.34</v>
      </c>
      <c r="AG13" s="189">
        <v>25867197.059999999</v>
      </c>
      <c r="AH13" s="189">
        <v>19550666.539999999</v>
      </c>
      <c r="AI13" s="189">
        <v>15857917.800000001</v>
      </c>
      <c r="AJ13" s="189">
        <v>9108084.1799999997</v>
      </c>
      <c r="AK13" s="189">
        <v>16683517.85</v>
      </c>
      <c r="AL13" s="189">
        <v>11730317.77</v>
      </c>
      <c r="AM13" s="189">
        <v>8950676.6999999993</v>
      </c>
      <c r="AN13" s="189">
        <v>4066111.26</v>
      </c>
      <c r="AO13" s="189">
        <v>9674116.5399999991</v>
      </c>
      <c r="AP13" s="189">
        <v>4695798.03</v>
      </c>
      <c r="AQ13" s="189">
        <v>4226662.3899999997</v>
      </c>
      <c r="AR13" s="189">
        <v>1414308.71</v>
      </c>
      <c r="AS13" s="189">
        <v>15457000.98</v>
      </c>
      <c r="AT13" s="189">
        <v>6899624.04</v>
      </c>
      <c r="AU13" s="189">
        <v>4358888.88</v>
      </c>
      <c r="AV13" s="189">
        <v>1383048.61</v>
      </c>
      <c r="AW13" s="189">
        <v>4868740.33</v>
      </c>
      <c r="AX13" s="189">
        <v>2691380.07</v>
      </c>
      <c r="AY13" s="189">
        <v>1187991.5</v>
      </c>
      <c r="AZ13" s="189">
        <v>466514.5</v>
      </c>
      <c r="BA13" s="189">
        <v>3928731.09</v>
      </c>
      <c r="BB13" s="189">
        <v>2823964.51</v>
      </c>
      <c r="BC13" s="189">
        <v>1934415.07</v>
      </c>
      <c r="BD13" s="189">
        <v>194680.02</v>
      </c>
      <c r="BE13" s="189">
        <v>1274201.47</v>
      </c>
      <c r="BF13" s="189">
        <v>679305.88</v>
      </c>
      <c r="BG13" s="189">
        <v>411500.97</v>
      </c>
      <c r="BH13" s="189">
        <v>265297.96999999997</v>
      </c>
      <c r="BI13" s="189">
        <v>1324571.76</v>
      </c>
      <c r="BJ13" s="189">
        <v>635203.23</v>
      </c>
      <c r="BK13" s="189">
        <v>537524.30000000005</v>
      </c>
      <c r="BL13" s="189">
        <v>169759.5</v>
      </c>
      <c r="BM13" s="189">
        <v>767909.94</v>
      </c>
      <c r="BN13" s="189">
        <v>818251.2</v>
      </c>
      <c r="BO13" s="189">
        <v>605620.11</v>
      </c>
      <c r="BP13" s="189">
        <v>39828.49</v>
      </c>
      <c r="BQ13" s="189">
        <v>1097433.02</v>
      </c>
      <c r="BR13" s="189">
        <v>395309.39</v>
      </c>
      <c r="BS13" s="189">
        <v>3271412.3</v>
      </c>
      <c r="BT13" s="189">
        <v>768325.28</v>
      </c>
      <c r="BU13" s="189">
        <v>1281113.8600000001</v>
      </c>
      <c r="BV13" s="189">
        <v>246558.63</v>
      </c>
      <c r="BW13" s="189">
        <v>5368086.4000000004</v>
      </c>
      <c r="BX13" s="189">
        <v>366451.94</v>
      </c>
      <c r="BY13" s="189">
        <v>309439.94</v>
      </c>
      <c r="BZ13" s="189">
        <v>0</v>
      </c>
      <c r="CA13" s="189">
        <v>818626</v>
      </c>
      <c r="CB13" s="189">
        <v>547390</v>
      </c>
      <c r="CC13" s="189">
        <v>850426</v>
      </c>
      <c r="CD13" s="189">
        <v>0</v>
      </c>
      <c r="CE13" s="189"/>
      <c r="CF13" s="189"/>
      <c r="CG13" s="189"/>
      <c r="CH13" s="189"/>
      <c r="CI13" s="189"/>
      <c r="CJ13" s="189"/>
      <c r="CK13" s="189"/>
    </row>
    <row r="14" spans="1:89" x14ac:dyDescent="0.25">
      <c r="A14" s="17" t="s">
        <v>394</v>
      </c>
      <c r="B14" s="189">
        <v>9998306.4499999993</v>
      </c>
      <c r="C14" s="189">
        <v>6459984.9100000001</v>
      </c>
      <c r="D14" s="189">
        <v>98056.91</v>
      </c>
      <c r="E14" s="189">
        <v>16869123.48</v>
      </c>
      <c r="F14" s="189">
        <v>1695642.45</v>
      </c>
      <c r="G14" s="189">
        <v>1461271.27</v>
      </c>
      <c r="H14" s="189">
        <v>643667.85</v>
      </c>
      <c r="I14" s="189">
        <v>34503000.130000003</v>
      </c>
      <c r="J14" s="189">
        <v>10798735.789999999</v>
      </c>
      <c r="K14" s="189">
        <v>6661428.6200000001</v>
      </c>
      <c r="L14" s="189">
        <v>7226909.2199999997</v>
      </c>
      <c r="M14" s="189">
        <v>55882162.170000002</v>
      </c>
      <c r="N14" s="189">
        <v>27865503.440000001</v>
      </c>
      <c r="O14" s="189">
        <v>10902733.23</v>
      </c>
      <c r="P14" s="189">
        <v>7459249.2400000002</v>
      </c>
      <c r="Q14" s="189">
        <v>19804739.890000001</v>
      </c>
      <c r="R14" s="189">
        <v>11029419.42</v>
      </c>
      <c r="S14" s="189">
        <v>3940341.74</v>
      </c>
      <c r="T14" s="189">
        <v>3031872.99</v>
      </c>
      <c r="U14" s="189">
        <v>6978909.29</v>
      </c>
      <c r="V14" s="189">
        <v>5680772.8099999996</v>
      </c>
      <c r="W14" s="189">
        <v>4082813.01</v>
      </c>
      <c r="X14" s="189">
        <v>1428782.82</v>
      </c>
      <c r="Y14" s="189">
        <v>15992525.74</v>
      </c>
      <c r="Z14" s="189">
        <v>7088598.2000000002</v>
      </c>
      <c r="AA14" s="189">
        <v>5960886.25</v>
      </c>
      <c r="AB14" s="189">
        <v>4777143.59</v>
      </c>
      <c r="AC14" s="189">
        <v>45893342.890000001</v>
      </c>
      <c r="AD14" s="189">
        <v>43429859.07</v>
      </c>
      <c r="AE14" s="189">
        <v>2804119.03</v>
      </c>
      <c r="AF14" s="189">
        <v>1817094.66</v>
      </c>
      <c r="AG14" s="189">
        <v>56640777.689999998</v>
      </c>
      <c r="AH14" s="189">
        <v>54781189.060000002</v>
      </c>
      <c r="AI14" s="189">
        <v>3088044.44</v>
      </c>
      <c r="AJ14" s="189">
        <v>218123.18</v>
      </c>
      <c r="AK14" s="189">
        <v>6281152.9900000002</v>
      </c>
      <c r="AL14" s="189">
        <v>4792165.87</v>
      </c>
      <c r="AM14" s="189">
        <v>2306018.54</v>
      </c>
      <c r="AN14" s="189">
        <v>1646961.28</v>
      </c>
      <c r="AO14" s="189">
        <v>10034293.609999999</v>
      </c>
      <c r="AP14" s="189">
        <v>2378844.06</v>
      </c>
      <c r="AQ14" s="189">
        <v>1284999.1200000001</v>
      </c>
      <c r="AR14" s="189">
        <v>1187282.75</v>
      </c>
      <c r="AS14" s="189">
        <v>7738190.3499999996</v>
      </c>
      <c r="AT14" s="189">
        <v>3533864.31</v>
      </c>
      <c r="AU14" s="189">
        <v>1012139.8</v>
      </c>
      <c r="AV14" s="189">
        <v>775997.12</v>
      </c>
      <c r="AW14" s="189">
        <v>2237753.0299999998</v>
      </c>
      <c r="AX14" s="189">
        <v>1943943.6</v>
      </c>
      <c r="AY14" s="189">
        <v>1770386.41</v>
      </c>
      <c r="AZ14" s="189">
        <v>1587335.5</v>
      </c>
      <c r="BA14" s="189">
        <v>2858959.68</v>
      </c>
      <c r="BB14" s="189">
        <v>2429461.87</v>
      </c>
      <c r="BC14" s="189">
        <v>2155439.9300000002</v>
      </c>
      <c r="BD14" s="189">
        <v>2198669.77</v>
      </c>
      <c r="BE14" s="189">
        <v>2836218.46</v>
      </c>
      <c r="BF14" s="189">
        <v>2779635.78</v>
      </c>
      <c r="BG14" s="189">
        <v>2711473.64</v>
      </c>
      <c r="BH14" s="189">
        <v>1307147.6599999999</v>
      </c>
      <c r="BI14" s="189">
        <v>3299565.56</v>
      </c>
      <c r="BJ14" s="189">
        <v>1457393.04</v>
      </c>
      <c r="BK14" s="189">
        <v>1310351.1000000001</v>
      </c>
      <c r="BL14" s="189">
        <v>21374.15</v>
      </c>
      <c r="BM14" s="189">
        <v>17999170.289999999</v>
      </c>
      <c r="BN14" s="189">
        <v>1262441.3500000001</v>
      </c>
      <c r="BO14" s="189">
        <v>207035.38</v>
      </c>
      <c r="BP14" s="189">
        <v>8772.3799999999992</v>
      </c>
      <c r="BQ14" s="189">
        <v>15069488.539999999</v>
      </c>
      <c r="BR14" s="189">
        <v>1393668.16</v>
      </c>
      <c r="BS14" s="189">
        <v>11163960.93</v>
      </c>
      <c r="BT14" s="189">
        <v>879529.91</v>
      </c>
      <c r="BU14" s="189">
        <v>2009284.52</v>
      </c>
      <c r="BV14" s="189">
        <v>54038.28</v>
      </c>
      <c r="BW14" s="189">
        <v>1011422.28</v>
      </c>
      <c r="BX14" s="189">
        <v>468918.08</v>
      </c>
      <c r="BY14" s="189">
        <v>315354.93</v>
      </c>
      <c r="BZ14" s="189">
        <v>0</v>
      </c>
      <c r="CA14" s="189">
        <v>179476</v>
      </c>
      <c r="CB14" s="189">
        <v>152784</v>
      </c>
      <c r="CC14" s="189">
        <v>90710</v>
      </c>
      <c r="CD14" s="189">
        <v>0</v>
      </c>
      <c r="CE14" s="189"/>
      <c r="CF14" s="189"/>
      <c r="CG14" s="189"/>
      <c r="CH14" s="189"/>
      <c r="CI14" s="189"/>
      <c r="CJ14" s="189"/>
      <c r="CK14" s="189"/>
    </row>
    <row r="15" spans="1:89" s="2" customFormat="1" x14ac:dyDescent="0.25">
      <c r="A15" s="20" t="s">
        <v>397</v>
      </c>
      <c r="B15" s="28">
        <f>B6-(B8+B9+B10+B11+B12)+B13-B14</f>
        <v>2549308516.900002</v>
      </c>
      <c r="C15" s="28">
        <f t="shared" ref="C15:BN15" si="7">C6-(C8+C9+C10+C11+C12)+C13-C14</f>
        <v>681143897.40000117</v>
      </c>
      <c r="D15" s="28">
        <f t="shared" si="7"/>
        <v>376111056.51999974</v>
      </c>
      <c r="E15" s="28">
        <f t="shared" si="7"/>
        <v>3611276696.210001</v>
      </c>
      <c r="F15" s="28">
        <f t="shared" si="7"/>
        <v>2139502758.0400002</v>
      </c>
      <c r="G15" s="28">
        <f t="shared" si="7"/>
        <v>859011734.88000023</v>
      </c>
      <c r="H15" s="28">
        <f t="shared" si="7"/>
        <v>356116640.62999988</v>
      </c>
      <c r="I15" s="28">
        <f t="shared" si="7"/>
        <v>4997771774.0300026</v>
      </c>
      <c r="J15" s="28">
        <f t="shared" si="7"/>
        <v>2782632797.0800004</v>
      </c>
      <c r="K15" s="28">
        <f t="shared" si="7"/>
        <v>1516757795.7099996</v>
      </c>
      <c r="L15" s="28">
        <f t="shared" si="7"/>
        <v>571719329.65999937</v>
      </c>
      <c r="M15" s="28">
        <f t="shared" si="7"/>
        <v>3931827187.3399987</v>
      </c>
      <c r="N15" s="28">
        <f t="shared" si="7"/>
        <v>2128846971.3100004</v>
      </c>
      <c r="O15" s="28">
        <f t="shared" si="7"/>
        <v>1003186685.1900005</v>
      </c>
      <c r="P15" s="28">
        <f t="shared" si="7"/>
        <v>374950948.31999999</v>
      </c>
      <c r="Q15" s="28">
        <f t="shared" si="7"/>
        <v>2902090484.6799994</v>
      </c>
      <c r="R15" s="28">
        <f t="shared" si="7"/>
        <v>1176669437.2499995</v>
      </c>
      <c r="S15" s="28">
        <f t="shared" si="7"/>
        <v>716676780.75999963</v>
      </c>
      <c r="T15" s="28">
        <f t="shared" si="7"/>
        <v>287076506.05000013</v>
      </c>
      <c r="U15" s="28">
        <f t="shared" si="7"/>
        <v>2036673892.4000008</v>
      </c>
      <c r="V15" s="28">
        <f t="shared" si="7"/>
        <v>995275458.05000067</v>
      </c>
      <c r="W15" s="28">
        <f t="shared" si="7"/>
        <v>705393636.56999922</v>
      </c>
      <c r="X15" s="28">
        <f t="shared" si="7"/>
        <v>279004415.41000038</v>
      </c>
      <c r="Y15" s="28">
        <f t="shared" si="7"/>
        <v>1663979942.8700001</v>
      </c>
      <c r="Z15" s="28">
        <f t="shared" si="7"/>
        <v>1009417829.0199984</v>
      </c>
      <c r="AA15" s="28">
        <f t="shared" si="7"/>
        <v>589700091.51000035</v>
      </c>
      <c r="AB15" s="28">
        <f t="shared" si="7"/>
        <v>249562107.6699999</v>
      </c>
      <c r="AC15" s="28">
        <f t="shared" si="7"/>
        <v>1348141800.6799996</v>
      </c>
      <c r="AD15" s="28">
        <f t="shared" si="7"/>
        <v>814642163.63000035</v>
      </c>
      <c r="AE15" s="28">
        <f t="shared" si="7"/>
        <v>471791462.18999964</v>
      </c>
      <c r="AF15" s="28">
        <f t="shared" si="7"/>
        <v>195058284.32999992</v>
      </c>
      <c r="AG15" s="28">
        <f t="shared" si="7"/>
        <v>975296601.75999856</v>
      </c>
      <c r="AH15" s="28">
        <f t="shared" si="7"/>
        <v>637715705.85000038</v>
      </c>
      <c r="AI15" s="28">
        <f t="shared" si="7"/>
        <v>428179992.2500003</v>
      </c>
      <c r="AJ15" s="28">
        <f t="shared" si="7"/>
        <v>166887385.41000021</v>
      </c>
      <c r="AK15" s="28">
        <f t="shared" si="7"/>
        <v>625681479.18000007</v>
      </c>
      <c r="AL15" s="28">
        <f t="shared" si="7"/>
        <v>374855542.2900002</v>
      </c>
      <c r="AM15" s="28">
        <f t="shared" si="7"/>
        <v>208797323.50999984</v>
      </c>
      <c r="AN15" s="28">
        <f t="shared" si="7"/>
        <v>63831770.879999973</v>
      </c>
      <c r="AO15" s="28">
        <f t="shared" si="7"/>
        <v>314367223.99999958</v>
      </c>
      <c r="AP15" s="28">
        <f t="shared" si="7"/>
        <v>108895624.72000024</v>
      </c>
      <c r="AQ15" s="28">
        <f t="shared" si="7"/>
        <v>233449100.36000001</v>
      </c>
      <c r="AR15" s="28">
        <f t="shared" si="7"/>
        <v>79716133.289999858</v>
      </c>
      <c r="AS15" s="28">
        <f t="shared" si="7"/>
        <v>551172758.25000012</v>
      </c>
      <c r="AT15" s="28">
        <f t="shared" si="7"/>
        <v>223775984.77000001</v>
      </c>
      <c r="AU15" s="28">
        <f t="shared" si="7"/>
        <v>135286459.87999988</v>
      </c>
      <c r="AV15" s="28">
        <f t="shared" si="7"/>
        <v>57460511.839999996</v>
      </c>
      <c r="AW15" s="28">
        <f t="shared" si="7"/>
        <v>259833598.4600001</v>
      </c>
      <c r="AX15" s="28">
        <f t="shared" si="7"/>
        <v>123297227.17000011</v>
      </c>
      <c r="AY15" s="28">
        <f t="shared" si="7"/>
        <v>84245183.180000216</v>
      </c>
      <c r="AZ15" s="28">
        <f t="shared" si="7"/>
        <v>40953837.230000079</v>
      </c>
      <c r="BA15" s="28">
        <f t="shared" si="7"/>
        <v>229138659.39999929</v>
      </c>
      <c r="BB15" s="28">
        <f t="shared" si="7"/>
        <v>146783451.68000019</v>
      </c>
      <c r="BC15" s="28">
        <f t="shared" si="7"/>
        <v>80874282.25999999</v>
      </c>
      <c r="BD15" s="28">
        <f t="shared" si="7"/>
        <v>36603364.789999917</v>
      </c>
      <c r="BE15" s="28">
        <f t="shared" si="7"/>
        <v>175136480.55999994</v>
      </c>
      <c r="BF15" s="28">
        <f t="shared" si="7"/>
        <v>128982177.87000009</v>
      </c>
      <c r="BG15" s="28">
        <f t="shared" si="7"/>
        <v>63510482.390000001</v>
      </c>
      <c r="BH15" s="28">
        <f t="shared" si="7"/>
        <v>32097527.540000018</v>
      </c>
      <c r="BI15" s="28">
        <f t="shared" si="7"/>
        <v>179050897.63000005</v>
      </c>
      <c r="BJ15" s="28">
        <f t="shared" si="7"/>
        <v>100503491.20000011</v>
      </c>
      <c r="BK15" s="28">
        <f t="shared" si="7"/>
        <v>47036903.640000142</v>
      </c>
      <c r="BL15" s="28">
        <f t="shared" si="7"/>
        <v>33265912.949999951</v>
      </c>
      <c r="BM15" s="28">
        <f t="shared" si="7"/>
        <v>161760465.08000007</v>
      </c>
      <c r="BN15" s="28">
        <f t="shared" si="7"/>
        <v>97582246.939999864</v>
      </c>
      <c r="BO15" s="28">
        <f t="shared" ref="BO15:CJ15" si="8">BO6-(BO8+BO9+BO10+BO11+BO12)+BO13-BO14</f>
        <v>51054605.000000037</v>
      </c>
      <c r="BP15" s="28">
        <f t="shared" si="8"/>
        <v>16252530.889999978</v>
      </c>
      <c r="BQ15" s="28">
        <f t="shared" si="8"/>
        <v>113367973.48999992</v>
      </c>
      <c r="BR15" s="28">
        <f t="shared" si="8"/>
        <v>33320098.020000007</v>
      </c>
      <c r="BS15" s="28">
        <f t="shared" si="8"/>
        <v>97883917.369999915</v>
      </c>
      <c r="BT15" s="28">
        <f t="shared" si="8"/>
        <v>32670988.930000041</v>
      </c>
      <c r="BU15" s="28">
        <f t="shared" si="8"/>
        <v>78974071.799999967</v>
      </c>
      <c r="BV15" s="28">
        <f t="shared" si="8"/>
        <v>26245462.21000002</v>
      </c>
      <c r="BW15" s="28">
        <f t="shared" si="8"/>
        <v>71263423.019999996</v>
      </c>
      <c r="BX15" s="28">
        <f t="shared" si="8"/>
        <v>26772373.46000002</v>
      </c>
      <c r="BY15" s="28">
        <f t="shared" si="8"/>
        <v>51880511.099999964</v>
      </c>
      <c r="BZ15" s="28">
        <f t="shared" si="8"/>
        <v>157092838.58000001</v>
      </c>
      <c r="CA15" s="28">
        <f t="shared" si="8"/>
        <v>38634764</v>
      </c>
      <c r="CB15" s="28">
        <f t="shared" si="8"/>
        <v>28202132</v>
      </c>
      <c r="CC15" s="28">
        <f t="shared" si="8"/>
        <v>7764996</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219105025.61707667</v>
      </c>
      <c r="C16" s="26">
        <f t="shared" ref="C16:BN16" si="9">C15*C41</f>
        <v>113625199.44588426</v>
      </c>
      <c r="D16" s="26">
        <f t="shared" si="9"/>
        <v>75961460.287216961</v>
      </c>
      <c r="E16" s="26">
        <f t="shared" si="9"/>
        <v>515892070.2616145</v>
      </c>
      <c r="F16" s="26">
        <f t="shared" si="9"/>
        <v>282904653.14787978</v>
      </c>
      <c r="G16" s="26">
        <f t="shared" si="9"/>
        <v>108511401.03485501</v>
      </c>
      <c r="H16" s="26">
        <f t="shared" si="9"/>
        <v>71296706.616137996</v>
      </c>
      <c r="I16" s="26">
        <f t="shared" si="9"/>
        <v>730171397.47078288</v>
      </c>
      <c r="J16" s="26">
        <f t="shared" si="9"/>
        <v>363082430.08121598</v>
      </c>
      <c r="K16" s="26">
        <f t="shared" si="9"/>
        <v>197646215.98330936</v>
      </c>
      <c r="L16" s="26">
        <f t="shared" si="9"/>
        <v>76256745.387220904</v>
      </c>
      <c r="M16" s="26">
        <f t="shared" si="9"/>
        <v>478245807.94760156</v>
      </c>
      <c r="N16" s="26">
        <f t="shared" si="9"/>
        <v>258238208.1792036</v>
      </c>
      <c r="O16" s="26">
        <f t="shared" si="9"/>
        <v>113545461.77652819</v>
      </c>
      <c r="P16" s="26">
        <f t="shared" si="9"/>
        <v>48807483.662734985</v>
      </c>
      <c r="Q16" s="26">
        <f t="shared" si="9"/>
        <v>378535830.54511636</v>
      </c>
      <c r="R16" s="26">
        <f t="shared" si="9"/>
        <v>143228435.33733547</v>
      </c>
      <c r="S16" s="26">
        <f t="shared" si="9"/>
        <v>86965026.091267854</v>
      </c>
      <c r="T16" s="26">
        <f t="shared" si="9"/>
        <v>33366446.039064128</v>
      </c>
      <c r="U16" s="26">
        <f t="shared" si="9"/>
        <v>262993350.99962735</v>
      </c>
      <c r="V16" s="26">
        <f t="shared" si="9"/>
        <v>120465735.90956803</v>
      </c>
      <c r="W16" s="26">
        <f t="shared" si="9"/>
        <v>86099427.17787762</v>
      </c>
      <c r="X16" s="26">
        <f t="shared" si="9"/>
        <v>33498354.99285036</v>
      </c>
      <c r="Y16" s="26">
        <f t="shared" si="9"/>
        <v>202573051.31062686</v>
      </c>
      <c r="Z16" s="26">
        <f t="shared" si="9"/>
        <v>123086106.88858728</v>
      </c>
      <c r="AA16" s="26">
        <f t="shared" si="9"/>
        <v>71025459.601056337</v>
      </c>
      <c r="AB16" s="26">
        <f t="shared" si="9"/>
        <v>32138315.261223499</v>
      </c>
      <c r="AC16" s="26">
        <f t="shared" si="9"/>
        <v>195499701.31101537</v>
      </c>
      <c r="AD16" s="26">
        <f t="shared" si="9"/>
        <v>126024063.34317623</v>
      </c>
      <c r="AE16" s="26">
        <f t="shared" si="9"/>
        <v>65225906.441903882</v>
      </c>
      <c r="AF16" s="26">
        <f t="shared" si="9"/>
        <v>29213846.533911202</v>
      </c>
      <c r="AG16" s="26">
        <f t="shared" si="9"/>
        <v>122781138.72375175</v>
      </c>
      <c r="AH16" s="26">
        <f t="shared" si="9"/>
        <v>93275717.739368841</v>
      </c>
      <c r="AI16" s="26">
        <f t="shared" si="9"/>
        <v>69158390.10457541</v>
      </c>
      <c r="AJ16" s="26">
        <f t="shared" si="9"/>
        <v>18385669.605745856</v>
      </c>
      <c r="AK16" s="26">
        <f t="shared" si="9"/>
        <v>60620615.250202276</v>
      </c>
      <c r="AL16" s="26">
        <f t="shared" si="9"/>
        <v>50768422.10600061</v>
      </c>
      <c r="AM16" s="26">
        <f t="shared" si="9"/>
        <v>27490277.096957937</v>
      </c>
      <c r="AN16" s="26">
        <f t="shared" si="9"/>
        <v>7659804.0618660105</v>
      </c>
      <c r="AO16" s="26">
        <f t="shared" si="9"/>
        <v>52771846.825299256</v>
      </c>
      <c r="AP16" s="26">
        <f t="shared" si="9"/>
        <v>20694582.646746844</v>
      </c>
      <c r="AQ16" s="26">
        <f t="shared" si="9"/>
        <v>49324791.583896168</v>
      </c>
      <c r="AR16" s="26">
        <f t="shared" si="9"/>
        <v>19373624.090478204</v>
      </c>
      <c r="AS16" s="26">
        <f t="shared" si="9"/>
        <v>149336282.0713158</v>
      </c>
      <c r="AT16" s="26">
        <f t="shared" si="9"/>
        <v>75908661.57589446</v>
      </c>
      <c r="AU16" s="26">
        <f t="shared" si="9"/>
        <v>44971786.63637723</v>
      </c>
      <c r="AV16" s="26">
        <f t="shared" si="9"/>
        <v>20588528.534430929</v>
      </c>
      <c r="AW16" s="26">
        <f t="shared" si="9"/>
        <v>92482697.94495897</v>
      </c>
      <c r="AX16" s="26">
        <f t="shared" si="9"/>
        <v>63029262.128983617</v>
      </c>
      <c r="AY16" s="26">
        <f t="shared" si="9"/>
        <v>43079784.702216528</v>
      </c>
      <c r="AZ16" s="26">
        <f t="shared" si="9"/>
        <v>16919834.227117348</v>
      </c>
      <c r="BA16" s="26">
        <f t="shared" si="9"/>
        <v>83502552.643578991</v>
      </c>
      <c r="BB16" s="26">
        <f t="shared" si="9"/>
        <v>54357020.557695083</v>
      </c>
      <c r="BC16" s="26">
        <f t="shared" si="9"/>
        <v>30001510.356373683</v>
      </c>
      <c r="BD16" s="26">
        <f t="shared" si="9"/>
        <v>12479857.062226949</v>
      </c>
      <c r="BE16" s="26">
        <f t="shared" si="9"/>
        <v>53637902.764613137</v>
      </c>
      <c r="BF16" s="26">
        <f t="shared" si="9"/>
        <v>50247511.167034142</v>
      </c>
      <c r="BG16" s="26">
        <f t="shared" si="9"/>
        <v>25410241.38612156</v>
      </c>
      <c r="BH16" s="26">
        <f t="shared" si="9"/>
        <v>12293859.407267567</v>
      </c>
      <c r="BI16" s="26">
        <f t="shared" si="9"/>
        <v>56661121.728048332</v>
      </c>
      <c r="BJ16" s="26">
        <f t="shared" si="9"/>
        <v>37004748.413653955</v>
      </c>
      <c r="BK16" s="26">
        <f t="shared" si="9"/>
        <v>20616052.044039454</v>
      </c>
      <c r="BL16" s="26">
        <f t="shared" si="9"/>
        <v>11868305.409202896</v>
      </c>
      <c r="BM16" s="26">
        <f t="shared" si="9"/>
        <v>68327755.034058765</v>
      </c>
      <c r="BN16" s="26">
        <f t="shared" si="9"/>
        <v>44610217.149170242</v>
      </c>
      <c r="BO16" s="26">
        <f t="shared" ref="BO16:CK16" si="10">BO15*BO41</f>
        <v>23313625.459985245</v>
      </c>
      <c r="BP16" s="26">
        <f t="shared" si="10"/>
        <v>6140285.250626293</v>
      </c>
      <c r="BQ16" s="26">
        <f t="shared" si="10"/>
        <v>23503647.990469817</v>
      </c>
      <c r="BR16" s="26">
        <f t="shared" si="10"/>
        <v>9203613.8250019625</v>
      </c>
      <c r="BS16" s="26">
        <f t="shared" si="10"/>
        <v>19962070.869403683</v>
      </c>
      <c r="BT16" s="26">
        <f t="shared" si="10"/>
        <v>11234839.237437973</v>
      </c>
      <c r="BU16" s="26">
        <f t="shared" si="10"/>
        <v>25872077.394182049</v>
      </c>
      <c r="BV16" s="26">
        <f t="shared" si="10"/>
        <v>8830291.3078573141</v>
      </c>
      <c r="BW16" s="26">
        <f t="shared" si="10"/>
        <v>23039641.022668552</v>
      </c>
      <c r="BX16" s="26">
        <f t="shared" si="10"/>
        <v>3668247.8053793013</v>
      </c>
      <c r="BY16" s="26">
        <f t="shared" si="10"/>
        <v>8151739.04670237</v>
      </c>
      <c r="BZ16" s="26">
        <f t="shared" si="10"/>
        <v>3170063.880840349</v>
      </c>
      <c r="CA16" s="26">
        <f t="shared" si="10"/>
        <v>11896919.245581167</v>
      </c>
      <c r="CB16" s="26">
        <f t="shared" si="10"/>
        <v>9614941.7291453276</v>
      </c>
      <c r="CC16" s="26">
        <f t="shared" si="10"/>
        <v>2868139.8777059219</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2330203491.2829251</v>
      </c>
      <c r="C17" s="27">
        <f t="shared" ref="C17:BN17" si="11">C15-C16</f>
        <v>567518697.95411694</v>
      </c>
      <c r="D17" s="27">
        <f t="shared" si="11"/>
        <v>300149596.23278278</v>
      </c>
      <c r="E17" s="27">
        <f t="shared" si="11"/>
        <v>3095384625.9483867</v>
      </c>
      <c r="F17" s="27">
        <f t="shared" si="11"/>
        <v>1856598104.8921204</v>
      </c>
      <c r="G17" s="27">
        <f t="shared" si="11"/>
        <v>750500333.84514523</v>
      </c>
      <c r="H17" s="27">
        <f t="shared" si="11"/>
        <v>284819934.01386189</v>
      </c>
      <c r="I17" s="27">
        <f t="shared" si="11"/>
        <v>4267600376.5592198</v>
      </c>
      <c r="J17" s="27">
        <f t="shared" si="11"/>
        <v>2419550366.9987845</v>
      </c>
      <c r="K17" s="27">
        <f t="shared" si="11"/>
        <v>1319111579.7266903</v>
      </c>
      <c r="L17" s="27">
        <f t="shared" si="11"/>
        <v>495462584.27277845</v>
      </c>
      <c r="M17" s="27">
        <f t="shared" si="11"/>
        <v>3453581379.3923969</v>
      </c>
      <c r="N17" s="27">
        <f t="shared" si="11"/>
        <v>1870608763.1307969</v>
      </c>
      <c r="O17" s="27">
        <f t="shared" si="11"/>
        <v>889641223.41347229</v>
      </c>
      <c r="P17" s="27">
        <f t="shared" si="11"/>
        <v>326143464.65726501</v>
      </c>
      <c r="Q17" s="27">
        <f t="shared" si="11"/>
        <v>2523554654.1348829</v>
      </c>
      <c r="R17" s="27">
        <f t="shared" si="11"/>
        <v>1033441001.9126641</v>
      </c>
      <c r="S17" s="27">
        <f t="shared" si="11"/>
        <v>629711754.66873181</v>
      </c>
      <c r="T17" s="27">
        <f t="shared" si="11"/>
        <v>253710060.01093599</v>
      </c>
      <c r="U17" s="27">
        <f t="shared" si="11"/>
        <v>1773680541.4003735</v>
      </c>
      <c r="V17" s="27">
        <f t="shared" si="11"/>
        <v>874809722.1404326</v>
      </c>
      <c r="W17" s="27">
        <f t="shared" si="11"/>
        <v>619294209.39212155</v>
      </c>
      <c r="X17" s="27">
        <f t="shared" si="11"/>
        <v>245506060.41715002</v>
      </c>
      <c r="Y17" s="27">
        <f t="shared" si="11"/>
        <v>1461406891.5593734</v>
      </c>
      <c r="Z17" s="27">
        <f t="shared" si="11"/>
        <v>886331722.13141119</v>
      </c>
      <c r="AA17" s="27">
        <f t="shared" si="11"/>
        <v>518674631.90894401</v>
      </c>
      <c r="AB17" s="27">
        <f t="shared" si="11"/>
        <v>217423792.4087764</v>
      </c>
      <c r="AC17" s="27">
        <f t="shared" si="11"/>
        <v>1152642099.3689842</v>
      </c>
      <c r="AD17" s="27">
        <f t="shared" si="11"/>
        <v>688618100.28682411</v>
      </c>
      <c r="AE17" s="27">
        <f t="shared" si="11"/>
        <v>406565555.74809575</v>
      </c>
      <c r="AF17" s="27">
        <f t="shared" si="11"/>
        <v>165844437.79608873</v>
      </c>
      <c r="AG17" s="27">
        <f t="shared" si="11"/>
        <v>852515463.03624678</v>
      </c>
      <c r="AH17" s="27">
        <f t="shared" si="11"/>
        <v>544439988.11063159</v>
      </c>
      <c r="AI17" s="27">
        <f t="shared" si="11"/>
        <v>359021602.1454249</v>
      </c>
      <c r="AJ17" s="27">
        <f t="shared" si="11"/>
        <v>148501715.80425435</v>
      </c>
      <c r="AK17" s="27">
        <f t="shared" si="11"/>
        <v>565060863.92979777</v>
      </c>
      <c r="AL17" s="27">
        <f t="shared" si="11"/>
        <v>324087120.1839996</v>
      </c>
      <c r="AM17" s="27">
        <f t="shared" si="11"/>
        <v>181307046.41304189</v>
      </c>
      <c r="AN17" s="27">
        <f t="shared" si="11"/>
        <v>56171966.818133965</v>
      </c>
      <c r="AO17" s="27">
        <f t="shared" si="11"/>
        <v>261595377.17470032</v>
      </c>
      <c r="AP17" s="27">
        <f t="shared" si="11"/>
        <v>88201042.073253393</v>
      </c>
      <c r="AQ17" s="27">
        <f t="shared" si="11"/>
        <v>184124308.77610385</v>
      </c>
      <c r="AR17" s="27">
        <f t="shared" si="11"/>
        <v>60342509.199521653</v>
      </c>
      <c r="AS17" s="27">
        <f t="shared" si="11"/>
        <v>401836476.17868435</v>
      </c>
      <c r="AT17" s="27">
        <f t="shared" si="11"/>
        <v>147867323.19410557</v>
      </c>
      <c r="AU17" s="27">
        <f t="shared" si="11"/>
        <v>90314673.243622646</v>
      </c>
      <c r="AV17" s="27">
        <f t="shared" si="11"/>
        <v>36871983.305569068</v>
      </c>
      <c r="AW17" s="27">
        <f t="shared" si="11"/>
        <v>167350900.51504111</v>
      </c>
      <c r="AX17" s="27">
        <f t="shared" si="11"/>
        <v>60267965.041016489</v>
      </c>
      <c r="AY17" s="27">
        <f t="shared" si="11"/>
        <v>41165398.477783687</v>
      </c>
      <c r="AZ17" s="27">
        <f t="shared" si="11"/>
        <v>24034003.00288273</v>
      </c>
      <c r="BA17" s="27">
        <f t="shared" si="11"/>
        <v>145636106.75642031</v>
      </c>
      <c r="BB17" s="27">
        <f t="shared" si="11"/>
        <v>92426431.122305095</v>
      </c>
      <c r="BC17" s="27">
        <f t="shared" si="11"/>
        <v>50872771.903626308</v>
      </c>
      <c r="BD17" s="27">
        <f t="shared" si="11"/>
        <v>24123507.727772966</v>
      </c>
      <c r="BE17" s="27">
        <f t="shared" si="11"/>
        <v>121498577.79538681</v>
      </c>
      <c r="BF17" s="27">
        <f t="shared" si="11"/>
        <v>78734666.702965945</v>
      </c>
      <c r="BG17" s="27">
        <f t="shared" si="11"/>
        <v>38100241.003878444</v>
      </c>
      <c r="BH17" s="27">
        <f t="shared" si="11"/>
        <v>19803668.132732451</v>
      </c>
      <c r="BI17" s="27">
        <f t="shared" si="11"/>
        <v>122389775.90195173</v>
      </c>
      <c r="BJ17" s="27">
        <f t="shared" si="11"/>
        <v>63498742.786346152</v>
      </c>
      <c r="BK17" s="27">
        <f t="shared" si="11"/>
        <v>26420851.595960688</v>
      </c>
      <c r="BL17" s="27">
        <f t="shared" si="11"/>
        <v>21397607.540797055</v>
      </c>
      <c r="BM17" s="27">
        <f t="shared" si="11"/>
        <v>93432710.045941308</v>
      </c>
      <c r="BN17" s="27">
        <f t="shared" si="11"/>
        <v>52972029.790829621</v>
      </c>
      <c r="BO17" s="27">
        <f t="shared" ref="BO17:CJ17" si="12">BO15-BO16</f>
        <v>27740979.540014792</v>
      </c>
      <c r="BP17" s="27">
        <f t="shared" si="12"/>
        <v>10112245.639373686</v>
      </c>
      <c r="BQ17" s="27">
        <f t="shared" si="12"/>
        <v>89864325.499530107</v>
      </c>
      <c r="BR17" s="27">
        <f t="shared" si="12"/>
        <v>24116484.194998045</v>
      </c>
      <c r="BS17" s="27">
        <f t="shared" si="12"/>
        <v>77921846.500596225</v>
      </c>
      <c r="BT17" s="27">
        <f t="shared" si="12"/>
        <v>21436149.692562066</v>
      </c>
      <c r="BU17" s="27">
        <f t="shared" si="12"/>
        <v>53101994.405817918</v>
      </c>
      <c r="BV17" s="27">
        <f t="shared" si="12"/>
        <v>17415170.902142704</v>
      </c>
      <c r="BW17" s="27">
        <f t="shared" si="12"/>
        <v>48223781.99733144</v>
      </c>
      <c r="BX17" s="27">
        <f t="shared" si="12"/>
        <v>23104125.654620718</v>
      </c>
      <c r="BY17" s="27">
        <f t="shared" si="12"/>
        <v>43728772.053297594</v>
      </c>
      <c r="BZ17" s="27">
        <f t="shared" si="12"/>
        <v>153922774.69915965</v>
      </c>
      <c r="CA17" s="27">
        <f t="shared" si="12"/>
        <v>26737844.754418835</v>
      </c>
      <c r="CB17" s="27">
        <f t="shared" si="12"/>
        <v>18587190.270854674</v>
      </c>
      <c r="CC17" s="27">
        <f t="shared" si="12"/>
        <v>4896856.1222940776</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12.027329953584118</v>
      </c>
      <c r="C18" s="57">
        <f t="shared" ref="C18:D18" si="13">C17/C4*100</f>
        <v>4.7226349995520973</v>
      </c>
      <c r="D18" s="57">
        <f t="shared" si="13"/>
        <v>6.4421528747959576</v>
      </c>
      <c r="E18" s="57">
        <f>E17/E4</f>
        <v>9.3172879402417905E-2</v>
      </c>
      <c r="F18" s="57">
        <f t="shared" ref="F18:BQ18" si="14">F17/F4</f>
        <v>9.7741586511380013E-2</v>
      </c>
      <c r="G18" s="57">
        <f t="shared" si="14"/>
        <v>8.0585729073818779E-2</v>
      </c>
      <c r="H18" s="57">
        <f t="shared" si="14"/>
        <v>7.3626206194556398E-2</v>
      </c>
      <c r="I18" s="57">
        <f t="shared" si="14"/>
        <v>0.11903898901647779</v>
      </c>
      <c r="J18" s="57">
        <f t="shared" si="14"/>
        <v>0.1117102675981681</v>
      </c>
      <c r="K18" s="57">
        <f t="shared" si="14"/>
        <v>9.9419619092827927E-2</v>
      </c>
      <c r="L18" s="57">
        <f t="shared" si="14"/>
        <v>9.6641898970703605E-2</v>
      </c>
      <c r="M18" s="57">
        <f t="shared" si="14"/>
        <v>0.11065314594231837</v>
      </c>
      <c r="N18" s="57">
        <f t="shared" si="14"/>
        <v>9.8822025020445209E-2</v>
      </c>
      <c r="O18" s="57">
        <f t="shared" si="14"/>
        <v>8.5647510695879378E-2</v>
      </c>
      <c r="P18" s="57">
        <f t="shared" si="14"/>
        <v>7.6320789468756464E-2</v>
      </c>
      <c r="Q18" s="57">
        <f t="shared" si="14"/>
        <v>9.8084782200397166E-2</v>
      </c>
      <c r="R18" s="57">
        <f t="shared" si="14"/>
        <v>6.888457550713209E-2</v>
      </c>
      <c r="S18" s="57">
        <f t="shared" si="14"/>
        <v>6.7410299451328815E-2</v>
      </c>
      <c r="T18" s="57">
        <f t="shared" si="14"/>
        <v>5.7714429345383692E-2</v>
      </c>
      <c r="U18" s="57">
        <f t="shared" si="14"/>
        <v>8.0279463392062045E-2</v>
      </c>
      <c r="V18" s="57">
        <f t="shared" si="14"/>
        <v>6.3997636354267112E-2</v>
      </c>
      <c r="W18" s="57">
        <f t="shared" si="14"/>
        <v>6.4084271616224681E-2</v>
      </c>
      <c r="X18" s="57">
        <f t="shared" si="14"/>
        <v>5.6602872187174587E-2</v>
      </c>
      <c r="Y18" s="57">
        <f t="shared" si="14"/>
        <v>7.3944893798340697E-2</v>
      </c>
      <c r="Z18" s="57">
        <f t="shared" si="14"/>
        <v>6.6596381323360404E-2</v>
      </c>
      <c r="AA18" s="57">
        <f t="shared" si="14"/>
        <v>6.2519218379882446E-2</v>
      </c>
      <c r="AB18" s="57">
        <f t="shared" si="14"/>
        <v>5.4775663347833847E-2</v>
      </c>
      <c r="AC18" s="57">
        <f t="shared" si="14"/>
        <v>6.8075073273315037E-2</v>
      </c>
      <c r="AD18" s="57">
        <f t="shared" si="14"/>
        <v>6.2547410129049352E-2</v>
      </c>
      <c r="AE18" s="57">
        <f t="shared" si="14"/>
        <v>6.3468682190711695E-2</v>
      </c>
      <c r="AF18" s="57">
        <f t="shared" si="14"/>
        <v>5.6257357718994205E-2</v>
      </c>
      <c r="AG18" s="57">
        <f t="shared" si="14"/>
        <v>6.325002451429193E-2</v>
      </c>
      <c r="AH18" s="57">
        <f t="shared" si="14"/>
        <v>5.9615744597394882E-2</v>
      </c>
      <c r="AI18" s="57">
        <f t="shared" si="14"/>
        <v>6.4977047999463217E-2</v>
      </c>
      <c r="AJ18" s="57">
        <f t="shared" si="14"/>
        <v>6.2996036674569766E-2</v>
      </c>
      <c r="AK18" s="57">
        <f t="shared" si="14"/>
        <v>6.4345041865440086E-2</v>
      </c>
      <c r="AL18" s="57">
        <f t="shared" si="14"/>
        <v>5.5562845751416366E-2</v>
      </c>
      <c r="AM18" s="57">
        <f t="shared" si="14"/>
        <v>5.1108365829254675E-2</v>
      </c>
      <c r="AN18" s="57">
        <f t="shared" si="14"/>
        <v>4.2484242744667985E-2</v>
      </c>
      <c r="AO18" s="57">
        <f t="shared" si="14"/>
        <v>3.1382638545229539E-2</v>
      </c>
      <c r="AP18" s="57">
        <f t="shared" si="14"/>
        <v>1.4926367881181386E-2</v>
      </c>
      <c r="AQ18" s="57">
        <f t="shared" si="14"/>
        <v>4.3126929099517326E-2</v>
      </c>
      <c r="AR18" s="57">
        <f t="shared" si="14"/>
        <v>3.4904599167661449E-2</v>
      </c>
      <c r="AS18" s="57">
        <f t="shared" si="14"/>
        <v>5.0989477091168023E-2</v>
      </c>
      <c r="AT18" s="57">
        <f t="shared" si="14"/>
        <v>3.0861479473945276E-2</v>
      </c>
      <c r="AU18" s="57">
        <f t="shared" si="14"/>
        <v>3.1973536043390184E-2</v>
      </c>
      <c r="AV18" s="57">
        <f t="shared" si="14"/>
        <v>3.0248067886796601E-2</v>
      </c>
      <c r="AW18" s="57">
        <f t="shared" si="14"/>
        <v>3.3777509955361801E-2</v>
      </c>
      <c r="AX18" s="57">
        <f t="shared" si="14"/>
        <v>1.8765088640062752E-2</v>
      </c>
      <c r="AY18" s="57">
        <f t="shared" si="14"/>
        <v>2.0186907900529471E-2</v>
      </c>
      <c r="AZ18" s="57">
        <f t="shared" si="14"/>
        <v>2.70774361859667E-2</v>
      </c>
      <c r="BA18" s="57">
        <f t="shared" si="14"/>
        <v>3.1823043156199431E-2</v>
      </c>
      <c r="BB18" s="57">
        <f t="shared" si="14"/>
        <v>3.1393109155331084E-2</v>
      </c>
      <c r="BC18" s="57">
        <f t="shared" si="14"/>
        <v>2.9936820047324553E-2</v>
      </c>
      <c r="BD18" s="57">
        <f t="shared" si="14"/>
        <v>3.2625801321670159E-2</v>
      </c>
      <c r="BE18" s="57">
        <f t="shared" si="14"/>
        <v>3.0766231604859022E-2</v>
      </c>
      <c r="BF18" s="57">
        <f t="shared" si="14"/>
        <v>2.8504513579797257E-2</v>
      </c>
      <c r="BG18" s="57">
        <f t="shared" si="14"/>
        <v>2.5626530981352539E-2</v>
      </c>
      <c r="BH18" s="57">
        <f t="shared" si="14"/>
        <v>3.4570012372214007E-2</v>
      </c>
      <c r="BI18" s="57">
        <f t="shared" si="14"/>
        <v>3.7616150627123257E-2</v>
      </c>
      <c r="BJ18" s="57">
        <f t="shared" si="14"/>
        <v>3.2623608886173987E-2</v>
      </c>
      <c r="BK18" s="57">
        <f t="shared" si="14"/>
        <v>2.19810419306956E-2</v>
      </c>
      <c r="BL18" s="57">
        <f t="shared" si="14"/>
        <v>2.862189518357941E-2</v>
      </c>
      <c r="BM18" s="57">
        <f t="shared" si="14"/>
        <v>3.4797389593047012E-2</v>
      </c>
      <c r="BN18" s="57">
        <f t="shared" si="14"/>
        <v>2.8729903545284079E-2</v>
      </c>
      <c r="BO18" s="57">
        <f t="shared" si="14"/>
        <v>2.7772296252803575E-2</v>
      </c>
      <c r="BP18" s="57">
        <f t="shared" si="14"/>
        <v>2.7732436433050178E-2</v>
      </c>
      <c r="BQ18" s="57">
        <f t="shared" si="14"/>
        <v>5.6893607850502931E-2</v>
      </c>
      <c r="BR18" s="57">
        <f t="shared" ref="BR18:CK18" si="15">BR17/BR4</f>
        <v>3.4362259817145795E-2</v>
      </c>
      <c r="BS18" s="57">
        <f t="shared" si="15"/>
        <v>6.499074520590134E-2</v>
      </c>
      <c r="BT18" s="57">
        <f t="shared" si="15"/>
        <v>4.562768161840474E-2</v>
      </c>
      <c r="BU18" s="57">
        <f t="shared" si="15"/>
        <v>7.5848144037366838E-2</v>
      </c>
      <c r="BV18" s="57">
        <f t="shared" si="15"/>
        <v>5.4576543775735703E-2</v>
      </c>
      <c r="BW18" s="57">
        <f t="shared" si="15"/>
        <v>8.5288998454562254E-2</v>
      </c>
      <c r="BX18" s="57">
        <f t="shared" si="15"/>
        <v>0.10198486182085359</v>
      </c>
      <c r="BY18" s="57">
        <f t="shared" si="15"/>
        <v>0.10014105967447047</v>
      </c>
      <c r="BZ18" s="57">
        <f t="shared" si="15"/>
        <v>0.97982044306096105</v>
      </c>
      <c r="CA18" s="57">
        <f t="shared" si="15"/>
        <v>6.0896683185700767E-2</v>
      </c>
      <c r="CB18" s="57">
        <f t="shared" si="15"/>
        <v>6.7777703757474633E-2</v>
      </c>
      <c r="CC18" s="57">
        <f t="shared" si="15"/>
        <v>3.5580067780778706E-2</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9">
        <v>24191913.25</v>
      </c>
      <c r="C20" s="189">
        <v>14076604.359999999</v>
      </c>
      <c r="D20" s="189">
        <v>2296278.5699999998</v>
      </c>
      <c r="E20" s="189">
        <v>32853540.620000001</v>
      </c>
      <c r="F20" s="189">
        <v>39298991.979999997</v>
      </c>
      <c r="G20" s="189">
        <v>31041593.670000002</v>
      </c>
      <c r="H20" s="189">
        <v>13815692.869999999</v>
      </c>
      <c r="I20" s="189">
        <v>28640929.300000001</v>
      </c>
      <c r="J20" s="189">
        <v>11416697.560000001</v>
      </c>
      <c r="K20" s="189">
        <v>6272506.4699999997</v>
      </c>
      <c r="L20" s="189">
        <v>0</v>
      </c>
      <c r="M20" s="189">
        <v>0</v>
      </c>
      <c r="N20" s="189">
        <v>0</v>
      </c>
      <c r="O20" s="189">
        <v>0</v>
      </c>
      <c r="P20" s="189">
        <v>0</v>
      </c>
      <c r="Q20" s="189">
        <v>0</v>
      </c>
      <c r="R20" s="189">
        <v>0</v>
      </c>
      <c r="S20" s="189">
        <v>0</v>
      </c>
      <c r="T20" s="189">
        <v>0</v>
      </c>
      <c r="U20" s="189">
        <v>0</v>
      </c>
      <c r="V20" s="189">
        <v>0</v>
      </c>
      <c r="W20" s="189">
        <v>0</v>
      </c>
      <c r="X20" s="189">
        <v>0</v>
      </c>
      <c r="Y20" s="189">
        <v>0</v>
      </c>
      <c r="Z20" s="189">
        <v>0</v>
      </c>
      <c r="AA20" s="189">
        <v>0</v>
      </c>
      <c r="AB20" s="189">
        <v>0</v>
      </c>
      <c r="AC20" s="189">
        <v>0</v>
      </c>
      <c r="AD20" s="189">
        <v>0</v>
      </c>
      <c r="AE20" s="189">
        <v>0</v>
      </c>
      <c r="AF20" s="189">
        <v>3666330</v>
      </c>
      <c r="AG20" s="189">
        <v>0</v>
      </c>
      <c r="AH20" s="189">
        <v>0</v>
      </c>
      <c r="AI20" s="189">
        <v>0</v>
      </c>
      <c r="AJ20" s="189">
        <v>0</v>
      </c>
      <c r="AK20" s="189">
        <v>-1328374.43</v>
      </c>
      <c r="AL20" s="189">
        <v>5277574.4800000004</v>
      </c>
      <c r="AM20" s="189">
        <v>5277574.4800000004</v>
      </c>
      <c r="AN20" s="189">
        <v>-1338498.1499999999</v>
      </c>
      <c r="AO20" s="189">
        <v>-3638378.98</v>
      </c>
      <c r="AP20" s="189">
        <v>-2473518.4700000002</v>
      </c>
      <c r="AQ20" s="189">
        <v>-1793591.05</v>
      </c>
      <c r="AR20" s="189">
        <v>-837793.33</v>
      </c>
      <c r="AS20" s="189">
        <v>-1330461.3600000001</v>
      </c>
      <c r="AT20" s="189">
        <v>-247631.13</v>
      </c>
      <c r="AU20" s="189">
        <v>146578.22</v>
      </c>
      <c r="AV20" s="189">
        <v>-72900.740000000005</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v>0</v>
      </c>
      <c r="BS20" s="189">
        <v>0</v>
      </c>
      <c r="BT20" s="189">
        <v>0</v>
      </c>
      <c r="BU20" s="189">
        <v>0</v>
      </c>
      <c r="BV20" s="189">
        <v>0</v>
      </c>
      <c r="BW20" s="189">
        <v>0</v>
      </c>
      <c r="BX20" s="189">
        <v>0</v>
      </c>
      <c r="BY20" s="189">
        <v>0</v>
      </c>
      <c r="BZ20" s="189">
        <v>0</v>
      </c>
      <c r="CA20" s="189">
        <v>0</v>
      </c>
      <c r="CB20" s="189">
        <v>0</v>
      </c>
      <c r="CC20" s="189">
        <v>0</v>
      </c>
      <c r="CD20" s="189">
        <v>0</v>
      </c>
      <c r="CE20" s="189"/>
      <c r="CF20" s="189"/>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400</v>
      </c>
      <c r="B22" s="189">
        <v>-134606557.09</v>
      </c>
      <c r="C22" s="189">
        <v>-70316784.040000007</v>
      </c>
      <c r="D22" s="189">
        <v>34335426.359999999</v>
      </c>
      <c r="E22" s="189">
        <v>121323856.59</v>
      </c>
      <c r="F22" s="189">
        <v>81763649.390000001</v>
      </c>
      <c r="G22" s="189">
        <v>39498591.380000003</v>
      </c>
      <c r="H22" s="189">
        <v>28156085.809999999</v>
      </c>
      <c r="I22" s="189">
        <v>58012445.780000001</v>
      </c>
      <c r="J22" s="189">
        <v>17573983.75</v>
      </c>
      <c r="K22" s="189">
        <v>-44823636.020000003</v>
      </c>
      <c r="L22" s="189">
        <v>-103517515.90000001</v>
      </c>
      <c r="M22" s="189">
        <v>-41039008.729999997</v>
      </c>
      <c r="N22" s="189">
        <v>-119717657.77</v>
      </c>
      <c r="O22" s="189">
        <v>-39287252.329999998</v>
      </c>
      <c r="P22" s="189">
        <v>3902544.35</v>
      </c>
      <c r="Q22" s="189">
        <v>14531529.98</v>
      </c>
      <c r="R22" s="189">
        <v>1794705.27</v>
      </c>
      <c r="S22" s="189">
        <v>-2855220.13</v>
      </c>
      <c r="T22" s="189">
        <v>-5159187.51</v>
      </c>
      <c r="U22" s="189">
        <v>8155741.7699999996</v>
      </c>
      <c r="V22" s="189">
        <v>6067412.2699999996</v>
      </c>
      <c r="W22" s="189">
        <v>4344103.1500000004</v>
      </c>
      <c r="X22" s="189">
        <v>-441892.23</v>
      </c>
      <c r="Y22" s="189">
        <v>-1860661.04</v>
      </c>
      <c r="Z22" s="189">
        <v>0</v>
      </c>
      <c r="AA22" s="189">
        <v>0</v>
      </c>
      <c r="AB22" s="189">
        <v>0</v>
      </c>
      <c r="AC22" s="189">
        <v>0</v>
      </c>
      <c r="AD22" s="189">
        <v>0</v>
      </c>
      <c r="AE22" s="189">
        <v>0</v>
      </c>
      <c r="AF22" s="189">
        <v>0</v>
      </c>
      <c r="AG22" s="189">
        <v>-5116889.53</v>
      </c>
      <c r="AH22" s="189">
        <v>-5116889.53</v>
      </c>
      <c r="AI22" s="189">
        <v>-5141049.53</v>
      </c>
      <c r="AJ22" s="189">
        <v>-2947279.96</v>
      </c>
      <c r="AK22" s="189">
        <v>5096306.03</v>
      </c>
      <c r="AL22" s="189">
        <v>3256016.03</v>
      </c>
      <c r="AM22" s="189">
        <v>-20583.5</v>
      </c>
      <c r="AN22" s="189">
        <v>0</v>
      </c>
      <c r="AO22" s="189">
        <v>-16843696.16</v>
      </c>
      <c r="AP22" s="189">
        <v>-16864279.66</v>
      </c>
      <c r="AQ22" s="189">
        <v>-15564331.15</v>
      </c>
      <c r="AR22" s="189">
        <v>-16217321.300000001</v>
      </c>
      <c r="AS22" s="189">
        <v>15378029.99</v>
      </c>
      <c r="AT22" s="189">
        <v>4210275.7300000004</v>
      </c>
      <c r="AU22" s="189">
        <v>41666.75</v>
      </c>
      <c r="AV22" s="189">
        <v>3984261.07</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c r="CF22" s="189"/>
      <c r="CG22" s="189"/>
      <c r="CH22" s="189"/>
      <c r="CI22" s="189"/>
      <c r="CJ22" s="189"/>
      <c r="CK22" s="189"/>
    </row>
    <row r="23" spans="1:89" s="7" customFormat="1" x14ac:dyDescent="0.25">
      <c r="A23" s="21" t="s">
        <v>401</v>
      </c>
      <c r="B23" s="29">
        <f>-B52</f>
        <v>25636</v>
      </c>
      <c r="C23" s="29">
        <f t="shared" ref="C23:BN23" si="16">-C52</f>
        <v>27718</v>
      </c>
      <c r="D23" s="29">
        <f t="shared" si="16"/>
        <v>35317</v>
      </c>
      <c r="E23" s="29">
        <f t="shared" si="16"/>
        <v>37016293.479999997</v>
      </c>
      <c r="F23" s="29">
        <f t="shared" si="16"/>
        <v>34414</v>
      </c>
      <c r="G23" s="29">
        <f t="shared" si="16"/>
        <v>23309</v>
      </c>
      <c r="H23" s="29">
        <f t="shared" si="16"/>
        <v>16814</v>
      </c>
      <c r="I23" s="29">
        <f t="shared" si="16"/>
        <v>49145120.460000001</v>
      </c>
      <c r="J23" s="29">
        <f t="shared" si="16"/>
        <v>0</v>
      </c>
      <c r="K23" s="29">
        <f t="shared" si="16"/>
        <v>0</v>
      </c>
      <c r="L23" s="29">
        <f t="shared" si="16"/>
        <v>0</v>
      </c>
      <c r="M23" s="29">
        <f t="shared" si="16"/>
        <v>98123565.090000004</v>
      </c>
      <c r="N23" s="29">
        <f t="shared" si="16"/>
        <v>0</v>
      </c>
      <c r="O23" s="29">
        <f t="shared" si="16"/>
        <v>0</v>
      </c>
      <c r="P23" s="29">
        <f t="shared" si="16"/>
        <v>0</v>
      </c>
      <c r="Q23" s="29">
        <f t="shared" si="16"/>
        <v>91010235.530000001</v>
      </c>
      <c r="R23" s="29">
        <f t="shared" si="16"/>
        <v>0</v>
      </c>
      <c r="S23" s="29">
        <f t="shared" si="16"/>
        <v>0</v>
      </c>
      <c r="T23" s="29">
        <f t="shared" si="16"/>
        <v>0</v>
      </c>
      <c r="U23" s="29">
        <f t="shared" si="16"/>
        <v>76763336.170000002</v>
      </c>
      <c r="V23" s="29">
        <f t="shared" si="16"/>
        <v>0</v>
      </c>
      <c r="W23" s="29">
        <f t="shared" si="16"/>
        <v>0</v>
      </c>
      <c r="X23" s="29">
        <f t="shared" si="16"/>
        <v>0</v>
      </c>
      <c r="Y23" s="29">
        <f t="shared" si="16"/>
        <v>51780088.799999997</v>
      </c>
      <c r="Z23" s="29">
        <f t="shared" si="16"/>
        <v>0</v>
      </c>
      <c r="AA23" s="29">
        <f t="shared" si="16"/>
        <v>0</v>
      </c>
      <c r="AB23" s="29">
        <f t="shared" si="16"/>
        <v>0</v>
      </c>
      <c r="AC23" s="29">
        <f t="shared" si="16"/>
        <v>14143985.279999999</v>
      </c>
      <c r="AD23" s="29">
        <f t="shared" si="16"/>
        <v>0</v>
      </c>
      <c r="AE23" s="29">
        <f t="shared" si="16"/>
        <v>0</v>
      </c>
      <c r="AF23" s="29">
        <f t="shared" si="16"/>
        <v>0</v>
      </c>
      <c r="AG23" s="29">
        <f t="shared" si="16"/>
        <v>12617635.869999999</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56649619.890000001</v>
      </c>
      <c r="C24" s="26">
        <f t="shared" ref="C24:BN24" si="18">C67</f>
        <v>49767759.5</v>
      </c>
      <c r="D24" s="26">
        <f t="shared" si="18"/>
        <v>28787681.289999999</v>
      </c>
      <c r="E24" s="26">
        <f>E67</f>
        <v>53454058.170000002</v>
      </c>
      <c r="F24" s="26">
        <f t="shared" si="18"/>
        <v>51107749.380000003</v>
      </c>
      <c r="G24" s="26">
        <f t="shared" si="18"/>
        <v>43945393.670000002</v>
      </c>
      <c r="H24" s="26">
        <f t="shared" si="18"/>
        <v>32183540.300000004</v>
      </c>
      <c r="I24" s="26">
        <f t="shared" si="18"/>
        <v>-41309722.969999999</v>
      </c>
      <c r="J24" s="26">
        <f t="shared" si="18"/>
        <v>-45837539.039999999</v>
      </c>
      <c r="K24" s="26">
        <f t="shared" si="18"/>
        <v>21996268.73</v>
      </c>
      <c r="L24" s="26">
        <f t="shared" si="18"/>
        <v>16861805.739999998</v>
      </c>
      <c r="M24" s="26">
        <f t="shared" si="18"/>
        <v>61737809.619999997</v>
      </c>
      <c r="N24" s="26">
        <f t="shared" si="18"/>
        <v>22866119.48</v>
      </c>
      <c r="O24" s="26">
        <f t="shared" si="18"/>
        <v>12346189.75</v>
      </c>
      <c r="P24" s="26">
        <f t="shared" si="18"/>
        <v>5734936.6200000001</v>
      </c>
      <c r="Q24" s="26">
        <f t="shared" si="18"/>
        <v>97897015.230000004</v>
      </c>
      <c r="R24" s="26">
        <f t="shared" si="18"/>
        <v>64320448.729999997</v>
      </c>
      <c r="S24" s="26">
        <f t="shared" si="18"/>
        <v>45441193.189999998</v>
      </c>
      <c r="T24" s="26">
        <f t="shared" si="18"/>
        <v>14515679.390000001</v>
      </c>
      <c r="U24" s="26">
        <f t="shared" si="18"/>
        <v>31006105.719999999</v>
      </c>
      <c r="V24" s="26">
        <f t="shared" si="18"/>
        <v>18188552.309999999</v>
      </c>
      <c r="W24" s="26">
        <f t="shared" si="18"/>
        <v>12435730.34</v>
      </c>
      <c r="X24" s="26">
        <f t="shared" si="18"/>
        <v>9675799.2799999993</v>
      </c>
      <c r="Y24" s="26">
        <f t="shared" si="18"/>
        <v>61341955.799999997</v>
      </c>
      <c r="Z24" s="26">
        <f t="shared" si="18"/>
        <v>62469881.579999998</v>
      </c>
      <c r="AA24" s="26">
        <f t="shared" si="18"/>
        <v>59713018.549999997</v>
      </c>
      <c r="AB24" s="26">
        <f t="shared" si="18"/>
        <v>17541689.52</v>
      </c>
      <c r="AC24" s="26">
        <f t="shared" si="18"/>
        <v>7929677.96</v>
      </c>
      <c r="AD24" s="26">
        <f t="shared" si="18"/>
        <v>15419559.27</v>
      </c>
      <c r="AE24" s="26">
        <f t="shared" si="18"/>
        <v>5648989.3700000001</v>
      </c>
      <c r="AF24" s="26">
        <f t="shared" si="18"/>
        <v>878246.62000000011</v>
      </c>
      <c r="AG24" s="26">
        <f t="shared" si="18"/>
        <v>17182324.800000001</v>
      </c>
      <c r="AH24" s="26">
        <f t="shared" si="18"/>
        <v>9591188.1999999993</v>
      </c>
      <c r="AI24" s="26">
        <f t="shared" si="18"/>
        <v>5939834.1200000001</v>
      </c>
      <c r="AJ24" s="26">
        <f t="shared" si="18"/>
        <v>2539555.75</v>
      </c>
      <c r="AK24" s="26">
        <f t="shared" si="18"/>
        <v>32847099.219999999</v>
      </c>
      <c r="AL24" s="26">
        <f t="shared" si="18"/>
        <v>16221833.039999999</v>
      </c>
      <c r="AM24" s="26">
        <f t="shared" si="18"/>
        <v>10891414.17</v>
      </c>
      <c r="AN24" s="26">
        <f t="shared" si="18"/>
        <v>1309943.71</v>
      </c>
      <c r="AO24" s="26">
        <f t="shared" si="18"/>
        <v>356639434.25</v>
      </c>
      <c r="AP24" s="26">
        <f t="shared" si="18"/>
        <v>381138472.33000004</v>
      </c>
      <c r="AQ24" s="26">
        <f t="shared" si="18"/>
        <v>296753963.15000004</v>
      </c>
      <c r="AR24" s="26">
        <f t="shared" si="18"/>
        <v>278870223.47999996</v>
      </c>
      <c r="AS24" s="26">
        <f t="shared" si="18"/>
        <v>50626111.25</v>
      </c>
      <c r="AT24" s="26">
        <f t="shared" si="18"/>
        <v>24138109.98</v>
      </c>
      <c r="AU24" s="26">
        <f t="shared" si="18"/>
        <v>13477894.939999999</v>
      </c>
      <c r="AV24" s="26">
        <f t="shared" si="18"/>
        <v>3864363.72</v>
      </c>
      <c r="AW24" s="26">
        <f t="shared" si="18"/>
        <v>13185255.029999999</v>
      </c>
      <c r="AX24" s="26">
        <f t="shared" si="18"/>
        <v>2081152.92</v>
      </c>
      <c r="AY24" s="26">
        <f t="shared" si="18"/>
        <v>-6550107.71</v>
      </c>
      <c r="AZ24" s="26">
        <f t="shared" si="18"/>
        <v>1172525.6399999999</v>
      </c>
      <c r="BA24" s="26">
        <f t="shared" si="18"/>
        <v>9171774.9000000004</v>
      </c>
      <c r="BB24" s="26">
        <f t="shared" si="18"/>
        <v>7395958.3899999997</v>
      </c>
      <c r="BC24" s="26">
        <f t="shared" si="18"/>
        <v>4984582.96</v>
      </c>
      <c r="BD24" s="26">
        <f t="shared" si="18"/>
        <v>3050360.76</v>
      </c>
      <c r="BE24" s="26">
        <f t="shared" si="18"/>
        <v>2186545.7999999998</v>
      </c>
      <c r="BF24" s="26">
        <f t="shared" si="18"/>
        <v>1573989.31</v>
      </c>
      <c r="BG24" s="26">
        <f t="shared" si="18"/>
        <v>1183478.1499999999</v>
      </c>
      <c r="BH24" s="26">
        <f t="shared" si="18"/>
        <v>840000</v>
      </c>
      <c r="BI24" s="26">
        <f t="shared" si="18"/>
        <v>-486358.5</v>
      </c>
      <c r="BJ24" s="26">
        <f t="shared" si="18"/>
        <v>156839.66</v>
      </c>
      <c r="BK24" s="26">
        <f t="shared" si="18"/>
        <v>156839.66</v>
      </c>
      <c r="BL24" s="26">
        <f t="shared" si="18"/>
        <v>118808.74</v>
      </c>
      <c r="BM24" s="26">
        <f t="shared" si="18"/>
        <v>840242.51</v>
      </c>
      <c r="BN24" s="26">
        <f t="shared" si="18"/>
        <v>1068816.83</v>
      </c>
      <c r="BO24" s="26">
        <f t="shared" ref="BO24:CJ24" si="19">BO67</f>
        <v>1068816.83</v>
      </c>
      <c r="BP24" s="26">
        <f t="shared" si="19"/>
        <v>0</v>
      </c>
      <c r="BQ24" s="26">
        <f t="shared" si="19"/>
        <v>5477612.75</v>
      </c>
      <c r="BR24" s="26">
        <f t="shared" si="19"/>
        <v>7000000</v>
      </c>
      <c r="BS24" s="26">
        <f t="shared" si="19"/>
        <v>0</v>
      </c>
      <c r="BT24" s="26">
        <f t="shared" si="19"/>
        <v>0</v>
      </c>
      <c r="BU24" s="26">
        <f t="shared" si="19"/>
        <v>11254042</v>
      </c>
      <c r="BV24" s="26">
        <f t="shared" si="19"/>
        <v>4500000</v>
      </c>
      <c r="BW24" s="26">
        <f t="shared" si="19"/>
        <v>7005958</v>
      </c>
      <c r="BX24" s="26">
        <f t="shared" si="19"/>
        <v>0</v>
      </c>
      <c r="BY24" s="26">
        <f t="shared" si="19"/>
        <v>7080317.8600000003</v>
      </c>
      <c r="BZ24" s="26">
        <f t="shared" si="19"/>
        <v>3409986.62</v>
      </c>
      <c r="CA24" s="26">
        <f t="shared" si="19"/>
        <v>10848</v>
      </c>
      <c r="CB24" s="26">
        <f t="shared" si="19"/>
        <v>19688</v>
      </c>
      <c r="CC24" s="26">
        <f t="shared" si="19"/>
        <v>17896</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-50073920.780000001</v>
      </c>
      <c r="F25" s="29">
        <f t="shared" si="20"/>
        <v>-2684</v>
      </c>
      <c r="G25" s="29">
        <f t="shared" si="20"/>
        <v>377</v>
      </c>
      <c r="H25" s="29">
        <f t="shared" si="20"/>
        <v>-1008</v>
      </c>
      <c r="I25" s="29">
        <f t="shared" si="20"/>
        <v>-114495147.13</v>
      </c>
      <c r="J25" s="29">
        <f t="shared" si="20"/>
        <v>0</v>
      </c>
      <c r="K25" s="29">
        <f t="shared" si="20"/>
        <v>0</v>
      </c>
      <c r="L25" s="29">
        <f t="shared" si="20"/>
        <v>0</v>
      </c>
      <c r="M25" s="29">
        <f t="shared" si="20"/>
        <v>152681914.44999999</v>
      </c>
      <c r="N25" s="29">
        <f t="shared" si="20"/>
        <v>0</v>
      </c>
      <c r="O25" s="29">
        <f t="shared" si="20"/>
        <v>0</v>
      </c>
      <c r="P25" s="29">
        <f t="shared" si="20"/>
        <v>0</v>
      </c>
      <c r="Q25" s="29">
        <f t="shared" si="20"/>
        <v>13500722.720000001</v>
      </c>
      <c r="R25" s="29">
        <f t="shared" si="20"/>
        <v>0</v>
      </c>
      <c r="S25" s="29">
        <f t="shared" si="20"/>
        <v>0</v>
      </c>
      <c r="T25" s="29">
        <f t="shared" si="20"/>
        <v>0</v>
      </c>
      <c r="U25" s="29">
        <f t="shared" si="20"/>
        <v>-12788475.18</v>
      </c>
      <c r="V25" s="29">
        <f t="shared" si="20"/>
        <v>0</v>
      </c>
      <c r="W25" s="29">
        <f t="shared" si="20"/>
        <v>0</v>
      </c>
      <c r="X25" s="29">
        <f t="shared" si="20"/>
        <v>0</v>
      </c>
      <c r="Y25" s="29">
        <f t="shared" si="20"/>
        <v>6390315.9299999997</v>
      </c>
      <c r="Z25" s="29">
        <f t="shared" si="20"/>
        <v>0</v>
      </c>
      <c r="AA25" s="29">
        <f t="shared" si="20"/>
        <v>0</v>
      </c>
      <c r="AB25" s="29">
        <f t="shared" si="20"/>
        <v>0</v>
      </c>
      <c r="AC25" s="29">
        <f t="shared" si="20"/>
        <v>-8600642.3599999994</v>
      </c>
      <c r="AD25" s="29">
        <f t="shared" si="20"/>
        <v>0</v>
      </c>
      <c r="AE25" s="29">
        <f t="shared" si="20"/>
        <v>0</v>
      </c>
      <c r="AF25" s="29">
        <f t="shared" si="20"/>
        <v>0</v>
      </c>
      <c r="AG25" s="29">
        <f t="shared" si="20"/>
        <v>-18674296.43</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9">
        <v>0</v>
      </c>
      <c r="C26" s="189">
        <v>0</v>
      </c>
      <c r="D26" s="189">
        <v>0</v>
      </c>
      <c r="E26" s="189">
        <v>0</v>
      </c>
      <c r="F26" s="189">
        <v>0</v>
      </c>
      <c r="G26" s="189">
        <v>0</v>
      </c>
      <c r="H26" s="189">
        <v>0</v>
      </c>
      <c r="I26" s="189">
        <v>0</v>
      </c>
      <c r="J26" s="189">
        <v>0</v>
      </c>
      <c r="K26" s="189">
        <v>0</v>
      </c>
      <c r="L26" s="189">
        <v>0</v>
      </c>
      <c r="M26" s="189">
        <v>0</v>
      </c>
      <c r="N26" s="189">
        <v>-180000</v>
      </c>
      <c r="O26" s="189">
        <v>0</v>
      </c>
      <c r="P26" s="189">
        <v>0</v>
      </c>
      <c r="Q26" s="189">
        <v>0</v>
      </c>
      <c r="R26" s="189">
        <v>0</v>
      </c>
      <c r="S26" s="189">
        <v>0</v>
      </c>
      <c r="T26" s="189">
        <v>0</v>
      </c>
      <c r="U26" s="189">
        <v>0</v>
      </c>
      <c r="V26" s="189">
        <v>0</v>
      </c>
      <c r="W26" s="189">
        <v>0</v>
      </c>
      <c r="X26" s="189">
        <v>0</v>
      </c>
      <c r="Y26" s="189">
        <v>1645437.5</v>
      </c>
      <c r="Z26" s="189">
        <v>1645437.5</v>
      </c>
      <c r="AA26" s="189">
        <v>1645437.5</v>
      </c>
      <c r="AB26" s="189">
        <v>8220149.5199999996</v>
      </c>
      <c r="AC26" s="189">
        <v>-159396498.72</v>
      </c>
      <c r="AD26" s="189">
        <v>-179349016</v>
      </c>
      <c r="AE26" s="189">
        <v>-63013050</v>
      </c>
      <c r="AF26" s="189">
        <v>-47673950</v>
      </c>
      <c r="AG26" s="189">
        <v>-25218650</v>
      </c>
      <c r="AH26" s="189">
        <v>-47287200</v>
      </c>
      <c r="AI26" s="189">
        <v>-79695150</v>
      </c>
      <c r="AJ26" s="189">
        <v>0</v>
      </c>
      <c r="AK26" s="189">
        <v>237007788.94999999</v>
      </c>
      <c r="AL26" s="189">
        <v>0</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c r="CF26" s="189"/>
      <c r="CG26" s="189"/>
      <c r="CH26" s="189"/>
      <c r="CI26" s="189"/>
      <c r="CJ26" s="189"/>
      <c r="CK26" s="189"/>
    </row>
    <row r="27" spans="1:89" x14ac:dyDescent="0.25">
      <c r="A27" s="17" t="s">
        <v>405</v>
      </c>
      <c r="B27" s="26">
        <f>SUM(B22:B26)</f>
        <v>-77934405.200000003</v>
      </c>
      <c r="C27" s="26">
        <f t="shared" ref="C27:BN27" si="22">SUM(C22:C26)</f>
        <v>-20519882.540000007</v>
      </c>
      <c r="D27" s="26">
        <f t="shared" si="22"/>
        <v>63158764.649999999</v>
      </c>
      <c r="E27" s="26">
        <f t="shared" si="22"/>
        <v>161720287.46000001</v>
      </c>
      <c r="F27" s="26">
        <f t="shared" si="22"/>
        <v>132903128.77000001</v>
      </c>
      <c r="G27" s="26">
        <f t="shared" si="22"/>
        <v>83467671.050000012</v>
      </c>
      <c r="H27" s="26">
        <f t="shared" si="22"/>
        <v>60355432.109999999</v>
      </c>
      <c r="I27" s="26">
        <f t="shared" si="22"/>
        <v>-48647303.859999985</v>
      </c>
      <c r="J27" s="26">
        <f t="shared" si="22"/>
        <v>-28263555.289999999</v>
      </c>
      <c r="K27" s="26">
        <f t="shared" si="22"/>
        <v>-22827367.290000003</v>
      </c>
      <c r="L27" s="26">
        <f t="shared" si="22"/>
        <v>-86655710.160000011</v>
      </c>
      <c r="M27" s="26">
        <f t="shared" si="22"/>
        <v>271504280.43000001</v>
      </c>
      <c r="N27" s="26">
        <f t="shared" si="22"/>
        <v>-97031538.289999992</v>
      </c>
      <c r="O27" s="26">
        <f t="shared" si="22"/>
        <v>-26941062.579999998</v>
      </c>
      <c r="P27" s="26">
        <f t="shared" si="22"/>
        <v>9637480.9700000007</v>
      </c>
      <c r="Q27" s="26">
        <f t="shared" si="22"/>
        <v>216939503.46000001</v>
      </c>
      <c r="R27" s="26">
        <f t="shared" si="22"/>
        <v>66115154</v>
      </c>
      <c r="S27" s="26">
        <f t="shared" si="22"/>
        <v>42585973.059999995</v>
      </c>
      <c r="T27" s="26">
        <f t="shared" si="22"/>
        <v>9356491.8800000008</v>
      </c>
      <c r="U27" s="26">
        <f t="shared" si="22"/>
        <v>103136708.47999999</v>
      </c>
      <c r="V27" s="26">
        <f t="shared" si="22"/>
        <v>24255964.579999998</v>
      </c>
      <c r="W27" s="26">
        <f t="shared" si="22"/>
        <v>16779833.490000002</v>
      </c>
      <c r="X27" s="26">
        <f t="shared" si="22"/>
        <v>9233907.0499999989</v>
      </c>
      <c r="Y27" s="26">
        <f t="shared" si="22"/>
        <v>119297136.99000001</v>
      </c>
      <c r="Z27" s="26">
        <f t="shared" si="22"/>
        <v>64115319.079999998</v>
      </c>
      <c r="AA27" s="26">
        <f t="shared" si="22"/>
        <v>61358456.049999997</v>
      </c>
      <c r="AB27" s="26">
        <f t="shared" si="22"/>
        <v>25761839.039999999</v>
      </c>
      <c r="AC27" s="26">
        <f t="shared" si="22"/>
        <v>-145923477.84</v>
      </c>
      <c r="AD27" s="26">
        <f t="shared" si="22"/>
        <v>-163929456.72999999</v>
      </c>
      <c r="AE27" s="26">
        <f t="shared" si="22"/>
        <v>-57364060.630000003</v>
      </c>
      <c r="AF27" s="26">
        <f t="shared" si="22"/>
        <v>-46795703.380000003</v>
      </c>
      <c r="AG27" s="26">
        <f t="shared" si="22"/>
        <v>-19209875.289999999</v>
      </c>
      <c r="AH27" s="26">
        <f t="shared" si="22"/>
        <v>-42812901.329999998</v>
      </c>
      <c r="AI27" s="26">
        <f t="shared" si="22"/>
        <v>-78896365.409999996</v>
      </c>
      <c r="AJ27" s="26">
        <f t="shared" si="22"/>
        <v>-407724.20999999996</v>
      </c>
      <c r="AK27" s="26">
        <f t="shared" si="22"/>
        <v>274951194.19999999</v>
      </c>
      <c r="AL27" s="26">
        <f t="shared" si="22"/>
        <v>19477849.07</v>
      </c>
      <c r="AM27" s="26">
        <f t="shared" si="22"/>
        <v>10870830.67</v>
      </c>
      <c r="AN27" s="26">
        <f t="shared" si="22"/>
        <v>1309943.71</v>
      </c>
      <c r="AO27" s="26">
        <f t="shared" si="22"/>
        <v>339795738.08999997</v>
      </c>
      <c r="AP27" s="26">
        <f t="shared" si="22"/>
        <v>364274192.67000002</v>
      </c>
      <c r="AQ27" s="26">
        <f t="shared" si="22"/>
        <v>281189632.00000006</v>
      </c>
      <c r="AR27" s="26">
        <f t="shared" si="22"/>
        <v>262652902.17999995</v>
      </c>
      <c r="AS27" s="26">
        <f t="shared" si="22"/>
        <v>66004141.240000002</v>
      </c>
      <c r="AT27" s="26">
        <f t="shared" si="22"/>
        <v>28348385.710000001</v>
      </c>
      <c r="AU27" s="26">
        <f t="shared" si="22"/>
        <v>13519561.689999999</v>
      </c>
      <c r="AV27" s="26">
        <f t="shared" si="22"/>
        <v>7848624.79</v>
      </c>
      <c r="AW27" s="26">
        <f t="shared" si="22"/>
        <v>13185255.029999999</v>
      </c>
      <c r="AX27" s="26">
        <f t="shared" si="22"/>
        <v>2081152.92</v>
      </c>
      <c r="AY27" s="26">
        <f t="shared" si="22"/>
        <v>-6550107.71</v>
      </c>
      <c r="AZ27" s="26">
        <f t="shared" si="22"/>
        <v>1172525.6399999999</v>
      </c>
      <c r="BA27" s="26">
        <f t="shared" si="22"/>
        <v>9171774.9000000004</v>
      </c>
      <c r="BB27" s="26">
        <f t="shared" si="22"/>
        <v>7395958.3899999997</v>
      </c>
      <c r="BC27" s="26">
        <f t="shared" si="22"/>
        <v>4984582.96</v>
      </c>
      <c r="BD27" s="26">
        <f t="shared" si="22"/>
        <v>3050360.76</v>
      </c>
      <c r="BE27" s="26">
        <f t="shared" si="22"/>
        <v>2186545.7999999998</v>
      </c>
      <c r="BF27" s="26">
        <f t="shared" si="22"/>
        <v>1573989.31</v>
      </c>
      <c r="BG27" s="26">
        <f t="shared" si="22"/>
        <v>1183478.1499999999</v>
      </c>
      <c r="BH27" s="26">
        <f t="shared" si="22"/>
        <v>840000</v>
      </c>
      <c r="BI27" s="26">
        <f t="shared" si="22"/>
        <v>-486358.5</v>
      </c>
      <c r="BJ27" s="26">
        <f t="shared" si="22"/>
        <v>156839.66</v>
      </c>
      <c r="BK27" s="26">
        <f t="shared" si="22"/>
        <v>156839.66</v>
      </c>
      <c r="BL27" s="26">
        <f t="shared" si="22"/>
        <v>118808.74</v>
      </c>
      <c r="BM27" s="26">
        <f t="shared" si="22"/>
        <v>840242.51</v>
      </c>
      <c r="BN27" s="26">
        <f t="shared" si="22"/>
        <v>1068816.83</v>
      </c>
      <c r="BO27" s="26">
        <f t="shared" ref="BO27:CJ27" si="23">SUM(BO22:BO26)</f>
        <v>1068816.83</v>
      </c>
      <c r="BP27" s="26">
        <f t="shared" si="23"/>
        <v>0</v>
      </c>
      <c r="BQ27" s="26">
        <f t="shared" si="23"/>
        <v>5477612.75</v>
      </c>
      <c r="BR27" s="26">
        <f t="shared" si="23"/>
        <v>7000000</v>
      </c>
      <c r="BS27" s="26">
        <f t="shared" si="23"/>
        <v>0</v>
      </c>
      <c r="BT27" s="26">
        <f t="shared" si="23"/>
        <v>0</v>
      </c>
      <c r="BU27" s="26">
        <f t="shared" si="23"/>
        <v>11254042</v>
      </c>
      <c r="BV27" s="26">
        <f t="shared" si="23"/>
        <v>4500000</v>
      </c>
      <c r="BW27" s="26">
        <f t="shared" si="23"/>
        <v>7005958</v>
      </c>
      <c r="BX27" s="26">
        <f t="shared" si="23"/>
        <v>0</v>
      </c>
      <c r="BY27" s="26">
        <f t="shared" si="23"/>
        <v>7080317.8600000003</v>
      </c>
      <c r="BZ27" s="26">
        <f t="shared" si="23"/>
        <v>3409986.62</v>
      </c>
      <c r="CA27" s="26">
        <f t="shared" si="23"/>
        <v>10848</v>
      </c>
      <c r="CB27" s="26">
        <f t="shared" si="23"/>
        <v>19688</v>
      </c>
      <c r="CC27" s="26">
        <f t="shared" si="23"/>
        <v>17896</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-6698216.2945746919</v>
      </c>
      <c r="C28" s="26">
        <f t="shared" ref="C28:BN28" si="24">SUM(C22:C25)*C41</f>
        <v>-3423029.6345801405</v>
      </c>
      <c r="D28" s="26">
        <f t="shared" si="24"/>
        <v>12755891.935592549</v>
      </c>
      <c r="E28" s="26">
        <f t="shared" si="24"/>
        <v>23102692.183238689</v>
      </c>
      <c r="F28" s="26">
        <f t="shared" si="24"/>
        <v>17573669.118047431</v>
      </c>
      <c r="G28" s="26">
        <f t="shared" si="24"/>
        <v>10543737.133017344</v>
      </c>
      <c r="H28" s="26">
        <f t="shared" si="24"/>
        <v>12083522.770023569</v>
      </c>
      <c r="I28" s="26">
        <f t="shared" si="24"/>
        <v>-7107341.3210302312</v>
      </c>
      <c r="J28" s="26">
        <f t="shared" si="24"/>
        <v>-3687874.4289209121</v>
      </c>
      <c r="K28" s="26">
        <f t="shared" si="24"/>
        <v>-2974596.7210392412</v>
      </c>
      <c r="L28" s="26">
        <f t="shared" si="24"/>
        <v>-11558263.090299482</v>
      </c>
      <c r="M28" s="26">
        <f t="shared" si="24"/>
        <v>33024285.597689807</v>
      </c>
      <c r="N28" s="26">
        <f t="shared" si="24"/>
        <v>-11748504.258161206</v>
      </c>
      <c r="O28" s="26">
        <f t="shared" si="24"/>
        <v>-3049318.1743307048</v>
      </c>
      <c r="P28" s="26">
        <f t="shared" si="24"/>
        <v>1254513.9493599837</v>
      </c>
      <c r="Q28" s="26">
        <f t="shared" si="24"/>
        <v>28296628.08716014</v>
      </c>
      <c r="R28" s="26">
        <f t="shared" si="24"/>
        <v>8047774.3023889177</v>
      </c>
      <c r="S28" s="26">
        <f t="shared" si="24"/>
        <v>5167587.8969562324</v>
      </c>
      <c r="T28" s="26">
        <f t="shared" si="24"/>
        <v>1087490.1806648958</v>
      </c>
      <c r="U28" s="26">
        <f t="shared" si="24"/>
        <v>13317924.227066049</v>
      </c>
      <c r="V28" s="26">
        <f t="shared" si="24"/>
        <v>2935883.3272660882</v>
      </c>
      <c r="W28" s="26">
        <f t="shared" si="24"/>
        <v>2048124.5884981842</v>
      </c>
      <c r="X28" s="26">
        <f t="shared" si="24"/>
        <v>1108658.7854795526</v>
      </c>
      <c r="Y28" s="26">
        <f t="shared" si="24"/>
        <v>14322927.304317998</v>
      </c>
      <c r="Z28" s="26">
        <f t="shared" si="24"/>
        <v>7617434.8227417059</v>
      </c>
      <c r="AA28" s="26">
        <f t="shared" si="24"/>
        <v>7192036.5076087657</v>
      </c>
      <c r="AB28" s="26">
        <f t="shared" si="24"/>
        <v>2258998.1839459776</v>
      </c>
      <c r="AC28" s="26">
        <f t="shared" si="24"/>
        <v>1953779.3105061383</v>
      </c>
      <c r="AD28" s="26">
        <f t="shared" si="24"/>
        <v>2385385.3887299304</v>
      </c>
      <c r="AE28" s="26">
        <f t="shared" si="24"/>
        <v>780981.60239818692</v>
      </c>
      <c r="AF28" s="26">
        <f t="shared" si="24"/>
        <v>131534.84900031082</v>
      </c>
      <c r="AG28" s="26">
        <f t="shared" si="24"/>
        <v>756451.11435529299</v>
      </c>
      <c r="AH28" s="26">
        <f t="shared" si="24"/>
        <v>654434.90884121065</v>
      </c>
      <c r="AI28" s="26">
        <f t="shared" si="24"/>
        <v>129017.36952830091</v>
      </c>
      <c r="AJ28" s="26">
        <f t="shared" si="24"/>
        <v>-44918.209946828902</v>
      </c>
      <c r="AK28" s="26">
        <f t="shared" si="24"/>
        <v>3676235.6685981313</v>
      </c>
      <c r="AL28" s="26">
        <f t="shared" si="24"/>
        <v>2637975.3044646676</v>
      </c>
      <c r="AM28" s="26">
        <f t="shared" si="24"/>
        <v>1431254.6845366845</v>
      </c>
      <c r="AN28" s="26">
        <f t="shared" si="24"/>
        <v>157193.07191926421</v>
      </c>
      <c r="AO28" s="26">
        <f t="shared" si="24"/>
        <v>57040452.290837437</v>
      </c>
      <c r="AP28" s="26">
        <f t="shared" si="24"/>
        <v>69226862.012774199</v>
      </c>
      <c r="AQ28" s="26">
        <f t="shared" si="24"/>
        <v>59411751.737591758</v>
      </c>
      <c r="AR28" s="26">
        <f t="shared" si="24"/>
        <v>63833234.040552795</v>
      </c>
      <c r="AS28" s="26">
        <f t="shared" si="24"/>
        <v>17883345.841306563</v>
      </c>
      <c r="AT28" s="26">
        <f t="shared" si="24"/>
        <v>9616259.847074531</v>
      </c>
      <c r="AU28" s="26">
        <f t="shared" si="24"/>
        <v>4494158.8705870425</v>
      </c>
      <c r="AV28" s="26">
        <f t="shared" si="24"/>
        <v>2812220.6062993705</v>
      </c>
      <c r="AW28" s="26">
        <f t="shared" si="24"/>
        <v>4693034.1783896042</v>
      </c>
      <c r="AX28" s="26">
        <f t="shared" si="24"/>
        <v>1063880.6397837305</v>
      </c>
      <c r="AY28" s="26">
        <f t="shared" si="24"/>
        <v>-3349476.1275576088</v>
      </c>
      <c r="AZ28" s="26">
        <f t="shared" si="24"/>
        <v>484421.99309499562</v>
      </c>
      <c r="BA28" s="26">
        <f t="shared" si="24"/>
        <v>3342371.9001749069</v>
      </c>
      <c r="BB28" s="26">
        <f t="shared" si="24"/>
        <v>2738880.0143869659</v>
      </c>
      <c r="BC28" s="26">
        <f t="shared" si="24"/>
        <v>1849104.7230054738</v>
      </c>
      <c r="BD28" s="26">
        <f t="shared" si="24"/>
        <v>1040015.487412955</v>
      </c>
      <c r="BE28" s="26">
        <f t="shared" si="24"/>
        <v>669659.06038401707</v>
      </c>
      <c r="BF28" s="26">
        <f t="shared" si="24"/>
        <v>613178.08969492244</v>
      </c>
      <c r="BG28" s="26">
        <f t="shared" si="24"/>
        <v>473503.96871549531</v>
      </c>
      <c r="BH28" s="26">
        <f t="shared" si="24"/>
        <v>321733.25154828263</v>
      </c>
      <c r="BI28" s="26">
        <f t="shared" si="24"/>
        <v>-153909.41088113096</v>
      </c>
      <c r="BJ28" s="26">
        <f t="shared" si="24"/>
        <v>57747.368676313403</v>
      </c>
      <c r="BK28" s="26">
        <f t="shared" si="24"/>
        <v>68742.08000332232</v>
      </c>
      <c r="BL28" s="26">
        <f t="shared" si="24"/>
        <v>42387.485764240322</v>
      </c>
      <c r="BM28" s="26">
        <f t="shared" si="24"/>
        <v>354919.13530348171</v>
      </c>
      <c r="BN28" s="26">
        <f t="shared" si="24"/>
        <v>488615.0132237142</v>
      </c>
      <c r="BO28" s="26">
        <f t="shared" ref="BO28:CJ28" si="25">SUM(BO22:BO25)*BO41</f>
        <v>488065.57723732665</v>
      </c>
      <c r="BP28" s="26">
        <f t="shared" si="25"/>
        <v>0</v>
      </c>
      <c r="BQ28" s="26">
        <f t="shared" si="25"/>
        <v>1135628.325538215</v>
      </c>
      <c r="BR28" s="26">
        <f t="shared" si="25"/>
        <v>1933526.6281732779</v>
      </c>
      <c r="BS28" s="26">
        <f t="shared" si="25"/>
        <v>0</v>
      </c>
      <c r="BT28" s="26">
        <f t="shared" si="25"/>
        <v>0</v>
      </c>
      <c r="BU28" s="26">
        <f t="shared" si="25"/>
        <v>3686848.594545627</v>
      </c>
      <c r="BV28" s="26">
        <f t="shared" si="25"/>
        <v>1514025.9511306158</v>
      </c>
      <c r="BW28" s="26">
        <f t="shared" si="25"/>
        <v>2265043.5595072671</v>
      </c>
      <c r="BX28" s="26">
        <f t="shared" si="25"/>
        <v>0</v>
      </c>
      <c r="BY28" s="26">
        <f t="shared" si="25"/>
        <v>1112496.818914843</v>
      </c>
      <c r="BZ28" s="26">
        <f t="shared" si="25"/>
        <v>68812.019159650634</v>
      </c>
      <c r="CA28" s="26">
        <f t="shared" si="25"/>
        <v>3340.4573139378954</v>
      </c>
      <c r="CB28" s="26">
        <f t="shared" si="25"/>
        <v>6712.2220675874159</v>
      </c>
      <c r="CC28" s="26">
        <f t="shared" si="25"/>
        <v>6610.2070434324987</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-71236188.90542531</v>
      </c>
      <c r="C29" s="28">
        <f t="shared" ref="C29:BN29" si="26">C27-C28</f>
        <v>-17096852.905419867</v>
      </c>
      <c r="D29" s="28">
        <f t="shared" si="26"/>
        <v>50402872.714407451</v>
      </c>
      <c r="E29" s="28">
        <f t="shared" si="26"/>
        <v>138617595.27676132</v>
      </c>
      <c r="F29" s="28">
        <f t="shared" si="26"/>
        <v>115329459.65195258</v>
      </c>
      <c r="G29" s="28">
        <f t="shared" si="26"/>
        <v>72923933.916982666</v>
      </c>
      <c r="H29" s="28">
        <f t="shared" si="26"/>
        <v>48271909.33997643</v>
      </c>
      <c r="I29" s="28">
        <f t="shared" si="26"/>
        <v>-41539962.538969755</v>
      </c>
      <c r="J29" s="28">
        <f t="shared" si="26"/>
        <v>-24575680.861079086</v>
      </c>
      <c r="K29" s="28">
        <f t="shared" si="26"/>
        <v>-19852770.568960764</v>
      </c>
      <c r="L29" s="28">
        <f t="shared" si="26"/>
        <v>-75097447.069700524</v>
      </c>
      <c r="M29" s="28">
        <f t="shared" si="26"/>
        <v>238479994.8323102</v>
      </c>
      <c r="N29" s="28">
        <f t="shared" si="26"/>
        <v>-85283034.03183879</v>
      </c>
      <c r="O29" s="28">
        <f t="shared" si="26"/>
        <v>-23891744.405669294</v>
      </c>
      <c r="P29" s="28">
        <f t="shared" si="26"/>
        <v>8382967.0206400175</v>
      </c>
      <c r="Q29" s="28">
        <f t="shared" si="26"/>
        <v>188642875.37283987</v>
      </c>
      <c r="R29" s="28">
        <f t="shared" si="26"/>
        <v>58067379.697611079</v>
      </c>
      <c r="S29" s="28">
        <f t="shared" si="26"/>
        <v>37418385.16304376</v>
      </c>
      <c r="T29" s="28">
        <f t="shared" si="26"/>
        <v>8269001.6993351048</v>
      </c>
      <c r="U29" s="28">
        <f t="shared" si="26"/>
        <v>89818784.252933934</v>
      </c>
      <c r="V29" s="28">
        <f t="shared" si="26"/>
        <v>21320081.252733909</v>
      </c>
      <c r="W29" s="28">
        <f t="shared" si="26"/>
        <v>14731708.901501818</v>
      </c>
      <c r="X29" s="28">
        <f t="shared" si="26"/>
        <v>8125248.2645204458</v>
      </c>
      <c r="Y29" s="28">
        <f t="shared" si="26"/>
        <v>104974209.68568201</v>
      </c>
      <c r="Z29" s="28">
        <f t="shared" si="26"/>
        <v>56497884.257258296</v>
      </c>
      <c r="AA29" s="28">
        <f t="shared" si="26"/>
        <v>54166419.542391233</v>
      </c>
      <c r="AB29" s="28">
        <f t="shared" si="26"/>
        <v>23502840.856054023</v>
      </c>
      <c r="AC29" s="28">
        <f t="shared" si="26"/>
        <v>-147877257.15050614</v>
      </c>
      <c r="AD29" s="28">
        <f t="shared" si="26"/>
        <v>-166314842.11872992</v>
      </c>
      <c r="AE29" s="28">
        <f t="shared" si="26"/>
        <v>-58145042.23239819</v>
      </c>
      <c r="AF29" s="28">
        <f t="shared" si="26"/>
        <v>-46927238.229000315</v>
      </c>
      <c r="AG29" s="28">
        <f t="shared" si="26"/>
        <v>-19966326.404355291</v>
      </c>
      <c r="AH29" s="28">
        <f t="shared" si="26"/>
        <v>-43467336.238841206</v>
      </c>
      <c r="AI29" s="28">
        <f t="shared" si="26"/>
        <v>-79025382.77952829</v>
      </c>
      <c r="AJ29" s="28">
        <f t="shared" si="26"/>
        <v>-362806.00005317107</v>
      </c>
      <c r="AK29" s="28">
        <f t="shared" si="26"/>
        <v>271274958.53140187</v>
      </c>
      <c r="AL29" s="28">
        <f t="shared" si="26"/>
        <v>16839873.765535332</v>
      </c>
      <c r="AM29" s="28">
        <f t="shared" si="26"/>
        <v>9439575.9854633156</v>
      </c>
      <c r="AN29" s="28">
        <f t="shared" si="26"/>
        <v>1152750.6380807357</v>
      </c>
      <c r="AO29" s="28">
        <f t="shared" si="26"/>
        <v>282755285.79916251</v>
      </c>
      <c r="AP29" s="28">
        <f t="shared" si="26"/>
        <v>295047330.65722585</v>
      </c>
      <c r="AQ29" s="28">
        <f t="shared" si="26"/>
        <v>221777880.26240832</v>
      </c>
      <c r="AR29" s="28">
        <f t="shared" si="26"/>
        <v>198819668.13944715</v>
      </c>
      <c r="AS29" s="28">
        <f t="shared" si="26"/>
        <v>48120795.398693442</v>
      </c>
      <c r="AT29" s="28">
        <f t="shared" si="26"/>
        <v>18732125.86292547</v>
      </c>
      <c r="AU29" s="28">
        <f t="shared" si="26"/>
        <v>9025402.8194129579</v>
      </c>
      <c r="AV29" s="28">
        <f t="shared" si="26"/>
        <v>5036404.1837006295</v>
      </c>
      <c r="AW29" s="28">
        <f t="shared" si="26"/>
        <v>8492220.8516103961</v>
      </c>
      <c r="AX29" s="28">
        <f t="shared" si="26"/>
        <v>1017272.2802162694</v>
      </c>
      <c r="AY29" s="28">
        <f t="shared" si="26"/>
        <v>-3200631.5824423912</v>
      </c>
      <c r="AZ29" s="28">
        <f t="shared" si="26"/>
        <v>688103.64690500428</v>
      </c>
      <c r="BA29" s="28">
        <f t="shared" si="26"/>
        <v>5829402.9998250939</v>
      </c>
      <c r="BB29" s="28">
        <f t="shared" si="26"/>
        <v>4657078.3756130338</v>
      </c>
      <c r="BC29" s="28">
        <f t="shared" si="26"/>
        <v>3135478.2369945263</v>
      </c>
      <c r="BD29" s="28">
        <f t="shared" si="26"/>
        <v>2010345.2725870446</v>
      </c>
      <c r="BE29" s="28">
        <f t="shared" si="26"/>
        <v>1516886.7396159829</v>
      </c>
      <c r="BF29" s="28">
        <f t="shared" si="26"/>
        <v>960811.22030507762</v>
      </c>
      <c r="BG29" s="28">
        <f t="shared" si="26"/>
        <v>709974.18128450459</v>
      </c>
      <c r="BH29" s="28">
        <f t="shared" si="26"/>
        <v>518266.74845171737</v>
      </c>
      <c r="BI29" s="28">
        <f t="shared" si="26"/>
        <v>-332449.08911886904</v>
      </c>
      <c r="BJ29" s="28">
        <f t="shared" si="26"/>
        <v>99092.291323686601</v>
      </c>
      <c r="BK29" s="28">
        <f t="shared" si="26"/>
        <v>88097.579996677683</v>
      </c>
      <c r="BL29" s="28">
        <f t="shared" si="26"/>
        <v>76421.254235759683</v>
      </c>
      <c r="BM29" s="28">
        <f t="shared" si="26"/>
        <v>485323.37469651829</v>
      </c>
      <c r="BN29" s="28">
        <f t="shared" si="26"/>
        <v>580201.81677628588</v>
      </c>
      <c r="BO29" s="28">
        <f t="shared" ref="BO29:CK29" si="27">BO27-BO28</f>
        <v>580751.25276267342</v>
      </c>
      <c r="BP29" s="28">
        <f t="shared" si="27"/>
        <v>0</v>
      </c>
      <c r="BQ29" s="28">
        <f t="shared" si="27"/>
        <v>4341984.4244617848</v>
      </c>
      <c r="BR29" s="28">
        <f t="shared" si="27"/>
        <v>5066473.3718267223</v>
      </c>
      <c r="BS29" s="28">
        <f t="shared" si="27"/>
        <v>0</v>
      </c>
      <c r="BT29" s="28">
        <f t="shared" si="27"/>
        <v>0</v>
      </c>
      <c r="BU29" s="28">
        <f t="shared" si="27"/>
        <v>7567193.405454373</v>
      </c>
      <c r="BV29" s="28">
        <f t="shared" si="27"/>
        <v>2985974.0488693845</v>
      </c>
      <c r="BW29" s="28">
        <f t="shared" si="27"/>
        <v>4740914.4404927325</v>
      </c>
      <c r="BX29" s="28">
        <f t="shared" si="27"/>
        <v>0</v>
      </c>
      <c r="BY29" s="28">
        <f t="shared" si="27"/>
        <v>5967821.0410851575</v>
      </c>
      <c r="BZ29" s="28">
        <f t="shared" si="27"/>
        <v>3341174.6008403497</v>
      </c>
      <c r="CA29" s="28">
        <f t="shared" si="27"/>
        <v>7507.5426860621046</v>
      </c>
      <c r="CB29" s="28">
        <f t="shared" si="27"/>
        <v>12975.777932412584</v>
      </c>
      <c r="CC29" s="28">
        <f t="shared" si="27"/>
        <v>11285.7929565675</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2495566024.9500022</v>
      </c>
      <c r="C31" s="26">
        <f t="shared" ref="C31:BN31" si="28">C15+C20+C27</f>
        <v>674700619.22000122</v>
      </c>
      <c r="D31" s="26">
        <f t="shared" si="28"/>
        <v>441566099.73999971</v>
      </c>
      <c r="E31" s="26">
        <f t="shared" si="28"/>
        <v>3805850524.2900009</v>
      </c>
      <c r="F31" s="26">
        <f t="shared" si="28"/>
        <v>2311704878.79</v>
      </c>
      <c r="G31" s="26">
        <f t="shared" si="28"/>
        <v>973520999.60000014</v>
      </c>
      <c r="H31" s="26">
        <f t="shared" si="28"/>
        <v>430287765.6099999</v>
      </c>
      <c r="I31" s="26">
        <f t="shared" si="28"/>
        <v>4977765399.4700031</v>
      </c>
      <c r="J31" s="26">
        <f t="shared" si="28"/>
        <v>2765785939.3500004</v>
      </c>
      <c r="K31" s="26">
        <f t="shared" si="28"/>
        <v>1500202934.8899996</v>
      </c>
      <c r="L31" s="26">
        <f t="shared" si="28"/>
        <v>485063619.49999934</v>
      </c>
      <c r="M31" s="26">
        <f t="shared" si="28"/>
        <v>4203331467.7699986</v>
      </c>
      <c r="N31" s="26">
        <f t="shared" si="28"/>
        <v>2031815433.0200005</v>
      </c>
      <c r="O31" s="26">
        <f t="shared" si="28"/>
        <v>976245622.61000049</v>
      </c>
      <c r="P31" s="26">
        <f t="shared" si="28"/>
        <v>384588429.29000002</v>
      </c>
      <c r="Q31" s="26">
        <f t="shared" si="28"/>
        <v>3119029988.1399994</v>
      </c>
      <c r="R31" s="26">
        <f t="shared" si="28"/>
        <v>1242784591.2499995</v>
      </c>
      <c r="S31" s="26">
        <f t="shared" si="28"/>
        <v>759262753.81999958</v>
      </c>
      <c r="T31" s="26">
        <f t="shared" si="28"/>
        <v>296432997.93000013</v>
      </c>
      <c r="U31" s="26">
        <f t="shared" si="28"/>
        <v>2139810600.8800008</v>
      </c>
      <c r="V31" s="26">
        <f t="shared" si="28"/>
        <v>1019531422.6300007</v>
      </c>
      <c r="W31" s="26">
        <f t="shared" si="28"/>
        <v>722173470.05999923</v>
      </c>
      <c r="X31" s="26">
        <f t="shared" si="28"/>
        <v>288238322.4600004</v>
      </c>
      <c r="Y31" s="26">
        <f t="shared" si="28"/>
        <v>1783277079.8600001</v>
      </c>
      <c r="Z31" s="26">
        <f t="shared" si="28"/>
        <v>1073533148.0999985</v>
      </c>
      <c r="AA31" s="26">
        <f t="shared" si="28"/>
        <v>651058547.5600003</v>
      </c>
      <c r="AB31" s="26">
        <f t="shared" si="28"/>
        <v>275323946.70999992</v>
      </c>
      <c r="AC31" s="26">
        <f t="shared" si="28"/>
        <v>1202218322.8399997</v>
      </c>
      <c r="AD31" s="26">
        <f t="shared" si="28"/>
        <v>650712706.90000033</v>
      </c>
      <c r="AE31" s="26">
        <f t="shared" si="28"/>
        <v>414427401.55999964</v>
      </c>
      <c r="AF31" s="26">
        <f t="shared" si="28"/>
        <v>151928910.94999993</v>
      </c>
      <c r="AG31" s="26">
        <f t="shared" si="28"/>
        <v>956086726.4699986</v>
      </c>
      <c r="AH31" s="26">
        <f t="shared" si="28"/>
        <v>594902804.52000034</v>
      </c>
      <c r="AI31" s="26">
        <f t="shared" si="28"/>
        <v>349283626.84000027</v>
      </c>
      <c r="AJ31" s="26">
        <f t="shared" si="28"/>
        <v>166479661.2000002</v>
      </c>
      <c r="AK31" s="26">
        <f t="shared" si="28"/>
        <v>899304298.95000005</v>
      </c>
      <c r="AL31" s="26">
        <f t="shared" si="28"/>
        <v>399610965.84000021</v>
      </c>
      <c r="AM31" s="26">
        <f t="shared" si="28"/>
        <v>224945728.65999982</v>
      </c>
      <c r="AN31" s="26">
        <f t="shared" si="28"/>
        <v>63803216.439999975</v>
      </c>
      <c r="AO31" s="26">
        <f t="shared" si="28"/>
        <v>650524583.10999954</v>
      </c>
      <c r="AP31" s="26">
        <f t="shared" si="28"/>
        <v>470696298.92000026</v>
      </c>
      <c r="AQ31" s="26">
        <f t="shared" si="28"/>
        <v>512845141.31000006</v>
      </c>
      <c r="AR31" s="26">
        <f t="shared" si="28"/>
        <v>341531242.13999981</v>
      </c>
      <c r="AS31" s="26">
        <f t="shared" si="28"/>
        <v>615846438.13000011</v>
      </c>
      <c r="AT31" s="26">
        <f t="shared" si="28"/>
        <v>251876739.35000002</v>
      </c>
      <c r="AU31" s="26">
        <f t="shared" si="28"/>
        <v>148952599.78999987</v>
      </c>
      <c r="AV31" s="26">
        <f t="shared" si="28"/>
        <v>65236235.889999993</v>
      </c>
      <c r="AW31" s="26">
        <f t="shared" si="28"/>
        <v>273018853.49000007</v>
      </c>
      <c r="AX31" s="26">
        <f t="shared" si="28"/>
        <v>125378380.09000011</v>
      </c>
      <c r="AY31" s="26">
        <f t="shared" si="28"/>
        <v>77695075.470000222</v>
      </c>
      <c r="AZ31" s="26">
        <f t="shared" si="28"/>
        <v>42126362.870000079</v>
      </c>
      <c r="BA31" s="26">
        <f t="shared" si="28"/>
        <v>238310434.2999993</v>
      </c>
      <c r="BB31" s="26">
        <f t="shared" si="28"/>
        <v>154179410.07000017</v>
      </c>
      <c r="BC31" s="26">
        <f t="shared" si="28"/>
        <v>85858865.219999984</v>
      </c>
      <c r="BD31" s="26">
        <f t="shared" si="28"/>
        <v>39653725.549999915</v>
      </c>
      <c r="BE31" s="26">
        <f t="shared" si="28"/>
        <v>177323026.35999995</v>
      </c>
      <c r="BF31" s="26">
        <f t="shared" si="28"/>
        <v>130556167.1800001</v>
      </c>
      <c r="BG31" s="26">
        <f t="shared" si="28"/>
        <v>64693960.539999999</v>
      </c>
      <c r="BH31" s="26">
        <f t="shared" si="28"/>
        <v>32937527.540000018</v>
      </c>
      <c r="BI31" s="26">
        <f t="shared" si="28"/>
        <v>178564539.13000005</v>
      </c>
      <c r="BJ31" s="26">
        <f t="shared" si="28"/>
        <v>100660330.8600001</v>
      </c>
      <c r="BK31" s="26">
        <f t="shared" si="28"/>
        <v>47193743.300000139</v>
      </c>
      <c r="BL31" s="26">
        <f t="shared" si="28"/>
        <v>33384721.689999949</v>
      </c>
      <c r="BM31" s="26">
        <f t="shared" si="28"/>
        <v>162600707.59000006</v>
      </c>
      <c r="BN31" s="26">
        <f t="shared" si="28"/>
        <v>98651063.769999862</v>
      </c>
      <c r="BO31" s="26">
        <f t="shared" ref="BO31:CJ31" si="29">BO15+BO20+BO27</f>
        <v>52123421.830000035</v>
      </c>
      <c r="BP31" s="26">
        <f t="shared" si="29"/>
        <v>16252530.889999978</v>
      </c>
      <c r="BQ31" s="26">
        <f t="shared" si="29"/>
        <v>118845586.23999992</v>
      </c>
      <c r="BR31" s="26">
        <f t="shared" si="29"/>
        <v>40320098.020000011</v>
      </c>
      <c r="BS31" s="26">
        <f t="shared" si="29"/>
        <v>97883917.369999915</v>
      </c>
      <c r="BT31" s="26">
        <f t="shared" si="29"/>
        <v>32670988.930000041</v>
      </c>
      <c r="BU31" s="26">
        <f t="shared" si="29"/>
        <v>90228113.799999967</v>
      </c>
      <c r="BV31" s="26">
        <f t="shared" si="29"/>
        <v>30745462.21000002</v>
      </c>
      <c r="BW31" s="26">
        <f t="shared" si="29"/>
        <v>78269381.019999996</v>
      </c>
      <c r="BX31" s="26">
        <f t="shared" si="29"/>
        <v>26772373.46000002</v>
      </c>
      <c r="BY31" s="26">
        <f t="shared" si="29"/>
        <v>58960828.959999964</v>
      </c>
      <c r="BZ31" s="26">
        <f t="shared" si="29"/>
        <v>160502825.20000002</v>
      </c>
      <c r="CA31" s="26">
        <f t="shared" si="29"/>
        <v>38645612</v>
      </c>
      <c r="CB31" s="26">
        <f t="shared" si="29"/>
        <v>28221820</v>
      </c>
      <c r="CC31" s="26">
        <f t="shared" si="29"/>
        <v>7782892</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12.880847580613164</v>
      </c>
      <c r="C32" s="57">
        <f t="shared" ref="C32:D32" si="30">C31/C4*100</f>
        <v>5.6145546746469721</v>
      </c>
      <c r="D32" s="57">
        <f t="shared" si="30"/>
        <v>9.477395120819363</v>
      </c>
      <c r="E32" s="57">
        <f>E31/E4</f>
        <v>0.11455831658227468</v>
      </c>
      <c r="F32" s="57">
        <f t="shared" ref="F32:BQ32" si="31">F31/F4</f>
        <v>0.12170092267338659</v>
      </c>
      <c r="G32" s="57">
        <f t="shared" si="31"/>
        <v>0.10453279763314036</v>
      </c>
      <c r="H32" s="57">
        <f t="shared" si="31"/>
        <v>0.1112297700070914</v>
      </c>
      <c r="I32" s="57">
        <f t="shared" si="31"/>
        <v>0.13884808989351966</v>
      </c>
      <c r="J32" s="57">
        <f t="shared" si="31"/>
        <v>0.12769591061965874</v>
      </c>
      <c r="K32" s="57">
        <f t="shared" si="31"/>
        <v>0.11306822458461697</v>
      </c>
      <c r="L32" s="57">
        <f t="shared" si="31"/>
        <v>9.4613540554001174E-2</v>
      </c>
      <c r="M32" s="57">
        <f t="shared" si="31"/>
        <v>0.13467522529581219</v>
      </c>
      <c r="N32" s="57">
        <f t="shared" si="31"/>
        <v>0.10733838070060922</v>
      </c>
      <c r="O32" s="57">
        <f t="shared" si="31"/>
        <v>9.3985086576226701E-2</v>
      </c>
      <c r="P32" s="57">
        <f t="shared" si="31"/>
        <v>8.999748799138782E-2</v>
      </c>
      <c r="Q32" s="57">
        <f t="shared" si="31"/>
        <v>0.12122954284423729</v>
      </c>
      <c r="R32" s="57">
        <f t="shared" si="31"/>
        <v>8.2838487012435832E-2</v>
      </c>
      <c r="S32" s="57">
        <f t="shared" si="31"/>
        <v>8.1278663162595341E-2</v>
      </c>
      <c r="T32" s="57">
        <f t="shared" si="31"/>
        <v>6.7433121548013564E-2</v>
      </c>
      <c r="U32" s="57">
        <f t="shared" si="31"/>
        <v>9.6851063531240331E-2</v>
      </c>
      <c r="V32" s="57">
        <f t="shared" si="31"/>
        <v>7.4584906392648948E-2</v>
      </c>
      <c r="W32" s="57">
        <f t="shared" si="31"/>
        <v>7.4730168807461236E-2</v>
      </c>
      <c r="X32" s="57">
        <f t="shared" si="31"/>
        <v>6.6455047577755486E-2</v>
      </c>
      <c r="Y32" s="57">
        <f t="shared" si="31"/>
        <v>9.0231019878768318E-2</v>
      </c>
      <c r="Z32" s="57">
        <f t="shared" si="31"/>
        <v>8.0662150647401884E-2</v>
      </c>
      <c r="AA32" s="57">
        <f t="shared" si="31"/>
        <v>7.8476310598006041E-2</v>
      </c>
      <c r="AB32" s="57">
        <f t="shared" si="31"/>
        <v>6.9362472476012002E-2</v>
      </c>
      <c r="AC32" s="57">
        <f t="shared" si="31"/>
        <v>7.1003046359888244E-2</v>
      </c>
      <c r="AD32" s="57">
        <f t="shared" si="31"/>
        <v>5.9104450692924894E-2</v>
      </c>
      <c r="AE32" s="57">
        <f t="shared" si="31"/>
        <v>6.4695989782841481E-2</v>
      </c>
      <c r="AF32" s="57">
        <f t="shared" si="31"/>
        <v>5.1536965633302276E-2</v>
      </c>
      <c r="AG32" s="57">
        <f t="shared" si="31"/>
        <v>7.093420765840748E-2</v>
      </c>
      <c r="AH32" s="57">
        <f t="shared" si="31"/>
        <v>6.5141382758482427E-2</v>
      </c>
      <c r="AI32" s="57">
        <f t="shared" si="31"/>
        <v>6.321463346769958E-2</v>
      </c>
      <c r="AJ32" s="57">
        <f t="shared" si="31"/>
        <v>7.0622475880004004E-2</v>
      </c>
      <c r="AK32" s="57">
        <f t="shared" si="31"/>
        <v>0.10240626534152815</v>
      </c>
      <c r="AL32" s="57">
        <f t="shared" si="31"/>
        <v>6.8510968417802146E-2</v>
      </c>
      <c r="AM32" s="57">
        <f t="shared" si="31"/>
        <v>6.3409607180366867E-2</v>
      </c>
      <c r="AN32" s="57">
        <f t="shared" si="31"/>
        <v>4.8255944889800062E-2</v>
      </c>
      <c r="AO32" s="57">
        <f t="shared" si="31"/>
        <v>7.8041049796126374E-2</v>
      </c>
      <c r="AP32" s="57">
        <f t="shared" si="31"/>
        <v>7.9656497846763943E-2</v>
      </c>
      <c r="AQ32" s="57">
        <f t="shared" si="31"/>
        <v>0.12012230321637345</v>
      </c>
      <c r="AR32" s="57">
        <f t="shared" si="31"/>
        <v>0.19755577400193225</v>
      </c>
      <c r="AS32" s="57">
        <f t="shared" si="31"/>
        <v>7.8145439028645319E-2</v>
      </c>
      <c r="AT32" s="57">
        <f t="shared" si="31"/>
        <v>5.2569348342164056E-2</v>
      </c>
      <c r="AU32" s="57">
        <f t="shared" si="31"/>
        <v>5.2732752576044227E-2</v>
      </c>
      <c r="AV32" s="57">
        <f t="shared" si="31"/>
        <v>5.351678740811748E-2</v>
      </c>
      <c r="AW32" s="57">
        <f t="shared" si="31"/>
        <v>5.5105153383570228E-2</v>
      </c>
      <c r="AX32" s="57">
        <f t="shared" si="31"/>
        <v>3.9037926937389243E-2</v>
      </c>
      <c r="AY32" s="57">
        <f t="shared" si="31"/>
        <v>3.8100525947393278E-2</v>
      </c>
      <c r="AZ32" s="57">
        <f t="shared" si="31"/>
        <v>4.7460837140716319E-2</v>
      </c>
      <c r="BA32" s="57">
        <f t="shared" si="31"/>
        <v>5.2073372491243004E-2</v>
      </c>
      <c r="BB32" s="57">
        <f t="shared" si="31"/>
        <v>5.2367823695661432E-2</v>
      </c>
      <c r="BC32" s="57">
        <f t="shared" si="31"/>
        <v>5.0524893796388824E-2</v>
      </c>
      <c r="BD32" s="57">
        <f t="shared" si="31"/>
        <v>5.3629620785574206E-2</v>
      </c>
      <c r="BE32" s="57">
        <f t="shared" si="31"/>
        <v>4.4902264675508181E-2</v>
      </c>
      <c r="BF32" s="57">
        <f t="shared" si="31"/>
        <v>4.7265584476887189E-2</v>
      </c>
      <c r="BG32" s="57">
        <f t="shared" si="31"/>
        <v>4.351368233906823E-2</v>
      </c>
      <c r="BH32" s="57">
        <f t="shared" si="31"/>
        <v>5.7496961014304404E-2</v>
      </c>
      <c r="BI32" s="57">
        <f t="shared" si="31"/>
        <v>5.4881304840021468E-2</v>
      </c>
      <c r="BJ32" s="57">
        <f t="shared" si="31"/>
        <v>5.1716035943874403E-2</v>
      </c>
      <c r="BK32" s="57">
        <f t="shared" si="31"/>
        <v>3.9263217787513856E-2</v>
      </c>
      <c r="BL32" s="57">
        <f t="shared" si="31"/>
        <v>4.4656114153057098E-2</v>
      </c>
      <c r="BM32" s="57">
        <f t="shared" si="31"/>
        <v>6.0557808580445155E-2</v>
      </c>
      <c r="BN32" s="57">
        <f t="shared" si="31"/>
        <v>5.350437878146818E-2</v>
      </c>
      <c r="BO32" s="57">
        <f t="shared" si="31"/>
        <v>5.2182263812442078E-2</v>
      </c>
      <c r="BP32" s="57">
        <f t="shared" si="31"/>
        <v>4.4571927527961519E-2</v>
      </c>
      <c r="BQ32" s="57">
        <f t="shared" si="31"/>
        <v>7.5241806364384697E-2</v>
      </c>
      <c r="BR32" s="57">
        <f t="shared" ref="BR32:CK32" si="32">BR31/BR4</f>
        <v>5.7449903261744421E-2</v>
      </c>
      <c r="BS32" s="57">
        <f t="shared" si="32"/>
        <v>8.164011787760303E-2</v>
      </c>
      <c r="BT32" s="57">
        <f t="shared" si="32"/>
        <v>6.9541475611812537E-2</v>
      </c>
      <c r="BU32" s="57">
        <f t="shared" si="32"/>
        <v>0.12887717397997628</v>
      </c>
      <c r="BV32" s="57">
        <f t="shared" si="32"/>
        <v>9.6351685185176159E-2</v>
      </c>
      <c r="BW32" s="57">
        <f t="shared" si="32"/>
        <v>0.13842790507853006</v>
      </c>
      <c r="BX32" s="57">
        <f t="shared" si="32"/>
        <v>0.11817702382467467</v>
      </c>
      <c r="BY32" s="57">
        <f t="shared" si="32"/>
        <v>0.13502322645015483</v>
      </c>
      <c r="BZ32" s="57">
        <f t="shared" si="32"/>
        <v>1.0217068241354839</v>
      </c>
      <c r="CA32" s="57">
        <f t="shared" si="32"/>
        <v>8.8017176107381745E-2</v>
      </c>
      <c r="CB32" s="57">
        <f t="shared" si="32"/>
        <v>0.10291012937313726</v>
      </c>
      <c r="CC32" s="57">
        <f t="shared" si="32"/>
        <v>5.6549716384305553E-2</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2283159215.6274996</v>
      </c>
      <c r="C33" s="26">
        <f t="shared" ref="C33:BN33" si="33">C17+C20+C29</f>
        <v>564498449.40869713</v>
      </c>
      <c r="D33" s="26">
        <f t="shared" si="33"/>
        <v>352848747.51719022</v>
      </c>
      <c r="E33" s="26">
        <f t="shared" si="33"/>
        <v>3266855761.8451481</v>
      </c>
      <c r="F33" s="26">
        <f t="shared" si="33"/>
        <v>2011226556.5240729</v>
      </c>
      <c r="G33" s="26">
        <f t="shared" si="33"/>
        <v>854465861.43212783</v>
      </c>
      <c r="H33" s="26">
        <f t="shared" si="33"/>
        <v>346907536.22383833</v>
      </c>
      <c r="I33" s="26">
        <f t="shared" si="33"/>
        <v>4254701343.3202496</v>
      </c>
      <c r="J33" s="26">
        <f t="shared" si="33"/>
        <v>2406391383.6977053</v>
      </c>
      <c r="K33" s="26">
        <f t="shared" si="33"/>
        <v>1305531315.6277297</v>
      </c>
      <c r="L33" s="26">
        <f t="shared" si="33"/>
        <v>420365137.20307791</v>
      </c>
      <c r="M33" s="26">
        <f t="shared" si="33"/>
        <v>3692061374.2247071</v>
      </c>
      <c r="N33" s="26">
        <f t="shared" si="33"/>
        <v>1785325729.098958</v>
      </c>
      <c r="O33" s="26">
        <f t="shared" si="33"/>
        <v>865749479.00780296</v>
      </c>
      <c r="P33" s="26">
        <f t="shared" si="33"/>
        <v>334526431.67790502</v>
      </c>
      <c r="Q33" s="26">
        <f t="shared" si="33"/>
        <v>2712197529.5077229</v>
      </c>
      <c r="R33" s="26">
        <f t="shared" si="33"/>
        <v>1091508381.610275</v>
      </c>
      <c r="S33" s="26">
        <f t="shared" si="33"/>
        <v>667130139.83177555</v>
      </c>
      <c r="T33" s="26">
        <f t="shared" si="33"/>
        <v>261979061.71027109</v>
      </c>
      <c r="U33" s="26">
        <f t="shared" si="33"/>
        <v>1863499325.6533074</v>
      </c>
      <c r="V33" s="26">
        <f t="shared" si="33"/>
        <v>896129803.39316654</v>
      </c>
      <c r="W33" s="26">
        <f t="shared" si="33"/>
        <v>634025918.29362333</v>
      </c>
      <c r="X33" s="26">
        <f t="shared" si="33"/>
        <v>253631308.68167046</v>
      </c>
      <c r="Y33" s="26">
        <f t="shared" si="33"/>
        <v>1566381101.2450554</v>
      </c>
      <c r="Z33" s="26">
        <f t="shared" si="33"/>
        <v>942829606.38866949</v>
      </c>
      <c r="AA33" s="26">
        <f t="shared" si="33"/>
        <v>572841051.45133519</v>
      </c>
      <c r="AB33" s="26">
        <f t="shared" si="33"/>
        <v>240926633.26483041</v>
      </c>
      <c r="AC33" s="26">
        <f t="shared" si="33"/>
        <v>1004764842.2184781</v>
      </c>
      <c r="AD33" s="26">
        <f t="shared" si="33"/>
        <v>522303258.16809416</v>
      </c>
      <c r="AE33" s="26">
        <f t="shared" si="33"/>
        <v>348420513.51569754</v>
      </c>
      <c r="AF33" s="26">
        <f t="shared" si="33"/>
        <v>122583529.56708841</v>
      </c>
      <c r="AG33" s="26">
        <f t="shared" si="33"/>
        <v>832549136.63189149</v>
      </c>
      <c r="AH33" s="26">
        <f t="shared" si="33"/>
        <v>500972651.87179041</v>
      </c>
      <c r="AI33" s="26">
        <f t="shared" si="33"/>
        <v>279996219.36589658</v>
      </c>
      <c r="AJ33" s="26">
        <f t="shared" si="33"/>
        <v>148138909.80420119</v>
      </c>
      <c r="AK33" s="26">
        <f t="shared" si="33"/>
        <v>835007448.03119969</v>
      </c>
      <c r="AL33" s="26">
        <f t="shared" si="33"/>
        <v>346204568.42953497</v>
      </c>
      <c r="AM33" s="26">
        <f t="shared" si="33"/>
        <v>196024196.8785052</v>
      </c>
      <c r="AN33" s="26">
        <f t="shared" si="33"/>
        <v>55986219.306214705</v>
      </c>
      <c r="AO33" s="26">
        <f t="shared" si="33"/>
        <v>540712283.99386287</v>
      </c>
      <c r="AP33" s="26">
        <f t="shared" si="33"/>
        <v>380774854.26047921</v>
      </c>
      <c r="AQ33" s="26">
        <f t="shared" si="33"/>
        <v>404108597.98851216</v>
      </c>
      <c r="AR33" s="26">
        <f t="shared" si="33"/>
        <v>258324384.0089688</v>
      </c>
      <c r="AS33" s="26">
        <f t="shared" si="33"/>
        <v>448626810.21737778</v>
      </c>
      <c r="AT33" s="26">
        <f t="shared" si="33"/>
        <v>166351817.92703104</v>
      </c>
      <c r="AU33" s="26">
        <f t="shared" si="33"/>
        <v>99486654.283035606</v>
      </c>
      <c r="AV33" s="26">
        <f t="shared" si="33"/>
        <v>41835486.749269694</v>
      </c>
      <c r="AW33" s="26">
        <f t="shared" si="33"/>
        <v>175843121.36665151</v>
      </c>
      <c r="AX33" s="26">
        <f t="shared" si="33"/>
        <v>61285237.321232758</v>
      </c>
      <c r="AY33" s="26">
        <f t="shared" si="33"/>
        <v>37964766.895341299</v>
      </c>
      <c r="AZ33" s="26">
        <f t="shared" si="33"/>
        <v>24722106.649787735</v>
      </c>
      <c r="BA33" s="26">
        <f t="shared" si="33"/>
        <v>151465509.7562454</v>
      </c>
      <c r="BB33" s="26">
        <f t="shared" si="33"/>
        <v>97083509.497918129</v>
      </c>
      <c r="BC33" s="26">
        <f t="shared" si="33"/>
        <v>54008250.140620835</v>
      </c>
      <c r="BD33" s="26">
        <f t="shared" si="33"/>
        <v>26133853.000360012</v>
      </c>
      <c r="BE33" s="26">
        <f t="shared" si="33"/>
        <v>123015464.53500278</v>
      </c>
      <c r="BF33" s="26">
        <f t="shared" si="33"/>
        <v>79695477.923271015</v>
      </c>
      <c r="BG33" s="26">
        <f t="shared" si="33"/>
        <v>38810215.185162947</v>
      </c>
      <c r="BH33" s="26">
        <f t="shared" si="33"/>
        <v>20321934.881184168</v>
      </c>
      <c r="BI33" s="26">
        <f t="shared" si="33"/>
        <v>122057326.81283286</v>
      </c>
      <c r="BJ33" s="26">
        <f t="shared" si="33"/>
        <v>63597835.077669837</v>
      </c>
      <c r="BK33" s="26">
        <f t="shared" si="33"/>
        <v>26508949.175957367</v>
      </c>
      <c r="BL33" s="26">
        <f t="shared" si="33"/>
        <v>21474028.795032814</v>
      </c>
      <c r="BM33" s="26">
        <f t="shared" si="33"/>
        <v>93918033.420637831</v>
      </c>
      <c r="BN33" s="26">
        <f t="shared" si="33"/>
        <v>53552231.607605904</v>
      </c>
      <c r="BO33" s="26">
        <f t="shared" ref="BO33:CJ33" si="34">BO17+BO20+BO29</f>
        <v>28321730.792777464</v>
      </c>
      <c r="BP33" s="26">
        <f t="shared" si="34"/>
        <v>10112245.639373686</v>
      </c>
      <c r="BQ33" s="26">
        <f t="shared" si="34"/>
        <v>94206309.923991889</v>
      </c>
      <c r="BR33" s="26">
        <f t="shared" si="34"/>
        <v>29182957.566824768</v>
      </c>
      <c r="BS33" s="26">
        <f t="shared" si="34"/>
        <v>77921846.500596225</v>
      </c>
      <c r="BT33" s="26">
        <f t="shared" si="34"/>
        <v>21436149.692562066</v>
      </c>
      <c r="BU33" s="26">
        <f t="shared" si="34"/>
        <v>60669187.811272293</v>
      </c>
      <c r="BV33" s="26">
        <f t="shared" si="34"/>
        <v>20401144.95101209</v>
      </c>
      <c r="BW33" s="26">
        <f t="shared" si="34"/>
        <v>52964696.437824175</v>
      </c>
      <c r="BX33" s="26">
        <f t="shared" si="34"/>
        <v>23104125.654620718</v>
      </c>
      <c r="BY33" s="26">
        <f t="shared" si="34"/>
        <v>49696593.094382748</v>
      </c>
      <c r="BZ33" s="26">
        <f t="shared" si="34"/>
        <v>157263949.30000001</v>
      </c>
      <c r="CA33" s="26">
        <f t="shared" si="34"/>
        <v>26745352.297104899</v>
      </c>
      <c r="CB33" s="26">
        <f t="shared" si="34"/>
        <v>18600166.048787087</v>
      </c>
      <c r="CC33" s="26">
        <f t="shared" si="34"/>
        <v>4908141.915250645</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11.784511235025057</v>
      </c>
      <c r="C34" s="57">
        <f t="shared" ref="C34:D34" si="35">C33/C4*100</f>
        <v>4.6975018514472584</v>
      </c>
      <c r="D34" s="57">
        <f t="shared" si="35"/>
        <v>7.5732421489686077</v>
      </c>
      <c r="E34" s="57">
        <f>E33/E4</f>
        <v>9.8334260424981321E-2</v>
      </c>
      <c r="F34" s="57">
        <f t="shared" ref="F34:BQ34" si="36">F33/F4</f>
        <v>0.10588208290770883</v>
      </c>
      <c r="G34" s="57">
        <f t="shared" si="36"/>
        <v>9.1749132288066929E-2</v>
      </c>
      <c r="H34" s="57">
        <f t="shared" si="36"/>
        <v>8.9675906571970443E-2</v>
      </c>
      <c r="I34" s="57">
        <f t="shared" si="36"/>
        <v>0.11867918778380122</v>
      </c>
      <c r="J34" s="57">
        <f t="shared" si="36"/>
        <v>0.111102719366921</v>
      </c>
      <c r="K34" s="57">
        <f t="shared" si="36"/>
        <v>9.8396093331513321E-2</v>
      </c>
      <c r="L34" s="57">
        <f t="shared" si="36"/>
        <v>8.1993850615407232E-2</v>
      </c>
      <c r="M34" s="57">
        <f t="shared" si="36"/>
        <v>0.1182940724975645</v>
      </c>
      <c r="N34" s="57">
        <f t="shared" si="36"/>
        <v>9.4316624271221533E-2</v>
      </c>
      <c r="O34" s="57">
        <f t="shared" si="36"/>
        <v>8.3347405461685717E-2</v>
      </c>
      <c r="P34" s="57">
        <f t="shared" si="36"/>
        <v>7.8282486483835817E-2</v>
      </c>
      <c r="Q34" s="57">
        <f t="shared" si="36"/>
        <v>0.10541689815607272</v>
      </c>
      <c r="R34" s="57">
        <f t="shared" si="36"/>
        <v>7.2755088476792101E-2</v>
      </c>
      <c r="S34" s="57">
        <f t="shared" si="36"/>
        <v>7.1415917148830541E-2</v>
      </c>
      <c r="T34" s="57">
        <f t="shared" si="36"/>
        <v>5.9595477003929677E-2</v>
      </c>
      <c r="U34" s="57">
        <f t="shared" si="36"/>
        <v>8.4344797387698012E-2</v>
      </c>
      <c r="V34" s="57">
        <f t="shared" si="36"/>
        <v>6.5557329591006047E-2</v>
      </c>
      <c r="W34" s="57">
        <f t="shared" si="36"/>
        <v>6.5608701879413575E-2</v>
      </c>
      <c r="X34" s="57">
        <f t="shared" si="36"/>
        <v>5.8476196162249805E-2</v>
      </c>
      <c r="Y34" s="57">
        <f t="shared" si="36"/>
        <v>7.9256423962598951E-2</v>
      </c>
      <c r="Z34" s="57">
        <f t="shared" si="36"/>
        <v>7.0841467615557444E-2</v>
      </c>
      <c r="AA34" s="57">
        <f t="shared" si="36"/>
        <v>6.904824834181357E-2</v>
      </c>
      <c r="AB34" s="57">
        <f t="shared" si="36"/>
        <v>6.0696743484402023E-2</v>
      </c>
      <c r="AC34" s="57">
        <f t="shared" si="36"/>
        <v>5.934143850369434E-2</v>
      </c>
      <c r="AD34" s="57">
        <f t="shared" si="36"/>
        <v>4.7440977933590936E-2</v>
      </c>
      <c r="AE34" s="57">
        <f t="shared" si="36"/>
        <v>5.4391697792406872E-2</v>
      </c>
      <c r="AF34" s="57">
        <f t="shared" si="36"/>
        <v>4.1582494806318045E-2</v>
      </c>
      <c r="AG34" s="57">
        <f t="shared" si="36"/>
        <v>6.1768678205289994E-2</v>
      </c>
      <c r="AH34" s="57">
        <f t="shared" si="36"/>
        <v>5.4856105937243278E-2</v>
      </c>
      <c r="AI34" s="57">
        <f t="shared" si="36"/>
        <v>5.0674744017316059E-2</v>
      </c>
      <c r="AJ34" s="57">
        <f t="shared" si="36"/>
        <v>6.2842130438797855E-2</v>
      </c>
      <c r="AK34" s="57">
        <f t="shared" si="36"/>
        <v>9.5084605272180003E-2</v>
      </c>
      <c r="AL34" s="57">
        <f t="shared" si="36"/>
        <v>5.9354753200820426E-2</v>
      </c>
      <c r="AM34" s="57">
        <f t="shared" si="36"/>
        <v>5.5256960849878099E-2</v>
      </c>
      <c r="AN34" s="57">
        <f t="shared" si="36"/>
        <v>4.2343757324046251E-2</v>
      </c>
      <c r="AO34" s="57">
        <f t="shared" si="36"/>
        <v>6.486727077830802E-2</v>
      </c>
      <c r="AP34" s="57">
        <f t="shared" si="36"/>
        <v>6.4438984177474526E-2</v>
      </c>
      <c r="AQ34" s="57">
        <f t="shared" si="36"/>
        <v>9.4653242528385598E-2</v>
      </c>
      <c r="AR34" s="57">
        <f t="shared" si="36"/>
        <v>0.14942549122795817</v>
      </c>
      <c r="AS34" s="57">
        <f t="shared" si="36"/>
        <v>5.6926754583351578E-2</v>
      </c>
      <c r="AT34" s="57">
        <f t="shared" si="36"/>
        <v>3.4719389676577318E-2</v>
      </c>
      <c r="AU34" s="57">
        <f t="shared" si="36"/>
        <v>3.5220634834988482E-2</v>
      </c>
      <c r="AV34" s="57">
        <f t="shared" si="36"/>
        <v>3.431989629584041E-2</v>
      </c>
      <c r="AW34" s="57">
        <f t="shared" si="36"/>
        <v>3.5491549577948832E-2</v>
      </c>
      <c r="AX34" s="57">
        <f t="shared" si="36"/>
        <v>1.9081827466342113E-2</v>
      </c>
      <c r="AY34" s="57">
        <f t="shared" si="36"/>
        <v>1.8617365095953929E-2</v>
      </c>
      <c r="AZ34" s="57">
        <f t="shared" si="36"/>
        <v>2.7852674609052795E-2</v>
      </c>
      <c r="BA34" s="57">
        <f t="shared" si="36"/>
        <v>3.3096829907094803E-2</v>
      </c>
      <c r="BB34" s="57">
        <f t="shared" si="36"/>
        <v>3.2974909599373867E-2</v>
      </c>
      <c r="BC34" s="57">
        <f t="shared" si="36"/>
        <v>3.1781937665861806E-2</v>
      </c>
      <c r="BD34" s="57">
        <f t="shared" si="36"/>
        <v>3.5344689726770226E-2</v>
      </c>
      <c r="BE34" s="57">
        <f t="shared" si="36"/>
        <v>3.1150342181263946E-2</v>
      </c>
      <c r="BF34" s="57">
        <f t="shared" si="36"/>
        <v>2.8852358533280446E-2</v>
      </c>
      <c r="BG34" s="57">
        <f t="shared" si="36"/>
        <v>2.6104065371510221E-2</v>
      </c>
      <c r="BH34" s="57">
        <f t="shared" si="36"/>
        <v>3.5474717893736546E-2</v>
      </c>
      <c r="BI34" s="57">
        <f t="shared" si="36"/>
        <v>3.7513973342133668E-2</v>
      </c>
      <c r="BJ34" s="57">
        <f t="shared" si="36"/>
        <v>3.2674519313907274E-2</v>
      </c>
      <c r="BK34" s="57">
        <f t="shared" si="36"/>
        <v>2.2054335427419827E-2</v>
      </c>
      <c r="BL34" s="57">
        <f t="shared" si="36"/>
        <v>2.8724117879474886E-2</v>
      </c>
      <c r="BM34" s="57">
        <f t="shared" si="36"/>
        <v>3.4978139852133189E-2</v>
      </c>
      <c r="BN34" s="57">
        <f t="shared" si="36"/>
        <v>2.9044581731085199E-2</v>
      </c>
      <c r="BO34" s="57">
        <f t="shared" si="36"/>
        <v>2.8353703114001351E-2</v>
      </c>
      <c r="BP34" s="57">
        <f t="shared" si="36"/>
        <v>2.7732436433050178E-2</v>
      </c>
      <c r="BQ34" s="57">
        <f t="shared" si="36"/>
        <v>5.9642542511339082E-2</v>
      </c>
      <c r="BR34" s="57">
        <f t="shared" ref="BR34:CK34" si="37">BR33/BR4</f>
        <v>4.1581200727092746E-2</v>
      </c>
      <c r="BS34" s="57">
        <f t="shared" si="37"/>
        <v>6.499074520590134E-2</v>
      </c>
      <c r="BT34" s="57">
        <f t="shared" si="37"/>
        <v>4.562768161840474E-2</v>
      </c>
      <c r="BU34" s="57">
        <f t="shared" si="37"/>
        <v>8.6656731959492639E-2</v>
      </c>
      <c r="BV34" s="57">
        <f t="shared" si="37"/>
        <v>6.3934140339504161E-2</v>
      </c>
      <c r="BW34" s="57">
        <f t="shared" si="37"/>
        <v>9.3673820789956272E-2</v>
      </c>
      <c r="BX34" s="57">
        <f t="shared" si="37"/>
        <v>0.10198486182085359</v>
      </c>
      <c r="BY34" s="57">
        <f t="shared" si="37"/>
        <v>0.11380766623441392</v>
      </c>
      <c r="BZ34" s="57">
        <f t="shared" si="37"/>
        <v>1.0010892331028372</v>
      </c>
      <c r="CA34" s="57">
        <f t="shared" si="37"/>
        <v>6.0913781962833161E-2</v>
      </c>
      <c r="CB34" s="57">
        <f t="shared" si="37"/>
        <v>6.7825019592730532E-2</v>
      </c>
      <c r="CC34" s="57">
        <f t="shared" si="37"/>
        <v>3.5662069225854118E-2</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69806390.579999998</v>
      </c>
      <c r="C35" s="26">
        <f t="shared" ref="C35:BN35" si="38">C23+C68</f>
        <v>-25863792.5</v>
      </c>
      <c r="D35" s="26">
        <f t="shared" si="38"/>
        <v>85155243.530000001</v>
      </c>
      <c r="E35" s="26">
        <f t="shared" si="38"/>
        <v>529126432.25999999</v>
      </c>
      <c r="F35" s="26">
        <f t="shared" si="38"/>
        <v>200942320.94</v>
      </c>
      <c r="G35" s="26">
        <f t="shared" si="38"/>
        <v>55235442.969999999</v>
      </c>
      <c r="H35" s="26">
        <f t="shared" si="38"/>
        <v>20973484.52</v>
      </c>
      <c r="I35" s="26">
        <f t="shared" si="38"/>
        <v>323735920.82999998</v>
      </c>
      <c r="J35" s="26">
        <f t="shared" si="38"/>
        <v>77269457.620000005</v>
      </c>
      <c r="K35" s="26">
        <f t="shared" si="38"/>
        <v>42635821.990000002</v>
      </c>
      <c r="L35" s="26">
        <f t="shared" si="38"/>
        <v>29192455.510000002</v>
      </c>
      <c r="M35" s="26">
        <f t="shared" si="38"/>
        <v>-44277475.620000005</v>
      </c>
      <c r="N35" s="26">
        <f t="shared" si="38"/>
        <v>-139065514.49000001</v>
      </c>
      <c r="O35" s="26">
        <f t="shared" si="38"/>
        <v>-113026928.69</v>
      </c>
      <c r="P35" s="26">
        <f t="shared" si="38"/>
        <v>-57394052.049999997</v>
      </c>
      <c r="Q35" s="26">
        <f t="shared" si="38"/>
        <v>66110700.719999999</v>
      </c>
      <c r="R35" s="26">
        <f t="shared" si="38"/>
        <v>-38753388.340000004</v>
      </c>
      <c r="S35" s="26">
        <f t="shared" si="38"/>
        <v>-32352465.059999999</v>
      </c>
      <c r="T35" s="26">
        <f t="shared" si="38"/>
        <v>-24577747.16</v>
      </c>
      <c r="U35" s="26">
        <f t="shared" si="38"/>
        <v>84634948.030000001</v>
      </c>
      <c r="V35" s="26">
        <f t="shared" si="38"/>
        <v>-7747729.0899999999</v>
      </c>
      <c r="W35" s="26">
        <f t="shared" si="38"/>
        <v>2343493.39</v>
      </c>
      <c r="X35" s="26">
        <f t="shared" si="38"/>
        <v>-14003809.34</v>
      </c>
      <c r="Y35" s="26">
        <f t="shared" si="38"/>
        <v>13948674.899999999</v>
      </c>
      <c r="Z35" s="26">
        <f t="shared" si="38"/>
        <v>-36710928.140000001</v>
      </c>
      <c r="AA35" s="26">
        <f t="shared" si="38"/>
        <v>-22059877.379999999</v>
      </c>
      <c r="AB35" s="26">
        <f t="shared" si="38"/>
        <v>-12283499.449999999</v>
      </c>
      <c r="AC35" s="26">
        <f t="shared" si="38"/>
        <v>23408780.229999997</v>
      </c>
      <c r="AD35" s="26">
        <f t="shared" si="38"/>
        <v>-6914317.9299999997</v>
      </c>
      <c r="AE35" s="26">
        <f t="shared" si="38"/>
        <v>-3702806.24</v>
      </c>
      <c r="AF35" s="26">
        <f t="shared" si="38"/>
        <v>-1488613.97</v>
      </c>
      <c r="AG35" s="26">
        <f t="shared" si="38"/>
        <v>29316554.640000001</v>
      </c>
      <c r="AH35" s="26">
        <f t="shared" si="38"/>
        <v>12076965.560000001</v>
      </c>
      <c r="AI35" s="26">
        <f t="shared" si="38"/>
        <v>12637706.5</v>
      </c>
      <c r="AJ35" s="26">
        <f t="shared" si="38"/>
        <v>7393204.96</v>
      </c>
      <c r="AK35" s="26">
        <f t="shared" si="38"/>
        <v>8520977.5999999996</v>
      </c>
      <c r="AL35" s="26">
        <f t="shared" si="38"/>
        <v>5559922.4299999997</v>
      </c>
      <c r="AM35" s="26">
        <f t="shared" si="38"/>
        <v>2042696.19</v>
      </c>
      <c r="AN35" s="26">
        <f t="shared" si="38"/>
        <v>1968209.11</v>
      </c>
      <c r="AO35" s="26">
        <f t="shared" si="38"/>
        <v>20699988.66</v>
      </c>
      <c r="AP35" s="26">
        <f t="shared" si="38"/>
        <v>7732407.2400000002</v>
      </c>
      <c r="AQ35" s="26">
        <f t="shared" si="38"/>
        <v>9580579.2300000004</v>
      </c>
      <c r="AR35" s="26">
        <f t="shared" si="38"/>
        <v>6665365.3600000003</v>
      </c>
      <c r="AS35" s="26">
        <f t="shared" si="38"/>
        <v>18018634.039999999</v>
      </c>
      <c r="AT35" s="26">
        <f t="shared" si="38"/>
        <v>13458435.01</v>
      </c>
      <c r="AU35" s="26">
        <f t="shared" si="38"/>
        <v>5287737.1900000004</v>
      </c>
      <c r="AV35" s="26">
        <f t="shared" si="38"/>
        <v>-415098.69</v>
      </c>
      <c r="AW35" s="26">
        <f t="shared" si="38"/>
        <v>-9931564.0700000003</v>
      </c>
      <c r="AX35" s="26">
        <f t="shared" si="38"/>
        <v>-5667542.8799999999</v>
      </c>
      <c r="AY35" s="26">
        <f t="shared" si="38"/>
        <v>-2363077.2599999998</v>
      </c>
      <c r="AZ35" s="26">
        <f t="shared" si="38"/>
        <v>405174.03</v>
      </c>
      <c r="BA35" s="26">
        <f t="shared" si="38"/>
        <v>-4529097.2</v>
      </c>
      <c r="BB35" s="26">
        <f t="shared" si="38"/>
        <v>-2894652.98</v>
      </c>
      <c r="BC35" s="26">
        <f t="shared" si="38"/>
        <v>-2827362.37</v>
      </c>
      <c r="BD35" s="26">
        <f t="shared" si="38"/>
        <v>-2356296.71</v>
      </c>
      <c r="BE35" s="26">
        <f t="shared" si="38"/>
        <v>4840514.22</v>
      </c>
      <c r="BF35" s="26">
        <f t="shared" si="38"/>
        <v>6719518.21</v>
      </c>
      <c r="BG35" s="26">
        <f t="shared" si="38"/>
        <v>5793815.1500000004</v>
      </c>
      <c r="BH35" s="26">
        <f t="shared" si="38"/>
        <v>3195042.18</v>
      </c>
      <c r="BI35" s="26">
        <f t="shared" si="38"/>
        <v>803011</v>
      </c>
      <c r="BJ35" s="26">
        <f t="shared" si="38"/>
        <v>754238.33</v>
      </c>
      <c r="BK35" s="26">
        <f t="shared" si="38"/>
        <v>238245.5</v>
      </c>
      <c r="BL35" s="26">
        <f t="shared" si="38"/>
        <v>-317100.01</v>
      </c>
      <c r="BM35" s="26">
        <f t="shared" si="38"/>
        <v>2797377.23</v>
      </c>
      <c r="BN35" s="26">
        <f t="shared" si="38"/>
        <v>2741784.21</v>
      </c>
      <c r="BO35" s="26">
        <f t="shared" ref="BO35:CJ35" si="39">BO23+BO68</f>
        <v>1820910.37</v>
      </c>
      <c r="BP35" s="26">
        <f t="shared" si="39"/>
        <v>904279.25</v>
      </c>
      <c r="BQ35" s="26">
        <f t="shared" si="39"/>
        <v>3423293.58</v>
      </c>
      <c r="BR35" s="26">
        <f t="shared" si="39"/>
        <v>2914536.64</v>
      </c>
      <c r="BS35" s="26">
        <f t="shared" si="39"/>
        <v>7776249.6799999997</v>
      </c>
      <c r="BT35" s="26">
        <f t="shared" si="39"/>
        <v>5271476.18</v>
      </c>
      <c r="BU35" s="26">
        <f t="shared" si="39"/>
        <v>8669958.0099999998</v>
      </c>
      <c r="BV35" s="26">
        <f t="shared" si="39"/>
        <v>5218594.43</v>
      </c>
      <c r="BW35" s="26">
        <f t="shared" si="39"/>
        <v>9013459.8699999992</v>
      </c>
      <c r="BX35" s="26">
        <f t="shared" si="39"/>
        <v>3695595.07</v>
      </c>
      <c r="BY35" s="26">
        <f t="shared" si="39"/>
        <v>9372433.1799999997</v>
      </c>
      <c r="BZ35" s="26">
        <f t="shared" si="39"/>
        <v>0</v>
      </c>
      <c r="CA35" s="26">
        <f t="shared" si="39"/>
        <v>9039543</v>
      </c>
      <c r="CB35" s="26">
        <f t="shared" si="39"/>
        <v>6749006</v>
      </c>
      <c r="CC35" s="26">
        <f t="shared" si="39"/>
        <v>4385344</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5999639.0765859243</v>
      </c>
      <c r="C36" s="26">
        <f t="shared" ref="C36:BN36" si="40">C35*C41</f>
        <v>-4314475.3883241061</v>
      </c>
      <c r="D36" s="26">
        <f t="shared" si="40"/>
        <v>17198421.948833138</v>
      </c>
      <c r="E36" s="26">
        <f t="shared" si="40"/>
        <v>75588816.236439288</v>
      </c>
      <c r="F36" s="26">
        <f t="shared" si="40"/>
        <v>26570434.365945239</v>
      </c>
      <c r="G36" s="26">
        <f t="shared" si="40"/>
        <v>6977407.9445990575</v>
      </c>
      <c r="H36" s="26">
        <f t="shared" si="40"/>
        <v>4199018.5291402573</v>
      </c>
      <c r="I36" s="26">
        <f t="shared" si="40"/>
        <v>47297619.901783213</v>
      </c>
      <c r="J36" s="26">
        <f t="shared" si="40"/>
        <v>10082243.863857022</v>
      </c>
      <c r="K36" s="26">
        <f t="shared" si="40"/>
        <v>5555803.9032308729</v>
      </c>
      <c r="L36" s="26">
        <f t="shared" si="40"/>
        <v>3893731.6469214279</v>
      </c>
      <c r="M36" s="26">
        <f t="shared" si="40"/>
        <v>-5385668.3147086678</v>
      </c>
      <c r="N36" s="26">
        <f t="shared" si="40"/>
        <v>-16869239.435898937</v>
      </c>
      <c r="O36" s="26">
        <f t="shared" si="40"/>
        <v>-12792927.777802505</v>
      </c>
      <c r="P36" s="26">
        <f t="shared" si="40"/>
        <v>-7471001.9279050222</v>
      </c>
      <c r="Q36" s="26">
        <f t="shared" si="40"/>
        <v>8623187.0222765468</v>
      </c>
      <c r="R36" s="26">
        <f t="shared" si="40"/>
        <v>-4717201.790275651</v>
      </c>
      <c r="S36" s="26">
        <f t="shared" si="40"/>
        <v>-3925804.5517759365</v>
      </c>
      <c r="T36" s="26">
        <f t="shared" si="40"/>
        <v>-2856632.4902709723</v>
      </c>
      <c r="U36" s="26">
        <f t="shared" si="40"/>
        <v>10928813.236693406</v>
      </c>
      <c r="V36" s="26">
        <f t="shared" si="40"/>
        <v>-937766.403165875</v>
      </c>
      <c r="W36" s="26">
        <f t="shared" si="40"/>
        <v>286043.74637581484</v>
      </c>
      <c r="X36" s="26">
        <f t="shared" si="40"/>
        <v>-1681351.8016700868</v>
      </c>
      <c r="Y36" s="26">
        <f t="shared" si="40"/>
        <v>1698112.7977776998</v>
      </c>
      <c r="Z36" s="26">
        <f t="shared" si="40"/>
        <v>-4476446.8143050447</v>
      </c>
      <c r="AA36" s="26">
        <f t="shared" si="40"/>
        <v>-2656965.7224326134</v>
      </c>
      <c r="AB36" s="26">
        <f t="shared" si="40"/>
        <v>-1581854.6393957275</v>
      </c>
      <c r="AC36" s="26">
        <f t="shared" si="40"/>
        <v>3394605.4789725165</v>
      </c>
      <c r="AD36" s="26">
        <f t="shared" si="40"/>
        <v>-1069635.8225584601</v>
      </c>
      <c r="AE36" s="26">
        <f t="shared" si="40"/>
        <v>-511918.74533217715</v>
      </c>
      <c r="AF36" s="26">
        <f t="shared" si="40"/>
        <v>-222949.46465459006</v>
      </c>
      <c r="AG36" s="26">
        <f t="shared" si="40"/>
        <v>3690692.6115200999</v>
      </c>
      <c r="AH36" s="26">
        <f t="shared" si="40"/>
        <v>1766441.7237790348</v>
      </c>
      <c r="AI36" s="26">
        <f t="shared" si="40"/>
        <v>2041205.6891341766</v>
      </c>
      <c r="AJ36" s="26">
        <f t="shared" si="40"/>
        <v>814495.4957990275</v>
      </c>
      <c r="AK36" s="26">
        <f t="shared" si="40"/>
        <v>825574.86809768341</v>
      </c>
      <c r="AL36" s="26">
        <f t="shared" si="40"/>
        <v>753006.04355074116</v>
      </c>
      <c r="AM36" s="26">
        <f t="shared" si="40"/>
        <v>268941.59055305546</v>
      </c>
      <c r="AN36" s="26">
        <f t="shared" si="40"/>
        <v>236184.83284322274</v>
      </c>
      <c r="AO36" s="26">
        <f t="shared" si="40"/>
        <v>3474842.6281581856</v>
      </c>
      <c r="AP36" s="26">
        <f t="shared" si="40"/>
        <v>1469470.7991981786</v>
      </c>
      <c r="AQ36" s="26">
        <f t="shared" si="40"/>
        <v>2024253.1371679022</v>
      </c>
      <c r="AR36" s="26">
        <f t="shared" si="40"/>
        <v>1619901.4877021662</v>
      </c>
      <c r="AS36" s="26">
        <f t="shared" si="40"/>
        <v>4882018.8865661379</v>
      </c>
      <c r="AT36" s="26">
        <f t="shared" si="40"/>
        <v>4565332.5559723768</v>
      </c>
      <c r="AU36" s="26">
        <f t="shared" si="40"/>
        <v>1757744.1889516986</v>
      </c>
      <c r="AV36" s="26">
        <f t="shared" si="40"/>
        <v>-148732.94633133741</v>
      </c>
      <c r="AW36" s="26">
        <f t="shared" si="40"/>
        <v>-3534946.3866514359</v>
      </c>
      <c r="AX36" s="26">
        <f t="shared" si="40"/>
        <v>-2897235.0312326527</v>
      </c>
      <c r="AY36" s="26">
        <f t="shared" si="40"/>
        <v>-1208387.8953410743</v>
      </c>
      <c r="AZ36" s="26">
        <f t="shared" si="40"/>
        <v>167395.24021234331</v>
      </c>
      <c r="BA36" s="26">
        <f t="shared" si="40"/>
        <v>-1650490.4862461083</v>
      </c>
      <c r="BB36" s="26">
        <f t="shared" si="40"/>
        <v>-1071951.297917953</v>
      </c>
      <c r="BC36" s="26">
        <f t="shared" si="40"/>
        <v>-1048851.8606208432</v>
      </c>
      <c r="BD36" s="26">
        <f t="shared" si="40"/>
        <v>-803375.49036009517</v>
      </c>
      <c r="BE36" s="26">
        <f t="shared" si="40"/>
        <v>1482472.5849971555</v>
      </c>
      <c r="BF36" s="26">
        <f t="shared" si="40"/>
        <v>2617718.7567290687</v>
      </c>
      <c r="BG36" s="26">
        <f t="shared" si="40"/>
        <v>2318077.8348370548</v>
      </c>
      <c r="BH36" s="26">
        <f t="shared" si="40"/>
        <v>1223751.5588158492</v>
      </c>
      <c r="BI36" s="26">
        <f t="shared" si="40"/>
        <v>254114.91716720865</v>
      </c>
      <c r="BJ36" s="26">
        <f t="shared" si="40"/>
        <v>277705.77233026986</v>
      </c>
      <c r="BK36" s="26">
        <f t="shared" si="40"/>
        <v>104421.87404277419</v>
      </c>
      <c r="BL36" s="26">
        <f t="shared" si="40"/>
        <v>-113132.01503286259</v>
      </c>
      <c r="BM36" s="26">
        <f t="shared" si="40"/>
        <v>1181614.4693622426</v>
      </c>
      <c r="BN36" s="26">
        <f t="shared" si="40"/>
        <v>1253420.502393961</v>
      </c>
      <c r="BO36" s="26">
        <f t="shared" ref="BO36:CJ36" si="41">BO35*BO41</f>
        <v>831502.31722257228</v>
      </c>
      <c r="BP36" s="26">
        <f t="shared" si="41"/>
        <v>341641.10062629229</v>
      </c>
      <c r="BQ36" s="26">
        <f t="shared" si="41"/>
        <v>709723.25600803411</v>
      </c>
      <c r="BR36" s="26">
        <f t="shared" si="41"/>
        <v>805047.7431752393</v>
      </c>
      <c r="BS36" s="26">
        <f t="shared" si="41"/>
        <v>1585858.5494036796</v>
      </c>
      <c r="BT36" s="26">
        <f t="shared" si="41"/>
        <v>1812745.4774379723</v>
      </c>
      <c r="BU36" s="26">
        <f t="shared" si="41"/>
        <v>2840297.0687276716</v>
      </c>
      <c r="BV36" s="26">
        <f t="shared" si="41"/>
        <v>1755797.1989879298</v>
      </c>
      <c r="BW36" s="26">
        <f t="shared" si="41"/>
        <v>2914073.8821758148</v>
      </c>
      <c r="BX36" s="26">
        <f t="shared" si="41"/>
        <v>506356.24537930137</v>
      </c>
      <c r="BY36" s="26">
        <f t="shared" si="41"/>
        <v>1472646.0456172128</v>
      </c>
      <c r="BZ36" s="26">
        <f t="shared" si="41"/>
        <v>0</v>
      </c>
      <c r="CA36" s="26">
        <f t="shared" si="41"/>
        <v>2783573.7028951058</v>
      </c>
      <c r="CB36" s="26">
        <f t="shared" si="41"/>
        <v>2300935.9512129151</v>
      </c>
      <c r="CC36" s="26">
        <f t="shared" si="41"/>
        <v>1619805.0847493545</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63806751.503414072</v>
      </c>
      <c r="C37" s="26">
        <f t="shared" ref="C37:BN37" si="42">C35-C36</f>
        <v>-21549317.111675896</v>
      </c>
      <c r="D37" s="26">
        <f t="shared" si="42"/>
        <v>67956821.581166863</v>
      </c>
      <c r="E37" s="26">
        <f t="shared" si="42"/>
        <v>453537616.0235607</v>
      </c>
      <c r="F37" s="26">
        <f t="shared" si="42"/>
        <v>174371886.57405475</v>
      </c>
      <c r="G37" s="26">
        <f t="shared" si="42"/>
        <v>48258035.025400944</v>
      </c>
      <c r="H37" s="26">
        <f t="shared" si="42"/>
        <v>16774465.990859743</v>
      </c>
      <c r="I37" s="26">
        <f t="shared" si="42"/>
        <v>276438300.92821676</v>
      </c>
      <c r="J37" s="26">
        <f t="shared" si="42"/>
        <v>67187213.756142989</v>
      </c>
      <c r="K37" s="26">
        <f t="shared" si="42"/>
        <v>37080018.086769126</v>
      </c>
      <c r="L37" s="26">
        <f t="shared" si="42"/>
        <v>25298723.863078572</v>
      </c>
      <c r="M37" s="26">
        <f t="shared" si="42"/>
        <v>-38891807.30529134</v>
      </c>
      <c r="N37" s="26">
        <f t="shared" si="42"/>
        <v>-122196275.05410108</v>
      </c>
      <c r="O37" s="26">
        <f t="shared" si="42"/>
        <v>-100234000.9121975</v>
      </c>
      <c r="P37" s="26">
        <f t="shared" si="42"/>
        <v>-49923050.122094974</v>
      </c>
      <c r="Q37" s="26">
        <f t="shared" si="42"/>
        <v>57487513.697723448</v>
      </c>
      <c r="R37" s="26">
        <f t="shared" si="42"/>
        <v>-34036186.549724355</v>
      </c>
      <c r="S37" s="26">
        <f t="shared" si="42"/>
        <v>-28426660.508224063</v>
      </c>
      <c r="T37" s="26">
        <f t="shared" si="42"/>
        <v>-21721114.669729028</v>
      </c>
      <c r="U37" s="26">
        <f t="shared" si="42"/>
        <v>73706134.793306589</v>
      </c>
      <c r="V37" s="26">
        <f t="shared" si="42"/>
        <v>-6809962.6868341248</v>
      </c>
      <c r="W37" s="26">
        <f t="shared" si="42"/>
        <v>2057449.6436241854</v>
      </c>
      <c r="X37" s="26">
        <f t="shared" si="42"/>
        <v>-12322457.538329912</v>
      </c>
      <c r="Y37" s="26">
        <f t="shared" si="42"/>
        <v>12250562.102222299</v>
      </c>
      <c r="Z37" s="26">
        <f t="shared" si="42"/>
        <v>-32234481.325694956</v>
      </c>
      <c r="AA37" s="26">
        <f t="shared" si="42"/>
        <v>-19402911.657567386</v>
      </c>
      <c r="AB37" s="26">
        <f t="shared" si="42"/>
        <v>-10701644.810604272</v>
      </c>
      <c r="AC37" s="26">
        <f t="shared" si="42"/>
        <v>20014174.75102748</v>
      </c>
      <c r="AD37" s="26">
        <f t="shared" si="42"/>
        <v>-5844682.1074415399</v>
      </c>
      <c r="AE37" s="26">
        <f t="shared" si="42"/>
        <v>-3190887.494667823</v>
      </c>
      <c r="AF37" s="26">
        <f t="shared" si="42"/>
        <v>-1265664.50534541</v>
      </c>
      <c r="AG37" s="26">
        <f t="shared" si="42"/>
        <v>25625862.0284799</v>
      </c>
      <c r="AH37" s="26">
        <f t="shared" si="42"/>
        <v>10310523.836220965</v>
      </c>
      <c r="AI37" s="26">
        <f t="shared" si="42"/>
        <v>10596500.810865823</v>
      </c>
      <c r="AJ37" s="26">
        <f t="shared" si="42"/>
        <v>6578709.4642009726</v>
      </c>
      <c r="AK37" s="26">
        <f t="shared" si="42"/>
        <v>7695402.7319023162</v>
      </c>
      <c r="AL37" s="26">
        <f t="shared" si="42"/>
        <v>4806916.3864492588</v>
      </c>
      <c r="AM37" s="26">
        <f t="shared" si="42"/>
        <v>1773754.5994469444</v>
      </c>
      <c r="AN37" s="26">
        <f t="shared" si="42"/>
        <v>1732024.2771567774</v>
      </c>
      <c r="AO37" s="26">
        <f t="shared" si="42"/>
        <v>17225146.031841815</v>
      </c>
      <c r="AP37" s="26">
        <f t="shared" si="42"/>
        <v>6262936.4408018216</v>
      </c>
      <c r="AQ37" s="26">
        <f t="shared" si="42"/>
        <v>7556326.0928320978</v>
      </c>
      <c r="AR37" s="26">
        <f t="shared" si="42"/>
        <v>5045463.8722978346</v>
      </c>
      <c r="AS37" s="26">
        <f t="shared" si="42"/>
        <v>13136615.153433861</v>
      </c>
      <c r="AT37" s="26">
        <f t="shared" si="42"/>
        <v>8893102.4540276229</v>
      </c>
      <c r="AU37" s="26">
        <f t="shared" si="42"/>
        <v>3529993.0010483018</v>
      </c>
      <c r="AV37" s="26">
        <f t="shared" si="42"/>
        <v>-266365.74366866262</v>
      </c>
      <c r="AW37" s="26">
        <f t="shared" si="42"/>
        <v>-6396617.6833485644</v>
      </c>
      <c r="AX37" s="26">
        <f t="shared" si="42"/>
        <v>-2770307.8487673472</v>
      </c>
      <c r="AY37" s="26">
        <f t="shared" si="42"/>
        <v>-1154689.3646589254</v>
      </c>
      <c r="AZ37" s="26">
        <f t="shared" si="42"/>
        <v>237778.78978765671</v>
      </c>
      <c r="BA37" s="26">
        <f t="shared" si="42"/>
        <v>-2878606.7137538921</v>
      </c>
      <c r="BB37" s="26">
        <f t="shared" si="42"/>
        <v>-1822701.682082047</v>
      </c>
      <c r="BC37" s="26">
        <f t="shared" si="42"/>
        <v>-1778510.5093791569</v>
      </c>
      <c r="BD37" s="26">
        <f t="shared" si="42"/>
        <v>-1552921.2196399048</v>
      </c>
      <c r="BE37" s="26">
        <f t="shared" si="42"/>
        <v>3358041.635002844</v>
      </c>
      <c r="BF37" s="26">
        <f t="shared" si="42"/>
        <v>4101799.4532709313</v>
      </c>
      <c r="BG37" s="26">
        <f t="shared" si="42"/>
        <v>3475737.3151629455</v>
      </c>
      <c r="BH37" s="26">
        <f t="shared" si="42"/>
        <v>1971290.6211841509</v>
      </c>
      <c r="BI37" s="26">
        <f t="shared" si="42"/>
        <v>548896.08283279138</v>
      </c>
      <c r="BJ37" s="26">
        <f t="shared" si="42"/>
        <v>476532.5576697301</v>
      </c>
      <c r="BK37" s="26">
        <f t="shared" si="42"/>
        <v>133823.6259572258</v>
      </c>
      <c r="BL37" s="26">
        <f t="shared" si="42"/>
        <v>-203967.99496713741</v>
      </c>
      <c r="BM37" s="26">
        <f t="shared" si="42"/>
        <v>1615762.7606377574</v>
      </c>
      <c r="BN37" s="26">
        <f t="shared" si="42"/>
        <v>1488363.707606039</v>
      </c>
      <c r="BO37" s="26">
        <f t="shared" ref="BO37:CJ37" si="43">BO35-BO36</f>
        <v>989408.05277742783</v>
      </c>
      <c r="BP37" s="26">
        <f t="shared" si="43"/>
        <v>562638.14937370771</v>
      </c>
      <c r="BQ37" s="26">
        <f t="shared" si="43"/>
        <v>2713570.323991966</v>
      </c>
      <c r="BR37" s="26">
        <f t="shared" si="43"/>
        <v>2109488.8968247608</v>
      </c>
      <c r="BS37" s="26">
        <f t="shared" si="43"/>
        <v>6190391.1305963201</v>
      </c>
      <c r="BT37" s="26">
        <f t="shared" si="43"/>
        <v>3458730.7025620276</v>
      </c>
      <c r="BU37" s="26">
        <f t="shared" si="43"/>
        <v>5829660.9412723277</v>
      </c>
      <c r="BV37" s="26">
        <f t="shared" si="43"/>
        <v>3462797.2310120696</v>
      </c>
      <c r="BW37" s="26">
        <f t="shared" si="43"/>
        <v>6099385.9878241848</v>
      </c>
      <c r="BX37" s="26">
        <f t="shared" si="43"/>
        <v>3189238.8246206986</v>
      </c>
      <c r="BY37" s="26">
        <f t="shared" si="43"/>
        <v>7899787.1343827872</v>
      </c>
      <c r="BZ37" s="26">
        <f t="shared" si="43"/>
        <v>0</v>
      </c>
      <c r="CA37" s="26">
        <f t="shared" si="43"/>
        <v>6255969.2971048942</v>
      </c>
      <c r="CB37" s="26">
        <f t="shared" si="43"/>
        <v>4448070.0487870853</v>
      </c>
      <c r="CC37" s="26">
        <f t="shared" si="43"/>
        <v>2765538.9152506455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2425759634.3700023</v>
      </c>
      <c r="C38" s="28">
        <f t="shared" ref="C38:BN38" si="44">C31-C35</f>
        <v>700564411.72000122</v>
      </c>
      <c r="D38" s="28">
        <f t="shared" si="44"/>
        <v>356410856.20999968</v>
      </c>
      <c r="E38" s="28">
        <f t="shared" si="44"/>
        <v>3276724092.0300007</v>
      </c>
      <c r="F38" s="28">
        <f t="shared" si="44"/>
        <v>2110762557.8499999</v>
      </c>
      <c r="G38" s="28">
        <f t="shared" si="44"/>
        <v>918285556.63000011</v>
      </c>
      <c r="H38" s="28">
        <f t="shared" si="44"/>
        <v>409314281.08999991</v>
      </c>
      <c r="I38" s="28">
        <f t="shared" si="44"/>
        <v>4654029478.6400032</v>
      </c>
      <c r="J38" s="28">
        <f t="shared" si="44"/>
        <v>2688516481.7300005</v>
      </c>
      <c r="K38" s="28">
        <f t="shared" si="44"/>
        <v>1457567112.8999996</v>
      </c>
      <c r="L38" s="28">
        <f t="shared" si="44"/>
        <v>455871163.98999935</v>
      </c>
      <c r="M38" s="28">
        <f t="shared" si="44"/>
        <v>4247608943.3899984</v>
      </c>
      <c r="N38" s="28">
        <f t="shared" si="44"/>
        <v>2170880947.5100002</v>
      </c>
      <c r="O38" s="28">
        <f t="shared" si="44"/>
        <v>1089272551.3000004</v>
      </c>
      <c r="P38" s="28">
        <f t="shared" si="44"/>
        <v>441982481.34000003</v>
      </c>
      <c r="Q38" s="28">
        <f t="shared" si="44"/>
        <v>3052919287.4199996</v>
      </c>
      <c r="R38" s="28">
        <f t="shared" si="44"/>
        <v>1281537979.5899994</v>
      </c>
      <c r="S38" s="28">
        <f t="shared" si="44"/>
        <v>791615218.87999952</v>
      </c>
      <c r="T38" s="28">
        <f t="shared" si="44"/>
        <v>321010745.09000015</v>
      </c>
      <c r="U38" s="28">
        <f t="shared" si="44"/>
        <v>2055175652.8500009</v>
      </c>
      <c r="V38" s="28">
        <f t="shared" si="44"/>
        <v>1027279151.7200007</v>
      </c>
      <c r="W38" s="28">
        <f t="shared" si="44"/>
        <v>719829976.66999924</v>
      </c>
      <c r="X38" s="28">
        <f t="shared" si="44"/>
        <v>302242131.80000037</v>
      </c>
      <c r="Y38" s="28">
        <f t="shared" si="44"/>
        <v>1769328404.96</v>
      </c>
      <c r="Z38" s="28">
        <f t="shared" si="44"/>
        <v>1110244076.2399986</v>
      </c>
      <c r="AA38" s="28">
        <f t="shared" si="44"/>
        <v>673118424.9400003</v>
      </c>
      <c r="AB38" s="28">
        <f t="shared" si="44"/>
        <v>287607446.15999991</v>
      </c>
      <c r="AC38" s="28">
        <f t="shared" si="44"/>
        <v>1178809542.6099997</v>
      </c>
      <c r="AD38" s="28">
        <f t="shared" si="44"/>
        <v>657627024.83000028</v>
      </c>
      <c r="AE38" s="28">
        <f t="shared" si="44"/>
        <v>418130207.79999965</v>
      </c>
      <c r="AF38" s="28">
        <f t="shared" si="44"/>
        <v>153417524.91999993</v>
      </c>
      <c r="AG38" s="28">
        <f t="shared" si="44"/>
        <v>926770171.82999861</v>
      </c>
      <c r="AH38" s="28">
        <f t="shared" si="44"/>
        <v>582825838.9600004</v>
      </c>
      <c r="AI38" s="28">
        <f t="shared" si="44"/>
        <v>336645920.34000027</v>
      </c>
      <c r="AJ38" s="28">
        <f t="shared" si="44"/>
        <v>159086456.24000019</v>
      </c>
      <c r="AK38" s="28">
        <f t="shared" si="44"/>
        <v>890783321.35000002</v>
      </c>
      <c r="AL38" s="28">
        <f t="shared" si="44"/>
        <v>394051043.41000021</v>
      </c>
      <c r="AM38" s="28">
        <f t="shared" si="44"/>
        <v>222903032.46999982</v>
      </c>
      <c r="AN38" s="28">
        <f t="shared" si="44"/>
        <v>61835007.329999976</v>
      </c>
      <c r="AO38" s="28">
        <f t="shared" si="44"/>
        <v>629824594.44999957</v>
      </c>
      <c r="AP38" s="28">
        <f t="shared" si="44"/>
        <v>462963891.68000025</v>
      </c>
      <c r="AQ38" s="28">
        <f t="shared" si="44"/>
        <v>503264562.08000004</v>
      </c>
      <c r="AR38" s="28">
        <f t="shared" si="44"/>
        <v>334865876.77999979</v>
      </c>
      <c r="AS38" s="28">
        <f t="shared" si="44"/>
        <v>597827804.09000015</v>
      </c>
      <c r="AT38" s="28">
        <f t="shared" si="44"/>
        <v>238418304.34000003</v>
      </c>
      <c r="AU38" s="28">
        <f t="shared" si="44"/>
        <v>143664862.59999987</v>
      </c>
      <c r="AV38" s="28">
        <f t="shared" si="44"/>
        <v>65651334.579999991</v>
      </c>
      <c r="AW38" s="28">
        <f t="shared" si="44"/>
        <v>282950417.56000006</v>
      </c>
      <c r="AX38" s="28">
        <f t="shared" si="44"/>
        <v>131045922.9700001</v>
      </c>
      <c r="AY38" s="28">
        <f t="shared" si="44"/>
        <v>80058152.730000228</v>
      </c>
      <c r="AZ38" s="28">
        <f t="shared" si="44"/>
        <v>41721188.840000078</v>
      </c>
      <c r="BA38" s="28">
        <f t="shared" si="44"/>
        <v>242839531.49999928</v>
      </c>
      <c r="BB38" s="28">
        <f t="shared" si="44"/>
        <v>157074063.05000016</v>
      </c>
      <c r="BC38" s="28">
        <f t="shared" si="44"/>
        <v>88686227.589999989</v>
      </c>
      <c r="BD38" s="28">
        <f t="shared" si="44"/>
        <v>42010022.259999916</v>
      </c>
      <c r="BE38" s="28">
        <f t="shared" si="44"/>
        <v>172482512.13999996</v>
      </c>
      <c r="BF38" s="28">
        <f t="shared" si="44"/>
        <v>123836648.9700001</v>
      </c>
      <c r="BG38" s="28">
        <f t="shared" si="44"/>
        <v>58900145.390000001</v>
      </c>
      <c r="BH38" s="28">
        <f t="shared" si="44"/>
        <v>29742485.360000018</v>
      </c>
      <c r="BI38" s="28">
        <f t="shared" si="44"/>
        <v>177761528.13000005</v>
      </c>
      <c r="BJ38" s="28">
        <f t="shared" si="44"/>
        <v>99906092.530000106</v>
      </c>
      <c r="BK38" s="28">
        <f t="shared" si="44"/>
        <v>46955497.800000139</v>
      </c>
      <c r="BL38" s="28">
        <f t="shared" si="44"/>
        <v>33701821.699999951</v>
      </c>
      <c r="BM38" s="28">
        <f t="shared" si="44"/>
        <v>159803330.36000007</v>
      </c>
      <c r="BN38" s="28">
        <f t="shared" si="44"/>
        <v>95909279.559999868</v>
      </c>
      <c r="BO38" s="28">
        <f t="shared" ref="BO38:CJ38" si="45">BO31-BO35</f>
        <v>50302511.460000038</v>
      </c>
      <c r="BP38" s="28">
        <f t="shared" si="45"/>
        <v>15348251.639999978</v>
      </c>
      <c r="BQ38" s="28">
        <f t="shared" si="45"/>
        <v>115422292.65999992</v>
      </c>
      <c r="BR38" s="28">
        <f t="shared" si="45"/>
        <v>37405561.38000001</v>
      </c>
      <c r="BS38" s="28">
        <f t="shared" si="45"/>
        <v>90107667.689999908</v>
      </c>
      <c r="BT38" s="28">
        <f t="shared" si="45"/>
        <v>27399512.750000041</v>
      </c>
      <c r="BU38" s="28">
        <f t="shared" si="45"/>
        <v>81558155.789999962</v>
      </c>
      <c r="BV38" s="28">
        <f t="shared" si="45"/>
        <v>25526867.78000002</v>
      </c>
      <c r="BW38" s="28">
        <f t="shared" si="45"/>
        <v>69255921.149999991</v>
      </c>
      <c r="BX38" s="28">
        <f t="shared" si="45"/>
        <v>23076778.390000019</v>
      </c>
      <c r="BY38" s="28">
        <f t="shared" si="45"/>
        <v>49588395.779999964</v>
      </c>
      <c r="BZ38" s="28">
        <f t="shared" si="45"/>
        <v>160502825.20000002</v>
      </c>
      <c r="CA38" s="28">
        <f t="shared" si="45"/>
        <v>29606069</v>
      </c>
      <c r="CB38" s="28">
        <f t="shared" si="45"/>
        <v>21472814</v>
      </c>
      <c r="CC38" s="28">
        <f t="shared" si="45"/>
        <v>3397548</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12.520542355977105</v>
      </c>
      <c r="C39" s="57">
        <f t="shared" ref="C39:D39" si="46">C38/C4*100</f>
        <v>5.8297815070350181</v>
      </c>
      <c r="D39" s="57">
        <f t="shared" si="46"/>
        <v>7.6496961873672493</v>
      </c>
      <c r="E39" s="57">
        <f>E38/E4</f>
        <v>9.8631302908977883E-2</v>
      </c>
      <c r="F39" s="57">
        <f t="shared" ref="F39:BQ39" si="47">F38/F4</f>
        <v>0.11112220819866954</v>
      </c>
      <c r="G39" s="57">
        <f t="shared" si="47"/>
        <v>9.8601836324106185E-2</v>
      </c>
      <c r="H39" s="57">
        <f t="shared" si="47"/>
        <v>0.10580810560977888</v>
      </c>
      <c r="I39" s="57">
        <f t="shared" si="47"/>
        <v>0.12981791056004782</v>
      </c>
      <c r="J39" s="57">
        <f t="shared" si="47"/>
        <v>0.12412839166835772</v>
      </c>
      <c r="K39" s="57">
        <f t="shared" si="47"/>
        <v>0.10985482152827077</v>
      </c>
      <c r="L39" s="57">
        <f t="shared" si="47"/>
        <v>8.8919438868714382E-2</v>
      </c>
      <c r="M39" s="57">
        <f t="shared" si="47"/>
        <v>0.13609388072433992</v>
      </c>
      <c r="N39" s="57">
        <f t="shared" si="47"/>
        <v>0.11468504560632201</v>
      </c>
      <c r="O39" s="57">
        <f t="shared" si="47"/>
        <v>0.10486641134977538</v>
      </c>
      <c r="P39" s="57">
        <f t="shared" si="47"/>
        <v>0.10342826259810911</v>
      </c>
      <c r="Q39" s="57">
        <f t="shared" si="47"/>
        <v>0.11865997151729497</v>
      </c>
      <c r="R39" s="57">
        <f t="shared" si="47"/>
        <v>8.542161531905737E-2</v>
      </c>
      <c r="S39" s="57">
        <f t="shared" si="47"/>
        <v>8.4741976879568165E-2</v>
      </c>
      <c r="T39" s="57">
        <f t="shared" si="47"/>
        <v>7.3024112507825659E-2</v>
      </c>
      <c r="U39" s="57">
        <f t="shared" si="47"/>
        <v>9.3020357801842729E-2</v>
      </c>
      <c r="V39" s="57">
        <f t="shared" si="47"/>
        <v>7.5151699760765633E-2</v>
      </c>
      <c r="W39" s="57">
        <f t="shared" si="47"/>
        <v>7.4487665220865459E-2</v>
      </c>
      <c r="X39" s="57">
        <f t="shared" si="47"/>
        <v>6.9683708527545254E-2</v>
      </c>
      <c r="Y39" s="57">
        <f t="shared" si="47"/>
        <v>8.9525238833075074E-2</v>
      </c>
      <c r="Z39" s="57">
        <f t="shared" si="47"/>
        <v>8.342050274978037E-2</v>
      </c>
      <c r="AA39" s="57">
        <f t="shared" si="47"/>
        <v>8.1135330736079356E-2</v>
      </c>
      <c r="AB39" s="57">
        <f t="shared" si="47"/>
        <v>7.2457059426006457E-2</v>
      </c>
      <c r="AC39" s="57">
        <f t="shared" si="47"/>
        <v>6.9620523172275559E-2</v>
      </c>
      <c r="AD39" s="57">
        <f t="shared" si="47"/>
        <v>5.9732480480626113E-2</v>
      </c>
      <c r="AE39" s="57">
        <f t="shared" si="47"/>
        <v>6.5274032435834836E-2</v>
      </c>
      <c r="AF39" s="57">
        <f t="shared" si="47"/>
        <v>5.2041929741406701E-2</v>
      </c>
      <c r="AG39" s="57">
        <f t="shared" si="47"/>
        <v>6.8759147052409139E-2</v>
      </c>
      <c r="AH39" s="57">
        <f t="shared" si="47"/>
        <v>6.3818964659042257E-2</v>
      </c>
      <c r="AI39" s="57">
        <f t="shared" si="47"/>
        <v>6.092741493559295E-2</v>
      </c>
      <c r="AJ39" s="57">
        <f t="shared" si="47"/>
        <v>6.7486198239840672E-2</v>
      </c>
      <c r="AK39" s="57">
        <f t="shared" si="47"/>
        <v>0.10143595807835411</v>
      </c>
      <c r="AL39" s="57">
        <f t="shared" si="47"/>
        <v>6.7557752158567477E-2</v>
      </c>
      <c r="AM39" s="57">
        <f t="shared" si="47"/>
        <v>6.2833794677643121E-2</v>
      </c>
      <c r="AN39" s="57">
        <f t="shared" si="47"/>
        <v>4.6767339837528461E-2</v>
      </c>
      <c r="AO39" s="57">
        <f t="shared" si="47"/>
        <v>7.5557748030540148E-2</v>
      </c>
      <c r="AP39" s="57">
        <f t="shared" si="47"/>
        <v>7.8347933317838153E-2</v>
      </c>
      <c r="AQ39" s="57">
        <f t="shared" si="47"/>
        <v>0.11787827056293956</v>
      </c>
      <c r="AR39" s="57">
        <f t="shared" si="47"/>
        <v>0.19370025143114297</v>
      </c>
      <c r="AS39" s="57">
        <f t="shared" si="47"/>
        <v>7.5859034528153499E-2</v>
      </c>
      <c r="AT39" s="57">
        <f t="shared" si="47"/>
        <v>4.9760430138733033E-2</v>
      </c>
      <c r="AU39" s="57">
        <f t="shared" si="47"/>
        <v>5.086076821779513E-2</v>
      </c>
      <c r="AV39" s="57">
        <f t="shared" si="47"/>
        <v>5.3857315153825802E-2</v>
      </c>
      <c r="AW39" s="57">
        <f t="shared" si="47"/>
        <v>5.7109704916990793E-2</v>
      </c>
      <c r="AX39" s="57">
        <f t="shared" si="47"/>
        <v>4.0802578264876023E-2</v>
      </c>
      <c r="AY39" s="57">
        <f t="shared" si="47"/>
        <v>3.9259344391363894E-2</v>
      </c>
      <c r="AZ39" s="57">
        <f t="shared" si="47"/>
        <v>4.7004355798834982E-2</v>
      </c>
      <c r="BA39" s="57">
        <f t="shared" si="47"/>
        <v>5.3063028551572064E-2</v>
      </c>
      <c r="BB39" s="57">
        <f t="shared" si="47"/>
        <v>5.3351007357136965E-2</v>
      </c>
      <c r="BC39" s="57">
        <f t="shared" si="47"/>
        <v>5.2188696166733689E-2</v>
      </c>
      <c r="BD39" s="57">
        <f t="shared" si="47"/>
        <v>5.6816390685826272E-2</v>
      </c>
      <c r="BE39" s="57">
        <f t="shared" si="47"/>
        <v>4.3676535253144626E-2</v>
      </c>
      <c r="BF39" s="57">
        <f t="shared" si="47"/>
        <v>4.4832900043367839E-2</v>
      </c>
      <c r="BG39" s="57">
        <f t="shared" si="47"/>
        <v>3.9616715298188082E-2</v>
      </c>
      <c r="BH39" s="57">
        <f t="shared" si="47"/>
        <v>5.1919577725913289E-2</v>
      </c>
      <c r="BI39" s="57">
        <f t="shared" si="47"/>
        <v>5.4634501685847582E-2</v>
      </c>
      <c r="BJ39" s="57">
        <f t="shared" si="47"/>
        <v>5.1328532582309079E-2</v>
      </c>
      <c r="BK39" s="57">
        <f t="shared" si="47"/>
        <v>3.90650075100639E-2</v>
      </c>
      <c r="BL39" s="57">
        <f t="shared" si="47"/>
        <v>4.5080273874260862E-2</v>
      </c>
      <c r="BM39" s="57">
        <f t="shared" si="47"/>
        <v>5.951597403167562E-2</v>
      </c>
      <c r="BN39" s="57">
        <f t="shared" si="47"/>
        <v>5.2017345035426613E-2</v>
      </c>
      <c r="BO39" s="57">
        <f t="shared" si="47"/>
        <v>5.0359297821911841E-2</v>
      </c>
      <c r="BP39" s="57">
        <f t="shared" si="47"/>
        <v>4.2091977207064792E-2</v>
      </c>
      <c r="BQ39" s="57">
        <f t="shared" si="47"/>
        <v>7.307450002324177E-2</v>
      </c>
      <c r="BR39" s="57">
        <f t="shared" ref="BR39:CK39" si="48">BR38/BR4</f>
        <v>5.329713934887511E-2</v>
      </c>
      <c r="BS39" s="57">
        <f t="shared" si="48"/>
        <v>7.5154333924748601E-2</v>
      </c>
      <c r="BT39" s="57">
        <f t="shared" si="48"/>
        <v>5.8320932732159943E-2</v>
      </c>
      <c r="BU39" s="57">
        <f t="shared" si="48"/>
        <v>0.11649345409716233</v>
      </c>
      <c r="BV39" s="57">
        <f t="shared" si="48"/>
        <v>7.9997389901076299E-2</v>
      </c>
      <c r="BW39" s="57">
        <f t="shared" si="48"/>
        <v>0.12248662189660897</v>
      </c>
      <c r="BX39" s="57">
        <f t="shared" si="48"/>
        <v>0.10186414714654768</v>
      </c>
      <c r="BY39" s="57">
        <f t="shared" si="48"/>
        <v>0.11355988901114733</v>
      </c>
      <c r="BZ39" s="57">
        <f t="shared" si="48"/>
        <v>1.0217068241354839</v>
      </c>
      <c r="CA39" s="57">
        <f t="shared" si="48"/>
        <v>6.7429197110924141E-2</v>
      </c>
      <c r="CB39" s="57">
        <f t="shared" si="48"/>
        <v>7.8300055302787455E-2</v>
      </c>
      <c r="CC39" s="57">
        <f t="shared" si="48"/>
        <v>2.4686244625014012E-2</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208486388.88</v>
      </c>
      <c r="C40" s="26">
        <f t="shared" ref="C40:BN40" si="49">C60</f>
        <v>116864837.68000001</v>
      </c>
      <c r="D40" s="26">
        <f t="shared" si="49"/>
        <v>71982699.340000004</v>
      </c>
      <c r="E40" s="26">
        <f t="shared" si="49"/>
        <v>468099267.30000001</v>
      </c>
      <c r="F40" s="26">
        <f t="shared" si="49"/>
        <v>279104360.61000001</v>
      </c>
      <c r="G40" s="26">
        <f t="shared" si="49"/>
        <v>115998941.87</v>
      </c>
      <c r="H40" s="26">
        <f t="shared" si="49"/>
        <v>81947196.180000007</v>
      </c>
      <c r="I40" s="26">
        <f t="shared" si="49"/>
        <v>679950858.49000001</v>
      </c>
      <c r="J40" s="26">
        <f t="shared" si="49"/>
        <v>350801980.95999998</v>
      </c>
      <c r="K40" s="26">
        <f t="shared" si="49"/>
        <v>189933175.37</v>
      </c>
      <c r="L40" s="26">
        <f t="shared" si="49"/>
        <v>60804750.649999999</v>
      </c>
      <c r="M40" s="26">
        <f t="shared" si="49"/>
        <v>516655761.86000001</v>
      </c>
      <c r="N40" s="26">
        <f t="shared" si="49"/>
        <v>263337108.59</v>
      </c>
      <c r="O40" s="26">
        <f t="shared" si="49"/>
        <v>123289071.38</v>
      </c>
      <c r="P40" s="26">
        <f t="shared" si="49"/>
        <v>57532999.539999999</v>
      </c>
      <c r="Q40" s="26">
        <f t="shared" si="49"/>
        <v>398209271.61000001</v>
      </c>
      <c r="R40" s="26">
        <f t="shared" si="49"/>
        <v>155993411.43000001</v>
      </c>
      <c r="S40" s="26">
        <f t="shared" si="49"/>
        <v>96058418.540000007</v>
      </c>
      <c r="T40" s="26">
        <f t="shared" si="49"/>
        <v>37310568.710000001</v>
      </c>
      <c r="U40" s="26">
        <f t="shared" si="49"/>
        <v>265382461.99000001</v>
      </c>
      <c r="V40" s="26">
        <f t="shared" si="49"/>
        <v>124339385.64</v>
      </c>
      <c r="W40" s="26">
        <f t="shared" si="49"/>
        <v>87861508.019999996</v>
      </c>
      <c r="X40" s="26">
        <f t="shared" si="49"/>
        <v>36288365.579999998</v>
      </c>
      <c r="Y40" s="26">
        <f t="shared" si="49"/>
        <v>215398181.50999999</v>
      </c>
      <c r="Z40" s="26">
        <f t="shared" si="49"/>
        <v>135380629.41999999</v>
      </c>
      <c r="AA40" s="26">
        <f t="shared" si="49"/>
        <v>81072643.849999994</v>
      </c>
      <c r="AB40" s="26">
        <f t="shared" si="49"/>
        <v>37037749.289999999</v>
      </c>
      <c r="AC40" s="26">
        <f t="shared" si="49"/>
        <v>170944119.80000001</v>
      </c>
      <c r="AD40" s="26">
        <f t="shared" si="49"/>
        <v>101734029.41</v>
      </c>
      <c r="AE40" s="26">
        <f t="shared" si="49"/>
        <v>57807154.219999999</v>
      </c>
      <c r="AF40" s="26">
        <f t="shared" si="49"/>
        <v>22977316.98</v>
      </c>
      <c r="AG40" s="26">
        <f t="shared" si="49"/>
        <v>116672094.23999999</v>
      </c>
      <c r="AH40" s="26">
        <f t="shared" si="49"/>
        <v>85247231.560000002</v>
      </c>
      <c r="AI40" s="26">
        <f t="shared" si="49"/>
        <v>54374072.369999997</v>
      </c>
      <c r="AJ40" s="26">
        <f t="shared" si="49"/>
        <v>17526255.899999999</v>
      </c>
      <c r="AK40" s="26">
        <f t="shared" si="49"/>
        <v>86305628.010000005</v>
      </c>
      <c r="AL40" s="26">
        <f t="shared" si="49"/>
        <v>53368157.719999999</v>
      </c>
      <c r="AM40" s="26">
        <f t="shared" si="49"/>
        <v>29347436.190000001</v>
      </c>
      <c r="AN40" s="26">
        <f t="shared" si="49"/>
        <v>7420192.7000000002</v>
      </c>
      <c r="AO40" s="26">
        <f t="shared" si="49"/>
        <v>105726693.14</v>
      </c>
      <c r="AP40" s="26">
        <f t="shared" si="49"/>
        <v>87981905.090000004</v>
      </c>
      <c r="AQ40" s="26">
        <f t="shared" si="49"/>
        <v>106333327.47</v>
      </c>
      <c r="AR40" s="26">
        <f t="shared" si="49"/>
        <v>81383345.5</v>
      </c>
      <c r="AS40" s="26">
        <f t="shared" si="49"/>
        <v>161977130.12</v>
      </c>
      <c r="AT40" s="26">
        <f t="shared" si="49"/>
        <v>80875588.129999995</v>
      </c>
      <c r="AU40" s="26">
        <f t="shared" si="49"/>
        <v>47756926.700000003</v>
      </c>
      <c r="AV40" s="26">
        <f t="shared" si="49"/>
        <v>23523361.210000001</v>
      </c>
      <c r="AW40" s="26">
        <f t="shared" si="49"/>
        <v>100710678.51000001</v>
      </c>
      <c r="AX40" s="26">
        <f t="shared" si="49"/>
        <v>66990377.799999997</v>
      </c>
      <c r="AY40" s="26">
        <f t="shared" si="49"/>
        <v>40938696.469999999</v>
      </c>
      <c r="AZ40" s="26">
        <f t="shared" si="49"/>
        <v>17236860.98</v>
      </c>
      <c r="BA40" s="26">
        <f t="shared" si="49"/>
        <v>88495415.030000001</v>
      </c>
      <c r="BB40" s="26">
        <f t="shared" si="49"/>
        <v>58167851.869999997</v>
      </c>
      <c r="BC40" s="26">
        <f t="shared" si="49"/>
        <v>32899466.940000001</v>
      </c>
      <c r="BD40" s="26">
        <f t="shared" si="49"/>
        <v>14323248.039999999</v>
      </c>
      <c r="BE40" s="26">
        <f t="shared" si="49"/>
        <v>52825089.240000002</v>
      </c>
      <c r="BF40" s="26">
        <f t="shared" si="49"/>
        <v>48242970.5</v>
      </c>
      <c r="BG40" s="26">
        <f t="shared" si="49"/>
        <v>23565667.52</v>
      </c>
      <c r="BH40" s="26">
        <f t="shared" si="49"/>
        <v>11391841.1</v>
      </c>
      <c r="BI40" s="26">
        <f t="shared" si="49"/>
        <v>56253097.399999999</v>
      </c>
      <c r="BJ40" s="26">
        <f t="shared" si="49"/>
        <v>36784790.009999998</v>
      </c>
      <c r="BK40" s="26">
        <f t="shared" si="49"/>
        <v>20580372.25</v>
      </c>
      <c r="BL40" s="26">
        <f t="shared" si="49"/>
        <v>12023824.91</v>
      </c>
      <c r="BM40" s="26">
        <f t="shared" si="49"/>
        <v>67501059.700000003</v>
      </c>
      <c r="BN40" s="26">
        <f t="shared" si="49"/>
        <v>43845411.659999996</v>
      </c>
      <c r="BO40" s="26">
        <f t="shared" ref="BO40:CJ40" si="50">BO60</f>
        <v>22970188.719999999</v>
      </c>
      <c r="BP40" s="26">
        <f t="shared" si="50"/>
        <v>5798644.1500000004</v>
      </c>
      <c r="BQ40" s="26">
        <f t="shared" si="50"/>
        <v>23929553.059999999</v>
      </c>
      <c r="BR40" s="26">
        <f t="shared" si="50"/>
        <v>10332092.710000001</v>
      </c>
      <c r="BS40" s="26">
        <f t="shared" si="50"/>
        <v>18376212.32</v>
      </c>
      <c r="BT40" s="26">
        <f t="shared" si="50"/>
        <v>9422093.7599999998</v>
      </c>
      <c r="BU40" s="26">
        <f t="shared" si="50"/>
        <v>26718628.920000002</v>
      </c>
      <c r="BV40" s="26">
        <f t="shared" si="50"/>
        <v>8588520.0600000005</v>
      </c>
      <c r="BW40" s="26">
        <f t="shared" si="50"/>
        <v>22390610.699999999</v>
      </c>
      <c r="BX40" s="26">
        <f t="shared" si="50"/>
        <v>3161891.56</v>
      </c>
      <c r="BY40" s="26">
        <f t="shared" si="50"/>
        <v>7791589.8200000003</v>
      </c>
      <c r="BZ40" s="26">
        <f t="shared" si="50"/>
        <v>3238875.9</v>
      </c>
      <c r="CA40" s="26">
        <f t="shared" si="50"/>
        <v>9116686</v>
      </c>
      <c r="CB40" s="26">
        <f t="shared" si="50"/>
        <v>7320718</v>
      </c>
      <c r="CC40" s="26">
        <f t="shared" si="50"/>
        <v>1254945</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8.59468456503302E-2</v>
      </c>
      <c r="C41" s="57">
        <f t="shared" ref="C41:BN41" si="51">C40/C38</f>
        <v>0.16681526455658452</v>
      </c>
      <c r="D41" s="57">
        <f t="shared" si="51"/>
        <v>0.20196550718305648</v>
      </c>
      <c r="E41" s="57">
        <f t="shared" si="51"/>
        <v>0.14285586889618238</v>
      </c>
      <c r="F41" s="57">
        <f t="shared" si="51"/>
        <v>0.1322291602965957</v>
      </c>
      <c r="G41" s="57">
        <f t="shared" si="51"/>
        <v>0.1263212091625425</v>
      </c>
      <c r="H41" s="57">
        <f t="shared" si="51"/>
        <v>0.20020605184303716</v>
      </c>
      <c r="I41" s="57">
        <f t="shared" si="51"/>
        <v>0.14609938798425803</v>
      </c>
      <c r="J41" s="57">
        <f t="shared" si="51"/>
        <v>0.1304816181503439</v>
      </c>
      <c r="K41" s="57">
        <f t="shared" si="51"/>
        <v>0.13030835677412192</v>
      </c>
      <c r="L41" s="57">
        <f t="shared" si="51"/>
        <v>0.13338143636418709</v>
      </c>
      <c r="M41" s="57">
        <f t="shared" si="51"/>
        <v>0.12163449336926466</v>
      </c>
      <c r="N41" s="57">
        <f t="shared" si="51"/>
        <v>0.12130426078502719</v>
      </c>
      <c r="O41" s="57">
        <f t="shared" si="51"/>
        <v>0.1131847775222645</v>
      </c>
      <c r="P41" s="57">
        <f t="shared" si="51"/>
        <v>0.13017031662787124</v>
      </c>
      <c r="Q41" s="57">
        <f t="shared" si="51"/>
        <v>0.1304355713729084</v>
      </c>
      <c r="R41" s="57">
        <f t="shared" si="51"/>
        <v>0.12172359611215483</v>
      </c>
      <c r="S41" s="57">
        <f t="shared" si="51"/>
        <v>0.12134483553247787</v>
      </c>
      <c r="T41" s="57">
        <f t="shared" si="51"/>
        <v>0.11622841067061299</v>
      </c>
      <c r="U41" s="57">
        <f t="shared" si="51"/>
        <v>0.12912884678347697</v>
      </c>
      <c r="V41" s="57">
        <f t="shared" si="51"/>
        <v>0.1210375830482058</v>
      </c>
      <c r="W41" s="57">
        <f t="shared" si="51"/>
        <v>0.12205869561928435</v>
      </c>
      <c r="X41" s="57">
        <f t="shared" si="51"/>
        <v>0.12006388839267694</v>
      </c>
      <c r="Y41" s="57">
        <f t="shared" si="51"/>
        <v>0.12174007996829146</v>
      </c>
      <c r="Z41" s="57">
        <f t="shared" si="51"/>
        <v>0.12193771830648804</v>
      </c>
      <c r="AA41" s="57">
        <f t="shared" si="51"/>
        <v>0.12044335862181541</v>
      </c>
      <c r="AB41" s="57">
        <f t="shared" si="51"/>
        <v>0.12877882608573143</v>
      </c>
      <c r="AC41" s="57">
        <f t="shared" si="51"/>
        <v>0.14501419747715394</v>
      </c>
      <c r="AD41" s="57">
        <f t="shared" si="51"/>
        <v>0.15469867503741763</v>
      </c>
      <c r="AE41" s="57">
        <f t="shared" si="51"/>
        <v>0.13825156169451014</v>
      </c>
      <c r="AF41" s="57">
        <f t="shared" si="51"/>
        <v>0.14976983230554397</v>
      </c>
      <c r="AG41" s="57">
        <f t="shared" si="51"/>
        <v>0.12589107611180397</v>
      </c>
      <c r="AH41" s="57">
        <f t="shared" si="51"/>
        <v>0.14626536069868817</v>
      </c>
      <c r="AI41" s="57">
        <f t="shared" si="51"/>
        <v>0.16151709878166395</v>
      </c>
      <c r="AJ41" s="57">
        <f t="shared" si="51"/>
        <v>0.11016812061964362</v>
      </c>
      <c r="AK41" s="57">
        <f t="shared" si="51"/>
        <v>9.6887341670477273E-2</v>
      </c>
      <c r="AL41" s="57">
        <f t="shared" si="51"/>
        <v>0.13543463115379134</v>
      </c>
      <c r="AM41" s="57">
        <f t="shared" si="51"/>
        <v>0.1316601028922737</v>
      </c>
      <c r="AN41" s="57">
        <f t="shared" si="51"/>
        <v>0.11999986771894514</v>
      </c>
      <c r="AO41" s="57">
        <f t="shared" si="51"/>
        <v>0.16786688559268928</v>
      </c>
      <c r="AP41" s="57">
        <f t="shared" si="51"/>
        <v>0.19004053376761601</v>
      </c>
      <c r="AQ41" s="57">
        <f t="shared" si="51"/>
        <v>0.2112871350021602</v>
      </c>
      <c r="AR41" s="57">
        <f t="shared" si="51"/>
        <v>0.24303266215884767</v>
      </c>
      <c r="AS41" s="57">
        <f t="shared" si="51"/>
        <v>0.2709427848819409</v>
      </c>
      <c r="AT41" s="57">
        <f t="shared" si="51"/>
        <v>0.33921719372127629</v>
      </c>
      <c r="AU41" s="57">
        <f t="shared" si="51"/>
        <v>0.33241897730391901</v>
      </c>
      <c r="AV41" s="57">
        <f t="shared" si="51"/>
        <v>0.35830743366435924</v>
      </c>
      <c r="AW41" s="57">
        <f t="shared" si="51"/>
        <v>0.35593048202038491</v>
      </c>
      <c r="AX41" s="57">
        <f t="shared" si="51"/>
        <v>0.51119772581811551</v>
      </c>
      <c r="AY41" s="57">
        <f t="shared" si="51"/>
        <v>0.51136199217670708</v>
      </c>
      <c r="AZ41" s="57">
        <f t="shared" si="51"/>
        <v>0.41314405124223608</v>
      </c>
      <c r="BA41" s="57">
        <f t="shared" si="51"/>
        <v>0.36441931214152529</v>
      </c>
      <c r="BB41" s="57">
        <f t="shared" si="51"/>
        <v>0.37032117677814114</v>
      </c>
      <c r="BC41" s="57">
        <f t="shared" si="51"/>
        <v>0.37096478037261393</v>
      </c>
      <c r="BD41" s="57">
        <f t="shared" si="51"/>
        <v>0.3409483563553824</v>
      </c>
      <c r="BE41" s="57">
        <f t="shared" si="51"/>
        <v>0.30626345004253608</v>
      </c>
      <c r="BF41" s="57">
        <f t="shared" si="51"/>
        <v>0.38956941181190263</v>
      </c>
      <c r="BG41" s="57">
        <f t="shared" si="51"/>
        <v>0.40009523514692297</v>
      </c>
      <c r="BH41" s="57">
        <f t="shared" si="51"/>
        <v>0.38301577565271744</v>
      </c>
      <c r="BI41" s="57">
        <f t="shared" si="51"/>
        <v>0.31645259799331349</v>
      </c>
      <c r="BJ41" s="57">
        <f t="shared" si="51"/>
        <v>0.3681936614521697</v>
      </c>
      <c r="BK41" s="57">
        <f t="shared" si="51"/>
        <v>0.43829526283927372</v>
      </c>
      <c r="BL41" s="57">
        <f t="shared" si="51"/>
        <v>0.35677077094025506</v>
      </c>
      <c r="BM41" s="57">
        <f t="shared" si="51"/>
        <v>0.42240083199727863</v>
      </c>
      <c r="BN41" s="57">
        <f t="shared" si="51"/>
        <v>0.45715505174419285</v>
      </c>
      <c r="BO41" s="57">
        <f t="shared" ref="BO41:CJ41" si="52">BO40/BO38</f>
        <v>0.45664099173787021</v>
      </c>
      <c r="BP41" s="57">
        <f t="shared" si="52"/>
        <v>0.37780486572736494</v>
      </c>
      <c r="BQ41" s="57">
        <f t="shared" si="52"/>
        <v>0.20732176175437284</v>
      </c>
      <c r="BR41" s="57">
        <f t="shared" si="52"/>
        <v>0.27621808973903972</v>
      </c>
      <c r="BS41" s="57">
        <f t="shared" si="52"/>
        <v>0.20393616648940721</v>
      </c>
      <c r="BT41" s="57">
        <f t="shared" si="52"/>
        <v>0.34387815016892903</v>
      </c>
      <c r="BU41" s="57">
        <f t="shared" si="52"/>
        <v>0.32760217125061619</v>
      </c>
      <c r="BV41" s="57">
        <f t="shared" si="52"/>
        <v>0.33645021136235909</v>
      </c>
      <c r="BW41" s="57">
        <f t="shared" si="52"/>
        <v>0.32330247476608726</v>
      </c>
      <c r="BX41" s="57">
        <f t="shared" si="52"/>
        <v>0.13701615999268593</v>
      </c>
      <c r="BY41" s="57">
        <f t="shared" si="52"/>
        <v>0.1571252648415481</v>
      </c>
      <c r="BZ41" s="57">
        <f t="shared" si="52"/>
        <v>2.0179556939038848E-2</v>
      </c>
      <c r="CA41" s="57">
        <f t="shared" si="52"/>
        <v>0.30793301197805084</v>
      </c>
      <c r="CB41" s="57">
        <f t="shared" si="52"/>
        <v>0.3409296052208155</v>
      </c>
      <c r="CC41" s="57">
        <f t="shared" si="52"/>
        <v>0.36936784999064032</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2217273245.4900022</v>
      </c>
      <c r="C42" s="28">
        <f t="shared" ref="C42:BN42" si="53">C38-C40</f>
        <v>583699574.04000115</v>
      </c>
      <c r="D42" s="28">
        <f t="shared" si="53"/>
        <v>284428156.86999965</v>
      </c>
      <c r="E42" s="28">
        <f t="shared" si="53"/>
        <v>2808624824.7300005</v>
      </c>
      <c r="F42" s="28">
        <f t="shared" si="53"/>
        <v>1831658197.2399998</v>
      </c>
      <c r="G42" s="28">
        <f t="shared" si="53"/>
        <v>802286614.76000011</v>
      </c>
      <c r="H42" s="28">
        <f t="shared" si="53"/>
        <v>327367084.90999991</v>
      </c>
      <c r="I42" s="28">
        <f t="shared" si="53"/>
        <v>3974078620.1500034</v>
      </c>
      <c r="J42" s="28">
        <f t="shared" si="53"/>
        <v>2337714500.7700005</v>
      </c>
      <c r="K42" s="28">
        <f t="shared" si="53"/>
        <v>1267633937.5299997</v>
      </c>
      <c r="L42" s="28">
        <f t="shared" si="53"/>
        <v>395066413.33999938</v>
      </c>
      <c r="M42" s="28">
        <f t="shared" si="53"/>
        <v>3730953181.5299983</v>
      </c>
      <c r="N42" s="28">
        <f t="shared" si="53"/>
        <v>1907543838.9200003</v>
      </c>
      <c r="O42" s="28">
        <f t="shared" si="53"/>
        <v>965983479.92000043</v>
      </c>
      <c r="P42" s="28">
        <f t="shared" si="53"/>
        <v>384449481.80000001</v>
      </c>
      <c r="Q42" s="28">
        <f t="shared" si="53"/>
        <v>2654710015.8099995</v>
      </c>
      <c r="R42" s="28">
        <f t="shared" si="53"/>
        <v>1125544568.1599994</v>
      </c>
      <c r="S42" s="28">
        <f t="shared" si="53"/>
        <v>695556800.33999956</v>
      </c>
      <c r="T42" s="28">
        <f t="shared" si="53"/>
        <v>283700176.38000017</v>
      </c>
      <c r="U42" s="28">
        <f t="shared" si="53"/>
        <v>1789793190.8600008</v>
      </c>
      <c r="V42" s="28">
        <f t="shared" si="53"/>
        <v>902939766.08000076</v>
      </c>
      <c r="W42" s="28">
        <f t="shared" si="53"/>
        <v>631968468.64999926</v>
      </c>
      <c r="X42" s="28">
        <f t="shared" si="53"/>
        <v>265953766.22000039</v>
      </c>
      <c r="Y42" s="28">
        <f t="shared" si="53"/>
        <v>1553930223.45</v>
      </c>
      <c r="Z42" s="28">
        <f t="shared" si="53"/>
        <v>974863446.81999862</v>
      </c>
      <c r="AA42" s="28">
        <f t="shared" si="53"/>
        <v>592045781.09000027</v>
      </c>
      <c r="AB42" s="28">
        <f t="shared" si="53"/>
        <v>250569696.86999992</v>
      </c>
      <c r="AC42" s="28">
        <f t="shared" si="53"/>
        <v>1007865422.8099997</v>
      </c>
      <c r="AD42" s="28">
        <f t="shared" si="53"/>
        <v>555892995.42000031</v>
      </c>
      <c r="AE42" s="28">
        <f t="shared" si="53"/>
        <v>360323053.57999969</v>
      </c>
      <c r="AF42" s="28">
        <f t="shared" si="53"/>
        <v>130440207.93999992</v>
      </c>
      <c r="AG42" s="28">
        <f t="shared" si="53"/>
        <v>810098077.5899986</v>
      </c>
      <c r="AH42" s="28">
        <f t="shared" si="53"/>
        <v>497578607.40000039</v>
      </c>
      <c r="AI42" s="28">
        <f t="shared" si="53"/>
        <v>282271847.97000027</v>
      </c>
      <c r="AJ42" s="28">
        <f t="shared" si="53"/>
        <v>141560200.34000018</v>
      </c>
      <c r="AK42" s="28">
        <f t="shared" si="53"/>
        <v>804477693.34000003</v>
      </c>
      <c r="AL42" s="28">
        <f t="shared" si="53"/>
        <v>340682885.69000018</v>
      </c>
      <c r="AM42" s="28">
        <f t="shared" si="53"/>
        <v>193555596.27999982</v>
      </c>
      <c r="AN42" s="28">
        <f t="shared" si="53"/>
        <v>54414814.629999973</v>
      </c>
      <c r="AO42" s="28">
        <f t="shared" si="53"/>
        <v>524097901.30999959</v>
      </c>
      <c r="AP42" s="28">
        <f t="shared" si="53"/>
        <v>374981986.59000027</v>
      </c>
      <c r="AQ42" s="28">
        <f t="shared" si="53"/>
        <v>396931234.61000001</v>
      </c>
      <c r="AR42" s="28">
        <f t="shared" si="53"/>
        <v>253482531.27999979</v>
      </c>
      <c r="AS42" s="28">
        <f t="shared" si="53"/>
        <v>435850673.97000015</v>
      </c>
      <c r="AT42" s="28">
        <f t="shared" si="53"/>
        <v>157542716.21000004</v>
      </c>
      <c r="AU42" s="28">
        <f t="shared" si="53"/>
        <v>95907935.899999872</v>
      </c>
      <c r="AV42" s="28">
        <f t="shared" si="53"/>
        <v>42127973.36999999</v>
      </c>
      <c r="AW42" s="28">
        <f t="shared" si="53"/>
        <v>182239739.05000007</v>
      </c>
      <c r="AX42" s="28">
        <f t="shared" si="53"/>
        <v>64055545.170000106</v>
      </c>
      <c r="AY42" s="28">
        <f t="shared" si="53"/>
        <v>39119456.260000229</v>
      </c>
      <c r="AZ42" s="28">
        <f t="shared" si="53"/>
        <v>24484327.860000078</v>
      </c>
      <c r="BA42" s="28">
        <f t="shared" si="53"/>
        <v>154344116.46999928</v>
      </c>
      <c r="BB42" s="28">
        <f t="shared" si="53"/>
        <v>98906211.180000156</v>
      </c>
      <c r="BC42" s="28">
        <f t="shared" si="53"/>
        <v>55786760.649999991</v>
      </c>
      <c r="BD42" s="28">
        <f t="shared" si="53"/>
        <v>27686774.219999917</v>
      </c>
      <c r="BE42" s="28">
        <f t="shared" si="53"/>
        <v>119657422.89999995</v>
      </c>
      <c r="BF42" s="28">
        <f t="shared" si="53"/>
        <v>75593678.470000103</v>
      </c>
      <c r="BG42" s="28">
        <f t="shared" si="53"/>
        <v>35334477.870000005</v>
      </c>
      <c r="BH42" s="28">
        <f t="shared" si="53"/>
        <v>18350644.26000002</v>
      </c>
      <c r="BI42" s="28">
        <f t="shared" si="53"/>
        <v>121508430.73000005</v>
      </c>
      <c r="BJ42" s="28">
        <f t="shared" si="53"/>
        <v>63121302.520000108</v>
      </c>
      <c r="BK42" s="28">
        <f t="shared" si="53"/>
        <v>26375125.550000139</v>
      </c>
      <c r="BL42" s="28">
        <f t="shared" si="53"/>
        <v>21677996.789999951</v>
      </c>
      <c r="BM42" s="28">
        <f t="shared" si="53"/>
        <v>92302270.660000071</v>
      </c>
      <c r="BN42" s="28">
        <f t="shared" si="53"/>
        <v>52063867.899999872</v>
      </c>
      <c r="BO42" s="28">
        <f t="shared" ref="BO42:CK42" si="54">BO38-BO40</f>
        <v>27332322.740000039</v>
      </c>
      <c r="BP42" s="28">
        <f t="shared" si="54"/>
        <v>9549607.4899999779</v>
      </c>
      <c r="BQ42" s="28">
        <f t="shared" si="54"/>
        <v>91492739.59999992</v>
      </c>
      <c r="BR42" s="28">
        <f t="shared" si="54"/>
        <v>27073468.670000009</v>
      </c>
      <c r="BS42" s="28">
        <f t="shared" si="54"/>
        <v>71731455.369999915</v>
      </c>
      <c r="BT42" s="28">
        <f t="shared" si="54"/>
        <v>17977418.990000039</v>
      </c>
      <c r="BU42" s="28">
        <f t="shared" si="54"/>
        <v>54839526.86999996</v>
      </c>
      <c r="BV42" s="28">
        <f t="shared" si="54"/>
        <v>16938347.720000021</v>
      </c>
      <c r="BW42" s="28">
        <f t="shared" si="54"/>
        <v>46865310.449999988</v>
      </c>
      <c r="BX42" s="28">
        <f t="shared" si="54"/>
        <v>19914886.830000021</v>
      </c>
      <c r="BY42" s="28">
        <f t="shared" si="54"/>
        <v>41796805.959999964</v>
      </c>
      <c r="BZ42" s="28">
        <f t="shared" si="54"/>
        <v>157263949.30000001</v>
      </c>
      <c r="CA42" s="28">
        <f t="shared" si="54"/>
        <v>20489383</v>
      </c>
      <c r="CB42" s="28">
        <f t="shared" si="54"/>
        <v>14152096</v>
      </c>
      <c r="CC42" s="28">
        <f t="shared" si="54"/>
        <v>2142603</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11.444441234649517</v>
      </c>
      <c r="C43" s="57">
        <f t="shared" ref="C43:D43" si="55">C42/C4*100</f>
        <v>4.857284962631887</v>
      </c>
      <c r="D43" s="57">
        <f t="shared" si="55"/>
        <v>6.1047214170893298</v>
      </c>
      <c r="E43" s="57">
        <f>E42/E4</f>
        <v>8.4541242431553282E-2</v>
      </c>
      <c r="F43" s="57">
        <f t="shared" ref="F43:BQ43" si="56">F42/F4</f>
        <v>9.6428611918255983E-2</v>
      </c>
      <c r="G43" s="57">
        <f t="shared" si="56"/>
        <v>8.6146333133997985E-2</v>
      </c>
      <c r="H43" s="57">
        <f t="shared" si="56"/>
        <v>8.4624682532653941E-2</v>
      </c>
      <c r="I43" s="57">
        <f t="shared" si="56"/>
        <v>0.11085159327782969</v>
      </c>
      <c r="J43" s="57">
        <f t="shared" si="56"/>
        <v>0.10793191826507073</v>
      </c>
      <c r="K43" s="57">
        <f t="shared" si="56"/>
        <v>9.5539820251207386E-2</v>
      </c>
      <c r="L43" s="57">
        <f t="shared" si="56"/>
        <v>7.7059236391707739E-2</v>
      </c>
      <c r="M43" s="57">
        <f t="shared" si="56"/>
        <v>0.1195401704917777</v>
      </c>
      <c r="N43" s="57">
        <f t="shared" si="56"/>
        <v>0.10077326092594999</v>
      </c>
      <c r="O43" s="57">
        <f t="shared" si="56"/>
        <v>9.2997129911592785E-2</v>
      </c>
      <c r="P43" s="57">
        <f t="shared" si="56"/>
        <v>8.9964972907442639E-2</v>
      </c>
      <c r="Q43" s="57">
        <f t="shared" si="56"/>
        <v>0.10318249033334356</v>
      </c>
      <c r="R43" s="57">
        <f t="shared" si="56"/>
        <v>7.5023789116712578E-2</v>
      </c>
      <c r="S43" s="57">
        <f t="shared" si="56"/>
        <v>7.4458975632419933E-2</v>
      </c>
      <c r="T43" s="57">
        <f t="shared" si="56"/>
        <v>6.4536635970409054E-2</v>
      </c>
      <c r="U43" s="57">
        <f t="shared" si="56"/>
        <v>8.1008746271504367E-2</v>
      </c>
      <c r="V43" s="57">
        <f t="shared" si="56"/>
        <v>6.6055519659758144E-2</v>
      </c>
      <c r="W43" s="57">
        <f t="shared" si="56"/>
        <v>6.5395797964280689E-2</v>
      </c>
      <c r="X43" s="57">
        <f t="shared" si="56"/>
        <v>6.1317211524106234E-2</v>
      </c>
      <c r="Y43" s="57">
        <f t="shared" si="56"/>
        <v>7.8626429098356113E-2</v>
      </c>
      <c r="Z43" s="57">
        <f t="shared" si="56"/>
        <v>7.3248396984492051E-2</v>
      </c>
      <c r="AA43" s="57">
        <f t="shared" si="56"/>
        <v>7.1363118999334146E-2</v>
      </c>
      <c r="AB43" s="57">
        <f t="shared" si="56"/>
        <v>6.3126124371501266E-2</v>
      </c>
      <c r="AC43" s="57">
        <f t="shared" si="56"/>
        <v>5.952455887650842E-2</v>
      </c>
      <c r="AD43" s="57">
        <f t="shared" si="56"/>
        <v>5.0491944893574843E-2</v>
      </c>
      <c r="AE43" s="57">
        <f t="shared" si="56"/>
        <v>5.624979551348256E-2</v>
      </c>
      <c r="AF43" s="57">
        <f t="shared" si="56"/>
        <v>4.4247618651179314E-2</v>
      </c>
      <c r="AG43" s="57">
        <f t="shared" si="56"/>
        <v>6.0102984037451582E-2</v>
      </c>
      <c r="AH43" s="57">
        <f t="shared" si="56"/>
        <v>5.4484460773770609E-2</v>
      </c>
      <c r="AI43" s="57">
        <f t="shared" si="56"/>
        <v>5.1086595638929352E-2</v>
      </c>
      <c r="AJ43" s="57">
        <f t="shared" si="56"/>
        <v>6.005137061199272E-2</v>
      </c>
      <c r="AK43" s="57">
        <f t="shared" si="56"/>
        <v>9.1608097750344411E-2</v>
      </c>
      <c r="AL43" s="57">
        <f t="shared" si="56"/>
        <v>5.8408092913392634E-2</v>
      </c>
      <c r="AM43" s="57">
        <f t="shared" si="56"/>
        <v>5.4561090805272626E-2</v>
      </c>
      <c r="AN43" s="57">
        <f t="shared" si="56"/>
        <v>4.115526524345809E-2</v>
      </c>
      <c r="AO43" s="57">
        <f t="shared" si="56"/>
        <v>6.2874104186256219E-2</v>
      </c>
      <c r="AP43" s="57">
        <f t="shared" si="56"/>
        <v>6.3458650250526605E-2</v>
      </c>
      <c r="AQ43" s="57">
        <f t="shared" si="56"/>
        <v>9.2972108496686579E-2</v>
      </c>
      <c r="AR43" s="57">
        <f t="shared" si="56"/>
        <v>0.14662476366499413</v>
      </c>
      <c r="AS43" s="57">
        <f t="shared" si="56"/>
        <v>5.5305576454640279E-2</v>
      </c>
      <c r="AT43" s="57">
        <f t="shared" si="56"/>
        <v>3.2880836668708398E-2</v>
      </c>
      <c r="AU43" s="57">
        <f t="shared" si="56"/>
        <v>3.3953683661944005E-2</v>
      </c>
      <c r="AV43" s="57">
        <f t="shared" si="56"/>
        <v>3.4559838777005872E-2</v>
      </c>
      <c r="AW43" s="57">
        <f t="shared" si="56"/>
        <v>3.678262011784432E-2</v>
      </c>
      <c r="AX43" s="57">
        <f t="shared" si="56"/>
        <v>1.994439304835573E-2</v>
      </c>
      <c r="AY43" s="57">
        <f t="shared" si="56"/>
        <v>1.9183607831844619E-2</v>
      </c>
      <c r="AZ43" s="57">
        <f t="shared" si="56"/>
        <v>2.7584785818072804E-2</v>
      </c>
      <c r="BA43" s="57">
        <f t="shared" si="56"/>
        <v>3.3725836186662056E-2</v>
      </c>
      <c r="BB43" s="57">
        <f t="shared" si="56"/>
        <v>3.3593999530342734E-2</v>
      </c>
      <c r="BC43" s="57">
        <f t="shared" si="56"/>
        <v>3.2828527955308252E-2</v>
      </c>
      <c r="BD43" s="57">
        <f t="shared" si="56"/>
        <v>3.7444935667448546E-2</v>
      </c>
      <c r="BE43" s="57">
        <f t="shared" si="56"/>
        <v>3.0300008880612097E-2</v>
      </c>
      <c r="BF43" s="57">
        <f t="shared" si="56"/>
        <v>2.7367373543651204E-2</v>
      </c>
      <c r="BG43" s="57">
        <f t="shared" si="56"/>
        <v>2.3766256275210826E-2</v>
      </c>
      <c r="BH43" s="57">
        <f t="shared" si="56"/>
        <v>3.203356039166106E-2</v>
      </c>
      <c r="BI43" s="57">
        <f t="shared" si="56"/>
        <v>3.7345271687291043E-2</v>
      </c>
      <c r="BJ43" s="57">
        <f t="shared" si="56"/>
        <v>3.2429692233861711E-2</v>
      </c>
      <c r="BK43" s="57">
        <f t="shared" si="56"/>
        <v>2.1942999775622241E-2</v>
      </c>
      <c r="BL43" s="57">
        <f t="shared" si="56"/>
        <v>2.8996949809942975E-2</v>
      </c>
      <c r="BM43" s="57">
        <f t="shared" si="56"/>
        <v>3.437637708356741E-2</v>
      </c>
      <c r="BN43" s="57">
        <f t="shared" si="56"/>
        <v>2.8237352974160627E-2</v>
      </c>
      <c r="BO43" s="57">
        <f t="shared" si="56"/>
        <v>2.7363178121291253E-2</v>
      </c>
      <c r="BP43" s="57">
        <f t="shared" si="56"/>
        <v>2.6189423410150372E-2</v>
      </c>
      <c r="BQ43" s="57">
        <f t="shared" si="56"/>
        <v>5.792456593910332E-2</v>
      </c>
      <c r="BR43" s="57">
        <f t="shared" ref="BR43:CK43" si="57">BR42/BR4</f>
        <v>3.857550532937342E-2</v>
      </c>
      <c r="BS43" s="57">
        <f t="shared" si="57"/>
        <v>5.9827647169070575E-2</v>
      </c>
      <c r="BT43" s="57">
        <f t="shared" si="57"/>
        <v>3.8265638268098229E-2</v>
      </c>
      <c r="BU43" s="57">
        <f t="shared" si="57"/>
        <v>7.832994559844797E-2</v>
      </c>
      <c r="BV43" s="57">
        <f t="shared" si="57"/>
        <v>5.3082251160422131E-2</v>
      </c>
      <c r="BW43" s="57">
        <f t="shared" si="57"/>
        <v>8.2886393911697276E-2</v>
      </c>
      <c r="BX43" s="57">
        <f t="shared" si="57"/>
        <v>8.7907112863597814E-2</v>
      </c>
      <c r="BY43" s="57">
        <f t="shared" si="57"/>
        <v>9.5716761374894002E-2</v>
      </c>
      <c r="BZ43" s="57">
        <f t="shared" si="57"/>
        <v>1.0010892331028372</v>
      </c>
      <c r="CA43" s="57">
        <f t="shared" si="57"/>
        <v>4.6665521349295587E-2</v>
      </c>
      <c r="CB43" s="57">
        <f t="shared" si="57"/>
        <v>5.1605248359640109E-2</v>
      </c>
      <c r="CC43" s="57">
        <f t="shared" si="57"/>
        <v>1.5567939523529585E-2</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1255489778.948</v>
      </c>
      <c r="C45" s="26">
        <f t="shared" ref="C45:BN45" si="58">C70*C69</f>
        <v>1208647753.132</v>
      </c>
      <c r="D45" s="26">
        <f t="shared" si="58"/>
        <v>1272330455.7016001</v>
      </c>
      <c r="E45" s="26">
        <f t="shared" si="58"/>
        <v>1248468628.7656</v>
      </c>
      <c r="F45" s="26">
        <f t="shared" si="58"/>
        <v>1069386632.5328</v>
      </c>
      <c r="G45" s="26">
        <f t="shared" si="58"/>
        <v>981148993.87759995</v>
      </c>
      <c r="H45" s="26">
        <f t="shared" si="58"/>
        <v>1120538045.9920001</v>
      </c>
      <c r="I45" s="26">
        <f t="shared" si="58"/>
        <v>1094328874.6608</v>
      </c>
      <c r="J45" s="26">
        <f t="shared" si="58"/>
        <v>953171432.25759995</v>
      </c>
      <c r="K45" s="26">
        <f t="shared" si="58"/>
        <v>867539968.64399993</v>
      </c>
      <c r="L45" s="26">
        <f t="shared" si="58"/>
        <v>1066765732.6</v>
      </c>
      <c r="M45" s="26">
        <f t="shared" si="58"/>
        <v>1035150823.0912</v>
      </c>
      <c r="N45" s="26">
        <f t="shared" si="58"/>
        <v>900715675.74080002</v>
      </c>
      <c r="O45" s="26">
        <f t="shared" si="58"/>
        <v>826145632.3296001</v>
      </c>
      <c r="P45" s="26">
        <f t="shared" si="58"/>
        <v>899952611.56080008</v>
      </c>
      <c r="Q45" s="26">
        <f t="shared" si="58"/>
        <v>868845942.40639997</v>
      </c>
      <c r="R45" s="26">
        <f t="shared" si="58"/>
        <v>739253234.44880009</v>
      </c>
      <c r="S45" s="26">
        <f t="shared" si="58"/>
        <v>706777108.66960013</v>
      </c>
      <c r="T45" s="26">
        <f t="shared" si="58"/>
        <v>724011162.96080005</v>
      </c>
      <c r="U45" s="26">
        <f t="shared" si="58"/>
        <v>700571597.52880001</v>
      </c>
      <c r="V45" s="26">
        <f t="shared" si="58"/>
        <v>625261738.85440004</v>
      </c>
      <c r="W45" s="26">
        <f t="shared" si="58"/>
        <v>603031674.34879994</v>
      </c>
      <c r="X45" s="26">
        <f t="shared" si="58"/>
        <v>607842460.0632</v>
      </c>
      <c r="Y45" s="26">
        <f t="shared" si="58"/>
        <v>585564476.30080009</v>
      </c>
      <c r="Z45" s="26">
        <f t="shared" si="58"/>
        <v>546759025.80559993</v>
      </c>
      <c r="AA45" s="26">
        <f t="shared" si="58"/>
        <v>483799190.14720005</v>
      </c>
      <c r="AB45" s="26">
        <f t="shared" si="58"/>
        <v>462225702.47600001</v>
      </c>
      <c r="AC45" s="26">
        <f t="shared" si="58"/>
        <v>267021199.10319999</v>
      </c>
      <c r="AD45" s="26">
        <f t="shared" si="58"/>
        <v>230632668.22400001</v>
      </c>
      <c r="AE45" s="26">
        <f t="shared" si="58"/>
        <v>215218279.42320001</v>
      </c>
      <c r="AF45" s="26">
        <f t="shared" si="58"/>
        <v>209305053.12400001</v>
      </c>
      <c r="AG45" s="26">
        <f t="shared" si="58"/>
        <v>198869836.48880002</v>
      </c>
      <c r="AH45" s="26">
        <f t="shared" si="58"/>
        <v>172065455.5352</v>
      </c>
      <c r="AI45" s="26">
        <f t="shared" si="58"/>
        <v>154878174.02399999</v>
      </c>
      <c r="AJ45" s="26">
        <f t="shared" si="58"/>
        <v>181810828.54480001</v>
      </c>
      <c r="AK45" s="26">
        <f t="shared" si="58"/>
        <v>173909355.4928</v>
      </c>
      <c r="AL45" s="26">
        <f t="shared" si="58"/>
        <v>153789972.56560001</v>
      </c>
      <c r="AM45" s="26">
        <f t="shared" si="58"/>
        <v>141364604.53280002</v>
      </c>
      <c r="AN45" s="26">
        <f t="shared" si="58"/>
        <v>148822361.3784</v>
      </c>
      <c r="AO45" s="26">
        <f t="shared" si="58"/>
        <v>136082301.29840001</v>
      </c>
      <c r="AP45" s="26">
        <f t="shared" si="58"/>
        <v>129021819.94319999</v>
      </c>
      <c r="AQ45" s="26">
        <f t="shared" si="58"/>
        <v>138057147.2168</v>
      </c>
      <c r="AR45" s="26">
        <f t="shared" si="58"/>
        <v>161108627.64719999</v>
      </c>
      <c r="AS45" s="26">
        <f t="shared" si="58"/>
        <v>226285884.37759998</v>
      </c>
      <c r="AT45" s="26">
        <f t="shared" si="58"/>
        <v>170275011.99920002</v>
      </c>
      <c r="AU45" s="26">
        <f t="shared" si="58"/>
        <v>124721036.20559999</v>
      </c>
      <c r="AV45" s="26">
        <f t="shared" si="58"/>
        <v>108615597.2832</v>
      </c>
      <c r="AW45" s="26">
        <f t="shared" si="58"/>
        <v>108984746.9976</v>
      </c>
      <c r="AX45" s="26">
        <f t="shared" si="58"/>
        <v>98469172.403200001</v>
      </c>
      <c r="AY45" s="26">
        <f t="shared" si="58"/>
        <v>94003302.147199988</v>
      </c>
      <c r="AZ45" s="26">
        <f t="shared" si="58"/>
        <v>112017646.19760001</v>
      </c>
      <c r="BA45" s="26">
        <f t="shared" si="58"/>
        <v>109400006.3304</v>
      </c>
      <c r="BB45" s="26">
        <f t="shared" si="58"/>
        <v>103842771.604</v>
      </c>
      <c r="BC45" s="26">
        <f t="shared" si="58"/>
        <v>100116703.6072</v>
      </c>
      <c r="BD45" s="26">
        <f t="shared" si="58"/>
        <v>97058476.851200014</v>
      </c>
      <c r="BE45" s="26">
        <f t="shared" si="58"/>
        <v>103038890.6824</v>
      </c>
      <c r="BF45" s="26">
        <f t="shared" si="58"/>
        <v>98775327.014400005</v>
      </c>
      <c r="BG45" s="26">
        <f t="shared" si="58"/>
        <v>87583018.967199996</v>
      </c>
      <c r="BH45" s="26">
        <f t="shared" si="58"/>
        <v>90137180.97680001</v>
      </c>
      <c r="BI45" s="26">
        <f t="shared" si="58"/>
        <v>88462099.967199996</v>
      </c>
      <c r="BJ45" s="26">
        <f t="shared" si="58"/>
        <v>83708977.753600001</v>
      </c>
      <c r="BK45" s="26">
        <f t="shared" si="58"/>
        <v>79485014.771200001</v>
      </c>
      <c r="BL45" s="26">
        <f t="shared" si="58"/>
        <v>78636773.067200005</v>
      </c>
      <c r="BM45" s="26">
        <f t="shared" si="58"/>
        <v>76675804.576000005</v>
      </c>
      <c r="BN45" s="26">
        <f t="shared" si="58"/>
        <v>76255103.667999998</v>
      </c>
      <c r="BO45" s="26">
        <f t="shared" ref="BO45:CJ45" si="59">BO70*BO69</f>
        <v>70941437.578400001</v>
      </c>
      <c r="BP45" s="26">
        <f t="shared" si="59"/>
        <v>69230526.639200002</v>
      </c>
      <c r="BQ45" s="26">
        <f t="shared" si="59"/>
        <v>68288686.255199999</v>
      </c>
      <c r="BR45" s="26">
        <f t="shared" si="59"/>
        <v>69291813.180800006</v>
      </c>
      <c r="BS45" s="26">
        <f t="shared" si="59"/>
        <v>66932968.300800003</v>
      </c>
      <c r="BT45" s="26">
        <f t="shared" si="59"/>
        <v>52806650.278400004</v>
      </c>
      <c r="BU45" s="26">
        <f t="shared" si="59"/>
        <v>51276273.836800002</v>
      </c>
      <c r="BV45" s="26">
        <f t="shared" si="59"/>
        <v>48034470.211999997</v>
      </c>
      <c r="BW45" s="26">
        <f t="shared" si="59"/>
        <v>46311411.131200001</v>
      </c>
      <c r="BX45" s="26">
        <f t="shared" si="59"/>
        <v>34106923.650399998</v>
      </c>
      <c r="BY45" s="26">
        <f t="shared" si="59"/>
        <v>32480062.079200003</v>
      </c>
      <c r="BZ45" s="26">
        <f t="shared" si="59"/>
        <v>34564065.4648</v>
      </c>
      <c r="CA45" s="26">
        <f t="shared" si="59"/>
        <v>6099171.4400000004</v>
      </c>
      <c r="CB45" s="26">
        <f t="shared" si="59"/>
        <v>2316369.52</v>
      </c>
      <c r="CC45" s="26">
        <f t="shared" si="59"/>
        <v>1054047.2</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961783466.5420022</v>
      </c>
      <c r="C47" s="28">
        <f t="shared" ref="C47:BN47" si="62">C42-C45</f>
        <v>-624948179.09199882</v>
      </c>
      <c r="D47" s="28">
        <f t="shared" si="62"/>
        <v>-987902298.83160043</v>
      </c>
      <c r="E47" s="28">
        <f t="shared" si="62"/>
        <v>1560156195.9644005</v>
      </c>
      <c r="F47" s="28">
        <f t="shared" si="62"/>
        <v>762271564.70719981</v>
      </c>
      <c r="G47" s="28">
        <f t="shared" si="62"/>
        <v>-178862379.11759984</v>
      </c>
      <c r="H47" s="28">
        <f t="shared" si="62"/>
        <v>-793170961.08200026</v>
      </c>
      <c r="I47" s="28">
        <f t="shared" si="62"/>
        <v>2879749745.4892035</v>
      </c>
      <c r="J47" s="28">
        <f t="shared" si="62"/>
        <v>1384543068.5124006</v>
      </c>
      <c r="K47" s="28">
        <f t="shared" si="62"/>
        <v>400093968.8859998</v>
      </c>
      <c r="L47" s="28">
        <f t="shared" si="62"/>
        <v>-671699319.26000071</v>
      </c>
      <c r="M47" s="28">
        <f t="shared" si="62"/>
        <v>2695802358.4387984</v>
      </c>
      <c r="N47" s="28">
        <f t="shared" si="62"/>
        <v>1006828163.1792003</v>
      </c>
      <c r="O47" s="28">
        <f t="shared" si="62"/>
        <v>139837847.59040034</v>
      </c>
      <c r="P47" s="28">
        <f t="shared" si="62"/>
        <v>-515503129.76080006</v>
      </c>
      <c r="Q47" s="28">
        <f t="shared" si="62"/>
        <v>1785864073.4035995</v>
      </c>
      <c r="R47" s="28">
        <f t="shared" si="62"/>
        <v>386291333.71119928</v>
      </c>
      <c r="S47" s="28">
        <f t="shared" si="62"/>
        <v>-11220308.329600573</v>
      </c>
      <c r="T47" s="28">
        <f t="shared" si="62"/>
        <v>-440310986.58079988</v>
      </c>
      <c r="U47" s="28">
        <f t="shared" si="62"/>
        <v>1089221593.3312008</v>
      </c>
      <c r="V47" s="28">
        <f t="shared" si="62"/>
        <v>277678027.22560072</v>
      </c>
      <c r="W47" s="28">
        <f t="shared" si="62"/>
        <v>28936794.301199317</v>
      </c>
      <c r="X47" s="28">
        <f t="shared" si="62"/>
        <v>-341888693.84319961</v>
      </c>
      <c r="Y47" s="28">
        <f t="shared" si="62"/>
        <v>968365747.14919996</v>
      </c>
      <c r="Z47" s="28">
        <f t="shared" si="62"/>
        <v>428104421.01439869</v>
      </c>
      <c r="AA47" s="28">
        <f t="shared" si="62"/>
        <v>108246590.94280022</v>
      </c>
      <c r="AB47" s="28">
        <f t="shared" si="62"/>
        <v>-211656005.6060001</v>
      </c>
      <c r="AC47" s="28">
        <f t="shared" si="62"/>
        <v>740844223.70679975</v>
      </c>
      <c r="AD47" s="28">
        <f t="shared" si="62"/>
        <v>325260327.19600034</v>
      </c>
      <c r="AE47" s="28">
        <f t="shared" si="62"/>
        <v>145104774.15679967</v>
      </c>
      <c r="AF47" s="28">
        <f t="shared" si="62"/>
        <v>-78864845.18400009</v>
      </c>
      <c r="AG47" s="28">
        <f t="shared" si="62"/>
        <v>611228241.10119855</v>
      </c>
      <c r="AH47" s="28">
        <f t="shared" si="62"/>
        <v>325513151.86480039</v>
      </c>
      <c r="AI47" s="28">
        <f t="shared" si="62"/>
        <v>127393673.94600028</v>
      </c>
      <c r="AJ47" s="28">
        <f t="shared" si="62"/>
        <v>-40250628.204799831</v>
      </c>
      <c r="AK47" s="28">
        <f t="shared" si="62"/>
        <v>630568337.84720004</v>
      </c>
      <c r="AL47" s="28">
        <f t="shared" si="62"/>
        <v>186892913.12440017</v>
      </c>
      <c r="AM47" s="28">
        <f t="shared" si="62"/>
        <v>52190991.747199804</v>
      </c>
      <c r="AN47" s="28">
        <f t="shared" si="62"/>
        <v>-94407546.748400033</v>
      </c>
      <c r="AO47" s="28">
        <f t="shared" si="62"/>
        <v>388015600.01159954</v>
      </c>
      <c r="AP47" s="28">
        <f t="shared" si="62"/>
        <v>245960166.64680028</v>
      </c>
      <c r="AQ47" s="28">
        <f t="shared" si="62"/>
        <v>258874087.39320001</v>
      </c>
      <c r="AR47" s="28">
        <f t="shared" si="62"/>
        <v>92373903.632799804</v>
      </c>
      <c r="AS47" s="28">
        <f t="shared" si="62"/>
        <v>209564789.59240016</v>
      </c>
      <c r="AT47" s="28">
        <f t="shared" si="62"/>
        <v>-12732295.789199978</v>
      </c>
      <c r="AU47" s="28">
        <f t="shared" si="62"/>
        <v>-28813100.305600122</v>
      </c>
      <c r="AV47" s="28">
        <f t="shared" si="62"/>
        <v>-66487623.913200006</v>
      </c>
      <c r="AW47" s="28">
        <f t="shared" si="62"/>
        <v>73254992.052400067</v>
      </c>
      <c r="AX47" s="28">
        <f t="shared" si="62"/>
        <v>-34413627.233199894</v>
      </c>
      <c r="AY47" s="28">
        <f t="shared" si="62"/>
        <v>-54883845.887199759</v>
      </c>
      <c r="AZ47" s="28">
        <f t="shared" si="62"/>
        <v>-87533318.337599933</v>
      </c>
      <c r="BA47" s="28">
        <f t="shared" si="62"/>
        <v>44944110.139599279</v>
      </c>
      <c r="BB47" s="28">
        <f t="shared" si="62"/>
        <v>-4936560.423999846</v>
      </c>
      <c r="BC47" s="28">
        <f t="shared" si="62"/>
        <v>-44329942.957200006</v>
      </c>
      <c r="BD47" s="28">
        <f t="shared" si="62"/>
        <v>-69371702.631200105</v>
      </c>
      <c r="BE47" s="28">
        <f t="shared" si="62"/>
        <v>16618532.217599943</v>
      </c>
      <c r="BF47" s="28">
        <f t="shared" si="62"/>
        <v>-23181648.544399902</v>
      </c>
      <c r="BG47" s="28">
        <f t="shared" si="62"/>
        <v>-52248541.097199991</v>
      </c>
      <c r="BH47" s="28">
        <f t="shared" si="62"/>
        <v>-71786536.716799989</v>
      </c>
      <c r="BI47" s="28">
        <f t="shared" si="62"/>
        <v>33046330.762800053</v>
      </c>
      <c r="BJ47" s="28">
        <f t="shared" si="62"/>
        <v>-20587675.233599894</v>
      </c>
      <c r="BK47" s="28">
        <f t="shared" si="62"/>
        <v>-53109889.221199863</v>
      </c>
      <c r="BL47" s="28">
        <f t="shared" si="62"/>
        <v>-56958776.277200058</v>
      </c>
      <c r="BM47" s="28">
        <f t="shared" si="62"/>
        <v>15626466.084000066</v>
      </c>
      <c r="BN47" s="28">
        <f t="shared" si="62"/>
        <v>-24191235.768000126</v>
      </c>
      <c r="BO47" s="28">
        <f t="shared" ref="BO47:CJ47" si="63">BO42-BO45</f>
        <v>-43609114.838399962</v>
      </c>
      <c r="BP47" s="28">
        <f t="shared" si="63"/>
        <v>-59680919.149200022</v>
      </c>
      <c r="BQ47" s="28">
        <f t="shared" si="63"/>
        <v>23204053.344799921</v>
      </c>
      <c r="BR47" s="28">
        <f t="shared" si="63"/>
        <v>-42218344.510799997</v>
      </c>
      <c r="BS47" s="28">
        <f t="shared" si="63"/>
        <v>4798487.0691999123</v>
      </c>
      <c r="BT47" s="28">
        <f t="shared" si="63"/>
        <v>-34829231.288399965</v>
      </c>
      <c r="BU47" s="28">
        <f t="shared" si="63"/>
        <v>3563253.0331999585</v>
      </c>
      <c r="BV47" s="28">
        <f t="shared" si="63"/>
        <v>-31096122.491999976</v>
      </c>
      <c r="BW47" s="28">
        <f t="shared" si="63"/>
        <v>553899.31879998744</v>
      </c>
      <c r="BX47" s="28">
        <f t="shared" si="63"/>
        <v>-14192036.820399977</v>
      </c>
      <c r="BY47" s="28">
        <f t="shared" si="63"/>
        <v>9316743.8807999603</v>
      </c>
      <c r="BZ47" s="28">
        <f t="shared" si="63"/>
        <v>122699883.83520001</v>
      </c>
      <c r="CA47" s="28">
        <f t="shared" si="63"/>
        <v>14390211.559999999</v>
      </c>
      <c r="CB47" s="28">
        <f t="shared" si="63"/>
        <v>11835726.48</v>
      </c>
      <c r="CC47" s="28">
        <f t="shared" si="63"/>
        <v>1088555.8</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20010630</v>
      </c>
      <c r="BS51" s="189">
        <v>20001231</v>
      </c>
      <c r="BT51" s="189">
        <v>20000630</v>
      </c>
      <c r="BU51" s="189">
        <v>19991231</v>
      </c>
      <c r="BV51" s="189">
        <v>19990630</v>
      </c>
      <c r="BW51" s="189">
        <v>19981231</v>
      </c>
      <c r="BX51" s="189">
        <v>19980630</v>
      </c>
      <c r="BY51" s="189">
        <v>19971231</v>
      </c>
      <c r="BZ51" s="189">
        <v>19970630</v>
      </c>
      <c r="CA51" s="189">
        <v>19961231</v>
      </c>
      <c r="CB51" s="189">
        <v>19951231</v>
      </c>
      <c r="CC51" s="189">
        <v>19941231</v>
      </c>
      <c r="CD51" s="189">
        <v>19700101</v>
      </c>
      <c r="CE51" s="189">
        <v>19941231</v>
      </c>
      <c r="CF51" s="189">
        <v>19940630</v>
      </c>
      <c r="CG51" s="189">
        <v>19930630</v>
      </c>
      <c r="CH51" s="189">
        <v>19921231</v>
      </c>
      <c r="CI51" s="189">
        <v>19911231</v>
      </c>
      <c r="CJ51" s="189">
        <v>19901231</v>
      </c>
      <c r="CK51" s="189">
        <v>19700101</v>
      </c>
    </row>
    <row r="52" spans="1:89" s="43" customFormat="1" x14ac:dyDescent="0.25">
      <c r="A52" s="131" t="s">
        <v>571</v>
      </c>
      <c r="B52" s="42">
        <v>-25636</v>
      </c>
      <c r="C52" s="42">
        <v>-27718</v>
      </c>
      <c r="D52" s="42">
        <v>-35317</v>
      </c>
      <c r="E52" s="42">
        <v>-37016293.479999997</v>
      </c>
      <c r="F52" s="42">
        <v>-34414</v>
      </c>
      <c r="G52" s="42">
        <v>-23309</v>
      </c>
      <c r="H52" s="42">
        <v>-16814</v>
      </c>
      <c r="I52" s="42">
        <v>-49145120.460000001</v>
      </c>
      <c r="J52" s="42"/>
      <c r="K52" s="42"/>
      <c r="M52" s="43">
        <v>-98123565.090000004</v>
      </c>
      <c r="Q52" s="43">
        <v>-91010235.530000001</v>
      </c>
      <c r="U52" s="43">
        <v>-76763336.170000002</v>
      </c>
      <c r="Y52" s="43">
        <v>-51780088.799999997</v>
      </c>
      <c r="AC52" s="43">
        <v>-14143985.279999999</v>
      </c>
      <c r="AG52" s="43">
        <v>-12617635.869999999</v>
      </c>
    </row>
    <row r="53" spans="1:89" s="43" customFormat="1" x14ac:dyDescent="0.25">
      <c r="A53" s="132" t="s">
        <v>90</v>
      </c>
      <c r="B53" s="42">
        <v>217</v>
      </c>
      <c r="C53" s="42">
        <v>189</v>
      </c>
      <c r="D53" s="42"/>
      <c r="E53" s="42">
        <v>333002742.05000001</v>
      </c>
      <c r="F53" s="42"/>
      <c r="G53" s="42"/>
      <c r="H53" s="42"/>
      <c r="I53" s="42">
        <v>87785186.120000005</v>
      </c>
      <c r="J53" s="42"/>
      <c r="K53" s="42"/>
      <c r="M53" s="43">
        <v>84786939.790000007</v>
      </c>
      <c r="Q53" s="43">
        <v>68396526.150000006</v>
      </c>
      <c r="U53" s="43">
        <v>21066861.289999999</v>
      </c>
      <c r="Y53" s="43">
        <v>13150443.939999999</v>
      </c>
      <c r="AC53" s="43">
        <v>3148942.98</v>
      </c>
      <c r="AD53" s="42"/>
      <c r="AE53" s="42"/>
      <c r="AF53" s="42"/>
      <c r="AG53" s="42">
        <v>5568425.9199999999</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50073920.780000001</v>
      </c>
      <c r="F54" s="42">
        <v>2684</v>
      </c>
      <c r="G54" s="42">
        <v>-377</v>
      </c>
      <c r="H54" s="42">
        <v>1008</v>
      </c>
      <c r="I54" s="42">
        <v>114495147.13</v>
      </c>
      <c r="J54" s="42"/>
      <c r="K54" s="42"/>
      <c r="M54" s="43">
        <v>-152681914.44999999</v>
      </c>
      <c r="Q54" s="43">
        <v>-13500722.720000001</v>
      </c>
      <c r="U54" s="43">
        <v>12788475.18</v>
      </c>
      <c r="Y54" s="43">
        <v>-6390315.9299999997</v>
      </c>
      <c r="AC54" s="43">
        <v>8600642.3599999994</v>
      </c>
      <c r="AG54" s="43">
        <v>18674296.43</v>
      </c>
    </row>
    <row r="55" spans="1:89" s="43" customFormat="1" x14ac:dyDescent="0.25">
      <c r="A55" s="132" t="s">
        <v>92</v>
      </c>
      <c r="B55" s="42">
        <v>463</v>
      </c>
      <c r="C55" s="42">
        <v>603</v>
      </c>
      <c r="D55" s="42">
        <v>653</v>
      </c>
      <c r="E55" s="42">
        <v>15727776.189999999</v>
      </c>
      <c r="F55" s="42">
        <v>1204</v>
      </c>
      <c r="G55" s="42">
        <v>868</v>
      </c>
      <c r="H55" s="42">
        <v>644</v>
      </c>
      <c r="I55" s="42">
        <v>13765636.810000001</v>
      </c>
      <c r="J55" s="42"/>
      <c r="K55" s="42"/>
      <c r="M55" s="43">
        <v>9417861.1199999992</v>
      </c>
      <c r="Q55" s="43">
        <v>11421798.140000001</v>
      </c>
      <c r="U55" s="43">
        <v>19326234.550000001</v>
      </c>
      <c r="Y55" s="43">
        <v>3892751.06</v>
      </c>
      <c r="AC55" s="43">
        <v>6517796.0499999998</v>
      </c>
      <c r="AG55" s="43">
        <v>3125361.43</v>
      </c>
    </row>
    <row r="56" spans="1:89" s="26" customFormat="1" x14ac:dyDescent="0.25">
      <c r="A56" s="133" t="s">
        <v>93</v>
      </c>
      <c r="B56" s="44">
        <f>SUM(B52:B55)</f>
        <v>-21852</v>
      </c>
      <c r="C56" s="44">
        <f t="shared" ref="C56:D56" si="64">SUM(C52:C55)</f>
        <v>-28350</v>
      </c>
      <c r="D56" s="44">
        <f t="shared" si="64"/>
        <v>-35004</v>
      </c>
      <c r="E56" s="44">
        <f>SUM(E52:E55)</f>
        <v>361788145.54000002</v>
      </c>
      <c r="F56" s="44">
        <f t="shared" ref="F56:BQ56" si="65">SUM(F52:F55)</f>
        <v>-30526</v>
      </c>
      <c r="G56" s="44">
        <f t="shared" si="65"/>
        <v>-22818</v>
      </c>
      <c r="H56" s="44">
        <f t="shared" si="65"/>
        <v>-15162</v>
      </c>
      <c r="I56" s="44">
        <f t="shared" si="65"/>
        <v>166900849.59999999</v>
      </c>
      <c r="J56" s="44">
        <f t="shared" si="65"/>
        <v>0</v>
      </c>
      <c r="K56" s="44">
        <f t="shared" si="65"/>
        <v>0</v>
      </c>
      <c r="L56" s="44">
        <f t="shared" si="65"/>
        <v>0</v>
      </c>
      <c r="M56" s="44">
        <f t="shared" si="65"/>
        <v>-156600678.63</v>
      </c>
      <c r="N56" s="44">
        <f t="shared" si="65"/>
        <v>0</v>
      </c>
      <c r="O56" s="44">
        <f t="shared" si="65"/>
        <v>0</v>
      </c>
      <c r="P56" s="44">
        <f t="shared" si="65"/>
        <v>0</v>
      </c>
      <c r="Q56" s="44">
        <f t="shared" si="65"/>
        <v>-24692633.959999993</v>
      </c>
      <c r="R56" s="44">
        <f t="shared" si="65"/>
        <v>0</v>
      </c>
      <c r="S56" s="44">
        <f t="shared" si="65"/>
        <v>0</v>
      </c>
      <c r="T56" s="44">
        <f t="shared" si="65"/>
        <v>0</v>
      </c>
      <c r="U56" s="44">
        <f t="shared" si="65"/>
        <v>-23581765.150000002</v>
      </c>
      <c r="V56" s="44">
        <f t="shared" si="65"/>
        <v>0</v>
      </c>
      <c r="W56" s="44">
        <f t="shared" si="65"/>
        <v>0</v>
      </c>
      <c r="X56" s="44">
        <f t="shared" si="65"/>
        <v>0</v>
      </c>
      <c r="Y56" s="44">
        <f t="shared" si="65"/>
        <v>-41127209.729999997</v>
      </c>
      <c r="Z56" s="44">
        <f t="shared" si="65"/>
        <v>0</v>
      </c>
      <c r="AA56" s="44">
        <f t="shared" si="65"/>
        <v>0</v>
      </c>
      <c r="AB56" s="44">
        <f t="shared" si="65"/>
        <v>0</v>
      </c>
      <c r="AC56" s="44">
        <f t="shared" si="65"/>
        <v>4123396.1100000003</v>
      </c>
      <c r="AD56" s="44">
        <f t="shared" si="65"/>
        <v>0</v>
      </c>
      <c r="AE56" s="44">
        <f t="shared" si="65"/>
        <v>0</v>
      </c>
      <c r="AF56" s="44">
        <f t="shared" si="65"/>
        <v>0</v>
      </c>
      <c r="AG56" s="44">
        <f t="shared" si="65"/>
        <v>14750447.91</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1211836747.5</v>
      </c>
      <c r="C59" s="189">
        <v>626634101.41999996</v>
      </c>
      <c r="D59" s="189">
        <v>298025949.07999998</v>
      </c>
      <c r="E59" s="189">
        <v>3167845979.77</v>
      </c>
      <c r="F59" s="189">
        <v>1929493483.2</v>
      </c>
      <c r="G59" s="189">
        <v>826876923.53999996</v>
      </c>
      <c r="H59" s="189">
        <v>327368736.91000003</v>
      </c>
      <c r="I59" s="189">
        <v>4102339404.0900002</v>
      </c>
      <c r="J59" s="189">
        <v>2337714500.77</v>
      </c>
      <c r="K59" s="189">
        <v>1267633937.53</v>
      </c>
      <c r="L59" s="189">
        <v>395066413.33999997</v>
      </c>
      <c r="M59" s="189">
        <v>3587689128.1999998</v>
      </c>
      <c r="N59" s="189">
        <v>1907723838.9200001</v>
      </c>
      <c r="O59" s="189">
        <v>965983479.91999996</v>
      </c>
      <c r="P59" s="189">
        <v>384449481.80000001</v>
      </c>
      <c r="Q59" s="189">
        <v>2652631091.23</v>
      </c>
      <c r="R59" s="189">
        <v>1125544568.1600001</v>
      </c>
      <c r="S59" s="189">
        <v>695556800.34000003</v>
      </c>
      <c r="T59" s="189">
        <v>283700176.38</v>
      </c>
      <c r="U59" s="189">
        <v>1821907900.5899999</v>
      </c>
      <c r="V59" s="189">
        <v>902939766.08000004</v>
      </c>
      <c r="W59" s="189">
        <v>631968468.64999998</v>
      </c>
      <c r="X59" s="189">
        <v>265953766.22</v>
      </c>
      <c r="Y59" s="189">
        <v>1549787221.0799999</v>
      </c>
      <c r="Z59" s="189">
        <v>973218009.32000005</v>
      </c>
      <c r="AA59" s="189">
        <v>590400343.59000003</v>
      </c>
      <c r="AB59" s="189">
        <v>242349547.34999999</v>
      </c>
      <c r="AC59" s="189">
        <v>1182380359.9400001</v>
      </c>
      <c r="AD59" s="189">
        <v>735242011.41999996</v>
      </c>
      <c r="AE59" s="189">
        <v>423336103.57999998</v>
      </c>
      <c r="AF59" s="189">
        <v>178114157.94</v>
      </c>
      <c r="AG59" s="189">
        <v>857116385.45000005</v>
      </c>
      <c r="AH59" s="189">
        <v>544865807.39999998</v>
      </c>
      <c r="AI59" s="189">
        <v>361966997.97000003</v>
      </c>
      <c r="AJ59" s="189">
        <v>141560200.34</v>
      </c>
      <c r="AK59" s="189">
        <v>567469904.38999999</v>
      </c>
      <c r="AL59" s="189">
        <v>340682885.69</v>
      </c>
      <c r="AM59" s="189">
        <v>193555596.28</v>
      </c>
      <c r="AN59" s="189">
        <v>54414814.630000003</v>
      </c>
      <c r="AO59" s="189">
        <v>524097901.31</v>
      </c>
      <c r="AP59" s="189">
        <v>374981986.58999997</v>
      </c>
      <c r="AQ59" s="189">
        <v>396931234.61000001</v>
      </c>
      <c r="AR59" s="189">
        <v>253482531.28</v>
      </c>
      <c r="AS59" s="189">
        <v>435850673.97000003</v>
      </c>
      <c r="AT59" s="189">
        <v>157542716.21000001</v>
      </c>
      <c r="AU59" s="189">
        <v>95907935.900000006</v>
      </c>
      <c r="AV59" s="189">
        <v>42127973.369999997</v>
      </c>
      <c r="AW59" s="189">
        <v>224957896.63</v>
      </c>
      <c r="AX59" s="189">
        <v>129975501.51000001</v>
      </c>
      <c r="AY59" s="189">
        <v>74152337.709999993</v>
      </c>
      <c r="AZ59" s="189">
        <v>32720498.34</v>
      </c>
      <c r="BA59" s="189">
        <v>181959835.59999999</v>
      </c>
      <c r="BB59" s="189">
        <v>112496251.52</v>
      </c>
      <c r="BC59" s="189">
        <v>66015407.560000002</v>
      </c>
      <c r="BD59" s="189">
        <v>27787573.109999999</v>
      </c>
      <c r="BE59" s="189">
        <v>143511453.19</v>
      </c>
      <c r="BF59" s="189">
        <v>90480165.120000005</v>
      </c>
      <c r="BG59" s="189">
        <v>42002242.340000004</v>
      </c>
      <c r="BH59" s="189">
        <v>20621228.02</v>
      </c>
      <c r="BI59" s="189">
        <v>128172132.52</v>
      </c>
      <c r="BJ59" s="189">
        <v>71707172.719999999</v>
      </c>
      <c r="BK59" s="189">
        <v>26972349.449999999</v>
      </c>
      <c r="BL59" s="189">
        <v>24412008.140000001</v>
      </c>
      <c r="BM59" s="189">
        <v>104058010.26000001</v>
      </c>
      <c r="BN59" s="189">
        <v>61028226.899999999</v>
      </c>
      <c r="BO59" s="189">
        <v>32994694.149999999</v>
      </c>
      <c r="BP59" s="189">
        <v>11773004.800000001</v>
      </c>
      <c r="BQ59" s="189">
        <v>98425147</v>
      </c>
      <c r="BR59" s="189">
        <v>30110279.850000001</v>
      </c>
      <c r="BS59" s="189">
        <v>78707896.709999993</v>
      </c>
      <c r="BT59" s="189">
        <v>19129705.52</v>
      </c>
      <c r="BU59" s="189">
        <v>70690625.760000005</v>
      </c>
      <c r="BV59" s="189">
        <v>21538238.510000002</v>
      </c>
      <c r="BW59" s="189">
        <v>59018395.049999997</v>
      </c>
      <c r="BX59" s="189">
        <v>20335769.640000001</v>
      </c>
      <c r="BY59" s="189">
        <v>42632652.219999999</v>
      </c>
      <c r="BZ59" s="189">
        <v>18353630.140000001</v>
      </c>
      <c r="CA59" s="189">
        <v>21205024</v>
      </c>
      <c r="CB59" s="189">
        <v>14863277</v>
      </c>
      <c r="CC59" s="189">
        <v>2547919</v>
      </c>
      <c r="CD59" s="189">
        <v>0</v>
      </c>
      <c r="CE59" s="189">
        <v>162135000</v>
      </c>
      <c r="CF59" s="189">
        <v>90056788.769999996</v>
      </c>
      <c r="CG59" s="189">
        <v>54430000</v>
      </c>
      <c r="CH59" s="189">
        <v>80440000</v>
      </c>
      <c r="CI59" s="189">
        <v>58950000</v>
      </c>
      <c r="CJ59" s="189">
        <v>67670000</v>
      </c>
      <c r="CK59" s="189">
        <v>0</v>
      </c>
    </row>
    <row r="60" spans="1:89" x14ac:dyDescent="0.25">
      <c r="A60" s="22" t="s">
        <v>95</v>
      </c>
      <c r="B60" s="189">
        <v>208486388.88</v>
      </c>
      <c r="C60" s="189">
        <v>116864837.68000001</v>
      </c>
      <c r="D60" s="189">
        <v>71982699.340000004</v>
      </c>
      <c r="E60" s="189">
        <v>468099267.30000001</v>
      </c>
      <c r="F60" s="189">
        <v>279104360.61000001</v>
      </c>
      <c r="G60" s="189">
        <v>115998941.87</v>
      </c>
      <c r="H60" s="189">
        <v>81947196.180000007</v>
      </c>
      <c r="I60" s="189">
        <v>679950858.49000001</v>
      </c>
      <c r="J60" s="189">
        <v>350801980.95999998</v>
      </c>
      <c r="K60" s="189">
        <v>189933175.37</v>
      </c>
      <c r="L60" s="189">
        <v>60804750.649999999</v>
      </c>
      <c r="M60" s="189">
        <v>516655761.86000001</v>
      </c>
      <c r="N60" s="189">
        <v>263337108.59</v>
      </c>
      <c r="O60" s="189">
        <v>123289071.38</v>
      </c>
      <c r="P60" s="189">
        <v>57532999.539999999</v>
      </c>
      <c r="Q60" s="189">
        <v>398209271.61000001</v>
      </c>
      <c r="R60" s="189">
        <v>155993411.43000001</v>
      </c>
      <c r="S60" s="189">
        <v>96058418.540000007</v>
      </c>
      <c r="T60" s="189">
        <v>37310568.710000001</v>
      </c>
      <c r="U60" s="189">
        <v>265382461.99000001</v>
      </c>
      <c r="V60" s="189">
        <v>124339385.64</v>
      </c>
      <c r="W60" s="189">
        <v>87861508.019999996</v>
      </c>
      <c r="X60" s="189">
        <v>36288365.579999998</v>
      </c>
      <c r="Y60" s="189">
        <v>215398181.50999999</v>
      </c>
      <c r="Z60" s="189">
        <v>135380629.41999999</v>
      </c>
      <c r="AA60" s="189">
        <v>81072643.849999994</v>
      </c>
      <c r="AB60" s="189">
        <v>37037749.289999999</v>
      </c>
      <c r="AC60" s="189">
        <v>170944119.80000001</v>
      </c>
      <c r="AD60" s="189">
        <v>101734029.41</v>
      </c>
      <c r="AE60" s="189">
        <v>57807154.219999999</v>
      </c>
      <c r="AF60" s="189">
        <v>22977316.98</v>
      </c>
      <c r="AG60" s="189">
        <v>116672094.23999999</v>
      </c>
      <c r="AH60" s="189">
        <v>85247231.560000002</v>
      </c>
      <c r="AI60" s="189">
        <v>54374072.369999997</v>
      </c>
      <c r="AJ60" s="189">
        <v>17526255.899999999</v>
      </c>
      <c r="AK60" s="189">
        <v>86305628.010000005</v>
      </c>
      <c r="AL60" s="189">
        <v>53368157.719999999</v>
      </c>
      <c r="AM60" s="189">
        <v>29347436.190000001</v>
      </c>
      <c r="AN60" s="189">
        <v>7420192.7000000002</v>
      </c>
      <c r="AO60" s="189">
        <v>105726693.14</v>
      </c>
      <c r="AP60" s="189">
        <v>87981905.090000004</v>
      </c>
      <c r="AQ60" s="189">
        <v>106333327.47</v>
      </c>
      <c r="AR60" s="189">
        <v>81383345.5</v>
      </c>
      <c r="AS60" s="189">
        <v>161977130.12</v>
      </c>
      <c r="AT60" s="189">
        <v>80875588.129999995</v>
      </c>
      <c r="AU60" s="189">
        <v>47756926.700000003</v>
      </c>
      <c r="AV60" s="189">
        <v>23523361.210000001</v>
      </c>
      <c r="AW60" s="189">
        <v>100710678.51000001</v>
      </c>
      <c r="AX60" s="189">
        <v>66990377.799999997</v>
      </c>
      <c r="AY60" s="189">
        <v>40938696.469999999</v>
      </c>
      <c r="AZ60" s="189">
        <v>17236860.98</v>
      </c>
      <c r="BA60" s="189">
        <v>88495415.030000001</v>
      </c>
      <c r="BB60" s="189">
        <v>58167851.869999997</v>
      </c>
      <c r="BC60" s="189">
        <v>32899466.940000001</v>
      </c>
      <c r="BD60" s="189">
        <v>14323248.039999999</v>
      </c>
      <c r="BE60" s="189">
        <v>52825089.240000002</v>
      </c>
      <c r="BF60" s="189">
        <v>48242970.5</v>
      </c>
      <c r="BG60" s="189">
        <v>23565667.52</v>
      </c>
      <c r="BH60" s="189">
        <v>11391841.1</v>
      </c>
      <c r="BI60" s="189">
        <v>56253097.399999999</v>
      </c>
      <c r="BJ60" s="189">
        <v>36784790.009999998</v>
      </c>
      <c r="BK60" s="189">
        <v>20580372.25</v>
      </c>
      <c r="BL60" s="189">
        <v>12023824.91</v>
      </c>
      <c r="BM60" s="189">
        <v>67501059.700000003</v>
      </c>
      <c r="BN60" s="189">
        <v>43845411.659999996</v>
      </c>
      <c r="BO60" s="189">
        <v>22970188.719999999</v>
      </c>
      <c r="BP60" s="189">
        <v>5798644.1500000004</v>
      </c>
      <c r="BQ60" s="189">
        <v>23929553.059999999</v>
      </c>
      <c r="BR60" s="189">
        <v>10332092.710000001</v>
      </c>
      <c r="BS60" s="189">
        <v>18376212.32</v>
      </c>
      <c r="BT60" s="189">
        <v>9422093.7599999998</v>
      </c>
      <c r="BU60" s="189">
        <v>26718628.920000002</v>
      </c>
      <c r="BV60" s="189">
        <v>8588520.0600000005</v>
      </c>
      <c r="BW60" s="189">
        <v>22390610.699999999</v>
      </c>
      <c r="BX60" s="189">
        <v>3161891.56</v>
      </c>
      <c r="BY60" s="189">
        <v>7791589.8200000003</v>
      </c>
      <c r="BZ60" s="189">
        <v>3238875.9</v>
      </c>
      <c r="CA60" s="189">
        <v>9116686</v>
      </c>
      <c r="CB60" s="189">
        <v>7320718</v>
      </c>
      <c r="CC60" s="189">
        <v>1254945</v>
      </c>
      <c r="CD60" s="189">
        <v>0</v>
      </c>
      <c r="CE60" s="189">
        <v>27810000</v>
      </c>
      <c r="CF60" s="189">
        <v>16447145.279999999</v>
      </c>
      <c r="CG60" s="189">
        <v>4330000</v>
      </c>
      <c r="CH60" s="189">
        <v>4220000</v>
      </c>
      <c r="CI60" s="189">
        <v>12510000</v>
      </c>
      <c r="CJ60" s="189">
        <v>3630000</v>
      </c>
      <c r="CK60" s="189">
        <v>0</v>
      </c>
    </row>
    <row r="61" spans="1:89" x14ac:dyDescent="0.25">
      <c r="A61" s="22" t="s">
        <v>94</v>
      </c>
      <c r="B61" s="189">
        <v>1420323136.3800001</v>
      </c>
      <c r="C61" s="189">
        <v>743498939.10000002</v>
      </c>
      <c r="D61" s="189">
        <v>370008648.42000002</v>
      </c>
      <c r="E61" s="189">
        <v>3635945247.0700002</v>
      </c>
      <c r="F61" s="189">
        <v>2208597843.8099999</v>
      </c>
      <c r="G61" s="189">
        <v>942875865.40999997</v>
      </c>
      <c r="H61" s="189">
        <v>409315933.08999997</v>
      </c>
      <c r="I61" s="189">
        <v>4782290262.5799999</v>
      </c>
      <c r="J61" s="189">
        <v>2688516481.73</v>
      </c>
      <c r="K61" s="189">
        <v>1457567112.9000001</v>
      </c>
      <c r="L61" s="189">
        <v>455871163.99000001</v>
      </c>
      <c r="M61" s="189">
        <v>4104344890.0599999</v>
      </c>
      <c r="N61" s="189">
        <v>2171060947.5100002</v>
      </c>
      <c r="O61" s="189">
        <v>1089272551.3</v>
      </c>
      <c r="P61" s="189">
        <v>441982481.33999997</v>
      </c>
      <c r="Q61" s="189">
        <v>3050840362.8400002</v>
      </c>
      <c r="R61" s="189">
        <v>1281537979.5899999</v>
      </c>
      <c r="S61" s="189">
        <v>791615218.88</v>
      </c>
      <c r="T61" s="189">
        <v>321010745.08999997</v>
      </c>
      <c r="U61" s="189">
        <v>2087290362.5799999</v>
      </c>
      <c r="V61" s="189">
        <v>1027279151.72</v>
      </c>
      <c r="W61" s="189">
        <v>719829976.66999996</v>
      </c>
      <c r="X61" s="189">
        <v>302242131.80000001</v>
      </c>
      <c r="Y61" s="189">
        <v>1765185402.5899999</v>
      </c>
      <c r="Z61" s="189">
        <v>1108598638.74</v>
      </c>
      <c r="AA61" s="189">
        <v>671472987.44000006</v>
      </c>
      <c r="AB61" s="189">
        <v>279387296.63999999</v>
      </c>
      <c r="AC61" s="189">
        <v>1353324479.74</v>
      </c>
      <c r="AD61" s="189">
        <v>836976040.83000004</v>
      </c>
      <c r="AE61" s="189">
        <v>481143257.80000001</v>
      </c>
      <c r="AF61" s="189">
        <v>201091474.91999999</v>
      </c>
      <c r="AG61" s="189">
        <v>973788479.69000006</v>
      </c>
      <c r="AH61" s="189">
        <v>630113038.96000004</v>
      </c>
      <c r="AI61" s="189">
        <v>416341070.33999997</v>
      </c>
      <c r="AJ61" s="189">
        <v>159086456.24000001</v>
      </c>
      <c r="AK61" s="189">
        <v>653775532.39999998</v>
      </c>
      <c r="AL61" s="189">
        <v>394051043.41000003</v>
      </c>
      <c r="AM61" s="189">
        <v>222903032.47</v>
      </c>
      <c r="AN61" s="189">
        <v>61835007.329999998</v>
      </c>
      <c r="AO61" s="189">
        <v>629824594.45000005</v>
      </c>
      <c r="AP61" s="189">
        <v>462963891.68000001</v>
      </c>
      <c r="AQ61" s="189">
        <v>503264562.07999998</v>
      </c>
      <c r="AR61" s="189">
        <v>334865876.77999997</v>
      </c>
      <c r="AS61" s="189">
        <v>597827804.09000003</v>
      </c>
      <c r="AT61" s="189">
        <v>238418304.34</v>
      </c>
      <c r="AU61" s="189">
        <v>143664862.59999999</v>
      </c>
      <c r="AV61" s="189">
        <v>65651334.579999998</v>
      </c>
      <c r="AW61" s="189">
        <v>325668575.13999999</v>
      </c>
      <c r="AX61" s="189">
        <v>196965879.31</v>
      </c>
      <c r="AY61" s="189">
        <v>115091034.18000001</v>
      </c>
      <c r="AZ61" s="189">
        <v>49957359.32</v>
      </c>
      <c r="BA61" s="189">
        <v>270455250.63</v>
      </c>
      <c r="BB61" s="189">
        <v>170664103.38999999</v>
      </c>
      <c r="BC61" s="189">
        <v>98914874.5</v>
      </c>
      <c r="BD61" s="189">
        <v>42110821.149999999</v>
      </c>
      <c r="BE61" s="189">
        <v>196336542.43000001</v>
      </c>
      <c r="BF61" s="189">
        <v>138723135.62</v>
      </c>
      <c r="BG61" s="189">
        <v>65567909.859999999</v>
      </c>
      <c r="BH61" s="189">
        <v>32013069.120000001</v>
      </c>
      <c r="BI61" s="189">
        <v>184425229.91999999</v>
      </c>
      <c r="BJ61" s="189">
        <v>108491962.73</v>
      </c>
      <c r="BK61" s="189">
        <v>47552721.700000003</v>
      </c>
      <c r="BL61" s="189">
        <v>36435833.049999997</v>
      </c>
      <c r="BM61" s="189">
        <v>171559069.96000001</v>
      </c>
      <c r="BN61" s="189">
        <v>104873638.56</v>
      </c>
      <c r="BO61" s="189">
        <v>55964882.869999997</v>
      </c>
      <c r="BP61" s="189">
        <v>17571648.949999999</v>
      </c>
      <c r="BQ61" s="189">
        <v>122354700.06</v>
      </c>
      <c r="BR61" s="189">
        <v>40442372.560000002</v>
      </c>
      <c r="BS61" s="189">
        <v>97084109.030000001</v>
      </c>
      <c r="BT61" s="189">
        <v>28551799.280000001</v>
      </c>
      <c r="BU61" s="189">
        <v>97409254.680000007</v>
      </c>
      <c r="BV61" s="189">
        <v>30126758.57</v>
      </c>
      <c r="BW61" s="189">
        <v>81409005.75</v>
      </c>
      <c r="BX61" s="189">
        <v>23497661.199999999</v>
      </c>
      <c r="BY61" s="189">
        <v>50424242.039999999</v>
      </c>
      <c r="BZ61" s="189">
        <v>21592506.039999999</v>
      </c>
      <c r="CA61" s="189">
        <v>30321710</v>
      </c>
      <c r="CB61" s="189">
        <v>22183995</v>
      </c>
      <c r="CC61" s="189">
        <v>3802864</v>
      </c>
      <c r="CD61" s="189">
        <v>0</v>
      </c>
      <c r="CE61" s="189">
        <v>189945000</v>
      </c>
      <c r="CF61" s="189">
        <v>106503934.05</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80841533.140000001</v>
      </c>
      <c r="C65" s="189">
        <v>63844363.859999999</v>
      </c>
      <c r="D65" s="189">
        <v>31083959.859999999</v>
      </c>
      <c r="E65" s="189">
        <v>86307598.790000007</v>
      </c>
      <c r="F65" s="189">
        <v>90406741.359999999</v>
      </c>
      <c r="G65" s="189">
        <v>74986987.340000004</v>
      </c>
      <c r="H65" s="189">
        <v>45999233.170000002</v>
      </c>
      <c r="I65" s="189">
        <v>-12668793.67</v>
      </c>
      <c r="J65" s="189">
        <v>-34420841.479999997</v>
      </c>
      <c r="K65" s="189">
        <v>28268775.199999999</v>
      </c>
      <c r="L65" s="189">
        <v>16861805.739999998</v>
      </c>
      <c r="M65" s="189">
        <v>61737809.619999997</v>
      </c>
      <c r="N65" s="189">
        <v>22866119.48</v>
      </c>
      <c r="O65" s="189">
        <v>12346189.75</v>
      </c>
      <c r="P65" s="189">
        <v>5734936.6200000001</v>
      </c>
      <c r="Q65" s="189">
        <v>97897015.230000004</v>
      </c>
      <c r="R65" s="189">
        <v>64320448.729999997</v>
      </c>
      <c r="S65" s="189">
        <v>45441193.189999998</v>
      </c>
      <c r="T65" s="189">
        <v>14515679.390000001</v>
      </c>
      <c r="U65" s="189">
        <v>31006105.719999999</v>
      </c>
      <c r="V65" s="189">
        <v>18188552.309999999</v>
      </c>
      <c r="W65" s="189">
        <v>12435730.34</v>
      </c>
      <c r="X65" s="189">
        <v>9675799.2799999993</v>
      </c>
      <c r="Y65" s="189">
        <v>61341955.799999997</v>
      </c>
      <c r="Z65" s="189">
        <v>62469881.579999998</v>
      </c>
      <c r="AA65" s="189">
        <v>59713018.549999997</v>
      </c>
      <c r="AB65" s="189">
        <v>17541689.52</v>
      </c>
      <c r="AC65" s="189">
        <v>7929677.96</v>
      </c>
      <c r="AD65" s="189">
        <v>15419559.27</v>
      </c>
      <c r="AE65" s="189">
        <v>5648989.3700000001</v>
      </c>
      <c r="AF65" s="189">
        <v>4544576.62</v>
      </c>
      <c r="AG65" s="189">
        <v>17182324.800000001</v>
      </c>
      <c r="AH65" s="189">
        <v>9591188.1999999993</v>
      </c>
      <c r="AI65" s="189">
        <v>5939834.1200000001</v>
      </c>
      <c r="AJ65" s="189">
        <v>2539555.75</v>
      </c>
      <c r="AK65" s="189">
        <v>31518724.789999999</v>
      </c>
      <c r="AL65" s="189">
        <v>21499407.52</v>
      </c>
      <c r="AM65" s="189">
        <v>16168988.65</v>
      </c>
      <c r="AN65" s="189">
        <v>-28554.44</v>
      </c>
      <c r="AO65" s="189">
        <v>353001055.26999998</v>
      </c>
      <c r="AP65" s="189">
        <v>378664953.86000001</v>
      </c>
      <c r="AQ65" s="189">
        <v>294960372.10000002</v>
      </c>
      <c r="AR65" s="189">
        <v>278032430.14999998</v>
      </c>
      <c r="AS65" s="189">
        <v>49295649.890000001</v>
      </c>
      <c r="AT65" s="189">
        <v>23890478.850000001</v>
      </c>
      <c r="AU65" s="189">
        <v>13624473.16</v>
      </c>
      <c r="AV65" s="189">
        <v>3791462.98</v>
      </c>
      <c r="AW65" s="189">
        <v>13185255.029999999</v>
      </c>
      <c r="AX65" s="189">
        <v>2081152.92</v>
      </c>
      <c r="AY65" s="189">
        <v>-6550107.71</v>
      </c>
      <c r="AZ65" s="189">
        <v>1172525.6399999999</v>
      </c>
      <c r="BA65" s="189">
        <v>9171774.9000000004</v>
      </c>
      <c r="BB65" s="189">
        <v>7395958.3899999997</v>
      </c>
      <c r="BC65" s="189">
        <v>4984582.96</v>
      </c>
      <c r="BD65" s="189">
        <v>3050360.76</v>
      </c>
      <c r="BE65" s="189">
        <v>2186545.7999999998</v>
      </c>
      <c r="BF65" s="189">
        <v>1573989.31</v>
      </c>
      <c r="BG65" s="189">
        <v>1183478.1499999999</v>
      </c>
      <c r="BH65" s="189">
        <v>840000</v>
      </c>
      <c r="BI65" s="189">
        <v>-486358.5</v>
      </c>
      <c r="BJ65" s="189">
        <v>156839.66</v>
      </c>
      <c r="BK65" s="189">
        <v>156839.66</v>
      </c>
      <c r="BL65" s="189">
        <v>118808.74</v>
      </c>
      <c r="BM65" s="189">
        <v>840242.51</v>
      </c>
      <c r="BN65" s="189">
        <v>1068816.83</v>
      </c>
      <c r="BO65" s="189">
        <v>1068816.83</v>
      </c>
      <c r="BP65" s="189">
        <v>0</v>
      </c>
      <c r="BQ65" s="189">
        <v>5477612.75</v>
      </c>
      <c r="BR65" s="189">
        <v>7000000</v>
      </c>
      <c r="BS65" s="189">
        <v>0</v>
      </c>
      <c r="BT65" s="189">
        <v>0</v>
      </c>
      <c r="BU65" s="189">
        <v>11254042</v>
      </c>
      <c r="BV65" s="189">
        <v>4500000</v>
      </c>
      <c r="BW65" s="189">
        <v>7005958</v>
      </c>
      <c r="BX65" s="189">
        <v>0</v>
      </c>
      <c r="BY65" s="189">
        <v>7080317.8600000003</v>
      </c>
      <c r="BZ65" s="189">
        <v>3409986.62</v>
      </c>
      <c r="CA65" s="189">
        <v>10848</v>
      </c>
      <c r="CB65" s="189">
        <v>19688</v>
      </c>
      <c r="CC65" s="189">
        <v>17896</v>
      </c>
      <c r="CD65" s="189">
        <v>0</v>
      </c>
      <c r="CE65" s="189">
        <v>7729000</v>
      </c>
      <c r="CF65" s="189">
        <v>2092581.44</v>
      </c>
      <c r="CG65" s="189">
        <v>0</v>
      </c>
      <c r="CH65" s="189">
        <v>0</v>
      </c>
      <c r="CI65" s="189">
        <v>0</v>
      </c>
      <c r="CJ65" s="189">
        <v>0</v>
      </c>
      <c r="CK65" s="189">
        <v>0</v>
      </c>
    </row>
    <row r="66" spans="1:89" x14ac:dyDescent="0.25">
      <c r="A66" s="22" t="s">
        <v>99</v>
      </c>
      <c r="B66" s="189">
        <v>24191913.25</v>
      </c>
      <c r="C66" s="189">
        <v>14076604.359999999</v>
      </c>
      <c r="D66" s="189">
        <v>2296278.5699999998</v>
      </c>
      <c r="E66" s="189">
        <v>32853540.620000001</v>
      </c>
      <c r="F66" s="189">
        <v>39298991.979999997</v>
      </c>
      <c r="G66" s="189">
        <v>31041593.670000002</v>
      </c>
      <c r="H66" s="189">
        <v>13815692.869999999</v>
      </c>
      <c r="I66" s="189">
        <v>28640929.300000001</v>
      </c>
      <c r="J66" s="189">
        <v>11416697.560000001</v>
      </c>
      <c r="K66" s="189">
        <v>6272506.4699999997</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3666330</v>
      </c>
      <c r="AG66" s="189">
        <v>0</v>
      </c>
      <c r="AH66" s="189">
        <v>0</v>
      </c>
      <c r="AI66" s="189">
        <v>0</v>
      </c>
      <c r="AJ66" s="189">
        <v>0</v>
      </c>
      <c r="AK66" s="189">
        <v>-1328374.43</v>
      </c>
      <c r="AL66" s="189">
        <v>5277574.4800000004</v>
      </c>
      <c r="AM66" s="189">
        <v>5277574.4800000004</v>
      </c>
      <c r="AN66" s="189">
        <v>-1338498.1499999999</v>
      </c>
      <c r="AO66" s="189">
        <v>-3638378.98</v>
      </c>
      <c r="AP66" s="189">
        <v>-2473518.4700000002</v>
      </c>
      <c r="AQ66" s="189">
        <v>-1793591.05</v>
      </c>
      <c r="AR66" s="189">
        <v>-837793.33</v>
      </c>
      <c r="AS66" s="189">
        <v>-1330461.3600000001</v>
      </c>
      <c r="AT66" s="189">
        <v>-247631.13</v>
      </c>
      <c r="AU66" s="189">
        <v>146578.22</v>
      </c>
      <c r="AV66" s="189">
        <v>-72900.740000000005</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56649619.890000001</v>
      </c>
      <c r="C67" s="4">
        <f t="shared" ref="C67:BN67" si="67">C65-C66</f>
        <v>49767759.5</v>
      </c>
      <c r="D67" s="4">
        <f t="shared" si="67"/>
        <v>28787681.289999999</v>
      </c>
      <c r="E67" s="4">
        <f t="shared" si="67"/>
        <v>53454058.170000002</v>
      </c>
      <c r="F67" s="4">
        <f t="shared" si="67"/>
        <v>51107749.380000003</v>
      </c>
      <c r="G67" s="4">
        <f t="shared" si="67"/>
        <v>43945393.670000002</v>
      </c>
      <c r="H67" s="4">
        <f t="shared" si="67"/>
        <v>32183540.300000004</v>
      </c>
      <c r="I67" s="4">
        <f t="shared" si="67"/>
        <v>-41309722.969999999</v>
      </c>
      <c r="J67" s="4">
        <f t="shared" si="67"/>
        <v>-45837539.039999999</v>
      </c>
      <c r="K67" s="4">
        <f t="shared" si="67"/>
        <v>21996268.73</v>
      </c>
      <c r="L67" s="4">
        <f t="shared" si="67"/>
        <v>16861805.739999998</v>
      </c>
      <c r="M67" s="4">
        <f t="shared" si="67"/>
        <v>61737809.619999997</v>
      </c>
      <c r="N67" s="4">
        <f t="shared" si="67"/>
        <v>22866119.48</v>
      </c>
      <c r="O67" s="4">
        <f t="shared" si="67"/>
        <v>12346189.75</v>
      </c>
      <c r="P67" s="4">
        <f t="shared" si="67"/>
        <v>5734936.6200000001</v>
      </c>
      <c r="Q67" s="4">
        <f t="shared" si="67"/>
        <v>97897015.230000004</v>
      </c>
      <c r="R67" s="4">
        <f t="shared" si="67"/>
        <v>64320448.729999997</v>
      </c>
      <c r="S67" s="4">
        <f t="shared" si="67"/>
        <v>45441193.189999998</v>
      </c>
      <c r="T67" s="4">
        <f t="shared" si="67"/>
        <v>14515679.390000001</v>
      </c>
      <c r="U67" s="4">
        <f t="shared" si="67"/>
        <v>31006105.719999999</v>
      </c>
      <c r="V67" s="4">
        <f t="shared" si="67"/>
        <v>18188552.309999999</v>
      </c>
      <c r="W67" s="4">
        <f t="shared" si="67"/>
        <v>12435730.34</v>
      </c>
      <c r="X67" s="4">
        <f t="shared" si="67"/>
        <v>9675799.2799999993</v>
      </c>
      <c r="Y67" s="4">
        <f t="shared" si="67"/>
        <v>61341955.799999997</v>
      </c>
      <c r="Z67" s="4">
        <f t="shared" si="67"/>
        <v>62469881.579999998</v>
      </c>
      <c r="AA67" s="4">
        <f t="shared" si="67"/>
        <v>59713018.549999997</v>
      </c>
      <c r="AB67" s="4">
        <f t="shared" si="67"/>
        <v>17541689.52</v>
      </c>
      <c r="AC67" s="4">
        <f t="shared" si="67"/>
        <v>7929677.96</v>
      </c>
      <c r="AD67" s="4">
        <f t="shared" si="67"/>
        <v>15419559.27</v>
      </c>
      <c r="AE67" s="4">
        <f t="shared" si="67"/>
        <v>5648989.3700000001</v>
      </c>
      <c r="AF67" s="4">
        <f t="shared" si="67"/>
        <v>878246.62000000011</v>
      </c>
      <c r="AG67" s="4">
        <f t="shared" si="67"/>
        <v>17182324.800000001</v>
      </c>
      <c r="AH67" s="4">
        <f t="shared" si="67"/>
        <v>9591188.1999999993</v>
      </c>
      <c r="AI67" s="4">
        <f t="shared" si="67"/>
        <v>5939834.1200000001</v>
      </c>
      <c r="AJ67" s="4">
        <f t="shared" si="67"/>
        <v>2539555.75</v>
      </c>
      <c r="AK67" s="4">
        <f t="shared" si="67"/>
        <v>32847099.219999999</v>
      </c>
      <c r="AL67" s="4">
        <f t="shared" si="67"/>
        <v>16221833.039999999</v>
      </c>
      <c r="AM67" s="4">
        <f t="shared" si="67"/>
        <v>10891414.17</v>
      </c>
      <c r="AN67" s="4">
        <f t="shared" si="67"/>
        <v>1309943.71</v>
      </c>
      <c r="AO67" s="4">
        <f t="shared" si="67"/>
        <v>356639434.25</v>
      </c>
      <c r="AP67" s="4">
        <f t="shared" si="67"/>
        <v>381138472.33000004</v>
      </c>
      <c r="AQ67" s="4">
        <f t="shared" si="67"/>
        <v>296753963.15000004</v>
      </c>
      <c r="AR67" s="4">
        <f t="shared" si="67"/>
        <v>278870223.47999996</v>
      </c>
      <c r="AS67" s="4">
        <f t="shared" si="67"/>
        <v>50626111.25</v>
      </c>
      <c r="AT67" s="4">
        <f t="shared" si="67"/>
        <v>24138109.98</v>
      </c>
      <c r="AU67" s="4">
        <f t="shared" si="67"/>
        <v>13477894.939999999</v>
      </c>
      <c r="AV67" s="4">
        <f t="shared" si="67"/>
        <v>3864363.72</v>
      </c>
      <c r="AW67" s="4">
        <f t="shared" si="67"/>
        <v>13185255.029999999</v>
      </c>
      <c r="AX67" s="4">
        <f t="shared" si="67"/>
        <v>2081152.92</v>
      </c>
      <c r="AY67" s="4">
        <f t="shared" si="67"/>
        <v>-6550107.71</v>
      </c>
      <c r="AZ67" s="4">
        <f t="shared" si="67"/>
        <v>1172525.6399999999</v>
      </c>
      <c r="BA67" s="4">
        <f t="shared" si="67"/>
        <v>9171774.9000000004</v>
      </c>
      <c r="BB67" s="4">
        <f t="shared" si="67"/>
        <v>7395958.3899999997</v>
      </c>
      <c r="BC67" s="4">
        <f t="shared" si="67"/>
        <v>4984582.96</v>
      </c>
      <c r="BD67" s="4">
        <f t="shared" si="67"/>
        <v>3050360.76</v>
      </c>
      <c r="BE67" s="4">
        <f t="shared" si="67"/>
        <v>2186545.7999999998</v>
      </c>
      <c r="BF67" s="4">
        <f t="shared" si="67"/>
        <v>1573989.31</v>
      </c>
      <c r="BG67" s="4">
        <f t="shared" si="67"/>
        <v>1183478.1499999999</v>
      </c>
      <c r="BH67" s="4">
        <f t="shared" si="67"/>
        <v>840000</v>
      </c>
      <c r="BI67" s="4">
        <f t="shared" si="67"/>
        <v>-486358.5</v>
      </c>
      <c r="BJ67" s="4">
        <f t="shared" si="67"/>
        <v>156839.66</v>
      </c>
      <c r="BK67" s="4">
        <f t="shared" si="67"/>
        <v>156839.66</v>
      </c>
      <c r="BL67" s="4">
        <f t="shared" si="67"/>
        <v>118808.74</v>
      </c>
      <c r="BM67" s="4">
        <f t="shared" si="67"/>
        <v>840242.51</v>
      </c>
      <c r="BN67" s="4">
        <f t="shared" si="67"/>
        <v>1068816.83</v>
      </c>
      <c r="BO67" s="4">
        <f t="shared" ref="BO67:CJ67" si="68">BO65-BO66</f>
        <v>1068816.83</v>
      </c>
      <c r="BP67" s="4">
        <f t="shared" si="68"/>
        <v>0</v>
      </c>
      <c r="BQ67" s="4">
        <f t="shared" si="68"/>
        <v>5477612.75</v>
      </c>
      <c r="BR67" s="4">
        <f t="shared" si="68"/>
        <v>7000000</v>
      </c>
      <c r="BS67" s="4">
        <f t="shared" si="68"/>
        <v>0</v>
      </c>
      <c r="BT67" s="4">
        <f t="shared" si="68"/>
        <v>0</v>
      </c>
      <c r="BU67" s="4">
        <f t="shared" si="68"/>
        <v>11254042</v>
      </c>
      <c r="BV67" s="4">
        <f t="shared" si="68"/>
        <v>4500000</v>
      </c>
      <c r="BW67" s="4">
        <f t="shared" si="68"/>
        <v>7005958</v>
      </c>
      <c r="BX67" s="4">
        <f t="shared" si="68"/>
        <v>0</v>
      </c>
      <c r="BY67" s="4">
        <f t="shared" si="68"/>
        <v>7080317.8600000003</v>
      </c>
      <c r="BZ67" s="4">
        <f t="shared" si="68"/>
        <v>3409986.62</v>
      </c>
      <c r="CA67" s="4">
        <f t="shared" si="68"/>
        <v>10848</v>
      </c>
      <c r="CB67" s="4">
        <f t="shared" si="68"/>
        <v>19688</v>
      </c>
      <c r="CC67" s="4">
        <f t="shared" si="68"/>
        <v>17896</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9">
        <v>69780754.579999998</v>
      </c>
      <c r="C68" s="189">
        <v>-25891510.5</v>
      </c>
      <c r="D68" s="189">
        <v>85119926.530000001</v>
      </c>
      <c r="E68" s="189">
        <v>492110138.77999997</v>
      </c>
      <c r="F68" s="189">
        <v>200907906.94</v>
      </c>
      <c r="G68" s="189">
        <v>55212133.969999999</v>
      </c>
      <c r="H68" s="189">
        <v>20956670.52</v>
      </c>
      <c r="I68" s="189">
        <v>274590800.37</v>
      </c>
      <c r="J68" s="189">
        <v>77269457.620000005</v>
      </c>
      <c r="K68" s="189">
        <v>42635821.990000002</v>
      </c>
      <c r="L68" s="189">
        <v>29192455.510000002</v>
      </c>
      <c r="M68" s="189">
        <v>-142401040.71000001</v>
      </c>
      <c r="N68" s="189">
        <v>-139065514.49000001</v>
      </c>
      <c r="O68" s="189">
        <v>-113026928.69</v>
      </c>
      <c r="P68" s="189">
        <v>-57394052.049999997</v>
      </c>
      <c r="Q68" s="189">
        <v>-24899534.809999999</v>
      </c>
      <c r="R68" s="189">
        <v>-38753388.340000004</v>
      </c>
      <c r="S68" s="189">
        <v>-32352465.059999999</v>
      </c>
      <c r="T68" s="189">
        <v>-24577747.16</v>
      </c>
      <c r="U68" s="189">
        <v>7871611.8600000003</v>
      </c>
      <c r="V68" s="189">
        <v>-7747729.0899999999</v>
      </c>
      <c r="W68" s="189">
        <v>2343493.39</v>
      </c>
      <c r="X68" s="189">
        <v>-14003809.34</v>
      </c>
      <c r="Y68" s="189">
        <v>-37831413.899999999</v>
      </c>
      <c r="Z68" s="189">
        <v>-36710928.140000001</v>
      </c>
      <c r="AA68" s="189">
        <v>-22059877.379999999</v>
      </c>
      <c r="AB68" s="189">
        <v>-12283499.449999999</v>
      </c>
      <c r="AC68" s="189">
        <v>9264794.9499999993</v>
      </c>
      <c r="AD68" s="189">
        <v>-6914317.9299999997</v>
      </c>
      <c r="AE68" s="189">
        <v>-3702806.24</v>
      </c>
      <c r="AF68" s="189">
        <v>-1488613.97</v>
      </c>
      <c r="AG68" s="189">
        <v>16698918.77</v>
      </c>
      <c r="AH68" s="189">
        <v>12076965.560000001</v>
      </c>
      <c r="AI68" s="189">
        <v>12637706.5</v>
      </c>
      <c r="AJ68" s="189">
        <v>7393204.96</v>
      </c>
      <c r="AK68" s="189">
        <v>8520977.5999999996</v>
      </c>
      <c r="AL68" s="189">
        <v>5559922.4299999997</v>
      </c>
      <c r="AM68" s="189">
        <v>2042696.19</v>
      </c>
      <c r="AN68" s="189">
        <v>1968209.11</v>
      </c>
      <c r="AO68" s="189">
        <v>20699988.66</v>
      </c>
      <c r="AP68" s="189">
        <v>7732407.2400000002</v>
      </c>
      <c r="AQ68" s="189">
        <v>9580579.2300000004</v>
      </c>
      <c r="AR68" s="189">
        <v>6665365.3600000003</v>
      </c>
      <c r="AS68" s="189">
        <v>18018634.039999999</v>
      </c>
      <c r="AT68" s="189">
        <v>13458435.01</v>
      </c>
      <c r="AU68" s="189">
        <v>5287737.1900000004</v>
      </c>
      <c r="AV68" s="189">
        <v>-415098.69</v>
      </c>
      <c r="AW68" s="189">
        <v>-9931564.0700000003</v>
      </c>
      <c r="AX68" s="189">
        <v>-5667542.8799999999</v>
      </c>
      <c r="AY68" s="189">
        <v>-2363077.2599999998</v>
      </c>
      <c r="AZ68" s="189">
        <v>405174.03</v>
      </c>
      <c r="BA68" s="189">
        <v>-4529097.2</v>
      </c>
      <c r="BB68" s="189">
        <v>-2894652.98</v>
      </c>
      <c r="BC68" s="189">
        <v>-2827362.37</v>
      </c>
      <c r="BD68" s="189">
        <v>-2356296.71</v>
      </c>
      <c r="BE68" s="189">
        <v>4840514.22</v>
      </c>
      <c r="BF68" s="189">
        <v>6719518.21</v>
      </c>
      <c r="BG68" s="189">
        <v>5793815.1500000004</v>
      </c>
      <c r="BH68" s="189">
        <v>3195042.18</v>
      </c>
      <c r="BI68" s="189">
        <v>803011</v>
      </c>
      <c r="BJ68" s="189">
        <v>754238.33</v>
      </c>
      <c r="BK68" s="189">
        <v>238245.5</v>
      </c>
      <c r="BL68" s="189">
        <v>-317100.01</v>
      </c>
      <c r="BM68" s="189">
        <v>2797377.23</v>
      </c>
      <c r="BN68" s="189">
        <v>2741784.21</v>
      </c>
      <c r="BO68" s="189">
        <v>1820910.37</v>
      </c>
      <c r="BP68" s="189">
        <v>904279.25</v>
      </c>
      <c r="BQ68" s="189">
        <v>3423293.58</v>
      </c>
      <c r="BR68" s="189">
        <v>2914536.64</v>
      </c>
      <c r="BS68" s="189">
        <v>7776249.6799999997</v>
      </c>
      <c r="BT68" s="189">
        <v>5271476.18</v>
      </c>
      <c r="BU68" s="189">
        <v>8669958.0099999998</v>
      </c>
      <c r="BV68" s="189">
        <v>5218594.43</v>
      </c>
      <c r="BW68" s="189">
        <v>9013459.8699999992</v>
      </c>
      <c r="BX68" s="189">
        <v>3695595.07</v>
      </c>
      <c r="BY68" s="189">
        <v>9372433.1799999997</v>
      </c>
      <c r="BZ68" s="189">
        <v>0</v>
      </c>
      <c r="CA68" s="189">
        <v>9039543</v>
      </c>
      <c r="CB68" s="189">
        <v>6749006</v>
      </c>
      <c r="CC68" s="189">
        <v>4385344</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15693622236.85</v>
      </c>
      <c r="C70" s="189">
        <v>15108096914.15</v>
      </c>
      <c r="D70" s="189">
        <v>15904130696.27</v>
      </c>
      <c r="E70" s="189">
        <v>15605857859.57</v>
      </c>
      <c r="F70" s="189">
        <v>13367332906.66</v>
      </c>
      <c r="G70" s="189">
        <v>12264362423.469999</v>
      </c>
      <c r="H70" s="189">
        <v>14006725574.9</v>
      </c>
      <c r="I70" s="189">
        <v>13679110933.26</v>
      </c>
      <c r="J70" s="189">
        <v>11914642903.219999</v>
      </c>
      <c r="K70" s="189">
        <v>10844249608.049999</v>
      </c>
      <c r="L70" s="189">
        <v>13334571657.5</v>
      </c>
      <c r="M70" s="189">
        <v>12939385288.639999</v>
      </c>
      <c r="N70" s="189">
        <v>11258945946.76</v>
      </c>
      <c r="O70" s="189">
        <v>10326820404.120001</v>
      </c>
      <c r="P70" s="189">
        <v>11249407644.51</v>
      </c>
      <c r="Q70" s="189">
        <v>10860574280.08</v>
      </c>
      <c r="R70" s="189">
        <v>9240665430.6100006</v>
      </c>
      <c r="S70" s="189">
        <v>8834713858.3700008</v>
      </c>
      <c r="T70" s="189">
        <v>9050139537.0100002</v>
      </c>
      <c r="U70" s="189">
        <v>8757144969.1100006</v>
      </c>
      <c r="V70" s="189">
        <v>7815771735.6800003</v>
      </c>
      <c r="W70" s="189">
        <v>7537895929.3599997</v>
      </c>
      <c r="X70" s="189">
        <v>7598030750.79</v>
      </c>
      <c r="Y70" s="189">
        <v>7319555953.7600002</v>
      </c>
      <c r="Z70" s="189">
        <v>6834487822.5699997</v>
      </c>
      <c r="AA70" s="189">
        <v>6047489876.8400002</v>
      </c>
      <c r="AB70" s="189">
        <v>5777821280.9499998</v>
      </c>
      <c r="AC70" s="189">
        <v>3337764988.79</v>
      </c>
      <c r="AD70" s="189">
        <v>2882908352.8000002</v>
      </c>
      <c r="AE70" s="189">
        <v>2690228492.79</v>
      </c>
      <c r="AF70" s="189">
        <v>2616313164.0500002</v>
      </c>
      <c r="AG70" s="189">
        <v>2485872956.1100001</v>
      </c>
      <c r="AH70" s="189">
        <v>2150818194.1900001</v>
      </c>
      <c r="AI70" s="189">
        <v>1935977175.3</v>
      </c>
      <c r="AJ70" s="189">
        <v>2272635356.8099999</v>
      </c>
      <c r="AK70" s="189">
        <v>2173866943.6599998</v>
      </c>
      <c r="AL70" s="189">
        <v>1922374657.0699999</v>
      </c>
      <c r="AM70" s="189">
        <v>1767057556.6600001</v>
      </c>
      <c r="AN70" s="189">
        <v>1860279517.23</v>
      </c>
      <c r="AO70" s="189">
        <v>1701028766.23</v>
      </c>
      <c r="AP70" s="189">
        <v>1612772749.29</v>
      </c>
      <c r="AQ70" s="189">
        <v>1725714340.21</v>
      </c>
      <c r="AR70" s="189">
        <v>2013857845.5899999</v>
      </c>
      <c r="AS70" s="189">
        <v>2828573554.7199998</v>
      </c>
      <c r="AT70" s="189">
        <v>2128437649.99</v>
      </c>
      <c r="AU70" s="189">
        <v>1559012952.5699999</v>
      </c>
      <c r="AV70" s="189">
        <v>1357694966.04</v>
      </c>
      <c r="AW70" s="189">
        <v>1362309337.47</v>
      </c>
      <c r="AX70" s="189">
        <v>1230864655.04</v>
      </c>
      <c r="AY70" s="189">
        <v>1175041276.8399999</v>
      </c>
      <c r="AZ70" s="189">
        <v>1400220577.47</v>
      </c>
      <c r="BA70" s="189">
        <v>1367500079.1300001</v>
      </c>
      <c r="BB70" s="189">
        <v>1298034645.05</v>
      </c>
      <c r="BC70" s="189">
        <v>1251458795.0899999</v>
      </c>
      <c r="BD70" s="189">
        <v>1213230960.6400001</v>
      </c>
      <c r="BE70" s="189">
        <v>1287986133.53</v>
      </c>
      <c r="BF70" s="189">
        <v>1234691587.6800001</v>
      </c>
      <c r="BG70" s="189">
        <v>1094787737.0899999</v>
      </c>
      <c r="BH70" s="189">
        <v>1126714762.21</v>
      </c>
      <c r="BI70" s="189">
        <v>1105776249.5899999</v>
      </c>
      <c r="BJ70" s="189">
        <v>1046362221.92</v>
      </c>
      <c r="BK70" s="189">
        <v>993562684.63999999</v>
      </c>
      <c r="BL70" s="189">
        <v>982959663.34000003</v>
      </c>
      <c r="BM70" s="189">
        <v>958447557.20000005</v>
      </c>
      <c r="BN70" s="189">
        <v>953188795.85000002</v>
      </c>
      <c r="BO70" s="189">
        <v>886767969.73000002</v>
      </c>
      <c r="BP70" s="189">
        <v>865381582.99000001</v>
      </c>
      <c r="BQ70" s="189">
        <v>853608578.19000006</v>
      </c>
      <c r="BR70" s="189">
        <v>866147664.75999999</v>
      </c>
      <c r="BS70" s="189">
        <v>836662103.75999999</v>
      </c>
      <c r="BT70" s="189">
        <v>660083128.48000002</v>
      </c>
      <c r="BU70" s="189">
        <v>640953422.96000004</v>
      </c>
      <c r="BV70" s="189">
        <v>600430877.64999998</v>
      </c>
      <c r="BW70" s="189">
        <v>578892639.13999999</v>
      </c>
      <c r="BX70" s="189">
        <v>426336545.63</v>
      </c>
      <c r="BY70" s="189">
        <v>406000775.99000001</v>
      </c>
      <c r="BZ70" s="189">
        <v>432050818.31</v>
      </c>
      <c r="CA70" s="189">
        <v>76239643</v>
      </c>
      <c r="CB70" s="189">
        <v>28954619</v>
      </c>
      <c r="CC70" s="189">
        <v>13175590</v>
      </c>
      <c r="CD70" s="189">
        <v>0</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51" zoomScale="95" zoomScaleNormal="95" workbookViewId="0">
      <selection activeCell="A44" sqref="A44:XFD48"/>
    </sheetView>
  </sheetViews>
  <sheetFormatPr defaultRowHeight="14.4" x14ac:dyDescent="0.25"/>
  <cols>
    <col min="1" max="1" width="77.5546875" style="17" bestFit="1" customWidth="1"/>
    <col min="2" max="2" width="22.5546875" hidden="1" customWidth="1"/>
    <col min="3" max="4" width="21.5546875" hidden="1" customWidth="1"/>
    <col min="5" max="5" width="22.5546875" bestFit="1" customWidth="1"/>
    <col min="6" max="8" width="21.5546875" hidden="1" customWidth="1"/>
    <col min="9" max="9" width="22.5546875" bestFit="1" customWidth="1"/>
    <col min="10" max="10" width="20.33203125" hidden="1" customWidth="1"/>
    <col min="11" max="11" width="21.5546875" hidden="1" customWidth="1"/>
    <col min="12" max="12" width="20.33203125" hidden="1" customWidth="1"/>
    <col min="13" max="13" width="22.5546875" bestFit="1" customWidth="1"/>
    <col min="14" max="14" width="21.5546875" hidden="1" customWidth="1"/>
    <col min="15"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0" width="20.33203125" hidden="1" customWidth="1"/>
    <col min="51" max="52" width="18.109375" hidden="1" customWidth="1"/>
    <col min="53" max="53" width="18.109375" bestFit="1" customWidth="1"/>
    <col min="54" max="56" width="18.109375" hidden="1" customWidth="1"/>
    <col min="57" max="57" width="19.33203125" bestFit="1" customWidth="1"/>
    <col min="58" max="60" width="18.109375" hidden="1" customWidth="1"/>
    <col min="61" max="61" width="18.109375" bestFit="1" customWidth="1"/>
    <col min="62" max="64" width="18.109375" hidden="1" customWidth="1"/>
    <col min="65" max="65" width="20.33203125" bestFit="1" customWidth="1"/>
    <col min="66" max="66" width="20.33203125" hidden="1" customWidth="1"/>
    <col min="67" max="67" width="18.109375" bestFit="1" customWidth="1"/>
    <col min="68" max="68" width="18.109375" hidden="1" customWidth="1"/>
    <col min="69" max="69" width="20.33203125" bestFit="1" customWidth="1"/>
    <col min="70" max="70" width="20.33203125" hidden="1" customWidth="1"/>
    <col min="71" max="71" width="20.33203125" bestFit="1" customWidth="1"/>
    <col min="72" max="72" width="18.109375" bestFit="1" customWidth="1"/>
    <col min="73" max="73" width="17" hidden="1" customWidth="1"/>
    <col min="74" max="74" width="18.109375" hidden="1" customWidth="1"/>
  </cols>
  <sheetData>
    <row r="1" spans="1:74" s="6" customFormat="1" x14ac:dyDescent="0.25">
      <c r="A1" s="104">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5" customFormat="1" x14ac:dyDescent="0.25">
      <c r="A2" s="46" t="s">
        <v>292</v>
      </c>
    </row>
    <row r="3" spans="1:74" s="192" customFormat="1" x14ac:dyDescent="0.25">
      <c r="A3" s="192" t="s">
        <v>320</v>
      </c>
      <c r="B3" s="192">
        <v>14917519.74</v>
      </c>
      <c r="C3" s="192">
        <v>13797980.4</v>
      </c>
      <c r="D3" s="192">
        <v>12312580</v>
      </c>
      <c r="E3" s="192">
        <v>3126213.65</v>
      </c>
      <c r="F3" s="192">
        <v>1131476.2</v>
      </c>
      <c r="G3" s="192">
        <v>513626.2</v>
      </c>
      <c r="H3" s="192">
        <v>188000.13</v>
      </c>
      <c r="I3" s="192">
        <v>23072595.489999998</v>
      </c>
      <c r="J3" s="192">
        <v>850231.22</v>
      </c>
      <c r="K3" s="192">
        <v>373406.98</v>
      </c>
      <c r="L3" s="192">
        <v>420434</v>
      </c>
      <c r="M3" s="192">
        <v>7810334.71</v>
      </c>
      <c r="N3" s="192">
        <v>4629836.25</v>
      </c>
      <c r="O3" s="192">
        <v>1250450.25</v>
      </c>
      <c r="P3" s="192">
        <v>713012</v>
      </c>
      <c r="Q3" s="192">
        <v>4645493.07</v>
      </c>
      <c r="R3" s="192">
        <v>2147872.4700000002</v>
      </c>
      <c r="S3" s="192">
        <v>1341927.23</v>
      </c>
      <c r="T3" s="192">
        <v>920473.84</v>
      </c>
      <c r="U3" s="192">
        <v>3617838.51</v>
      </c>
      <c r="V3" s="192">
        <v>1238110</v>
      </c>
      <c r="W3" s="192">
        <v>979500</v>
      </c>
      <c r="X3" s="192">
        <v>100700</v>
      </c>
      <c r="Y3" s="192">
        <v>1233414.83</v>
      </c>
      <c r="Z3" s="192">
        <v>1027740.69</v>
      </c>
      <c r="AA3" s="192">
        <v>963530</v>
      </c>
      <c r="AB3" s="192">
        <v>897530</v>
      </c>
      <c r="AC3" s="192">
        <v>1252947.2</v>
      </c>
      <c r="AD3" s="192">
        <v>276265</v>
      </c>
      <c r="AE3" s="192">
        <v>213465</v>
      </c>
      <c r="AF3" s="192">
        <v>102665</v>
      </c>
      <c r="AG3" s="192">
        <v>2196404.69</v>
      </c>
      <c r="AH3" s="192">
        <v>793363.02</v>
      </c>
      <c r="AI3" s="192">
        <v>378333.02</v>
      </c>
      <c r="AJ3" s="192">
        <v>316297.02</v>
      </c>
      <c r="AK3" s="192">
        <v>5639441.75</v>
      </c>
      <c r="AL3" s="192">
        <v>2195307.98</v>
      </c>
      <c r="AM3" s="192">
        <v>490993.98</v>
      </c>
      <c r="AN3" s="192">
        <v>0</v>
      </c>
      <c r="AO3" s="192">
        <v>6187715.7199999997</v>
      </c>
      <c r="AP3" s="192">
        <v>757278.07</v>
      </c>
      <c r="AQ3" s="192">
        <v>756906</v>
      </c>
      <c r="AR3" s="192">
        <v>153000</v>
      </c>
      <c r="AS3" s="192">
        <v>20298548.609999999</v>
      </c>
      <c r="AT3" s="192">
        <v>1116760</v>
      </c>
      <c r="AU3" s="192">
        <v>1100200</v>
      </c>
      <c r="AV3" s="192">
        <v>20000</v>
      </c>
      <c r="AW3" s="192">
        <v>3035557.17</v>
      </c>
      <c r="AX3" s="192">
        <v>2704202.73</v>
      </c>
      <c r="AY3" s="192">
        <v>2288851.73</v>
      </c>
      <c r="AZ3" s="192">
        <v>416414.68</v>
      </c>
      <c r="BA3" s="192">
        <v>7302044.4299999997</v>
      </c>
      <c r="BB3" s="192">
        <v>5142582.2699999996</v>
      </c>
      <c r="BC3" s="192">
        <v>2945344</v>
      </c>
      <c r="BD3" s="192">
        <v>67000</v>
      </c>
      <c r="BE3" s="192">
        <v>855866.49</v>
      </c>
      <c r="BF3" s="192">
        <v>180300</v>
      </c>
      <c r="BG3" s="192">
        <v>142800</v>
      </c>
      <c r="BH3" s="192">
        <v>135000</v>
      </c>
      <c r="BI3" s="192">
        <v>1050346.26</v>
      </c>
      <c r="BJ3" s="192">
        <v>0</v>
      </c>
      <c r="BK3" s="192">
        <v>0</v>
      </c>
      <c r="BL3" s="192">
        <v>0</v>
      </c>
      <c r="BM3" s="192">
        <v>105253</v>
      </c>
      <c r="BN3" s="192">
        <v>77600</v>
      </c>
      <c r="BO3" s="192">
        <v>0</v>
      </c>
      <c r="BP3" s="192">
        <v>18000</v>
      </c>
      <c r="BQ3" s="192">
        <v>39858.94</v>
      </c>
      <c r="BR3" s="192">
        <v>158000</v>
      </c>
      <c r="BS3" s="192">
        <v>6994373.2000000002</v>
      </c>
      <c r="BT3" s="192">
        <v>69150</v>
      </c>
      <c r="BU3" s="192">
        <v>5500</v>
      </c>
      <c r="BV3" s="192">
        <v>0</v>
      </c>
    </row>
    <row r="4" spans="1:74" s="192" customFormat="1" x14ac:dyDescent="0.25">
      <c r="A4" s="192" t="s">
        <v>304</v>
      </c>
      <c r="B4" s="192">
        <v>664609958.54999995</v>
      </c>
      <c r="C4" s="192">
        <v>347747374.67000002</v>
      </c>
      <c r="D4" s="192">
        <v>180684431.34999999</v>
      </c>
      <c r="E4" s="192">
        <v>730067960.97000003</v>
      </c>
      <c r="F4" s="192">
        <v>388780031.81999999</v>
      </c>
      <c r="G4" s="192">
        <v>212249963.55000001</v>
      </c>
      <c r="H4" s="192">
        <v>104240285.61</v>
      </c>
      <c r="I4" s="192">
        <v>444782071.31</v>
      </c>
      <c r="J4" s="192">
        <v>446798664.60000002</v>
      </c>
      <c r="K4" s="192">
        <v>319549568.55000001</v>
      </c>
      <c r="L4" s="192">
        <v>182289752.19</v>
      </c>
      <c r="M4" s="192">
        <v>1302239870.5799999</v>
      </c>
      <c r="N4" s="192">
        <v>916915810.36000001</v>
      </c>
      <c r="O4" s="192">
        <v>641687237.23000002</v>
      </c>
      <c r="P4" s="192">
        <v>446347757.56999999</v>
      </c>
      <c r="Q4" s="192">
        <v>1918768663.5899999</v>
      </c>
      <c r="R4" s="192">
        <v>561144150.86000001</v>
      </c>
      <c r="S4" s="192">
        <v>404208497.04000002</v>
      </c>
      <c r="T4" s="192">
        <v>180369079.28</v>
      </c>
      <c r="U4" s="192">
        <v>921431061.00999999</v>
      </c>
      <c r="V4" s="192">
        <v>607114343.98000002</v>
      </c>
      <c r="W4" s="192">
        <v>429831875.13</v>
      </c>
      <c r="X4" s="192">
        <v>242036913.25999999</v>
      </c>
      <c r="Y4" s="192">
        <v>1895844737.75</v>
      </c>
      <c r="Z4" s="192">
        <v>1485742431.3699999</v>
      </c>
      <c r="AA4" s="192">
        <v>818969292.22000003</v>
      </c>
      <c r="AB4" s="192">
        <v>325703361.80000001</v>
      </c>
      <c r="AC4" s="192">
        <v>992385719.98000002</v>
      </c>
      <c r="AD4" s="192">
        <v>841878502.52999997</v>
      </c>
      <c r="AE4" s="192">
        <v>680307532.71000004</v>
      </c>
      <c r="AF4" s="192">
        <v>402941797.57999998</v>
      </c>
      <c r="AG4" s="192">
        <v>926303642.41999996</v>
      </c>
      <c r="AH4" s="192">
        <v>707278276.25999999</v>
      </c>
      <c r="AI4" s="192">
        <v>637784009.90999997</v>
      </c>
      <c r="AJ4" s="192">
        <v>39692541.759999998</v>
      </c>
      <c r="AK4" s="192">
        <v>250186140.28999999</v>
      </c>
      <c r="AL4" s="192">
        <v>234338139.19</v>
      </c>
      <c r="AM4" s="192">
        <v>186284434.38</v>
      </c>
      <c r="AN4" s="192">
        <v>78114825.629999995</v>
      </c>
      <c r="AO4" s="192">
        <v>564568480.58000004</v>
      </c>
      <c r="AP4" s="192">
        <v>419429489.33999997</v>
      </c>
      <c r="AQ4" s="192">
        <v>264092603.75</v>
      </c>
      <c r="AR4" s="192">
        <v>184513744.56999999</v>
      </c>
      <c r="AS4" s="192">
        <v>253773913.5</v>
      </c>
      <c r="AT4" s="192">
        <v>175559776.66</v>
      </c>
      <c r="AU4" s="192">
        <v>75035738.769999996</v>
      </c>
      <c r="AV4" s="192">
        <v>20585623.32</v>
      </c>
      <c r="AW4" s="192">
        <v>195504277.72999999</v>
      </c>
      <c r="AX4" s="192">
        <v>176837669.34</v>
      </c>
      <c r="AY4" s="192">
        <v>25846944.719999999</v>
      </c>
      <c r="AZ4" s="192">
        <v>9286750.6400000006</v>
      </c>
      <c r="BA4" s="192">
        <v>70590161.430000007</v>
      </c>
      <c r="BB4" s="192">
        <v>58341195.420000002</v>
      </c>
      <c r="BC4" s="192">
        <v>31701451.66</v>
      </c>
      <c r="BD4" s="192">
        <v>9348180.0500000007</v>
      </c>
      <c r="BE4" s="192">
        <v>119919564.31</v>
      </c>
      <c r="BF4" s="192">
        <v>182933259.81999999</v>
      </c>
      <c r="BG4" s="192">
        <v>49745619.399999999</v>
      </c>
      <c r="BH4" s="192">
        <v>31058521.800000001</v>
      </c>
      <c r="BI4" s="192">
        <v>201931829.56999999</v>
      </c>
      <c r="BJ4" s="192">
        <v>143884019.03999999</v>
      </c>
      <c r="BK4" s="192">
        <v>77133772.209999993</v>
      </c>
      <c r="BL4" s="192">
        <v>30672036.620000001</v>
      </c>
      <c r="BM4" s="192">
        <v>133920337.29000001</v>
      </c>
      <c r="BN4" s="192">
        <v>28082590.710000001</v>
      </c>
      <c r="BO4" s="192">
        <v>44676310.020000003</v>
      </c>
      <c r="BP4" s="192">
        <v>19848134.899999999</v>
      </c>
      <c r="BQ4" s="192">
        <v>51915145.670000002</v>
      </c>
      <c r="BR4" s="192">
        <v>29745174.18</v>
      </c>
      <c r="BS4" s="192">
        <v>49266775.350000001</v>
      </c>
      <c r="BT4" s="192">
        <v>174376073.34999999</v>
      </c>
      <c r="BU4" s="192">
        <v>99787508.269999996</v>
      </c>
      <c r="BV4" s="192">
        <v>0</v>
      </c>
    </row>
    <row r="5" spans="1:74" s="47" customFormat="1" x14ac:dyDescent="0.25">
      <c r="A5" s="47" t="s">
        <v>295</v>
      </c>
      <c r="E5" s="47">
        <f>E4-E3</f>
        <v>726941747.32000005</v>
      </c>
      <c r="F5" s="47">
        <f t="shared" ref="F5:AR5" si="0">F4-F3</f>
        <v>387648555.62</v>
      </c>
      <c r="G5" s="47">
        <f t="shared" si="0"/>
        <v>211736337.35000002</v>
      </c>
      <c r="H5" s="47">
        <f t="shared" si="0"/>
        <v>104052285.48</v>
      </c>
      <c r="I5" s="47">
        <f t="shared" si="0"/>
        <v>421709475.81999999</v>
      </c>
      <c r="J5" s="47">
        <f t="shared" si="0"/>
        <v>445948433.38</v>
      </c>
      <c r="K5" s="47">
        <f t="shared" si="0"/>
        <v>319176161.56999999</v>
      </c>
      <c r="L5" s="47">
        <f t="shared" si="0"/>
        <v>181869318.19</v>
      </c>
      <c r="M5" s="47">
        <f t="shared" si="0"/>
        <v>1294429535.8699999</v>
      </c>
      <c r="N5" s="47">
        <f t="shared" si="0"/>
        <v>912285974.11000001</v>
      </c>
      <c r="O5" s="47">
        <f t="shared" si="0"/>
        <v>640436786.98000002</v>
      </c>
      <c r="P5" s="47">
        <f t="shared" si="0"/>
        <v>445634745.56999999</v>
      </c>
      <c r="Q5" s="47">
        <f t="shared" si="0"/>
        <v>1914123170.52</v>
      </c>
      <c r="R5" s="47">
        <f t="shared" si="0"/>
        <v>558996278.38999999</v>
      </c>
      <c r="S5" s="47">
        <f t="shared" si="0"/>
        <v>402866569.81</v>
      </c>
      <c r="T5" s="47">
        <f t="shared" si="0"/>
        <v>179448605.44</v>
      </c>
      <c r="U5" s="47">
        <f t="shared" si="0"/>
        <v>917813222.5</v>
      </c>
      <c r="V5" s="47">
        <f t="shared" si="0"/>
        <v>605876233.98000002</v>
      </c>
      <c r="W5" s="47">
        <f t="shared" si="0"/>
        <v>428852375.13</v>
      </c>
      <c r="X5" s="47">
        <f t="shared" si="0"/>
        <v>241936213.25999999</v>
      </c>
      <c r="Y5" s="47">
        <f t="shared" si="0"/>
        <v>1894611322.9200001</v>
      </c>
      <c r="Z5" s="47">
        <f t="shared" si="0"/>
        <v>1484714690.6799998</v>
      </c>
      <c r="AA5" s="47">
        <f t="shared" si="0"/>
        <v>818005762.22000003</v>
      </c>
      <c r="AB5" s="47">
        <f t="shared" si="0"/>
        <v>324805831.80000001</v>
      </c>
      <c r="AC5" s="47">
        <f t="shared" si="0"/>
        <v>991132772.77999997</v>
      </c>
      <c r="AD5" s="47">
        <f t="shared" si="0"/>
        <v>841602237.52999997</v>
      </c>
      <c r="AE5" s="47">
        <f t="shared" si="0"/>
        <v>680094067.71000004</v>
      </c>
      <c r="AF5" s="47">
        <f t="shared" si="0"/>
        <v>402839132.57999998</v>
      </c>
      <c r="AG5" s="47">
        <f t="shared" si="0"/>
        <v>924107237.7299999</v>
      </c>
      <c r="AH5" s="47">
        <f t="shared" si="0"/>
        <v>706484913.24000001</v>
      </c>
      <c r="AI5" s="47">
        <f t="shared" si="0"/>
        <v>637405676.88999999</v>
      </c>
      <c r="AJ5" s="47">
        <f t="shared" si="0"/>
        <v>39376244.739999995</v>
      </c>
      <c r="AK5" s="47">
        <f t="shared" si="0"/>
        <v>244546698.53999999</v>
      </c>
      <c r="AL5" s="47">
        <f t="shared" si="0"/>
        <v>232142831.21000001</v>
      </c>
      <c r="AM5" s="47">
        <f t="shared" si="0"/>
        <v>185793440.40000001</v>
      </c>
      <c r="AN5" s="47">
        <f t="shared" si="0"/>
        <v>78114825.629999995</v>
      </c>
      <c r="AO5" s="47">
        <f t="shared" si="0"/>
        <v>558380764.86000001</v>
      </c>
      <c r="AP5" s="47">
        <f t="shared" si="0"/>
        <v>418672211.26999998</v>
      </c>
      <c r="AQ5" s="47">
        <f t="shared" si="0"/>
        <v>263335697.75</v>
      </c>
      <c r="AR5" s="47">
        <f t="shared" si="0"/>
        <v>184360744.56999999</v>
      </c>
    </row>
    <row r="6" spans="1:74" s="105" customFormat="1" x14ac:dyDescent="0.25">
      <c r="A6" s="105" t="s">
        <v>305</v>
      </c>
      <c r="B6" s="192">
        <v>0</v>
      </c>
      <c r="C6" s="192">
        <v>259642220.38</v>
      </c>
      <c r="D6" s="192">
        <v>0</v>
      </c>
      <c r="E6" s="192">
        <v>659489882.05999994</v>
      </c>
      <c r="F6" s="192">
        <v>0</v>
      </c>
      <c r="G6" s="192">
        <v>317422551.16000003</v>
      </c>
      <c r="H6" s="192">
        <v>0</v>
      </c>
      <c r="I6" s="192">
        <v>662175633.45000005</v>
      </c>
      <c r="J6" s="192">
        <v>0</v>
      </c>
      <c r="K6" s="192">
        <v>275037745.47000003</v>
      </c>
      <c r="L6" s="192">
        <v>0</v>
      </c>
      <c r="M6" s="192">
        <v>690796964.13999999</v>
      </c>
      <c r="N6" s="192">
        <v>0</v>
      </c>
      <c r="O6" s="192">
        <v>315168659.48000002</v>
      </c>
      <c r="P6" s="192">
        <v>0</v>
      </c>
      <c r="Q6" s="192">
        <v>636749145.70000005</v>
      </c>
      <c r="R6" s="192">
        <v>0</v>
      </c>
      <c r="S6" s="192">
        <v>239331503.19</v>
      </c>
      <c r="T6" s="192">
        <v>0</v>
      </c>
      <c r="U6" s="192">
        <v>562054653.70000005</v>
      </c>
      <c r="V6" s="192">
        <v>0</v>
      </c>
      <c r="W6" s="192">
        <v>255320954.13</v>
      </c>
      <c r="X6" s="192">
        <v>0</v>
      </c>
      <c r="Y6" s="192">
        <v>275413445.70999998</v>
      </c>
      <c r="Z6" s="192">
        <v>0</v>
      </c>
      <c r="AA6" s="192">
        <v>97112342.859999999</v>
      </c>
      <c r="AB6" s="192">
        <v>0</v>
      </c>
      <c r="AC6" s="192">
        <v>210966414.24000001</v>
      </c>
      <c r="AD6" s="192">
        <v>0</v>
      </c>
      <c r="AE6" s="192">
        <v>95153293.799999997</v>
      </c>
      <c r="AF6" s="192">
        <v>0</v>
      </c>
      <c r="AG6" s="192">
        <v>185747716.58000001</v>
      </c>
      <c r="AH6" s="192">
        <v>0</v>
      </c>
      <c r="AI6" s="192">
        <v>116553559.33</v>
      </c>
      <c r="AJ6" s="192">
        <v>0</v>
      </c>
      <c r="AK6" s="192">
        <v>174730838.71000001</v>
      </c>
      <c r="AL6" s="192">
        <v>0</v>
      </c>
      <c r="AM6" s="192">
        <v>71671214.469999999</v>
      </c>
      <c r="AN6" s="192">
        <v>0</v>
      </c>
      <c r="AO6" s="192">
        <v>116454236.84999999</v>
      </c>
      <c r="AP6" s="192">
        <v>0</v>
      </c>
      <c r="AQ6" s="192">
        <v>48928022.170000002</v>
      </c>
      <c r="AR6" s="192">
        <v>0</v>
      </c>
      <c r="AS6" s="192">
        <v>85798312.950000003</v>
      </c>
      <c r="AT6" s="192">
        <v>0</v>
      </c>
      <c r="AU6" s="192">
        <v>40527218.950000003</v>
      </c>
      <c r="AV6" s="192">
        <v>0</v>
      </c>
      <c r="AW6" s="192">
        <v>87866672.469999999</v>
      </c>
      <c r="AX6" s="192">
        <v>63744891.5</v>
      </c>
      <c r="AY6" s="192">
        <v>45865629.329999998</v>
      </c>
      <c r="AZ6" s="192">
        <v>21633801.859999999</v>
      </c>
      <c r="BA6" s="192">
        <v>77853553.819999993</v>
      </c>
      <c r="BB6" s="192">
        <v>52042802.289999999</v>
      </c>
      <c r="BC6" s="192">
        <v>38162884.369999997</v>
      </c>
      <c r="BD6" s="192">
        <v>18922487.41</v>
      </c>
      <c r="BE6" s="192">
        <v>82569480.349999994</v>
      </c>
      <c r="BF6" s="192">
        <v>60221696.560000002</v>
      </c>
      <c r="BG6" s="192">
        <v>38694363.369999997</v>
      </c>
      <c r="BH6" s="192">
        <v>19179087.300000001</v>
      </c>
      <c r="BI6" s="192">
        <v>73142367.620000005</v>
      </c>
      <c r="BJ6" s="192">
        <v>51771110.539999999</v>
      </c>
      <c r="BK6" s="192">
        <v>33792412.57</v>
      </c>
      <c r="BL6" s="192">
        <v>16515649.85</v>
      </c>
      <c r="BM6" s="192">
        <v>78900228.019999996</v>
      </c>
      <c r="BN6" s="192">
        <v>35039037.140000001</v>
      </c>
      <c r="BO6" s="192">
        <v>30675518.879999999</v>
      </c>
      <c r="BP6" s="192">
        <v>16255720.300000001</v>
      </c>
      <c r="BQ6" s="192">
        <v>30419063.109999999</v>
      </c>
      <c r="BR6" s="192">
        <v>15023217.310000001</v>
      </c>
      <c r="BS6" s="192">
        <v>23509854.199999999</v>
      </c>
      <c r="BT6" s="192">
        <v>7733782.7999999998</v>
      </c>
      <c r="BU6" s="192">
        <v>2550620.25</v>
      </c>
      <c r="BV6" s="192">
        <v>0</v>
      </c>
    </row>
    <row r="7" spans="1:74" s="192" customFormat="1" x14ac:dyDescent="0.25">
      <c r="A7" s="192" t="s">
        <v>306</v>
      </c>
      <c r="B7" s="192">
        <v>0</v>
      </c>
      <c r="C7" s="192">
        <v>19580311.989999998</v>
      </c>
      <c r="D7" s="192">
        <v>0</v>
      </c>
      <c r="E7" s="192">
        <v>38899795.020000003</v>
      </c>
      <c r="F7" s="192">
        <v>0</v>
      </c>
      <c r="G7" s="192">
        <v>16410932.869999999</v>
      </c>
      <c r="H7" s="192">
        <v>0</v>
      </c>
      <c r="I7" s="192">
        <v>38193695.560000002</v>
      </c>
      <c r="J7" s="192">
        <v>0</v>
      </c>
      <c r="K7" s="192">
        <v>19105790.719999999</v>
      </c>
      <c r="L7" s="192">
        <v>0</v>
      </c>
      <c r="M7" s="192">
        <v>34277690.350000001</v>
      </c>
      <c r="N7" s="192">
        <v>0</v>
      </c>
      <c r="O7" s="192">
        <v>13638769.93</v>
      </c>
      <c r="P7" s="192">
        <v>0</v>
      </c>
      <c r="Q7" s="192">
        <v>24762878.719999999</v>
      </c>
      <c r="R7" s="192">
        <v>0</v>
      </c>
      <c r="S7" s="192">
        <v>8807462.9199999999</v>
      </c>
      <c r="T7" s="192">
        <v>0</v>
      </c>
      <c r="U7" s="192">
        <v>18169642.59</v>
      </c>
      <c r="V7" s="192">
        <v>0</v>
      </c>
      <c r="W7" s="192">
        <v>9029217.4800000004</v>
      </c>
      <c r="X7" s="192">
        <v>0</v>
      </c>
      <c r="Y7" s="192">
        <v>16431604.09</v>
      </c>
      <c r="Z7" s="192">
        <v>0</v>
      </c>
      <c r="AA7" s="192">
        <v>7838459.8200000003</v>
      </c>
      <c r="AB7" s="192">
        <v>0</v>
      </c>
      <c r="AC7" s="192">
        <v>13020872.41</v>
      </c>
      <c r="AD7" s="192">
        <v>0</v>
      </c>
      <c r="AE7" s="192">
        <v>5183818.55</v>
      </c>
      <c r="AF7" s="192">
        <v>0</v>
      </c>
      <c r="AG7" s="192">
        <v>9461305.3699999992</v>
      </c>
      <c r="AH7" s="192">
        <v>0</v>
      </c>
      <c r="AI7" s="192">
        <v>4488736.75</v>
      </c>
      <c r="AJ7" s="192">
        <v>0</v>
      </c>
      <c r="AK7" s="192">
        <v>10144856.43</v>
      </c>
      <c r="AL7" s="192">
        <v>0</v>
      </c>
      <c r="AM7" s="192">
        <v>4917789.0599999996</v>
      </c>
      <c r="AN7" s="192">
        <v>0</v>
      </c>
      <c r="AO7" s="192">
        <v>7064789.0599999996</v>
      </c>
      <c r="AP7" s="192">
        <v>0</v>
      </c>
      <c r="AQ7" s="192">
        <v>3019436.11</v>
      </c>
      <c r="AR7" s="192">
        <v>0</v>
      </c>
      <c r="AS7" s="192">
        <v>4669492.04</v>
      </c>
      <c r="AT7" s="192">
        <v>0</v>
      </c>
      <c r="AU7" s="192">
        <v>2483355.67</v>
      </c>
      <c r="AV7" s="192">
        <v>0</v>
      </c>
      <c r="AW7" s="192">
        <v>5815529</v>
      </c>
      <c r="AX7" s="192">
        <v>5773794.8899999997</v>
      </c>
      <c r="AY7" s="192">
        <v>2989091.63</v>
      </c>
      <c r="AZ7" s="192">
        <v>1573317.14</v>
      </c>
      <c r="BA7" s="192">
        <v>6639618.4400000004</v>
      </c>
      <c r="BB7" s="192">
        <v>4950257.96</v>
      </c>
      <c r="BC7" s="192">
        <v>3280878.16</v>
      </c>
      <c r="BD7" s="192">
        <v>1611710.84</v>
      </c>
      <c r="BE7" s="192">
        <v>5623071.4400000004</v>
      </c>
      <c r="BF7" s="192">
        <v>3826610.44</v>
      </c>
      <c r="BG7" s="192">
        <v>2345347.66</v>
      </c>
      <c r="BH7" s="192">
        <v>1169980.3700000001</v>
      </c>
      <c r="BI7" s="192">
        <v>4111167.07</v>
      </c>
      <c r="BJ7" s="192">
        <v>2448572.8199999998</v>
      </c>
      <c r="BK7" s="192">
        <v>1495816.79</v>
      </c>
      <c r="BL7" s="192">
        <v>631052.81000000006</v>
      </c>
      <c r="BM7" s="192">
        <v>1253777.0900000001</v>
      </c>
      <c r="BN7" s="192">
        <v>271874.71000000002</v>
      </c>
      <c r="BO7" s="192">
        <v>552234.48</v>
      </c>
      <c r="BP7" s="192">
        <v>278230.05</v>
      </c>
      <c r="BQ7" s="192">
        <v>515959.18</v>
      </c>
      <c r="BR7" s="192">
        <v>239841.94</v>
      </c>
      <c r="BS7" s="192">
        <v>460711.29</v>
      </c>
      <c r="BT7" s="192">
        <v>459223.8</v>
      </c>
      <c r="BU7" s="192">
        <v>229611.9</v>
      </c>
      <c r="BV7" s="192">
        <v>0</v>
      </c>
    </row>
    <row r="8" spans="1:74" s="192" customFormat="1" x14ac:dyDescent="0.25">
      <c r="A8" s="192" t="s">
        <v>307</v>
      </c>
      <c r="B8" s="192">
        <v>0</v>
      </c>
      <c r="C8" s="192">
        <v>4995607.3499999996</v>
      </c>
      <c r="D8" s="192">
        <v>0</v>
      </c>
      <c r="E8" s="192">
        <v>12987602.67</v>
      </c>
      <c r="F8" s="192">
        <v>0</v>
      </c>
      <c r="G8" s="192">
        <v>5382103.2300000004</v>
      </c>
      <c r="H8" s="192">
        <v>0</v>
      </c>
      <c r="I8" s="192">
        <v>13701761.630000001</v>
      </c>
      <c r="J8" s="192">
        <v>0</v>
      </c>
      <c r="K8" s="192">
        <v>6425594.8399999999</v>
      </c>
      <c r="L8" s="192">
        <v>0</v>
      </c>
      <c r="M8" s="192">
        <v>13150105.02</v>
      </c>
      <c r="N8" s="192">
        <v>0</v>
      </c>
      <c r="O8" s="192">
        <v>5204980.82</v>
      </c>
      <c r="P8" s="192">
        <v>0</v>
      </c>
      <c r="Q8" s="192">
        <v>7624943.3399999999</v>
      </c>
      <c r="R8" s="192">
        <v>0</v>
      </c>
      <c r="S8" s="192">
        <v>0</v>
      </c>
      <c r="T8" s="192">
        <v>0</v>
      </c>
      <c r="U8" s="192">
        <v>15272.29</v>
      </c>
      <c r="V8" s="192">
        <v>0</v>
      </c>
      <c r="W8" s="192">
        <v>15272.29</v>
      </c>
      <c r="X8" s="192">
        <v>0</v>
      </c>
      <c r="Y8" s="192">
        <v>61088.88</v>
      </c>
      <c r="Z8" s="192">
        <v>0</v>
      </c>
      <c r="AA8" s="192">
        <v>12301997.74</v>
      </c>
      <c r="AB8" s="192">
        <v>0</v>
      </c>
      <c r="AC8" s="192">
        <v>61088.88</v>
      </c>
      <c r="AD8" s="192">
        <v>0</v>
      </c>
      <c r="AE8" s="192">
        <v>30544.44</v>
      </c>
      <c r="AF8" s="192">
        <v>0</v>
      </c>
      <c r="AG8" s="192">
        <v>61088.88</v>
      </c>
      <c r="AH8" s="192">
        <v>0</v>
      </c>
      <c r="AI8" s="192">
        <v>363294.44</v>
      </c>
      <c r="AJ8" s="192">
        <v>0</v>
      </c>
      <c r="AK8" s="192">
        <v>4231023.7</v>
      </c>
      <c r="AL8" s="192">
        <v>0</v>
      </c>
      <c r="AM8" s="192">
        <v>2115511.7999999998</v>
      </c>
      <c r="AN8" s="192">
        <v>0</v>
      </c>
      <c r="AO8" s="192">
        <v>4215751.38</v>
      </c>
      <c r="AP8" s="192">
        <v>0</v>
      </c>
      <c r="AQ8" s="192">
        <v>1778443.91</v>
      </c>
      <c r="AR8" s="192">
        <v>0</v>
      </c>
      <c r="AS8" s="192">
        <v>265500</v>
      </c>
      <c r="AT8" s="192">
        <v>0</v>
      </c>
      <c r="AU8" s="192">
        <v>0</v>
      </c>
      <c r="AV8" s="192">
        <v>0</v>
      </c>
      <c r="AW8" s="192">
        <v>26666.67</v>
      </c>
      <c r="AX8" s="192">
        <v>26666.67</v>
      </c>
      <c r="AY8" s="192">
        <v>26666.67</v>
      </c>
      <c r="AZ8" s="192">
        <v>20000</v>
      </c>
      <c r="BA8" s="192">
        <v>80000</v>
      </c>
      <c r="BB8" s="192">
        <v>60000</v>
      </c>
      <c r="BC8" s="192">
        <v>40000</v>
      </c>
      <c r="BD8" s="192">
        <v>20000</v>
      </c>
      <c r="BE8" s="192">
        <v>80000</v>
      </c>
      <c r="BF8" s="192">
        <v>-24203.98</v>
      </c>
      <c r="BG8" s="192">
        <v>40000</v>
      </c>
      <c r="BH8" s="192">
        <v>29885</v>
      </c>
      <c r="BI8" s="192">
        <v>13333.33</v>
      </c>
      <c r="BJ8" s="192">
        <v>0</v>
      </c>
      <c r="BK8" s="192">
        <v>250</v>
      </c>
      <c r="BL8" s="192">
        <v>0</v>
      </c>
      <c r="BM8" s="192">
        <v>0</v>
      </c>
      <c r="BN8" s="192">
        <v>0</v>
      </c>
      <c r="BO8" s="192">
        <v>0</v>
      </c>
      <c r="BP8" s="192">
        <v>0</v>
      </c>
      <c r="BQ8" s="192">
        <v>0</v>
      </c>
      <c r="BR8" s="192">
        <v>0</v>
      </c>
      <c r="BS8" s="192">
        <v>0</v>
      </c>
      <c r="BT8" s="192">
        <v>0</v>
      </c>
      <c r="BU8" s="192">
        <v>0</v>
      </c>
      <c r="BV8" s="192">
        <v>0</v>
      </c>
    </row>
    <row r="9" spans="1:74" s="192" customFormat="1" x14ac:dyDescent="0.25">
      <c r="A9" s="192" t="s">
        <v>308</v>
      </c>
      <c r="B9" s="192">
        <v>0</v>
      </c>
      <c r="C9" s="192">
        <v>0</v>
      </c>
      <c r="D9" s="192">
        <v>0</v>
      </c>
      <c r="E9" s="192">
        <v>-1075601.71</v>
      </c>
      <c r="F9" s="192">
        <v>0</v>
      </c>
      <c r="G9" s="192">
        <v>-211013.99</v>
      </c>
      <c r="H9" s="192">
        <v>0</v>
      </c>
      <c r="I9" s="192">
        <v>-14407231.060000001</v>
      </c>
      <c r="J9" s="192">
        <v>0</v>
      </c>
      <c r="K9" s="192">
        <v>-102310.35</v>
      </c>
      <c r="L9" s="192">
        <v>0</v>
      </c>
      <c r="M9" s="192">
        <v>4992497.3899999997</v>
      </c>
      <c r="N9" s="192">
        <v>0</v>
      </c>
      <c r="O9" s="192">
        <v>1829112.15</v>
      </c>
      <c r="P9" s="192">
        <v>0</v>
      </c>
      <c r="Q9" s="192">
        <v>-378183.18</v>
      </c>
      <c r="R9" s="192">
        <v>0</v>
      </c>
      <c r="S9" s="192">
        <v>0</v>
      </c>
      <c r="T9" s="192">
        <v>0</v>
      </c>
      <c r="U9" s="192">
        <v>-248789.14</v>
      </c>
      <c r="V9" s="192">
        <v>0</v>
      </c>
      <c r="W9" s="192">
        <v>0</v>
      </c>
      <c r="X9" s="192">
        <v>0</v>
      </c>
      <c r="Y9" s="192">
        <v>-207196.19</v>
      </c>
      <c r="Z9" s="192">
        <v>0</v>
      </c>
      <c r="AA9" s="192">
        <v>0</v>
      </c>
      <c r="AB9" s="192">
        <v>0</v>
      </c>
      <c r="AC9" s="192">
        <v>-422047.67</v>
      </c>
      <c r="AD9" s="192">
        <v>0</v>
      </c>
      <c r="AE9" s="192">
        <v>0</v>
      </c>
      <c r="AF9" s="192">
        <v>0</v>
      </c>
      <c r="AG9" s="192">
        <v>1879109.56</v>
      </c>
      <c r="AH9" s="192">
        <v>0</v>
      </c>
      <c r="AI9" s="192">
        <v>-291750.96000000002</v>
      </c>
      <c r="AJ9" s="192">
        <v>0</v>
      </c>
      <c r="AK9" s="192">
        <v>2388482.41</v>
      </c>
      <c r="AL9" s="192">
        <v>0</v>
      </c>
      <c r="AM9" s="192">
        <v>-400174.75</v>
      </c>
      <c r="AN9" s="192">
        <v>0</v>
      </c>
      <c r="AO9" s="192">
        <v>4432564.9800000004</v>
      </c>
      <c r="AP9" s="192">
        <v>0</v>
      </c>
      <c r="AQ9" s="192">
        <v>-570440.99</v>
      </c>
      <c r="AR9" s="192">
        <v>0</v>
      </c>
      <c r="AS9" s="192">
        <v>171715.73</v>
      </c>
      <c r="AT9" s="192">
        <v>0</v>
      </c>
      <c r="AU9" s="192">
        <v>-782090.85</v>
      </c>
      <c r="AV9" s="192">
        <v>0</v>
      </c>
      <c r="AW9" s="192">
        <v>286829.36</v>
      </c>
      <c r="AX9" s="192">
        <v>-109349.82</v>
      </c>
      <c r="AY9" s="192">
        <v>-6742.04</v>
      </c>
      <c r="AZ9" s="192">
        <v>550593.46</v>
      </c>
      <c r="BA9" s="192">
        <v>-758923.09</v>
      </c>
      <c r="BB9" s="192">
        <v>-1778729.52</v>
      </c>
      <c r="BC9" s="192">
        <v>-1428275.06</v>
      </c>
      <c r="BD9" s="192">
        <v>-12000</v>
      </c>
      <c r="BE9" s="192">
        <v>638404.5</v>
      </c>
      <c r="BF9" s="192">
        <v>-63969.4</v>
      </c>
      <c r="BG9" s="192">
        <v>-26469.4</v>
      </c>
      <c r="BH9" s="192">
        <v>-26469.4</v>
      </c>
      <c r="BI9" s="192">
        <v>1673708.42</v>
      </c>
      <c r="BJ9" s="192">
        <v>3780</v>
      </c>
      <c r="BK9" s="192">
        <v>3780</v>
      </c>
      <c r="BL9" s="192">
        <v>0</v>
      </c>
      <c r="BM9" s="192">
        <v>15885571.27</v>
      </c>
      <c r="BN9" s="192">
        <v>-2637.52</v>
      </c>
      <c r="BO9" s="192">
        <v>17178233.09</v>
      </c>
      <c r="BP9" s="192">
        <v>-18000</v>
      </c>
      <c r="BQ9" s="192">
        <v>2009504.5</v>
      </c>
      <c r="BR9" s="192">
        <v>598672.47</v>
      </c>
      <c r="BS9" s="192">
        <v>0</v>
      </c>
      <c r="BT9" s="192">
        <v>153573.57999999999</v>
      </c>
      <c r="BU9" s="192">
        <v>4594.6499999999996</v>
      </c>
      <c r="BV9" s="192">
        <v>0</v>
      </c>
    </row>
    <row r="10" spans="1:74" s="192" customFormat="1" x14ac:dyDescent="0.25">
      <c r="A10" s="192" t="s">
        <v>309</v>
      </c>
      <c r="B10" s="192">
        <v>0</v>
      </c>
      <c r="C10" s="192">
        <v>-65608.56</v>
      </c>
      <c r="D10" s="192">
        <v>0</v>
      </c>
      <c r="E10" s="192">
        <v>11030681.93</v>
      </c>
      <c r="F10" s="192">
        <v>0</v>
      </c>
      <c r="G10" s="192">
        <v>0</v>
      </c>
      <c r="H10" s="192">
        <v>0</v>
      </c>
      <c r="I10" s="192">
        <v>0</v>
      </c>
      <c r="J10" s="192">
        <v>0</v>
      </c>
      <c r="K10" s="192">
        <v>0</v>
      </c>
      <c r="L10" s="192">
        <v>0</v>
      </c>
      <c r="M10" s="192">
        <v>0</v>
      </c>
      <c r="N10" s="192">
        <v>0</v>
      </c>
      <c r="O10" s="192">
        <v>0</v>
      </c>
      <c r="P10" s="192">
        <v>0</v>
      </c>
      <c r="Q10" s="192">
        <v>0</v>
      </c>
      <c r="R10" s="192">
        <v>0</v>
      </c>
      <c r="S10" s="192">
        <v>-667979.77</v>
      </c>
      <c r="T10" s="192">
        <v>0</v>
      </c>
      <c r="U10" s="192">
        <v>0</v>
      </c>
      <c r="V10" s="192">
        <v>0</v>
      </c>
      <c r="W10" s="192">
        <v>-360893.64</v>
      </c>
      <c r="X10" s="192">
        <v>0</v>
      </c>
      <c r="Y10" s="192">
        <v>0</v>
      </c>
      <c r="Z10" s="192">
        <v>0</v>
      </c>
      <c r="AA10" s="192">
        <v>-330849.37</v>
      </c>
      <c r="AB10" s="192">
        <v>0</v>
      </c>
      <c r="AC10" s="192">
        <v>0</v>
      </c>
      <c r="AD10" s="192">
        <v>0</v>
      </c>
      <c r="AE10" s="192">
        <v>-229445.36</v>
      </c>
      <c r="AF10" s="192">
        <v>0</v>
      </c>
      <c r="AG10" s="192">
        <v>0</v>
      </c>
      <c r="AH10" s="192">
        <v>0</v>
      </c>
      <c r="AI10" s="192">
        <v>856740.53</v>
      </c>
      <c r="AJ10" s="192">
        <v>0</v>
      </c>
      <c r="AK10" s="192">
        <v>91759.75</v>
      </c>
      <c r="AL10" s="192">
        <v>0</v>
      </c>
      <c r="AM10" s="192">
        <v>1650916.64</v>
      </c>
      <c r="AN10" s="192">
        <v>0</v>
      </c>
      <c r="AO10" s="192">
        <v>0</v>
      </c>
      <c r="AP10" s="192">
        <v>0</v>
      </c>
      <c r="AQ10" s="192">
        <v>252922.01</v>
      </c>
      <c r="AR10" s="192">
        <v>0</v>
      </c>
      <c r="AS10" s="192">
        <v>0</v>
      </c>
      <c r="AT10" s="192">
        <v>0</v>
      </c>
      <c r="AU10" s="192">
        <v>331431.44</v>
      </c>
      <c r="AV10" s="192">
        <v>0</v>
      </c>
      <c r="AW10" s="192">
        <v>0</v>
      </c>
      <c r="AX10" s="192">
        <v>493499.05</v>
      </c>
      <c r="AY10" s="192">
        <v>699614.17</v>
      </c>
      <c r="AZ10" s="192">
        <v>0</v>
      </c>
      <c r="BA10" s="192">
        <v>0</v>
      </c>
      <c r="BB10" s="192">
        <v>822204.74</v>
      </c>
      <c r="BC10" s="192">
        <v>935091.66</v>
      </c>
      <c r="BD10" s="192">
        <v>1101911.31</v>
      </c>
      <c r="BE10" s="192">
        <v>0</v>
      </c>
      <c r="BF10" s="192">
        <v>1057216.06</v>
      </c>
      <c r="BG10" s="192">
        <v>1057216.06</v>
      </c>
      <c r="BH10" s="192">
        <v>121360.29</v>
      </c>
      <c r="BI10" s="192">
        <v>0</v>
      </c>
      <c r="BJ10" s="192">
        <v>241416.69</v>
      </c>
      <c r="BK10" s="192">
        <v>201998.55</v>
      </c>
      <c r="BL10" s="192">
        <v>0</v>
      </c>
      <c r="BM10" s="192">
        <v>0</v>
      </c>
      <c r="BN10" s="192">
        <v>2608.38</v>
      </c>
      <c r="BO10" s="192">
        <v>0</v>
      </c>
      <c r="BP10" s="192">
        <v>397123.75</v>
      </c>
      <c r="BQ10" s="192">
        <v>0</v>
      </c>
      <c r="BR10" s="192">
        <v>0</v>
      </c>
      <c r="BS10" s="192">
        <v>1934528.35</v>
      </c>
      <c r="BT10" s="192">
        <v>0</v>
      </c>
      <c r="BU10" s="192">
        <v>3695595.07</v>
      </c>
      <c r="BV10" s="192">
        <v>0</v>
      </c>
    </row>
    <row r="11" spans="1:74" s="47" customFormat="1" x14ac:dyDescent="0.25">
      <c r="A11" s="135" t="s">
        <v>296</v>
      </c>
      <c r="E11" s="47">
        <f>E5-E6-E7-E8-E9-E10</f>
        <v>5609387.3500001058</v>
      </c>
      <c r="F11" s="47">
        <f t="shared" ref="F11:BQ11" si="1">F5-F6-F7-F8-F9-F10</f>
        <v>387648555.62</v>
      </c>
      <c r="G11" s="47">
        <f t="shared" si="1"/>
        <v>-127268235.92000002</v>
      </c>
      <c r="H11" s="47">
        <f t="shared" si="1"/>
        <v>104052285.48</v>
      </c>
      <c r="I11" s="47">
        <f t="shared" si="1"/>
        <v>-277954383.76000005</v>
      </c>
      <c r="J11" s="47">
        <f t="shared" si="1"/>
        <v>445948433.38</v>
      </c>
      <c r="K11" s="47">
        <f t="shared" si="1"/>
        <v>18709340.889999967</v>
      </c>
      <c r="L11" s="47">
        <f t="shared" si="1"/>
        <v>181869318.19</v>
      </c>
      <c r="M11" s="47">
        <f t="shared" si="1"/>
        <v>551212278.96999991</v>
      </c>
      <c r="N11" s="47">
        <f t="shared" si="1"/>
        <v>912285974.11000001</v>
      </c>
      <c r="O11" s="47">
        <f t="shared" si="1"/>
        <v>304595264.60000002</v>
      </c>
      <c r="P11" s="47">
        <f t="shared" si="1"/>
        <v>445634745.56999999</v>
      </c>
      <c r="Q11" s="47">
        <f t="shared" si="1"/>
        <v>1245364385.9400001</v>
      </c>
      <c r="R11" s="47">
        <f t="shared" si="1"/>
        <v>558996278.38999999</v>
      </c>
      <c r="S11" s="47">
        <f t="shared" si="1"/>
        <v>155395583.47000003</v>
      </c>
      <c r="T11" s="47">
        <f t="shared" si="1"/>
        <v>179448605.44</v>
      </c>
      <c r="U11" s="47">
        <f t="shared" si="1"/>
        <v>337822443.05999994</v>
      </c>
      <c r="V11" s="47">
        <f t="shared" si="1"/>
        <v>605876233.98000002</v>
      </c>
      <c r="W11" s="47">
        <f t="shared" si="1"/>
        <v>164847824.87</v>
      </c>
      <c r="X11" s="47">
        <f t="shared" si="1"/>
        <v>241936213.25999999</v>
      </c>
      <c r="Y11" s="47">
        <f t="shared" si="1"/>
        <v>1602912380.4300001</v>
      </c>
      <c r="Z11" s="47">
        <f t="shared" si="1"/>
        <v>1484714690.6799998</v>
      </c>
      <c r="AA11" s="47">
        <f t="shared" si="1"/>
        <v>701083811.16999996</v>
      </c>
      <c r="AB11" s="47">
        <f t="shared" si="1"/>
        <v>324805831.80000001</v>
      </c>
      <c r="AC11" s="47">
        <f t="shared" si="1"/>
        <v>767506444.91999996</v>
      </c>
      <c r="AD11" s="47">
        <f t="shared" si="1"/>
        <v>841602237.52999997</v>
      </c>
      <c r="AE11" s="47">
        <f t="shared" si="1"/>
        <v>579955856.28000009</v>
      </c>
      <c r="AF11" s="47">
        <f t="shared" si="1"/>
        <v>402839132.57999998</v>
      </c>
      <c r="AG11" s="47">
        <f t="shared" si="1"/>
        <v>726958017.33999991</v>
      </c>
      <c r="AH11" s="47">
        <f t="shared" si="1"/>
        <v>706484913.24000001</v>
      </c>
      <c r="AI11" s="47">
        <f t="shared" si="1"/>
        <v>515435096.80000001</v>
      </c>
      <c r="AJ11" s="47">
        <f t="shared" si="1"/>
        <v>39376244.739999995</v>
      </c>
      <c r="AK11" s="47">
        <f t="shared" si="1"/>
        <v>52959737.539999977</v>
      </c>
      <c r="AL11" s="47">
        <f t="shared" si="1"/>
        <v>232142831.21000001</v>
      </c>
      <c r="AM11" s="47">
        <f t="shared" si="1"/>
        <v>105838183.18000001</v>
      </c>
      <c r="AN11" s="47">
        <f t="shared" si="1"/>
        <v>78114825.629999995</v>
      </c>
      <c r="AO11" s="47">
        <f t="shared" si="1"/>
        <v>426213422.58999997</v>
      </c>
      <c r="AP11" s="47">
        <f t="shared" si="1"/>
        <v>418672211.26999998</v>
      </c>
      <c r="AQ11" s="47">
        <f t="shared" si="1"/>
        <v>209927314.53999999</v>
      </c>
      <c r="AR11" s="47">
        <f t="shared" si="1"/>
        <v>184360744.56999999</v>
      </c>
      <c r="AS11" s="47">
        <f t="shared" si="1"/>
        <v>-90905020.720000014</v>
      </c>
      <c r="AT11" s="47">
        <f t="shared" si="1"/>
        <v>0</v>
      </c>
      <c r="AU11" s="47">
        <f t="shared" si="1"/>
        <v>-42559915.210000001</v>
      </c>
      <c r="AV11" s="47">
        <f t="shared" si="1"/>
        <v>0</v>
      </c>
      <c r="AW11" s="47">
        <f t="shared" si="1"/>
        <v>-93995697.5</v>
      </c>
      <c r="AX11" s="47">
        <f t="shared" si="1"/>
        <v>-69929502.290000007</v>
      </c>
      <c r="AY11" s="47">
        <f t="shared" si="1"/>
        <v>-49574259.760000005</v>
      </c>
      <c r="AZ11" s="47">
        <f t="shared" si="1"/>
        <v>-23777712.460000001</v>
      </c>
      <c r="BA11" s="47">
        <f t="shared" si="1"/>
        <v>-83814249.169999987</v>
      </c>
      <c r="BB11" s="47">
        <f t="shared" si="1"/>
        <v>-56096535.469999999</v>
      </c>
      <c r="BC11" s="47">
        <f t="shared" si="1"/>
        <v>-40990579.129999995</v>
      </c>
      <c r="BD11" s="47">
        <f t="shared" si="1"/>
        <v>-21644109.559999999</v>
      </c>
      <c r="BE11" s="47">
        <f t="shared" si="1"/>
        <v>-88910956.289999992</v>
      </c>
      <c r="BF11" s="47">
        <f t="shared" si="1"/>
        <v>-65017349.680000007</v>
      </c>
      <c r="BG11" s="47">
        <f t="shared" si="1"/>
        <v>-42110457.690000005</v>
      </c>
      <c r="BH11" s="47">
        <f t="shared" si="1"/>
        <v>-20473843.560000002</v>
      </c>
      <c r="BI11" s="47">
        <f t="shared" si="1"/>
        <v>-78940576.439999998</v>
      </c>
      <c r="BJ11" s="47">
        <f t="shared" si="1"/>
        <v>-54464880.049999997</v>
      </c>
      <c r="BK11" s="47">
        <f t="shared" si="1"/>
        <v>-35494257.909999996</v>
      </c>
      <c r="BL11" s="47">
        <f t="shared" si="1"/>
        <v>-17146702.66</v>
      </c>
      <c r="BM11" s="47">
        <f t="shared" si="1"/>
        <v>-96039576.379999995</v>
      </c>
      <c r="BN11" s="47">
        <f t="shared" si="1"/>
        <v>-35310882.710000001</v>
      </c>
      <c r="BO11" s="47">
        <f t="shared" si="1"/>
        <v>-48405986.450000003</v>
      </c>
      <c r="BP11" s="47">
        <f t="shared" si="1"/>
        <v>-16913074.100000001</v>
      </c>
      <c r="BQ11" s="47">
        <f t="shared" si="1"/>
        <v>-32944526.789999999</v>
      </c>
      <c r="BR11" s="47">
        <f t="shared" ref="BR11:BS11" si="2">BR5-BR6-BR7-BR8-BR9-BR10</f>
        <v>-15861731.720000001</v>
      </c>
      <c r="BS11" s="47">
        <f t="shared" si="2"/>
        <v>-25905093.84</v>
      </c>
    </row>
    <row r="12" spans="1:74" s="26" customFormat="1" x14ac:dyDescent="0.25">
      <c r="A12" s="17" t="s">
        <v>297</v>
      </c>
      <c r="E12" s="26">
        <f t="shared" ref="E12:Q12" si="3">I34</f>
        <v>7233676429.6300001</v>
      </c>
      <c r="F12" s="26">
        <f t="shared" si="3"/>
        <v>7117582638.6199999</v>
      </c>
      <c r="G12" s="26">
        <f t="shared" si="3"/>
        <v>6973434371.2799997</v>
      </c>
      <c r="H12" s="26">
        <f t="shared" si="3"/>
        <v>6969525437.3499994</v>
      </c>
      <c r="I12" s="26">
        <f t="shared" si="3"/>
        <v>6776874825.5100002</v>
      </c>
      <c r="J12" s="26">
        <f t="shared" si="3"/>
        <v>6656007448.8899994</v>
      </c>
      <c r="K12" s="26">
        <f t="shared" si="3"/>
        <v>6760870447.54</v>
      </c>
      <c r="L12" s="26">
        <f t="shared" si="3"/>
        <v>6737079146.1899996</v>
      </c>
      <c r="M12" s="26">
        <f t="shared" si="3"/>
        <v>6450470986.5299997</v>
      </c>
      <c r="N12" s="26">
        <f t="shared" si="3"/>
        <v>4342240294.9799995</v>
      </c>
      <c r="O12" s="26">
        <f t="shared" si="3"/>
        <v>4417767237.1399994</v>
      </c>
      <c r="P12" s="26">
        <f t="shared" si="3"/>
        <v>4449171452.3899994</v>
      </c>
      <c r="Q12" s="26">
        <f t="shared" si="3"/>
        <v>4444063428.1599998</v>
      </c>
      <c r="R12" s="192">
        <f t="shared" ref="R12" si="4">V34</f>
        <v>4316116633.7799997</v>
      </c>
      <c r="S12" s="192">
        <f t="shared" ref="S12" si="5">W34</f>
        <v>4311358081.3899994</v>
      </c>
      <c r="T12" s="192">
        <f t="shared" ref="T12" si="6">X34</f>
        <v>4314837746.2600002</v>
      </c>
      <c r="U12" s="192">
        <f t="shared" ref="U12" si="7">Y34</f>
        <v>4262190047.02</v>
      </c>
      <c r="V12" s="192">
        <f t="shared" ref="V12" si="8">Z34</f>
        <v>3483062607.6699996</v>
      </c>
      <c r="W12" s="192">
        <f t="shared" ref="W12" si="9">AA34</f>
        <v>3002130412.7099996</v>
      </c>
      <c r="X12" s="192">
        <f t="shared" ref="X12" si="10">AB34</f>
        <v>2342864134.9299998</v>
      </c>
      <c r="Y12" s="192">
        <f t="shared" ref="Y12" si="11">AC34</f>
        <v>2063811717.7299995</v>
      </c>
      <c r="Z12" s="192">
        <f t="shared" ref="Z12" si="12">AD34</f>
        <v>2049710583.04</v>
      </c>
      <c r="AA12" s="192">
        <f t="shared" ref="AA12" si="13">AE34</f>
        <v>1977377104.7199998</v>
      </c>
      <c r="AB12" s="192">
        <f t="shared" ref="AB12" si="14">AF34</f>
        <v>1601022594.9000001</v>
      </c>
      <c r="AC12" s="192">
        <f t="shared" ref="AC12" si="15">AG34</f>
        <v>1629441459.8599997</v>
      </c>
      <c r="AD12" s="192">
        <f t="shared" ref="AD12" si="16">AH34</f>
        <v>1602690903.9000001</v>
      </c>
      <c r="AE12" s="192">
        <f t="shared" ref="AE12" si="17">AI34</f>
        <v>1560748186.76</v>
      </c>
      <c r="AF12" s="192">
        <f t="shared" ref="AF12" si="18">AJ34</f>
        <v>1518641394.3599999</v>
      </c>
      <c r="AG12" s="192">
        <f t="shared" ref="AG12" si="19">AK34</f>
        <v>1538126067.1299999</v>
      </c>
      <c r="AH12" s="192">
        <f t="shared" ref="AH12" si="20">AL34</f>
        <v>1524234076.9199998</v>
      </c>
      <c r="AI12" s="192">
        <f t="shared" ref="AI12" si="21">AM34</f>
        <v>1535304199.77</v>
      </c>
      <c r="AJ12" s="192">
        <f t="shared" ref="AJ12" si="22">AN34</f>
        <v>1496642399.3299999</v>
      </c>
      <c r="AK12" s="192">
        <f t="shared" ref="AK12" si="23">AO34</f>
        <v>1478998161.1599998</v>
      </c>
      <c r="AL12" s="192">
        <f t="shared" ref="AL12" si="24">AP34</f>
        <v>1408090847.5599999</v>
      </c>
      <c r="AM12" s="192">
        <f t="shared" ref="AM12" si="25">AQ34</f>
        <v>1165523380.75</v>
      </c>
      <c r="AN12" s="192">
        <f t="shared" ref="AN12" si="26">AR34</f>
        <v>1132670418.7999997</v>
      </c>
      <c r="AO12" s="192">
        <f t="shared" ref="AO12" si="27">AS34</f>
        <v>987307981.75</v>
      </c>
      <c r="AP12" s="192">
        <f t="shared" ref="AP12" si="28">AT34</f>
        <v>966440577.98000002</v>
      </c>
      <c r="AQ12" s="192">
        <f t="shared" ref="AQ12" si="29">AU34</f>
        <v>921737837.78000009</v>
      </c>
      <c r="AR12" s="192">
        <f t="shared" ref="AR12" si="30">AV34</f>
        <v>898902666.8900001</v>
      </c>
      <c r="AS12" s="192">
        <f t="shared" ref="AS12" si="31">AW34</f>
        <v>805300730.88</v>
      </c>
      <c r="AT12" s="192">
        <f t="shared" ref="AT12" si="32">AX34</f>
        <v>710406952.39999998</v>
      </c>
      <c r="AU12" s="192">
        <f t="shared" ref="AU12" si="33">AY34</f>
        <v>647769711.63</v>
      </c>
      <c r="AV12" s="192">
        <f t="shared" ref="AV12" si="34">AZ34</f>
        <v>675188697.10000002</v>
      </c>
      <c r="AW12" s="192">
        <f t="shared" ref="AW12" si="35">BA34</f>
        <v>693673647.03999996</v>
      </c>
      <c r="AX12" s="192">
        <f t="shared" ref="AX12" si="36">BB34</f>
        <v>690073634.83000004</v>
      </c>
      <c r="AY12" s="192">
        <f t="shared" ref="AY12" si="37">BC34</f>
        <v>694155097.74000001</v>
      </c>
      <c r="AZ12" s="192">
        <f t="shared" ref="AZ12" si="38">BD34</f>
        <v>705234866.22000003</v>
      </c>
      <c r="BA12" s="192">
        <f t="shared" ref="BA12" si="39">BE34</f>
        <v>718934556.61000001</v>
      </c>
      <c r="BB12" s="192">
        <f t="shared" ref="BB12" si="40">BF34</f>
        <v>947999790.52999997</v>
      </c>
      <c r="BC12" s="192">
        <f t="shared" ref="BC12" si="41">BG34</f>
        <v>666734074.49000001</v>
      </c>
      <c r="BD12" s="192">
        <f t="shared" ref="BD12" si="42">BH34</f>
        <v>668886652.38</v>
      </c>
      <c r="BE12" s="192">
        <f t="shared" ref="BE12" si="43">BI34</f>
        <v>648934060.50999999</v>
      </c>
      <c r="BF12" s="192">
        <f t="shared" ref="BF12" si="44">BJ34</f>
        <v>586788583.52999997</v>
      </c>
      <c r="BG12" s="192">
        <f t="shared" ref="BG12" si="45">BK34</f>
        <v>527162431.58999997</v>
      </c>
      <c r="BH12" s="192">
        <f t="shared" ref="BH12" si="46">BL34</f>
        <v>491198139.67000002</v>
      </c>
      <c r="BI12" s="192">
        <f t="shared" ref="BI12" si="47">BM34</f>
        <v>480690968.44</v>
      </c>
      <c r="BJ12" s="192">
        <f t="shared" ref="BJ12" si="48">BN34</f>
        <v>481614848.12</v>
      </c>
      <c r="BK12" s="192">
        <f t="shared" ref="BK12" si="49">BO34</f>
        <v>446110351.63</v>
      </c>
      <c r="BL12" s="192">
        <f t="shared" ref="BL12" si="50">BP34</f>
        <v>453054515.08999997</v>
      </c>
      <c r="BM12" s="192">
        <f t="shared" ref="BM12" si="51">BQ34</f>
        <v>1408090847.5599999</v>
      </c>
      <c r="BN12" s="192">
        <f t="shared" ref="BN12" si="52">BR34</f>
        <v>1165523380.75</v>
      </c>
    </row>
    <row r="13" spans="1:74" s="219" customFormat="1" x14ac:dyDescent="0.25">
      <c r="A13" s="219" t="s">
        <v>350</v>
      </c>
      <c r="E13" s="219">
        <f>E11/E12</f>
        <v>7.754545568313489E-4</v>
      </c>
      <c r="F13" s="219">
        <f t="shared" ref="F13:AR13" si="53">F11/F12</f>
        <v>5.4463513147935808E-2</v>
      </c>
      <c r="G13" s="219">
        <f t="shared" si="53"/>
        <v>-1.8250438613741402E-2</v>
      </c>
      <c r="H13" s="219">
        <f t="shared" si="53"/>
        <v>1.492960839519706E-2</v>
      </c>
      <c r="I13" s="219">
        <f t="shared" si="53"/>
        <v>-4.1015127314098253E-2</v>
      </c>
      <c r="J13" s="219">
        <f t="shared" si="53"/>
        <v>6.6999389169008425E-2</v>
      </c>
      <c r="K13" s="219">
        <f t="shared" si="53"/>
        <v>2.7672976483091049E-3</v>
      </c>
      <c r="L13" s="219">
        <f t="shared" si="53"/>
        <v>2.6995277069418431E-2</v>
      </c>
      <c r="M13" s="219">
        <f t="shared" si="53"/>
        <v>8.5453028177485374E-2</v>
      </c>
      <c r="N13" s="219">
        <f t="shared" si="53"/>
        <v>0.21009569073472983</v>
      </c>
      <c r="O13" s="219">
        <f t="shared" si="53"/>
        <v>6.8947784763144448E-2</v>
      </c>
      <c r="P13" s="219">
        <f t="shared" si="53"/>
        <v>0.10016128853173653</v>
      </c>
      <c r="Q13" s="219">
        <f t="shared" si="53"/>
        <v>0.28023101066665584</v>
      </c>
      <c r="R13" s="219">
        <f t="shared" si="53"/>
        <v>0.12951371008258369</v>
      </c>
      <c r="S13" s="219">
        <f t="shared" si="53"/>
        <v>3.6043302489942995E-2</v>
      </c>
      <c r="T13" s="219">
        <f t="shared" si="53"/>
        <v>4.1588726156746407E-2</v>
      </c>
      <c r="U13" s="219">
        <f t="shared" si="53"/>
        <v>7.9260295606995657E-2</v>
      </c>
      <c r="V13" s="219">
        <f t="shared" si="53"/>
        <v>0.17394928033903528</v>
      </c>
      <c r="W13" s="219">
        <f t="shared" si="53"/>
        <v>5.4910281103076122E-2</v>
      </c>
      <c r="X13" s="219">
        <f t="shared" si="53"/>
        <v>0.10326514869255471</v>
      </c>
      <c r="Y13" s="219">
        <f t="shared" si="53"/>
        <v>0.77667568541235643</v>
      </c>
      <c r="Z13" s="219">
        <f t="shared" si="53"/>
        <v>0.72435333210699715</v>
      </c>
      <c r="AA13" s="219">
        <f t="shared" si="53"/>
        <v>0.35455240656752457</v>
      </c>
      <c r="AB13" s="219">
        <f t="shared" si="53"/>
        <v>0.20287398368683696</v>
      </c>
      <c r="AC13" s="219">
        <f t="shared" si="53"/>
        <v>0.47102425206852383</v>
      </c>
      <c r="AD13" s="219">
        <f t="shared" si="53"/>
        <v>0.52511824674492058</v>
      </c>
      <c r="AE13" s="219">
        <f t="shared" si="53"/>
        <v>0.37158835819886255</v>
      </c>
      <c r="AF13" s="219">
        <f t="shared" si="53"/>
        <v>0.2652628422194222</v>
      </c>
      <c r="AG13" s="219">
        <f t="shared" si="53"/>
        <v>0.4726257703287195</v>
      </c>
      <c r="AH13" s="219">
        <f t="shared" si="53"/>
        <v>0.46350158675600861</v>
      </c>
      <c r="AI13" s="219">
        <f t="shared" si="53"/>
        <v>0.33572180475844204</v>
      </c>
      <c r="AJ13" s="219">
        <f t="shared" si="53"/>
        <v>2.6309721519066617E-2</v>
      </c>
      <c r="AK13" s="219">
        <f t="shared" si="53"/>
        <v>3.5807845425894838E-2</v>
      </c>
      <c r="AL13" s="219">
        <f t="shared" si="53"/>
        <v>0.16486353250024105</v>
      </c>
      <c r="AM13" s="219">
        <f t="shared" si="53"/>
        <v>9.0807430316751286E-2</v>
      </c>
      <c r="AN13" s="219">
        <f t="shared" si="53"/>
        <v>6.8965185576893795E-2</v>
      </c>
      <c r="AO13" s="219">
        <f t="shared" si="53"/>
        <v>0.43169247131430877</v>
      </c>
      <c r="AP13" s="219">
        <f t="shared" si="53"/>
        <v>0.43321050544575146</v>
      </c>
      <c r="AQ13" s="219">
        <f t="shared" si="53"/>
        <v>0.22775165121311353</v>
      </c>
      <c r="AR13" s="219">
        <f t="shared" si="53"/>
        <v>0.20509533608109815</v>
      </c>
    </row>
    <row r="14" spans="1:74" s="48" customFormat="1" x14ac:dyDescent="0.25">
      <c r="A14" s="46" t="s">
        <v>293</v>
      </c>
    </row>
    <row r="15" spans="1:74" s="26" customFormat="1" x14ac:dyDescent="0.25">
      <c r="A15" s="17" t="s">
        <v>313</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44842500</v>
      </c>
      <c r="AD15" s="189">
        <v>0</v>
      </c>
      <c r="AE15" s="189">
        <v>0</v>
      </c>
      <c r="AF15" s="189">
        <v>0</v>
      </c>
      <c r="AG15" s="189">
        <v>0</v>
      </c>
      <c r="AH15" s="189">
        <v>0</v>
      </c>
      <c r="AI15" s="189">
        <v>0</v>
      </c>
      <c r="AJ15" s="189">
        <v>0</v>
      </c>
      <c r="AK15" s="189">
        <v>0</v>
      </c>
      <c r="AL15" s="189">
        <v>0</v>
      </c>
      <c r="AM15" s="189">
        <v>0</v>
      </c>
      <c r="AN15" s="189">
        <v>0</v>
      </c>
      <c r="AO15" s="189">
        <v>153753039.96000001</v>
      </c>
      <c r="AP15" s="189">
        <v>131727233.64</v>
      </c>
      <c r="AQ15" s="189">
        <v>131727233.64</v>
      </c>
      <c r="AR15" s="189">
        <v>131727233.64</v>
      </c>
      <c r="AS15" s="189">
        <v>2621875.85</v>
      </c>
      <c r="AT15" s="189">
        <v>2690659</v>
      </c>
      <c r="AU15" s="189">
        <v>2690659</v>
      </c>
      <c r="AV15" s="189">
        <v>2690659</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568007427.91999996</v>
      </c>
      <c r="R16" s="189">
        <v>0</v>
      </c>
      <c r="S16" s="189">
        <v>0</v>
      </c>
      <c r="T16" s="189">
        <v>0</v>
      </c>
      <c r="U16" s="189">
        <v>0</v>
      </c>
      <c r="V16" s="189">
        <v>0</v>
      </c>
      <c r="W16" s="189">
        <v>0</v>
      </c>
      <c r="X16" s="189">
        <v>0</v>
      </c>
      <c r="Y16" s="189">
        <v>0</v>
      </c>
      <c r="Z16" s="189">
        <v>0</v>
      </c>
      <c r="AA16" s="189">
        <v>0</v>
      </c>
      <c r="AB16" s="189">
        <v>0</v>
      </c>
      <c r="AC16" s="189">
        <v>29755311.73</v>
      </c>
      <c r="AD16" s="189">
        <v>0</v>
      </c>
      <c r="AE16" s="189">
        <v>0</v>
      </c>
      <c r="AF16" s="189">
        <v>0</v>
      </c>
      <c r="AG16" s="189">
        <v>0</v>
      </c>
      <c r="AH16" s="189">
        <v>0</v>
      </c>
      <c r="AI16" s="189">
        <v>0</v>
      </c>
      <c r="AJ16" s="189">
        <v>0</v>
      </c>
      <c r="AK16" s="189">
        <v>0</v>
      </c>
      <c r="AL16" s="189">
        <v>0</v>
      </c>
      <c r="AM16" s="189">
        <v>0</v>
      </c>
      <c r="AN16" s="189">
        <v>0</v>
      </c>
      <c r="AO16" s="189">
        <v>-66663051.219999999</v>
      </c>
      <c r="AP16" s="189">
        <v>50764620</v>
      </c>
      <c r="AQ16" s="189">
        <v>50764620</v>
      </c>
      <c r="AR16" s="189">
        <v>50764620</v>
      </c>
      <c r="AS16" s="189">
        <v>14278495.539999999</v>
      </c>
      <c r="AT16" s="189">
        <v>19900000</v>
      </c>
      <c r="AU16" s="189">
        <v>19900000</v>
      </c>
      <c r="AV16" s="189">
        <v>19900000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5"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568007427.91999996</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-15087188.27</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-220416091.18000001</v>
      </c>
      <c r="AP17" s="47">
        <f t="shared" si="54"/>
        <v>-80962613.640000001</v>
      </c>
      <c r="AQ17" s="47">
        <f t="shared" si="54"/>
        <v>-80962613.640000001</v>
      </c>
      <c r="AR17" s="47">
        <f t="shared" si="54"/>
        <v>-80962613.640000001</v>
      </c>
      <c r="AS17" s="47">
        <f t="shared" si="54"/>
        <v>11656619.689999999</v>
      </c>
      <c r="AT17" s="47">
        <f t="shared" si="54"/>
        <v>17209341</v>
      </c>
      <c r="AU17" s="47">
        <f t="shared" si="54"/>
        <v>17209341</v>
      </c>
      <c r="AV17" s="47">
        <f t="shared" si="54"/>
        <v>17209341</v>
      </c>
    </row>
    <row r="18" spans="1:74" s="48" customFormat="1" x14ac:dyDescent="0.25">
      <c r="A18" s="46" t="s">
        <v>294</v>
      </c>
    </row>
    <row r="19" spans="1:74" s="192" customFormat="1" x14ac:dyDescent="0.25">
      <c r="A19" s="192" t="s">
        <v>299</v>
      </c>
      <c r="E19" s="192">
        <f>E5+E17</f>
        <v>726941747.32000005</v>
      </c>
      <c r="F19" s="192">
        <f t="shared" ref="F19:AS19" si="55">F5+F17</f>
        <v>387648555.62</v>
      </c>
      <c r="G19" s="192">
        <f t="shared" si="55"/>
        <v>211736337.35000002</v>
      </c>
      <c r="H19" s="192">
        <f t="shared" si="55"/>
        <v>104052285.48</v>
      </c>
      <c r="I19" s="192">
        <f t="shared" si="55"/>
        <v>421709475.81999999</v>
      </c>
      <c r="J19" s="192">
        <f t="shared" si="55"/>
        <v>445948433.38</v>
      </c>
      <c r="K19" s="192">
        <f t="shared" si="55"/>
        <v>319176161.56999999</v>
      </c>
      <c r="L19" s="192">
        <f t="shared" si="55"/>
        <v>181869318.19</v>
      </c>
      <c r="M19" s="192">
        <f t="shared" si="55"/>
        <v>1294429535.8699999</v>
      </c>
      <c r="N19" s="192">
        <f t="shared" si="55"/>
        <v>912285974.11000001</v>
      </c>
      <c r="O19" s="192">
        <f t="shared" si="55"/>
        <v>640436786.98000002</v>
      </c>
      <c r="P19" s="192">
        <f t="shared" si="55"/>
        <v>445634745.56999999</v>
      </c>
      <c r="Q19" s="192">
        <f t="shared" si="55"/>
        <v>2482130598.4400001</v>
      </c>
      <c r="R19" s="192">
        <f t="shared" si="55"/>
        <v>558996278.38999999</v>
      </c>
      <c r="S19" s="192">
        <f t="shared" si="55"/>
        <v>402866569.81</v>
      </c>
      <c r="T19" s="192">
        <f t="shared" si="55"/>
        <v>179448605.44</v>
      </c>
      <c r="U19" s="192">
        <f t="shared" si="55"/>
        <v>917813222.5</v>
      </c>
      <c r="V19" s="192">
        <f t="shared" si="55"/>
        <v>605876233.98000002</v>
      </c>
      <c r="W19" s="192">
        <f t="shared" si="55"/>
        <v>428852375.13</v>
      </c>
      <c r="X19" s="192">
        <f t="shared" si="55"/>
        <v>241936213.25999999</v>
      </c>
      <c r="Y19" s="192">
        <f t="shared" si="55"/>
        <v>1894611322.9200001</v>
      </c>
      <c r="Z19" s="192">
        <f t="shared" si="55"/>
        <v>1484714690.6799998</v>
      </c>
      <c r="AA19" s="192">
        <f t="shared" si="55"/>
        <v>818005762.22000003</v>
      </c>
      <c r="AB19" s="192">
        <f t="shared" si="55"/>
        <v>324805831.80000001</v>
      </c>
      <c r="AC19" s="192">
        <f t="shared" si="55"/>
        <v>976045584.50999999</v>
      </c>
      <c r="AD19" s="192">
        <f t="shared" si="55"/>
        <v>841602237.52999997</v>
      </c>
      <c r="AE19" s="192">
        <f t="shared" si="55"/>
        <v>680094067.71000004</v>
      </c>
      <c r="AF19" s="192">
        <f t="shared" si="55"/>
        <v>402839132.57999998</v>
      </c>
      <c r="AG19" s="192">
        <f t="shared" si="55"/>
        <v>924107237.7299999</v>
      </c>
      <c r="AH19" s="192">
        <f t="shared" si="55"/>
        <v>706484913.24000001</v>
      </c>
      <c r="AI19" s="192">
        <f t="shared" si="55"/>
        <v>637405676.88999999</v>
      </c>
      <c r="AJ19" s="192">
        <f t="shared" si="55"/>
        <v>39376244.739999995</v>
      </c>
      <c r="AK19" s="192">
        <f t="shared" si="55"/>
        <v>244546698.53999999</v>
      </c>
      <c r="AL19" s="192">
        <f t="shared" si="55"/>
        <v>232142831.21000001</v>
      </c>
      <c r="AM19" s="192">
        <f t="shared" si="55"/>
        <v>185793440.40000001</v>
      </c>
      <c r="AN19" s="192">
        <f t="shared" si="55"/>
        <v>78114825.629999995</v>
      </c>
      <c r="AO19" s="192">
        <f t="shared" si="55"/>
        <v>337964673.68000001</v>
      </c>
      <c r="AP19" s="192">
        <f t="shared" si="55"/>
        <v>337709597.63</v>
      </c>
      <c r="AQ19" s="192">
        <f t="shared" si="55"/>
        <v>182373084.11000001</v>
      </c>
      <c r="AR19" s="192">
        <f t="shared" si="55"/>
        <v>103398130.92999999</v>
      </c>
      <c r="AS19" s="192">
        <f t="shared" si="55"/>
        <v>11656619.689999999</v>
      </c>
    </row>
    <row r="20" spans="1:74" s="192" customFormat="1" x14ac:dyDescent="0.25">
      <c r="A20" s="192" t="s">
        <v>300</v>
      </c>
      <c r="B20" s="189">
        <v>-1311830176.8199999</v>
      </c>
      <c r="C20" s="189">
        <v>-1187222385.3800001</v>
      </c>
      <c r="D20" s="189">
        <v>-2256500183.4000001</v>
      </c>
      <c r="E20" s="189">
        <v>-1748962140.49</v>
      </c>
      <c r="F20" s="189">
        <v>-4018790100.96</v>
      </c>
      <c r="G20" s="189">
        <v>-4493028590.3199997</v>
      </c>
      <c r="H20" s="189">
        <v>-3333736415.5799999</v>
      </c>
      <c r="I20" s="189">
        <v>3532331689.8000002</v>
      </c>
      <c r="J20" s="189">
        <v>-1372759082.9400001</v>
      </c>
      <c r="K20" s="189">
        <v>-1864769333.72</v>
      </c>
      <c r="L20" s="189">
        <v>-1956386396.3199999</v>
      </c>
      <c r="M20" s="189">
        <v>6009740480.1000004</v>
      </c>
      <c r="N20" s="189">
        <v>5016798560.6400003</v>
      </c>
      <c r="O20" s="189">
        <v>1861427620.1600001</v>
      </c>
      <c r="P20" s="189">
        <v>-308709675.41000003</v>
      </c>
      <c r="Q20" s="189">
        <v>3205260757.9299998</v>
      </c>
      <c r="R20" s="189">
        <v>2323847789.0999999</v>
      </c>
      <c r="S20" s="189">
        <v>1529550905.22</v>
      </c>
      <c r="T20" s="189">
        <v>590472314.78999996</v>
      </c>
      <c r="U20" s="189">
        <v>1936967616.95</v>
      </c>
      <c r="V20" s="189">
        <v>2758002518.5100002</v>
      </c>
      <c r="W20" s="189">
        <v>1336851537.0599999</v>
      </c>
      <c r="X20" s="189">
        <v>-414216429.92000002</v>
      </c>
      <c r="Y20" s="189">
        <v>1372155761.8199999</v>
      </c>
      <c r="Z20" s="189">
        <v>1916400102.73</v>
      </c>
      <c r="AA20" s="189">
        <v>1332079213.3099999</v>
      </c>
      <c r="AB20" s="189">
        <v>811439629.33000004</v>
      </c>
      <c r="AC20" s="189">
        <v>1446257945.8299999</v>
      </c>
      <c r="AD20" s="189">
        <v>994639463.90999997</v>
      </c>
      <c r="AE20" s="189">
        <v>533961400.69999999</v>
      </c>
      <c r="AF20" s="189">
        <v>379924617.75999999</v>
      </c>
      <c r="AG20" s="189">
        <v>1317701489.8900001</v>
      </c>
      <c r="AH20" s="189">
        <v>2171253524.3299999</v>
      </c>
      <c r="AI20" s="189">
        <v>1015484466.1799999</v>
      </c>
      <c r="AJ20" s="189">
        <v>344399893.80000001</v>
      </c>
      <c r="AK20" s="189">
        <v>72946056.640000001</v>
      </c>
      <c r="AL20" s="189">
        <v>840764580.45000005</v>
      </c>
      <c r="AM20" s="189">
        <v>245393006.91</v>
      </c>
      <c r="AN20" s="189">
        <v>-196925535.59</v>
      </c>
      <c r="AO20" s="189">
        <v>964232710.99000001</v>
      </c>
      <c r="AP20" s="189">
        <v>480875519.33999997</v>
      </c>
      <c r="AQ20" s="189">
        <v>329889963.55000001</v>
      </c>
      <c r="AR20" s="189">
        <v>95270754.269999996</v>
      </c>
      <c r="AS20" s="189">
        <v>589503959.94000006</v>
      </c>
      <c r="AT20" s="189">
        <v>355676867.05000001</v>
      </c>
      <c r="AU20" s="189">
        <v>13124558.050000001</v>
      </c>
      <c r="AV20" s="189">
        <v>19293015.57</v>
      </c>
      <c r="AW20" s="189">
        <v>942252876.02999997</v>
      </c>
      <c r="AX20" s="189">
        <v>581104757.72000003</v>
      </c>
      <c r="AY20" s="189">
        <v>376180666.48000002</v>
      </c>
      <c r="AZ20" s="189">
        <v>97681337.989999995</v>
      </c>
      <c r="BA20" s="189">
        <v>506167455.94</v>
      </c>
      <c r="BB20" s="189">
        <v>422438764.75</v>
      </c>
      <c r="BC20" s="189">
        <v>161645392.78999999</v>
      </c>
      <c r="BD20" s="189">
        <v>-39250504.810000002</v>
      </c>
      <c r="BE20" s="189">
        <v>436747598.63999999</v>
      </c>
      <c r="BF20" s="189">
        <v>217851203.97</v>
      </c>
      <c r="BG20" s="189">
        <v>-39278311.390000001</v>
      </c>
      <c r="BH20" s="189">
        <v>-65525450.590000004</v>
      </c>
      <c r="BI20" s="189">
        <v>131076566.94</v>
      </c>
      <c r="BJ20" s="189">
        <v>83283483.200000003</v>
      </c>
      <c r="BK20" s="189">
        <v>-32028227.379999999</v>
      </c>
      <c r="BL20" s="189">
        <v>3757509.42</v>
      </c>
      <c r="BM20" s="189">
        <v>273627892.05000001</v>
      </c>
      <c r="BN20" s="189">
        <v>92638784.040000007</v>
      </c>
      <c r="BO20" s="189">
        <v>97798745.280000001</v>
      </c>
      <c r="BP20" s="189">
        <v>55599297.850000001</v>
      </c>
      <c r="BQ20" s="189">
        <v>219082456.00999999</v>
      </c>
      <c r="BR20" s="189">
        <v>41660870.359999999</v>
      </c>
      <c r="BS20" s="189">
        <v>22365969.879999999</v>
      </c>
      <c r="BT20" s="189">
        <v>17378872.219999999</v>
      </c>
      <c r="BU20" s="189">
        <v>-23452349.030000001</v>
      </c>
      <c r="BV20" s="189">
        <v>0</v>
      </c>
    </row>
    <row r="21" spans="1:74" s="220" customFormat="1" x14ac:dyDescent="0.25">
      <c r="A21" s="220" t="s">
        <v>666</v>
      </c>
      <c r="E21" s="220">
        <f>E20/E19</f>
        <v>-2.4059178702253101</v>
      </c>
      <c r="F21" s="220">
        <f t="shared" ref="F21:AS21" si="56">F20/F19</f>
        <v>-10.367096801205411</v>
      </c>
      <c r="G21" s="220">
        <f t="shared" si="56"/>
        <v>-21.219922128401731</v>
      </c>
      <c r="H21" s="220">
        <f t="shared" si="56"/>
        <v>-32.039050369737247</v>
      </c>
      <c r="I21" s="220">
        <f t="shared" si="56"/>
        <v>8.3762208163131717</v>
      </c>
      <c r="J21" s="220">
        <f t="shared" si="56"/>
        <v>-3.0782910762470364</v>
      </c>
      <c r="K21" s="220">
        <f t="shared" si="56"/>
        <v>-5.8424455151893566</v>
      </c>
      <c r="L21" s="220">
        <f t="shared" si="56"/>
        <v>-10.757099744972656</v>
      </c>
      <c r="M21" s="220">
        <f t="shared" si="56"/>
        <v>4.6427714398998088</v>
      </c>
      <c r="N21" s="220">
        <f t="shared" si="56"/>
        <v>5.499151256308906</v>
      </c>
      <c r="O21" s="220">
        <f t="shared" si="56"/>
        <v>2.9064970314051148</v>
      </c>
      <c r="P21" s="220">
        <f t="shared" si="56"/>
        <v>-0.69274148499156496</v>
      </c>
      <c r="Q21" s="220">
        <f t="shared" si="56"/>
        <v>1.2913344527256065</v>
      </c>
      <c r="R21" s="220">
        <f t="shared" si="56"/>
        <v>4.1571793568877755</v>
      </c>
      <c r="S21" s="220">
        <f t="shared" si="56"/>
        <v>3.7966687231987679</v>
      </c>
      <c r="T21" s="220">
        <f t="shared" si="56"/>
        <v>3.2904814910218341</v>
      </c>
      <c r="U21" s="220">
        <f t="shared" si="56"/>
        <v>2.1104158988622546</v>
      </c>
      <c r="V21" s="220">
        <f t="shared" si="56"/>
        <v>4.5520889644287346</v>
      </c>
      <c r="W21" s="220">
        <f t="shared" si="56"/>
        <v>3.1172767473999743</v>
      </c>
      <c r="X21" s="220">
        <f t="shared" si="56"/>
        <v>-1.7120894153818007</v>
      </c>
      <c r="Y21" s="220">
        <f t="shared" si="56"/>
        <v>0.72424129699869799</v>
      </c>
      <c r="Z21" s="220">
        <f t="shared" si="56"/>
        <v>1.290753108836209</v>
      </c>
      <c r="AA21" s="220">
        <f t="shared" si="56"/>
        <v>1.6284472247418491</v>
      </c>
      <c r="AB21" s="220">
        <f t="shared" si="56"/>
        <v>2.4982298650033044</v>
      </c>
      <c r="AC21" s="220">
        <f t="shared" si="56"/>
        <v>1.481752459907965</v>
      </c>
      <c r="AD21" s="220">
        <f t="shared" si="56"/>
        <v>1.1818403273607561</v>
      </c>
      <c r="AE21" s="220">
        <f t="shared" si="56"/>
        <v>0.78512874328979931</v>
      </c>
      <c r="AF21" s="220">
        <f t="shared" si="56"/>
        <v>0.94311745566215721</v>
      </c>
      <c r="AG21" s="220">
        <f t="shared" si="56"/>
        <v>1.4259183740696966</v>
      </c>
      <c r="AH21" s="220">
        <f t="shared" si="56"/>
        <v>3.0733190244253712</v>
      </c>
      <c r="AI21" s="220">
        <f t="shared" si="56"/>
        <v>1.5931525290686213</v>
      </c>
      <c r="AJ21" s="220">
        <f t="shared" si="56"/>
        <v>8.7463874748356734</v>
      </c>
      <c r="AK21" s="220">
        <f t="shared" si="56"/>
        <v>0.29829090752606652</v>
      </c>
      <c r="AL21" s="220">
        <f t="shared" si="56"/>
        <v>3.6217555203737106</v>
      </c>
      <c r="AM21" s="220">
        <f t="shared" si="56"/>
        <v>1.3207840189712101</v>
      </c>
      <c r="AN21" s="220">
        <f t="shared" si="56"/>
        <v>-2.5209751670286105</v>
      </c>
      <c r="AO21" s="220">
        <f t="shared" si="56"/>
        <v>2.8530576894050723</v>
      </c>
      <c r="AP21" s="220">
        <f t="shared" si="56"/>
        <v>1.4239320490584779</v>
      </c>
      <c r="AQ21" s="220">
        <f t="shared" si="56"/>
        <v>1.808874183160843</v>
      </c>
      <c r="AR21" s="220">
        <f t="shared" si="56"/>
        <v>0.92139725750456569</v>
      </c>
      <c r="AS21" s="220">
        <f t="shared" si="56"/>
        <v>50.572462310469362</v>
      </c>
    </row>
    <row r="22" spans="1:74" s="192" customFormat="1" x14ac:dyDescent="0.25">
      <c r="A22" s="192" t="s">
        <v>301</v>
      </c>
      <c r="E22" s="192">
        <f>I35</f>
        <v>6983426374.2299995</v>
      </c>
      <c r="F22" s="192">
        <f t="shared" ref="F22:Y22" si="57">J35</f>
        <v>3688624867.52</v>
      </c>
      <c r="G22" s="192">
        <f t="shared" si="57"/>
        <v>3571046744.9400001</v>
      </c>
      <c r="H22" s="192">
        <f t="shared" si="57"/>
        <v>5871908451.3799992</v>
      </c>
      <c r="I22" s="192">
        <f t="shared" si="57"/>
        <v>8386595919.6700001</v>
      </c>
      <c r="J22" s="192">
        <f t="shared" si="57"/>
        <v>6978660244.5200005</v>
      </c>
      <c r="K22" s="192">
        <f t="shared" si="57"/>
        <v>6035992308.6100006</v>
      </c>
      <c r="L22" s="192">
        <f t="shared" si="57"/>
        <v>5203338139.7200003</v>
      </c>
      <c r="M22" s="192">
        <f t="shared" si="57"/>
        <v>6189105008.1799994</v>
      </c>
      <c r="N22" s="192">
        <f t="shared" si="57"/>
        <v>5040194733.6000004</v>
      </c>
      <c r="O22" s="192">
        <f t="shared" si="57"/>
        <v>4654986171.3600006</v>
      </c>
      <c r="P22" s="192">
        <f t="shared" si="57"/>
        <v>3904376246.1899996</v>
      </c>
      <c r="Q22" s="192">
        <f t="shared" si="57"/>
        <v>4213036342.4400001</v>
      </c>
      <c r="R22" s="192">
        <f t="shared" si="57"/>
        <v>4834293425.9199991</v>
      </c>
      <c r="S22" s="192">
        <f t="shared" si="57"/>
        <v>4104392771.1100001</v>
      </c>
      <c r="T22" s="192">
        <f t="shared" si="57"/>
        <v>3024395178.2399998</v>
      </c>
      <c r="U22" s="192">
        <f t="shared" si="57"/>
        <v>3054544210.8400002</v>
      </c>
      <c r="V22" s="192">
        <f t="shared" si="57"/>
        <v>4587408555.5200005</v>
      </c>
      <c r="W22" s="192">
        <f t="shared" si="57"/>
        <v>4528961474.6000004</v>
      </c>
      <c r="X22" s="192">
        <f t="shared" si="57"/>
        <v>4391132805.5200005</v>
      </c>
      <c r="Y22" s="192">
        <f t="shared" si="57"/>
        <v>1488077242.97</v>
      </c>
      <c r="Z22" s="192">
        <f t="shared" ref="Z22" si="58">AD35</f>
        <v>1294979686.6100001</v>
      </c>
      <c r="AA22" s="192">
        <f t="shared" ref="AA22" si="59">AE35</f>
        <v>1083792649.95</v>
      </c>
      <c r="AB22" s="192">
        <f t="shared" ref="AB22" si="60">AF35</f>
        <v>1383178468.9099998</v>
      </c>
      <c r="AC22" s="192">
        <f t="shared" ref="AC22" si="61">AG35</f>
        <v>1457110361.0999999</v>
      </c>
      <c r="AD22" s="192">
        <f t="shared" ref="AD22" si="62">AH35</f>
        <v>2512186031.3000002</v>
      </c>
      <c r="AE22" s="192">
        <f t="shared" ref="AE22" si="63">AI35</f>
        <v>1352623750.3</v>
      </c>
      <c r="AF22" s="192">
        <f t="shared" ref="AF22" si="64">AJ35</f>
        <v>1847535418.04</v>
      </c>
      <c r="AG22" s="192">
        <f t="shared" ref="AG22" si="65">AK35</f>
        <v>1594375316.79</v>
      </c>
      <c r="AH22" s="192">
        <f t="shared" ref="AH22" si="66">AL35</f>
        <v>2587611132.3099999</v>
      </c>
      <c r="AI22" s="192">
        <f t="shared" ref="AI22" si="67">AM35</f>
        <v>2025112302.1900001</v>
      </c>
      <c r="AJ22" s="192">
        <f t="shared" ref="AJ22" si="68">AN35</f>
        <v>1761502668.3499999</v>
      </c>
      <c r="AK22" s="192">
        <f t="shared" ref="AK22" si="69">AO35</f>
        <v>1715547420.3599999</v>
      </c>
      <c r="AL22" s="192">
        <f t="shared" ref="AL22" si="70">AP35</f>
        <v>1577481286.3699999</v>
      </c>
      <c r="AM22" s="192">
        <f t="shared" ref="AM22" si="71">AQ35</f>
        <v>1859314199.6900001</v>
      </c>
      <c r="AN22" s="192">
        <f t="shared" ref="AN22" si="72">AR35</f>
        <v>3131084021.5700002</v>
      </c>
      <c r="AO22" s="192">
        <f t="shared" ref="AO22" si="73">AS35</f>
        <v>3895745905.1599998</v>
      </c>
      <c r="AP22" s="192">
        <f t="shared" ref="AP22" si="74">AT35</f>
        <v>3502173593.0799999</v>
      </c>
      <c r="AQ22" s="192">
        <f t="shared" ref="AQ22" si="75">AU35</f>
        <v>1892510833.71</v>
      </c>
      <c r="AR22" s="192">
        <f t="shared" ref="AR22" si="76">AV35</f>
        <v>1751926237.4200001</v>
      </c>
      <c r="AS22" s="192">
        <f t="shared" ref="AS22" si="77">AW35</f>
        <v>1373805633.4099998</v>
      </c>
    </row>
    <row r="23" spans="1:74" s="192" customFormat="1" x14ac:dyDescent="0.25">
      <c r="A23" s="192" t="s">
        <v>302</v>
      </c>
      <c r="E23" s="192">
        <f>E20+E22-E19</f>
        <v>4507522486.4200001</v>
      </c>
      <c r="F23" s="192">
        <f t="shared" ref="F23:AS23" si="78">F20+F22-F19</f>
        <v>-717813789.06000006</v>
      </c>
      <c r="G23" s="192">
        <f t="shared" si="78"/>
        <v>-1133718182.7299995</v>
      </c>
      <c r="H23" s="192">
        <f t="shared" si="78"/>
        <v>2434119750.3199992</v>
      </c>
      <c r="I23" s="192">
        <f t="shared" si="78"/>
        <v>11497218133.650002</v>
      </c>
      <c r="J23" s="192">
        <f t="shared" si="78"/>
        <v>5159952728.1999998</v>
      </c>
      <c r="K23" s="192">
        <f t="shared" si="78"/>
        <v>3852046813.3200002</v>
      </c>
      <c r="L23" s="192">
        <f t="shared" si="78"/>
        <v>3065082425.2100005</v>
      </c>
      <c r="M23" s="192">
        <f t="shared" si="78"/>
        <v>10904415952.41</v>
      </c>
      <c r="N23" s="192">
        <f t="shared" si="78"/>
        <v>9144707320.1300011</v>
      </c>
      <c r="O23" s="192">
        <f t="shared" si="78"/>
        <v>5875977004.5400009</v>
      </c>
      <c r="P23" s="192">
        <f t="shared" si="78"/>
        <v>3150031825.2099996</v>
      </c>
      <c r="Q23" s="192">
        <f t="shared" si="78"/>
        <v>4936166501.9300003</v>
      </c>
      <c r="R23" s="192">
        <f t="shared" si="78"/>
        <v>6599144936.6299982</v>
      </c>
      <c r="S23" s="192">
        <f t="shared" si="78"/>
        <v>5231077106.5199995</v>
      </c>
      <c r="T23" s="192">
        <f t="shared" si="78"/>
        <v>3435418887.5899997</v>
      </c>
      <c r="U23" s="192">
        <f t="shared" si="78"/>
        <v>4073698605.29</v>
      </c>
      <c r="V23" s="192">
        <f t="shared" si="78"/>
        <v>6739534840.0500011</v>
      </c>
      <c r="W23" s="192">
        <f t="shared" si="78"/>
        <v>5436960636.5299997</v>
      </c>
      <c r="X23" s="192">
        <f t="shared" si="78"/>
        <v>3734980162.3400002</v>
      </c>
      <c r="Y23" s="192">
        <f t="shared" si="78"/>
        <v>965621681.86999989</v>
      </c>
      <c r="Z23" s="192">
        <f t="shared" si="78"/>
        <v>1726665098.6600003</v>
      </c>
      <c r="AA23" s="192">
        <f t="shared" si="78"/>
        <v>1597866101.0400002</v>
      </c>
      <c r="AB23" s="192">
        <f t="shared" si="78"/>
        <v>1869812266.4399998</v>
      </c>
      <c r="AC23" s="192">
        <f t="shared" si="78"/>
        <v>1927322722.4199998</v>
      </c>
      <c r="AD23" s="192">
        <f t="shared" si="78"/>
        <v>2665223257.6800003</v>
      </c>
      <c r="AE23" s="192">
        <f t="shared" si="78"/>
        <v>1206491083.29</v>
      </c>
      <c r="AF23" s="192">
        <f t="shared" si="78"/>
        <v>1824620903.2200003</v>
      </c>
      <c r="AG23" s="192">
        <f t="shared" si="78"/>
        <v>1987969568.9500003</v>
      </c>
      <c r="AH23" s="192">
        <f t="shared" si="78"/>
        <v>4052379743.3999996</v>
      </c>
      <c r="AI23" s="192">
        <f t="shared" si="78"/>
        <v>2403191091.48</v>
      </c>
      <c r="AJ23" s="192">
        <f t="shared" si="78"/>
        <v>2066526317.4099998</v>
      </c>
      <c r="AK23" s="192">
        <f t="shared" si="78"/>
        <v>1543946778.46</v>
      </c>
      <c r="AL23" s="192">
        <f t="shared" si="78"/>
        <v>2186103035.6099997</v>
      </c>
      <c r="AM23" s="192">
        <f t="shared" si="78"/>
        <v>1918913766.2</v>
      </c>
      <c r="AN23" s="192">
        <f t="shared" si="78"/>
        <v>2856043660.3499999</v>
      </c>
      <c r="AO23" s="192">
        <f t="shared" si="78"/>
        <v>4522013942.4699993</v>
      </c>
      <c r="AP23" s="192">
        <f t="shared" si="78"/>
        <v>3645339514.79</v>
      </c>
      <c r="AQ23" s="192">
        <f t="shared" si="78"/>
        <v>2040027713.1500001</v>
      </c>
      <c r="AR23" s="192">
        <f t="shared" si="78"/>
        <v>1743798860.76</v>
      </c>
      <c r="AS23" s="192">
        <f t="shared" si="78"/>
        <v>1951652973.6599998</v>
      </c>
    </row>
    <row r="24" spans="1:74" s="220" customFormat="1" x14ac:dyDescent="0.25">
      <c r="A24" s="220" t="s">
        <v>303</v>
      </c>
      <c r="B24" s="189">
        <v>2891994162.8000002</v>
      </c>
      <c r="C24" s="189">
        <v>2143871582.46</v>
      </c>
      <c r="D24" s="189">
        <v>2034855679.3800001</v>
      </c>
      <c r="E24" s="189">
        <v>-1072587966.91</v>
      </c>
      <c r="F24" s="189">
        <v>-249435091.91</v>
      </c>
      <c r="G24" s="189">
        <v>1155679179.4000001</v>
      </c>
      <c r="H24" s="189">
        <v>-4903224.78</v>
      </c>
      <c r="I24" s="189">
        <v>-3456199562.1999998</v>
      </c>
      <c r="J24" s="189">
        <v>-3397523110.4200001</v>
      </c>
      <c r="K24" s="189">
        <v>-3423807908.27</v>
      </c>
      <c r="L24" s="189">
        <v>8751628.1899999995</v>
      </c>
      <c r="M24" s="189">
        <v>-1490383374.49</v>
      </c>
      <c r="N24" s="189">
        <v>-1502344644.23</v>
      </c>
      <c r="O24" s="189">
        <v>-1519831709.5</v>
      </c>
      <c r="P24" s="189">
        <v>36248091.100000001</v>
      </c>
      <c r="Q24" s="189">
        <v>-1176538957.5699999</v>
      </c>
      <c r="R24" s="189">
        <v>-858487756.75</v>
      </c>
      <c r="S24" s="189">
        <v>-813541409.13999999</v>
      </c>
      <c r="T24" s="189">
        <v>-21206863.09</v>
      </c>
      <c r="U24" s="189">
        <v>-655595468.95000005</v>
      </c>
      <c r="V24" s="189">
        <v>-433384619.38</v>
      </c>
      <c r="W24" s="189">
        <v>-314607330.86000001</v>
      </c>
      <c r="X24" s="189">
        <v>-32855769.129999999</v>
      </c>
      <c r="Y24" s="189">
        <v>2859408173.46</v>
      </c>
      <c r="Z24" s="189">
        <v>2639838443.7600002</v>
      </c>
      <c r="AA24" s="189">
        <v>2506974235.6399999</v>
      </c>
      <c r="AB24" s="189">
        <v>2419481674.77</v>
      </c>
      <c r="AC24" s="189">
        <v>-9683640.8000000007</v>
      </c>
      <c r="AD24" s="189">
        <v>-304681242.72000003</v>
      </c>
      <c r="AE24" s="189">
        <v>-4191769.98</v>
      </c>
      <c r="AF24" s="189">
        <v>-15547209.16</v>
      </c>
      <c r="AG24" s="189">
        <v>-644516993.64999998</v>
      </c>
      <c r="AH24" s="189">
        <v>-868165868.67999995</v>
      </c>
      <c r="AI24" s="189">
        <v>-647503302</v>
      </c>
      <c r="AJ24" s="189">
        <v>-113501752.09</v>
      </c>
      <c r="AK24" s="189">
        <v>-488637300.13</v>
      </c>
      <c r="AL24" s="189">
        <v>-22921166.66</v>
      </c>
      <c r="AM24" s="189">
        <v>-18087317.010000002</v>
      </c>
      <c r="AN24" s="189">
        <v>197453393.19999999</v>
      </c>
      <c r="AO24" s="189">
        <v>-1093154370.96</v>
      </c>
      <c r="AP24" s="189">
        <v>-958208602.44000006</v>
      </c>
      <c r="AQ24" s="189">
        <v>-960791511.80999994</v>
      </c>
      <c r="AR24" s="189">
        <v>264778920.86000001</v>
      </c>
      <c r="AS24" s="189">
        <v>562155233.53999996</v>
      </c>
      <c r="AT24" s="189">
        <v>812877156.52999997</v>
      </c>
      <c r="AU24" s="189">
        <v>206796516.63999999</v>
      </c>
      <c r="AV24" s="189">
        <v>268809952.5</v>
      </c>
      <c r="AW24" s="189">
        <v>-229457524.49000001</v>
      </c>
      <c r="AX24" s="189">
        <v>-267400551.31</v>
      </c>
      <c r="AY24" s="189">
        <v>-267315642.86000001</v>
      </c>
      <c r="AZ24" s="189">
        <v>0</v>
      </c>
      <c r="BA24" s="189">
        <v>-151228653.13</v>
      </c>
      <c r="BB24" s="189">
        <v>-147107993.40000001</v>
      </c>
      <c r="BC24" s="189">
        <v>-150581211.94999999</v>
      </c>
      <c r="BD24" s="189">
        <v>-48234327.5</v>
      </c>
      <c r="BE24" s="189">
        <v>-201973064.05000001</v>
      </c>
      <c r="BF24" s="189">
        <v>-48731696.009999998</v>
      </c>
      <c r="BG24" s="189">
        <v>-108440229.09999999</v>
      </c>
      <c r="BH24" s="189">
        <v>-60891325.780000001</v>
      </c>
      <c r="BI24" s="189">
        <v>165824407.19</v>
      </c>
      <c r="BJ24" s="189">
        <v>47648966.149999999</v>
      </c>
      <c r="BK24" s="189">
        <v>58728619.229999997</v>
      </c>
      <c r="BL24" s="189">
        <v>49775860</v>
      </c>
      <c r="BM24" s="189">
        <v>-164619073.09999999</v>
      </c>
      <c r="BN24" s="189">
        <v>-83165308.480000004</v>
      </c>
      <c r="BO24" s="189">
        <v>-85457490.180000007</v>
      </c>
      <c r="BP24" s="189">
        <v>-1571191</v>
      </c>
      <c r="BQ24" s="189">
        <v>240475649.37</v>
      </c>
      <c r="BR24" s="189">
        <v>10498457.640000001</v>
      </c>
      <c r="BS24" s="189">
        <v>-89289166.950000003</v>
      </c>
      <c r="BT24" s="189">
        <v>139478220.53</v>
      </c>
      <c r="BU24" s="189">
        <v>33396404.93</v>
      </c>
      <c r="BV24" s="189">
        <v>0</v>
      </c>
    </row>
    <row r="25" spans="1:74" s="241" customFormat="1" ht="138.6" customHeight="1" x14ac:dyDescent="0.25">
      <c r="A25" s="274" t="s">
        <v>742</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630</v>
      </c>
      <c r="E26" s="26">
        <f>现金流量表!E15</f>
        <v>12613425464.98</v>
      </c>
      <c r="F26" s="26">
        <f>现金流量表!F15</f>
        <v>9603279786.75</v>
      </c>
      <c r="G26" s="26">
        <f>现金流量表!G15</f>
        <v>7104432550.6800003</v>
      </c>
      <c r="H26" s="26">
        <f>现金流量表!H15</f>
        <v>3131842601.0100002</v>
      </c>
      <c r="I26" s="26">
        <f>现金流量表!I15</f>
        <v>7738563754.1300001</v>
      </c>
      <c r="J26" s="26">
        <f>现金流量表!J15</f>
        <v>5639502946.29</v>
      </c>
      <c r="K26" s="26">
        <f>现金流量表!K15</f>
        <v>4798896849.6300001</v>
      </c>
      <c r="L26" s="26">
        <f>现金流量表!L15</f>
        <v>2200520577</v>
      </c>
      <c r="M26" s="26">
        <f>现金流量表!M15</f>
        <v>13826716778.809999</v>
      </c>
      <c r="N26" s="26">
        <f>现金流量表!N15</f>
        <v>7631148028.0600004</v>
      </c>
      <c r="O26" s="26">
        <f>现金流量表!O15</f>
        <v>3725058294.0900002</v>
      </c>
      <c r="P26" s="26">
        <f>现金流量表!P15</f>
        <v>1519799684.02</v>
      </c>
      <c r="Q26" s="26">
        <f>现金流量表!Q15</f>
        <v>9835516869.2299995</v>
      </c>
      <c r="R26" s="26">
        <f>现金流量表!R15</f>
        <v>6213117006.54</v>
      </c>
      <c r="S26" s="26">
        <f>现金流量表!S15</f>
        <v>2139623909.97</v>
      </c>
      <c r="T26" s="26">
        <f>现金流量表!T15</f>
        <v>556364308.5</v>
      </c>
      <c r="U26" s="26">
        <f>现金流量表!U15</f>
        <v>10632249137.24</v>
      </c>
      <c r="V26" s="26">
        <f>现金流量表!V15</f>
        <v>5181205752.3100004</v>
      </c>
      <c r="W26" s="26">
        <f>现金流量表!W15</f>
        <v>3110452930.3400002</v>
      </c>
      <c r="X26" s="26">
        <f>现金流量表!X15</f>
        <v>1565692999.28</v>
      </c>
      <c r="Y26" s="26">
        <f>现金流量表!Y15</f>
        <v>6695713722.6300001</v>
      </c>
      <c r="Z26" s="26">
        <f>现金流量表!Z15</f>
        <v>5016319548.8900003</v>
      </c>
      <c r="AA26" s="26">
        <f>现金流量表!AA15</f>
        <v>3263562685.8600001</v>
      </c>
      <c r="AB26" s="26">
        <f>现金流量表!AB15</f>
        <v>1499621522.0699999</v>
      </c>
      <c r="AC26" s="26">
        <f>现金流量表!AC15</f>
        <v>1786955299.75</v>
      </c>
      <c r="AD26" s="26">
        <f>现金流量表!AD15</f>
        <v>1512465744.5799999</v>
      </c>
      <c r="AE26" s="26">
        <f>现金流量表!AE15</f>
        <v>1227571059.3699999</v>
      </c>
      <c r="AF26" s="26">
        <f>现金流量表!AF15</f>
        <v>615878246.62</v>
      </c>
      <c r="AG26" s="26">
        <f>现金流量表!AG15</f>
        <v>3547023740.3099999</v>
      </c>
      <c r="AH26" s="26">
        <f>现金流量表!AH15</f>
        <v>2347933266.3800001</v>
      </c>
      <c r="AI26" s="26">
        <f>现金流量表!AI15</f>
        <v>1493330329.3699999</v>
      </c>
      <c r="AJ26" s="26">
        <f>现金流量表!AJ15</f>
        <v>576214321.17999995</v>
      </c>
      <c r="AK26" s="26">
        <f>现金流量表!AK15</f>
        <v>3314744861.8099999</v>
      </c>
      <c r="AL26" s="26">
        <f>现金流量表!AL15</f>
        <v>2283585063.7600002</v>
      </c>
      <c r="AM26" s="26">
        <f>现金流量表!AM15</f>
        <v>1711188300.8</v>
      </c>
      <c r="AN26" s="26">
        <f>现金流量表!AN15</f>
        <v>821250154.97000003</v>
      </c>
      <c r="AO26" s="26">
        <f>现金流量表!AO15</f>
        <v>2167360955</v>
      </c>
      <c r="AP26" s="26">
        <f>现金流量表!AP15</f>
        <v>1087686253.3499999</v>
      </c>
      <c r="AQ26" s="26">
        <f>现金流量表!AQ15</f>
        <v>414970964.44999999</v>
      </c>
      <c r="AR26" s="26">
        <f>现金流量表!AR15</f>
        <v>179383834.97999999</v>
      </c>
      <c r="AS26" s="26">
        <f>现金流量表!AS15</f>
        <v>85603723.359999999</v>
      </c>
      <c r="AT26" s="26">
        <f>现金流量表!AT15</f>
        <v>197409443.83000001</v>
      </c>
      <c r="AU26" s="26">
        <f>现金流量表!AU15</f>
        <v>138229391.49000001</v>
      </c>
      <c r="AV26" s="26">
        <f>现金流量表!AV15</f>
        <v>61832460</v>
      </c>
      <c r="AW26" s="26">
        <f>现金流量表!AW15</f>
        <v>31000000</v>
      </c>
      <c r="AX26" s="26">
        <f>现金流量表!AX15</f>
        <v>20570660</v>
      </c>
      <c r="AY26" s="26">
        <f>现金流量表!AY15</f>
        <v>4000000</v>
      </c>
      <c r="AZ26" s="26">
        <f>现金流量表!AZ15</f>
        <v>0</v>
      </c>
      <c r="BA26" s="26">
        <f>现金流量表!BA15</f>
        <v>23000000</v>
      </c>
      <c r="BB26" s="26">
        <f>现金流量表!BB15</f>
        <v>8000000</v>
      </c>
      <c r="BC26" s="26">
        <f>现金流量表!BC15</f>
        <v>0</v>
      </c>
      <c r="BD26" s="26">
        <f>现金流量表!BD15</f>
        <v>0</v>
      </c>
      <c r="BE26" s="26">
        <f>现金流量表!BE15</f>
        <v>410000</v>
      </c>
      <c r="BF26" s="26">
        <f>现金流量表!BF15</f>
        <v>0</v>
      </c>
      <c r="BG26" s="26">
        <f>现金流量表!BG15</f>
        <v>0</v>
      </c>
      <c r="BH26" s="26">
        <f>现金流量表!BH15</f>
        <v>0</v>
      </c>
      <c r="BI26" s="26">
        <f>现金流量表!BI15</f>
        <v>3798841.39</v>
      </c>
      <c r="BJ26" s="26">
        <f>现金流量表!BJ15</f>
        <v>0</v>
      </c>
      <c r="BK26" s="26">
        <f>现金流量表!BK15</f>
        <v>0</v>
      </c>
      <c r="BL26" s="26">
        <f>现金流量表!BL15</f>
        <v>0</v>
      </c>
      <c r="BM26" s="26">
        <f>现金流量表!BM15</f>
        <v>62852316.189999998</v>
      </c>
      <c r="BN26" s="26">
        <f>现金流量表!BN15</f>
        <v>92860720.120000005</v>
      </c>
      <c r="BO26" s="26">
        <f>现金流量表!BO15</f>
        <v>7095341.4199999999</v>
      </c>
      <c r="BP26" s="26">
        <f>现金流量表!BP15</f>
        <v>50000000</v>
      </c>
      <c r="BQ26" s="26">
        <f>现金流量表!BQ15</f>
        <v>21270</v>
      </c>
      <c r="BR26" s="26">
        <f>现金流量表!BR15</f>
        <v>0</v>
      </c>
      <c r="BS26" s="26">
        <f>现金流量表!BS15</f>
        <v>111612768</v>
      </c>
      <c r="BT26" s="26">
        <f>现金流量表!BT15</f>
        <v>60000000</v>
      </c>
      <c r="BU26" s="26">
        <f>现金流量表!BU15</f>
        <v>0</v>
      </c>
      <c r="BV26" s="26">
        <f>现金流量表!BV15</f>
        <v>0</v>
      </c>
    </row>
    <row r="27" spans="1:74" s="26" customFormat="1" x14ac:dyDescent="0.25">
      <c r="A27" s="17" t="s">
        <v>631</v>
      </c>
      <c r="E27" s="26">
        <f>现金流量表!E22</f>
        <v>12752288592.780001</v>
      </c>
      <c r="F27" s="26">
        <f>现金流量表!F22</f>
        <v>7930519862.6000004</v>
      </c>
      <c r="G27" s="26">
        <f>现金流量表!G22</f>
        <v>5461512505.3299999</v>
      </c>
      <c r="H27" s="26">
        <f>现金流量表!H22</f>
        <v>1207279884.3499999</v>
      </c>
      <c r="I27" s="26">
        <f>现金流量表!I22</f>
        <v>8374513679.0600004</v>
      </c>
      <c r="J27" s="26">
        <f>现金流量表!J22</f>
        <v>4773170654.1899996</v>
      </c>
      <c r="K27" s="26">
        <f>现金流量表!K22</f>
        <v>3744248763.6100001</v>
      </c>
      <c r="L27" s="26">
        <f>现金流量表!L22</f>
        <v>2455610597.7199998</v>
      </c>
      <c r="M27" s="26">
        <f>现金流量表!M22</f>
        <v>16335135803.959999</v>
      </c>
      <c r="N27" s="26">
        <f>现金流量表!N22</f>
        <v>10797243193.16</v>
      </c>
      <c r="O27" s="26">
        <f>现金流量表!O22</f>
        <v>5086376750.2399998</v>
      </c>
      <c r="P27" s="26">
        <f>现金流量表!P22</f>
        <v>1788000000</v>
      </c>
      <c r="Q27" s="26">
        <f>现金流量表!Q22</f>
        <v>9099374520</v>
      </c>
      <c r="R27" s="26">
        <f>现金流量表!R22</f>
        <v>6469131935.8199997</v>
      </c>
      <c r="S27" s="26">
        <f>现金流量表!S22</f>
        <v>2017870000</v>
      </c>
      <c r="T27" s="26">
        <f>现金流量表!T22</f>
        <v>1257100000</v>
      </c>
      <c r="U27" s="26">
        <f>现金流量表!U22</f>
        <v>10620557148.129999</v>
      </c>
      <c r="V27" s="26">
        <f>现金流量表!V22</f>
        <v>5124150000</v>
      </c>
      <c r="W27" s="26">
        <f>现金流量表!W22</f>
        <v>2660150000</v>
      </c>
      <c r="X27" s="26">
        <f>现金流量表!X22</f>
        <v>890150000</v>
      </c>
      <c r="Y27" s="26">
        <f>现金流量表!Y22</f>
        <v>7118330000</v>
      </c>
      <c r="Z27" s="26">
        <f>现金流量表!Z22</f>
        <v>5305000000</v>
      </c>
      <c r="AA27" s="26">
        <f>现金流量表!AA22</f>
        <v>2885000000</v>
      </c>
      <c r="AB27" s="26">
        <f>现金流量表!AB22</f>
        <v>1700000000</v>
      </c>
      <c r="AC27" s="26">
        <f>现金流量表!AC22</f>
        <v>1823284900</v>
      </c>
      <c r="AD27" s="26">
        <f>现金流量表!AD22</f>
        <v>1468252400</v>
      </c>
      <c r="AE27" s="26">
        <f>现金流量表!AE22</f>
        <v>1228252400</v>
      </c>
      <c r="AF27" s="26">
        <f>现金流量表!AF22</f>
        <v>615000000</v>
      </c>
      <c r="AG27" s="26">
        <f>现金流量表!AG22</f>
        <v>3232917315</v>
      </c>
      <c r="AH27" s="26">
        <f>现金流量表!AH22</f>
        <v>2698649637.7800002</v>
      </c>
      <c r="AI27" s="26">
        <f>现金流量表!AI22</f>
        <v>1220649637.78</v>
      </c>
      <c r="AJ27" s="26">
        <f>现金流量表!AJ22</f>
        <v>565370590</v>
      </c>
      <c r="AK27" s="26">
        <f>现金流量表!AK22</f>
        <v>3475699670.6399999</v>
      </c>
      <c r="AL27" s="26">
        <f>现金流量表!AL22</f>
        <v>3036145460.8400002</v>
      </c>
      <c r="AM27" s="26">
        <f>现金流量表!AM22</f>
        <v>1945130000</v>
      </c>
      <c r="AN27" s="26">
        <f>现金流量表!AN22</f>
        <v>971005000</v>
      </c>
      <c r="AO27" s="26">
        <f>现金流量表!AO22</f>
        <v>1682351673.1900001</v>
      </c>
      <c r="AP27" s="26">
        <f>现金流量表!AP22</f>
        <v>657885173.19000006</v>
      </c>
      <c r="AQ27" s="26">
        <f>现金流量表!AQ22</f>
        <v>404697773.19</v>
      </c>
      <c r="AR27" s="26">
        <f>现金流量表!AR22</f>
        <v>67011969.740000002</v>
      </c>
      <c r="AS27" s="26">
        <f>现金流量表!AS22</f>
        <v>628933980</v>
      </c>
      <c r="AT27" s="26">
        <f>现金流量表!AT22</f>
        <v>739801736.03999996</v>
      </c>
      <c r="AU27" s="26">
        <f>现金流量表!AU22</f>
        <v>335252910.88</v>
      </c>
      <c r="AV27" s="26">
        <f>现金流量表!AV22</f>
        <v>310290840</v>
      </c>
      <c r="AW27" s="26">
        <f>现金流量表!AW22</f>
        <v>467900000</v>
      </c>
      <c r="AX27" s="26">
        <f>现金流量表!AX22</f>
        <v>166228100</v>
      </c>
      <c r="AY27" s="26">
        <f>现金流量表!AY22</f>
        <v>5969040</v>
      </c>
      <c r="AZ27" s="26">
        <f>现金流量表!AZ22</f>
        <v>0</v>
      </c>
      <c r="BA27" s="26">
        <f>现金流量表!BA22</f>
        <v>74000000</v>
      </c>
      <c r="BB27" s="26">
        <f>现金流量表!BB22</f>
        <v>44000000</v>
      </c>
      <c r="BC27" s="26">
        <f>现金流量表!BC22</f>
        <v>44000000</v>
      </c>
      <c r="BD27" s="26">
        <f>现金流量表!BD22</f>
        <v>24000000</v>
      </c>
      <c r="BE27" s="26">
        <f>现金流量表!BE22</f>
        <v>80200000</v>
      </c>
      <c r="BF27" s="26">
        <f>现金流量表!BF22</f>
        <v>46600000</v>
      </c>
      <c r="BG27" s="26">
        <f>现金流量表!BG22</f>
        <v>33000000</v>
      </c>
      <c r="BH27" s="26">
        <f>现金流量表!BH22</f>
        <v>0</v>
      </c>
      <c r="BI27" s="26">
        <f>现金流量表!BI22</f>
        <v>0</v>
      </c>
      <c r="BJ27" s="26">
        <f>现金流量表!BJ22</f>
        <v>26008181</v>
      </c>
      <c r="BK27" s="26">
        <f>现金流量表!BK22</f>
        <v>5385300</v>
      </c>
      <c r="BL27" s="26">
        <f>现金流量表!BL22</f>
        <v>5385300</v>
      </c>
      <c r="BM27" s="26">
        <f>现金流量表!BM22</f>
        <v>10400000</v>
      </c>
      <c r="BN27" s="26">
        <f>现金流量表!BN22</f>
        <v>34000000</v>
      </c>
      <c r="BO27" s="26">
        <f>现金流量表!BO22</f>
        <v>0</v>
      </c>
      <c r="BP27" s="26">
        <f>现金流量表!BP22</f>
        <v>0</v>
      </c>
      <c r="BQ27" s="26">
        <f>现金流量表!BQ22</f>
        <v>13299958.029999999</v>
      </c>
      <c r="BR27" s="26">
        <f>现金流量表!BR22</f>
        <v>6273378.0300000003</v>
      </c>
      <c r="BS27" s="26">
        <f>现金流量表!BS22</f>
        <v>80000000</v>
      </c>
      <c r="BT27" s="26">
        <f>现金流量表!BT22</f>
        <v>0</v>
      </c>
      <c r="BU27" s="26">
        <f>现金流量表!BU22</f>
        <v>0</v>
      </c>
      <c r="BV27" s="26">
        <f>现金流量表!BV22</f>
        <v>0</v>
      </c>
    </row>
    <row r="28" spans="1:74" s="26" customFormat="1" x14ac:dyDescent="0.25">
      <c r="A28" s="17" t="s">
        <v>632</v>
      </c>
      <c r="E28" s="26">
        <f>E27-E26</f>
        <v>138863127.80000114</v>
      </c>
      <c r="F28" s="26">
        <f t="shared" ref="F28:BQ28" si="79">F27-F26</f>
        <v>-1672759924.1499996</v>
      </c>
      <c r="G28" s="26">
        <f t="shared" si="79"/>
        <v>-1642920045.3500004</v>
      </c>
      <c r="H28" s="26">
        <f t="shared" si="79"/>
        <v>-1924562716.6600003</v>
      </c>
      <c r="I28" s="26">
        <f t="shared" si="79"/>
        <v>635949924.93000031</v>
      </c>
      <c r="J28" s="26">
        <f t="shared" si="79"/>
        <v>-866332292.10000038</v>
      </c>
      <c r="K28" s="26">
        <f t="shared" si="79"/>
        <v>-1054648086.02</v>
      </c>
      <c r="L28" s="26">
        <f t="shared" si="79"/>
        <v>255090020.71999979</v>
      </c>
      <c r="M28" s="26">
        <f t="shared" si="79"/>
        <v>2508419025.1499996</v>
      </c>
      <c r="N28" s="26">
        <f t="shared" si="79"/>
        <v>3166095165.0999994</v>
      </c>
      <c r="O28" s="26">
        <f t="shared" si="79"/>
        <v>1361318456.1499996</v>
      </c>
      <c r="P28" s="26">
        <f t="shared" si="79"/>
        <v>268200315.98000002</v>
      </c>
      <c r="Q28" s="26">
        <f t="shared" si="79"/>
        <v>-736142349.22999954</v>
      </c>
      <c r="R28" s="26">
        <f t="shared" si="79"/>
        <v>256014929.27999973</v>
      </c>
      <c r="S28" s="26">
        <f t="shared" si="79"/>
        <v>-121753909.97000003</v>
      </c>
      <c r="T28" s="26">
        <f t="shared" si="79"/>
        <v>700735691.5</v>
      </c>
      <c r="U28" s="26">
        <f t="shared" si="79"/>
        <v>-11691989.11000061</v>
      </c>
      <c r="V28" s="26">
        <f t="shared" si="79"/>
        <v>-57055752.31000042</v>
      </c>
      <c r="W28" s="26">
        <f t="shared" si="79"/>
        <v>-450302930.34000015</v>
      </c>
      <c r="X28" s="26">
        <f t="shared" si="79"/>
        <v>-675542999.27999997</v>
      </c>
      <c r="Y28" s="26">
        <f t="shared" si="79"/>
        <v>422616277.36999989</v>
      </c>
      <c r="Z28" s="26">
        <f t="shared" si="79"/>
        <v>288680451.10999966</v>
      </c>
      <c r="AA28" s="26">
        <f t="shared" si="79"/>
        <v>-378562685.86000013</v>
      </c>
      <c r="AB28" s="26">
        <f t="shared" si="79"/>
        <v>200378477.93000007</v>
      </c>
      <c r="AC28" s="26">
        <f t="shared" si="79"/>
        <v>36329600.25</v>
      </c>
      <c r="AD28" s="26">
        <f t="shared" si="79"/>
        <v>-44213344.579999924</v>
      </c>
      <c r="AE28" s="26">
        <f t="shared" si="79"/>
        <v>681340.63000011444</v>
      </c>
      <c r="AF28" s="26">
        <f t="shared" si="79"/>
        <v>-878246.62000000477</v>
      </c>
      <c r="AG28" s="26">
        <f t="shared" si="79"/>
        <v>-314106425.30999994</v>
      </c>
      <c r="AH28" s="26">
        <f t="shared" si="79"/>
        <v>350716371.4000001</v>
      </c>
      <c r="AI28" s="26">
        <f t="shared" si="79"/>
        <v>-272680691.58999991</v>
      </c>
      <c r="AJ28" s="26">
        <f t="shared" si="79"/>
        <v>-10843731.179999948</v>
      </c>
      <c r="AK28" s="26">
        <f t="shared" si="79"/>
        <v>160954808.82999992</v>
      </c>
      <c r="AL28" s="26">
        <f t="shared" si="79"/>
        <v>752560397.07999992</v>
      </c>
      <c r="AM28" s="26">
        <f t="shared" si="79"/>
        <v>233941699.20000005</v>
      </c>
      <c r="AN28" s="26">
        <f t="shared" si="79"/>
        <v>149754845.02999997</v>
      </c>
      <c r="AO28" s="26">
        <f t="shared" si="79"/>
        <v>-485009281.80999994</v>
      </c>
      <c r="AP28" s="26">
        <f t="shared" si="79"/>
        <v>-429801080.15999985</v>
      </c>
      <c r="AQ28" s="26">
        <f t="shared" si="79"/>
        <v>-10273191.25999999</v>
      </c>
      <c r="AR28" s="26">
        <f t="shared" si="79"/>
        <v>-112371865.23999998</v>
      </c>
      <c r="AS28" s="26">
        <f t="shared" si="79"/>
        <v>543330256.63999999</v>
      </c>
      <c r="AT28" s="26">
        <f t="shared" si="79"/>
        <v>542392292.20999992</v>
      </c>
      <c r="AU28" s="26">
        <f t="shared" si="79"/>
        <v>197023519.38999999</v>
      </c>
      <c r="AV28" s="26">
        <f t="shared" si="79"/>
        <v>248458380</v>
      </c>
      <c r="AW28" s="26">
        <f t="shared" si="79"/>
        <v>436900000</v>
      </c>
      <c r="AX28" s="26">
        <f t="shared" si="79"/>
        <v>145657440</v>
      </c>
      <c r="AY28" s="26">
        <f t="shared" si="79"/>
        <v>1969040</v>
      </c>
      <c r="AZ28" s="26">
        <f t="shared" si="79"/>
        <v>0</v>
      </c>
      <c r="BA28" s="26">
        <f t="shared" si="79"/>
        <v>51000000</v>
      </c>
      <c r="BB28" s="26">
        <f t="shared" si="79"/>
        <v>36000000</v>
      </c>
      <c r="BC28" s="26">
        <f t="shared" si="79"/>
        <v>44000000</v>
      </c>
      <c r="BD28" s="26">
        <f t="shared" si="79"/>
        <v>24000000</v>
      </c>
      <c r="BE28" s="26">
        <f t="shared" si="79"/>
        <v>79790000</v>
      </c>
      <c r="BF28" s="26">
        <f t="shared" si="79"/>
        <v>46600000</v>
      </c>
      <c r="BG28" s="26">
        <f t="shared" si="79"/>
        <v>33000000</v>
      </c>
      <c r="BH28" s="26">
        <f t="shared" si="79"/>
        <v>0</v>
      </c>
      <c r="BI28" s="26">
        <f t="shared" si="79"/>
        <v>-3798841.39</v>
      </c>
      <c r="BJ28" s="26">
        <f t="shared" si="79"/>
        <v>26008181</v>
      </c>
      <c r="BK28" s="26">
        <f t="shared" si="79"/>
        <v>5385300</v>
      </c>
      <c r="BL28" s="26">
        <f t="shared" si="79"/>
        <v>5385300</v>
      </c>
      <c r="BM28" s="26">
        <f t="shared" si="79"/>
        <v>-52452316.189999998</v>
      </c>
      <c r="BN28" s="26">
        <f t="shared" si="79"/>
        <v>-58860720.120000005</v>
      </c>
      <c r="BO28" s="26">
        <f t="shared" si="79"/>
        <v>-7095341.4199999999</v>
      </c>
      <c r="BP28" s="26">
        <f t="shared" si="79"/>
        <v>-50000000</v>
      </c>
      <c r="BQ28" s="26">
        <f t="shared" si="79"/>
        <v>13278688.029999999</v>
      </c>
      <c r="BR28" s="26">
        <f t="shared" ref="BR28:BV28" si="80">BR27-BR26</f>
        <v>6273378.0300000003</v>
      </c>
      <c r="BS28" s="26">
        <f t="shared" si="80"/>
        <v>-31612768</v>
      </c>
      <c r="BT28" s="26">
        <f t="shared" si="80"/>
        <v>-60000000</v>
      </c>
      <c r="BU28" s="26">
        <f t="shared" si="80"/>
        <v>0</v>
      </c>
      <c r="BV28" s="26">
        <f t="shared" si="80"/>
        <v>0</v>
      </c>
    </row>
    <row r="29" spans="1:74" s="26" customFormat="1" ht="16.2" customHeight="1" x14ac:dyDescent="0.25">
      <c r="A29" s="180" t="s">
        <v>633</v>
      </c>
      <c r="E29" s="181">
        <f>POWER(E28/U28,1/5)-1</f>
        <v>-2.6403620308864646</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35976</v>
      </c>
      <c r="BV30" s="1">
        <v>25569</v>
      </c>
    </row>
    <row r="31" spans="1:74" s="51" customFormat="1" ht="17.399999999999999" customHeight="1" x14ac:dyDescent="0.25">
      <c r="A31" s="111" t="s">
        <v>310</v>
      </c>
      <c r="B31" s="189">
        <v>8877953510.0100002</v>
      </c>
      <c r="C31" s="189">
        <v>8767739582.6800003</v>
      </c>
      <c r="D31" s="189">
        <v>8653010342.3799992</v>
      </c>
      <c r="E31" s="189">
        <v>8734161830.0200005</v>
      </c>
      <c r="F31" s="189">
        <v>8319076996.6700001</v>
      </c>
      <c r="G31" s="189">
        <v>8012539065.2799997</v>
      </c>
      <c r="H31" s="189">
        <v>8035339272.1599998</v>
      </c>
      <c r="I31" s="189">
        <v>8242750227.6400003</v>
      </c>
      <c r="J31" s="189">
        <v>7976656436.6300001</v>
      </c>
      <c r="K31" s="189">
        <v>7552586587.29</v>
      </c>
      <c r="L31" s="189">
        <v>7548677653.3599997</v>
      </c>
      <c r="M31" s="189">
        <v>7156027041.5200005</v>
      </c>
      <c r="N31" s="189">
        <v>7005367264.8999996</v>
      </c>
      <c r="O31" s="189">
        <v>7110410263.5500002</v>
      </c>
      <c r="P31" s="189">
        <v>6886618962.1999998</v>
      </c>
      <c r="Q31" s="189">
        <v>6600010802.54</v>
      </c>
      <c r="R31" s="189">
        <v>4491780110.9899998</v>
      </c>
      <c r="S31" s="189">
        <v>4418259253.1499996</v>
      </c>
      <c r="T31" s="189">
        <v>4449663468.3999996</v>
      </c>
      <c r="U31" s="189">
        <v>4444555444.1700001</v>
      </c>
      <c r="V31" s="189">
        <v>4316608649.79</v>
      </c>
      <c r="W31" s="189">
        <v>4311850097.3999996</v>
      </c>
      <c r="X31" s="189">
        <v>4315329762.2700005</v>
      </c>
      <c r="Y31" s="189">
        <v>4262682063.0300002</v>
      </c>
      <c r="Z31" s="189">
        <v>3483554623.6799998</v>
      </c>
      <c r="AA31" s="189">
        <v>3002622428.7199998</v>
      </c>
      <c r="AB31" s="189">
        <v>2587840765.0799999</v>
      </c>
      <c r="AC31" s="189">
        <v>2381377861.7399998</v>
      </c>
      <c r="AD31" s="189">
        <v>2380014599.0500002</v>
      </c>
      <c r="AE31" s="189">
        <v>2443058120.73</v>
      </c>
      <c r="AF31" s="189">
        <v>2084749610.9100001</v>
      </c>
      <c r="AG31" s="189">
        <v>2169255475.8699999</v>
      </c>
      <c r="AH31" s="189">
        <v>2116541919.9100001</v>
      </c>
      <c r="AI31" s="189">
        <v>2041118458.95</v>
      </c>
      <c r="AJ31" s="189">
        <v>2042435666.55</v>
      </c>
      <c r="AK31" s="189">
        <v>2112255339.3199999</v>
      </c>
      <c r="AL31" s="189">
        <v>2047528349.1099999</v>
      </c>
      <c r="AM31" s="189">
        <v>2051268237.96</v>
      </c>
      <c r="AN31" s="189">
        <v>1930171252.52</v>
      </c>
      <c r="AO31" s="189">
        <v>1789189122.3499999</v>
      </c>
      <c r="AP31" s="189">
        <v>1932749580.5699999</v>
      </c>
      <c r="AQ31" s="189">
        <v>2252667042.7600002</v>
      </c>
      <c r="AR31" s="189">
        <v>2416219795.8099999</v>
      </c>
      <c r="AS31" s="189">
        <v>3534290707.7600002</v>
      </c>
      <c r="AT31" s="189">
        <v>3088750199.48</v>
      </c>
      <c r="AU31" s="189">
        <v>1908765644.9300001</v>
      </c>
      <c r="AV31" s="189">
        <v>1665717005.3900001</v>
      </c>
      <c r="AW31" s="189">
        <v>805300730.88</v>
      </c>
      <c r="AX31" s="189">
        <v>710406952.39999998</v>
      </c>
      <c r="AY31" s="189">
        <v>647769711.63</v>
      </c>
      <c r="AZ31" s="189">
        <v>675188697.10000002</v>
      </c>
      <c r="BA31" s="189">
        <v>693673647.03999996</v>
      </c>
      <c r="BB31" s="189">
        <v>690073634.83000004</v>
      </c>
      <c r="BC31" s="189">
        <v>694155097.74000001</v>
      </c>
      <c r="BD31" s="189">
        <v>705234866.22000003</v>
      </c>
      <c r="BE31" s="189">
        <v>718934556.61000001</v>
      </c>
      <c r="BF31" s="189">
        <v>947999790.52999997</v>
      </c>
      <c r="BG31" s="189">
        <v>666734074.49000001</v>
      </c>
      <c r="BH31" s="189">
        <v>668886652.38</v>
      </c>
      <c r="BI31" s="189">
        <v>648934060.50999999</v>
      </c>
      <c r="BJ31" s="189">
        <v>586788583.52999997</v>
      </c>
      <c r="BK31" s="189">
        <v>527162431.58999997</v>
      </c>
      <c r="BL31" s="189">
        <v>491198139.67000002</v>
      </c>
      <c r="BM31" s="189">
        <v>480690968.44</v>
      </c>
      <c r="BN31" s="189">
        <v>481614848.12</v>
      </c>
      <c r="BO31" s="189">
        <v>446110351.63</v>
      </c>
      <c r="BP31" s="189">
        <v>453054515.08999997</v>
      </c>
      <c r="BQ31" s="189">
        <v>455098667.62</v>
      </c>
      <c r="BR31" s="189">
        <v>464710074.57999998</v>
      </c>
      <c r="BS31" s="189">
        <v>459157614.05000001</v>
      </c>
      <c r="BT31" s="189">
        <v>495937988.20999998</v>
      </c>
      <c r="BU31" s="189">
        <v>489304211.29000002</v>
      </c>
      <c r="BV31" s="189">
        <v>511322070.01999998</v>
      </c>
    </row>
    <row r="32" spans="1:74" s="54" customFormat="1" ht="15" customHeight="1" x14ac:dyDescent="0.25">
      <c r="A32" s="137" t="s">
        <v>311</v>
      </c>
      <c r="B32" s="189">
        <v>492016.01</v>
      </c>
      <c r="C32" s="189">
        <v>492016.01</v>
      </c>
      <c r="D32" s="189">
        <v>492016.01</v>
      </c>
      <c r="E32" s="189">
        <v>492016.01</v>
      </c>
      <c r="F32" s="189">
        <v>492016.01</v>
      </c>
      <c r="G32" s="189">
        <v>492016.01</v>
      </c>
      <c r="H32" s="189">
        <v>492016.01</v>
      </c>
      <c r="I32" s="189">
        <v>492016.01</v>
      </c>
      <c r="J32" s="189">
        <v>492016.01</v>
      </c>
      <c r="K32" s="189">
        <v>492016.01</v>
      </c>
      <c r="L32" s="189">
        <v>492016.01</v>
      </c>
      <c r="M32" s="189">
        <v>492016.01</v>
      </c>
      <c r="N32" s="189">
        <v>492016.01</v>
      </c>
      <c r="O32" s="189">
        <v>492016.01</v>
      </c>
      <c r="P32" s="189">
        <v>492016.01</v>
      </c>
      <c r="Q32" s="189">
        <v>492016.01</v>
      </c>
      <c r="R32" s="189">
        <v>492016.01</v>
      </c>
      <c r="S32" s="189">
        <v>492016.01</v>
      </c>
      <c r="T32" s="189">
        <v>492016.01</v>
      </c>
      <c r="U32" s="189">
        <v>492016.01</v>
      </c>
      <c r="V32" s="189">
        <v>492016.01</v>
      </c>
      <c r="W32" s="189">
        <v>492016.01</v>
      </c>
      <c r="X32" s="189">
        <v>492016.01</v>
      </c>
      <c r="Y32" s="189">
        <v>492016.01</v>
      </c>
      <c r="Z32" s="189">
        <v>492016.01</v>
      </c>
      <c r="AA32" s="189">
        <v>492016.01</v>
      </c>
      <c r="AB32" s="189">
        <v>492016.01</v>
      </c>
      <c r="AC32" s="189">
        <v>492016.01</v>
      </c>
      <c r="AD32" s="189">
        <v>492016.01</v>
      </c>
      <c r="AE32" s="189">
        <v>492016.01</v>
      </c>
      <c r="AF32" s="189">
        <v>492016.01</v>
      </c>
      <c r="AG32" s="189">
        <v>492016.01</v>
      </c>
      <c r="AH32" s="189">
        <v>492016.01</v>
      </c>
      <c r="AI32" s="189">
        <v>5138272.1900000004</v>
      </c>
      <c r="AJ32" s="189">
        <v>5138272.1900000004</v>
      </c>
      <c r="AK32" s="189">
        <v>5138272.1900000004</v>
      </c>
      <c r="AL32" s="189">
        <v>5138272.1900000004</v>
      </c>
      <c r="AM32" s="189">
        <v>5138272.1900000004</v>
      </c>
      <c r="AN32" s="189">
        <v>5138272.1900000004</v>
      </c>
      <c r="AO32" s="189">
        <v>5138272.1900000004</v>
      </c>
      <c r="AP32" s="189">
        <v>492016.01</v>
      </c>
      <c r="AQ32" s="189">
        <v>492016.01</v>
      </c>
      <c r="AR32" s="189">
        <v>492016.01</v>
      </c>
      <c r="AS32" s="189">
        <v>492016.01</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1454057710.8800001</v>
      </c>
      <c r="C33" s="189">
        <v>1474328010.8800001</v>
      </c>
      <c r="D33" s="189">
        <v>1328141210.8800001</v>
      </c>
      <c r="E33" s="189">
        <v>1329965605.02</v>
      </c>
      <c r="F33" s="189">
        <v>1077143493.02</v>
      </c>
      <c r="G33" s="189">
        <v>1078795032.52</v>
      </c>
      <c r="H33" s="189">
        <v>1008581782</v>
      </c>
      <c r="I33" s="189">
        <v>1008581782</v>
      </c>
      <c r="J33" s="189">
        <v>858581782</v>
      </c>
      <c r="K33" s="189">
        <v>578660200</v>
      </c>
      <c r="L33" s="189">
        <v>578660200</v>
      </c>
      <c r="M33" s="189">
        <v>378660200</v>
      </c>
      <c r="N33" s="189">
        <v>348867800</v>
      </c>
      <c r="O33" s="189">
        <v>349047800</v>
      </c>
      <c r="P33" s="189">
        <v>149047800</v>
      </c>
      <c r="Q33" s="189">
        <v>149047800</v>
      </c>
      <c r="R33" s="189">
        <v>149047800</v>
      </c>
      <c r="S33" s="189">
        <v>0</v>
      </c>
      <c r="T33" s="189">
        <v>0</v>
      </c>
      <c r="U33" s="189">
        <v>0</v>
      </c>
      <c r="V33" s="189">
        <v>0</v>
      </c>
      <c r="W33" s="189">
        <v>0</v>
      </c>
      <c r="X33" s="189">
        <v>0</v>
      </c>
      <c r="Y33" s="189">
        <v>0</v>
      </c>
      <c r="Z33" s="189">
        <v>0</v>
      </c>
      <c r="AA33" s="189">
        <v>0</v>
      </c>
      <c r="AB33" s="189">
        <v>244484614.13999999</v>
      </c>
      <c r="AC33" s="189">
        <v>317074128</v>
      </c>
      <c r="AD33" s="189">
        <v>329812000</v>
      </c>
      <c r="AE33" s="189">
        <v>465189000</v>
      </c>
      <c r="AF33" s="189">
        <v>483235000</v>
      </c>
      <c r="AG33" s="189">
        <v>539322000</v>
      </c>
      <c r="AH33" s="189">
        <v>513359000</v>
      </c>
      <c r="AI33" s="189">
        <v>475232000</v>
      </c>
      <c r="AJ33" s="189">
        <v>518656000</v>
      </c>
      <c r="AK33" s="189">
        <v>568991000</v>
      </c>
      <c r="AL33" s="189">
        <v>518156000</v>
      </c>
      <c r="AM33" s="189">
        <v>510825766</v>
      </c>
      <c r="AN33" s="189">
        <v>428390581</v>
      </c>
      <c r="AO33" s="189">
        <v>305052689</v>
      </c>
      <c r="AP33" s="189">
        <v>524166717</v>
      </c>
      <c r="AQ33" s="189">
        <v>1086651646</v>
      </c>
      <c r="AR33" s="189">
        <v>1283057361</v>
      </c>
      <c r="AS33" s="189">
        <v>2546490710</v>
      </c>
      <c r="AT33" s="189">
        <v>2122309621.5</v>
      </c>
      <c r="AU33" s="189">
        <v>987027807.14999998</v>
      </c>
      <c r="AV33" s="189">
        <v>766814338.5</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7403704208.9899998</v>
      </c>
      <c r="F34" s="49">
        <f t="shared" ref="F34:BP34" si="81">F31-F32-F33</f>
        <v>7241441487.6399994</v>
      </c>
      <c r="G34" s="49">
        <f t="shared" si="81"/>
        <v>6933252016.75</v>
      </c>
      <c r="H34" s="49">
        <f t="shared" si="81"/>
        <v>7026265474.1499996</v>
      </c>
      <c r="I34" s="49">
        <f t="shared" si="81"/>
        <v>7233676429.6300001</v>
      </c>
      <c r="J34" s="49">
        <f t="shared" si="81"/>
        <v>7117582638.6199999</v>
      </c>
      <c r="K34" s="49">
        <f t="shared" si="81"/>
        <v>6973434371.2799997</v>
      </c>
      <c r="L34" s="49">
        <f t="shared" si="81"/>
        <v>6969525437.3499994</v>
      </c>
      <c r="M34" s="49">
        <f t="shared" si="81"/>
        <v>6776874825.5100002</v>
      </c>
      <c r="N34" s="49">
        <f t="shared" si="81"/>
        <v>6656007448.8899994</v>
      </c>
      <c r="O34" s="49">
        <f t="shared" si="81"/>
        <v>6760870447.54</v>
      </c>
      <c r="P34" s="49">
        <f t="shared" si="81"/>
        <v>6737079146.1899996</v>
      </c>
      <c r="Q34" s="49">
        <f t="shared" si="81"/>
        <v>6450470986.5299997</v>
      </c>
      <c r="R34" s="49">
        <f t="shared" si="81"/>
        <v>4342240294.9799995</v>
      </c>
      <c r="S34" s="49">
        <f t="shared" si="81"/>
        <v>4417767237.1399994</v>
      </c>
      <c r="T34" s="49">
        <f t="shared" si="81"/>
        <v>4449171452.3899994</v>
      </c>
      <c r="U34" s="49">
        <f t="shared" si="81"/>
        <v>4444063428.1599998</v>
      </c>
      <c r="V34" s="49">
        <f t="shared" si="81"/>
        <v>4316116633.7799997</v>
      </c>
      <c r="W34" s="49">
        <f t="shared" si="81"/>
        <v>4311358081.3899994</v>
      </c>
      <c r="X34" s="49">
        <f t="shared" si="81"/>
        <v>4314837746.2600002</v>
      </c>
      <c r="Y34" s="49">
        <f t="shared" si="81"/>
        <v>4262190047.02</v>
      </c>
      <c r="Z34" s="49">
        <f t="shared" si="81"/>
        <v>3483062607.6699996</v>
      </c>
      <c r="AA34" s="49">
        <f t="shared" si="81"/>
        <v>3002130412.7099996</v>
      </c>
      <c r="AB34" s="49">
        <f t="shared" si="81"/>
        <v>2342864134.9299998</v>
      </c>
      <c r="AC34" s="49">
        <f t="shared" si="81"/>
        <v>2063811717.7299995</v>
      </c>
      <c r="AD34" s="49">
        <f t="shared" si="81"/>
        <v>2049710583.04</v>
      </c>
      <c r="AE34" s="49">
        <f t="shared" si="81"/>
        <v>1977377104.7199998</v>
      </c>
      <c r="AF34" s="49">
        <f t="shared" si="81"/>
        <v>1601022594.9000001</v>
      </c>
      <c r="AG34" s="49">
        <f t="shared" si="81"/>
        <v>1629441459.8599997</v>
      </c>
      <c r="AH34" s="49">
        <f t="shared" si="81"/>
        <v>1602690903.9000001</v>
      </c>
      <c r="AI34" s="49">
        <f t="shared" si="81"/>
        <v>1560748186.76</v>
      </c>
      <c r="AJ34" s="49">
        <f t="shared" si="81"/>
        <v>1518641394.3599999</v>
      </c>
      <c r="AK34" s="49">
        <f t="shared" si="81"/>
        <v>1538126067.1299999</v>
      </c>
      <c r="AL34" s="49">
        <f t="shared" si="81"/>
        <v>1524234076.9199998</v>
      </c>
      <c r="AM34" s="49">
        <f t="shared" si="81"/>
        <v>1535304199.77</v>
      </c>
      <c r="AN34" s="49">
        <f t="shared" si="81"/>
        <v>1496642399.3299999</v>
      </c>
      <c r="AO34" s="49">
        <f t="shared" si="81"/>
        <v>1478998161.1599998</v>
      </c>
      <c r="AP34" s="49">
        <f t="shared" si="81"/>
        <v>1408090847.5599999</v>
      </c>
      <c r="AQ34" s="49">
        <f t="shared" si="81"/>
        <v>1165523380.75</v>
      </c>
      <c r="AR34" s="49">
        <f t="shared" si="81"/>
        <v>1132670418.7999997</v>
      </c>
      <c r="AS34" s="49">
        <f t="shared" si="81"/>
        <v>987307981.75</v>
      </c>
      <c r="AT34" s="49">
        <f t="shared" si="81"/>
        <v>966440577.98000002</v>
      </c>
      <c r="AU34" s="49">
        <f t="shared" si="81"/>
        <v>921737837.78000009</v>
      </c>
      <c r="AV34" s="49">
        <f t="shared" si="81"/>
        <v>898902666.8900001</v>
      </c>
      <c r="AW34" s="49">
        <f t="shared" si="81"/>
        <v>805300730.88</v>
      </c>
      <c r="AX34" s="49">
        <f t="shared" si="81"/>
        <v>710406952.39999998</v>
      </c>
      <c r="AY34" s="49">
        <f t="shared" si="81"/>
        <v>647769711.63</v>
      </c>
      <c r="AZ34" s="49">
        <f t="shared" si="81"/>
        <v>675188697.10000002</v>
      </c>
      <c r="BA34" s="49">
        <f t="shared" si="81"/>
        <v>693673647.03999996</v>
      </c>
      <c r="BB34" s="49">
        <f t="shared" si="81"/>
        <v>690073634.83000004</v>
      </c>
      <c r="BC34" s="49">
        <f t="shared" si="81"/>
        <v>694155097.74000001</v>
      </c>
      <c r="BD34" s="49">
        <f t="shared" si="81"/>
        <v>705234866.22000003</v>
      </c>
      <c r="BE34" s="49">
        <f t="shared" si="81"/>
        <v>718934556.61000001</v>
      </c>
      <c r="BF34" s="49">
        <f t="shared" si="81"/>
        <v>947999790.52999997</v>
      </c>
      <c r="BG34" s="49">
        <f t="shared" si="81"/>
        <v>666734074.49000001</v>
      </c>
      <c r="BH34" s="49">
        <f t="shared" si="81"/>
        <v>668886652.38</v>
      </c>
      <c r="BI34" s="49">
        <f t="shared" si="81"/>
        <v>648934060.50999999</v>
      </c>
      <c r="BJ34" s="49">
        <f t="shared" si="81"/>
        <v>586788583.52999997</v>
      </c>
      <c r="BK34" s="49">
        <f t="shared" si="81"/>
        <v>527162431.58999997</v>
      </c>
      <c r="BL34" s="49">
        <f t="shared" si="81"/>
        <v>491198139.67000002</v>
      </c>
      <c r="BM34" s="49">
        <f t="shared" si="81"/>
        <v>480690968.44</v>
      </c>
      <c r="BN34" s="49">
        <f t="shared" si="81"/>
        <v>481614848.12</v>
      </c>
      <c r="BO34" s="49">
        <f t="shared" si="81"/>
        <v>446110351.63</v>
      </c>
      <c r="BP34" s="49">
        <f t="shared" si="81"/>
        <v>453054515.08999997</v>
      </c>
      <c r="BQ34" s="49">
        <f>AP31-AP32-AP33</f>
        <v>1408090847.5599999</v>
      </c>
      <c r="BR34" s="49">
        <f>AQ31-AQ32-AQ33</f>
        <v>1165523380.75</v>
      </c>
      <c r="BS34" s="49">
        <f>AR31-AR32-AR33</f>
        <v>1132670418.7999997</v>
      </c>
      <c r="BT34" s="49"/>
      <c r="BU34" s="50"/>
    </row>
    <row r="35" spans="1:74" s="106" customFormat="1" ht="15" thickBot="1" x14ac:dyDescent="0.3">
      <c r="A35" s="139" t="s">
        <v>317</v>
      </c>
      <c r="B35" s="33">
        <f>SUM(B22:B31)</f>
        <v>11769991045.810001</v>
      </c>
      <c r="C35" s="33">
        <f>SUM(C22:C31)</f>
        <v>10911654446.139999</v>
      </c>
      <c r="D35" s="33">
        <f>SUM(D22:D31)</f>
        <v>10687909211.759998</v>
      </c>
      <c r="E35" s="33">
        <f>资产资本表!E17</f>
        <v>3976997295.5899997</v>
      </c>
      <c r="F35" s="33">
        <f>资产资本表!F17</f>
        <v>3960449995.96</v>
      </c>
      <c r="G35" s="33">
        <f>资产资本表!G17</f>
        <v>4907885092.9200001</v>
      </c>
      <c r="H35" s="33">
        <f>资产资本表!H17</f>
        <v>5193625214.5100002</v>
      </c>
      <c r="I35" s="33">
        <f>资产资本表!I17</f>
        <v>6983426374.2299995</v>
      </c>
      <c r="J35" s="33">
        <f>资产资本表!J17</f>
        <v>3688624867.52</v>
      </c>
      <c r="K35" s="33">
        <f>资产资本表!K17</f>
        <v>3571046744.9400001</v>
      </c>
      <c r="L35" s="33">
        <f>资产资本表!L17</f>
        <v>5871908451.3799992</v>
      </c>
      <c r="M35" s="33">
        <f>资产资本表!M17</f>
        <v>8386595919.6700001</v>
      </c>
      <c r="N35" s="33">
        <f>资产资本表!N17</f>
        <v>6978660244.5200005</v>
      </c>
      <c r="O35" s="33">
        <f>资产资本表!O17</f>
        <v>6035992308.6100006</v>
      </c>
      <c r="P35" s="33">
        <f>资产资本表!P17</f>
        <v>5203338139.7200003</v>
      </c>
      <c r="Q35" s="33">
        <f>资产资本表!Q17</f>
        <v>6189105008.1799994</v>
      </c>
      <c r="R35" s="33">
        <f>资产资本表!R17</f>
        <v>5040194733.6000004</v>
      </c>
      <c r="S35" s="33">
        <f>资产资本表!S17</f>
        <v>4654986171.3600006</v>
      </c>
      <c r="T35" s="33">
        <f>资产资本表!T17</f>
        <v>3904376246.1899996</v>
      </c>
      <c r="U35" s="33">
        <f>资产资本表!U17</f>
        <v>4213036342.4400001</v>
      </c>
      <c r="V35" s="33">
        <f>资产资本表!V17</f>
        <v>4834293425.9199991</v>
      </c>
      <c r="W35" s="33">
        <f>资产资本表!W17</f>
        <v>4104392771.1100001</v>
      </c>
      <c r="X35" s="33">
        <f>资产资本表!X17</f>
        <v>3024395178.2399998</v>
      </c>
      <c r="Y35" s="33">
        <f>资产资本表!Y17</f>
        <v>3054544210.8400002</v>
      </c>
      <c r="Z35" s="33">
        <f>资产资本表!Z17</f>
        <v>4587408555.5200005</v>
      </c>
      <c r="AA35" s="33">
        <f>资产资本表!AA17</f>
        <v>4528961474.6000004</v>
      </c>
      <c r="AB35" s="33">
        <f>资产资本表!AB17</f>
        <v>4391132805.5200005</v>
      </c>
      <c r="AC35" s="33">
        <f>资产资本表!AC17</f>
        <v>1488077242.97</v>
      </c>
      <c r="AD35" s="33">
        <f>资产资本表!AD17</f>
        <v>1294979686.6100001</v>
      </c>
      <c r="AE35" s="33">
        <f>资产资本表!AE17</f>
        <v>1083792649.95</v>
      </c>
      <c r="AF35" s="33">
        <f>资产资本表!AF17</f>
        <v>1383178468.9099998</v>
      </c>
      <c r="AG35" s="33">
        <f>资产资本表!AG17</f>
        <v>1457110361.0999999</v>
      </c>
      <c r="AH35" s="33">
        <f>资产资本表!AH17</f>
        <v>2512186031.3000002</v>
      </c>
      <c r="AI35" s="33">
        <f>资产资本表!AI17</f>
        <v>1352623750.3</v>
      </c>
      <c r="AJ35" s="33">
        <f>资产资本表!AJ17</f>
        <v>1847535418.04</v>
      </c>
      <c r="AK35" s="33">
        <f>资产资本表!AK17</f>
        <v>1594375316.79</v>
      </c>
      <c r="AL35" s="33">
        <f>资产资本表!AL17</f>
        <v>2587611132.3099999</v>
      </c>
      <c r="AM35" s="33">
        <f>资产资本表!AM17</f>
        <v>2025112302.1900001</v>
      </c>
      <c r="AN35" s="33">
        <f>资产资本表!AN17</f>
        <v>1761502668.3499999</v>
      </c>
      <c r="AO35" s="33">
        <f>资产资本表!AO17</f>
        <v>1715547420.3599999</v>
      </c>
      <c r="AP35" s="33">
        <f>资产资本表!AP17</f>
        <v>1577481286.3699999</v>
      </c>
      <c r="AQ35" s="33">
        <f>资产资本表!AQ17</f>
        <v>1859314199.6900001</v>
      </c>
      <c r="AR35" s="33">
        <f>资产资本表!AR17</f>
        <v>3131084021.5700002</v>
      </c>
      <c r="AS35" s="33">
        <f>资产资本表!AS17</f>
        <v>3895745905.1599998</v>
      </c>
      <c r="AT35" s="33">
        <f>资产资本表!AT17</f>
        <v>3502173593.0799999</v>
      </c>
      <c r="AU35" s="33">
        <f>资产资本表!AU17</f>
        <v>1892510833.71</v>
      </c>
      <c r="AV35" s="33">
        <f>资产资本表!AV17</f>
        <v>1751926237.4200001</v>
      </c>
      <c r="AW35" s="33">
        <f>资产资本表!AW17</f>
        <v>1373805633.4099998</v>
      </c>
      <c r="AX35" s="33">
        <f>资产资本表!AX17</f>
        <v>1024951639.39</v>
      </c>
      <c r="AY35" s="33">
        <f>资产资本表!AY17</f>
        <v>964735204.00999999</v>
      </c>
      <c r="AZ35" s="33">
        <f>资产资本表!AZ17</f>
        <v>961985280.38</v>
      </c>
      <c r="BA35" s="33">
        <f>资产资本表!BA17</f>
        <v>872569143.07000005</v>
      </c>
      <c r="BB35" s="33">
        <f>资产资本表!BB17</f>
        <v>799623336.34000003</v>
      </c>
      <c r="BC35" s="33">
        <f>资产资本表!BC17</f>
        <v>562148887.16000009</v>
      </c>
      <c r="BD35" s="33">
        <f>资产资本表!BD17</f>
        <v>482767658.93000001</v>
      </c>
      <c r="BE35" s="33">
        <f>资产资本表!BE17</f>
        <v>577133671.28999996</v>
      </c>
      <c r="BF35" s="33">
        <f>资产资本表!BF17</f>
        <v>458162640.56</v>
      </c>
      <c r="BG35" s="33">
        <f>资产资本表!BG17</f>
        <v>287328958.17000002</v>
      </c>
      <c r="BH35" s="33">
        <f>资产资本表!BH17</f>
        <v>359617436.23000002</v>
      </c>
      <c r="BI35" s="33">
        <f>资产资本表!BI17</f>
        <v>516861673.04000002</v>
      </c>
      <c r="BJ35" s="33">
        <f>资产资本表!BJ17</f>
        <v>396608342.91000003</v>
      </c>
      <c r="BK35" s="33">
        <f>资产资本表!BK17</f>
        <v>359749413.24000001</v>
      </c>
      <c r="BL35" s="33">
        <f>资产资本表!BL17</f>
        <v>433044126.39999998</v>
      </c>
      <c r="BM35" s="33">
        <f>资产资本表!BM17</f>
        <v>415568093.60000002</v>
      </c>
      <c r="BN35" s="33">
        <f>资产资本表!BN17</f>
        <v>536574453.91000003</v>
      </c>
      <c r="BO35" s="33">
        <f>资产资本表!BO17</f>
        <v>425485112.55000001</v>
      </c>
      <c r="BP35" s="33">
        <f>资产资本表!BP17</f>
        <v>415212526.77000004</v>
      </c>
      <c r="BQ35" s="33">
        <f>资产资本表!BQ17</f>
        <v>449478194.47000003</v>
      </c>
      <c r="BR35" s="33">
        <f>资产资本表!BR17</f>
        <v>517305400.39999998</v>
      </c>
      <c r="BS35" s="33">
        <f>资产资本表!BS17</f>
        <v>476235636.63999999</v>
      </c>
      <c r="BT35" s="33">
        <f>资产资本表!BT17</f>
        <v>90907121.170000002</v>
      </c>
      <c r="BU35" s="33">
        <f>资产资本表!BU17</f>
        <v>68570834.799999997</v>
      </c>
      <c r="BV35" s="33">
        <f>资产资本表!BV17</f>
        <v>152447754.03</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35976</v>
      </c>
      <c r="BV38" s="1">
        <v>25569</v>
      </c>
    </row>
    <row r="39" spans="1:74" s="48" customFormat="1" x14ac:dyDescent="0.25">
      <c r="A39" s="46" t="s">
        <v>319</v>
      </c>
    </row>
    <row r="40" spans="1:74" s="192" customFormat="1" x14ac:dyDescent="0.25">
      <c r="A40" s="192" t="s">
        <v>743</v>
      </c>
      <c r="B40" s="189">
        <v>0</v>
      </c>
      <c r="C40" s="189">
        <v>0</v>
      </c>
      <c r="D40" s="189">
        <v>0</v>
      </c>
      <c r="E40" s="189">
        <v>0</v>
      </c>
      <c r="F40" s="189">
        <v>3433927237.4899998</v>
      </c>
      <c r="G40" s="189">
        <v>0</v>
      </c>
      <c r="H40" s="189">
        <v>0</v>
      </c>
      <c r="I40" s="189">
        <v>0</v>
      </c>
      <c r="J40" s="189">
        <v>0</v>
      </c>
      <c r="K40" s="189">
        <v>0</v>
      </c>
      <c r="L40" s="189">
        <v>0</v>
      </c>
      <c r="M40" s="189">
        <v>0</v>
      </c>
      <c r="N40" s="189">
        <v>0</v>
      </c>
      <c r="O40" s="189">
        <v>0</v>
      </c>
      <c r="P40" s="189">
        <v>0</v>
      </c>
      <c r="Q40" s="189">
        <v>33880000</v>
      </c>
      <c r="R40" s="189">
        <v>0</v>
      </c>
      <c r="S40" s="189">
        <v>0</v>
      </c>
      <c r="T40" s="189">
        <v>0</v>
      </c>
      <c r="U40" s="189">
        <v>71269869</v>
      </c>
      <c r="V40" s="189">
        <v>60288360</v>
      </c>
      <c r="W40" s="189">
        <v>54288360</v>
      </c>
      <c r="X40" s="189">
        <v>0</v>
      </c>
      <c r="Y40" s="189">
        <v>2593666875.29</v>
      </c>
      <c r="Z40" s="189">
        <v>2598376587.46</v>
      </c>
      <c r="AA40" s="189">
        <v>2466637807.46</v>
      </c>
      <c r="AB40" s="189">
        <v>2194196307.46</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3246806.65</v>
      </c>
      <c r="BF40" s="189">
        <v>0</v>
      </c>
      <c r="BG40" s="189">
        <v>0</v>
      </c>
      <c r="BH40" s="189">
        <v>0</v>
      </c>
      <c r="BI40" s="189">
        <v>0</v>
      </c>
      <c r="BJ40" s="189">
        <v>0</v>
      </c>
      <c r="BK40" s="189">
        <v>0</v>
      </c>
      <c r="BL40" s="189">
        <v>0</v>
      </c>
      <c r="BM40" s="189">
        <v>0</v>
      </c>
      <c r="BN40" s="189">
        <v>0</v>
      </c>
      <c r="BO40" s="189">
        <v>0</v>
      </c>
      <c r="BP40" s="189">
        <v>0</v>
      </c>
      <c r="BQ40" s="189">
        <v>223917370</v>
      </c>
      <c r="BR40" s="189">
        <v>0</v>
      </c>
      <c r="BS40" s="189">
        <v>0</v>
      </c>
      <c r="BT40" s="189">
        <v>149196735.09999999</v>
      </c>
      <c r="BU40" s="189">
        <v>0</v>
      </c>
      <c r="BV40" s="189">
        <v>0</v>
      </c>
    </row>
    <row r="41" spans="1:74" s="53" customFormat="1" ht="21.75" customHeight="1" x14ac:dyDescent="0.25">
      <c r="A41" s="140" t="s">
        <v>634</v>
      </c>
      <c r="B41" s="53">
        <v>1419647033.29</v>
      </c>
      <c r="C41" s="53">
        <v>682396282.87</v>
      </c>
      <c r="D41" s="53">
        <v>73246783.790000007</v>
      </c>
      <c r="E41" s="53">
        <v>2213939223</v>
      </c>
      <c r="I41" s="53">
        <v>3320908835.5</v>
      </c>
      <c r="M41" s="53">
        <v>1477332262</v>
      </c>
      <c r="Q41" s="53">
        <v>636854931</v>
      </c>
      <c r="U41" s="53">
        <v>493700613</v>
      </c>
      <c r="Y41" s="53">
        <v>202098177</v>
      </c>
      <c r="AC41" s="53">
        <v>155967500</v>
      </c>
      <c r="AG41" s="53">
        <v>519891700</v>
      </c>
      <c r="AK41" s="53">
        <v>311935000</v>
      </c>
    </row>
    <row r="42" spans="1:74" s="26" customFormat="1" x14ac:dyDescent="0.25">
      <c r="A42" s="17" t="s">
        <v>322</v>
      </c>
      <c r="E42" s="26">
        <f>E40-E41</f>
        <v>-2213939223</v>
      </c>
      <c r="F42" s="26">
        <f t="shared" ref="F42:Y42" si="82">F40-F41</f>
        <v>3433927237.4899998</v>
      </c>
      <c r="G42" s="26">
        <f t="shared" si="82"/>
        <v>0</v>
      </c>
      <c r="H42" s="26">
        <f t="shared" si="82"/>
        <v>0</v>
      </c>
      <c r="I42" s="26">
        <f>I40-I41</f>
        <v>-3320908835.5</v>
      </c>
      <c r="J42" s="26">
        <f t="shared" si="82"/>
        <v>0</v>
      </c>
      <c r="K42" s="26">
        <f t="shared" si="82"/>
        <v>0</v>
      </c>
      <c r="L42" s="26">
        <f t="shared" si="82"/>
        <v>0</v>
      </c>
      <c r="M42" s="26">
        <f t="shared" si="82"/>
        <v>-1477332262</v>
      </c>
      <c r="N42" s="26">
        <f t="shared" si="82"/>
        <v>0</v>
      </c>
      <c r="O42" s="26">
        <f t="shared" si="82"/>
        <v>0</v>
      </c>
      <c r="P42" s="26">
        <f t="shared" si="82"/>
        <v>0</v>
      </c>
      <c r="Q42" s="26">
        <f t="shared" si="82"/>
        <v>-602974931</v>
      </c>
      <c r="R42" s="26">
        <f t="shared" si="82"/>
        <v>0</v>
      </c>
      <c r="S42" s="26">
        <f t="shared" si="82"/>
        <v>0</v>
      </c>
      <c r="T42" s="26">
        <f t="shared" si="82"/>
        <v>0</v>
      </c>
      <c r="U42" s="26">
        <f t="shared" si="82"/>
        <v>-422430744</v>
      </c>
      <c r="V42" s="26">
        <f t="shared" si="82"/>
        <v>60288360</v>
      </c>
      <c r="W42" s="26">
        <f t="shared" si="82"/>
        <v>54288360</v>
      </c>
      <c r="X42" s="26">
        <f t="shared" si="82"/>
        <v>0</v>
      </c>
      <c r="Y42" s="26">
        <f t="shared" si="82"/>
        <v>2391568698.29</v>
      </c>
      <c r="Z42" s="26">
        <f t="shared" ref="Z42:BQ42" si="83">Z40-Z41</f>
        <v>2598376587.46</v>
      </c>
      <c r="AA42" s="26">
        <f t="shared" si="83"/>
        <v>2466637807.46</v>
      </c>
      <c r="AB42" s="26">
        <f t="shared" si="83"/>
        <v>2194196307.46</v>
      </c>
      <c r="AC42" s="26">
        <f t="shared" si="83"/>
        <v>-155967500</v>
      </c>
      <c r="AD42" s="26">
        <f t="shared" si="83"/>
        <v>0</v>
      </c>
      <c r="AE42" s="26">
        <f t="shared" si="83"/>
        <v>0</v>
      </c>
      <c r="AF42" s="26">
        <f t="shared" si="83"/>
        <v>0</v>
      </c>
      <c r="AG42" s="26">
        <f t="shared" si="83"/>
        <v>-519891700</v>
      </c>
      <c r="AH42" s="26">
        <f t="shared" si="83"/>
        <v>0</v>
      </c>
      <c r="AI42" s="26">
        <f t="shared" si="83"/>
        <v>0</v>
      </c>
      <c r="AJ42" s="26">
        <f t="shared" si="83"/>
        <v>0</v>
      </c>
      <c r="AK42" s="26">
        <f t="shared" si="83"/>
        <v>-311935000</v>
      </c>
      <c r="AL42" s="192">
        <f t="shared" si="83"/>
        <v>0</v>
      </c>
      <c r="AM42" s="192">
        <f t="shared" si="83"/>
        <v>0</v>
      </c>
      <c r="AN42" s="192">
        <f t="shared" si="83"/>
        <v>0</v>
      </c>
      <c r="AO42" s="192">
        <f t="shared" si="83"/>
        <v>0</v>
      </c>
      <c r="AP42" s="192">
        <f t="shared" si="83"/>
        <v>0</v>
      </c>
      <c r="AQ42" s="192">
        <f t="shared" si="83"/>
        <v>0</v>
      </c>
      <c r="AR42" s="192">
        <f t="shared" si="83"/>
        <v>0</v>
      </c>
      <c r="AS42" s="192">
        <f t="shared" si="83"/>
        <v>0</v>
      </c>
      <c r="AT42" s="192">
        <f t="shared" si="83"/>
        <v>0</v>
      </c>
      <c r="AU42" s="192">
        <f t="shared" si="83"/>
        <v>0</v>
      </c>
      <c r="AV42" s="192">
        <f t="shared" si="83"/>
        <v>0</v>
      </c>
      <c r="AW42" s="192">
        <f t="shared" si="83"/>
        <v>0</v>
      </c>
      <c r="AX42" s="192">
        <f t="shared" si="83"/>
        <v>0</v>
      </c>
      <c r="AY42" s="192">
        <f t="shared" si="83"/>
        <v>0</v>
      </c>
      <c r="AZ42" s="192">
        <f t="shared" si="83"/>
        <v>0</v>
      </c>
      <c r="BA42" s="26">
        <f t="shared" si="83"/>
        <v>0</v>
      </c>
      <c r="BB42" s="26">
        <f t="shared" si="83"/>
        <v>0</v>
      </c>
      <c r="BC42" s="26">
        <f t="shared" si="83"/>
        <v>0</v>
      </c>
      <c r="BD42" s="26">
        <f t="shared" si="83"/>
        <v>0</v>
      </c>
      <c r="BE42" s="26">
        <f t="shared" si="83"/>
        <v>3246806.65</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223917370</v>
      </c>
      <c r="BR42" s="26">
        <f t="shared" ref="BR42:BV42" si="84">BR40-BR41</f>
        <v>0</v>
      </c>
      <c r="BS42" s="26">
        <f t="shared" si="84"/>
        <v>0</v>
      </c>
      <c r="BT42" s="26">
        <f t="shared" si="84"/>
        <v>149196735.09999999</v>
      </c>
      <c r="BU42" s="26">
        <f t="shared" si="84"/>
        <v>0</v>
      </c>
      <c r="BV42" s="26">
        <f t="shared" si="84"/>
        <v>0</v>
      </c>
    </row>
    <row r="43" spans="1:74" s="52" customFormat="1" ht="15" customHeight="1" x14ac:dyDescent="0.25">
      <c r="A43" s="141" t="s">
        <v>321</v>
      </c>
    </row>
    <row r="44" spans="1:74" s="192" customFormat="1" x14ac:dyDescent="0.25">
      <c r="A44" s="192" t="s">
        <v>324</v>
      </c>
      <c r="B44" s="192">
        <v>7410894999.9899998</v>
      </c>
      <c r="C44" s="192">
        <v>5510894999.9899998</v>
      </c>
      <c r="D44" s="192">
        <v>2664230000</v>
      </c>
      <c r="E44" s="192">
        <v>6385423647.4899998</v>
      </c>
      <c r="F44" s="192">
        <v>0</v>
      </c>
      <c r="G44" s="192">
        <v>3413681737.4899998</v>
      </c>
      <c r="H44" s="192">
        <v>0</v>
      </c>
      <c r="I44" s="192">
        <v>300000000</v>
      </c>
      <c r="J44" s="192">
        <v>0</v>
      </c>
      <c r="K44" s="192">
        <v>0</v>
      </c>
      <c r="L44" s="192">
        <v>0</v>
      </c>
      <c r="M44" s="192">
        <v>0</v>
      </c>
      <c r="N44" s="192">
        <v>0</v>
      </c>
      <c r="O44" s="192">
        <v>0</v>
      </c>
      <c r="P44" s="192">
        <v>0</v>
      </c>
      <c r="Q44" s="192">
        <v>0</v>
      </c>
      <c r="R44" s="192">
        <v>0</v>
      </c>
      <c r="S44" s="192">
        <v>0</v>
      </c>
      <c r="T44" s="192">
        <v>0</v>
      </c>
      <c r="U44" s="192">
        <v>215166379.68000001</v>
      </c>
      <c r="V44" s="192">
        <v>183548285.12</v>
      </c>
      <c r="W44" s="192">
        <v>183548285.12</v>
      </c>
      <c r="X44" s="192">
        <v>22746449.91</v>
      </c>
      <c r="Y44" s="192">
        <v>519837007.10000002</v>
      </c>
      <c r="Z44" s="192">
        <v>210186264.5</v>
      </c>
      <c r="AA44" s="192">
        <v>205186264.5</v>
      </c>
      <c r="AB44" s="192">
        <v>196188344.87</v>
      </c>
      <c r="AC44" s="192">
        <v>75601300.930000007</v>
      </c>
      <c r="AD44" s="192">
        <v>0</v>
      </c>
      <c r="AE44" s="192">
        <v>0</v>
      </c>
      <c r="AF44" s="192">
        <v>0</v>
      </c>
      <c r="AG44" s="192">
        <v>19980000</v>
      </c>
      <c r="AH44" s="192">
        <v>19980000</v>
      </c>
      <c r="AI44" s="192">
        <v>0</v>
      </c>
      <c r="AJ44" s="192">
        <v>0</v>
      </c>
      <c r="AK44" s="192">
        <v>523026000</v>
      </c>
      <c r="AL44" s="192">
        <v>520000000</v>
      </c>
      <c r="AM44" s="192">
        <v>520000000</v>
      </c>
      <c r="AN44" s="192">
        <v>220000000</v>
      </c>
      <c r="AO44" s="192">
        <v>520142000</v>
      </c>
      <c r="AP44" s="192">
        <v>418512000</v>
      </c>
      <c r="AQ44" s="192">
        <v>414012000</v>
      </c>
      <c r="AR44" s="192">
        <v>332072000</v>
      </c>
      <c r="AS44" s="192">
        <v>1433393600</v>
      </c>
      <c r="AT44" s="192">
        <v>1311393600</v>
      </c>
      <c r="AU44" s="192">
        <v>690000000</v>
      </c>
      <c r="AV44" s="192">
        <v>270000000</v>
      </c>
      <c r="AW44" s="192">
        <v>60000000</v>
      </c>
      <c r="AX44" s="192">
        <v>0</v>
      </c>
      <c r="AY44" s="192">
        <v>0</v>
      </c>
      <c r="AZ44" s="192">
        <v>0</v>
      </c>
      <c r="BA44" s="192">
        <v>0</v>
      </c>
      <c r="BB44" s="192">
        <v>0</v>
      </c>
      <c r="BC44" s="192">
        <v>0</v>
      </c>
      <c r="BD44" s="192">
        <v>0</v>
      </c>
      <c r="BE44" s="192">
        <v>67500000</v>
      </c>
      <c r="BF44" s="192">
        <v>228669766.91</v>
      </c>
      <c r="BG44" s="192">
        <v>0</v>
      </c>
      <c r="BH44" s="192">
        <v>60894100</v>
      </c>
      <c r="BI44" s="192">
        <v>170219495</v>
      </c>
      <c r="BJ44" s="192">
        <v>100000000</v>
      </c>
      <c r="BK44" s="192">
        <v>100000000</v>
      </c>
      <c r="BL44" s="192">
        <v>50000000</v>
      </c>
      <c r="BM44" s="192">
        <v>0</v>
      </c>
      <c r="BN44" s="192">
        <v>69000000</v>
      </c>
      <c r="BO44" s="192">
        <v>0</v>
      </c>
      <c r="BP44" s="192">
        <v>0</v>
      </c>
      <c r="BQ44" s="192">
        <v>33000000</v>
      </c>
      <c r="BR44" s="192">
        <v>125000000</v>
      </c>
      <c r="BS44" s="192">
        <v>97500000</v>
      </c>
      <c r="BT44" s="192">
        <v>180000000</v>
      </c>
      <c r="BU44" s="192">
        <v>72000000</v>
      </c>
      <c r="BV44" s="192">
        <v>0</v>
      </c>
    </row>
    <row r="45" spans="1:74" s="192" customFormat="1" x14ac:dyDescent="0.25">
      <c r="A45" s="192" t="s">
        <v>323</v>
      </c>
      <c r="E45" s="192">
        <f>股权价值增加表!E53</f>
        <v>333002742.05000001</v>
      </c>
      <c r="F45" s="192">
        <f>股权价值增加表!F53</f>
        <v>0</v>
      </c>
      <c r="G45" s="192">
        <f>股权价值增加表!G53</f>
        <v>0</v>
      </c>
      <c r="H45" s="192">
        <f>股权价值增加表!H53</f>
        <v>0</v>
      </c>
      <c r="I45" s="192">
        <f>股权价值增加表!I53</f>
        <v>87785186.120000005</v>
      </c>
      <c r="J45" s="192">
        <f>股权价值增加表!J53</f>
        <v>0</v>
      </c>
      <c r="K45" s="192">
        <f>股权价值增加表!K53</f>
        <v>0</v>
      </c>
      <c r="L45" s="192">
        <f>股权价值增加表!L53</f>
        <v>0</v>
      </c>
      <c r="M45" s="192">
        <f>股权价值增加表!M53</f>
        <v>84786939.790000007</v>
      </c>
      <c r="N45" s="192">
        <f>股权价值增加表!N53</f>
        <v>0</v>
      </c>
      <c r="O45" s="192">
        <f>股权价值增加表!O53</f>
        <v>0</v>
      </c>
      <c r="P45" s="192">
        <f>股权价值增加表!P53</f>
        <v>0</v>
      </c>
      <c r="Q45" s="192">
        <f>股权价值增加表!Q53</f>
        <v>68396526.150000006</v>
      </c>
      <c r="R45" s="192">
        <f>股权价值增加表!R53</f>
        <v>0</v>
      </c>
      <c r="S45" s="192">
        <f>股权价值增加表!S53</f>
        <v>0</v>
      </c>
      <c r="T45" s="192">
        <f>股权价值增加表!T53</f>
        <v>0</v>
      </c>
      <c r="U45" s="192">
        <f>股权价值增加表!U53</f>
        <v>21066861.289999999</v>
      </c>
      <c r="V45" s="192">
        <f>股权价值增加表!V53</f>
        <v>0</v>
      </c>
      <c r="W45" s="192">
        <f>股权价值增加表!W53</f>
        <v>0</v>
      </c>
      <c r="X45" s="192">
        <f>股权价值增加表!X53</f>
        <v>0</v>
      </c>
      <c r="Y45" s="192">
        <f>股权价值增加表!Y53</f>
        <v>13150443.939999999</v>
      </c>
      <c r="Z45" s="192">
        <f>股权价值增加表!Z53</f>
        <v>0</v>
      </c>
      <c r="AA45" s="192">
        <f>股权价值增加表!AA53</f>
        <v>0</v>
      </c>
      <c r="AB45" s="192">
        <f>股权价值增加表!AB53</f>
        <v>0</v>
      </c>
      <c r="AC45" s="192">
        <f>股权价值增加表!AC53</f>
        <v>3148942.98</v>
      </c>
      <c r="AD45" s="192">
        <f>股权价值增加表!AD53</f>
        <v>0</v>
      </c>
      <c r="AE45" s="192">
        <f>股权价值增加表!AE53</f>
        <v>0</v>
      </c>
      <c r="AF45" s="192">
        <f>股权价值增加表!AF53</f>
        <v>0</v>
      </c>
      <c r="AG45" s="192">
        <f>股权价值增加表!AG53</f>
        <v>5568425.9199999999</v>
      </c>
      <c r="AH45" s="192">
        <f>股权价值增加表!AH53</f>
        <v>0</v>
      </c>
      <c r="AI45" s="192">
        <f>股权价值增加表!AI53</f>
        <v>0</v>
      </c>
      <c r="AJ45" s="192">
        <f>股权价值增加表!AJ53</f>
        <v>0</v>
      </c>
      <c r="AK45" s="192">
        <f>股权价值增加表!AK53</f>
        <v>0</v>
      </c>
      <c r="AL45" s="192">
        <f>股权价值增加表!AL53</f>
        <v>0</v>
      </c>
      <c r="AM45" s="192">
        <f>股权价值增加表!AM53</f>
        <v>0</v>
      </c>
      <c r="AN45" s="192">
        <f>股权价值增加表!AN53</f>
        <v>0</v>
      </c>
      <c r="AO45" s="192">
        <f>股权价值增加表!AO53</f>
        <v>0</v>
      </c>
      <c r="AP45" s="192">
        <f>股权价值增加表!AP53</f>
        <v>0</v>
      </c>
      <c r="AQ45" s="192">
        <f>股权价值增加表!AQ53</f>
        <v>0</v>
      </c>
      <c r="AR45" s="192">
        <f>股权价值增加表!AR53</f>
        <v>0</v>
      </c>
      <c r="AS45" s="192">
        <f>股权价值增加表!AS53</f>
        <v>0</v>
      </c>
      <c r="AT45" s="192">
        <f>股权价值增加表!AT53</f>
        <v>0</v>
      </c>
      <c r="AU45" s="192">
        <f>股权价值增加表!AU53</f>
        <v>0</v>
      </c>
      <c r="AV45" s="192">
        <f>股权价值增加表!AV53</f>
        <v>0</v>
      </c>
      <c r="AW45" s="192">
        <f>股权价值增加表!AW53</f>
        <v>0</v>
      </c>
      <c r="AX45" s="192">
        <f>股权价值增加表!AX53</f>
        <v>0</v>
      </c>
      <c r="AY45" s="192">
        <f>股权价值增加表!AY53</f>
        <v>0</v>
      </c>
      <c r="AZ45" s="192">
        <f>股权价值增加表!AZ53</f>
        <v>0</v>
      </c>
      <c r="BA45" s="192">
        <f>股权价值增加表!BA53</f>
        <v>0</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92">
        <v>0</v>
      </c>
      <c r="C46" s="192">
        <v>0</v>
      </c>
      <c r="D46" s="192">
        <v>0</v>
      </c>
      <c r="E46" s="192">
        <v>0</v>
      </c>
      <c r="F46" s="192">
        <v>12375000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2">
        <v>0</v>
      </c>
      <c r="W46" s="192">
        <v>0</v>
      </c>
      <c r="X46" s="192">
        <v>0</v>
      </c>
      <c r="Y46" s="192">
        <v>0</v>
      </c>
      <c r="Z46" s="192">
        <v>0</v>
      </c>
      <c r="AA46" s="192">
        <v>0</v>
      </c>
      <c r="AB46" s="192">
        <v>0</v>
      </c>
      <c r="AC46" s="192">
        <v>0</v>
      </c>
      <c r="AD46" s="192">
        <v>0</v>
      </c>
      <c r="AE46" s="192">
        <v>0</v>
      </c>
      <c r="AF46" s="192">
        <v>93723.9</v>
      </c>
      <c r="AG46" s="192">
        <v>0</v>
      </c>
      <c r="AH46" s="192">
        <v>0</v>
      </c>
      <c r="AI46" s="192">
        <v>0</v>
      </c>
      <c r="AJ46" s="192">
        <v>48537.25</v>
      </c>
      <c r="AK46" s="192">
        <v>0</v>
      </c>
      <c r="AL46" s="192">
        <v>0</v>
      </c>
      <c r="AM46" s="192">
        <v>0</v>
      </c>
      <c r="AN46" s="192">
        <v>0</v>
      </c>
      <c r="AO46" s="192">
        <v>0</v>
      </c>
      <c r="AP46" s="192">
        <v>0</v>
      </c>
      <c r="AQ46" s="192">
        <v>0</v>
      </c>
      <c r="AR46" s="192">
        <v>0</v>
      </c>
      <c r="AS46" s="192">
        <v>0</v>
      </c>
      <c r="AT46" s="192">
        <v>0</v>
      </c>
      <c r="AU46" s="192">
        <v>0</v>
      </c>
      <c r="AV46" s="192">
        <v>0</v>
      </c>
      <c r="AW46" s="192">
        <v>0</v>
      </c>
      <c r="AX46" s="192">
        <v>0</v>
      </c>
      <c r="AY46" s="192">
        <v>0</v>
      </c>
      <c r="AZ46" s="192">
        <v>0</v>
      </c>
      <c r="BA46" s="192">
        <v>0</v>
      </c>
      <c r="BB46" s="192">
        <v>0</v>
      </c>
      <c r="BC46" s="192">
        <v>0</v>
      </c>
      <c r="BD46" s="192">
        <v>0</v>
      </c>
      <c r="BE46" s="192">
        <v>0</v>
      </c>
      <c r="BF46" s="192">
        <v>0</v>
      </c>
      <c r="BG46" s="192">
        <v>0</v>
      </c>
      <c r="BH46" s="192">
        <v>0</v>
      </c>
      <c r="BI46" s="192">
        <v>0</v>
      </c>
      <c r="BJ46" s="192">
        <v>0</v>
      </c>
      <c r="BK46" s="192">
        <v>0</v>
      </c>
      <c r="BL46" s="192">
        <v>0</v>
      </c>
      <c r="BM46" s="192">
        <v>0</v>
      </c>
      <c r="BN46" s="192">
        <v>0</v>
      </c>
      <c r="BO46" s="192">
        <v>0</v>
      </c>
      <c r="BP46" s="192">
        <v>0</v>
      </c>
      <c r="BQ46" s="192">
        <v>0</v>
      </c>
      <c r="BR46" s="192">
        <v>0</v>
      </c>
      <c r="BS46" s="192">
        <v>0</v>
      </c>
      <c r="BT46" s="192">
        <v>0</v>
      </c>
      <c r="BU46" s="192">
        <v>0</v>
      </c>
      <c r="BV46" s="192">
        <v>0</v>
      </c>
    </row>
    <row r="47" spans="1:74" s="192" customFormat="1" x14ac:dyDescent="0.25">
      <c r="A47" s="192" t="s">
        <v>326</v>
      </c>
      <c r="B47" s="192">
        <v>3883460777.5700002</v>
      </c>
      <c r="C47" s="192">
        <v>3872075158.3299999</v>
      </c>
      <c r="D47" s="192">
        <v>620245500</v>
      </c>
      <c r="E47" s="192">
        <v>6570305737.4899998</v>
      </c>
      <c r="F47" s="192">
        <v>1396624000</v>
      </c>
      <c r="G47" s="192">
        <v>0</v>
      </c>
      <c r="H47" s="192">
        <v>0</v>
      </c>
      <c r="I47" s="192">
        <v>300000000</v>
      </c>
      <c r="J47" s="192">
        <v>0</v>
      </c>
      <c r="K47" s="192">
        <v>18029612.5</v>
      </c>
      <c r="L47" s="192">
        <v>0</v>
      </c>
      <c r="M47" s="192">
        <v>4127783.83</v>
      </c>
      <c r="N47" s="192">
        <v>3815307.85</v>
      </c>
      <c r="O47" s="192">
        <v>2545856.04</v>
      </c>
      <c r="P47" s="192">
        <v>7969166.0099999998</v>
      </c>
      <c r="Q47" s="192">
        <v>194500471.27000001</v>
      </c>
      <c r="R47" s="192">
        <v>209141780.09999999</v>
      </c>
      <c r="S47" s="192">
        <v>191712614.09</v>
      </c>
      <c r="T47" s="192">
        <v>17304551.620000001</v>
      </c>
      <c r="U47" s="192">
        <v>469771091.66000003</v>
      </c>
      <c r="V47" s="192">
        <v>189747429.00999999</v>
      </c>
      <c r="W47" s="192">
        <v>68190643.430000007</v>
      </c>
      <c r="X47" s="192">
        <v>62006274.340000004</v>
      </c>
      <c r="Y47" s="192">
        <v>77034171.5</v>
      </c>
      <c r="Z47" s="192">
        <v>3398868.7</v>
      </c>
      <c r="AA47" s="192">
        <v>2161979.9900000002</v>
      </c>
      <c r="AB47" s="192">
        <v>1084813.28</v>
      </c>
      <c r="AC47" s="192">
        <v>136452078.41999999</v>
      </c>
      <c r="AD47" s="192">
        <v>7854363.3899999997</v>
      </c>
      <c r="AE47" s="192">
        <v>2081812.07</v>
      </c>
      <c r="AF47" s="192">
        <v>849427.62</v>
      </c>
      <c r="AG47" s="192">
        <v>6550344.4100000001</v>
      </c>
      <c r="AH47" s="192">
        <v>2355054.7000000002</v>
      </c>
      <c r="AI47" s="192">
        <v>1627254.38</v>
      </c>
      <c r="AJ47" s="192">
        <v>750189.77</v>
      </c>
      <c r="AK47" s="192">
        <v>522371811.16000003</v>
      </c>
      <c r="AL47" s="192">
        <v>221805085.55000001</v>
      </c>
      <c r="AM47" s="192">
        <v>221306933.05000001</v>
      </c>
      <c r="AN47" s="192">
        <v>20507841.66</v>
      </c>
      <c r="AO47" s="192">
        <v>1281022506.98</v>
      </c>
      <c r="AP47" s="192">
        <v>1076698433.4300001</v>
      </c>
      <c r="AQ47" s="192">
        <v>1076379690.0599999</v>
      </c>
      <c r="AR47" s="192">
        <v>43808518.18</v>
      </c>
      <c r="AS47" s="192">
        <v>642413600</v>
      </c>
      <c r="AT47" s="192">
        <v>276616400</v>
      </c>
      <c r="AU47" s="192">
        <v>269840000</v>
      </c>
      <c r="AV47" s="192">
        <v>0</v>
      </c>
      <c r="AW47" s="192">
        <v>20000000</v>
      </c>
      <c r="AX47" s="192">
        <v>0</v>
      </c>
      <c r="AY47" s="192">
        <v>0</v>
      </c>
      <c r="AZ47" s="192">
        <v>0</v>
      </c>
      <c r="BA47" s="192">
        <v>47500000</v>
      </c>
      <c r="BB47" s="192">
        <v>42500000</v>
      </c>
      <c r="BC47" s="192">
        <v>47500000</v>
      </c>
      <c r="BD47" s="192">
        <v>47500000</v>
      </c>
      <c r="BE47" s="192">
        <v>210219495</v>
      </c>
      <c r="BF47" s="192">
        <v>221412685</v>
      </c>
      <c r="BG47" s="192">
        <v>57719495</v>
      </c>
      <c r="BH47" s="192">
        <v>120219495</v>
      </c>
      <c r="BI47" s="192">
        <v>0</v>
      </c>
      <c r="BJ47" s="192">
        <v>50000000</v>
      </c>
      <c r="BK47" s="192">
        <v>40000000</v>
      </c>
      <c r="BL47" s="192">
        <v>0</v>
      </c>
      <c r="BM47" s="192">
        <v>78500000</v>
      </c>
      <c r="BN47" s="192">
        <v>68500000</v>
      </c>
      <c r="BO47" s="192">
        <v>0</v>
      </c>
      <c r="BP47" s="192">
        <v>0</v>
      </c>
      <c r="BQ47" s="192">
        <v>7000000</v>
      </c>
      <c r="BR47" s="192">
        <v>109000000</v>
      </c>
      <c r="BS47" s="192">
        <v>128500000</v>
      </c>
      <c r="BT47" s="192">
        <v>145000000</v>
      </c>
      <c r="BU47" s="192">
        <v>0</v>
      </c>
      <c r="BV47" s="192">
        <v>0</v>
      </c>
    </row>
    <row r="48" spans="1:74" s="192" customFormat="1" x14ac:dyDescent="0.25">
      <c r="A48" s="192" t="s">
        <v>598</v>
      </c>
      <c r="B48" s="192">
        <v>0</v>
      </c>
      <c r="C48" s="192">
        <v>0</v>
      </c>
      <c r="D48" s="192">
        <v>0</v>
      </c>
      <c r="E48" s="192">
        <v>1000000000</v>
      </c>
      <c r="F48" s="192">
        <v>0</v>
      </c>
      <c r="G48" s="192">
        <v>0</v>
      </c>
      <c r="H48" s="192">
        <v>0</v>
      </c>
      <c r="I48" s="192">
        <v>0</v>
      </c>
      <c r="J48" s="192">
        <v>0</v>
      </c>
      <c r="K48" s="192">
        <v>0</v>
      </c>
      <c r="L48" s="192">
        <v>0</v>
      </c>
      <c r="M48" s="192">
        <v>0</v>
      </c>
      <c r="N48" s="192">
        <v>0</v>
      </c>
      <c r="O48" s="192">
        <v>0</v>
      </c>
      <c r="P48" s="192">
        <v>0</v>
      </c>
      <c r="Q48" s="192">
        <v>0</v>
      </c>
      <c r="R48" s="192">
        <v>0</v>
      </c>
      <c r="S48" s="192">
        <v>0</v>
      </c>
      <c r="T48" s="192">
        <v>0</v>
      </c>
      <c r="U48" s="192">
        <v>0</v>
      </c>
      <c r="V48" s="192">
        <v>0</v>
      </c>
      <c r="W48" s="192">
        <v>0</v>
      </c>
      <c r="X48" s="192">
        <v>0</v>
      </c>
      <c r="Y48" s="192">
        <v>0</v>
      </c>
      <c r="Z48" s="192">
        <v>0</v>
      </c>
      <c r="AA48" s="192">
        <v>0</v>
      </c>
      <c r="AB48" s="192">
        <v>0</v>
      </c>
      <c r="AC48" s="192">
        <v>0</v>
      </c>
      <c r="AD48" s="192">
        <v>0</v>
      </c>
      <c r="AE48" s="192">
        <v>0</v>
      </c>
      <c r="AF48" s="192">
        <v>0</v>
      </c>
      <c r="AG48" s="192">
        <v>0</v>
      </c>
      <c r="AH48" s="192">
        <v>0</v>
      </c>
      <c r="AI48" s="192">
        <v>0</v>
      </c>
      <c r="AJ48" s="192">
        <v>0</v>
      </c>
      <c r="AK48" s="192">
        <v>0</v>
      </c>
      <c r="AL48" s="192">
        <v>0</v>
      </c>
      <c r="AM48" s="192">
        <v>0</v>
      </c>
      <c r="AN48" s="192">
        <v>0</v>
      </c>
      <c r="AO48" s="192">
        <v>0</v>
      </c>
      <c r="AP48" s="192">
        <v>0</v>
      </c>
      <c r="AQ48" s="192">
        <v>0</v>
      </c>
      <c r="AR48" s="192">
        <v>0</v>
      </c>
      <c r="AS48" s="192">
        <v>0</v>
      </c>
      <c r="AT48" s="192">
        <v>0</v>
      </c>
      <c r="AU48" s="192">
        <v>0</v>
      </c>
      <c r="AV48" s="192">
        <v>0</v>
      </c>
      <c r="AW48" s="192">
        <v>0</v>
      </c>
      <c r="AX48" s="192">
        <v>0</v>
      </c>
      <c r="AY48" s="192">
        <v>0</v>
      </c>
      <c r="AZ48" s="192">
        <v>0</v>
      </c>
      <c r="BA48" s="192">
        <v>0</v>
      </c>
      <c r="BB48" s="192">
        <v>0</v>
      </c>
      <c r="BC48" s="192">
        <v>0</v>
      </c>
      <c r="BD48" s="192">
        <v>0</v>
      </c>
      <c r="BE48" s="192">
        <v>0</v>
      </c>
      <c r="BF48" s="192">
        <v>0</v>
      </c>
      <c r="BG48" s="192">
        <v>0</v>
      </c>
      <c r="BH48" s="192">
        <v>0</v>
      </c>
      <c r="BI48" s="192">
        <v>0</v>
      </c>
      <c r="BJ48" s="192">
        <v>0</v>
      </c>
      <c r="BK48" s="192">
        <v>0</v>
      </c>
      <c r="BL48" s="192">
        <v>0</v>
      </c>
      <c r="BM48" s="192">
        <v>0</v>
      </c>
      <c r="BN48" s="192">
        <v>0</v>
      </c>
      <c r="BO48" s="192">
        <v>0</v>
      </c>
      <c r="BP48" s="192">
        <v>0</v>
      </c>
      <c r="BQ48" s="192">
        <v>0</v>
      </c>
      <c r="BR48" s="192">
        <v>0</v>
      </c>
      <c r="BS48" s="192">
        <v>0</v>
      </c>
      <c r="BT48" s="192">
        <v>0</v>
      </c>
      <c r="BU48" s="192">
        <v>0</v>
      </c>
      <c r="BV48" s="192">
        <v>0</v>
      </c>
    </row>
    <row r="49" spans="1:74" s="192" customFormat="1" x14ac:dyDescent="0.25">
      <c r="A49" s="192" t="s">
        <v>599</v>
      </c>
      <c r="E49" s="192">
        <f>E44+E48-E45-E46-E47</f>
        <v>482115167.94999981</v>
      </c>
      <c r="F49" s="192">
        <f t="shared" ref="F49:BQ49" si="85">F44+F48-F45-F46-F47</f>
        <v>-1408999000</v>
      </c>
      <c r="G49" s="192">
        <f t="shared" si="85"/>
        <v>3413681737.4899998</v>
      </c>
      <c r="H49" s="192">
        <f t="shared" si="85"/>
        <v>0</v>
      </c>
      <c r="I49" s="192">
        <f t="shared" si="85"/>
        <v>-87785186.120000005</v>
      </c>
      <c r="J49" s="192">
        <f t="shared" si="85"/>
        <v>0</v>
      </c>
      <c r="K49" s="192">
        <f t="shared" si="85"/>
        <v>-18029612.5</v>
      </c>
      <c r="L49" s="192">
        <f t="shared" si="85"/>
        <v>0</v>
      </c>
      <c r="M49" s="192">
        <f t="shared" si="85"/>
        <v>-88914723.620000005</v>
      </c>
      <c r="N49" s="192">
        <f t="shared" si="85"/>
        <v>-3815307.85</v>
      </c>
      <c r="O49" s="192">
        <f t="shared" si="85"/>
        <v>-2545856.04</v>
      </c>
      <c r="P49" s="192">
        <f t="shared" si="85"/>
        <v>-7969166.0099999998</v>
      </c>
      <c r="Q49" s="192">
        <f t="shared" si="85"/>
        <v>-262896997.42000002</v>
      </c>
      <c r="R49" s="192">
        <f t="shared" si="85"/>
        <v>-209141780.09999999</v>
      </c>
      <c r="S49" s="192">
        <f t="shared" si="85"/>
        <v>-191712614.09</v>
      </c>
      <c r="T49" s="192">
        <f t="shared" si="85"/>
        <v>-17304551.620000001</v>
      </c>
      <c r="U49" s="192">
        <f t="shared" si="85"/>
        <v>-275671573.26999998</v>
      </c>
      <c r="V49" s="192">
        <f t="shared" si="85"/>
        <v>-6199143.8899999857</v>
      </c>
      <c r="W49" s="192">
        <f t="shared" si="85"/>
        <v>115357641.69</v>
      </c>
      <c r="X49" s="192">
        <f t="shared" si="85"/>
        <v>-39259824.430000007</v>
      </c>
      <c r="Y49" s="192">
        <f t="shared" si="85"/>
        <v>429652391.66000003</v>
      </c>
      <c r="Z49" s="192">
        <f t="shared" si="85"/>
        <v>206787395.80000001</v>
      </c>
      <c r="AA49" s="192">
        <f t="shared" si="85"/>
        <v>203024284.50999999</v>
      </c>
      <c r="AB49" s="192">
        <f t="shared" si="85"/>
        <v>195103531.59</v>
      </c>
      <c r="AC49" s="192">
        <f t="shared" si="85"/>
        <v>-63999720.469999984</v>
      </c>
      <c r="AD49" s="192">
        <f t="shared" si="85"/>
        <v>-7854363.3899999997</v>
      </c>
      <c r="AE49" s="192">
        <f t="shared" si="85"/>
        <v>-2081812.07</v>
      </c>
      <c r="AF49" s="192">
        <f t="shared" si="85"/>
        <v>-943151.52</v>
      </c>
      <c r="AG49" s="192">
        <f t="shared" si="85"/>
        <v>7861229.6699999999</v>
      </c>
      <c r="AH49" s="192">
        <f t="shared" si="85"/>
        <v>17624945.300000001</v>
      </c>
      <c r="AI49" s="192">
        <f t="shared" si="85"/>
        <v>-1627254.38</v>
      </c>
      <c r="AJ49" s="192">
        <f t="shared" si="85"/>
        <v>-798727.02</v>
      </c>
      <c r="AK49" s="192">
        <f t="shared" si="85"/>
        <v>654188.83999997377</v>
      </c>
      <c r="AL49" s="192">
        <f t="shared" si="85"/>
        <v>298194914.44999999</v>
      </c>
      <c r="AM49" s="192">
        <f t="shared" si="85"/>
        <v>298693066.94999999</v>
      </c>
      <c r="AN49" s="192">
        <f t="shared" si="85"/>
        <v>199492158.34</v>
      </c>
      <c r="AO49" s="192">
        <f t="shared" si="85"/>
        <v>-760880506.98000002</v>
      </c>
      <c r="AP49" s="192">
        <f t="shared" si="85"/>
        <v>-658186433.43000007</v>
      </c>
      <c r="AQ49" s="192">
        <f t="shared" si="85"/>
        <v>-662367690.05999994</v>
      </c>
      <c r="AR49" s="192">
        <f t="shared" si="85"/>
        <v>288263481.81999999</v>
      </c>
      <c r="AS49" s="192">
        <f t="shared" si="85"/>
        <v>790980000</v>
      </c>
      <c r="AT49" s="192">
        <f t="shared" si="85"/>
        <v>1034777200</v>
      </c>
      <c r="AU49" s="192">
        <f t="shared" si="85"/>
        <v>420160000</v>
      </c>
      <c r="AV49" s="192">
        <f t="shared" si="85"/>
        <v>270000000</v>
      </c>
      <c r="AW49" s="192">
        <f t="shared" si="85"/>
        <v>40000000</v>
      </c>
      <c r="AX49" s="192">
        <f t="shared" si="85"/>
        <v>0</v>
      </c>
      <c r="AY49" s="192">
        <f t="shared" si="85"/>
        <v>0</v>
      </c>
      <c r="AZ49" s="192">
        <f t="shared" si="85"/>
        <v>0</v>
      </c>
      <c r="BA49" s="192">
        <f t="shared" si="85"/>
        <v>-47500000</v>
      </c>
      <c r="BB49" s="192">
        <f t="shared" si="85"/>
        <v>-42500000</v>
      </c>
      <c r="BC49" s="192">
        <f t="shared" si="85"/>
        <v>-47500000</v>
      </c>
      <c r="BD49" s="192">
        <f t="shared" si="85"/>
        <v>-47500000</v>
      </c>
      <c r="BE49" s="192">
        <f t="shared" si="85"/>
        <v>-142719495</v>
      </c>
      <c r="BF49" s="192">
        <f t="shared" si="85"/>
        <v>7257081.9099999964</v>
      </c>
      <c r="BG49" s="192">
        <f t="shared" si="85"/>
        <v>-57719495</v>
      </c>
      <c r="BH49" s="192">
        <f t="shared" si="85"/>
        <v>-59325395</v>
      </c>
      <c r="BI49" s="192">
        <f t="shared" si="85"/>
        <v>170219495</v>
      </c>
      <c r="BJ49" s="192">
        <f t="shared" si="85"/>
        <v>50000000</v>
      </c>
      <c r="BK49" s="192">
        <f t="shared" si="85"/>
        <v>60000000</v>
      </c>
      <c r="BL49" s="192">
        <f t="shared" si="85"/>
        <v>50000000</v>
      </c>
      <c r="BM49" s="192">
        <f t="shared" si="85"/>
        <v>-78500000</v>
      </c>
      <c r="BN49" s="192">
        <f t="shared" si="85"/>
        <v>500000</v>
      </c>
      <c r="BO49" s="192">
        <f t="shared" si="85"/>
        <v>0</v>
      </c>
      <c r="BP49" s="192">
        <f t="shared" si="85"/>
        <v>0</v>
      </c>
      <c r="BQ49" s="192">
        <f t="shared" si="85"/>
        <v>26000000</v>
      </c>
      <c r="BR49" s="192">
        <f t="shared" ref="BR49:BV49" si="86">BR44+BR48-BR45-BR46-BR47</f>
        <v>16000000</v>
      </c>
      <c r="BS49" s="192">
        <f t="shared" si="86"/>
        <v>-31000000</v>
      </c>
      <c r="BT49" s="192">
        <f t="shared" si="86"/>
        <v>35000000</v>
      </c>
      <c r="BU49" s="192">
        <f t="shared" si="86"/>
        <v>72000000</v>
      </c>
      <c r="BV49" s="192">
        <f t="shared" si="86"/>
        <v>0</v>
      </c>
    </row>
    <row r="50" spans="1:74" s="26" customFormat="1" x14ac:dyDescent="0.25"/>
    <row r="51" spans="1:74" s="16" customFormat="1" ht="120" customHeight="1" x14ac:dyDescent="0.25">
      <c r="A51" s="276" t="s">
        <v>667</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7.2187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7.21875" bestFit="1" customWidth="1"/>
    <col min="73" max="74" width="17.21875" hidden="1" customWidth="1"/>
  </cols>
  <sheetData>
    <row r="1" spans="1:74"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8" customFormat="1" x14ac:dyDescent="0.25">
      <c r="A2" s="46" t="s">
        <v>327</v>
      </c>
    </row>
    <row r="3" spans="1:74" s="26" customFormat="1" x14ac:dyDescent="0.25">
      <c r="A3" s="17" t="s">
        <v>328</v>
      </c>
      <c r="B3" s="26">
        <f>平均资本成本表!E53</f>
        <v>0</v>
      </c>
      <c r="E3" s="26">
        <f>股权价值增加表!E53</f>
        <v>333002742.05000001</v>
      </c>
      <c r="F3" s="26">
        <f>股权价值增加表!F53</f>
        <v>0</v>
      </c>
      <c r="G3" s="26">
        <f>股权价值增加表!G53</f>
        <v>0</v>
      </c>
      <c r="H3" s="26">
        <f>股权价值增加表!H53</f>
        <v>0</v>
      </c>
      <c r="I3" s="26">
        <f>股权价值增加表!I53</f>
        <v>87785186.120000005</v>
      </c>
      <c r="J3" s="26">
        <f>股权价值增加表!J53</f>
        <v>0</v>
      </c>
      <c r="K3" s="26">
        <f>股权价值增加表!K53</f>
        <v>0</v>
      </c>
      <c r="L3" s="26">
        <f>股权价值增加表!L53</f>
        <v>0</v>
      </c>
      <c r="M3" s="26">
        <f>股权价值增加表!M53</f>
        <v>84786939.790000007</v>
      </c>
      <c r="N3" s="26">
        <f>股权价值增加表!N53</f>
        <v>0</v>
      </c>
      <c r="O3" s="26">
        <f>股权价值增加表!O53</f>
        <v>0</v>
      </c>
      <c r="P3" s="26">
        <f>股权价值增加表!P53</f>
        <v>0</v>
      </c>
      <c r="Q3" s="26">
        <f>股权价值增加表!Q53</f>
        <v>68396526.150000006</v>
      </c>
      <c r="R3" s="26">
        <f>股权价值增加表!R53</f>
        <v>0</v>
      </c>
      <c r="S3" s="26">
        <f>股权价值增加表!S53</f>
        <v>0</v>
      </c>
      <c r="T3" s="26">
        <f>股权价值增加表!T53</f>
        <v>0</v>
      </c>
      <c r="U3" s="26">
        <f>股权价值增加表!U53</f>
        <v>21066861.289999999</v>
      </c>
      <c r="V3" s="26">
        <f>股权价值增加表!V53</f>
        <v>0</v>
      </c>
      <c r="W3" s="26">
        <f>股权价值增加表!W53</f>
        <v>0</v>
      </c>
      <c r="X3" s="26">
        <f>股权价值增加表!X53</f>
        <v>0</v>
      </c>
      <c r="Y3" s="26">
        <f>股权价值增加表!Y53</f>
        <v>13150443.939999999</v>
      </c>
      <c r="Z3" s="26">
        <f>股权价值增加表!Z53</f>
        <v>0</v>
      </c>
      <c r="AA3" s="26">
        <f>股权价值增加表!AA53</f>
        <v>0</v>
      </c>
      <c r="AB3" s="26">
        <f>股权价值增加表!AB53</f>
        <v>0</v>
      </c>
      <c r="AC3" s="26">
        <f>股权价值增加表!AC53</f>
        <v>3148942.98</v>
      </c>
      <c r="AD3" s="26">
        <f>股权价值增加表!AD53</f>
        <v>0</v>
      </c>
      <c r="AE3" s="26">
        <f>股权价值增加表!AE53</f>
        <v>0</v>
      </c>
      <c r="AF3" s="26">
        <f>股权价值增加表!AF53</f>
        <v>0</v>
      </c>
      <c r="AG3" s="26">
        <f>股权价值增加表!AG53</f>
        <v>5568425.9199999999</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813924940</v>
      </c>
      <c r="F4" s="26">
        <f>资产资本表!F89</f>
        <v>2136978237.49</v>
      </c>
      <c r="G4" s="26">
        <f>资产资本表!G89</f>
        <v>3413681737.4899998</v>
      </c>
      <c r="H4" s="26">
        <f>资产资本表!H89</f>
        <v>0</v>
      </c>
      <c r="I4" s="26">
        <f>资产资本表!I89</f>
        <v>0</v>
      </c>
      <c r="J4" s="26">
        <f>资产资本表!J89</f>
        <v>1576994.12</v>
      </c>
      <c r="K4" s="26">
        <f>资产资本表!K89</f>
        <v>0</v>
      </c>
      <c r="L4" s="26">
        <f>资产资本表!L89</f>
        <v>10140041.73</v>
      </c>
      <c r="M4" s="26">
        <f>资产资本表!M89</f>
        <v>6377316.4500000002</v>
      </c>
      <c r="N4" s="26">
        <f>资产资本表!N89</f>
        <v>0</v>
      </c>
      <c r="O4" s="26">
        <f>资产资本表!O89</f>
        <v>1269451.81</v>
      </c>
      <c r="P4" s="26">
        <f>资产资本表!P89</f>
        <v>2698617.82</v>
      </c>
      <c r="Q4" s="26">
        <f>资产资本表!Q89</f>
        <v>4127783.83</v>
      </c>
      <c r="R4" s="26">
        <f>资产资本表!R89</f>
        <v>252068618.91</v>
      </c>
      <c r="S4" s="26">
        <f>资产资本表!S89</f>
        <v>261471127.44</v>
      </c>
      <c r="T4" s="26">
        <f>资产资本表!T89</f>
        <v>442982143.65999997</v>
      </c>
      <c r="U4" s="26">
        <f>资产资本表!U89</f>
        <v>465727781.43000001</v>
      </c>
      <c r="V4" s="26">
        <f>资产资本表!V89</f>
        <v>614720441.23000002</v>
      </c>
      <c r="W4" s="26">
        <f>资产资本表!W89</f>
        <v>832313229.83999991</v>
      </c>
      <c r="X4" s="26">
        <f>资产资本表!X89</f>
        <v>621440327.88999999</v>
      </c>
      <c r="Y4" s="26">
        <f>资产资本表!Y89</f>
        <v>665236303.14999998</v>
      </c>
      <c r="Z4" s="26">
        <f>资产资本表!Z89</f>
        <v>434300526.89999998</v>
      </c>
      <c r="AA4" s="26">
        <f>资产资本表!AA89</f>
        <v>399761878.37</v>
      </c>
      <c r="AB4" s="26">
        <f>资产资本表!AB89</f>
        <v>394272000.19</v>
      </c>
      <c r="AC4" s="26">
        <f>资产资本表!AC89</f>
        <v>201329643.61000001</v>
      </c>
      <c r="AD4" s="26">
        <f>资产资本表!AD89</f>
        <v>185944076.03999999</v>
      </c>
      <c r="AE4" s="26">
        <f>资产资本表!AE89</f>
        <v>220735636.97</v>
      </c>
      <c r="AF4" s="26">
        <f>资产资本表!AF89</f>
        <v>169065025.41000003</v>
      </c>
      <c r="AG4" s="26">
        <f>资产资本表!AG89</f>
        <v>169041503.39000002</v>
      </c>
      <c r="AH4" s="26">
        <f>资产资本表!AH89</f>
        <v>175182573.47</v>
      </c>
      <c r="AI4" s="26">
        <f>资产资本表!AI89</f>
        <v>151886847.56</v>
      </c>
      <c r="AJ4" s="26">
        <f>资产资本表!AJ89</f>
        <v>152339718.16</v>
      </c>
      <c r="AK4" s="26">
        <f>资产资本表!AK89</f>
        <v>154766639.42000002</v>
      </c>
      <c r="AL4" s="26">
        <f>资产资本表!AL89</f>
        <v>435019483.77000004</v>
      </c>
      <c r="AM4" s="26">
        <f>资产资本表!AM89</f>
        <v>426111628.88</v>
      </c>
      <c r="AN4" s="26">
        <f>资产资本表!AN89</f>
        <v>328013017.86000001</v>
      </c>
      <c r="AO4" s="26">
        <f>资产资本表!AO89</f>
        <v>129623157.11</v>
      </c>
      <c r="AP4" s="26">
        <f>资产资本表!AP89</f>
        <v>127154722.02000001</v>
      </c>
      <c r="AQ4" s="26">
        <f>资产资本表!AQ89</f>
        <v>85760991.75</v>
      </c>
      <c r="AR4" s="26">
        <f>资产资本表!AR89</f>
        <v>1035196913.28</v>
      </c>
      <c r="AS4" s="26">
        <f>资产资本表!AS89</f>
        <v>966563928.59000003</v>
      </c>
      <c r="AT4" s="26">
        <f>资产资本表!AT89</f>
        <v>1216763771.4400001</v>
      </c>
      <c r="AU4" s="26">
        <f>资产资本表!AU89</f>
        <v>478497714.28999996</v>
      </c>
      <c r="AV4" s="26">
        <f>资产资本表!AV89</f>
        <v>270000000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47500000</v>
      </c>
      <c r="BF4" s="26">
        <f>资产资本表!BF89</f>
        <v>95500000</v>
      </c>
      <c r="BG4" s="26">
        <f>资产资本表!BG89</f>
        <v>132500000</v>
      </c>
      <c r="BH4" s="26">
        <f>资产资本表!BH89</f>
        <v>130894100</v>
      </c>
      <c r="BI4" s="26">
        <f>资产资本表!BI89</f>
        <v>190219495</v>
      </c>
      <c r="BJ4" s="26">
        <f>资产资本表!BJ89</f>
        <v>70000000</v>
      </c>
      <c r="BK4" s="26">
        <f>资产资本表!BK89</f>
        <v>80000000</v>
      </c>
      <c r="BL4" s="26">
        <f>资产资本表!BL89</f>
        <v>70000000</v>
      </c>
      <c r="BM4" s="26">
        <f>资产资本表!BM89</f>
        <v>20000000</v>
      </c>
      <c r="BN4" s="26">
        <f>资产资本表!BN89</f>
        <v>94000000</v>
      </c>
      <c r="BO4" s="26">
        <f>资产资本表!BO89</f>
        <v>99000000</v>
      </c>
      <c r="BP4" s="26">
        <f>资产资本表!BP89</f>
        <v>99000000</v>
      </c>
      <c r="BQ4" s="26">
        <f>资产资本表!BQ89</f>
        <v>98500000</v>
      </c>
      <c r="BR4" s="26">
        <f>资产资本表!BR89</f>
        <v>98500000</v>
      </c>
      <c r="BS4" s="26">
        <f>资产资本表!BS89</f>
        <v>99055524.030000001</v>
      </c>
      <c r="BT4" s="26">
        <f>资产资本表!BT89</f>
        <v>89263845.549999997</v>
      </c>
      <c r="BU4" s="26">
        <f>资产资本表!BU89</f>
        <v>73472167.069999993</v>
      </c>
      <c r="BV4" s="26">
        <f>资产资本表!BV89</f>
        <v>138668706.72999999</v>
      </c>
    </row>
    <row r="5" spans="1:74" s="63" customFormat="1" x14ac:dyDescent="0.25">
      <c r="A5" s="63" t="s">
        <v>333</v>
      </c>
      <c r="E5" s="63">
        <f>IF(E4+I4=0,0,E3/((E4+I4)/2))</f>
        <v>0.81826400859519066</v>
      </c>
      <c r="F5" s="63">
        <f t="shared" ref="F5:BQ5" si="0">IF(F4+J4=0,0,F3/((F4+J4)/2))</f>
        <v>0</v>
      </c>
      <c r="G5" s="63">
        <f t="shared" si="0"/>
        <v>0</v>
      </c>
      <c r="H5" s="63">
        <f t="shared" si="0"/>
        <v>0</v>
      </c>
      <c r="I5" s="63">
        <f t="shared" si="0"/>
        <v>27.530446954690479</v>
      </c>
      <c r="J5" s="63">
        <f t="shared" si="0"/>
        <v>0</v>
      </c>
      <c r="K5" s="63">
        <f t="shared" si="0"/>
        <v>0</v>
      </c>
      <c r="L5" s="63">
        <f t="shared" si="0"/>
        <v>0</v>
      </c>
      <c r="M5" s="63">
        <f t="shared" si="0"/>
        <v>16.142052437409003</v>
      </c>
      <c r="N5" s="63">
        <f t="shared" si="0"/>
        <v>0</v>
      </c>
      <c r="O5" s="63">
        <f t="shared" si="0"/>
        <v>0</v>
      </c>
      <c r="P5" s="63">
        <f t="shared" si="0"/>
        <v>0</v>
      </c>
      <c r="Q5" s="63">
        <f t="shared" si="0"/>
        <v>0.29113851662968809</v>
      </c>
      <c r="R5" s="63">
        <f t="shared" si="0"/>
        <v>0</v>
      </c>
      <c r="S5" s="63">
        <f t="shared" si="0"/>
        <v>0</v>
      </c>
      <c r="T5" s="63">
        <f t="shared" si="0"/>
        <v>0</v>
      </c>
      <c r="U5" s="63">
        <f t="shared" si="0"/>
        <v>3.7254695488979188E-2</v>
      </c>
      <c r="V5" s="63">
        <f t="shared" si="0"/>
        <v>0</v>
      </c>
      <c r="W5" s="63">
        <f t="shared" si="0"/>
        <v>0</v>
      </c>
      <c r="X5" s="63">
        <f t="shared" si="0"/>
        <v>0</v>
      </c>
      <c r="Y5" s="63">
        <f t="shared" si="0"/>
        <v>3.0350705538725917E-2</v>
      </c>
      <c r="Z5" s="63">
        <f t="shared" si="0"/>
        <v>0</v>
      </c>
      <c r="AA5" s="63">
        <f t="shared" si="0"/>
        <v>0</v>
      </c>
      <c r="AB5" s="63">
        <f t="shared" si="0"/>
        <v>0</v>
      </c>
      <c r="AC5" s="63">
        <f t="shared" si="0"/>
        <v>1.7004256435774679E-2</v>
      </c>
      <c r="AD5" s="63">
        <f t="shared" si="0"/>
        <v>0</v>
      </c>
      <c r="AE5" s="63">
        <f t="shared" si="0"/>
        <v>0</v>
      </c>
      <c r="AF5" s="63">
        <f t="shared" si="0"/>
        <v>0</v>
      </c>
      <c r="AG5" s="63">
        <f t="shared" si="0"/>
        <v>3.4393365600242913E-2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0.14285586889618238</v>
      </c>
      <c r="F6" s="63">
        <f>股权价值增加表!F41</f>
        <v>0.1322291602965957</v>
      </c>
      <c r="G6" s="63">
        <f>股权价值增加表!G41</f>
        <v>0.1263212091625425</v>
      </c>
      <c r="H6" s="63">
        <f>股权价值增加表!H41</f>
        <v>0.20020605184303716</v>
      </c>
      <c r="I6" s="63">
        <f>股权价值增加表!I41</f>
        <v>0.14609938798425803</v>
      </c>
      <c r="J6" s="63">
        <f>股权价值增加表!J41</f>
        <v>0.1304816181503439</v>
      </c>
      <c r="K6" s="63">
        <f>股权价值增加表!K41</f>
        <v>0.13030835677412192</v>
      </c>
      <c r="L6" s="63">
        <f>股权价值增加表!L41</f>
        <v>0.13338143636418709</v>
      </c>
      <c r="M6" s="63">
        <f>股权价值增加表!M41</f>
        <v>0.12163449336926466</v>
      </c>
      <c r="N6" s="63">
        <f>股权价值增加表!N41</f>
        <v>0.12130426078502719</v>
      </c>
      <c r="O6" s="63">
        <f>股权价值增加表!O41</f>
        <v>0.1131847775222645</v>
      </c>
      <c r="P6" s="63">
        <f>股权价值增加表!P41</f>
        <v>0.13017031662787124</v>
      </c>
      <c r="Q6" s="63">
        <f>股权价值增加表!Q41</f>
        <v>0.1304355713729084</v>
      </c>
      <c r="R6" s="63">
        <f>股权价值增加表!R41</f>
        <v>0.12172359611215483</v>
      </c>
      <c r="S6" s="63">
        <f>股权价值增加表!S41</f>
        <v>0.12134483553247787</v>
      </c>
      <c r="T6" s="63">
        <f>股权价值增加表!T41</f>
        <v>0.11622841067061299</v>
      </c>
      <c r="U6" s="63">
        <f>股权价值增加表!U41</f>
        <v>0.12912884678347697</v>
      </c>
      <c r="V6" s="63">
        <f>股权价值增加表!V41</f>
        <v>0.1210375830482058</v>
      </c>
      <c r="W6" s="63">
        <f>股权价值增加表!W41</f>
        <v>0.12205869561928435</v>
      </c>
      <c r="X6" s="63">
        <f>股权价值增加表!X41</f>
        <v>0.12006388839267694</v>
      </c>
      <c r="Y6" s="63">
        <f>股权价值增加表!Y41</f>
        <v>0.12174007996829146</v>
      </c>
      <c r="Z6" s="63">
        <f>股权价值增加表!Z41</f>
        <v>0.12193771830648804</v>
      </c>
      <c r="AA6" s="63">
        <f>股权价值增加表!AA41</f>
        <v>0.12044335862181541</v>
      </c>
      <c r="AB6" s="63">
        <f>股权价值增加表!AB41</f>
        <v>0.12877882608573143</v>
      </c>
      <c r="AC6" s="63">
        <f>股权价值增加表!AC41</f>
        <v>0.14501419747715394</v>
      </c>
      <c r="AD6" s="63">
        <f>股权价值增加表!AD41</f>
        <v>0.15469867503741763</v>
      </c>
      <c r="AE6" s="63">
        <f>股权价值增加表!AE41</f>
        <v>0.13825156169451014</v>
      </c>
      <c r="AF6" s="63">
        <f>股权价值增加表!AF41</f>
        <v>0.14976983230554397</v>
      </c>
      <c r="AG6" s="63">
        <f>股权价值增加表!AG41</f>
        <v>0.12589107611180397</v>
      </c>
      <c r="AH6" s="63">
        <f>股权价值增加表!AH41</f>
        <v>0.14626536069868817</v>
      </c>
      <c r="AI6" s="63">
        <f>股权价值增加表!AI41</f>
        <v>0.16151709878166395</v>
      </c>
      <c r="AJ6" s="63">
        <f>股权价值增加表!AJ41</f>
        <v>0.11016812061964362</v>
      </c>
      <c r="AK6" s="63">
        <f>股权价值增加表!AK41</f>
        <v>9.6887341670477273E-2</v>
      </c>
      <c r="AL6" s="63">
        <f>股权价值增加表!AL41</f>
        <v>0.13543463115379134</v>
      </c>
      <c r="AM6" s="63">
        <f>股权价值增加表!AM41</f>
        <v>0.1316601028922737</v>
      </c>
      <c r="AN6" s="63">
        <f>股权价值增加表!AN41</f>
        <v>0.11999986771894514</v>
      </c>
      <c r="AO6" s="63">
        <f>股权价值增加表!AO41</f>
        <v>0.16786688559268928</v>
      </c>
      <c r="AP6" s="63">
        <f>股权价值增加表!AP41</f>
        <v>0.19004053376761601</v>
      </c>
      <c r="AQ6" s="63">
        <f>股权价值增加表!AQ41</f>
        <v>0.2112871350021602</v>
      </c>
      <c r="AR6" s="63">
        <f>股权价值增加表!AR41</f>
        <v>0.24303266215884767</v>
      </c>
      <c r="AS6" s="63">
        <f>股权价值增加表!AS41</f>
        <v>0.2709427848819409</v>
      </c>
      <c r="AT6" s="63">
        <f>股权价值增加表!AT41</f>
        <v>0.33921719372127629</v>
      </c>
      <c r="AU6" s="63">
        <f>股权价值增加表!AU41</f>
        <v>0.33241897730391901</v>
      </c>
      <c r="AV6" s="63">
        <f>股权价值增加表!AV41</f>
        <v>0.35830743366435924</v>
      </c>
      <c r="AW6" s="63">
        <f>股权价值增加表!AW41</f>
        <v>0.35593048202038491</v>
      </c>
      <c r="AX6" s="63">
        <f>股权价值增加表!AX41</f>
        <v>0.51119772581811551</v>
      </c>
      <c r="AY6" s="63">
        <f>股权价值增加表!AY41</f>
        <v>0.51136199217670708</v>
      </c>
      <c r="AZ6" s="63">
        <f>股权价值增加表!AZ41</f>
        <v>0.41314405124223608</v>
      </c>
      <c r="BA6" s="63">
        <f>股权价值增加表!BA41</f>
        <v>0.36441931214152529</v>
      </c>
      <c r="BB6" s="63">
        <f>股权价值增加表!BB41</f>
        <v>0.37032117677814114</v>
      </c>
      <c r="BC6" s="63">
        <f>股权价值增加表!BC41</f>
        <v>0.37096478037261393</v>
      </c>
      <c r="BD6" s="63">
        <f>股权价值增加表!BD41</f>
        <v>0.3409483563553824</v>
      </c>
      <c r="BE6" s="63">
        <f>股权价值增加表!BE41</f>
        <v>0.30626345004253608</v>
      </c>
      <c r="BF6" s="63">
        <f>股权价值增加表!BF41</f>
        <v>0.38956941181190263</v>
      </c>
      <c r="BG6" s="63">
        <f>股权价值增加表!BG41</f>
        <v>0.40009523514692297</v>
      </c>
      <c r="BH6" s="63">
        <f>股权价值增加表!BH41</f>
        <v>0.38301577565271744</v>
      </c>
      <c r="BI6" s="63">
        <f>股权价值增加表!BI41</f>
        <v>0.31645259799331349</v>
      </c>
      <c r="BJ6" s="63">
        <f>股权价值增加表!BJ41</f>
        <v>0.3681936614521697</v>
      </c>
      <c r="BK6" s="63">
        <f>股权价值增加表!BK41</f>
        <v>0.43829526283927372</v>
      </c>
      <c r="BL6" s="63">
        <f>股权价值增加表!BL41</f>
        <v>0.35677077094025506</v>
      </c>
      <c r="BM6" s="63">
        <f>股权价值增加表!BM41</f>
        <v>0.42240083199727863</v>
      </c>
      <c r="BN6" s="63">
        <f>股权价值增加表!BN41</f>
        <v>0.45715505174419285</v>
      </c>
      <c r="BO6" s="63">
        <f>股权价值增加表!BO41</f>
        <v>0.45664099173787021</v>
      </c>
      <c r="BP6" s="63">
        <f>股权价值增加表!BP41</f>
        <v>0.37780486572736494</v>
      </c>
      <c r="BQ6" s="63">
        <f>股权价值增加表!BQ41</f>
        <v>0.20732176175437284</v>
      </c>
      <c r="BR6" s="63">
        <f>股权价值增加表!BR41</f>
        <v>0.27621808973903972</v>
      </c>
      <c r="BS6" s="63">
        <f>股权价值增加表!BS41</f>
        <v>0.20393616648940721</v>
      </c>
      <c r="BT6" s="63">
        <f>股权价值增加表!BT41</f>
        <v>0.34387815016892903</v>
      </c>
      <c r="BU6" s="63">
        <f>股权价值增加表!BU41</f>
        <v>0.32760217125061619</v>
      </c>
    </row>
    <row r="7" spans="1:74" s="63" customFormat="1" x14ac:dyDescent="0.25">
      <c r="A7" s="63" t="s">
        <v>330</v>
      </c>
      <c r="E7" s="63">
        <f>E5*(1-E6)</f>
        <v>0.70137019266085143</v>
      </c>
      <c r="F7" s="63">
        <f t="shared" ref="F7:BQ7" si="2">F5*(1-F6)</f>
        <v>0</v>
      </c>
      <c r="G7" s="63">
        <f t="shared" si="2"/>
        <v>0</v>
      </c>
      <c r="H7" s="63">
        <f t="shared" si="2"/>
        <v>0</v>
      </c>
      <c r="I7" s="63">
        <f t="shared" si="2"/>
        <v>23.508265503677119</v>
      </c>
      <c r="J7" s="63">
        <f t="shared" si="2"/>
        <v>0</v>
      </c>
      <c r="K7" s="63">
        <f t="shared" si="2"/>
        <v>0</v>
      </c>
      <c r="L7" s="63">
        <f t="shared" si="2"/>
        <v>0</v>
      </c>
      <c r="M7" s="63">
        <f t="shared" si="2"/>
        <v>14.178622067244655</v>
      </c>
      <c r="N7" s="63">
        <f t="shared" si="2"/>
        <v>0</v>
      </c>
      <c r="O7" s="63">
        <f t="shared" si="2"/>
        <v>0</v>
      </c>
      <c r="P7" s="63">
        <f t="shared" si="2"/>
        <v>0</v>
      </c>
      <c r="Q7" s="63">
        <f t="shared" si="2"/>
        <v>0.25316369786443371</v>
      </c>
      <c r="R7" s="63">
        <f t="shared" si="2"/>
        <v>0</v>
      </c>
      <c r="S7" s="63">
        <f t="shared" si="2"/>
        <v>0</v>
      </c>
      <c r="T7" s="63">
        <f t="shared" si="2"/>
        <v>0</v>
      </c>
      <c r="U7" s="63">
        <f t="shared" si="2"/>
        <v>3.2444039623217701E-2</v>
      </c>
      <c r="V7" s="63">
        <f t="shared" si="2"/>
        <v>0</v>
      </c>
      <c r="W7" s="63">
        <f t="shared" si="2"/>
        <v>0</v>
      </c>
      <c r="X7" s="63">
        <f t="shared" si="2"/>
        <v>0</v>
      </c>
      <c r="Y7" s="63">
        <f t="shared" si="2"/>
        <v>2.6655808219347356E-2</v>
      </c>
      <c r="Z7" s="63">
        <f t="shared" si="2"/>
        <v>0</v>
      </c>
      <c r="AA7" s="63">
        <f t="shared" si="2"/>
        <v>0</v>
      </c>
      <c r="AB7" s="63">
        <f t="shared" si="2"/>
        <v>0</v>
      </c>
      <c r="AC7" s="63">
        <f t="shared" si="2"/>
        <v>1.4538397835045083E-2</v>
      </c>
      <c r="AD7" s="63">
        <f t="shared" si="2"/>
        <v>0</v>
      </c>
      <c r="AE7" s="63">
        <f t="shared" si="2"/>
        <v>0</v>
      </c>
      <c r="AF7" s="63">
        <f t="shared" si="2"/>
        <v>0</v>
      </c>
      <c r="AG7" s="63">
        <f t="shared" si="2"/>
        <v>3.0063547793721633E-2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15605857859.57</v>
      </c>
      <c r="F8" s="26">
        <f>资产资本表!F107</f>
        <v>13367332906.66</v>
      </c>
      <c r="G8" s="26">
        <f>资产资本表!G107</f>
        <v>12264362423.469999</v>
      </c>
      <c r="H8" s="26">
        <f>资产资本表!H107</f>
        <v>14006725574.900002</v>
      </c>
      <c r="I8" s="26">
        <f>资产资本表!I107</f>
        <v>13679110933.26</v>
      </c>
      <c r="J8" s="26">
        <f>资产资本表!J107</f>
        <v>11914642903.220001</v>
      </c>
      <c r="K8" s="26">
        <f>资产资本表!K107</f>
        <v>10844249608.049999</v>
      </c>
      <c r="L8" s="26">
        <f>资产资本表!L107</f>
        <v>13334571657.5</v>
      </c>
      <c r="M8" s="26">
        <f>资产资本表!M107</f>
        <v>12939385288.640001</v>
      </c>
      <c r="N8" s="26">
        <f>资产资本表!N107</f>
        <v>11258945946.76</v>
      </c>
      <c r="O8" s="26">
        <f>资产资本表!O107</f>
        <v>10326820404.119999</v>
      </c>
      <c r="P8" s="26">
        <f>资产资本表!P107</f>
        <v>11249407644.51</v>
      </c>
      <c r="Q8" s="26">
        <f>资产资本表!Q107</f>
        <v>10860574280.08</v>
      </c>
      <c r="R8" s="26">
        <f>资产资本表!R107</f>
        <v>9240665430.6100006</v>
      </c>
      <c r="S8" s="26">
        <f>资产资本表!S107</f>
        <v>8834713858.3699989</v>
      </c>
      <c r="T8" s="26">
        <f>资产资本表!T107</f>
        <v>9050139537.0100002</v>
      </c>
      <c r="U8" s="26">
        <f>资产资本表!U107</f>
        <v>8757144969.1100006</v>
      </c>
      <c r="V8" s="26">
        <f>资产资本表!V107</f>
        <v>7815771735.6799994</v>
      </c>
      <c r="W8" s="26">
        <f>资产资本表!W107</f>
        <v>7537895929.3599997</v>
      </c>
      <c r="X8" s="26">
        <f>资产资本表!X107</f>
        <v>7598030750.79</v>
      </c>
      <c r="Y8" s="26">
        <f>资产资本表!Y107</f>
        <v>7319555953.7600002</v>
      </c>
      <c r="Z8" s="26">
        <f>资产资本表!Z107</f>
        <v>6834487822.5699997</v>
      </c>
      <c r="AA8" s="26">
        <f>资产资本表!AA107</f>
        <v>6047489876.8400002</v>
      </c>
      <c r="AB8" s="26">
        <f>资产资本表!AB107</f>
        <v>5777821280.9499998</v>
      </c>
      <c r="AC8" s="26">
        <f>资产资本表!AC107</f>
        <v>3337764988.79</v>
      </c>
      <c r="AD8" s="26">
        <f>资产资本表!AD107</f>
        <v>2882908352.8000002</v>
      </c>
      <c r="AE8" s="26">
        <f>资产资本表!AE107</f>
        <v>2690228492.79</v>
      </c>
      <c r="AF8" s="26">
        <f>资产资本表!AF107</f>
        <v>2616313164.0499997</v>
      </c>
      <c r="AG8" s="26">
        <f>资产资本表!AG107</f>
        <v>2485872956.1099997</v>
      </c>
      <c r="AH8" s="26">
        <f>资产资本表!AH107</f>
        <v>2150818194.1900001</v>
      </c>
      <c r="AI8" s="26">
        <f>资产资本表!AI107</f>
        <v>1935977175.3</v>
      </c>
      <c r="AJ8" s="26">
        <f>资产资本表!AJ107</f>
        <v>2272635356.8099999</v>
      </c>
      <c r="AK8" s="26">
        <f>资产资本表!AK107</f>
        <v>2173866943.6599998</v>
      </c>
      <c r="AL8" s="26">
        <f>资产资本表!AL107</f>
        <v>1922374657.0699999</v>
      </c>
      <c r="AM8" s="26">
        <f>资产资本表!AM107</f>
        <v>1767057556.6600001</v>
      </c>
      <c r="AN8" s="26">
        <f>资产资本表!AN107</f>
        <v>1860279517.23</v>
      </c>
      <c r="AO8" s="26">
        <f>资产资本表!AO107</f>
        <v>1701028766.23</v>
      </c>
      <c r="AP8" s="26">
        <f>资产资本表!AP107</f>
        <v>1612772749.2900002</v>
      </c>
      <c r="AQ8" s="26">
        <f>资产资本表!AQ107</f>
        <v>1725714340.21</v>
      </c>
      <c r="AR8" s="26">
        <f>资产资本表!AR107</f>
        <v>2013857845.5900002</v>
      </c>
      <c r="AS8" s="26">
        <f>资产资本表!AS107</f>
        <v>2828573554.7200003</v>
      </c>
      <c r="AT8" s="26">
        <f>资产资本表!AT107</f>
        <v>2128437649.99</v>
      </c>
      <c r="AU8" s="26">
        <f>资产资本表!AU107</f>
        <v>1559012952.5699999</v>
      </c>
      <c r="AV8" s="26">
        <f>资产资本表!AV107</f>
        <v>1357694966.04</v>
      </c>
      <c r="AW8" s="26">
        <f>资产资本表!AW107</f>
        <v>1362309337.47</v>
      </c>
      <c r="AX8" s="26">
        <f>资产资本表!AX107</f>
        <v>1230864655.04</v>
      </c>
      <c r="AY8" s="26">
        <f>资产资本表!AY107</f>
        <v>1175041276.8399999</v>
      </c>
      <c r="AZ8" s="26">
        <f>资产资本表!AZ107</f>
        <v>1400220577.47</v>
      </c>
      <c r="BA8" s="26">
        <f>资产资本表!BA107</f>
        <v>1367500079.1299999</v>
      </c>
      <c r="BB8" s="26">
        <f>资产资本表!BB107</f>
        <v>1298034645.05</v>
      </c>
      <c r="BC8" s="26">
        <f>资产资本表!BC107</f>
        <v>1251458795.0899999</v>
      </c>
      <c r="BD8" s="26">
        <f>资产资本表!BD107</f>
        <v>1213230960.6400001</v>
      </c>
      <c r="BE8" s="26">
        <f>资产资本表!BE107</f>
        <v>1287986133.53</v>
      </c>
      <c r="BF8" s="26">
        <f>资产资本表!BF107</f>
        <v>1234691587.6800001</v>
      </c>
      <c r="BG8" s="26">
        <f>资产资本表!BG107</f>
        <v>1094787737.0900002</v>
      </c>
      <c r="BH8" s="26">
        <f>资产资本表!BH107</f>
        <v>1126714762.21</v>
      </c>
      <c r="BI8" s="26">
        <f>资产资本表!BI107</f>
        <v>1105776249.5900002</v>
      </c>
      <c r="BJ8" s="26">
        <f>资产资本表!BJ107</f>
        <v>1046362221.92</v>
      </c>
      <c r="BK8" s="26">
        <f>资产资本表!BK107</f>
        <v>993562684.63999999</v>
      </c>
      <c r="BL8" s="26">
        <f>资产资本表!BL107</f>
        <v>982959663.34000003</v>
      </c>
      <c r="BM8" s="26">
        <f>资产资本表!BM107</f>
        <v>958447557.20000005</v>
      </c>
      <c r="BN8" s="26">
        <f>资产资本表!BN107</f>
        <v>953188795.85000002</v>
      </c>
      <c r="BO8" s="26">
        <f>资产资本表!BO107</f>
        <v>886767969.73000002</v>
      </c>
      <c r="BP8" s="26">
        <f>资产资本表!BP107</f>
        <v>865381582.99000001</v>
      </c>
      <c r="BQ8" s="26">
        <f>资产资本表!BQ107</f>
        <v>853608578.19000006</v>
      </c>
      <c r="BR8" s="26">
        <f>资产资本表!BR107</f>
        <v>866147664.75999999</v>
      </c>
      <c r="BS8" s="26">
        <f>资产资本表!BS107</f>
        <v>836662103.75999999</v>
      </c>
      <c r="BT8" s="26">
        <f>资产资本表!BT107</f>
        <v>660083128.48000002</v>
      </c>
      <c r="BU8" s="26">
        <f>资产资本表!BU107</f>
        <v>640953422.96000004</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17994514915.529995</v>
      </c>
      <c r="F10" s="26">
        <f>资产资本表!F70</f>
        <v>16939741971.700005</v>
      </c>
      <c r="G10" s="26">
        <f>资产资本表!G70</f>
        <v>16923176671.170002</v>
      </c>
      <c r="H10" s="26">
        <f>资产资本表!H70</f>
        <v>15171259069.099998</v>
      </c>
      <c r="I10" s="26">
        <f>资产资本表!I70</f>
        <v>14913773349.100004</v>
      </c>
      <c r="J10" s="26">
        <f>资产资本表!J70</f>
        <v>12567222866.5</v>
      </c>
      <c r="K10" s="26">
        <f>资产资本表!K70</f>
        <v>11432516512.739994</v>
      </c>
      <c r="L10" s="26">
        <f>资产资本表!L70</f>
        <v>13835981162.129999</v>
      </c>
      <c r="M10" s="26">
        <f>资产资本表!M70</f>
        <v>13441840491.709999</v>
      </c>
      <c r="N10" s="26">
        <f>资产资本表!N70</f>
        <v>11593769769.26</v>
      </c>
      <c r="O10" s="26">
        <f>资产资本表!O70</f>
        <v>10628440626.480003</v>
      </c>
      <c r="P10" s="26">
        <f>资产资本表!P70</f>
        <v>11558717334.549999</v>
      </c>
      <c r="Q10" s="26">
        <f>资产资本表!Q70</f>
        <v>11198117884.400003</v>
      </c>
      <c r="R10" s="26">
        <f>资产资本表!R70</f>
        <v>9649847928.1399994</v>
      </c>
      <c r="S10" s="26">
        <f>资产资本表!S70</f>
        <v>9285295396.5100021</v>
      </c>
      <c r="T10" s="26">
        <f>资产资本表!T70</f>
        <v>9651100482.4399986</v>
      </c>
      <c r="U10" s="26">
        <f>资产资本表!U70</f>
        <v>9398007672.6700001</v>
      </c>
      <c r="V10" s="26">
        <f>资产资本表!V70</f>
        <v>8579024538.8100004</v>
      </c>
      <c r="W10" s="26">
        <f>资产资本表!W70</f>
        <v>8554326125.3400002</v>
      </c>
      <c r="X10" s="26">
        <f>资产资本表!X70</f>
        <v>8393343081.7799997</v>
      </c>
      <c r="Y10" s="26">
        <f>资产资本表!Y70</f>
        <v>8179066949.0500011</v>
      </c>
      <c r="Z10" s="26">
        <f>资产资本表!Z70</f>
        <v>7451955014.6300001</v>
      </c>
      <c r="AA10" s="26">
        <f>资产资本表!AA70</f>
        <v>6674654810.5200024</v>
      </c>
      <c r="AB10" s="26">
        <f>资产资本表!AB70</f>
        <v>6317384655.0100002</v>
      </c>
      <c r="AC10" s="26">
        <f>资产资本表!AC70</f>
        <v>3697595564.9000006</v>
      </c>
      <c r="AD10" s="26">
        <f>资产资本表!AD70</f>
        <v>3185711014.5000005</v>
      </c>
      <c r="AE10" s="26">
        <f>资产资本表!AE70</f>
        <v>3014767146.4700003</v>
      </c>
      <c r="AF10" s="26">
        <f>资产资本表!AF70</f>
        <v>2887495739.7399998</v>
      </c>
      <c r="AG10" s="26">
        <f>资产资本表!AG70</f>
        <v>2755395106.3399992</v>
      </c>
      <c r="AH10" s="26">
        <f>资产资本表!AH70</f>
        <v>2416268911.249999</v>
      </c>
      <c r="AI10" s="26">
        <f>资产资本表!AI70</f>
        <v>2168768068.8700004</v>
      </c>
      <c r="AJ10" s="26">
        <f>资产资本表!AJ70</f>
        <v>2498870743.4800005</v>
      </c>
      <c r="AK10" s="26">
        <f>资产资本表!AK70</f>
        <v>2405806364.4899998</v>
      </c>
      <c r="AL10" s="26">
        <f>资产资本表!AL70</f>
        <v>2357394140.8400002</v>
      </c>
      <c r="AM10" s="26">
        <f>资产资本表!AM70</f>
        <v>2193169185.5399995</v>
      </c>
      <c r="AN10" s="26">
        <f>资产资本表!AN70</f>
        <v>2188292535.0900002</v>
      </c>
      <c r="AO10" s="26">
        <f>资产资本表!AO70</f>
        <v>1830651923.3399994</v>
      </c>
      <c r="AP10" s="26">
        <f>资产资本表!AP70</f>
        <v>1739927471.3099995</v>
      </c>
      <c r="AQ10" s="26">
        <f>资产资本表!AQ70</f>
        <v>1811475331.9600003</v>
      </c>
      <c r="AR10" s="26">
        <f>资产资本表!AR70</f>
        <v>3049054758.8699999</v>
      </c>
      <c r="AS10" s="26">
        <f>资产资本表!AS70</f>
        <v>3795137483.3099995</v>
      </c>
      <c r="AT10" s="26">
        <f>资产资本表!AT70</f>
        <v>3345201421.4300003</v>
      </c>
      <c r="AU10" s="26">
        <f>资产资本表!AU70</f>
        <v>2037510666.8599999</v>
      </c>
      <c r="AV10" s="26">
        <f>资产资本表!AV70</f>
        <v>1827653321.0400002</v>
      </c>
      <c r="AW10" s="26">
        <f>资产资本表!AW70</f>
        <v>1369221225.9200001</v>
      </c>
      <c r="AX10" s="26">
        <f>资产资本表!AX70</f>
        <v>1241170819.6399996</v>
      </c>
      <c r="AY10" s="26">
        <f>资产资本表!AY70</f>
        <v>1183468200.3299999</v>
      </c>
      <c r="AZ10" s="26">
        <f>资产资本表!AZ70</f>
        <v>1406166204.9299998</v>
      </c>
      <c r="BA10" s="26">
        <f>资产资本表!BA70</f>
        <v>1374384860.6600003</v>
      </c>
      <c r="BB10" s="26">
        <f>资产资本表!BB70</f>
        <v>1326622436.5400002</v>
      </c>
      <c r="BC10" s="26">
        <f>资产资本表!BC70</f>
        <v>1259286368.4400001</v>
      </c>
      <c r="BD10" s="26">
        <f>资产资本表!BD70</f>
        <v>1320588902.0400004</v>
      </c>
      <c r="BE10" s="26">
        <f>资产资本表!BE70</f>
        <v>1342533874.8999999</v>
      </c>
      <c r="BF10" s="26">
        <f>资产资本表!BF70</f>
        <v>1346141328.1100001</v>
      </c>
      <c r="BG10" s="26">
        <f>资产资本表!BG70</f>
        <v>1235140841.3599999</v>
      </c>
      <c r="BH10" s="26">
        <f>资产资本表!BH70</f>
        <v>1259469693.7499998</v>
      </c>
      <c r="BI10" s="26">
        <f>资产资本表!BI70</f>
        <v>1304428344.27</v>
      </c>
      <c r="BJ10" s="26">
        <f>资产资本表!BJ70</f>
        <v>1165511828.0999999</v>
      </c>
      <c r="BK10" s="26">
        <f>资产资本表!BK70</f>
        <v>1082291568.5</v>
      </c>
      <c r="BL10" s="26">
        <f>资产资本表!BL70</f>
        <v>1070520116.6399999</v>
      </c>
      <c r="BM10" s="26">
        <f>资产资本表!BM70</f>
        <v>985941828.72000003</v>
      </c>
      <c r="BN10" s="26">
        <f>资产资本表!BN70</f>
        <v>1091218987.48</v>
      </c>
      <c r="BO10" s="26">
        <f>资产资本表!BO70</f>
        <v>1015231406.8599999</v>
      </c>
      <c r="BP10" s="26">
        <f>资产资本表!BP70</f>
        <v>1063859043.05</v>
      </c>
      <c r="BQ10" s="26">
        <f>资产资本表!BQ70</f>
        <v>1042850853.9200001</v>
      </c>
      <c r="BR10" s="26">
        <f>资产资本表!BR70</f>
        <v>1064160126.0500001</v>
      </c>
      <c r="BS10" s="26">
        <f>资产资本表!BS70</f>
        <v>1023359802.5</v>
      </c>
      <c r="BT10" s="26">
        <f>资产资本表!BT70</f>
        <v>757022751.67999995</v>
      </c>
      <c r="BU10" s="26">
        <f>资产资本表!BU70</f>
        <v>701323650.79999995</v>
      </c>
    </row>
    <row r="11" spans="1:74" s="63" customFormat="1" x14ac:dyDescent="0.25">
      <c r="A11" s="17" t="s">
        <v>347</v>
      </c>
      <c r="E11" s="63">
        <f>E4/E10</f>
        <v>4.5231835579938297E-2</v>
      </c>
      <c r="F11" s="63">
        <f t="shared" ref="F11:BQ11" si="3">F4/F10</f>
        <v>0.126151758454178</v>
      </c>
      <c r="G11" s="63">
        <f t="shared" si="3"/>
        <v>0.20171636825759093</v>
      </c>
      <c r="H11" s="63">
        <f t="shared" si="3"/>
        <v>0</v>
      </c>
      <c r="I11" s="63">
        <f t="shared" si="3"/>
        <v>0</v>
      </c>
      <c r="J11" s="63">
        <f t="shared" si="3"/>
        <v>1.2548469433161223E-4</v>
      </c>
      <c r="K11" s="63">
        <f t="shared" si="3"/>
        <v>0</v>
      </c>
      <c r="L11" s="63">
        <f t="shared" si="3"/>
        <v>7.3287478576177661E-4</v>
      </c>
      <c r="M11" s="63">
        <f t="shared" si="3"/>
        <v>4.744377419099036E-4</v>
      </c>
      <c r="N11" s="63">
        <f t="shared" si="3"/>
        <v>0</v>
      </c>
      <c r="O11" s="63">
        <f t="shared" si="3"/>
        <v>1.1943914019120089E-4</v>
      </c>
      <c r="P11" s="63">
        <f t="shared" si="3"/>
        <v>2.3347035331797581E-4</v>
      </c>
      <c r="Q11" s="63">
        <f t="shared" si="3"/>
        <v>3.6861407181204786E-4</v>
      </c>
      <c r="R11" s="63">
        <f t="shared" si="3"/>
        <v>2.612151204734954E-2</v>
      </c>
      <c r="S11" s="63">
        <f t="shared" si="3"/>
        <v>2.8159699425209163E-2</v>
      </c>
      <c r="T11" s="63">
        <f t="shared" si="3"/>
        <v>4.5899650974103721E-2</v>
      </c>
      <c r="U11" s="63">
        <f t="shared" si="3"/>
        <v>4.9556012045442972E-2</v>
      </c>
      <c r="V11" s="63">
        <f t="shared" si="3"/>
        <v>7.1653885409595539E-2</v>
      </c>
      <c r="W11" s="63">
        <f t="shared" si="3"/>
        <v>9.7297346119934E-2</v>
      </c>
      <c r="X11" s="63">
        <f t="shared" si="3"/>
        <v>7.4039667130848349E-2</v>
      </c>
      <c r="Y11" s="63">
        <f t="shared" si="3"/>
        <v>8.1334008792685972E-2</v>
      </c>
      <c r="Z11" s="63">
        <f t="shared" si="3"/>
        <v>5.8280078992339918E-2</v>
      </c>
      <c r="AA11" s="63">
        <f t="shared" si="3"/>
        <v>5.9892517248971523E-2</v>
      </c>
      <c r="AB11" s="63">
        <f t="shared" si="3"/>
        <v>6.2410636952005556E-2</v>
      </c>
      <c r="AC11" s="63">
        <f t="shared" si="3"/>
        <v>5.4448800599273997E-2</v>
      </c>
      <c r="AD11" s="63">
        <f t="shared" si="3"/>
        <v>5.8368155552610296E-2</v>
      </c>
      <c r="AE11" s="63">
        <f t="shared" si="3"/>
        <v>7.3218138000628014E-2</v>
      </c>
      <c r="AF11" s="63">
        <f t="shared" si="3"/>
        <v>5.8550744537279639E-2</v>
      </c>
      <c r="AG11" s="63">
        <f t="shared" si="3"/>
        <v>6.1349279092876963E-2</v>
      </c>
      <c r="AH11" s="63">
        <f t="shared" si="3"/>
        <v>7.2501273618329795E-2</v>
      </c>
      <c r="AI11" s="63">
        <f t="shared" si="3"/>
        <v>7.0033697812204532E-2</v>
      </c>
      <c r="AJ11" s="63">
        <f t="shared" si="3"/>
        <v>6.0963424601885266E-2</v>
      </c>
      <c r="AK11" s="63">
        <f t="shared" si="3"/>
        <v>6.4330463874555655E-2</v>
      </c>
      <c r="AL11" s="63">
        <f t="shared" si="3"/>
        <v>0.18453404809727381</v>
      </c>
      <c r="AM11" s="63">
        <f t="shared" si="3"/>
        <v>0.19429035921598695</v>
      </c>
      <c r="AN11" s="63">
        <f t="shared" si="3"/>
        <v>0.14989450112368521</v>
      </c>
      <c r="AO11" s="63">
        <f t="shared" si="3"/>
        <v>7.080710180748305E-2</v>
      </c>
      <c r="AP11" s="63">
        <f t="shared" si="3"/>
        <v>7.3080472672958391E-2</v>
      </c>
      <c r="AQ11" s="63">
        <f t="shared" si="3"/>
        <v>4.7343173951591912E-2</v>
      </c>
      <c r="AR11" s="63">
        <f t="shared" si="3"/>
        <v>0.33951404456365059</v>
      </c>
      <c r="AS11" s="63">
        <f t="shared" si="3"/>
        <v>0.25468482573837969</v>
      </c>
      <c r="AT11" s="63">
        <f t="shared" si="3"/>
        <v>0.36373408298979504</v>
      </c>
      <c r="AU11" s="63">
        <f t="shared" si="3"/>
        <v>0.23484427447313</v>
      </c>
      <c r="AV11" s="63">
        <f t="shared" si="3"/>
        <v>0.14773042397688438</v>
      </c>
      <c r="AW11" s="63">
        <f t="shared" si="3"/>
        <v>0</v>
      </c>
      <c r="AX11" s="63">
        <f t="shared" si="3"/>
        <v>0</v>
      </c>
      <c r="AY11" s="63">
        <f t="shared" si="3"/>
        <v>0</v>
      </c>
      <c r="AZ11" s="63">
        <f t="shared" si="3"/>
        <v>0</v>
      </c>
      <c r="BA11" s="63">
        <f t="shared" si="3"/>
        <v>0</v>
      </c>
      <c r="BB11" s="63">
        <f t="shared" si="3"/>
        <v>0</v>
      </c>
      <c r="BC11" s="63">
        <f t="shared" si="3"/>
        <v>0</v>
      </c>
      <c r="BD11" s="63">
        <f t="shared" si="3"/>
        <v>0</v>
      </c>
      <c r="BE11" s="63">
        <f t="shared" si="3"/>
        <v>3.5380857710974399E-2</v>
      </c>
      <c r="BF11" s="63">
        <f t="shared" si="3"/>
        <v>7.0943516855011976E-2</v>
      </c>
      <c r="BG11" s="63">
        <f t="shared" si="3"/>
        <v>0.10727521555687991</v>
      </c>
      <c r="BH11" s="63">
        <f t="shared" si="3"/>
        <v>0.10392794733334966</v>
      </c>
      <c r="BI11" s="63">
        <f t="shared" si="3"/>
        <v>0.14582594424261222</v>
      </c>
      <c r="BJ11" s="63">
        <f t="shared" si="3"/>
        <v>6.0059450545528109E-2</v>
      </c>
      <c r="BK11" s="63">
        <f t="shared" si="3"/>
        <v>7.391723480843139E-2</v>
      </c>
      <c r="BL11" s="63">
        <f t="shared" si="3"/>
        <v>6.5388775896810136E-2</v>
      </c>
      <c r="BM11" s="63">
        <f t="shared" si="3"/>
        <v>2.0285172428443389E-2</v>
      </c>
      <c r="BN11" s="63">
        <f t="shared" si="3"/>
        <v>8.6142196093085155E-2</v>
      </c>
      <c r="BO11" s="63">
        <f t="shared" si="3"/>
        <v>9.7514713720486854E-2</v>
      </c>
      <c r="BP11" s="63">
        <f t="shared" si="3"/>
        <v>9.3057440876918057E-2</v>
      </c>
      <c r="BQ11" s="63">
        <f t="shared" si="3"/>
        <v>9.4452624389907439E-2</v>
      </c>
      <c r="BR11" s="63">
        <f>BR4/BR10</f>
        <v>9.2561258018205361E-2</v>
      </c>
      <c r="BS11" s="63">
        <f>BS4/BS10</f>
        <v>9.6794425370249973E-2</v>
      </c>
      <c r="BT11" s="63">
        <f>BT4/BT10</f>
        <v>0.11791434980243842</v>
      </c>
      <c r="BU11" s="63">
        <f>BU4/BU10</f>
        <v>0.10476214082640772</v>
      </c>
      <c r="BV11" s="63" t="e">
        <f>BV4/BV10*100</f>
        <v>#DIV/0!</v>
      </c>
    </row>
    <row r="12" spans="1:74" s="63" customFormat="1" x14ac:dyDescent="0.25">
      <c r="A12" s="17" t="s">
        <v>348</v>
      </c>
      <c r="E12" s="63">
        <f>E8/E10</f>
        <v>0.8672563796705357</v>
      </c>
      <c r="F12" s="63">
        <f t="shared" ref="F12:BQ12" si="4">F8/F10</f>
        <v>0.78911077447294242</v>
      </c>
      <c r="G12" s="63">
        <f t="shared" si="4"/>
        <v>0.72470805344503264</v>
      </c>
      <c r="H12" s="63">
        <f t="shared" si="4"/>
        <v>0.92324081416737147</v>
      </c>
      <c r="I12" s="63">
        <f t="shared" si="4"/>
        <v>0.91721327748926051</v>
      </c>
      <c r="J12" s="63">
        <f t="shared" si="4"/>
        <v>0.94807285824304444</v>
      </c>
      <c r="K12" s="63">
        <f t="shared" si="4"/>
        <v>0.9485444080457307</v>
      </c>
      <c r="L12" s="63">
        <f t="shared" si="4"/>
        <v>0.96376046636993185</v>
      </c>
      <c r="M12" s="63">
        <f t="shared" si="4"/>
        <v>0.96262005910724224</v>
      </c>
      <c r="N12" s="63">
        <f t="shared" si="4"/>
        <v>0.97112036644131405</v>
      </c>
      <c r="O12" s="63">
        <f t="shared" si="4"/>
        <v>0.97162140402717789</v>
      </c>
      <c r="P12" s="63">
        <f t="shared" si="4"/>
        <v>0.97324013719797042</v>
      </c>
      <c r="Q12" s="63">
        <f t="shared" si="4"/>
        <v>0.9698571127930139</v>
      </c>
      <c r="R12" s="63">
        <f t="shared" si="4"/>
        <v>0.95759700043181217</v>
      </c>
      <c r="S12" s="63">
        <f t="shared" si="4"/>
        <v>0.95147364527472544</v>
      </c>
      <c r="T12" s="63">
        <f t="shared" si="4"/>
        <v>0.93773135545283814</v>
      </c>
      <c r="U12" s="63">
        <f t="shared" si="4"/>
        <v>0.93180866350815306</v>
      </c>
      <c r="V12" s="63">
        <f t="shared" si="4"/>
        <v>0.91103268213336153</v>
      </c>
      <c r="W12" s="63">
        <f t="shared" si="4"/>
        <v>0.88117939612226304</v>
      </c>
      <c r="X12" s="63">
        <f t="shared" si="4"/>
        <v>0.90524486807688842</v>
      </c>
      <c r="Y12" s="63">
        <f t="shared" si="4"/>
        <v>0.89491331949668984</v>
      </c>
      <c r="Z12" s="63">
        <f t="shared" si="4"/>
        <v>0.91714024160803953</v>
      </c>
      <c r="AA12" s="63">
        <f t="shared" si="4"/>
        <v>0.90603784742672833</v>
      </c>
      <c r="AB12" s="63">
        <f t="shared" si="4"/>
        <v>0.914590704298479</v>
      </c>
      <c r="AC12" s="63">
        <f t="shared" si="4"/>
        <v>0.90268525321542781</v>
      </c>
      <c r="AD12" s="63">
        <f t="shared" si="4"/>
        <v>0.90494973953325597</v>
      </c>
      <c r="AE12" s="63">
        <f t="shared" si="4"/>
        <v>0.89235034153135062</v>
      </c>
      <c r="AF12" s="63">
        <f t="shared" si="4"/>
        <v>0.90608381790567827</v>
      </c>
      <c r="AG12" s="63">
        <f t="shared" si="4"/>
        <v>0.902183846661466</v>
      </c>
      <c r="AH12" s="63">
        <f t="shared" si="4"/>
        <v>0.89014024232812961</v>
      </c>
      <c r="AI12" s="63">
        <f t="shared" si="4"/>
        <v>0.89266215373076196</v>
      </c>
      <c r="AJ12" s="63">
        <f t="shared" si="4"/>
        <v>0.90946495041398634</v>
      </c>
      <c r="AK12" s="63">
        <f t="shared" si="4"/>
        <v>0.90359181675904821</v>
      </c>
      <c r="AL12" s="63">
        <f t="shared" si="4"/>
        <v>0.81546595190272608</v>
      </c>
      <c r="AM12" s="63">
        <f t="shared" si="4"/>
        <v>0.8057096407840133</v>
      </c>
      <c r="AN12" s="63">
        <f t="shared" si="4"/>
        <v>0.8501054988763147</v>
      </c>
      <c r="AO12" s="63">
        <f t="shared" si="4"/>
        <v>0.92919289819251727</v>
      </c>
      <c r="AP12" s="63">
        <f t="shared" si="4"/>
        <v>0.92691952732704208</v>
      </c>
      <c r="AQ12" s="63">
        <f t="shared" si="4"/>
        <v>0.95265682604840796</v>
      </c>
      <c r="AR12" s="63">
        <f t="shared" si="4"/>
        <v>0.66048595543634947</v>
      </c>
      <c r="AS12" s="63">
        <f t="shared" si="4"/>
        <v>0.74531517426162053</v>
      </c>
      <c r="AT12" s="63">
        <f t="shared" si="4"/>
        <v>0.63626591701020485</v>
      </c>
      <c r="AU12" s="63">
        <f t="shared" si="4"/>
        <v>0.76515572552686995</v>
      </c>
      <c r="AV12" s="63">
        <f t="shared" si="4"/>
        <v>0.74286241838655864</v>
      </c>
      <c r="AW12" s="63">
        <f t="shared" si="4"/>
        <v>0.99495195639743617</v>
      </c>
      <c r="AX12" s="63">
        <f t="shared" si="4"/>
        <v>0.99169641725625735</v>
      </c>
      <c r="AY12" s="63">
        <f t="shared" si="4"/>
        <v>0.99287946774771796</v>
      </c>
      <c r="AZ12" s="63">
        <f t="shared" si="4"/>
        <v>0.99577174629915399</v>
      </c>
      <c r="BA12" s="63">
        <f t="shared" si="4"/>
        <v>0.99499064510453483</v>
      </c>
      <c r="BB12" s="63">
        <f t="shared" si="4"/>
        <v>0.97845069501118886</v>
      </c>
      <c r="BC12" s="63">
        <f t="shared" si="4"/>
        <v>0.99378411968383573</v>
      </c>
      <c r="BD12" s="63">
        <f t="shared" si="4"/>
        <v>0.91870449521864261</v>
      </c>
      <c r="BE12" s="63">
        <f t="shared" si="4"/>
        <v>0.95936956050806321</v>
      </c>
      <c r="BF12" s="63">
        <f t="shared" si="4"/>
        <v>0.91720799435934641</v>
      </c>
      <c r="BG12" s="63">
        <f t="shared" si="4"/>
        <v>0.8863667206442154</v>
      </c>
      <c r="BH12" s="63">
        <f t="shared" si="4"/>
        <v>0.89459458040254269</v>
      </c>
      <c r="BI12" s="63">
        <f t="shared" si="4"/>
        <v>0.84770946173270101</v>
      </c>
      <c r="BJ12" s="63">
        <f t="shared" si="4"/>
        <v>0.8977705731444735</v>
      </c>
      <c r="BK12" s="63">
        <f t="shared" si="4"/>
        <v>0.91801757821787922</v>
      </c>
      <c r="BL12" s="63">
        <f t="shared" si="4"/>
        <v>0.91820755916775998</v>
      </c>
      <c r="BM12" s="63">
        <f t="shared" si="4"/>
        <v>0.97211369807111803</v>
      </c>
      <c r="BN12" s="63">
        <f t="shared" si="4"/>
        <v>0.87350825708342994</v>
      </c>
      <c r="BO12" s="63">
        <f t="shared" si="4"/>
        <v>0.87346388590624546</v>
      </c>
      <c r="BP12" s="63">
        <f t="shared" si="4"/>
        <v>0.8134363181319767</v>
      </c>
      <c r="BQ12" s="63">
        <f t="shared" si="4"/>
        <v>0.81853370976429451</v>
      </c>
      <c r="BR12" s="63">
        <f>BR8/BR10</f>
        <v>0.8139260657839229</v>
      </c>
      <c r="BS12" s="63">
        <f>BS8/BS10</f>
        <v>0.8175639708693756</v>
      </c>
      <c r="BT12" s="63">
        <f>BT8/BT10</f>
        <v>0.87194622224382345</v>
      </c>
      <c r="BU12" s="63">
        <f>BU8/BU10</f>
        <v>0.91391958937769235</v>
      </c>
      <c r="BV12" s="63" t="e">
        <f>BV8/BV10*100</f>
        <v>#DIV/0!</v>
      </c>
    </row>
    <row r="13" spans="1:74" s="63" customFormat="1" x14ac:dyDescent="0.25">
      <c r="A13" s="63" t="s">
        <v>349</v>
      </c>
      <c r="E13" s="63">
        <f>E5*E11*(1-E6)+E9*E12</f>
        <v>0.10110477160874813</v>
      </c>
      <c r="F13" s="63">
        <f t="shared" ref="F13:J13" si="5">F5*F11*(1-F6)+F9*F12</f>
        <v>6.3128861957835389E-2</v>
      </c>
      <c r="G13" s="63">
        <f t="shared" si="5"/>
        <v>5.7976644275602611E-2</v>
      </c>
      <c r="H13" s="63">
        <f t="shared" si="5"/>
        <v>7.3859265133389723E-2</v>
      </c>
      <c r="I13" s="63">
        <f t="shared" si="5"/>
        <v>7.3377062199140849E-2</v>
      </c>
      <c r="J13" s="63">
        <f t="shared" si="5"/>
        <v>7.5845828659443559E-2</v>
      </c>
      <c r="K13" s="63">
        <f t="shared" ref="K13" si="6">K5*K11*(1-K6)+K9*K12</f>
        <v>7.5883552643658453E-2</v>
      </c>
      <c r="L13" s="63">
        <f t="shared" ref="L13" si="7">L5*L11*(1-L6)+L9*L12</f>
        <v>7.710083730959455E-2</v>
      </c>
      <c r="M13" s="63">
        <f t="shared" ref="M13" si="8">M5*M11*(1-M6)+M9*M12</f>
        <v>8.3736478165556877E-2</v>
      </c>
      <c r="N13" s="63">
        <f t="shared" ref="N13:O13" si="9">N5*N11*(1-N6)+N9*N12</f>
        <v>7.7689629315305125E-2</v>
      </c>
      <c r="O13" s="63">
        <f t="shared" si="9"/>
        <v>7.7729712322174238E-2</v>
      </c>
      <c r="P13" s="63">
        <f t="shared" ref="P13" si="10">P5*P11*(1-P6)+P9*P12</f>
        <v>7.7859210975837631E-2</v>
      </c>
      <c r="Q13" s="63">
        <f t="shared" ref="Q13" si="11">Q5*Q11*(1-Q6)+Q9*Q12</f>
        <v>7.7681888724945927E-2</v>
      </c>
      <c r="R13" s="63">
        <f t="shared" ref="R13" si="12">R5*R11*(1-R6)+R9*R12</f>
        <v>7.6607760034544975E-2</v>
      </c>
      <c r="S13" s="63">
        <f t="shared" ref="S13:T13" si="13">S5*S11*(1-S6)+S9*S12</f>
        <v>7.6117891621978032E-2</v>
      </c>
      <c r="T13" s="63">
        <f t="shared" si="13"/>
        <v>7.5018508436227052E-2</v>
      </c>
      <c r="U13" s="63">
        <f t="shared" ref="U13" si="14">U5*U11*(1-U6)+U9*U12</f>
        <v>7.6152490299023254E-2</v>
      </c>
      <c r="V13" s="63">
        <f t="shared" ref="V13" si="15">V5*V11*(1-V6)+V9*V12</f>
        <v>7.2882614570668927E-2</v>
      </c>
      <c r="W13" s="63">
        <f t="shared" ref="W13" si="16">W5*W11*(1-W6)+W9*W12</f>
        <v>7.0494351689781048E-2</v>
      </c>
      <c r="X13" s="63">
        <f t="shared" ref="X13:Y13" si="17">X5*X11*(1-X6)+X9*X12</f>
        <v>7.2419589446151081E-2</v>
      </c>
      <c r="Y13" s="63">
        <f t="shared" si="17"/>
        <v>7.3761089299823737E-2</v>
      </c>
      <c r="Z13" s="63">
        <f t="shared" ref="Z13" si="18">Z5*Z11*(1-Z6)+Z9*Z12</f>
        <v>7.337121932864317E-2</v>
      </c>
      <c r="AA13" s="63">
        <f t="shared" ref="AA13" si="19">AA5*AA11*(1-AA6)+AA9*AA12</f>
        <v>7.2483027794138274E-2</v>
      </c>
      <c r="AB13" s="63">
        <f t="shared" ref="AB13" si="20">AB5*AB11*(1-AB6)+AB9*AB12</f>
        <v>7.3167256343878315E-2</v>
      </c>
      <c r="AC13" s="63">
        <f t="shared" ref="AC13:AD13" si="21">AC5*AC11*(1-AC6)+AC9*AC12</f>
        <v>7.3006418581987517E-2</v>
      </c>
      <c r="AD13" s="63">
        <f t="shared" si="21"/>
        <v>7.2395979162660481E-2</v>
      </c>
      <c r="AE13" s="63">
        <f t="shared" ref="AE13" si="22">AE5*AE11*(1-AE6)+AE9*AE12</f>
        <v>7.1388027322508055E-2</v>
      </c>
      <c r="AF13" s="63">
        <f t="shared" ref="AF13" si="23">AF5*AF11*(1-AF6)+AF9*AF12</f>
        <v>7.2486705432454265E-2</v>
      </c>
      <c r="AG13" s="63">
        <f t="shared" ref="AG13" si="24">AG5*AG11*(1-AG6)+AG9*AG12</f>
        <v>7.401908471703636E-2</v>
      </c>
      <c r="AH13" s="63">
        <f t="shared" ref="AH13:AI13" si="25">AH5*AH11*(1-AH6)+AH9*AH12</f>
        <v>7.1211219386250371E-2</v>
      </c>
      <c r="AI13" s="63">
        <f t="shared" si="25"/>
        <v>7.1412972298460956E-2</v>
      </c>
      <c r="AJ13" s="63">
        <f t="shared" ref="AJ13" si="26">AJ5*AJ11*(1-AJ6)+AJ9*AJ12</f>
        <v>7.2757196033118907E-2</v>
      </c>
      <c r="AK13" s="63">
        <f t="shared" ref="AK13" si="27">AK5*AK11*(1-AK6)+AK9*AK12</f>
        <v>7.2287345340723855E-2</v>
      </c>
      <c r="AL13" s="63">
        <f t="shared" ref="AL13" si="28">AL5*AL11*(1-AL6)+AL9*AL12</f>
        <v>6.5237276152218082E-2</v>
      </c>
      <c r="AM13" s="63">
        <f t="shared" ref="AM13:AN13" si="29">AM5*AM11*(1-AM6)+AM9*AM12</f>
        <v>6.4456771262721063E-2</v>
      </c>
      <c r="AN13" s="63">
        <f t="shared" si="29"/>
        <v>6.8008439910105176E-2</v>
      </c>
      <c r="AO13" s="63">
        <f t="shared" ref="AO13" si="30">AO5*AO11*(1-AO6)+AO9*AO12</f>
        <v>7.4335431855401382E-2</v>
      </c>
      <c r="AP13" s="63">
        <f t="shared" ref="AP13" si="31">AP5*AP11*(1-AP6)+AP9*AP12</f>
        <v>7.4153562186163369E-2</v>
      </c>
      <c r="AQ13" s="63">
        <f t="shared" ref="AQ13" si="32">AQ5*AQ11*(1-AQ6)+AQ9*AQ12</f>
        <v>7.6212546083872637E-2</v>
      </c>
      <c r="AR13" s="63">
        <f t="shared" ref="AR13:AS13" si="33">AR5*AR11*(1-AR6)+AR9*AR12</f>
        <v>5.2838876434907957E-2</v>
      </c>
      <c r="AS13" s="63">
        <f t="shared" si="33"/>
        <v>5.9625213940929643E-2</v>
      </c>
      <c r="AT13" s="63">
        <f t="shared" ref="AT13" si="34">AT5*AT11*(1-AT6)+AT9*AT12</f>
        <v>5.0901273360816388E-2</v>
      </c>
      <c r="AU13" s="63">
        <f t="shared" ref="AU13" si="35">AU5*AU11*(1-AU6)+AU9*AU12</f>
        <v>6.1212458042149594E-2</v>
      </c>
      <c r="AV13" s="63">
        <f t="shared" ref="AV13" si="36">AV5*AV11*(1-AV6)+AV9*AV12</f>
        <v>5.9428993470924694E-2</v>
      </c>
      <c r="AW13" s="63">
        <f t="shared" ref="AW13:AX13" si="37">AW5*AW11*(1-AW6)+AW9*AW12</f>
        <v>7.9596156511794899E-2</v>
      </c>
      <c r="AX13" s="63">
        <f t="shared" si="37"/>
        <v>7.9335713380500592E-2</v>
      </c>
      <c r="AY13" s="63">
        <f t="shared" ref="AY13" si="38">AY5*AY11*(1-AY6)+AY9*AY12</f>
        <v>7.9430357419817438E-2</v>
      </c>
      <c r="AZ13" s="63">
        <f t="shared" ref="AZ13" si="39">AZ5*AZ11*(1-AZ6)+AZ9*AZ12</f>
        <v>7.9661739703932324E-2</v>
      </c>
      <c r="BA13" s="63">
        <f t="shared" ref="BA13" si="40">BA5*BA11*(1-BA6)+BA9*BA12</f>
        <v>7.9599251608362787E-2</v>
      </c>
      <c r="BB13" s="63">
        <f t="shared" ref="BB13:BC13" si="41">BB5*BB11*(1-BB6)+BB9*BB12</f>
        <v>7.8276055600895109E-2</v>
      </c>
      <c r="BC13" s="63">
        <f t="shared" si="41"/>
        <v>7.950272957470686E-2</v>
      </c>
      <c r="BD13" s="63">
        <f t="shared" ref="BD13" si="42">BD5*BD11*(1-BD6)+BD9*BD12</f>
        <v>7.3496359617491416E-2</v>
      </c>
      <c r="BE13" s="63">
        <f t="shared" ref="BE13" si="43">BE5*BE11*(1-BE6)+BE9*BE12</f>
        <v>7.674956484064506E-2</v>
      </c>
      <c r="BF13" s="63">
        <f t="shared" ref="BF13" si="44">BF5*BF11*(1-BF6)+BF9*BF12</f>
        <v>7.3376639548747721E-2</v>
      </c>
      <c r="BG13" s="63">
        <f t="shared" ref="BG13:BH13" si="45">BG5*BG11*(1-BG6)+BG9*BG12</f>
        <v>7.090933765153723E-2</v>
      </c>
      <c r="BH13" s="63">
        <f t="shared" si="45"/>
        <v>7.1567566432203411E-2</v>
      </c>
      <c r="BI13" s="63">
        <f t="shared" ref="BI13" si="46">BI5*BI11*(1-BI6)+BI9*BI12</f>
        <v>6.781675693861608E-2</v>
      </c>
      <c r="BJ13" s="63">
        <f t="shared" ref="BJ13" si="47">BJ5*BJ11*(1-BJ6)+BJ9*BJ12</f>
        <v>7.1821645851557883E-2</v>
      </c>
      <c r="BK13" s="63">
        <f t="shared" ref="BK13" si="48">BK5*BK11*(1-BK6)+BK9*BK12</f>
        <v>7.3441406257430342E-2</v>
      </c>
      <c r="BL13" s="63">
        <f t="shared" ref="BL13:BM13" si="49">BL5*BL11*(1-BL6)+BL9*BL12</f>
        <v>7.3456604733420805E-2</v>
      </c>
      <c r="BM13" s="63">
        <f t="shared" si="49"/>
        <v>7.7769095845689445E-2</v>
      </c>
      <c r="BN13" s="63">
        <f t="shared" ref="BN13" si="50">BN5*BN11*(1-BN6)+BN9*BN12</f>
        <v>6.9880660566674399E-2</v>
      </c>
      <c r="BO13" s="63">
        <f t="shared" ref="BO13" si="51">BO5*BO11*(1-BO6)+BO9*BO12</f>
        <v>6.9877110872499634E-2</v>
      </c>
      <c r="BP13" s="63">
        <f t="shared" ref="BP13" si="52">BP5*BP11*(1-BP6)+BP9*BP12</f>
        <v>6.5074905450558135E-2</v>
      </c>
      <c r="BQ13" s="63">
        <f t="shared" ref="BQ13:BR13" si="53">BQ5*BQ11*(1-BQ6)+BQ9*BQ12</f>
        <v>6.548269678114356E-2</v>
      </c>
      <c r="BR13" s="63">
        <f t="shared" si="53"/>
        <v>6.5114085262713839E-2</v>
      </c>
      <c r="BS13" s="63">
        <f t="shared" ref="BS13" si="54">BS5*BS11*(1-BS6)+BS9*BS12</f>
        <v>6.5405117669550053E-2</v>
      </c>
      <c r="BT13" s="63">
        <f t="shared" ref="BT13" si="55">BT5*BT11*(1-BT6)+BT9*BT12</f>
        <v>6.9755697779505882E-2</v>
      </c>
      <c r="BU13" s="63">
        <f t="shared" ref="BU13" si="56">BU5*BU11*(1-BU6)+BU9*BU12</f>
        <v>7.3113567150215386E-2</v>
      </c>
      <c r="BV13" s="63" t="e">
        <f t="shared" ref="BV13" si="57">BV5*BV11*(1-BV6)+BV9*BV12</f>
        <v>#DIV/0!</v>
      </c>
    </row>
    <row r="14" spans="1:74" s="16" customFormat="1" ht="56.4" customHeight="1" x14ac:dyDescent="0.25">
      <c r="A14" s="278" t="s">
        <v>668</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31"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19" bestFit="1" customWidth="1"/>
    <col min="66" max="68" width="21.44140625" hidden="1" customWidth="1"/>
    <col min="69" max="69" width="21.44140625" bestFit="1" customWidth="1"/>
    <col min="70" max="70" width="21.44140625" hidden="1" customWidth="1"/>
    <col min="71" max="71" width="21.44140625" bestFit="1" customWidth="1"/>
    <col min="72" max="72" width="19" hidden="1" customWidth="1"/>
    <col min="73" max="73" width="19" bestFit="1" customWidth="1"/>
    <col min="74" max="74" width="19" hidden="1" customWidth="1"/>
    <col min="75" max="75" width="19" bestFit="1" customWidth="1"/>
    <col min="76" max="76" width="19" hidden="1" customWidth="1"/>
    <col min="77" max="77" width="19" bestFit="1" customWidth="1"/>
    <col min="78" max="78" width="19" hidden="1" customWidth="1"/>
    <col min="79" max="79" width="19" bestFit="1" customWidth="1"/>
    <col min="80" max="81" width="17.77734375" bestFit="1" customWidth="1"/>
    <col min="82" max="82" width="9.5546875" hidden="1" customWidth="1"/>
    <col min="83" max="90" width="8.5546875" bestFit="1" customWidth="1"/>
  </cols>
  <sheetData>
    <row r="1" spans="1:90" s="26" customFormat="1"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89"/>
      <c r="CF1" s="189"/>
      <c r="CG1" s="189"/>
      <c r="CH1" s="189"/>
      <c r="CI1" s="189"/>
      <c r="CJ1" s="189"/>
      <c r="CK1" s="189"/>
      <c r="CL1" s="189"/>
    </row>
    <row r="2" spans="1:90" s="26" customFormat="1" x14ac:dyDescent="0.25">
      <c r="A2" s="41" t="s">
        <v>552</v>
      </c>
      <c r="E2" s="26">
        <f>资产资本表!E17</f>
        <v>3976997295.5899997</v>
      </c>
      <c r="F2" s="26">
        <f>资产资本表!F17</f>
        <v>3960449995.96</v>
      </c>
      <c r="G2" s="26">
        <f>资产资本表!G17</f>
        <v>4907885092.9200001</v>
      </c>
      <c r="H2" s="26">
        <f>资产资本表!H17</f>
        <v>5193625214.5100002</v>
      </c>
      <c r="I2" s="26">
        <f>资产资本表!I17</f>
        <v>6983426374.2299995</v>
      </c>
      <c r="J2" s="26">
        <f>资产资本表!J17</f>
        <v>3688624867.52</v>
      </c>
      <c r="K2" s="26">
        <f>资产资本表!K17</f>
        <v>3571046744.9400001</v>
      </c>
      <c r="L2" s="26">
        <f>资产资本表!L17</f>
        <v>5871908451.3799992</v>
      </c>
      <c r="M2" s="26">
        <f>资产资本表!M17</f>
        <v>8386595919.6700001</v>
      </c>
      <c r="N2" s="26">
        <f>资产资本表!N17</f>
        <v>6978660244.5200005</v>
      </c>
      <c r="O2" s="26">
        <f>资产资本表!O17</f>
        <v>6035992308.6100006</v>
      </c>
      <c r="P2" s="26">
        <f>资产资本表!P17</f>
        <v>5203338139.7200003</v>
      </c>
      <c r="Q2" s="26">
        <f>资产资本表!Q17</f>
        <v>6189105008.1799994</v>
      </c>
      <c r="R2" s="26">
        <f>资产资本表!R17</f>
        <v>5040194733.6000004</v>
      </c>
      <c r="S2" s="26">
        <f>资产资本表!S17</f>
        <v>4654986171.3600006</v>
      </c>
      <c r="T2" s="26">
        <f>资产资本表!T17</f>
        <v>3904376246.1899996</v>
      </c>
      <c r="U2" s="26">
        <f>资产资本表!U17</f>
        <v>4213036342.4400001</v>
      </c>
      <c r="V2" s="26">
        <f>资产资本表!V17</f>
        <v>4834293425.9199991</v>
      </c>
      <c r="W2" s="26">
        <f>资产资本表!W17</f>
        <v>4104392771.1100001</v>
      </c>
      <c r="X2" s="26">
        <f>资产资本表!X17</f>
        <v>3024395178.2399998</v>
      </c>
      <c r="Y2" s="26">
        <f>资产资本表!Y17</f>
        <v>3054544210.8400002</v>
      </c>
      <c r="Z2" s="26">
        <f>资产资本表!Z17</f>
        <v>4587408555.5200005</v>
      </c>
      <c r="AA2" s="26">
        <f>资产资本表!AA17</f>
        <v>4528961474.6000004</v>
      </c>
      <c r="AB2" s="26">
        <f>资产资本表!AB17</f>
        <v>4391132805.5200005</v>
      </c>
      <c r="AC2" s="26">
        <f>资产资本表!AC17</f>
        <v>1488077242.97</v>
      </c>
      <c r="AD2" s="26">
        <f>资产资本表!AD17</f>
        <v>1294979686.6100001</v>
      </c>
      <c r="AE2" s="26">
        <f>资产资本表!AE17</f>
        <v>1083792649.95</v>
      </c>
      <c r="AF2" s="26">
        <f>资产资本表!AF17</f>
        <v>1383178468.9099998</v>
      </c>
      <c r="AG2" s="26">
        <f>资产资本表!AG17</f>
        <v>1457110361.0999999</v>
      </c>
      <c r="AH2" s="26">
        <f>资产资本表!AH17</f>
        <v>2512186031.3000002</v>
      </c>
      <c r="AI2" s="26">
        <f>资产资本表!AI17</f>
        <v>1352623750.3</v>
      </c>
      <c r="AJ2" s="26">
        <f>资产资本表!AJ17</f>
        <v>1847535418.04</v>
      </c>
      <c r="AK2" s="26">
        <f>资产资本表!AK17</f>
        <v>1594375316.79</v>
      </c>
      <c r="AL2" s="26">
        <f>资产资本表!AL17</f>
        <v>2587611132.3099999</v>
      </c>
      <c r="AM2" s="26">
        <f>资产资本表!AM17</f>
        <v>2025112302.1900001</v>
      </c>
      <c r="AN2" s="26">
        <f>资产资本表!AN17</f>
        <v>1761502668.3499999</v>
      </c>
      <c r="AO2" s="26">
        <f>资产资本表!AO17</f>
        <v>1715547420.3599999</v>
      </c>
      <c r="AP2" s="26">
        <f>资产资本表!AP17</f>
        <v>1577481286.3699999</v>
      </c>
      <c r="AQ2" s="26">
        <f>资产资本表!AQ17</f>
        <v>1859314199.6900001</v>
      </c>
      <c r="AR2" s="26">
        <f>资产资本表!AR17</f>
        <v>3131084021.5700002</v>
      </c>
      <c r="AS2" s="26">
        <f>资产资本表!AS17</f>
        <v>3895745905.1599998</v>
      </c>
      <c r="AT2" s="26">
        <f>资产资本表!AT17</f>
        <v>3502173593.0799999</v>
      </c>
      <c r="AU2" s="26">
        <f>资产资本表!AU17</f>
        <v>1892510833.71</v>
      </c>
      <c r="AV2" s="26">
        <f>资产资本表!AV17</f>
        <v>1751926237.4200001</v>
      </c>
      <c r="AW2" s="26">
        <f>资产资本表!AW17</f>
        <v>1373805633.4099998</v>
      </c>
      <c r="AX2" s="26">
        <f>资产资本表!AX17</f>
        <v>1024951639.39</v>
      </c>
      <c r="AY2" s="26">
        <f>资产资本表!AY17</f>
        <v>964735204.00999999</v>
      </c>
      <c r="AZ2" s="26">
        <f>资产资本表!AZ17</f>
        <v>961985280.38</v>
      </c>
      <c r="BA2" s="26">
        <f>资产资本表!BA17</f>
        <v>872569143.07000005</v>
      </c>
      <c r="BB2" s="26">
        <f>资产资本表!BB17</f>
        <v>799623336.34000003</v>
      </c>
      <c r="BC2" s="26">
        <f>资产资本表!BC17</f>
        <v>562148887.16000009</v>
      </c>
      <c r="BD2" s="26">
        <f>资产资本表!BD17</f>
        <v>482767658.93000001</v>
      </c>
      <c r="BE2" s="26">
        <f>资产资本表!BE17</f>
        <v>577133671.28999996</v>
      </c>
      <c r="BF2" s="26">
        <f>资产资本表!BF17</f>
        <v>458162640.56</v>
      </c>
      <c r="BG2" s="26">
        <f>资产资本表!BG17</f>
        <v>287328958.17000002</v>
      </c>
      <c r="BH2" s="26">
        <f>资产资本表!BH17</f>
        <v>359617436.23000002</v>
      </c>
      <c r="BI2" s="26">
        <f>资产资本表!BI17</f>
        <v>516861673.04000002</v>
      </c>
      <c r="BJ2" s="26">
        <f>资产资本表!BJ17</f>
        <v>396608342.91000003</v>
      </c>
      <c r="BK2" s="26">
        <f>资产资本表!BK17</f>
        <v>359749413.24000001</v>
      </c>
      <c r="BL2" s="26">
        <f>资产资本表!BL17</f>
        <v>433044126.39999998</v>
      </c>
      <c r="BM2" s="26">
        <f>资产资本表!BM17</f>
        <v>415568093.60000002</v>
      </c>
      <c r="BN2" s="26">
        <f>资产资本表!BN17</f>
        <v>536574453.91000003</v>
      </c>
      <c r="BO2" s="26">
        <f>资产资本表!BO17</f>
        <v>425485112.55000001</v>
      </c>
      <c r="BP2" s="26">
        <f>资产资本表!BP17</f>
        <v>415212526.77000004</v>
      </c>
      <c r="BQ2" s="26">
        <f>资产资本表!BQ17</f>
        <v>449478194.47000003</v>
      </c>
      <c r="BR2" s="26">
        <f>资产资本表!BR17</f>
        <v>517305400.39999998</v>
      </c>
      <c r="BS2" s="26">
        <f>资产资本表!BS17</f>
        <v>476235636.63999999</v>
      </c>
      <c r="BT2" s="26">
        <f>资产资本表!BT17</f>
        <v>90907121.170000002</v>
      </c>
      <c r="BU2" s="26">
        <f>资产资本表!BU17</f>
        <v>68570834.799999997</v>
      </c>
      <c r="BV2" s="26">
        <f>资产资本表!BV17</f>
        <v>152447754.03</v>
      </c>
      <c r="BW2" s="26">
        <f>资产资本表!BW17</f>
        <v>143241194.19999999</v>
      </c>
      <c r="BX2" s="26">
        <f>资产资本表!BX17</f>
        <v>53300418.030000001</v>
      </c>
      <c r="BY2" s="26">
        <f>资产资本表!BY17</f>
        <v>143600869.80000001</v>
      </c>
      <c r="BZ2" s="26">
        <f>资产资本表!BZ17</f>
        <v>0</v>
      </c>
      <c r="CA2" s="26">
        <f>资产资本表!CA17</f>
        <v>32520083</v>
      </c>
      <c r="CB2" s="26">
        <f>资产资本表!CB17</f>
        <v>12605622</v>
      </c>
      <c r="CC2" s="26">
        <f>资产资本表!CC17</f>
        <v>8695672</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664494468.41999996</v>
      </c>
      <c r="F3" s="26">
        <f>资产资本表!F19</f>
        <v>670939921.27999997</v>
      </c>
      <c r="G3" s="26">
        <f>资产资本表!G19</f>
        <v>372682522.97000003</v>
      </c>
      <c r="H3" s="26">
        <f>资产资本表!H19</f>
        <v>335456622.17000002</v>
      </c>
      <c r="I3" s="26">
        <f>资产资本表!I19</f>
        <v>321640929.30000001</v>
      </c>
      <c r="J3" s="26">
        <f>资产资本表!J19</f>
        <v>304416697.56</v>
      </c>
      <c r="K3" s="26">
        <f>资产资本表!K19</f>
        <v>296272506.47000003</v>
      </c>
      <c r="L3" s="26">
        <f>资产资本表!L19</f>
        <v>290000000</v>
      </c>
      <c r="M3" s="26">
        <f>资产资本表!M19</f>
        <v>0</v>
      </c>
      <c r="N3" s="26">
        <f>资产资本表!N19</f>
        <v>0</v>
      </c>
      <c r="O3" s="26">
        <f>资产资本表!O19</f>
        <v>0</v>
      </c>
      <c r="P3" s="26">
        <f>资产资本表!P19</f>
        <v>0</v>
      </c>
      <c r="Q3" s="26">
        <f>资产资本表!Q19</f>
        <v>0</v>
      </c>
      <c r="R3" s="26">
        <f>资产资本表!R19</f>
        <v>0</v>
      </c>
      <c r="S3" s="26">
        <f>资产资本表!S19</f>
        <v>149047800</v>
      </c>
      <c r="T3" s="26">
        <f>资产资本表!T19</f>
        <v>142377800</v>
      </c>
      <c r="U3" s="26">
        <f>资产资本表!U19</f>
        <v>142377800</v>
      </c>
      <c r="V3" s="26">
        <f>资产资本表!V19</f>
        <v>142377800</v>
      </c>
      <c r="W3" s="26">
        <f>资产资本表!W19</f>
        <v>142377800</v>
      </c>
      <c r="X3" s="26">
        <f>资产资本表!X19</f>
        <v>142377800</v>
      </c>
      <c r="Y3" s="26">
        <f>资产资本表!Y19</f>
        <v>142377800</v>
      </c>
      <c r="Z3" s="26">
        <f>资产资本表!Z19</f>
        <v>160308500</v>
      </c>
      <c r="AA3" s="26">
        <f>资产资本表!AA19</f>
        <v>160308500</v>
      </c>
      <c r="AB3" s="26">
        <f>资产资本表!AB19</f>
        <v>160308500</v>
      </c>
      <c r="AC3" s="26">
        <f>资产资本表!AC19</f>
        <v>85308500</v>
      </c>
      <c r="AD3" s="26">
        <f>资产资本表!AD19</f>
        <v>85308500</v>
      </c>
      <c r="AE3" s="26">
        <f>资产资本表!AE19</f>
        <v>85308500</v>
      </c>
      <c r="AF3" s="26">
        <f>资产资本表!AF19</f>
        <v>83094500</v>
      </c>
      <c r="AG3" s="26">
        <f>资产资本表!AG19</f>
        <v>83094500</v>
      </c>
      <c r="AH3" s="26">
        <f>资产资本表!AH19</f>
        <v>83194500</v>
      </c>
      <c r="AI3" s="26">
        <f>资产资本表!AI19</f>
        <v>83194500</v>
      </c>
      <c r="AJ3" s="26">
        <f>资产资本表!AJ19</f>
        <v>83194500</v>
      </c>
      <c r="AK3" s="26">
        <f>资产资本表!AK19</f>
        <v>83194500</v>
      </c>
      <c r="AL3" s="26">
        <f>资产资本表!AL19</f>
        <v>99054500</v>
      </c>
      <c r="AM3" s="26">
        <f>资产资本表!AM19</f>
        <v>99929500</v>
      </c>
      <c r="AN3" s="26">
        <f>资产资本表!AN19</f>
        <v>132489814.95</v>
      </c>
      <c r="AO3" s="26">
        <f>资产资本表!AO19</f>
        <v>132823313.09999999</v>
      </c>
      <c r="AP3" s="26">
        <f>资产资本表!AP19</f>
        <v>138518173.62</v>
      </c>
      <c r="AQ3" s="26">
        <f>资产资本表!AQ19</f>
        <v>48918601.030000001</v>
      </c>
      <c r="AR3" s="26">
        <f>资产资本表!AR19</f>
        <v>50351070.5</v>
      </c>
      <c r="AS3" s="26">
        <f>资产资本表!AS19</f>
        <v>68628986.680000007</v>
      </c>
      <c r="AT3" s="26">
        <f>资产资本表!AT19</f>
        <v>88769682.420000002</v>
      </c>
      <c r="AU3" s="26">
        <f>资产资本表!AU19</f>
        <v>89213891.769999996</v>
      </c>
      <c r="AV3" s="26">
        <f>资产资本表!AV19</f>
        <v>86994412.819999993</v>
      </c>
      <c r="AW3" s="26">
        <f>资产资本表!AW19</f>
        <v>57454828.520000003</v>
      </c>
      <c r="AX3" s="26">
        <f>资产资本表!AX19</f>
        <v>54962097.950000003</v>
      </c>
      <c r="AY3" s="26">
        <f>资产资本表!AY19</f>
        <v>51940081.740000002</v>
      </c>
      <c r="AZ3" s="26">
        <f>资产资本表!AZ19</f>
        <v>66109941.840000004</v>
      </c>
      <c r="BA3" s="26">
        <f>资产资本表!BA19</f>
        <v>65088181.200000003</v>
      </c>
      <c r="BB3" s="26">
        <f>资产资本表!BB19</f>
        <v>63987870.460000001</v>
      </c>
      <c r="BC3" s="26">
        <f>资产资本表!BC19</f>
        <v>62445047.329999998</v>
      </c>
      <c r="BD3" s="26">
        <f>资产资本表!BD19</f>
        <v>61431052.68</v>
      </c>
      <c r="BE3" s="26">
        <f>资产资本表!BE19</f>
        <v>60780691.920000002</v>
      </c>
      <c r="BF3" s="26">
        <f>资产资本表!BF19</f>
        <v>79279399.219999999</v>
      </c>
      <c r="BG3" s="26">
        <f>资产资本表!BG19</f>
        <v>34200848.210000001</v>
      </c>
      <c r="BH3" s="26">
        <f>资产资本表!BH19</f>
        <v>39831930.219999999</v>
      </c>
      <c r="BI3" s="26">
        <f>资产资本表!BI19</f>
        <v>29631930.219999999</v>
      </c>
      <c r="BJ3" s="26">
        <f>资产资本表!BJ19</f>
        <v>35680428.380000003</v>
      </c>
      <c r="BK3" s="26">
        <f>资产资本表!BK19</f>
        <v>23680428.379999999</v>
      </c>
      <c r="BL3" s="26">
        <f>资产资本表!BL19</f>
        <v>15675534.42</v>
      </c>
      <c r="BM3" s="26">
        <f>资产资本表!BM19</f>
        <v>10171425.68</v>
      </c>
      <c r="BN3" s="26">
        <f>资产资本表!BN19</f>
        <v>0</v>
      </c>
      <c r="BO3" s="26">
        <f>资产资本表!BO19</f>
        <v>4000000</v>
      </c>
      <c r="BP3" s="26">
        <f>资产资本表!BP19</f>
        <v>0</v>
      </c>
      <c r="BQ3" s="26">
        <f>资产资本表!BQ19</f>
        <v>0</v>
      </c>
      <c r="BR3" s="26">
        <f>资产资本表!BR19</f>
        <v>0</v>
      </c>
      <c r="BS3" s="26">
        <f>资产资本表!BS19</f>
        <v>1270</v>
      </c>
      <c r="BT3" s="26">
        <f>资产资本表!BT19</f>
        <v>22540</v>
      </c>
      <c r="BU3" s="26">
        <f>资产资本表!BU19</f>
        <v>0</v>
      </c>
      <c r="BV3" s="26">
        <f>资产资本表!BV19</f>
        <v>21605958</v>
      </c>
      <c r="BW3" s="26">
        <f>资产资本表!BW19</f>
        <v>21605958</v>
      </c>
      <c r="BX3" s="26">
        <f>资产资本表!BX19</f>
        <v>31600000</v>
      </c>
      <c r="BY3" s="26">
        <f>资产资本表!BY19</f>
        <v>31600000</v>
      </c>
      <c r="BZ3" s="26">
        <f>资产资本表!BZ19</f>
        <v>0</v>
      </c>
      <c r="CA3" s="26">
        <f>资产资本表!CA19</f>
        <v>118047</v>
      </c>
      <c r="CB3" s="26">
        <f>资产资本表!CB19</f>
        <v>223487</v>
      </c>
      <c r="CC3" s="26">
        <f>资产资本表!CC19</f>
        <v>250511</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6632211689.5199966</v>
      </c>
      <c r="F4" s="26">
        <f>资产资本表!F50</f>
        <v>5749744331.0400047</v>
      </c>
      <c r="G4" s="26">
        <f>资产资本表!G50</f>
        <v>5086373034.7200031</v>
      </c>
      <c r="H4" s="26">
        <f>资产资本表!H50</f>
        <v>2952369490.7999973</v>
      </c>
      <c r="I4" s="26">
        <f>资产资本表!I50</f>
        <v>697252411.12000275</v>
      </c>
      <c r="J4" s="26">
        <f>资产资本表!J50</f>
        <v>1760523344.3500004</v>
      </c>
      <c r="K4" s="26">
        <f>资产资本表!K50</f>
        <v>887543380.50999451</v>
      </c>
      <c r="L4" s="26">
        <f>资产资本表!L50</f>
        <v>994055257.38999939</v>
      </c>
      <c r="M4" s="26">
        <f>资产资本表!M50</f>
        <v>-1722122269.4799995</v>
      </c>
      <c r="N4" s="26">
        <f>资产资本表!N50</f>
        <v>-2037684009.4699993</v>
      </c>
      <c r="O4" s="26">
        <f>资产资本表!O50</f>
        <v>-2166976629.5999985</v>
      </c>
      <c r="P4" s="26">
        <f>资产资本表!P50</f>
        <v>-378482594.11000061</v>
      </c>
      <c r="Q4" s="26">
        <f>资产资本表!Q50</f>
        <v>-1438826134.7099972</v>
      </c>
      <c r="R4" s="26">
        <f>资产资本表!R50</f>
        <v>268114678.13999939</v>
      </c>
      <c r="S4" s="26">
        <f>资产资本表!S50</f>
        <v>212578710.98000145</v>
      </c>
      <c r="T4" s="26">
        <f>资产资本表!T50</f>
        <v>1297238980.2699995</v>
      </c>
      <c r="U4" s="26">
        <f>资产资本表!U50</f>
        <v>741248249.61999989</v>
      </c>
      <c r="V4" s="26">
        <f>资产资本表!V50</f>
        <v>-571464350.88999939</v>
      </c>
      <c r="W4" s="26">
        <f>资产资本表!W50</f>
        <v>138345929.42999935</v>
      </c>
      <c r="X4" s="26">
        <f>资产资本表!X50</f>
        <v>1053618141.2699995</v>
      </c>
      <c r="Y4" s="26">
        <f>资产资本表!Y50</f>
        <v>861840675.18000126</v>
      </c>
      <c r="Z4" s="26">
        <f>资产资本表!Z50</f>
        <v>-619008164.57000065</v>
      </c>
      <c r="AA4" s="26">
        <f>资产资本表!AA50</f>
        <v>-856929092.79999828</v>
      </c>
      <c r="AB4" s="26">
        <f>资产资本表!AB50</f>
        <v>-415944058.1600008</v>
      </c>
      <c r="AC4" s="26">
        <f>资产资本表!AC50</f>
        <v>145214588.19000053</v>
      </c>
      <c r="AD4" s="26">
        <f>资产资本表!AD50</f>
        <v>-159471271.15999985</v>
      </c>
      <c r="AE4" s="26">
        <f>资产资本表!AE50</f>
        <v>-29912859.669999599</v>
      </c>
      <c r="AF4" s="26">
        <f>资产资本表!AF50</f>
        <v>-77508675.539999962</v>
      </c>
      <c r="AG4" s="26">
        <f>资产资本表!AG50</f>
        <v>-303547016.09000063</v>
      </c>
      <c r="AH4" s="26">
        <f>资产资本表!AH50</f>
        <v>-1674892775.420001</v>
      </c>
      <c r="AI4" s="26">
        <f>资产资本表!AI50</f>
        <v>-731253925.83999968</v>
      </c>
      <c r="AJ4" s="26">
        <f>资产资本表!AJ50</f>
        <v>-847117085.12999964</v>
      </c>
      <c r="AK4" s="26">
        <f>资产资本表!AK50</f>
        <v>-698513693.6500001</v>
      </c>
      <c r="AL4" s="26">
        <f>资产资本表!AL50</f>
        <v>-1734662526.0399997</v>
      </c>
      <c r="AM4" s="26">
        <f>资产资本表!AM50</f>
        <v>-1348904034.8300004</v>
      </c>
      <c r="AN4" s="26">
        <f>资产资本表!AN50</f>
        <v>-1066354487.5900002</v>
      </c>
      <c r="AO4" s="26">
        <f>资产资本表!AO50</f>
        <v>-1369028842.8400006</v>
      </c>
      <c r="AP4" s="26">
        <f>资产资本表!AP50</f>
        <v>-1236713907.6500001</v>
      </c>
      <c r="AQ4" s="26">
        <f>资产资本表!AQ50</f>
        <v>-1180527212.0999999</v>
      </c>
      <c r="AR4" s="26">
        <f>资产资本表!AR50</f>
        <v>-1127582282.3400002</v>
      </c>
      <c r="AS4" s="26">
        <f>资产资本表!AS50</f>
        <v>-697498167.19000006</v>
      </c>
      <c r="AT4" s="26">
        <f>资产资本表!AT50</f>
        <v>-762146856.90999985</v>
      </c>
      <c r="AU4" s="26">
        <f>资产资本表!AU50</f>
        <v>-667775009.25</v>
      </c>
      <c r="AV4" s="26">
        <f>资产资本表!AV50</f>
        <v>-785586976.41999984</v>
      </c>
      <c r="AW4" s="26">
        <f>资产资本表!AW50</f>
        <v>-809885138.36999989</v>
      </c>
      <c r="AX4" s="26">
        <f>资产资本表!AX50</f>
        <v>-494187772.15000033</v>
      </c>
      <c r="AY4" s="26">
        <f>资产资本表!AY50</f>
        <v>-429036715.30999994</v>
      </c>
      <c r="AZ4" s="26">
        <f>资产资本表!AZ50</f>
        <v>-231007772.54999995</v>
      </c>
      <c r="BA4" s="26">
        <f>资产资本表!BA50</f>
        <v>-191857929.44999981</v>
      </c>
      <c r="BB4" s="26">
        <f>资产资本表!BB50</f>
        <v>-163027740.62999988</v>
      </c>
      <c r="BC4" s="26">
        <f>资产资本表!BC50</f>
        <v>10982383.540000081</v>
      </c>
      <c r="BD4" s="26">
        <f>资产资本表!BD50</f>
        <v>140586376.89000022</v>
      </c>
      <c r="BE4" s="26">
        <f>资产资本表!BE50</f>
        <v>54465647</v>
      </c>
      <c r="BF4" s="26">
        <f>资产资本表!BF50</f>
        <v>-59948238.980000019</v>
      </c>
      <c r="BG4" s="26">
        <f>资产资本表!BG50</f>
        <v>281077808.69999993</v>
      </c>
      <c r="BH4" s="26">
        <f>资产资本表!BH50</f>
        <v>231038469.12999976</v>
      </c>
      <c r="BI4" s="26">
        <f>资产资本表!BI50</f>
        <v>138632610.71999991</v>
      </c>
      <c r="BJ4" s="26">
        <f>资产资本表!BJ50</f>
        <v>190162353.26999998</v>
      </c>
      <c r="BK4" s="26">
        <f>资产资本表!BK50</f>
        <v>199467175.28000009</v>
      </c>
      <c r="BL4" s="26">
        <f>资产资本表!BL50</f>
        <v>146405302.16999996</v>
      </c>
      <c r="BM4" s="26">
        <f>资产资本表!BM50</f>
        <v>89763886.290000081</v>
      </c>
      <c r="BN4" s="26">
        <f>资产资本表!BN50</f>
        <v>73110805.059999943</v>
      </c>
      <c r="BO4" s="26">
        <f>资产资本表!BO50</f>
        <v>143717062.28999984</v>
      </c>
      <c r="BP4" s="26">
        <f>资产资本表!BP50</f>
        <v>195592001.18999994</v>
      </c>
      <c r="BQ4" s="26">
        <f>资产资本表!BQ50</f>
        <v>138273991.82999998</v>
      </c>
      <c r="BR4" s="26">
        <f>资产资本表!BR50</f>
        <v>82145921.070000052</v>
      </c>
      <c r="BS4" s="26">
        <f>资产资本表!BS50</f>
        <v>87966551.810000002</v>
      </c>
      <c r="BT4" s="26">
        <f>资产资本表!BT50</f>
        <v>170177642.30000001</v>
      </c>
      <c r="BU4" s="26">
        <f>资产资本表!BU50</f>
        <v>143471144.71000004</v>
      </c>
      <c r="BV4" s="26">
        <f>资产资本表!BV50</f>
        <v>94868676.709999979</v>
      </c>
      <c r="BW4" s="26">
        <f>资产资本表!BW50</f>
        <v>99069598.270000011</v>
      </c>
      <c r="BX4" s="26">
        <f>资产资本表!BX50</f>
        <v>105629248.48000002</v>
      </c>
      <c r="BY4" s="26">
        <f>资产资本表!BY50</f>
        <v>71024635.000000015</v>
      </c>
      <c r="BZ4" s="26">
        <f>资产资本表!BZ50</f>
        <v>0</v>
      </c>
      <c r="CA4" s="26">
        <f>资产资本表!CA50</f>
        <v>35686532</v>
      </c>
      <c r="CB4" s="26">
        <f>资产资本表!CB50</f>
        <v>25249001</v>
      </c>
      <c r="CC4" s="26">
        <f>资产资本表!CC50</f>
        <v>13082090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24784212284.809998</v>
      </c>
      <c r="F5" s="26">
        <f>资产资本表!F33</f>
        <v>20051256753.920002</v>
      </c>
      <c r="G5" s="26">
        <f>资产资本表!G33</f>
        <v>18725112771.390003</v>
      </c>
      <c r="H5" s="26">
        <f>资产资本表!H33</f>
        <v>17167282430.389999</v>
      </c>
      <c r="I5" s="26">
        <f>资产资本表!I33</f>
        <v>20936201246.130001</v>
      </c>
      <c r="J5" s="26">
        <f>资产资本表!J33</f>
        <v>17082772298.740002</v>
      </c>
      <c r="K5" s="26">
        <f>资产资本表!K33</f>
        <v>15040906883.469995</v>
      </c>
      <c r="L5" s="26">
        <f>资产资本表!L33</f>
        <v>14579955068.58</v>
      </c>
      <c r="M5" s="26">
        <f>资产资本表!M33</f>
        <v>14975168550.390001</v>
      </c>
      <c r="N5" s="26">
        <f>资产资本表!N33</f>
        <v>11896322338.75</v>
      </c>
      <c r="O5" s="26">
        <f>资产资本表!O33</f>
        <v>9984274961.5</v>
      </c>
      <c r="P5" s="26">
        <f>资产资本表!P33</f>
        <v>10436344142.820002</v>
      </c>
      <c r="Q5" s="26">
        <f>资产资本表!Q33</f>
        <v>11183431790.440001</v>
      </c>
      <c r="R5" s="26">
        <f>资产资本表!R33</f>
        <v>8991496230.0900002</v>
      </c>
      <c r="S5" s="26">
        <f>资产资本表!S33</f>
        <v>7191525777.8700008</v>
      </c>
      <c r="T5" s="26">
        <f>资产资本表!T33</f>
        <v>8249376773.3799992</v>
      </c>
      <c r="U5" s="26">
        <f>资产资本表!U33</f>
        <v>7539981697.4899998</v>
      </c>
      <c r="V5" s="26">
        <f>资产资本表!V33</f>
        <v>6754428656.2299995</v>
      </c>
      <c r="W5" s="26">
        <f>资产资本表!W33</f>
        <v>6826099372.9200001</v>
      </c>
      <c r="X5" s="26">
        <f>资产资本表!X33</f>
        <v>6827530279.9099998</v>
      </c>
      <c r="Y5" s="26">
        <f>资产资本表!Y33</f>
        <v>6961883867.1900005</v>
      </c>
      <c r="Z5" s="26">
        <f>资产资本表!Z33</f>
        <v>5079916235.8199997</v>
      </c>
      <c r="AA5" s="26">
        <f>资产资本表!AA33</f>
        <v>4800981998.6400003</v>
      </c>
      <c r="AB5" s="26">
        <f>资产资本表!AB33</f>
        <v>4394087180.3699999</v>
      </c>
      <c r="AC5" s="26">
        <f>资产资本表!AC33</f>
        <v>4307690171.4500008</v>
      </c>
      <c r="AD5" s="26">
        <f>资产资本表!AD33</f>
        <v>4525614093.7299995</v>
      </c>
      <c r="AE5" s="26">
        <f>资产资本表!AE33</f>
        <v>3784300315.8900003</v>
      </c>
      <c r="AF5" s="26">
        <f>资产资本表!AF33</f>
        <v>3662183176.1500001</v>
      </c>
      <c r="AG5" s="26">
        <f>资产资本表!AG33</f>
        <v>3709994135</v>
      </c>
      <c r="AH5" s="26">
        <f>资产资本表!AH33</f>
        <v>3709649275.4399996</v>
      </c>
      <c r="AI5" s="26">
        <f>资产资本表!AI33</f>
        <v>2987474591.27</v>
      </c>
      <c r="AJ5" s="26">
        <f>资产资本表!AJ33</f>
        <v>2049809781.5700002</v>
      </c>
      <c r="AK5" s="26">
        <f>资产资本表!AK33</f>
        <v>2369731504.8499999</v>
      </c>
      <c r="AL5" s="26">
        <f>资产资本表!AL33</f>
        <v>1666284281.0800002</v>
      </c>
      <c r="AM5" s="26">
        <f>资产资本表!AM33</f>
        <v>1424603245.04</v>
      </c>
      <c r="AN5" s="26">
        <f>资产资本表!AN33</f>
        <v>1319128587.25</v>
      </c>
      <c r="AO5" s="26">
        <f>资产资本表!AO33</f>
        <v>1484990962.29</v>
      </c>
      <c r="AP5" s="26">
        <f>资产资本表!AP33</f>
        <v>1601229266.1500001</v>
      </c>
      <c r="AQ5" s="26">
        <f>资产资本表!AQ33</f>
        <v>1737318411.7999997</v>
      </c>
      <c r="AR5" s="26">
        <f>资产资本表!AR33</f>
        <v>1712157429.3200002</v>
      </c>
      <c r="AS5" s="26">
        <f>资产资本表!AS33</f>
        <v>3012341784.4400001</v>
      </c>
      <c r="AT5" s="26">
        <f>资产资本表!AT33</f>
        <v>2580324660.5</v>
      </c>
      <c r="AU5" s="26">
        <f>资产资本表!AU33</f>
        <v>2082523317.4299998</v>
      </c>
      <c r="AV5" s="26">
        <f>资产资本表!AV33</f>
        <v>1620849097.95</v>
      </c>
      <c r="AW5" s="26">
        <f>资产资本表!AW33</f>
        <v>1420870172.8899999</v>
      </c>
      <c r="AX5" s="26">
        <f>资产资本表!AX33</f>
        <v>1349516460.3699999</v>
      </c>
      <c r="AY5" s="26">
        <f>资产资本表!AY33</f>
        <v>1155667421.8800001</v>
      </c>
      <c r="AZ5" s="26">
        <f>资产资本表!AZ33</f>
        <v>1157767561.6500001</v>
      </c>
      <c r="BA5" s="26">
        <f>资产资本表!BA33</f>
        <v>1221196237.21</v>
      </c>
      <c r="BB5" s="26">
        <f>资产资本表!BB33</f>
        <v>1215911338.4400001</v>
      </c>
      <c r="BC5" s="26">
        <f>资产资本表!BC33</f>
        <v>1050262410.89</v>
      </c>
      <c r="BD5" s="26">
        <f>资产资本表!BD33</f>
        <v>1080941514.8600001</v>
      </c>
      <c r="BE5" s="26">
        <f>资产资本表!BE33</f>
        <v>1312381919.5799999</v>
      </c>
      <c r="BF5" s="26">
        <f>资产资本表!BF33</f>
        <v>963804444.6099999</v>
      </c>
      <c r="BG5" s="26">
        <f>资产资本表!BG33</f>
        <v>1074476215.6199999</v>
      </c>
      <c r="BH5" s="26">
        <f>资产资本表!BH33</f>
        <v>1076394928.8199999</v>
      </c>
      <c r="BI5" s="26">
        <f>资产资本表!BI33</f>
        <v>1169069088.4300001</v>
      </c>
      <c r="BJ5" s="26">
        <f>资产资本表!BJ33</f>
        <v>876041985.13</v>
      </c>
      <c r="BK5" s="26">
        <f>资产资本表!BK33</f>
        <v>803946795.84000003</v>
      </c>
      <c r="BL5" s="26">
        <f>资产资本表!BL33</f>
        <v>748936897.51999998</v>
      </c>
      <c r="BM5" s="26">
        <f>资产资本表!BM33</f>
        <v>836672873.70000005</v>
      </c>
      <c r="BN5" s="26">
        <f>资产资本表!BN33</f>
        <v>702859836.3499999</v>
      </c>
      <c r="BO5" s="26">
        <f>资产资本表!BO33</f>
        <v>710423565.63999987</v>
      </c>
      <c r="BP5" s="26">
        <f>资产资本表!BP33</f>
        <v>557649120.28999996</v>
      </c>
      <c r="BQ5" s="26">
        <f>资产资本表!BQ33</f>
        <v>498678092.44999999</v>
      </c>
      <c r="BR5" s="26">
        <f>资产资本表!BR33</f>
        <v>456386744.10000002</v>
      </c>
      <c r="BS5" s="26">
        <f>资产资本表!BS33</f>
        <v>471089238.49000001</v>
      </c>
      <c r="BT5" s="26">
        <f>资产资本表!BT33</f>
        <v>403119629.88999999</v>
      </c>
      <c r="BU5" s="26">
        <f>资产资本表!BU33</f>
        <v>416598280.30000001</v>
      </c>
      <c r="BV5" s="26">
        <f>资产资本表!BV33</f>
        <v>281347022.19999999</v>
      </c>
      <c r="BW5" s="26">
        <f>资产资本表!BW33</f>
        <v>310091995.73000002</v>
      </c>
      <c r="BX5" s="26">
        <f>资产资本表!BX33</f>
        <v>241644382.31</v>
      </c>
      <c r="BY5" s="26">
        <f>资产资本表!BY33</f>
        <v>200310974.49000001</v>
      </c>
      <c r="BZ5" s="26">
        <f>资产资本表!BZ33</f>
        <v>0</v>
      </c>
      <c r="CA5" s="26">
        <f>资产资本表!CA33</f>
        <v>108641862</v>
      </c>
      <c r="CB5" s="26">
        <f>资产资本表!CB33</f>
        <v>70535885</v>
      </c>
      <c r="CC5" s="26">
        <f>资产资本表!CC33</f>
        <v>43740260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18152000595.290001</v>
      </c>
      <c r="F6" s="26">
        <f>资产资本表!F49</f>
        <v>14301512422.879997</v>
      </c>
      <c r="G6" s="26">
        <f>资产资本表!G49</f>
        <v>13638739736.67</v>
      </c>
      <c r="H6" s="26">
        <f>资产资本表!H49</f>
        <v>14214912939.590002</v>
      </c>
      <c r="I6" s="26">
        <f>资产资本表!I49</f>
        <v>20238948835.009998</v>
      </c>
      <c r="J6" s="26">
        <f>资产资本表!J49</f>
        <v>15322248954.390001</v>
      </c>
      <c r="K6" s="26">
        <f>资产资本表!K49</f>
        <v>14153363502.960001</v>
      </c>
      <c r="L6" s="26">
        <f>资产资本表!L49</f>
        <v>13585899811.190001</v>
      </c>
      <c r="M6" s="26">
        <f>资产资本表!M49</f>
        <v>16697290819.870001</v>
      </c>
      <c r="N6" s="26">
        <f>资产资本表!N49</f>
        <v>13934006348.219999</v>
      </c>
      <c r="O6" s="26">
        <f>资产资本表!O49</f>
        <v>12151251591.099998</v>
      </c>
      <c r="P6" s="26">
        <f>资产资本表!P49</f>
        <v>10814826736.930002</v>
      </c>
      <c r="Q6" s="26">
        <f>资产资本表!Q49</f>
        <v>12622257925.149998</v>
      </c>
      <c r="R6" s="26">
        <f>资产资本表!R49</f>
        <v>8723381551.9500008</v>
      </c>
      <c r="S6" s="26">
        <f>资产资本表!S49</f>
        <v>6978947066.8899994</v>
      </c>
      <c r="T6" s="26">
        <f>资产资本表!T49</f>
        <v>6952137793.1099997</v>
      </c>
      <c r="U6" s="26">
        <f>资产资本表!U49</f>
        <v>6798733447.8699999</v>
      </c>
      <c r="V6" s="26">
        <f>资产资本表!V49</f>
        <v>7325893007.1199989</v>
      </c>
      <c r="W6" s="26">
        <f>资产资本表!W49</f>
        <v>6687753443.4900007</v>
      </c>
      <c r="X6" s="26">
        <f>资产资本表!X49</f>
        <v>5773912138.6400003</v>
      </c>
      <c r="Y6" s="26">
        <f>资产资本表!Y49</f>
        <v>6100043192.0099993</v>
      </c>
      <c r="Z6" s="26">
        <f>资产资本表!Z49</f>
        <v>5698924400.3900003</v>
      </c>
      <c r="AA6" s="26">
        <f>资产资本表!AA49</f>
        <v>5657911091.4399986</v>
      </c>
      <c r="AB6" s="26">
        <f>资产资本表!AB49</f>
        <v>4810031238.5300007</v>
      </c>
      <c r="AC6" s="26">
        <f>资产资本表!AC49</f>
        <v>4162475583.2600002</v>
      </c>
      <c r="AD6" s="26">
        <f>资产资本表!AD49</f>
        <v>4685085364.8899994</v>
      </c>
      <c r="AE6" s="26">
        <f>资产资本表!AE49</f>
        <v>3814213175.5599999</v>
      </c>
      <c r="AF6" s="26">
        <f>资产资本表!AF49</f>
        <v>3739691851.6900001</v>
      </c>
      <c r="AG6" s="26">
        <f>资产资本表!AG49</f>
        <v>4013541151.0900006</v>
      </c>
      <c r="AH6" s="26">
        <f>资产资本表!AH49</f>
        <v>5384542050.8600006</v>
      </c>
      <c r="AI6" s="26">
        <f>资产资本表!AI49</f>
        <v>3718728517.1099997</v>
      </c>
      <c r="AJ6" s="26">
        <f>资产资本表!AJ49</f>
        <v>2896926866.6999998</v>
      </c>
      <c r="AK6" s="26">
        <f>资产资本表!AK49</f>
        <v>3068245198.5</v>
      </c>
      <c r="AL6" s="26">
        <f>资产资本表!AL49</f>
        <v>3400946807.1199999</v>
      </c>
      <c r="AM6" s="26">
        <f>资产资本表!AM49</f>
        <v>2773507279.8700004</v>
      </c>
      <c r="AN6" s="26">
        <f>资产资本表!AN49</f>
        <v>2385483074.8400002</v>
      </c>
      <c r="AO6" s="26">
        <f>资产资本表!AO49</f>
        <v>2854019805.1300006</v>
      </c>
      <c r="AP6" s="26">
        <f>资产资本表!AP49</f>
        <v>2837943173.8000002</v>
      </c>
      <c r="AQ6" s="26">
        <f>资产资本表!AQ49</f>
        <v>2917845623.8999996</v>
      </c>
      <c r="AR6" s="26">
        <f>资产资本表!AR49</f>
        <v>2839739711.6600003</v>
      </c>
      <c r="AS6" s="26">
        <f>资产资本表!AS49</f>
        <v>3709839951.6300001</v>
      </c>
      <c r="AT6" s="26">
        <f>资产资本表!AT49</f>
        <v>3342471517.4099998</v>
      </c>
      <c r="AU6" s="26">
        <f>资产资本表!AU49</f>
        <v>2750298326.6799998</v>
      </c>
      <c r="AV6" s="26">
        <f>资产资本表!AV49</f>
        <v>2406436074.3699999</v>
      </c>
      <c r="AW6" s="26">
        <f>资产资本表!AW49</f>
        <v>2230755311.2599998</v>
      </c>
      <c r="AX6" s="26">
        <f>资产资本表!AX49</f>
        <v>1843704232.5200002</v>
      </c>
      <c r="AY6" s="26">
        <f>资产资本表!AY49</f>
        <v>1584704137.1900001</v>
      </c>
      <c r="AZ6" s="26">
        <f>资产资本表!AZ49</f>
        <v>1388775334.2</v>
      </c>
      <c r="BA6" s="26">
        <f>资产资本表!BA49</f>
        <v>1413054166.6599998</v>
      </c>
      <c r="BB6" s="26">
        <f>资产资本表!BB49</f>
        <v>1378939079.0699999</v>
      </c>
      <c r="BC6" s="26">
        <f>资产资本表!BC49</f>
        <v>1039280027.3499999</v>
      </c>
      <c r="BD6" s="26">
        <f>资产资本表!BD49</f>
        <v>940355137.96999991</v>
      </c>
      <c r="BE6" s="26">
        <f>资产资本表!BE49</f>
        <v>1257916272.5799999</v>
      </c>
      <c r="BF6" s="26">
        <f>资产资本表!BF49</f>
        <v>1023752683.5899999</v>
      </c>
      <c r="BG6" s="26">
        <f>资产资本表!BG49</f>
        <v>793398406.91999996</v>
      </c>
      <c r="BH6" s="26">
        <f>资产资本表!BH49</f>
        <v>845356459.69000018</v>
      </c>
      <c r="BI6" s="26">
        <f>资产资本表!BI49</f>
        <v>1030436477.7100002</v>
      </c>
      <c r="BJ6" s="26">
        <f>资产资本表!BJ49</f>
        <v>685879631.86000001</v>
      </c>
      <c r="BK6" s="26">
        <f>资产资本表!BK49</f>
        <v>604479620.55999994</v>
      </c>
      <c r="BL6" s="26">
        <f>资产资本表!BL49</f>
        <v>602531595.35000002</v>
      </c>
      <c r="BM6" s="26">
        <f>资产资本表!BM49</f>
        <v>746908987.40999997</v>
      </c>
      <c r="BN6" s="26">
        <f>资产资本表!BN49</f>
        <v>629749031.28999996</v>
      </c>
      <c r="BO6" s="26">
        <f>资产资本表!BO49</f>
        <v>566706503.35000002</v>
      </c>
      <c r="BP6" s="26">
        <f>资产资本表!BP49</f>
        <v>362057119.10000002</v>
      </c>
      <c r="BQ6" s="26">
        <f>资产资本表!BQ49</f>
        <v>360404100.62</v>
      </c>
      <c r="BR6" s="26">
        <f>资产资本表!BR49</f>
        <v>374240823.02999997</v>
      </c>
      <c r="BS6" s="26">
        <f>资产资本表!BS49</f>
        <v>383122686.68000001</v>
      </c>
      <c r="BT6" s="26">
        <f>资产资本表!BT49</f>
        <v>232941987.58999997</v>
      </c>
      <c r="BU6" s="26">
        <f>资产资本表!BU49</f>
        <v>273127135.58999997</v>
      </c>
      <c r="BV6" s="26">
        <f>资产资本表!BV49</f>
        <v>186478345.49000001</v>
      </c>
      <c r="BW6" s="26">
        <f>资产资本表!BW49</f>
        <v>211022397.46000001</v>
      </c>
      <c r="BX6" s="26">
        <f>资产资本表!BX49</f>
        <v>136015133.82999998</v>
      </c>
      <c r="BY6" s="26">
        <f>资产资本表!BY49</f>
        <v>129286339.48999999</v>
      </c>
      <c r="BZ6" s="26">
        <f>资产资本表!BZ49</f>
        <v>0</v>
      </c>
      <c r="CA6" s="26">
        <f>资产资本表!CA49</f>
        <v>72955330</v>
      </c>
      <c r="CB6" s="26">
        <f>资产资本表!CB49</f>
        <v>45286884</v>
      </c>
      <c r="CC6" s="26">
        <f>资产资本表!CC49</f>
        <v>30658170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6720811462</v>
      </c>
      <c r="F7" s="26">
        <f>资产资本表!F68</f>
        <v>6558607723.4200001</v>
      </c>
      <c r="G7" s="26">
        <f>资产资本表!G68</f>
        <v>6556236020.5600004</v>
      </c>
      <c r="H7" s="26">
        <f>资产资本表!H68</f>
        <v>6689807741.6199999</v>
      </c>
      <c r="I7" s="26">
        <f>资产资本表!I68</f>
        <v>6911453634.4500017</v>
      </c>
      <c r="J7" s="26">
        <f>资产资本表!J68</f>
        <v>6813657957.0699987</v>
      </c>
      <c r="K7" s="26">
        <f>资产资本表!K68</f>
        <v>6677653880.8200006</v>
      </c>
      <c r="L7" s="26">
        <f>资产资本表!L68</f>
        <v>6680017453.3600006</v>
      </c>
      <c r="M7" s="26">
        <f>资产资本表!M68</f>
        <v>6777366841.5199995</v>
      </c>
      <c r="N7" s="26">
        <f>资产资本表!N68</f>
        <v>6652793534.2099991</v>
      </c>
      <c r="O7" s="26">
        <f>资产资本表!O68</f>
        <v>6759424947.4700003</v>
      </c>
      <c r="P7" s="26">
        <f>资产资本表!P68</f>
        <v>6733861788.9399996</v>
      </c>
      <c r="Q7" s="26">
        <f>资产资本表!Q68</f>
        <v>6447839010.9300013</v>
      </c>
      <c r="R7" s="26">
        <f>资产资本表!R68</f>
        <v>4341538516.4000006</v>
      </c>
      <c r="S7" s="26">
        <f>资产资本表!S68</f>
        <v>4268682714.1700001</v>
      </c>
      <c r="T7" s="26">
        <f>资产资本表!T68</f>
        <v>4307107455.9800005</v>
      </c>
      <c r="U7" s="26">
        <f>资产资本表!U68</f>
        <v>4301345280.6099997</v>
      </c>
      <c r="V7" s="26">
        <f>资产资本表!V68</f>
        <v>4173817663.7800007</v>
      </c>
      <c r="W7" s="26">
        <f>资产资本表!W68</f>
        <v>4169209624.8000002</v>
      </c>
      <c r="X7" s="26">
        <f>资产资本表!X68</f>
        <v>4172951962.2700005</v>
      </c>
      <c r="Y7" s="26">
        <f>资产资本表!Y68</f>
        <v>4120304263.0300002</v>
      </c>
      <c r="Z7" s="26">
        <f>资产资本表!Z68</f>
        <v>3323246123.6800003</v>
      </c>
      <c r="AA7" s="26">
        <f>资产资本表!AA68</f>
        <v>2842313928.7200003</v>
      </c>
      <c r="AB7" s="26">
        <f>资产资本表!AB68</f>
        <v>2181887407.6500001</v>
      </c>
      <c r="AC7" s="26">
        <f>资产资本表!AC68</f>
        <v>1978995233.7400002</v>
      </c>
      <c r="AD7" s="26">
        <f>资产资本表!AD68</f>
        <v>1964894099.0500002</v>
      </c>
      <c r="AE7" s="26">
        <f>资产资本表!AE68</f>
        <v>1875578856.1899998</v>
      </c>
      <c r="AF7" s="26">
        <f>资产资本表!AF68</f>
        <v>1498731446.3699996</v>
      </c>
      <c r="AG7" s="26">
        <f>资产资本表!AG68</f>
        <v>1518737261.3299999</v>
      </c>
      <c r="AH7" s="26">
        <f>资产资本表!AH68</f>
        <v>1495781155.3699999</v>
      </c>
      <c r="AI7" s="26">
        <f>资产资本表!AI68</f>
        <v>1464203744.4100001</v>
      </c>
      <c r="AJ7" s="26">
        <f>资产资本表!AJ68</f>
        <v>1415257910.5700002</v>
      </c>
      <c r="AK7" s="26">
        <f>资产资本表!AK68</f>
        <v>1426750241.3500001</v>
      </c>
      <c r="AL7" s="26">
        <f>资产资本表!AL68</f>
        <v>1405391034.5700002</v>
      </c>
      <c r="AM7" s="26">
        <f>资产资本表!AM68</f>
        <v>1417031418.1799998</v>
      </c>
      <c r="AN7" s="26">
        <f>资产资本表!AN68</f>
        <v>1360654539.3800001</v>
      </c>
      <c r="AO7" s="26">
        <f>资产资本表!AO68</f>
        <v>1351310032.7200003</v>
      </c>
      <c r="AP7" s="26">
        <f>资产资本表!AP68</f>
        <v>1260641918.9699998</v>
      </c>
      <c r="AQ7" s="26">
        <f>资产资本表!AQ68</f>
        <v>1083769743.3400002</v>
      </c>
      <c r="AR7" s="26">
        <f>资产资本表!AR68</f>
        <v>995201949.13999999</v>
      </c>
      <c r="AS7" s="26">
        <f>资产资本表!AS68</f>
        <v>528260758.65999997</v>
      </c>
      <c r="AT7" s="26">
        <f>资产资本表!AT68</f>
        <v>516405002.84000015</v>
      </c>
      <c r="AU7" s="26">
        <f>资产资本表!AU68</f>
        <v>723560950.62999988</v>
      </c>
      <c r="AV7" s="26">
        <f>资产资本表!AV68</f>
        <v>774319647.22000003</v>
      </c>
      <c r="AW7" s="26">
        <f>资产资本表!AW68</f>
        <v>747845902.36000001</v>
      </c>
      <c r="AX7" s="26">
        <f>资产资本表!AX68</f>
        <v>655444854.45000005</v>
      </c>
      <c r="AY7" s="26">
        <f>资产资本表!AY68</f>
        <v>595829629.88999999</v>
      </c>
      <c r="AZ7" s="26">
        <f>资产资本表!AZ68</f>
        <v>609078755.25999987</v>
      </c>
      <c r="BA7" s="26">
        <f>资产资本表!BA68</f>
        <v>628585465.84000003</v>
      </c>
      <c r="BB7" s="26">
        <f>资产资本表!BB68</f>
        <v>626038970.37</v>
      </c>
      <c r="BC7" s="26">
        <f>资产资本表!BC68</f>
        <v>623710050.40999997</v>
      </c>
      <c r="BD7" s="26">
        <f>资产资本表!BD68</f>
        <v>635803813.54000008</v>
      </c>
      <c r="BE7" s="26">
        <f>资产资本表!BE68</f>
        <v>650153864.68999994</v>
      </c>
      <c r="BF7" s="26">
        <f>资产资本表!BF68</f>
        <v>868647527.31000006</v>
      </c>
      <c r="BG7" s="26">
        <f>资产资本表!BG68</f>
        <v>632533226.27999997</v>
      </c>
      <c r="BH7" s="26">
        <f>资产资本表!BH68</f>
        <v>628981858.16999996</v>
      </c>
      <c r="BI7" s="26">
        <f>资产资本表!BI68</f>
        <v>619302130.28999996</v>
      </c>
      <c r="BJ7" s="26">
        <f>资产资本表!BJ68</f>
        <v>543060703.53999996</v>
      </c>
      <c r="BK7" s="26">
        <f>资产资本表!BK68</f>
        <v>499394551.59999996</v>
      </c>
      <c r="BL7" s="26">
        <f>资产资本表!BL68</f>
        <v>475395153.64999992</v>
      </c>
      <c r="BM7" s="26">
        <f>资产资本表!BM68</f>
        <v>470438423.14999998</v>
      </c>
      <c r="BN7" s="26">
        <f>资产资本表!BN68</f>
        <v>481533728.50999999</v>
      </c>
      <c r="BO7" s="26">
        <f>资产资本表!BO68</f>
        <v>442029232.01999998</v>
      </c>
      <c r="BP7" s="26">
        <f>资产资本表!BP68</f>
        <v>453054515.08999997</v>
      </c>
      <c r="BQ7" s="26">
        <f>资产资本表!BQ68</f>
        <v>455098667.62</v>
      </c>
      <c r="BR7" s="26">
        <f>资产资本表!BR68</f>
        <v>464708804.57999998</v>
      </c>
      <c r="BS7" s="26">
        <f>资产资本表!BS68</f>
        <v>459156344.05000001</v>
      </c>
      <c r="BT7" s="26">
        <f>资产资本表!BT68</f>
        <v>495915448.21000004</v>
      </c>
      <c r="BU7" s="26">
        <f>资产资本表!BU68</f>
        <v>489281671.29000002</v>
      </c>
      <c r="BV7" s="26">
        <f>资产资本表!BV68</f>
        <v>489686762.01999998</v>
      </c>
      <c r="BW7" s="26">
        <f>资产资本表!BW68</f>
        <v>462658418.16999996</v>
      </c>
      <c r="BX7" s="26">
        <f>资产资本表!BX68</f>
        <v>377886285.86000007</v>
      </c>
      <c r="BY7" s="26">
        <f>资产资本表!BY68</f>
        <v>274935465.43000001</v>
      </c>
      <c r="BZ7" s="26">
        <f>资产资本表!BZ68</f>
        <v>159818435.05000001</v>
      </c>
      <c r="CA7" s="26">
        <f>资产资本表!CA68</f>
        <v>91699628</v>
      </c>
      <c r="CB7" s="26">
        <f>资产资本表!CB68</f>
        <v>52338806</v>
      </c>
      <c r="CC7" s="26">
        <f>资产资本表!CC68</f>
        <v>44837795</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13353023151.519997</v>
      </c>
      <c r="F8" s="26">
        <f>资产资本表!F69</f>
        <v>12308352054.460005</v>
      </c>
      <c r="G8" s="26">
        <f>资产资本表!G69</f>
        <v>11642609055.280003</v>
      </c>
      <c r="H8" s="26">
        <f>资产资本表!H69</f>
        <v>9642177232.4199982</v>
      </c>
      <c r="I8" s="26">
        <f>资产资本表!I69</f>
        <v>7608706045.5700045</v>
      </c>
      <c r="J8" s="26">
        <f>资产资本表!J69</f>
        <v>8574181301.4199991</v>
      </c>
      <c r="K8" s="26">
        <f>资产资本表!K69</f>
        <v>7565197261.3299952</v>
      </c>
      <c r="L8" s="26">
        <f>资产资本表!L69</f>
        <v>7674072710.75</v>
      </c>
      <c r="M8" s="26">
        <f>资产资本表!M69</f>
        <v>5055244572.04</v>
      </c>
      <c r="N8" s="26">
        <f>资产资本表!N69</f>
        <v>4615109524.7399998</v>
      </c>
      <c r="O8" s="26">
        <f>资产资本表!O69</f>
        <v>4592448317.8700018</v>
      </c>
      <c r="P8" s="26">
        <f>资产资本表!P69</f>
        <v>6355379194.829999</v>
      </c>
      <c r="Q8" s="26">
        <f>资产资本表!Q69</f>
        <v>5009012876.2200041</v>
      </c>
      <c r="R8" s="26">
        <f>资产资本表!R69</f>
        <v>4609653194.54</v>
      </c>
      <c r="S8" s="26">
        <f>资产资本表!S69</f>
        <v>4481261425.1500015</v>
      </c>
      <c r="T8" s="26">
        <f>资产资本表!T69</f>
        <v>5604346436.25</v>
      </c>
      <c r="U8" s="26">
        <f>资产资本表!U69</f>
        <v>5042593530.2299995</v>
      </c>
      <c r="V8" s="26">
        <f>资产资本表!V69</f>
        <v>3602353312.8900013</v>
      </c>
      <c r="W8" s="26">
        <f>资产资本表!W69</f>
        <v>4307555554.2299995</v>
      </c>
      <c r="X8" s="26">
        <f>资产资本表!X69</f>
        <v>5226570103.54</v>
      </c>
      <c r="Y8" s="26">
        <f>资产资本表!Y69</f>
        <v>4982144938.210001</v>
      </c>
      <c r="Z8" s="26">
        <f>资产资本表!Z69</f>
        <v>2704237959.1099997</v>
      </c>
      <c r="AA8" s="26">
        <f>资产资本表!AA69</f>
        <v>1985384835.920002</v>
      </c>
      <c r="AB8" s="26">
        <f>资产资本表!AB69</f>
        <v>1765943349.4899993</v>
      </c>
      <c r="AC8" s="26">
        <f>资产资本表!AC69</f>
        <v>2124209821.9300008</v>
      </c>
      <c r="AD8" s="26">
        <f>资产资本表!AD69</f>
        <v>1805422827.8900003</v>
      </c>
      <c r="AE8" s="26">
        <f>资产资本表!AE69</f>
        <v>1845665996.5200002</v>
      </c>
      <c r="AF8" s="26">
        <f>资产资本表!AF69</f>
        <v>1421222770.8299997</v>
      </c>
      <c r="AG8" s="26">
        <f>资产资本表!AG69</f>
        <v>1215190245.2399993</v>
      </c>
      <c r="AH8" s="26">
        <f>资产资本表!AH69</f>
        <v>-179111620.05000114</v>
      </c>
      <c r="AI8" s="26">
        <f>资产资本表!AI69</f>
        <v>732949818.57000041</v>
      </c>
      <c r="AJ8" s="26">
        <f>资产资本表!AJ69</f>
        <v>568140825.44000053</v>
      </c>
      <c r="AK8" s="26">
        <f>资产资本表!AK69</f>
        <v>728236547.70000005</v>
      </c>
      <c r="AL8" s="26">
        <f>资产资本表!AL69</f>
        <v>-329271491.46999955</v>
      </c>
      <c r="AM8" s="26">
        <f>资产资本表!AM69</f>
        <v>68127383.349999428</v>
      </c>
      <c r="AN8" s="26">
        <f>资产资本表!AN69</f>
        <v>294300051.78999996</v>
      </c>
      <c r="AO8" s="26">
        <f>资产资本表!AO69</f>
        <v>-17718810.120000362</v>
      </c>
      <c r="AP8" s="26">
        <f>资产资本表!AP69</f>
        <v>23928011.319999695</v>
      </c>
      <c r="AQ8" s="26">
        <f>资产资本表!AQ69</f>
        <v>-96757468.759999752</v>
      </c>
      <c r="AR8" s="26">
        <f>资产资本表!AR69</f>
        <v>-132380333.20000017</v>
      </c>
      <c r="AS8" s="26">
        <f>资产资本表!AS69</f>
        <v>-169237408.53000009</v>
      </c>
      <c r="AT8" s="26">
        <f>资产资本表!AT69</f>
        <v>-245741854.06999969</v>
      </c>
      <c r="AU8" s="26">
        <f>资产资本表!AU69</f>
        <v>55785941.379999876</v>
      </c>
      <c r="AV8" s="26">
        <f>资产资本表!AV69</f>
        <v>-11267329.199999809</v>
      </c>
      <c r="AW8" s="26">
        <f>资产资本表!AW69</f>
        <v>-62039236.009999871</v>
      </c>
      <c r="AX8" s="26">
        <f>资产资本表!AX69</f>
        <v>161257082.29999971</v>
      </c>
      <c r="AY8" s="26">
        <f>资产资本表!AY69</f>
        <v>166792914.58000004</v>
      </c>
      <c r="AZ8" s="26">
        <f>资产资本表!AZ69</f>
        <v>378070982.70999992</v>
      </c>
      <c r="BA8" s="26">
        <f>资产资本表!BA69</f>
        <v>436727536.39000022</v>
      </c>
      <c r="BB8" s="26">
        <f>资产资本表!BB69</f>
        <v>463011229.74000013</v>
      </c>
      <c r="BC8" s="26">
        <f>资产资本表!BC69</f>
        <v>634692433.95000005</v>
      </c>
      <c r="BD8" s="26">
        <f>资产资本表!BD69</f>
        <v>776390190.43000031</v>
      </c>
      <c r="BE8" s="26">
        <f>资产资本表!BE69</f>
        <v>704619511.68999994</v>
      </c>
      <c r="BF8" s="26">
        <f>资产资本表!BF69</f>
        <v>808699288.33000004</v>
      </c>
      <c r="BG8" s="26">
        <f>资产资本表!BG69</f>
        <v>913611034.9799999</v>
      </c>
      <c r="BH8" s="26">
        <f>资产资本表!BH69</f>
        <v>860020327.29999971</v>
      </c>
      <c r="BI8" s="26">
        <f>资产资本表!BI69</f>
        <v>757934741.00999987</v>
      </c>
      <c r="BJ8" s="26">
        <f>资产资本表!BJ69</f>
        <v>733223056.80999994</v>
      </c>
      <c r="BK8" s="26">
        <f>资产资本表!BK69</f>
        <v>698861726.88000011</v>
      </c>
      <c r="BL8" s="26">
        <f>资产资本表!BL69</f>
        <v>621800455.81999993</v>
      </c>
      <c r="BM8" s="26">
        <f>资产资本表!BM69</f>
        <v>560202309.44000006</v>
      </c>
      <c r="BN8" s="26">
        <f>资产资本表!BN69</f>
        <v>554644533.56999993</v>
      </c>
      <c r="BO8" s="26">
        <f>资产资本表!BO69</f>
        <v>585746294.30999982</v>
      </c>
      <c r="BP8" s="26">
        <f>资产资本表!BP69</f>
        <v>648646516.27999997</v>
      </c>
      <c r="BQ8" s="26">
        <f>资产资本表!BQ69</f>
        <v>593372659.45000005</v>
      </c>
      <c r="BR8" s="26">
        <f>资产资本表!BR69</f>
        <v>546854725.6500001</v>
      </c>
      <c r="BS8" s="26">
        <f>资产资本表!BS69</f>
        <v>547122895.86000001</v>
      </c>
      <c r="BT8" s="26">
        <f>资产资本表!BT69</f>
        <v>666093090.50999999</v>
      </c>
      <c r="BU8" s="26">
        <f>资产资本表!BU69</f>
        <v>632752816</v>
      </c>
      <c r="BV8" s="26">
        <f>资产资本表!BV69</f>
        <v>584555438.73000002</v>
      </c>
      <c r="BW8" s="26">
        <f>资产资本表!BW69</f>
        <v>561728016.43999994</v>
      </c>
      <c r="BX8" s="26">
        <f>资产资本表!BX69</f>
        <v>483515534.34000009</v>
      </c>
      <c r="BY8" s="26">
        <f>资产资本表!BY69</f>
        <v>345960100.43000001</v>
      </c>
      <c r="BZ8" s="26">
        <f>资产资本表!BZ69</f>
        <v>159818435.05000001</v>
      </c>
      <c r="CA8" s="26">
        <f>资产资本表!CA69</f>
        <v>127386160</v>
      </c>
      <c r="CB8" s="26">
        <f>资产资本表!CB69</f>
        <v>77587807</v>
      </c>
      <c r="CC8" s="26">
        <f>资产资本表!CC69</f>
        <v>57919885</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17994514915.529995</v>
      </c>
      <c r="F9" s="48">
        <f>资产资本表!F70</f>
        <v>16939741971.700005</v>
      </c>
      <c r="G9" s="48">
        <f>资产资本表!G70</f>
        <v>16923176671.170002</v>
      </c>
      <c r="H9" s="48">
        <f>资产资本表!H70</f>
        <v>15171259069.099998</v>
      </c>
      <c r="I9" s="48">
        <f>资产资本表!I70</f>
        <v>14913773349.100004</v>
      </c>
      <c r="J9" s="48">
        <f>资产资本表!J70</f>
        <v>12567222866.5</v>
      </c>
      <c r="K9" s="48">
        <f>资产资本表!K70</f>
        <v>11432516512.739994</v>
      </c>
      <c r="L9" s="48">
        <f>资产资本表!L70</f>
        <v>13835981162.129999</v>
      </c>
      <c r="M9" s="48">
        <f>资产资本表!M70</f>
        <v>13441840491.709999</v>
      </c>
      <c r="N9" s="48">
        <f>资产资本表!N70</f>
        <v>11593769769.26</v>
      </c>
      <c r="O9" s="48">
        <f>资产资本表!O70</f>
        <v>10628440626.480003</v>
      </c>
      <c r="P9" s="48">
        <f>资产资本表!P70</f>
        <v>11558717334.549999</v>
      </c>
      <c r="Q9" s="48">
        <f>资产资本表!Q70</f>
        <v>11198117884.400003</v>
      </c>
      <c r="R9" s="48">
        <f>资产资本表!R70</f>
        <v>9649847928.1399994</v>
      </c>
      <c r="S9" s="48">
        <f>资产资本表!S70</f>
        <v>9285295396.5100021</v>
      </c>
      <c r="T9" s="48">
        <f>资产资本表!T70</f>
        <v>9651100482.4399986</v>
      </c>
      <c r="U9" s="48">
        <f>资产资本表!U70</f>
        <v>9398007672.6700001</v>
      </c>
      <c r="V9" s="48">
        <f>资产资本表!V70</f>
        <v>8579024538.8100004</v>
      </c>
      <c r="W9" s="48">
        <f>资产资本表!W70</f>
        <v>8554326125.3400002</v>
      </c>
      <c r="X9" s="48">
        <f>资产资本表!X70</f>
        <v>8393343081.7799997</v>
      </c>
      <c r="Y9" s="48">
        <f>资产资本表!Y70</f>
        <v>8179066949.0500011</v>
      </c>
      <c r="Z9" s="48">
        <f>资产资本表!Z70</f>
        <v>7451955014.6300001</v>
      </c>
      <c r="AA9" s="48">
        <f>资产资本表!AA70</f>
        <v>6674654810.5200024</v>
      </c>
      <c r="AB9" s="48">
        <f>资产资本表!AB70</f>
        <v>6317384655.0100002</v>
      </c>
      <c r="AC9" s="48">
        <f>资产资本表!AC70</f>
        <v>3697595564.9000006</v>
      </c>
      <c r="AD9" s="48">
        <f>资产资本表!AD70</f>
        <v>3185711014.5000005</v>
      </c>
      <c r="AE9" s="48">
        <f>资产资本表!AE70</f>
        <v>3014767146.4700003</v>
      </c>
      <c r="AF9" s="48">
        <f>资产资本表!AF70</f>
        <v>2887495739.7399998</v>
      </c>
      <c r="AG9" s="48">
        <f>资产资本表!AG70</f>
        <v>2755395106.3399992</v>
      </c>
      <c r="AH9" s="48">
        <f>资产资本表!AH70</f>
        <v>2416268911.249999</v>
      </c>
      <c r="AI9" s="48">
        <f>资产资本表!AI70</f>
        <v>2168768068.8700004</v>
      </c>
      <c r="AJ9" s="48">
        <f>资产资本表!AJ70</f>
        <v>2498870743.4800005</v>
      </c>
      <c r="AK9" s="48">
        <f>资产资本表!AK70</f>
        <v>2405806364.4899998</v>
      </c>
      <c r="AL9" s="48">
        <f>资产资本表!AL70</f>
        <v>2357394140.8400002</v>
      </c>
      <c r="AM9" s="48">
        <f>资产资本表!AM70</f>
        <v>2193169185.5399995</v>
      </c>
      <c r="AN9" s="48">
        <f>资产资本表!AN70</f>
        <v>2188292535.0900002</v>
      </c>
      <c r="AO9" s="48">
        <f>资产资本表!AO70</f>
        <v>1830651923.3399994</v>
      </c>
      <c r="AP9" s="48">
        <f>资产资本表!AP70</f>
        <v>1739927471.3099995</v>
      </c>
      <c r="AQ9" s="48">
        <f>资产资本表!AQ70</f>
        <v>1811475331.9600003</v>
      </c>
      <c r="AR9" s="48">
        <f>资产资本表!AR70</f>
        <v>3049054758.8699999</v>
      </c>
      <c r="AS9" s="48">
        <f>资产资本表!AS70</f>
        <v>3795137483.3099995</v>
      </c>
      <c r="AT9" s="48">
        <f>资产资本表!AT70</f>
        <v>3345201421.4300003</v>
      </c>
      <c r="AU9" s="48">
        <f>资产资本表!AU70</f>
        <v>2037510666.8599999</v>
      </c>
      <c r="AV9" s="48">
        <f>资产资本表!AV70</f>
        <v>1827653321.0400002</v>
      </c>
      <c r="AW9" s="48">
        <f>资产资本表!AW70</f>
        <v>1369221225.9200001</v>
      </c>
      <c r="AX9" s="48">
        <f>资产资本表!AX70</f>
        <v>1241170819.6399996</v>
      </c>
      <c r="AY9" s="48">
        <f>资产资本表!AY70</f>
        <v>1183468200.3299999</v>
      </c>
      <c r="AZ9" s="48">
        <f>资产资本表!AZ70</f>
        <v>1406166204.9299998</v>
      </c>
      <c r="BA9" s="48">
        <f>资产资本表!BA70</f>
        <v>1374384860.6600003</v>
      </c>
      <c r="BB9" s="48">
        <f>资产资本表!BB70</f>
        <v>1326622436.5400002</v>
      </c>
      <c r="BC9" s="48">
        <f>资产资本表!BC70</f>
        <v>1259286368.4400001</v>
      </c>
      <c r="BD9" s="48">
        <f>资产资本表!BD70</f>
        <v>1320588902.0400004</v>
      </c>
      <c r="BE9" s="48">
        <f>资产资本表!BE70</f>
        <v>1342533874.8999999</v>
      </c>
      <c r="BF9" s="48">
        <f>资产资本表!BF70</f>
        <v>1346141328.1100001</v>
      </c>
      <c r="BG9" s="48">
        <f>资产资本表!BG70</f>
        <v>1235140841.3599999</v>
      </c>
      <c r="BH9" s="48">
        <f>资产资本表!BH70</f>
        <v>1259469693.7499998</v>
      </c>
      <c r="BI9" s="48">
        <f>资产资本表!BI70</f>
        <v>1304428344.27</v>
      </c>
      <c r="BJ9" s="48">
        <f>资产资本表!BJ70</f>
        <v>1165511828.0999999</v>
      </c>
      <c r="BK9" s="48">
        <f>资产资本表!BK70</f>
        <v>1082291568.5</v>
      </c>
      <c r="BL9" s="48">
        <f>资产资本表!BL70</f>
        <v>1070520116.6399999</v>
      </c>
      <c r="BM9" s="48">
        <f>资产资本表!BM70</f>
        <v>985941828.72000003</v>
      </c>
      <c r="BN9" s="48">
        <f>资产资本表!BN70</f>
        <v>1091218987.48</v>
      </c>
      <c r="BO9" s="48">
        <f>资产资本表!BO70</f>
        <v>1015231406.8599999</v>
      </c>
      <c r="BP9" s="48">
        <f>资产资本表!BP70</f>
        <v>1063859043.05</v>
      </c>
      <c r="BQ9" s="48">
        <f>资产资本表!BQ70</f>
        <v>1042850853.9200001</v>
      </c>
      <c r="BR9" s="48">
        <f>资产资本表!BR70</f>
        <v>1064160126.0500001</v>
      </c>
      <c r="BS9" s="48">
        <f>资产资本表!BS70</f>
        <v>1023359802.5</v>
      </c>
      <c r="BT9" s="48">
        <f>资产资本表!BT70</f>
        <v>757022751.67999995</v>
      </c>
      <c r="BU9" s="48">
        <f>资产资本表!BU70</f>
        <v>701323650.79999995</v>
      </c>
      <c r="BV9" s="48">
        <f>资产资本表!BV70</f>
        <v>758609150.75999999</v>
      </c>
      <c r="BW9" s="48">
        <f>资产资本表!BW70</f>
        <v>726575168.63999987</v>
      </c>
      <c r="BX9" s="48">
        <f>资产资本表!BX70</f>
        <v>568415952.37000012</v>
      </c>
      <c r="BY9" s="48">
        <f>资产资本表!BY70</f>
        <v>521160970.23000002</v>
      </c>
      <c r="BZ9" s="48">
        <f>资产资本表!BZ70</f>
        <v>159818435.05000001</v>
      </c>
      <c r="CA9" s="48">
        <f>资产资本表!CA70</f>
        <v>160024290</v>
      </c>
      <c r="CB9" s="48">
        <f>资产资本表!CB70</f>
        <v>90416916</v>
      </c>
      <c r="CC9" s="48">
        <f>资产资本表!CC70</f>
        <v>66866068</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792688790</v>
      </c>
      <c r="F10" s="26">
        <f>资产资本表!F72</f>
        <v>2136978237.49</v>
      </c>
      <c r="G10" s="26">
        <f>资产资本表!G72</f>
        <v>3413681737.4899998</v>
      </c>
      <c r="H10" s="26">
        <f>资产资本表!H72</f>
        <v>0</v>
      </c>
      <c r="I10" s="26">
        <f>资产资本表!I72</f>
        <v>0</v>
      </c>
      <c r="J10" s="26">
        <f>资产资本表!J72</f>
        <v>1576994.12</v>
      </c>
      <c r="K10" s="26">
        <f>资产资本表!K72</f>
        <v>0</v>
      </c>
      <c r="L10" s="26">
        <f>资产资本表!L72</f>
        <v>10140041.73</v>
      </c>
      <c r="M10" s="26">
        <f>资产资本表!M72</f>
        <v>6377316.4500000002</v>
      </c>
      <c r="N10" s="26">
        <f>资产资本表!N72</f>
        <v>0</v>
      </c>
      <c r="O10" s="26">
        <f>资产资本表!O72</f>
        <v>1269451.81</v>
      </c>
      <c r="P10" s="26">
        <f>资产资本表!P72</f>
        <v>2698617.82</v>
      </c>
      <c r="Q10" s="26">
        <f>资产资本表!Q72</f>
        <v>4127783.83</v>
      </c>
      <c r="R10" s="26">
        <f>资产资本表!R72</f>
        <v>5556949.8399999999</v>
      </c>
      <c r="S10" s="26">
        <f>资产资本表!S72</f>
        <v>5716664</v>
      </c>
      <c r="T10" s="26">
        <f>资产资本表!T72</f>
        <v>178747542.03</v>
      </c>
      <c r="U10" s="26">
        <f>资产资本表!U72</f>
        <v>194500471.23000002</v>
      </c>
      <c r="V10" s="26">
        <f>资产资本表!V72</f>
        <v>353393390.41000003</v>
      </c>
      <c r="W10" s="26">
        <f>资产资本表!W72</f>
        <v>559964335.15999997</v>
      </c>
      <c r="X10" s="26">
        <f>资产资本表!X72</f>
        <v>266829075.06</v>
      </c>
      <c r="Y10" s="26">
        <f>资产资本表!Y72</f>
        <v>303727596.89999998</v>
      </c>
      <c r="Z10" s="26">
        <f>资产资本表!Z72</f>
        <v>226146411.70999998</v>
      </c>
      <c r="AA10" s="26">
        <f>资产资本表!AA72</f>
        <v>218758608.42000002</v>
      </c>
      <c r="AB10" s="26">
        <f>资产资本表!AB72</f>
        <v>210205961.47999999</v>
      </c>
      <c r="AC10" s="26">
        <f>资产资本表!AC72</f>
        <v>14198917.43</v>
      </c>
      <c r="AD10" s="26">
        <f>资产资本表!AD72</f>
        <v>4308666.84</v>
      </c>
      <c r="AE10" s="26">
        <f>资产资本表!AE72</f>
        <v>4367903.41</v>
      </c>
      <c r="AF10" s="26">
        <f>资产资本表!AF72</f>
        <v>8615534.3000000007</v>
      </c>
      <c r="AG10" s="26">
        <f>资产资本表!AG72</f>
        <v>4737732.28</v>
      </c>
      <c r="AH10" s="26">
        <f>资产资本表!AH72</f>
        <v>0</v>
      </c>
      <c r="AI10" s="26">
        <f>资产资本表!AI72</f>
        <v>0</v>
      </c>
      <c r="AJ10" s="26">
        <f>资产资本表!AJ72</f>
        <v>48537.25</v>
      </c>
      <c r="AK10" s="26">
        <f>资产资本表!AK72</f>
        <v>0</v>
      </c>
      <c r="AL10" s="26">
        <f>资产资本表!AL72</f>
        <v>0</v>
      </c>
      <c r="AM10" s="26">
        <f>资产资本表!AM72</f>
        <v>0</v>
      </c>
      <c r="AN10" s="26">
        <f>资产资本表!AN72</f>
        <v>200000000</v>
      </c>
      <c r="AO10" s="26">
        <f>资产资本表!AO72</f>
        <v>0</v>
      </c>
      <c r="AP10" s="26">
        <f>资产资本表!AP72</f>
        <v>0</v>
      </c>
      <c r="AQ10" s="26">
        <f>资产资本表!AQ72</f>
        <v>0</v>
      </c>
      <c r="AR10" s="26">
        <f>资产资本表!AR72</f>
        <v>954000000</v>
      </c>
      <c r="AS10" s="26">
        <f>资产资本表!AS72</f>
        <v>726012000</v>
      </c>
      <c r="AT10" s="26">
        <f>资产资本表!AT72</f>
        <v>987777200</v>
      </c>
      <c r="AU10" s="26">
        <f>资产资本表!AU72</f>
        <v>260000000</v>
      </c>
      <c r="AV10" s="26">
        <f>资产资本表!AV72</f>
        <v>270000000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47500000</v>
      </c>
      <c r="BF10" s="26">
        <f>资产资本表!BF72</f>
        <v>95500000</v>
      </c>
      <c r="BG10" s="26">
        <f>资产资本表!BG72</f>
        <v>132500000</v>
      </c>
      <c r="BH10" s="26">
        <f>资产资本表!BH72</f>
        <v>80894100</v>
      </c>
      <c r="BI10" s="26">
        <f>资产资本表!BI72</f>
        <v>140219495</v>
      </c>
      <c r="BJ10" s="26">
        <f>资产资本表!BJ72</f>
        <v>70000000</v>
      </c>
      <c r="BK10" s="26">
        <f>资产资本表!BK72</f>
        <v>80000000</v>
      </c>
      <c r="BL10" s="26">
        <f>资产资本表!BL72</f>
        <v>50000000</v>
      </c>
      <c r="BM10" s="26">
        <f>资产资本表!BM72</f>
        <v>20000000</v>
      </c>
      <c r="BN10" s="26">
        <f>资产资本表!BN72</f>
        <v>94000000</v>
      </c>
      <c r="BO10" s="26">
        <f>资产资本表!BO72</f>
        <v>99000000</v>
      </c>
      <c r="BP10" s="26">
        <f>资产资本表!BP72</f>
        <v>99000000</v>
      </c>
      <c r="BQ10" s="26">
        <f>资产资本表!BQ72</f>
        <v>98500000</v>
      </c>
      <c r="BR10" s="26">
        <f>资产资本表!BR72</f>
        <v>55500000</v>
      </c>
      <c r="BS10" s="26">
        <f>资产资本表!BS72</f>
        <v>65500000</v>
      </c>
      <c r="BT10" s="26">
        <f>资产资本表!BT72</f>
        <v>53000000</v>
      </c>
      <c r="BU10" s="26">
        <f>资产资本表!BU72</f>
        <v>37000000</v>
      </c>
      <c r="BV10" s="26">
        <f>资产资本表!BV72</f>
        <v>87000000</v>
      </c>
      <c r="BW10" s="26">
        <f>资产资本表!BW72</f>
        <v>63500000</v>
      </c>
      <c r="BX10" s="26">
        <f>资产资本表!BX72</f>
        <v>140500000</v>
      </c>
      <c r="BY10" s="26">
        <f>资产资本表!BY72</f>
        <v>68500000</v>
      </c>
      <c r="BZ10" s="26">
        <f>资产资本表!BZ72</f>
        <v>0</v>
      </c>
      <c r="CA10" s="26">
        <f>资产资本表!CA72</f>
        <v>87319385</v>
      </c>
      <c r="CB10" s="26">
        <f>资产资本表!CB72</f>
        <v>56253000</v>
      </c>
      <c r="CC10" s="26">
        <f>资产资本表!CC72</f>
        <v>44060000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21236150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246511669.06999999</v>
      </c>
      <c r="S11" s="26">
        <f>资产资本表!S81</f>
        <v>255754463.44</v>
      </c>
      <c r="T11" s="26">
        <f>资产资本表!T81</f>
        <v>264234601.63</v>
      </c>
      <c r="U11" s="26">
        <f>资产资本表!U81</f>
        <v>271227310.19999999</v>
      </c>
      <c r="V11" s="26">
        <f>资产资本表!V81</f>
        <v>261327050.81999999</v>
      </c>
      <c r="W11" s="26">
        <f>资产资本表!W81</f>
        <v>272348894.68000001</v>
      </c>
      <c r="X11" s="26">
        <f>资产资本表!X81</f>
        <v>354611252.82999998</v>
      </c>
      <c r="Y11" s="26">
        <f>资产资本表!Y81</f>
        <v>361508706.25</v>
      </c>
      <c r="Z11" s="26">
        <f>资产资本表!Z81</f>
        <v>208154115.19</v>
      </c>
      <c r="AA11" s="26">
        <f>资产资本表!AA81</f>
        <v>181003269.94999999</v>
      </c>
      <c r="AB11" s="26">
        <f>资产资本表!AB81</f>
        <v>184066038.71000001</v>
      </c>
      <c r="AC11" s="26">
        <f>资产资本表!AC81</f>
        <v>187130726.18000001</v>
      </c>
      <c r="AD11" s="26">
        <f>资产资本表!AD81</f>
        <v>181635409.19999999</v>
      </c>
      <c r="AE11" s="26">
        <f>资产资本表!AE81</f>
        <v>216367733.56</v>
      </c>
      <c r="AF11" s="26">
        <f>资产资本表!AF81</f>
        <v>160449491.11000001</v>
      </c>
      <c r="AG11" s="26">
        <f>资产资本表!AG81</f>
        <v>164303771.11000001</v>
      </c>
      <c r="AH11" s="26">
        <f>资产资本表!AH81</f>
        <v>175182573.47</v>
      </c>
      <c r="AI11" s="26">
        <f>资产资本表!AI81</f>
        <v>151886847.56</v>
      </c>
      <c r="AJ11" s="26">
        <f>资产资本表!AJ81</f>
        <v>152291180.91</v>
      </c>
      <c r="AK11" s="26">
        <f>资产资本表!AK81</f>
        <v>154766639.42000002</v>
      </c>
      <c r="AL11" s="26">
        <f>资产资本表!AL81</f>
        <v>435019483.77000004</v>
      </c>
      <c r="AM11" s="26">
        <f>资产资本表!AM81</f>
        <v>426111628.88</v>
      </c>
      <c r="AN11" s="26">
        <f>资产资本表!AN81</f>
        <v>128013017.86</v>
      </c>
      <c r="AO11" s="26">
        <f>资产资本表!AO81</f>
        <v>129623157.11</v>
      </c>
      <c r="AP11" s="26">
        <f>资产资本表!AP81</f>
        <v>127154722.02000001</v>
      </c>
      <c r="AQ11" s="26">
        <f>资产资本表!AQ81</f>
        <v>85760991.75</v>
      </c>
      <c r="AR11" s="26">
        <f>资产资本表!AR81</f>
        <v>81196913.280000001</v>
      </c>
      <c r="AS11" s="26">
        <f>资产资本表!AS81</f>
        <v>240551928.59</v>
      </c>
      <c r="AT11" s="26">
        <f>资产资本表!AT81</f>
        <v>228986571.44</v>
      </c>
      <c r="AU11" s="26">
        <f>资产资本表!AU81</f>
        <v>218497714.28999999</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50000000</v>
      </c>
      <c r="BI11" s="26">
        <f>资产资本表!BI81</f>
        <v>50000000</v>
      </c>
      <c r="BJ11" s="26">
        <f>资产资本表!BJ81</f>
        <v>0</v>
      </c>
      <c r="BK11" s="26">
        <f>资产资本表!BK81</f>
        <v>0</v>
      </c>
      <c r="BL11" s="26">
        <f>资产资本表!BL81</f>
        <v>20000000</v>
      </c>
      <c r="BM11" s="26">
        <f>资产资本表!BM81</f>
        <v>0</v>
      </c>
      <c r="BN11" s="26">
        <f>资产资本表!BN81</f>
        <v>0</v>
      </c>
      <c r="BO11" s="26">
        <f>资产资本表!BO81</f>
        <v>0</v>
      </c>
      <c r="BP11" s="26">
        <f>资产资本表!BP81</f>
        <v>0</v>
      </c>
      <c r="BQ11" s="26">
        <f>资产资本表!BQ81</f>
        <v>0</v>
      </c>
      <c r="BR11" s="26">
        <f>资产资本表!BR81</f>
        <v>43000000</v>
      </c>
      <c r="BS11" s="26">
        <f>资产资本表!BS81</f>
        <v>33555524.030000001</v>
      </c>
      <c r="BT11" s="26">
        <f>资产资本表!BT81</f>
        <v>36263845.549999997</v>
      </c>
      <c r="BU11" s="26">
        <f>资产资本表!BU81</f>
        <v>36472167.07</v>
      </c>
      <c r="BV11" s="26">
        <f>资产资本表!BV81</f>
        <v>51668706.729999997</v>
      </c>
      <c r="BW11" s="26">
        <f>资产资本表!BW81</f>
        <v>41388810.109999999</v>
      </c>
      <c r="BX11" s="26">
        <f>资产资本表!BX81</f>
        <v>1597131.63</v>
      </c>
      <c r="BY11" s="26">
        <f>资产资本表!BY81</f>
        <v>3864447.16</v>
      </c>
      <c r="BZ11" s="26">
        <f>资产资本表!BZ81</f>
        <v>0</v>
      </c>
      <c r="CA11" s="26">
        <f>资产资本表!CA81</f>
        <v>4311064</v>
      </c>
      <c r="CB11" s="26">
        <f>资产资本表!CB81</f>
        <v>16340281</v>
      </c>
      <c r="CC11" s="26">
        <f>资产资本表!CC81</f>
        <v>25366503</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813924940</v>
      </c>
      <c r="F12" s="26">
        <f>资产资本表!F89</f>
        <v>2136978237.49</v>
      </c>
      <c r="G12" s="26">
        <f>资产资本表!G89</f>
        <v>3413681737.4899998</v>
      </c>
      <c r="H12" s="26">
        <f>资产资本表!H89</f>
        <v>0</v>
      </c>
      <c r="I12" s="26">
        <f>资产资本表!I89</f>
        <v>0</v>
      </c>
      <c r="J12" s="26">
        <f>资产资本表!J89</f>
        <v>1576994.12</v>
      </c>
      <c r="K12" s="26">
        <f>资产资本表!K89</f>
        <v>0</v>
      </c>
      <c r="L12" s="26">
        <f>资产资本表!L89</f>
        <v>10140041.73</v>
      </c>
      <c r="M12" s="26">
        <f>资产资本表!M89</f>
        <v>6377316.4500000002</v>
      </c>
      <c r="N12" s="26">
        <f>资产资本表!N89</f>
        <v>0</v>
      </c>
      <c r="O12" s="26">
        <f>资产资本表!O89</f>
        <v>1269451.81</v>
      </c>
      <c r="P12" s="26">
        <f>资产资本表!P89</f>
        <v>2698617.82</v>
      </c>
      <c r="Q12" s="26">
        <f>资产资本表!Q89</f>
        <v>4127783.83</v>
      </c>
      <c r="R12" s="26">
        <f>资产资本表!R89</f>
        <v>252068618.91</v>
      </c>
      <c r="S12" s="26">
        <f>资产资本表!S89</f>
        <v>261471127.44</v>
      </c>
      <c r="T12" s="26">
        <f>资产资本表!T89</f>
        <v>442982143.65999997</v>
      </c>
      <c r="U12" s="26">
        <f>资产资本表!U89</f>
        <v>465727781.43000001</v>
      </c>
      <c r="V12" s="26">
        <f>资产资本表!V89</f>
        <v>614720441.23000002</v>
      </c>
      <c r="W12" s="26">
        <f>资产资本表!W89</f>
        <v>832313229.83999991</v>
      </c>
      <c r="X12" s="26">
        <f>资产资本表!X89</f>
        <v>621440327.88999999</v>
      </c>
      <c r="Y12" s="26">
        <f>资产资本表!Y89</f>
        <v>665236303.14999998</v>
      </c>
      <c r="Z12" s="26">
        <f>资产资本表!Z89</f>
        <v>434300526.89999998</v>
      </c>
      <c r="AA12" s="26">
        <f>资产资本表!AA89</f>
        <v>399761878.37</v>
      </c>
      <c r="AB12" s="26">
        <f>资产资本表!AB89</f>
        <v>394272000.19</v>
      </c>
      <c r="AC12" s="26">
        <f>资产资本表!AC89</f>
        <v>201329643.61000001</v>
      </c>
      <c r="AD12" s="26">
        <f>资产资本表!AD89</f>
        <v>185944076.03999999</v>
      </c>
      <c r="AE12" s="26">
        <f>资产资本表!AE89</f>
        <v>220735636.97</v>
      </c>
      <c r="AF12" s="26">
        <f>资产资本表!AF89</f>
        <v>169065025.41000003</v>
      </c>
      <c r="AG12" s="26">
        <f>资产资本表!AG89</f>
        <v>169041503.39000002</v>
      </c>
      <c r="AH12" s="26">
        <f>资产资本表!AH89</f>
        <v>175182573.47</v>
      </c>
      <c r="AI12" s="26">
        <f>资产资本表!AI89</f>
        <v>151886847.56</v>
      </c>
      <c r="AJ12" s="26">
        <f>资产资本表!AJ89</f>
        <v>152339718.16</v>
      </c>
      <c r="AK12" s="26">
        <f>资产资本表!AK89</f>
        <v>154766639.42000002</v>
      </c>
      <c r="AL12" s="26">
        <f>资产资本表!AL89</f>
        <v>435019483.77000004</v>
      </c>
      <c r="AM12" s="26">
        <f>资产资本表!AM89</f>
        <v>426111628.88</v>
      </c>
      <c r="AN12" s="26">
        <f>资产资本表!AN89</f>
        <v>328013017.86000001</v>
      </c>
      <c r="AO12" s="26">
        <f>资产资本表!AO89</f>
        <v>129623157.11</v>
      </c>
      <c r="AP12" s="26">
        <f>资产资本表!AP89</f>
        <v>127154722.02000001</v>
      </c>
      <c r="AQ12" s="26">
        <f>资产资本表!AQ89</f>
        <v>85760991.75</v>
      </c>
      <c r="AR12" s="26">
        <f>资产资本表!AR89</f>
        <v>1035196913.28</v>
      </c>
      <c r="AS12" s="26">
        <f>资产资本表!AS89</f>
        <v>966563928.59000003</v>
      </c>
      <c r="AT12" s="26">
        <f>资产资本表!AT89</f>
        <v>1216763771.4400001</v>
      </c>
      <c r="AU12" s="26">
        <f>资产资本表!AU89</f>
        <v>478497714.28999996</v>
      </c>
      <c r="AV12" s="26">
        <f>资产资本表!AV89</f>
        <v>270000000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47500000</v>
      </c>
      <c r="BF12" s="26">
        <f>资产资本表!BF89</f>
        <v>95500000</v>
      </c>
      <c r="BG12" s="26">
        <f>资产资本表!BG89</f>
        <v>132500000</v>
      </c>
      <c r="BH12" s="26">
        <f>资产资本表!BH89</f>
        <v>130894100</v>
      </c>
      <c r="BI12" s="26">
        <f>资产资本表!BI89</f>
        <v>190219495</v>
      </c>
      <c r="BJ12" s="26">
        <f>资产资本表!BJ89</f>
        <v>70000000</v>
      </c>
      <c r="BK12" s="26">
        <f>资产资本表!BK89</f>
        <v>80000000</v>
      </c>
      <c r="BL12" s="26">
        <f>资产资本表!BL89</f>
        <v>70000000</v>
      </c>
      <c r="BM12" s="26">
        <f>资产资本表!BM89</f>
        <v>20000000</v>
      </c>
      <c r="BN12" s="26">
        <f>资产资本表!BN89</f>
        <v>94000000</v>
      </c>
      <c r="BO12" s="26">
        <f>资产资本表!BO89</f>
        <v>99000000</v>
      </c>
      <c r="BP12" s="26">
        <f>资产资本表!BP89</f>
        <v>99000000</v>
      </c>
      <c r="BQ12" s="26">
        <f>资产资本表!BQ89</f>
        <v>98500000</v>
      </c>
      <c r="BR12" s="26">
        <f>资产资本表!BR89</f>
        <v>98500000</v>
      </c>
      <c r="BS12" s="26">
        <f>资产资本表!BS89</f>
        <v>99055524.030000001</v>
      </c>
      <c r="BT12" s="26">
        <f>资产资本表!BT89</f>
        <v>89263845.549999997</v>
      </c>
      <c r="BU12" s="26">
        <f>资产资本表!BU89</f>
        <v>73472167.069999993</v>
      </c>
      <c r="BV12" s="26">
        <f>资产资本表!BV89</f>
        <v>138668706.72999999</v>
      </c>
      <c r="BW12" s="26">
        <f>资产资本表!BW89</f>
        <v>104888810.11</v>
      </c>
      <c r="BX12" s="26">
        <f>资产资本表!BX89</f>
        <v>142097131.63</v>
      </c>
      <c r="BY12" s="26">
        <f>资产资本表!BY89</f>
        <v>72364447.159999996</v>
      </c>
      <c r="BZ12" s="26">
        <f>资产资本表!BZ89</f>
        <v>0</v>
      </c>
      <c r="CA12" s="26">
        <f>资产资本表!CA89</f>
        <v>91630449</v>
      </c>
      <c r="CB12" s="26">
        <f>资产资本表!CB89</f>
        <v>72593281</v>
      </c>
      <c r="CC12" s="26">
        <f>资产资本表!CC89</f>
        <v>69426503</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17180589975.529995</v>
      </c>
      <c r="F13" s="26">
        <f t="shared" ref="F13:BQ13" si="0">F9-F12</f>
        <v>14802763734.210005</v>
      </c>
      <c r="G13" s="26">
        <f t="shared" si="0"/>
        <v>13509494933.680002</v>
      </c>
      <c r="H13" s="26">
        <f t="shared" si="0"/>
        <v>15171259069.099998</v>
      </c>
      <c r="I13" s="26">
        <f t="shared" si="0"/>
        <v>14913773349.100004</v>
      </c>
      <c r="J13" s="26">
        <f t="shared" si="0"/>
        <v>12565645872.379999</v>
      </c>
      <c r="K13" s="26">
        <f t="shared" si="0"/>
        <v>11432516512.739994</v>
      </c>
      <c r="L13" s="26">
        <f t="shared" si="0"/>
        <v>13825841120.4</v>
      </c>
      <c r="M13" s="26">
        <f t="shared" si="0"/>
        <v>13435463175.259998</v>
      </c>
      <c r="N13" s="26">
        <f t="shared" si="0"/>
        <v>11593769769.26</v>
      </c>
      <c r="O13" s="26">
        <f t="shared" si="0"/>
        <v>10627171174.670004</v>
      </c>
      <c r="P13" s="26">
        <f t="shared" si="0"/>
        <v>11556018716.73</v>
      </c>
      <c r="Q13" s="26">
        <f t="shared" si="0"/>
        <v>11193990100.570004</v>
      </c>
      <c r="R13" s="26">
        <f t="shared" si="0"/>
        <v>9397779309.2299995</v>
      </c>
      <c r="S13" s="26">
        <f t="shared" si="0"/>
        <v>9023824269.0700016</v>
      </c>
      <c r="T13" s="26">
        <f t="shared" si="0"/>
        <v>9208118338.7799988</v>
      </c>
      <c r="U13" s="26">
        <f t="shared" si="0"/>
        <v>8932279891.2399998</v>
      </c>
      <c r="V13" s="26">
        <f t="shared" si="0"/>
        <v>7964304097.5799999</v>
      </c>
      <c r="W13" s="26">
        <f t="shared" si="0"/>
        <v>7722012895.5</v>
      </c>
      <c r="X13" s="26">
        <f t="shared" si="0"/>
        <v>7771902753.8899994</v>
      </c>
      <c r="Y13" s="26">
        <f t="shared" si="0"/>
        <v>7513830645.9000015</v>
      </c>
      <c r="Z13" s="26">
        <f t="shared" si="0"/>
        <v>7017654487.7300005</v>
      </c>
      <c r="AA13" s="26">
        <f t="shared" si="0"/>
        <v>6274892932.1500025</v>
      </c>
      <c r="AB13" s="26">
        <f t="shared" si="0"/>
        <v>5923112654.8200006</v>
      </c>
      <c r="AC13" s="26">
        <f t="shared" si="0"/>
        <v>3496265921.2900004</v>
      </c>
      <c r="AD13" s="26">
        <f t="shared" si="0"/>
        <v>2999766938.4600005</v>
      </c>
      <c r="AE13" s="26">
        <f t="shared" si="0"/>
        <v>2794031509.5000005</v>
      </c>
      <c r="AF13" s="26">
        <f t="shared" si="0"/>
        <v>2718430714.3299999</v>
      </c>
      <c r="AG13" s="26">
        <f t="shared" si="0"/>
        <v>2586353602.9499993</v>
      </c>
      <c r="AH13" s="26">
        <f t="shared" si="0"/>
        <v>2241086337.7799993</v>
      </c>
      <c r="AI13" s="26">
        <f t="shared" si="0"/>
        <v>2016881221.3100004</v>
      </c>
      <c r="AJ13" s="26">
        <f t="shared" si="0"/>
        <v>2346531025.3200006</v>
      </c>
      <c r="AK13" s="26">
        <f t="shared" si="0"/>
        <v>2251039725.0699997</v>
      </c>
      <c r="AL13" s="26">
        <f t="shared" si="0"/>
        <v>1922374657.0700002</v>
      </c>
      <c r="AM13" s="26">
        <f t="shared" si="0"/>
        <v>1767057556.6599994</v>
      </c>
      <c r="AN13" s="26">
        <f t="shared" si="0"/>
        <v>1860279517.23</v>
      </c>
      <c r="AO13" s="26">
        <f t="shared" si="0"/>
        <v>1701028766.2299995</v>
      </c>
      <c r="AP13" s="26">
        <f t="shared" si="0"/>
        <v>1612772749.2899995</v>
      </c>
      <c r="AQ13" s="26">
        <f t="shared" si="0"/>
        <v>1725714340.2100003</v>
      </c>
      <c r="AR13" s="26">
        <f t="shared" si="0"/>
        <v>2013857845.5899999</v>
      </c>
      <c r="AS13" s="26">
        <f t="shared" si="0"/>
        <v>2828573554.7199993</v>
      </c>
      <c r="AT13" s="26">
        <f t="shared" si="0"/>
        <v>2128437649.9900002</v>
      </c>
      <c r="AU13" s="26">
        <f t="shared" si="0"/>
        <v>1559012952.5699999</v>
      </c>
      <c r="AV13" s="26">
        <f t="shared" si="0"/>
        <v>1557653321.0400002</v>
      </c>
      <c r="AW13" s="26">
        <f t="shared" si="0"/>
        <v>1369221225.9200001</v>
      </c>
      <c r="AX13" s="26">
        <f t="shared" si="0"/>
        <v>1241170819.6399996</v>
      </c>
      <c r="AY13" s="26">
        <f t="shared" si="0"/>
        <v>1183468200.3299999</v>
      </c>
      <c r="AZ13" s="26">
        <f t="shared" si="0"/>
        <v>1406166204.9299998</v>
      </c>
      <c r="BA13" s="26">
        <f t="shared" si="0"/>
        <v>1374384860.6600003</v>
      </c>
      <c r="BB13" s="26">
        <f t="shared" si="0"/>
        <v>1326622436.5400002</v>
      </c>
      <c r="BC13" s="26">
        <f t="shared" si="0"/>
        <v>1259286368.4400001</v>
      </c>
      <c r="BD13" s="26">
        <f t="shared" si="0"/>
        <v>1320588902.0400004</v>
      </c>
      <c r="BE13" s="26">
        <f t="shared" si="0"/>
        <v>1295033874.8999999</v>
      </c>
      <c r="BF13" s="26">
        <f t="shared" si="0"/>
        <v>1250641328.1100001</v>
      </c>
      <c r="BG13" s="26">
        <f t="shared" si="0"/>
        <v>1102640841.3599999</v>
      </c>
      <c r="BH13" s="26">
        <f t="shared" si="0"/>
        <v>1128575593.7499998</v>
      </c>
      <c r="BI13" s="26">
        <f t="shared" si="0"/>
        <v>1114208849.27</v>
      </c>
      <c r="BJ13" s="26">
        <f t="shared" si="0"/>
        <v>1095511828.0999999</v>
      </c>
      <c r="BK13" s="26">
        <f t="shared" si="0"/>
        <v>1002291568.5</v>
      </c>
      <c r="BL13" s="26">
        <f t="shared" si="0"/>
        <v>1000520116.6399999</v>
      </c>
      <c r="BM13" s="26">
        <f t="shared" si="0"/>
        <v>965941828.72000003</v>
      </c>
      <c r="BN13" s="26">
        <f t="shared" si="0"/>
        <v>997218987.48000002</v>
      </c>
      <c r="BO13" s="26">
        <f t="shared" si="0"/>
        <v>916231406.8599999</v>
      </c>
      <c r="BP13" s="26">
        <f t="shared" si="0"/>
        <v>964859043.04999995</v>
      </c>
      <c r="BQ13" s="26">
        <f t="shared" si="0"/>
        <v>944350853.92000008</v>
      </c>
      <c r="BR13" s="26">
        <f t="shared" ref="BR13:CL13" si="1">BR9-BR12</f>
        <v>965660126.05000007</v>
      </c>
      <c r="BS13" s="26">
        <f t="shared" si="1"/>
        <v>924304278.47000003</v>
      </c>
      <c r="BT13" s="26">
        <f t="shared" si="1"/>
        <v>667758906.13</v>
      </c>
      <c r="BU13" s="26">
        <f t="shared" si="1"/>
        <v>627851483.73000002</v>
      </c>
      <c r="BV13" s="26">
        <f t="shared" si="1"/>
        <v>619940444.02999997</v>
      </c>
      <c r="BW13" s="26">
        <f t="shared" si="1"/>
        <v>621686358.52999985</v>
      </c>
      <c r="BX13" s="26">
        <f t="shared" si="1"/>
        <v>426318820.74000013</v>
      </c>
      <c r="BY13" s="26">
        <f t="shared" si="1"/>
        <v>448796523.07000005</v>
      </c>
      <c r="BZ13" s="26">
        <f t="shared" si="1"/>
        <v>159818435.05000001</v>
      </c>
      <c r="CA13" s="26">
        <f t="shared" si="1"/>
        <v>68393841</v>
      </c>
      <c r="CB13" s="26">
        <f t="shared" si="1"/>
        <v>17823635</v>
      </c>
      <c r="CC13" s="26">
        <f t="shared" si="1"/>
        <v>-2560435</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17994514915.529995</v>
      </c>
      <c r="F14" s="48">
        <f t="shared" ref="F14:BQ14" si="2">F9</f>
        <v>16939741971.700005</v>
      </c>
      <c r="G14" s="48">
        <f t="shared" si="2"/>
        <v>16923176671.170002</v>
      </c>
      <c r="H14" s="48">
        <f t="shared" si="2"/>
        <v>15171259069.099998</v>
      </c>
      <c r="I14" s="48">
        <f t="shared" si="2"/>
        <v>14913773349.100004</v>
      </c>
      <c r="J14" s="48">
        <f t="shared" si="2"/>
        <v>12567222866.5</v>
      </c>
      <c r="K14" s="48">
        <f t="shared" si="2"/>
        <v>11432516512.739994</v>
      </c>
      <c r="L14" s="48">
        <f t="shared" si="2"/>
        <v>13835981162.129999</v>
      </c>
      <c r="M14" s="48">
        <f t="shared" si="2"/>
        <v>13441840491.709999</v>
      </c>
      <c r="N14" s="48">
        <f t="shared" si="2"/>
        <v>11593769769.26</v>
      </c>
      <c r="O14" s="48">
        <f t="shared" si="2"/>
        <v>10628440626.480003</v>
      </c>
      <c r="P14" s="48">
        <f t="shared" si="2"/>
        <v>11558717334.549999</v>
      </c>
      <c r="Q14" s="48">
        <f t="shared" si="2"/>
        <v>11198117884.400003</v>
      </c>
      <c r="R14" s="48">
        <f t="shared" si="2"/>
        <v>9649847928.1399994</v>
      </c>
      <c r="S14" s="48">
        <f t="shared" si="2"/>
        <v>9285295396.5100021</v>
      </c>
      <c r="T14" s="48">
        <f t="shared" si="2"/>
        <v>9651100482.4399986</v>
      </c>
      <c r="U14" s="48">
        <f t="shared" si="2"/>
        <v>9398007672.6700001</v>
      </c>
      <c r="V14" s="48">
        <f t="shared" si="2"/>
        <v>8579024538.8100004</v>
      </c>
      <c r="W14" s="48">
        <f t="shared" si="2"/>
        <v>8554326125.3400002</v>
      </c>
      <c r="X14" s="48">
        <f t="shared" si="2"/>
        <v>8393343081.7799997</v>
      </c>
      <c r="Y14" s="48">
        <f t="shared" si="2"/>
        <v>8179066949.0500011</v>
      </c>
      <c r="Z14" s="48">
        <f t="shared" si="2"/>
        <v>7451955014.6300001</v>
      </c>
      <c r="AA14" s="48">
        <f t="shared" si="2"/>
        <v>6674654810.5200024</v>
      </c>
      <c r="AB14" s="48">
        <f t="shared" si="2"/>
        <v>6317384655.0100002</v>
      </c>
      <c r="AC14" s="48">
        <f t="shared" si="2"/>
        <v>3697595564.9000006</v>
      </c>
      <c r="AD14" s="48">
        <f t="shared" si="2"/>
        <v>3185711014.5000005</v>
      </c>
      <c r="AE14" s="48">
        <f t="shared" si="2"/>
        <v>3014767146.4700003</v>
      </c>
      <c r="AF14" s="48">
        <f t="shared" si="2"/>
        <v>2887495739.7399998</v>
      </c>
      <c r="AG14" s="48">
        <f t="shared" si="2"/>
        <v>2755395106.3399992</v>
      </c>
      <c r="AH14" s="48">
        <f t="shared" si="2"/>
        <v>2416268911.249999</v>
      </c>
      <c r="AI14" s="48">
        <f t="shared" si="2"/>
        <v>2168768068.8700004</v>
      </c>
      <c r="AJ14" s="48">
        <f t="shared" si="2"/>
        <v>2498870743.4800005</v>
      </c>
      <c r="AK14" s="48">
        <f t="shared" si="2"/>
        <v>2405806364.4899998</v>
      </c>
      <c r="AL14" s="48">
        <f t="shared" si="2"/>
        <v>2357394140.8400002</v>
      </c>
      <c r="AM14" s="48">
        <f t="shared" si="2"/>
        <v>2193169185.5399995</v>
      </c>
      <c r="AN14" s="48">
        <f t="shared" si="2"/>
        <v>2188292535.0900002</v>
      </c>
      <c r="AO14" s="48">
        <f t="shared" si="2"/>
        <v>1830651923.3399994</v>
      </c>
      <c r="AP14" s="48">
        <f t="shared" si="2"/>
        <v>1739927471.3099995</v>
      </c>
      <c r="AQ14" s="48">
        <f t="shared" si="2"/>
        <v>1811475331.9600003</v>
      </c>
      <c r="AR14" s="48">
        <f t="shared" si="2"/>
        <v>3049054758.8699999</v>
      </c>
      <c r="AS14" s="48">
        <f t="shared" si="2"/>
        <v>3795137483.3099995</v>
      </c>
      <c r="AT14" s="48">
        <f t="shared" si="2"/>
        <v>3345201421.4300003</v>
      </c>
      <c r="AU14" s="48">
        <f t="shared" si="2"/>
        <v>2037510666.8599999</v>
      </c>
      <c r="AV14" s="48">
        <f t="shared" si="2"/>
        <v>1827653321.0400002</v>
      </c>
      <c r="AW14" s="48">
        <f t="shared" si="2"/>
        <v>1369221225.9200001</v>
      </c>
      <c r="AX14" s="48">
        <f t="shared" si="2"/>
        <v>1241170819.6399996</v>
      </c>
      <c r="AY14" s="48">
        <f t="shared" si="2"/>
        <v>1183468200.3299999</v>
      </c>
      <c r="AZ14" s="48">
        <f t="shared" si="2"/>
        <v>1406166204.9299998</v>
      </c>
      <c r="BA14" s="48">
        <f t="shared" si="2"/>
        <v>1374384860.6600003</v>
      </c>
      <c r="BB14" s="48">
        <f t="shared" si="2"/>
        <v>1326622436.5400002</v>
      </c>
      <c r="BC14" s="48">
        <f t="shared" si="2"/>
        <v>1259286368.4400001</v>
      </c>
      <c r="BD14" s="48">
        <f t="shared" si="2"/>
        <v>1320588902.0400004</v>
      </c>
      <c r="BE14" s="48">
        <f t="shared" si="2"/>
        <v>1342533874.8999999</v>
      </c>
      <c r="BF14" s="48">
        <f t="shared" si="2"/>
        <v>1346141328.1100001</v>
      </c>
      <c r="BG14" s="48">
        <f t="shared" si="2"/>
        <v>1235140841.3599999</v>
      </c>
      <c r="BH14" s="48">
        <f t="shared" si="2"/>
        <v>1259469693.7499998</v>
      </c>
      <c r="BI14" s="48">
        <f t="shared" si="2"/>
        <v>1304428344.27</v>
      </c>
      <c r="BJ14" s="48">
        <f t="shared" si="2"/>
        <v>1165511828.0999999</v>
      </c>
      <c r="BK14" s="48">
        <f t="shared" si="2"/>
        <v>1082291568.5</v>
      </c>
      <c r="BL14" s="48">
        <f t="shared" si="2"/>
        <v>1070520116.6399999</v>
      </c>
      <c r="BM14" s="48">
        <f t="shared" si="2"/>
        <v>985941828.72000003</v>
      </c>
      <c r="BN14" s="48">
        <f t="shared" si="2"/>
        <v>1091218987.48</v>
      </c>
      <c r="BO14" s="48">
        <f t="shared" si="2"/>
        <v>1015231406.8599999</v>
      </c>
      <c r="BP14" s="48">
        <f t="shared" si="2"/>
        <v>1063859043.05</v>
      </c>
      <c r="BQ14" s="48">
        <f t="shared" si="2"/>
        <v>1042850853.9200001</v>
      </c>
      <c r="BR14" s="48">
        <f t="shared" ref="BR14:CL14" si="3">BR9</f>
        <v>1064160126.0500001</v>
      </c>
      <c r="BS14" s="48">
        <f t="shared" si="3"/>
        <v>1023359802.5</v>
      </c>
      <c r="BT14" s="48">
        <f t="shared" si="3"/>
        <v>757022751.67999995</v>
      </c>
      <c r="BU14" s="48">
        <f t="shared" si="3"/>
        <v>701323650.79999995</v>
      </c>
      <c r="BV14" s="48">
        <f t="shared" si="3"/>
        <v>758609150.75999999</v>
      </c>
      <c r="BW14" s="48">
        <f t="shared" si="3"/>
        <v>726575168.63999987</v>
      </c>
      <c r="BX14" s="48">
        <f t="shared" si="3"/>
        <v>568415952.37000012</v>
      </c>
      <c r="BY14" s="48">
        <f t="shared" si="3"/>
        <v>521160970.23000002</v>
      </c>
      <c r="BZ14" s="48">
        <f t="shared" si="3"/>
        <v>159818435.05000001</v>
      </c>
      <c r="CA14" s="48">
        <f t="shared" si="3"/>
        <v>160024290</v>
      </c>
      <c r="CB14" s="48">
        <f t="shared" si="3"/>
        <v>90416916</v>
      </c>
      <c r="CC14" s="48">
        <f t="shared" si="3"/>
        <v>66866068</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3184308505.5899982</v>
      </c>
      <c r="F15" s="58">
        <f t="shared" ref="F15:BQ15" si="4">F11+F13-F3-F4-F7</f>
        <v>1823471758.4699993</v>
      </c>
      <c r="G15" s="58">
        <f t="shared" si="4"/>
        <v>1494203355.4299994</v>
      </c>
      <c r="H15" s="58">
        <f t="shared" si="4"/>
        <v>5193625214.5100012</v>
      </c>
      <c r="I15" s="58">
        <f t="shared" si="4"/>
        <v>6983426374.2300005</v>
      </c>
      <c r="J15" s="58">
        <f t="shared" si="4"/>
        <v>3687047873.4000006</v>
      </c>
      <c r="K15" s="58">
        <f t="shared" si="4"/>
        <v>3571046744.9399996</v>
      </c>
      <c r="L15" s="58">
        <f t="shared" si="4"/>
        <v>5861768409.6499996</v>
      </c>
      <c r="M15" s="58">
        <f t="shared" si="4"/>
        <v>8380218603.2199984</v>
      </c>
      <c r="N15" s="58">
        <f t="shared" si="4"/>
        <v>6978660244.5200005</v>
      </c>
      <c r="O15" s="58">
        <f t="shared" si="4"/>
        <v>6034722856.8000021</v>
      </c>
      <c r="P15" s="58">
        <f t="shared" si="4"/>
        <v>5200639521.9000006</v>
      </c>
      <c r="Q15" s="58">
        <f t="shared" si="4"/>
        <v>6184977224.3499994</v>
      </c>
      <c r="R15" s="58">
        <f t="shared" si="4"/>
        <v>5034637783.7599993</v>
      </c>
      <c r="S15" s="58">
        <f t="shared" si="4"/>
        <v>4649269507.3600006</v>
      </c>
      <c r="T15" s="58">
        <f t="shared" si="4"/>
        <v>3725628704.1599979</v>
      </c>
      <c r="U15" s="58">
        <f t="shared" si="4"/>
        <v>4018535871.210001</v>
      </c>
      <c r="V15" s="58">
        <f t="shared" si="4"/>
        <v>4480900035.5099983</v>
      </c>
      <c r="W15" s="58">
        <f t="shared" si="4"/>
        <v>3544428435.9500008</v>
      </c>
      <c r="X15" s="58">
        <f t="shared" si="4"/>
        <v>2757566103.1799994</v>
      </c>
      <c r="Y15" s="58">
        <f t="shared" si="4"/>
        <v>2750816613.9400001</v>
      </c>
      <c r="Z15" s="58">
        <f t="shared" si="4"/>
        <v>4361262143.8100004</v>
      </c>
      <c r="AA15" s="58">
        <f t="shared" si="4"/>
        <v>4310202866.1800003</v>
      </c>
      <c r="AB15" s="58">
        <f t="shared" si="4"/>
        <v>4180926844.0400014</v>
      </c>
      <c r="AC15" s="58">
        <f t="shared" si="4"/>
        <v>1473878325.5399995</v>
      </c>
      <c r="AD15" s="58">
        <f t="shared" si="4"/>
        <v>1290671019.77</v>
      </c>
      <c r="AE15" s="58">
        <f t="shared" si="4"/>
        <v>1079424746.5400002</v>
      </c>
      <c r="AF15" s="58">
        <f t="shared" si="4"/>
        <v>1374562934.6100004</v>
      </c>
      <c r="AG15" s="58">
        <f t="shared" si="4"/>
        <v>1452372628.8200002</v>
      </c>
      <c r="AH15" s="58">
        <f t="shared" si="4"/>
        <v>2512186031.3000002</v>
      </c>
      <c r="AI15" s="58">
        <f t="shared" si="4"/>
        <v>1352623750.3</v>
      </c>
      <c r="AJ15" s="58">
        <f t="shared" si="4"/>
        <v>1847486880.79</v>
      </c>
      <c r="AK15" s="58">
        <f t="shared" si="4"/>
        <v>1594375316.7899997</v>
      </c>
      <c r="AL15" s="58">
        <f t="shared" si="4"/>
        <v>2587611132.3099999</v>
      </c>
      <c r="AM15" s="58">
        <f t="shared" si="4"/>
        <v>2025112302.1900001</v>
      </c>
      <c r="AN15" s="58">
        <f t="shared" si="4"/>
        <v>1561502668.3499999</v>
      </c>
      <c r="AO15" s="58">
        <f t="shared" si="4"/>
        <v>1715547420.3599997</v>
      </c>
      <c r="AP15" s="58">
        <f t="shared" si="4"/>
        <v>1577481286.3699999</v>
      </c>
      <c r="AQ15" s="58">
        <f t="shared" si="4"/>
        <v>1859314199.6900001</v>
      </c>
      <c r="AR15" s="58">
        <f t="shared" si="4"/>
        <v>2177084021.5700002</v>
      </c>
      <c r="AS15" s="58">
        <f t="shared" si="4"/>
        <v>3169733905.1599998</v>
      </c>
      <c r="AT15" s="58">
        <f t="shared" si="4"/>
        <v>2514396393.0799999</v>
      </c>
      <c r="AU15" s="58">
        <f t="shared" si="4"/>
        <v>1632510833.7100003</v>
      </c>
      <c r="AV15" s="58">
        <f t="shared" si="4"/>
        <v>1481926237.4200003</v>
      </c>
      <c r="AW15" s="58">
        <f t="shared" si="4"/>
        <v>1373805633.4099998</v>
      </c>
      <c r="AX15" s="58">
        <f t="shared" si="4"/>
        <v>1024951639.3899999</v>
      </c>
      <c r="AY15" s="58">
        <f t="shared" si="4"/>
        <v>964735204.00999987</v>
      </c>
      <c r="AZ15" s="58">
        <f t="shared" si="4"/>
        <v>961985280.38</v>
      </c>
      <c r="BA15" s="58">
        <f t="shared" si="4"/>
        <v>872569143.07000005</v>
      </c>
      <c r="BB15" s="58">
        <f t="shared" si="4"/>
        <v>799623336.34000003</v>
      </c>
      <c r="BC15" s="58">
        <f t="shared" si="4"/>
        <v>562148887.16000021</v>
      </c>
      <c r="BD15" s="58">
        <f t="shared" si="4"/>
        <v>482767658.93000019</v>
      </c>
      <c r="BE15" s="58">
        <f t="shared" si="4"/>
        <v>529633671.28999984</v>
      </c>
      <c r="BF15" s="58">
        <f t="shared" si="4"/>
        <v>362662640.56000006</v>
      </c>
      <c r="BG15" s="58">
        <f t="shared" si="4"/>
        <v>154828958.16999996</v>
      </c>
      <c r="BH15" s="58">
        <f t="shared" si="4"/>
        <v>278723336.23000002</v>
      </c>
      <c r="BI15" s="58">
        <f t="shared" si="4"/>
        <v>376642178.04000008</v>
      </c>
      <c r="BJ15" s="58">
        <f t="shared" si="4"/>
        <v>326608342.90999997</v>
      </c>
      <c r="BK15" s="58">
        <f t="shared" si="4"/>
        <v>279749413.23999995</v>
      </c>
      <c r="BL15" s="58">
        <f t="shared" si="4"/>
        <v>383044126.40000004</v>
      </c>
      <c r="BM15" s="58">
        <f t="shared" si="4"/>
        <v>395568093.60000002</v>
      </c>
      <c r="BN15" s="58">
        <f t="shared" si="4"/>
        <v>442574453.91000009</v>
      </c>
      <c r="BO15" s="58">
        <f t="shared" si="4"/>
        <v>326485112.55000007</v>
      </c>
      <c r="BP15" s="58">
        <f t="shared" si="4"/>
        <v>316212526.77000004</v>
      </c>
      <c r="BQ15" s="58">
        <f t="shared" si="4"/>
        <v>350978194.47000015</v>
      </c>
      <c r="BR15" s="58">
        <f t="shared" ref="BR15:CL15" si="5">BR11+BR13-BR3-BR4-BR7</f>
        <v>461805400.40000004</v>
      </c>
      <c r="BS15" s="58">
        <f t="shared" si="5"/>
        <v>410735636.64000005</v>
      </c>
      <c r="BT15" s="58">
        <f t="shared" si="5"/>
        <v>37907121.169999897</v>
      </c>
      <c r="BU15" s="58">
        <f t="shared" si="5"/>
        <v>31570834.800000012</v>
      </c>
      <c r="BV15" s="58">
        <f t="shared" si="5"/>
        <v>65447754.029999971</v>
      </c>
      <c r="BW15" s="58">
        <f t="shared" si="5"/>
        <v>79741194.199999928</v>
      </c>
      <c r="BX15" s="58">
        <f t="shared" si="5"/>
        <v>-87199581.969999969</v>
      </c>
      <c r="BY15" s="58">
        <f t="shared" si="5"/>
        <v>75100869.800000072</v>
      </c>
      <c r="BZ15" s="58">
        <f t="shared" si="5"/>
        <v>0</v>
      </c>
      <c r="CA15" s="58">
        <f t="shared" si="5"/>
        <v>-54799302</v>
      </c>
      <c r="CB15" s="58">
        <f t="shared" si="5"/>
        <v>-43647378</v>
      </c>
      <c r="CC15" s="58">
        <f t="shared" si="5"/>
        <v>-35364328</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-3184308505.5899997</v>
      </c>
      <c r="F16" s="58">
        <f t="shared" ref="F16:BQ16" si="6">F10-F2</f>
        <v>-1823471758.47</v>
      </c>
      <c r="G16" s="58">
        <f t="shared" si="6"/>
        <v>-1494203355.4300003</v>
      </c>
      <c r="H16" s="58">
        <f t="shared" si="6"/>
        <v>-5193625214.5100002</v>
      </c>
      <c r="I16" s="58">
        <f t="shared" si="6"/>
        <v>-6983426374.2299995</v>
      </c>
      <c r="J16" s="58">
        <f t="shared" si="6"/>
        <v>-3687047873.4000001</v>
      </c>
      <c r="K16" s="58">
        <f t="shared" si="6"/>
        <v>-3571046744.9400001</v>
      </c>
      <c r="L16" s="58">
        <f t="shared" si="6"/>
        <v>-5861768409.6499996</v>
      </c>
      <c r="M16" s="58">
        <f t="shared" si="6"/>
        <v>-8380218603.2200003</v>
      </c>
      <c r="N16" s="58">
        <f t="shared" si="6"/>
        <v>-6978660244.5200005</v>
      </c>
      <c r="O16" s="58">
        <f t="shared" si="6"/>
        <v>-6034722856.8000002</v>
      </c>
      <c r="P16" s="58">
        <f t="shared" si="6"/>
        <v>-5200639521.9000006</v>
      </c>
      <c r="Q16" s="58">
        <f t="shared" si="6"/>
        <v>-6184977224.3499994</v>
      </c>
      <c r="R16" s="58">
        <f t="shared" si="6"/>
        <v>-5034637783.7600002</v>
      </c>
      <c r="S16" s="58">
        <f t="shared" si="6"/>
        <v>-4649269507.3600006</v>
      </c>
      <c r="T16" s="58">
        <f t="shared" si="6"/>
        <v>-3725628704.1599994</v>
      </c>
      <c r="U16" s="58">
        <f t="shared" si="6"/>
        <v>-4018535871.21</v>
      </c>
      <c r="V16" s="58">
        <f t="shared" si="6"/>
        <v>-4480900035.5099993</v>
      </c>
      <c r="W16" s="58">
        <f t="shared" si="6"/>
        <v>-3544428435.9500003</v>
      </c>
      <c r="X16" s="58">
        <f t="shared" si="6"/>
        <v>-2757566103.1799998</v>
      </c>
      <c r="Y16" s="58">
        <f t="shared" si="6"/>
        <v>-2750816613.9400001</v>
      </c>
      <c r="Z16" s="58">
        <f t="shared" si="6"/>
        <v>-4361262143.8100004</v>
      </c>
      <c r="AA16" s="58">
        <f t="shared" si="6"/>
        <v>-4310202866.1800003</v>
      </c>
      <c r="AB16" s="58">
        <f t="shared" si="6"/>
        <v>-4180926844.0400004</v>
      </c>
      <c r="AC16" s="58">
        <f t="shared" si="6"/>
        <v>-1473878325.54</v>
      </c>
      <c r="AD16" s="58">
        <f t="shared" si="6"/>
        <v>-1290671019.7700002</v>
      </c>
      <c r="AE16" s="58">
        <f t="shared" si="6"/>
        <v>-1079424746.54</v>
      </c>
      <c r="AF16" s="58">
        <f t="shared" si="6"/>
        <v>-1374562934.6099999</v>
      </c>
      <c r="AG16" s="58">
        <f t="shared" si="6"/>
        <v>-1452372628.8199999</v>
      </c>
      <c r="AH16" s="58">
        <f t="shared" si="6"/>
        <v>-2512186031.3000002</v>
      </c>
      <c r="AI16" s="58">
        <f t="shared" si="6"/>
        <v>-1352623750.3</v>
      </c>
      <c r="AJ16" s="58">
        <f t="shared" si="6"/>
        <v>-1847486880.79</v>
      </c>
      <c r="AK16" s="58">
        <f t="shared" si="6"/>
        <v>-1594375316.79</v>
      </c>
      <c r="AL16" s="58">
        <f t="shared" si="6"/>
        <v>-2587611132.3099999</v>
      </c>
      <c r="AM16" s="58">
        <f t="shared" si="6"/>
        <v>-2025112302.1900001</v>
      </c>
      <c r="AN16" s="58">
        <f t="shared" si="6"/>
        <v>-1561502668.3499999</v>
      </c>
      <c r="AO16" s="58">
        <f t="shared" si="6"/>
        <v>-1715547420.3599999</v>
      </c>
      <c r="AP16" s="58">
        <f t="shared" si="6"/>
        <v>-1577481286.3699999</v>
      </c>
      <c r="AQ16" s="58">
        <f t="shared" si="6"/>
        <v>-1859314199.6900001</v>
      </c>
      <c r="AR16" s="58">
        <f t="shared" si="6"/>
        <v>-2177084021.5700002</v>
      </c>
      <c r="AS16" s="58">
        <f t="shared" si="6"/>
        <v>-3169733905.1599998</v>
      </c>
      <c r="AT16" s="58">
        <f t="shared" si="6"/>
        <v>-2514396393.0799999</v>
      </c>
      <c r="AU16" s="58">
        <f t="shared" si="6"/>
        <v>-1632510833.71</v>
      </c>
      <c r="AV16" s="58">
        <f t="shared" si="6"/>
        <v>-1481926237.4200001</v>
      </c>
      <c r="AW16" s="58">
        <f t="shared" si="6"/>
        <v>-1373805633.4099998</v>
      </c>
      <c r="AX16" s="58">
        <f t="shared" si="6"/>
        <v>-1024951639.39</v>
      </c>
      <c r="AY16" s="58">
        <f t="shared" si="6"/>
        <v>-964735204.00999999</v>
      </c>
      <c r="AZ16" s="58">
        <f t="shared" si="6"/>
        <v>-961985280.38</v>
      </c>
      <c r="BA16" s="58">
        <f t="shared" si="6"/>
        <v>-872569143.07000005</v>
      </c>
      <c r="BB16" s="58">
        <f t="shared" si="6"/>
        <v>-799623336.34000003</v>
      </c>
      <c r="BC16" s="58">
        <f t="shared" si="6"/>
        <v>-562148887.16000009</v>
      </c>
      <c r="BD16" s="58">
        <f t="shared" si="6"/>
        <v>-482767658.93000001</v>
      </c>
      <c r="BE16" s="58">
        <f t="shared" si="6"/>
        <v>-529633671.28999996</v>
      </c>
      <c r="BF16" s="58">
        <f t="shared" si="6"/>
        <v>-362662640.56</v>
      </c>
      <c r="BG16" s="58">
        <f t="shared" si="6"/>
        <v>-154828958.17000002</v>
      </c>
      <c r="BH16" s="58">
        <f t="shared" si="6"/>
        <v>-278723336.23000002</v>
      </c>
      <c r="BI16" s="58">
        <f t="shared" si="6"/>
        <v>-376642178.04000002</v>
      </c>
      <c r="BJ16" s="58">
        <f t="shared" si="6"/>
        <v>-326608342.91000003</v>
      </c>
      <c r="BK16" s="58">
        <f t="shared" si="6"/>
        <v>-279749413.24000001</v>
      </c>
      <c r="BL16" s="58">
        <f t="shared" si="6"/>
        <v>-383044126.39999998</v>
      </c>
      <c r="BM16" s="58">
        <f t="shared" si="6"/>
        <v>-395568093.60000002</v>
      </c>
      <c r="BN16" s="58">
        <f t="shared" si="6"/>
        <v>-442574453.91000003</v>
      </c>
      <c r="BO16" s="58">
        <f t="shared" si="6"/>
        <v>-326485112.55000001</v>
      </c>
      <c r="BP16" s="58">
        <f t="shared" si="6"/>
        <v>-316212526.77000004</v>
      </c>
      <c r="BQ16" s="58">
        <f t="shared" si="6"/>
        <v>-350978194.47000003</v>
      </c>
      <c r="BR16" s="58">
        <f t="shared" ref="BR16:CL16" si="7">BR10-BR2</f>
        <v>-461805400.39999998</v>
      </c>
      <c r="BS16" s="58">
        <f t="shared" si="7"/>
        <v>-410735636.63999999</v>
      </c>
      <c r="BT16" s="58">
        <f t="shared" si="7"/>
        <v>-37907121.170000002</v>
      </c>
      <c r="BU16" s="58">
        <f t="shared" si="7"/>
        <v>-31570834.799999997</v>
      </c>
      <c r="BV16" s="58">
        <f t="shared" si="7"/>
        <v>-65447754.030000001</v>
      </c>
      <c r="BW16" s="58">
        <f t="shared" si="7"/>
        <v>-79741194.199999988</v>
      </c>
      <c r="BX16" s="58">
        <f t="shared" si="7"/>
        <v>87199581.969999999</v>
      </c>
      <c r="BY16" s="58">
        <f t="shared" si="7"/>
        <v>-75100869.800000012</v>
      </c>
      <c r="BZ16" s="58">
        <f t="shared" si="7"/>
        <v>0</v>
      </c>
      <c r="CA16" s="58">
        <f t="shared" si="7"/>
        <v>54799302</v>
      </c>
      <c r="CB16" s="58">
        <f t="shared" si="7"/>
        <v>43647378</v>
      </c>
      <c r="CC16" s="58">
        <f t="shared" si="7"/>
        <v>35364328</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1.4801276941479022</v>
      </c>
      <c r="F17" s="59">
        <f t="shared" ref="F17:BQ17" si="8">(F11+F13-F7-F3)/F4</f>
        <v>1.3171396245613887</v>
      </c>
      <c r="G17" s="59">
        <f t="shared" si="8"/>
        <v>1.2937659792607508</v>
      </c>
      <c r="H17" s="59">
        <f t="shared" si="8"/>
        <v>2.759137950278268</v>
      </c>
      <c r="I17" s="59">
        <f t="shared" si="8"/>
        <v>11.015636034893676</v>
      </c>
      <c r="J17" s="59">
        <f t="shared" si="8"/>
        <v>3.0942908171213643</v>
      </c>
      <c r="K17" s="59">
        <f t="shared" si="8"/>
        <v>5.0235179748487635</v>
      </c>
      <c r="L17" s="59">
        <f t="shared" si="8"/>
        <v>6.8968235076193976</v>
      </c>
      <c r="M17" s="59">
        <f t="shared" si="8"/>
        <v>-3.8662158034518841</v>
      </c>
      <c r="N17" s="59">
        <f t="shared" si="8"/>
        <v>-2.4248000239915251</v>
      </c>
      <c r="O17" s="59">
        <f t="shared" si="8"/>
        <v>-1.7848583018239332</v>
      </c>
      <c r="P17" s="59">
        <f t="shared" si="8"/>
        <v>-12.740762726828352</v>
      </c>
      <c r="Q17" s="59">
        <f t="shared" si="8"/>
        <v>-3.2986272456029675</v>
      </c>
      <c r="R17" s="59">
        <f t="shared" si="8"/>
        <v>19.777926738987041</v>
      </c>
      <c r="S17" s="59">
        <f t="shared" si="8"/>
        <v>22.87081427828107</v>
      </c>
      <c r="T17" s="59">
        <f t="shared" si="8"/>
        <v>3.8719678955257479</v>
      </c>
      <c r="U17" s="59">
        <f t="shared" si="8"/>
        <v>6.4213090867602034</v>
      </c>
      <c r="V17" s="59">
        <f t="shared" si="8"/>
        <v>-6.8410841000518028</v>
      </c>
      <c r="W17" s="59">
        <f t="shared" si="8"/>
        <v>26.620041374209137</v>
      </c>
      <c r="X17" s="59">
        <f t="shared" si="8"/>
        <v>3.6172348360062521</v>
      </c>
      <c r="Y17" s="59">
        <f t="shared" si="8"/>
        <v>4.1917925124217108</v>
      </c>
      <c r="Z17" s="59">
        <f t="shared" si="8"/>
        <v>-6.045564813898034</v>
      </c>
      <c r="AA17" s="59">
        <f t="shared" si="8"/>
        <v>-4.0298244071706106</v>
      </c>
      <c r="AB17" s="59">
        <f t="shared" si="8"/>
        <v>-9.0516566158801286</v>
      </c>
      <c r="AC17" s="59">
        <f t="shared" si="8"/>
        <v>11.149657440832041</v>
      </c>
      <c r="AD17" s="59">
        <f t="shared" si="8"/>
        <v>-7.0934390901985784</v>
      </c>
      <c r="AE17" s="59">
        <f t="shared" si="8"/>
        <v>-35.08564204319736</v>
      </c>
      <c r="AF17" s="59">
        <f t="shared" si="8"/>
        <v>-16.734310708233281</v>
      </c>
      <c r="AG17" s="59">
        <f t="shared" si="8"/>
        <v>-3.7846710783985329</v>
      </c>
      <c r="AH17" s="59">
        <f t="shared" si="8"/>
        <v>-0.49990857215921602</v>
      </c>
      <c r="AI17" s="59">
        <f t="shared" si="8"/>
        <v>-0.84973195015155056</v>
      </c>
      <c r="AJ17" s="59">
        <f t="shared" si="8"/>
        <v>-1.1809108955776548</v>
      </c>
      <c r="AK17" s="59">
        <f t="shared" si="8"/>
        <v>-1.2825254984748853</v>
      </c>
      <c r="AL17" s="59">
        <f t="shared" si="8"/>
        <v>-0.49170867155190495</v>
      </c>
      <c r="AM17" s="59">
        <f t="shared" si="8"/>
        <v>-0.50130198286879679</v>
      </c>
      <c r="AN17" s="59">
        <f t="shared" si="8"/>
        <v>-0.46433731608243395</v>
      </c>
      <c r="AO17" s="59">
        <f t="shared" si="8"/>
        <v>-0.25311269322942748</v>
      </c>
      <c r="AP17" s="59">
        <f t="shared" si="8"/>
        <v>-0.27554261063298363</v>
      </c>
      <c r="AQ17" s="59">
        <f t="shared" si="8"/>
        <v>-0.57498631173654091</v>
      </c>
      <c r="AR17" s="59">
        <f t="shared" si="8"/>
        <v>-0.93075401739377761</v>
      </c>
      <c r="AS17" s="59">
        <f t="shared" si="8"/>
        <v>-3.5444333107423884</v>
      </c>
      <c r="AT17" s="59">
        <f t="shared" si="8"/>
        <v>-2.2990969788607543</v>
      </c>
      <c r="AU17" s="59">
        <f t="shared" si="8"/>
        <v>-1.4447018997364494</v>
      </c>
      <c r="AV17" s="59">
        <f t="shared" si="8"/>
        <v>-0.88639359090865966</v>
      </c>
      <c r="AW17" s="59">
        <f t="shared" si="8"/>
        <v>-0.69629688004272317</v>
      </c>
      <c r="AX17" s="59">
        <f t="shared" si="8"/>
        <v>-1.0740125457391878</v>
      </c>
      <c r="AY17" s="59">
        <f t="shared" si="8"/>
        <v>-1.2486075657019975</v>
      </c>
      <c r="AZ17" s="59">
        <f t="shared" si="8"/>
        <v>-3.1642983253811736</v>
      </c>
      <c r="BA17" s="59">
        <f t="shared" si="8"/>
        <v>-3.5479962468655786</v>
      </c>
      <c r="BB17" s="59">
        <f t="shared" si="8"/>
        <v>-3.9048298973534061</v>
      </c>
      <c r="BC17" s="59">
        <f t="shared" si="8"/>
        <v>52.186419151410895</v>
      </c>
      <c r="BD17" s="59">
        <f t="shared" si="8"/>
        <v>4.4339576110403272</v>
      </c>
      <c r="BE17" s="59">
        <f t="shared" si="8"/>
        <v>10.724178458579589</v>
      </c>
      <c r="BF17" s="59">
        <f t="shared" si="8"/>
        <v>-5.049596230524668</v>
      </c>
      <c r="BG17" s="59">
        <f t="shared" si="8"/>
        <v>1.5508402064399616</v>
      </c>
      <c r="BH17" s="59">
        <f t="shared" si="8"/>
        <v>2.2063936247481331</v>
      </c>
      <c r="BI17" s="59">
        <f t="shared" si="8"/>
        <v>3.7168367967960627</v>
      </c>
      <c r="BJ17" s="59">
        <f t="shared" si="8"/>
        <v>2.7175236701360581</v>
      </c>
      <c r="BK17" s="59">
        <f t="shared" si="8"/>
        <v>2.4024834554723324</v>
      </c>
      <c r="BL17" s="59">
        <f t="shared" si="8"/>
        <v>3.616326872883501</v>
      </c>
      <c r="BM17" s="59">
        <f t="shared" si="8"/>
        <v>5.406762117251013</v>
      </c>
      <c r="BN17" s="59">
        <f t="shared" si="8"/>
        <v>7.0534753180024747</v>
      </c>
      <c r="BO17" s="59">
        <f t="shared" si="8"/>
        <v>3.2717213067659374</v>
      </c>
      <c r="BP17" s="59">
        <f t="shared" si="8"/>
        <v>2.6166945726110149</v>
      </c>
      <c r="BQ17" s="59">
        <f t="shared" si="8"/>
        <v>3.5382806254809496</v>
      </c>
      <c r="BR17" s="59">
        <f t="shared" ref="BR17:CL17" si="9">(BR11+BR13-BR7-BR3)/BR4</f>
        <v>6.6217690955887614</v>
      </c>
      <c r="BS17" s="59">
        <f t="shared" si="9"/>
        <v>5.6692251564793938</v>
      </c>
      <c r="BT17" s="59">
        <f t="shared" si="9"/>
        <v>1.2227503017298524</v>
      </c>
      <c r="BU17" s="59">
        <f t="shared" si="9"/>
        <v>1.220050065564156</v>
      </c>
      <c r="BV17" s="59">
        <f t="shared" si="9"/>
        <v>1.6898773789167998</v>
      </c>
      <c r="BW17" s="59">
        <f t="shared" si="9"/>
        <v>1.8049007525262866</v>
      </c>
      <c r="BX17" s="59">
        <f t="shared" si="9"/>
        <v>0.17447503201245956</v>
      </c>
      <c r="BY17" s="59">
        <f t="shared" si="9"/>
        <v>2.0573918443931465</v>
      </c>
      <c r="BZ17" s="59" t="e">
        <f t="shared" si="9"/>
        <v>#DIV/0!</v>
      </c>
      <c r="CA17" s="59">
        <f t="shared" si="9"/>
        <v>-0.53557375650847772</v>
      </c>
      <c r="CB17" s="59">
        <f t="shared" si="9"/>
        <v>-0.72867742371272437</v>
      </c>
      <c r="CC17" s="59">
        <f t="shared" si="9"/>
        <v>-1.7032628578461086</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744</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0.13873028145885313</v>
      </c>
      <c r="F20" s="115"/>
      <c r="G20" s="115"/>
      <c r="H20" s="115"/>
      <c r="I20" s="115">
        <f>POWER(E9/Y9,1/6)-1</f>
        <v>0.14044075805484613</v>
      </c>
      <c r="M20" s="115">
        <f>POWER(E9/AC9,1/7)-1</f>
        <v>0.25364447476349028</v>
      </c>
    </row>
    <row r="21" spans="1:90" s="63" customFormat="1" ht="14.25" customHeight="1" x14ac:dyDescent="0.25">
      <c r="A21" s="113" t="s">
        <v>573</v>
      </c>
      <c r="B21" s="115"/>
      <c r="C21" s="115"/>
      <c r="D21" s="115"/>
      <c r="E21" s="115">
        <f>POWER(E4/U4,1/5)-1</f>
        <v>0.55002584557865153</v>
      </c>
      <c r="F21" s="115"/>
      <c r="G21" s="115"/>
      <c r="H21" s="115"/>
      <c r="I21" s="115">
        <f>POWER(E4/Y4,1/6)-1</f>
        <v>0.40509352389291031</v>
      </c>
      <c r="M21" s="115">
        <f>POWER(E4/AC4,1/7)-1</f>
        <v>0.72620587479105314</v>
      </c>
    </row>
    <row r="22" spans="1:90" s="63" customFormat="1" ht="14.25" customHeight="1" x14ac:dyDescent="0.25">
      <c r="A22" s="113" t="s">
        <v>576</v>
      </c>
      <c r="B22" s="115"/>
      <c r="C22" s="115"/>
      <c r="D22" s="115"/>
      <c r="E22" s="115">
        <f>POWER(E5/U5,1/5)-1</f>
        <v>0.26870591814022604</v>
      </c>
      <c r="F22" s="115"/>
      <c r="G22" s="115"/>
      <c r="H22" s="115"/>
      <c r="I22" s="115">
        <f>POWER(E5/Y5,1/6)-1</f>
        <v>0.23568580476612722</v>
      </c>
      <c r="M22" s="115">
        <f>POWER(E5/AC5,1/7)-1</f>
        <v>0.28398965004802879</v>
      </c>
    </row>
    <row r="23" spans="1:90" s="63" customFormat="1" ht="14.25" customHeight="1" x14ac:dyDescent="0.25">
      <c r="A23" s="113" t="s">
        <v>577</v>
      </c>
      <c r="B23" s="115"/>
      <c r="C23" s="115"/>
      <c r="D23" s="115"/>
      <c r="E23" s="115">
        <f>POWER(E6/U6,1/5)-1</f>
        <v>0.2170244310522973</v>
      </c>
      <c r="F23" s="115"/>
      <c r="G23" s="115"/>
      <c r="H23" s="115"/>
      <c r="I23" s="115">
        <f>POWER(E6/Y6,1/6)-1</f>
        <v>0.19931131523449741</v>
      </c>
      <c r="M23" s="115">
        <f>POWER(E6/AC6,1/7)-1</f>
        <v>0.23414884920594958</v>
      </c>
    </row>
    <row r="24" spans="1:90" s="63" customFormat="1" ht="14.25" customHeight="1" x14ac:dyDescent="0.25">
      <c r="A24" s="113" t="s">
        <v>578</v>
      </c>
      <c r="B24" s="115"/>
      <c r="C24" s="115"/>
      <c r="D24" s="115"/>
      <c r="E24" s="115">
        <f>POWER(E7/U7,1/5)-1</f>
        <v>9.3360754947984015E-2</v>
      </c>
      <c r="F24" s="115"/>
      <c r="G24" s="115"/>
      <c r="H24" s="115"/>
      <c r="I24" s="115">
        <f>POWER(E7/Y7,1/6)-1</f>
        <v>8.4964189746363328E-2</v>
      </c>
      <c r="M24" s="115">
        <f>POWER(E7/AC7,1/7)-1</f>
        <v>0.19084120089629319</v>
      </c>
    </row>
    <row r="25" spans="1:90" s="107" customFormat="1" x14ac:dyDescent="0.25">
      <c r="A25" s="142" t="s">
        <v>554</v>
      </c>
      <c r="B25" s="108"/>
      <c r="C25" s="108"/>
      <c r="D25" s="108"/>
      <c r="E25" s="108">
        <f>(E2-I2)/I2</f>
        <v>-0.4305091680688754</v>
      </c>
      <c r="F25" s="108">
        <f t="shared" ref="F25:BQ25" si="10">(F2-J2)/J2</f>
        <v>7.3692809164071546E-2</v>
      </c>
      <c r="G25" s="108">
        <f t="shared" si="10"/>
        <v>0.37435476023220227</v>
      </c>
      <c r="H25" s="108">
        <f t="shared" si="10"/>
        <v>-0.11551325135367033</v>
      </c>
      <c r="I25" s="108">
        <f t="shared" si="10"/>
        <v>-0.16731097561872435</v>
      </c>
      <c r="J25" s="107">
        <f t="shared" si="10"/>
        <v>-0.47144226280158913</v>
      </c>
      <c r="K25" s="107">
        <f t="shared" si="10"/>
        <v>-0.40837453688499498</v>
      </c>
      <c r="L25" s="107">
        <f t="shared" si="10"/>
        <v>0.12848873044717707</v>
      </c>
      <c r="M25" s="108">
        <f t="shared" si="10"/>
        <v>0.35505794595270673</v>
      </c>
      <c r="N25" s="108">
        <f t="shared" si="10"/>
        <v>0.38460131272258108</v>
      </c>
      <c r="O25" s="108">
        <f t="shared" si="10"/>
        <v>0.29667244679408472</v>
      </c>
      <c r="P25" s="108">
        <f t="shared" si="10"/>
        <v>0.33269383164534011</v>
      </c>
      <c r="Q25" s="108">
        <f t="shared" si="10"/>
        <v>0.46903670064131225</v>
      </c>
      <c r="R25" s="108">
        <f t="shared" si="10"/>
        <v>4.2591810123899718E-2</v>
      </c>
      <c r="S25" s="108">
        <f t="shared" si="10"/>
        <v>0.13414734674651932</v>
      </c>
      <c r="T25" s="108">
        <f t="shared" si="10"/>
        <v>0.29096100743755693</v>
      </c>
      <c r="U25" s="108">
        <f t="shared" si="10"/>
        <v>0.37926841179405107</v>
      </c>
      <c r="V25" s="107">
        <f t="shared" si="10"/>
        <v>5.3817938256866968E-2</v>
      </c>
      <c r="W25" s="107">
        <f t="shared" si="10"/>
        <v>-9.374526718125778E-2</v>
      </c>
      <c r="X25" s="107">
        <f t="shared" si="10"/>
        <v>-0.31124944013578992</v>
      </c>
      <c r="Y25" s="107">
        <f t="shared" si="10"/>
        <v>1.0526785321597587</v>
      </c>
      <c r="Z25" s="107">
        <f t="shared" si="10"/>
        <v>2.542455995992436</v>
      </c>
      <c r="AA25" s="107">
        <f t="shared" si="10"/>
        <v>3.178808072567147</v>
      </c>
      <c r="AB25" s="107">
        <f t="shared" si="10"/>
        <v>2.1746682761627931</v>
      </c>
      <c r="AC25" s="107">
        <f t="shared" si="10"/>
        <v>2.125225562641847E-2</v>
      </c>
      <c r="AD25" s="107">
        <f t="shared" si="10"/>
        <v>-0.48452078370172408</v>
      </c>
      <c r="AE25" s="107">
        <f t="shared" si="10"/>
        <v>-0.19874787818147918</v>
      </c>
      <c r="AF25" s="107">
        <f t="shared" si="10"/>
        <v>-0.25133859118252994</v>
      </c>
      <c r="AG25" s="107">
        <f t="shared" si="10"/>
        <v>-8.6093251848855384E-2</v>
      </c>
      <c r="AH25" s="107">
        <f t="shared" si="10"/>
        <v>-2.9148545570936161E-2</v>
      </c>
      <c r="AI25" s="107">
        <f t="shared" si="10"/>
        <v>-0.33207469588859667</v>
      </c>
      <c r="AJ25" s="107">
        <f t="shared" si="10"/>
        <v>4.8840544630333695E-2</v>
      </c>
      <c r="AK25" s="107">
        <f t="shared" si="10"/>
        <v>-7.0631742458376653E-2</v>
      </c>
      <c r="AL25" s="107">
        <f t="shared" si="10"/>
        <v>0.64034347327469532</v>
      </c>
      <c r="AM25" s="107">
        <f t="shared" si="10"/>
        <v>8.9171643247624957E-2</v>
      </c>
      <c r="AN25" s="107">
        <f t="shared" si="10"/>
        <v>-0.43741443659287671</v>
      </c>
      <c r="AO25" s="107">
        <f t="shared" si="10"/>
        <v>-0.55963569952349301</v>
      </c>
      <c r="AP25" s="107">
        <f t="shared" si="10"/>
        <v>-0.54957078955567196</v>
      </c>
      <c r="AQ25" s="107">
        <f t="shared" si="10"/>
        <v>-1.7541053624999688E-2</v>
      </c>
      <c r="AR25" s="107">
        <f t="shared" si="10"/>
        <v>0.78722365970215569</v>
      </c>
      <c r="AS25" s="107">
        <f t="shared" si="10"/>
        <v>1.8357329526231094</v>
      </c>
      <c r="AT25" s="107">
        <f t="shared" si="10"/>
        <v>2.4169159387503578</v>
      </c>
      <c r="AU25" s="107">
        <f t="shared" si="10"/>
        <v>0.96168941056947599</v>
      </c>
      <c r="AV25" s="107">
        <f t="shared" si="10"/>
        <v>0.82115701056045309</v>
      </c>
      <c r="AW25" s="107">
        <f t="shared" si="10"/>
        <v>0.57443756098969589</v>
      </c>
      <c r="AX25" s="107">
        <f t="shared" si="10"/>
        <v>0.2817930553169728</v>
      </c>
      <c r="AY25" s="107">
        <f t="shared" si="10"/>
        <v>0.71615603276185957</v>
      </c>
      <c r="AZ25" s="107">
        <f t="shared" si="10"/>
        <v>0.99264648860723548</v>
      </c>
      <c r="BA25" s="107">
        <f t="shared" si="10"/>
        <v>0.51190129163603892</v>
      </c>
      <c r="BB25" s="107">
        <f t="shared" si="10"/>
        <v>0.74528271306154892</v>
      </c>
      <c r="BC25" s="107">
        <f t="shared" si="10"/>
        <v>0.95646443275446358</v>
      </c>
      <c r="BD25" s="107">
        <f t="shared" si="10"/>
        <v>0.34244786346020489</v>
      </c>
      <c r="BE25" s="107">
        <f t="shared" si="10"/>
        <v>0.11661146762053583</v>
      </c>
      <c r="BF25" s="107">
        <f t="shared" si="10"/>
        <v>0.15520172167424154</v>
      </c>
      <c r="BG25" s="107">
        <f t="shared" si="10"/>
        <v>-0.20130805612095901</v>
      </c>
      <c r="BH25" s="107">
        <f t="shared" si="10"/>
        <v>-0.16955937211390834</v>
      </c>
      <c r="BI25" s="107">
        <f t="shared" si="10"/>
        <v>0.2437472486458474</v>
      </c>
      <c r="BJ25" s="107">
        <f t="shared" si="10"/>
        <v>-0.26085123877976607</v>
      </c>
      <c r="BK25" s="107">
        <f t="shared" si="10"/>
        <v>-0.15449588568689393</v>
      </c>
      <c r="BL25" s="107">
        <f t="shared" si="10"/>
        <v>4.2945716904821248E-2</v>
      </c>
      <c r="BM25" s="107">
        <f t="shared" si="10"/>
        <v>-7.5443261290984165E-2</v>
      </c>
      <c r="BN25" s="107">
        <f t="shared" si="10"/>
        <v>3.7248893004210845E-2</v>
      </c>
      <c r="BO25" s="107">
        <f t="shared" si="10"/>
        <v>-0.1065659941957761</v>
      </c>
      <c r="BP25" s="107">
        <f t="shared" si="10"/>
        <v>3.5674367577159964</v>
      </c>
      <c r="BQ25" s="107">
        <f t="shared" si="10"/>
        <v>5.554947096400233</v>
      </c>
      <c r="BR25" s="107">
        <f t="shared" ref="BR25:CK25" si="11">(BR2-BV2)/BV2</f>
        <v>2.3933291027573955</v>
      </c>
      <c r="BS25" s="107">
        <f t="shared" si="11"/>
        <v>2.324711437235421</v>
      </c>
      <c r="BT25" s="107">
        <f t="shared" si="11"/>
        <v>0.70556112934861348</v>
      </c>
      <c r="BU25" s="107">
        <f t="shared" si="11"/>
        <v>-0.52249011516781219</v>
      </c>
      <c r="BV25" s="107" t="e">
        <f t="shared" si="11"/>
        <v>#DIV/0!</v>
      </c>
      <c r="BW25" s="107">
        <f t="shared" si="11"/>
        <v>3.4046995267509002</v>
      </c>
      <c r="BX25" s="107">
        <f t="shared" si="11"/>
        <v>3.2283052775975674</v>
      </c>
      <c r="BY25" s="107">
        <f t="shared" si="11"/>
        <v>15.514062374937787</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562</v>
      </c>
      <c r="E26" s="108">
        <f>E2/E9</f>
        <v>0.22101164239541071</v>
      </c>
      <c r="F26" s="108">
        <f t="shared" ref="F26:BQ26" si="12">F2/F9</f>
        <v>0.23379635903406534</v>
      </c>
      <c r="G26" s="108">
        <f t="shared" si="12"/>
        <v>0.29000968247769809</v>
      </c>
      <c r="H26" s="108">
        <f t="shared" si="12"/>
        <v>0.34233317029620142</v>
      </c>
      <c r="I26" s="108">
        <f t="shared" si="12"/>
        <v>0.46825348694543661</v>
      </c>
      <c r="J26" s="108">
        <f t="shared" si="12"/>
        <v>0.29351153446579165</v>
      </c>
      <c r="K26" s="108">
        <f t="shared" si="12"/>
        <v>0.31235876554042596</v>
      </c>
      <c r="L26" s="108">
        <f t="shared" si="12"/>
        <v>0.42439407676065671</v>
      </c>
      <c r="M26" s="108">
        <f t="shared" si="12"/>
        <v>0.62391723252796183</v>
      </c>
      <c r="N26" s="108">
        <f t="shared" si="12"/>
        <v>0.60193193270263035</v>
      </c>
      <c r="O26" s="108">
        <f t="shared" si="12"/>
        <v>0.56790949121659062</v>
      </c>
      <c r="P26" s="108">
        <f t="shared" si="12"/>
        <v>0.45016570516581245</v>
      </c>
      <c r="Q26" s="108">
        <f t="shared" si="12"/>
        <v>0.55269153906675561</v>
      </c>
      <c r="R26" s="108">
        <f t="shared" si="12"/>
        <v>0.52230820331398675</v>
      </c>
      <c r="S26" s="108">
        <f t="shared" si="12"/>
        <v>0.50132881858660494</v>
      </c>
      <c r="T26" s="108">
        <f t="shared" si="12"/>
        <v>0.40455243972373317</v>
      </c>
      <c r="U26" s="108">
        <f t="shared" si="12"/>
        <v>0.44829037059543758</v>
      </c>
      <c r="V26" s="108">
        <f t="shared" si="12"/>
        <v>0.56350152678203735</v>
      </c>
      <c r="W26" s="108">
        <f t="shared" si="12"/>
        <v>0.47980316754019792</v>
      </c>
      <c r="X26" s="108">
        <f t="shared" si="12"/>
        <v>0.36033260511002579</v>
      </c>
      <c r="Y26" s="108">
        <f t="shared" si="12"/>
        <v>0.37345876123373528</v>
      </c>
      <c r="Z26" s="108">
        <f t="shared" si="12"/>
        <v>0.61559799361560852</v>
      </c>
      <c r="AA26" s="108">
        <f t="shared" si="12"/>
        <v>0.67853119047622512</v>
      </c>
      <c r="AB26" s="108">
        <f t="shared" si="12"/>
        <v>0.69508713578768921</v>
      </c>
      <c r="AC26" s="108">
        <f t="shared" si="12"/>
        <v>0.4024445661650517</v>
      </c>
      <c r="AD26" s="108">
        <f t="shared" si="12"/>
        <v>0.40649628315807801</v>
      </c>
      <c r="AE26" s="108">
        <f t="shared" si="12"/>
        <v>0.35949464661607983</v>
      </c>
      <c r="AF26" s="108">
        <f t="shared" si="12"/>
        <v>0.4790235531341584</v>
      </c>
      <c r="AG26" s="108">
        <f t="shared" si="12"/>
        <v>0.52882084233483473</v>
      </c>
      <c r="AH26" s="108">
        <f t="shared" si="12"/>
        <v>1.0396963763442955</v>
      </c>
      <c r="AI26" s="108">
        <f t="shared" si="12"/>
        <v>0.6236829883818612</v>
      </c>
      <c r="AJ26" s="108">
        <f t="shared" si="12"/>
        <v>0.7393481326957585</v>
      </c>
      <c r="AK26" s="108">
        <f t="shared" si="12"/>
        <v>0.66271971856221568</v>
      </c>
      <c r="AL26" s="108">
        <f t="shared" si="12"/>
        <v>1.0976574037754958</v>
      </c>
      <c r="AM26" s="108">
        <f t="shared" si="12"/>
        <v>0.92337258590990978</v>
      </c>
      <c r="AN26" s="108">
        <f t="shared" si="12"/>
        <v>0.8049667218179094</v>
      </c>
      <c r="AO26" s="108">
        <f t="shared" si="12"/>
        <v>0.93712376366448025</v>
      </c>
      <c r="AP26" s="108">
        <f t="shared" si="12"/>
        <v>0.90663623190126819</v>
      </c>
      <c r="AQ26" s="108">
        <f t="shared" si="12"/>
        <v>1.0264087878460031</v>
      </c>
      <c r="AR26" s="108">
        <f t="shared" si="12"/>
        <v>1.0269031779312487</v>
      </c>
      <c r="AS26" s="108">
        <f t="shared" si="12"/>
        <v>1.0265098227119438</v>
      </c>
      <c r="AT26" s="108">
        <f t="shared" si="12"/>
        <v>1.0469245799802684</v>
      </c>
      <c r="AU26" s="108">
        <f t="shared" si="12"/>
        <v>0.92883481028668258</v>
      </c>
      <c r="AV26" s="108">
        <f t="shared" si="12"/>
        <v>0.95856594751957191</v>
      </c>
      <c r="AW26" s="108">
        <f t="shared" si="12"/>
        <v>1.0033481861098958</v>
      </c>
      <c r="AX26" s="108">
        <f t="shared" si="12"/>
        <v>0.82579418011719463</v>
      </c>
      <c r="AY26" s="108">
        <f t="shared" si="12"/>
        <v>0.81517627912688473</v>
      </c>
      <c r="AZ26" s="108">
        <f t="shared" si="12"/>
        <v>0.68411918662764937</v>
      </c>
      <c r="BA26" s="108">
        <f t="shared" si="12"/>
        <v>0.63487976915794841</v>
      </c>
      <c r="BB26" s="108">
        <f t="shared" si="12"/>
        <v>0.60275125334493762</v>
      </c>
      <c r="BC26" s="108">
        <f t="shared" si="12"/>
        <v>0.44640274146411063</v>
      </c>
      <c r="BD26" s="108">
        <f t="shared" si="12"/>
        <v>0.36556998032032306</v>
      </c>
      <c r="BE26" s="108">
        <f t="shared" si="12"/>
        <v>0.42988388008681599</v>
      </c>
      <c r="BF26" s="108">
        <f t="shared" si="12"/>
        <v>0.34035255510895451</v>
      </c>
      <c r="BG26" s="108">
        <f t="shared" si="12"/>
        <v>0.23262849753524892</v>
      </c>
      <c r="BH26" s="108">
        <f t="shared" si="12"/>
        <v>0.28553083731555257</v>
      </c>
      <c r="BI26" s="108">
        <f t="shared" si="12"/>
        <v>0.396236156098902</v>
      </c>
      <c r="BJ26" s="108">
        <f t="shared" si="12"/>
        <v>0.34028684509924284</v>
      </c>
      <c r="BK26" s="108">
        <f t="shared" si="12"/>
        <v>0.33239602313320621</v>
      </c>
      <c r="BL26" s="108">
        <f t="shared" si="12"/>
        <v>0.40451750477999315</v>
      </c>
      <c r="BM26" s="108">
        <f t="shared" si="12"/>
        <v>0.42149352172177512</v>
      </c>
      <c r="BN26" s="108">
        <f t="shared" si="12"/>
        <v>0.49172023220484368</v>
      </c>
      <c r="BO26" s="108">
        <f t="shared" si="12"/>
        <v>0.41910160548123615</v>
      </c>
      <c r="BP26" s="108">
        <f t="shared" si="12"/>
        <v>0.39028904203287917</v>
      </c>
      <c r="BQ26" s="108">
        <f t="shared" si="12"/>
        <v>0.43100908704293078</v>
      </c>
      <c r="BR26" s="108">
        <f t="shared" ref="BR26:CK26" si="13">BR2/BR9</f>
        <v>0.48611612833132423</v>
      </c>
      <c r="BS26" s="108">
        <f t="shared" si="13"/>
        <v>0.46536480666583541</v>
      </c>
      <c r="BT26" s="108">
        <f t="shared" si="13"/>
        <v>0.12008505816801029</v>
      </c>
      <c r="BU26" s="108">
        <f t="shared" si="13"/>
        <v>9.7773452701589686E-2</v>
      </c>
      <c r="BV26" s="108">
        <f t="shared" si="13"/>
        <v>0.20095691421237505</v>
      </c>
      <c r="BW26" s="108">
        <f t="shared" si="13"/>
        <v>0.19714573299844285</v>
      </c>
      <c r="BX26" s="108">
        <f t="shared" si="13"/>
        <v>9.3770095310951179E-2</v>
      </c>
      <c r="BY26" s="108">
        <f t="shared" si="13"/>
        <v>0.27554033782811044</v>
      </c>
      <c r="BZ26" s="108">
        <f t="shared" si="13"/>
        <v>0</v>
      </c>
      <c r="CA26" s="108">
        <f t="shared" si="13"/>
        <v>0.20321966746423309</v>
      </c>
      <c r="CB26" s="108">
        <f t="shared" si="13"/>
        <v>0.13941663305569946</v>
      </c>
      <c r="CC26" s="108">
        <f t="shared" si="13"/>
        <v>0.13004610948560635</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3" t="s">
        <v>555</v>
      </c>
      <c r="E27" s="109">
        <f>(E3-I3)/I3</f>
        <v>1.0659512141883367</v>
      </c>
      <c r="F27" s="109">
        <f t="shared" ref="F27:BQ27" si="14">(F3-J3)/J3</f>
        <v>1.2040181325722412</v>
      </c>
      <c r="G27" s="109">
        <f t="shared" si="14"/>
        <v>0.25790451301203382</v>
      </c>
      <c r="H27" s="109">
        <f t="shared" si="14"/>
        <v>0.15674697300000007</v>
      </c>
      <c r="I27" s="109" t="e">
        <f t="shared" si="14"/>
        <v>#DIV/0!</v>
      </c>
      <c r="J27" s="109" t="e">
        <f t="shared" si="14"/>
        <v>#DIV/0!</v>
      </c>
      <c r="K27" s="109" t="e">
        <f t="shared" si="14"/>
        <v>#DIV/0!</v>
      </c>
      <c r="L27" s="109" t="e">
        <f t="shared" si="14"/>
        <v>#DIV/0!</v>
      </c>
      <c r="M27" s="109" t="e">
        <f t="shared" si="14"/>
        <v>#DIV/0!</v>
      </c>
      <c r="N27" s="109" t="e">
        <f t="shared" si="14"/>
        <v>#DIV/0!</v>
      </c>
      <c r="O27" s="109">
        <f t="shared" si="14"/>
        <v>-1</v>
      </c>
      <c r="P27" s="109">
        <f t="shared" si="14"/>
        <v>-1</v>
      </c>
      <c r="Q27" s="109">
        <f t="shared" si="14"/>
        <v>-1</v>
      </c>
      <c r="R27" s="109">
        <f t="shared" si="14"/>
        <v>-1</v>
      </c>
      <c r="S27" s="109">
        <f t="shared" si="14"/>
        <v>4.6847191064899166E-2</v>
      </c>
      <c r="T27" s="109">
        <f t="shared" si="14"/>
        <v>0</v>
      </c>
      <c r="U27" s="109">
        <f t="shared" si="14"/>
        <v>0</v>
      </c>
      <c r="V27" s="109">
        <f t="shared" si="14"/>
        <v>-0.11185121188208985</v>
      </c>
      <c r="W27" s="109">
        <f t="shared" si="14"/>
        <v>-0.11185121188208985</v>
      </c>
      <c r="X27" s="109">
        <f t="shared" si="14"/>
        <v>-0.11185121188208985</v>
      </c>
      <c r="Y27" s="109">
        <f t="shared" si="14"/>
        <v>0.66897554171038054</v>
      </c>
      <c r="Z27" s="109">
        <f t="shared" si="14"/>
        <v>0.879162099907981</v>
      </c>
      <c r="AA27" s="109">
        <f t="shared" si="14"/>
        <v>0.879162099907981</v>
      </c>
      <c r="AB27" s="109">
        <f t="shared" si="14"/>
        <v>0.92923117655199805</v>
      </c>
      <c r="AC27" s="109">
        <f t="shared" si="14"/>
        <v>2.6644362743623223E-2</v>
      </c>
      <c r="AD27" s="109">
        <f t="shared" si="14"/>
        <v>2.5410333615803929E-2</v>
      </c>
      <c r="AE27" s="109">
        <f t="shared" si="14"/>
        <v>2.5410333615803929E-2</v>
      </c>
      <c r="AF27" s="109">
        <f t="shared" si="14"/>
        <v>-1.2020025362253514E-3</v>
      </c>
      <c r="AG27" s="109">
        <f t="shared" si="14"/>
        <v>-1.2020025362253514E-3</v>
      </c>
      <c r="AH27" s="109">
        <f t="shared" si="14"/>
        <v>-0.16011387670423857</v>
      </c>
      <c r="AI27" s="109">
        <f t="shared" si="14"/>
        <v>-0.16746806498581501</v>
      </c>
      <c r="AJ27" s="109">
        <f t="shared" si="14"/>
        <v>-0.37206871312035145</v>
      </c>
      <c r="AK27" s="109">
        <f t="shared" si="14"/>
        <v>-0.37364534840834351</v>
      </c>
      <c r="AL27" s="109">
        <f t="shared" si="14"/>
        <v>-0.284898887912438</v>
      </c>
      <c r="AM27" s="109">
        <f t="shared" si="14"/>
        <v>1.0427710093082356</v>
      </c>
      <c r="AN27" s="109">
        <f t="shared" si="14"/>
        <v>1.6313207174016291</v>
      </c>
      <c r="AO27" s="109">
        <f t="shared" si="14"/>
        <v>0.9353821107591499</v>
      </c>
      <c r="AP27" s="109">
        <f t="shared" si="14"/>
        <v>0.56042209281117761</v>
      </c>
      <c r="AQ27" s="109">
        <f t="shared" si="14"/>
        <v>-0.45167058560660295</v>
      </c>
      <c r="AR27" s="109">
        <f t="shared" si="14"/>
        <v>-0.42121489337273504</v>
      </c>
      <c r="AS27" s="109">
        <f t="shared" si="14"/>
        <v>0.1944859718119302</v>
      </c>
      <c r="AT27" s="109">
        <f t="shared" si="14"/>
        <v>0.6151072417351201</v>
      </c>
      <c r="AU27" s="109">
        <f t="shared" si="14"/>
        <v>0.71763094668552962</v>
      </c>
      <c r="AV27" s="109">
        <f t="shared" si="14"/>
        <v>0.3159051482838211</v>
      </c>
      <c r="AW27" s="109">
        <f t="shared" si="14"/>
        <v>-0.11727709300317643</v>
      </c>
      <c r="AX27" s="109">
        <f t="shared" si="14"/>
        <v>-0.14105442867710646</v>
      </c>
      <c r="AY27" s="109">
        <f t="shared" si="14"/>
        <v>-0.1682273621234518</v>
      </c>
      <c r="AZ27" s="109">
        <f t="shared" si="14"/>
        <v>7.6164886582243144E-2</v>
      </c>
      <c r="BA27" s="109">
        <f t="shared" si="14"/>
        <v>7.0869368938240293E-2</v>
      </c>
      <c r="BB27" s="109">
        <f t="shared" si="14"/>
        <v>-0.19288149141451072</v>
      </c>
      <c r="BC27" s="109">
        <f t="shared" si="14"/>
        <v>0.82583329356555735</v>
      </c>
      <c r="BD27" s="109">
        <f t="shared" si="14"/>
        <v>0.54225648470218679</v>
      </c>
      <c r="BE27" s="109">
        <f t="shared" si="14"/>
        <v>1.0511890878771111</v>
      </c>
      <c r="BF27" s="109">
        <f t="shared" si="14"/>
        <v>1.221929579310729</v>
      </c>
      <c r="BG27" s="109">
        <f t="shared" si="14"/>
        <v>0.44426644911902569</v>
      </c>
      <c r="BH27" s="109">
        <f t="shared" si="14"/>
        <v>1.5410253425988139</v>
      </c>
      <c r="BI27" s="109">
        <f t="shared" si="14"/>
        <v>1.9132523947223099</v>
      </c>
      <c r="BJ27" s="109" t="e">
        <f t="shared" si="14"/>
        <v>#DIV/0!</v>
      </c>
      <c r="BK27" s="109">
        <f t="shared" si="14"/>
        <v>4.9201070949999997</v>
      </c>
      <c r="BL27" s="109" t="e">
        <f t="shared" si="14"/>
        <v>#DIV/0!</v>
      </c>
      <c r="BM27" s="109" t="e">
        <f t="shared" si="14"/>
        <v>#DIV/0!</v>
      </c>
      <c r="BN27" s="109" t="e">
        <f t="shared" si="14"/>
        <v>#DIV/0!</v>
      </c>
      <c r="BO27" s="109">
        <f t="shared" si="14"/>
        <v>3148.6062992125985</v>
      </c>
      <c r="BP27" s="109">
        <f t="shared" si="14"/>
        <v>-1</v>
      </c>
      <c r="BQ27" s="109" t="e">
        <f t="shared" si="14"/>
        <v>#DIV/0!</v>
      </c>
      <c r="BR27" s="109">
        <f t="shared" ref="BR27:CL27" si="15">(BR3-BV3)/BV3</f>
        <v>-1</v>
      </c>
      <c r="BS27" s="109">
        <f t="shared" si="15"/>
        <v>-0.99994121991720986</v>
      </c>
      <c r="BT27" s="109">
        <f t="shared" si="15"/>
        <v>-0.99928670886075954</v>
      </c>
      <c r="BU27" s="109">
        <f t="shared" si="15"/>
        <v>-1</v>
      </c>
      <c r="BV27" s="109" t="e">
        <f t="shared" si="15"/>
        <v>#DIV/0!</v>
      </c>
      <c r="BW27" s="109">
        <f t="shared" si="15"/>
        <v>182.02843782561183</v>
      </c>
      <c r="BX27" s="109">
        <f t="shared" si="15"/>
        <v>140.39524894065426</v>
      </c>
      <c r="BY27" s="109">
        <f t="shared" si="15"/>
        <v>125.14216541389401</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563</v>
      </c>
      <c r="E28" s="109">
        <f>E3/E9</f>
        <v>3.692761219400887E-2</v>
      </c>
      <c r="F28" s="109">
        <f t="shared" ref="F28:BQ28" si="16">F3/F9</f>
        <v>3.9607446347228341E-2</v>
      </c>
      <c r="G28" s="109">
        <f t="shared" si="16"/>
        <v>2.2022019282283735E-2</v>
      </c>
      <c r="H28" s="109">
        <f t="shared" si="16"/>
        <v>2.2111323828965516E-2</v>
      </c>
      <c r="I28" s="109">
        <f t="shared" si="16"/>
        <v>2.1566703594795476E-2</v>
      </c>
      <c r="J28" s="109">
        <f t="shared" si="16"/>
        <v>2.4223068277994239E-2</v>
      </c>
      <c r="K28" s="109">
        <f t="shared" si="16"/>
        <v>2.5914898626198734E-2</v>
      </c>
      <c r="L28" s="109">
        <f t="shared" si="16"/>
        <v>2.0959843512489688E-2</v>
      </c>
      <c r="M28" s="109">
        <f t="shared" si="16"/>
        <v>0</v>
      </c>
      <c r="N28" s="109">
        <f t="shared" si="16"/>
        <v>0</v>
      </c>
      <c r="O28" s="109">
        <f t="shared" si="16"/>
        <v>0</v>
      </c>
      <c r="P28" s="109">
        <f t="shared" si="16"/>
        <v>0</v>
      </c>
      <c r="Q28" s="109">
        <f t="shared" si="16"/>
        <v>0</v>
      </c>
      <c r="R28" s="109">
        <f t="shared" si="16"/>
        <v>0</v>
      </c>
      <c r="S28" s="109">
        <f t="shared" si="16"/>
        <v>1.6052025663720028E-2</v>
      </c>
      <c r="T28" s="109">
        <f t="shared" si="16"/>
        <v>1.4752493796852889E-2</v>
      </c>
      <c r="U28" s="109">
        <f t="shared" si="16"/>
        <v>1.5149785460810342E-2</v>
      </c>
      <c r="V28" s="109">
        <f t="shared" si="16"/>
        <v>1.6596035989395744E-2</v>
      </c>
      <c r="W28" s="109">
        <f t="shared" si="16"/>
        <v>1.6643952768908614E-2</v>
      </c>
      <c r="X28" s="109">
        <f t="shared" si="16"/>
        <v>1.6963181251231009E-2</v>
      </c>
      <c r="Y28" s="109">
        <f t="shared" si="16"/>
        <v>1.7407584616548125E-2</v>
      </c>
      <c r="Z28" s="109">
        <f t="shared" si="16"/>
        <v>2.1512274253571769E-2</v>
      </c>
      <c r="AA28" s="109">
        <f t="shared" si="16"/>
        <v>2.4017496717183919E-2</v>
      </c>
      <c r="AB28" s="109">
        <f t="shared" si="16"/>
        <v>2.5375769998881956E-2</v>
      </c>
      <c r="AC28" s="109">
        <f t="shared" si="16"/>
        <v>2.3071344202650005E-2</v>
      </c>
      <c r="AD28" s="109">
        <f t="shared" si="16"/>
        <v>2.6778480411974601E-2</v>
      </c>
      <c r="AE28" s="109">
        <f t="shared" si="16"/>
        <v>2.8296878616276541E-2</v>
      </c>
      <c r="AF28" s="109">
        <f t="shared" si="16"/>
        <v>2.8777358475854279E-2</v>
      </c>
      <c r="AG28" s="109">
        <f t="shared" si="16"/>
        <v>3.0157018065686669E-2</v>
      </c>
      <c r="AH28" s="109">
        <f t="shared" si="16"/>
        <v>3.4430977285951715E-2</v>
      </c>
      <c r="AI28" s="109">
        <f t="shared" si="16"/>
        <v>3.8360256771645979E-2</v>
      </c>
      <c r="AJ28" s="109">
        <f t="shared" si="16"/>
        <v>3.3292838461960982E-2</v>
      </c>
      <c r="AK28" s="109">
        <f t="shared" si="16"/>
        <v>3.45807132394199E-2</v>
      </c>
      <c r="AL28" s="109">
        <f t="shared" si="16"/>
        <v>4.2018641806204002E-2</v>
      </c>
      <c r="AM28" s="109">
        <f t="shared" si="16"/>
        <v>4.5563972291264652E-2</v>
      </c>
      <c r="AN28" s="109">
        <f t="shared" si="16"/>
        <v>6.0544837047826865E-2</v>
      </c>
      <c r="AO28" s="109">
        <f t="shared" si="16"/>
        <v>7.2555198181894501E-2</v>
      </c>
      <c r="AP28" s="109">
        <f t="shared" si="16"/>
        <v>7.9611464215637126E-2</v>
      </c>
      <c r="AQ28" s="109">
        <f t="shared" si="16"/>
        <v>2.7004839738596114E-2</v>
      </c>
      <c r="AR28" s="109">
        <f t="shared" si="16"/>
        <v>1.6513665539631187E-2</v>
      </c>
      <c r="AS28" s="109">
        <f t="shared" si="16"/>
        <v>1.8083399345033467E-2</v>
      </c>
      <c r="AT28" s="109">
        <f t="shared" si="16"/>
        <v>2.6536423741579336E-2</v>
      </c>
      <c r="AU28" s="109">
        <f t="shared" si="16"/>
        <v>4.3785729920858371E-2</v>
      </c>
      <c r="AV28" s="109">
        <f t="shared" si="16"/>
        <v>4.7598968479698904E-2</v>
      </c>
      <c r="AW28" s="109">
        <f t="shared" si="16"/>
        <v>4.1961684081690487E-2</v>
      </c>
      <c r="AX28" s="109">
        <f t="shared" si="16"/>
        <v>4.4282460625316426E-2</v>
      </c>
      <c r="AY28" s="109">
        <f t="shared" si="16"/>
        <v>4.3888024811749866E-2</v>
      </c>
      <c r="AZ28" s="109">
        <f t="shared" si="16"/>
        <v>4.7014315667820369E-2</v>
      </c>
      <c r="BA28" s="109">
        <f t="shared" si="16"/>
        <v>4.7358045816034144E-2</v>
      </c>
      <c r="BB28" s="109">
        <f t="shared" si="16"/>
        <v>4.8233671237227445E-2</v>
      </c>
      <c r="BC28" s="109">
        <f t="shared" si="16"/>
        <v>4.9587646539330621E-2</v>
      </c>
      <c r="BD28" s="109">
        <f t="shared" si="16"/>
        <v>4.6517922863885508E-2</v>
      </c>
      <c r="BE28" s="109">
        <f t="shared" si="16"/>
        <v>4.5273116050444033E-2</v>
      </c>
      <c r="BF28" s="109">
        <f t="shared" si="16"/>
        <v>5.8893815652558044E-2</v>
      </c>
      <c r="BG28" s="109">
        <f t="shared" si="16"/>
        <v>2.7689836709100985E-2</v>
      </c>
      <c r="BH28" s="109">
        <f t="shared" si="16"/>
        <v>3.162595369913402E-2</v>
      </c>
      <c r="BI28" s="109">
        <f t="shared" si="16"/>
        <v>2.2716410870834747E-2</v>
      </c>
      <c r="BJ28" s="109">
        <f t="shared" si="16"/>
        <v>3.0613527481883823E-2</v>
      </c>
      <c r="BK28" s="109">
        <f t="shared" si="16"/>
        <v>2.1879897311608779E-2</v>
      </c>
      <c r="BL28" s="109">
        <f t="shared" si="16"/>
        <v>1.4642914389315909E-2</v>
      </c>
      <c r="BM28" s="109">
        <f t="shared" si="16"/>
        <v>1.0316456188094852E-2</v>
      </c>
      <c r="BN28" s="109">
        <f t="shared" si="16"/>
        <v>0</v>
      </c>
      <c r="BO28" s="109">
        <f t="shared" si="16"/>
        <v>3.939988433150984E-3</v>
      </c>
      <c r="BP28" s="109">
        <f t="shared" si="16"/>
        <v>0</v>
      </c>
      <c r="BQ28" s="109">
        <f t="shared" si="16"/>
        <v>0</v>
      </c>
      <c r="BR28" s="109">
        <f t="shared" ref="BR28:CK28" si="17">BR3/BR9</f>
        <v>0</v>
      </c>
      <c r="BS28" s="109">
        <f t="shared" si="17"/>
        <v>1.2410102457586026E-6</v>
      </c>
      <c r="BT28" s="109">
        <f t="shared" si="17"/>
        <v>2.9774534450885108E-5</v>
      </c>
      <c r="BU28" s="109">
        <f t="shared" si="17"/>
        <v>0</v>
      </c>
      <c r="BV28" s="109">
        <f t="shared" si="17"/>
        <v>2.8481014206531031E-2</v>
      </c>
      <c r="BW28" s="109">
        <f t="shared" si="17"/>
        <v>2.9736714014658574E-2</v>
      </c>
      <c r="BX28" s="109">
        <f t="shared" si="17"/>
        <v>5.5593091411745864E-2</v>
      </c>
      <c r="BY28" s="109">
        <f t="shared" si="17"/>
        <v>6.0633857493308088E-2</v>
      </c>
      <c r="BZ28" s="109">
        <f t="shared" si="17"/>
        <v>0</v>
      </c>
      <c r="CA28" s="109">
        <f t="shared" si="17"/>
        <v>7.3768176068770555E-4</v>
      </c>
      <c r="CB28" s="109">
        <f t="shared" si="17"/>
        <v>2.4717388060437719E-3</v>
      </c>
      <c r="CC28" s="109">
        <f t="shared" si="17"/>
        <v>3.7464592654079796E-3</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2" t="s">
        <v>572</v>
      </c>
      <c r="E29" s="108">
        <f>(E4-I4)/I4</f>
        <v>8.5119236358991088</v>
      </c>
      <c r="F29" s="108">
        <f t="shared" ref="F29:BQ29" si="18">(F4-J4)/J4</f>
        <v>2.2659290485937054</v>
      </c>
      <c r="G29" s="108">
        <f t="shared" si="18"/>
        <v>4.7308444256519655</v>
      </c>
      <c r="H29" s="108">
        <f t="shared" si="18"/>
        <v>1.970025528109741</v>
      </c>
      <c r="I29" s="108">
        <f t="shared" si="18"/>
        <v>-1.4048797367509454</v>
      </c>
      <c r="J29" s="108">
        <f t="shared" si="18"/>
        <v>-1.8639825096374545</v>
      </c>
      <c r="K29" s="108">
        <f t="shared" si="18"/>
        <v>-1.4095768124060599</v>
      </c>
      <c r="L29" s="108">
        <f t="shared" si="18"/>
        <v>-3.6264226489133904</v>
      </c>
      <c r="M29" s="108">
        <f t="shared" si="18"/>
        <v>0.19689393175159567</v>
      </c>
      <c r="N29" s="108">
        <f t="shared" si="18"/>
        <v>-8.6000464562630086</v>
      </c>
      <c r="O29" s="108">
        <f t="shared" si="18"/>
        <v>-11.193761264286991</v>
      </c>
      <c r="P29" s="108">
        <f t="shared" si="18"/>
        <v>-1.2917601150338742</v>
      </c>
      <c r="Q29" s="108">
        <f t="shared" si="18"/>
        <v>-2.9410853724748893</v>
      </c>
      <c r="R29" s="108">
        <f t="shared" si="18"/>
        <v>-1.4691713100256161</v>
      </c>
      <c r="S29" s="108">
        <f t="shared" si="18"/>
        <v>0.53657365891319997</v>
      </c>
      <c r="T29" s="108">
        <f t="shared" si="18"/>
        <v>0.23122308686365897</v>
      </c>
      <c r="U29" s="108">
        <f t="shared" si="18"/>
        <v>-0.13992426794524965</v>
      </c>
      <c r="V29" s="108">
        <f t="shared" si="18"/>
        <v>-7.6806440369050669E-2</v>
      </c>
      <c r="W29" s="108">
        <f t="shared" si="18"/>
        <v>-1.1614438470958628</v>
      </c>
      <c r="X29" s="108">
        <f t="shared" si="18"/>
        <v>-3.5330765534453317</v>
      </c>
      <c r="Y29" s="108">
        <f t="shared" si="18"/>
        <v>4.9349455583095994</v>
      </c>
      <c r="Z29" s="108">
        <f t="shared" si="18"/>
        <v>2.8816280830228083</v>
      </c>
      <c r="AA29" s="108">
        <f t="shared" si="18"/>
        <v>27.647514890040259</v>
      </c>
      <c r="AB29" s="108">
        <f t="shared" si="18"/>
        <v>4.3664193751490981</v>
      </c>
      <c r="AC29" s="108">
        <f t="shared" si="18"/>
        <v>-1.478392408729674</v>
      </c>
      <c r="AD29" s="108">
        <f t="shared" si="18"/>
        <v>-0.90478717593130087</v>
      </c>
      <c r="AE29" s="108">
        <f t="shared" si="18"/>
        <v>-0.9590937448497957</v>
      </c>
      <c r="AF29" s="108">
        <f t="shared" si="18"/>
        <v>-0.90850299574809612</v>
      </c>
      <c r="AG29" s="108">
        <f t="shared" si="18"/>
        <v>-0.56543870385152817</v>
      </c>
      <c r="AH29" s="108">
        <f t="shared" si="18"/>
        <v>-3.4456126031871433E-2</v>
      </c>
      <c r="AI29" s="108">
        <f t="shared" si="18"/>
        <v>-0.45789032654783474</v>
      </c>
      <c r="AJ29" s="108">
        <f t="shared" si="18"/>
        <v>-0.20559523592898737</v>
      </c>
      <c r="AK29" s="108">
        <f t="shared" si="18"/>
        <v>-0.4897743043886798</v>
      </c>
      <c r="AL29" s="108">
        <f t="shared" si="18"/>
        <v>0.40263848842469963</v>
      </c>
      <c r="AM29" s="108">
        <f t="shared" si="18"/>
        <v>0.14262849767815233</v>
      </c>
      <c r="AN29" s="108">
        <f t="shared" si="18"/>
        <v>-5.430006812712402E-2</v>
      </c>
      <c r="AO29" s="108">
        <f t="shared" si="18"/>
        <v>0.96277052362070814</v>
      </c>
      <c r="AP29" s="108">
        <f t="shared" si="18"/>
        <v>0.62267140044906166</v>
      </c>
      <c r="AQ29" s="108">
        <f t="shared" si="18"/>
        <v>0.7678517401031355</v>
      </c>
      <c r="AR29" s="108">
        <f t="shared" si="18"/>
        <v>0.43533729069505184</v>
      </c>
      <c r="AS29" s="108">
        <f t="shared" si="18"/>
        <v>-0.13876902520546722</v>
      </c>
      <c r="AT29" s="108">
        <f t="shared" si="18"/>
        <v>0.54222119579006123</v>
      </c>
      <c r="AU29" s="108">
        <f t="shared" si="18"/>
        <v>0.55645189658768479</v>
      </c>
      <c r="AV29" s="108">
        <f t="shared" si="18"/>
        <v>2.4006949971779208</v>
      </c>
      <c r="AW29" s="108">
        <f t="shared" si="18"/>
        <v>3.2212752982986008</v>
      </c>
      <c r="AX29" s="108">
        <f t="shared" si="18"/>
        <v>2.0313109305218537</v>
      </c>
      <c r="AY29" s="108">
        <f t="shared" si="18"/>
        <v>-40.065901654896749</v>
      </c>
      <c r="AZ29" s="108">
        <f t="shared" si="18"/>
        <v>-2.6431732409659339</v>
      </c>
      <c r="BA29" s="108">
        <f t="shared" si="18"/>
        <v>-4.5225493502353844</v>
      </c>
      <c r="BB29" s="108">
        <f t="shared" si="18"/>
        <v>1.7194750572137627</v>
      </c>
      <c r="BC29" s="108">
        <f t="shared" si="18"/>
        <v>-0.96092760367389296</v>
      </c>
      <c r="BD29" s="108">
        <f t="shared" si="18"/>
        <v>-0.39150230080993276</v>
      </c>
      <c r="BE29" s="108">
        <f t="shared" si="18"/>
        <v>-0.60712240275121299</v>
      </c>
      <c r="BF29" s="108">
        <f t="shared" si="18"/>
        <v>-1.3152476709987027</v>
      </c>
      <c r="BG29" s="108">
        <f t="shared" si="18"/>
        <v>0.40914317508853132</v>
      </c>
      <c r="BH29" s="108">
        <f t="shared" si="18"/>
        <v>0.57807446660454387</v>
      </c>
      <c r="BI29" s="108">
        <f t="shared" si="18"/>
        <v>0.54441408956069148</v>
      </c>
      <c r="BJ29" s="108">
        <f t="shared" si="18"/>
        <v>1.601015720096902</v>
      </c>
      <c r="BK29" s="108">
        <f t="shared" si="18"/>
        <v>0.38791575684663482</v>
      </c>
      <c r="BL29" s="108">
        <f t="shared" si="18"/>
        <v>-0.25147602519910595</v>
      </c>
      <c r="BM29" s="108">
        <f t="shared" si="18"/>
        <v>-0.35082595720271331</v>
      </c>
      <c r="BN29" s="108">
        <f t="shared" si="18"/>
        <v>-0.10998861407008756</v>
      </c>
      <c r="BO29" s="108">
        <f t="shared" si="18"/>
        <v>0.63376941954501098</v>
      </c>
      <c r="BP29" s="108">
        <f t="shared" si="18"/>
        <v>0.14934017504601382</v>
      </c>
      <c r="BQ29" s="108">
        <f t="shared" si="18"/>
        <v>-3.6224377316464038E-2</v>
      </c>
      <c r="BR29" s="108">
        <f t="shared" ref="BR29:CK29" si="19">(BR4-BV4)/BV4</f>
        <v>-0.13410912939042649</v>
      </c>
      <c r="BS29" s="108">
        <f t="shared" si="19"/>
        <v>-0.11207319555026603</v>
      </c>
      <c r="BT29" s="108">
        <f t="shared" si="19"/>
        <v>0.61108447469662408</v>
      </c>
      <c r="BU29" s="108">
        <f t="shared" si="19"/>
        <v>1.0200194581781379</v>
      </c>
      <c r="BV29" s="108" t="e">
        <f t="shared" si="19"/>
        <v>#DIV/0!</v>
      </c>
      <c r="BW29" s="108">
        <f t="shared" si="19"/>
        <v>1.7761060746950701</v>
      </c>
      <c r="BX29" s="108">
        <f t="shared" si="19"/>
        <v>3.1835020910332261</v>
      </c>
      <c r="BY29" s="108">
        <f t="shared" si="19"/>
        <v>4.4291504644900019</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556</v>
      </c>
      <c r="E30" s="108">
        <f>(E5-I5)/I5</f>
        <v>0.18379700278202526</v>
      </c>
      <c r="F30" s="108">
        <f t="shared" ref="F30:BQ30" si="20">(F5-J5)/J5</f>
        <v>0.17377065052836599</v>
      </c>
      <c r="G30" s="108">
        <f t="shared" si="20"/>
        <v>0.24494572810426488</v>
      </c>
      <c r="H30" s="108">
        <f t="shared" si="20"/>
        <v>0.17745784192337635</v>
      </c>
      <c r="I30" s="108">
        <f t="shared" si="20"/>
        <v>0.39806114206205417</v>
      </c>
      <c r="J30" s="108">
        <f t="shared" si="20"/>
        <v>0.4359708666514634</v>
      </c>
      <c r="K30" s="108">
        <f t="shared" si="20"/>
        <v>0.50645960187081085</v>
      </c>
      <c r="L30" s="108">
        <f t="shared" si="20"/>
        <v>0.3970366317031353</v>
      </c>
      <c r="M30" s="108">
        <f t="shared" si="20"/>
        <v>0.33904948239513683</v>
      </c>
      <c r="N30" s="108">
        <f t="shared" si="20"/>
        <v>0.3230637075661571</v>
      </c>
      <c r="O30" s="108">
        <f t="shared" si="20"/>
        <v>0.38833889634713381</v>
      </c>
      <c r="P30" s="108">
        <f t="shared" si="20"/>
        <v>0.2651069807475821</v>
      </c>
      <c r="Q30" s="108">
        <f t="shared" si="20"/>
        <v>0.48321736565526102</v>
      </c>
      <c r="R30" s="108">
        <f t="shared" si="20"/>
        <v>0.33120011887261908</v>
      </c>
      <c r="S30" s="108">
        <f t="shared" si="20"/>
        <v>5.3533707170993372E-2</v>
      </c>
      <c r="T30" s="108">
        <f t="shared" si="20"/>
        <v>0.2082519498527573</v>
      </c>
      <c r="U30" s="108">
        <f t="shared" si="20"/>
        <v>8.3037557265851769E-2</v>
      </c>
      <c r="V30" s="108">
        <f t="shared" si="20"/>
        <v>0.32963386455125282</v>
      </c>
      <c r="W30" s="108">
        <f t="shared" si="20"/>
        <v>0.42181315715277945</v>
      </c>
      <c r="X30" s="108">
        <f t="shared" si="20"/>
        <v>0.55379945814709441</v>
      </c>
      <c r="Y30" s="108">
        <f t="shared" si="20"/>
        <v>0.61615241349787664</v>
      </c>
      <c r="Z30" s="108">
        <f t="shared" si="20"/>
        <v>0.12248108888867848</v>
      </c>
      <c r="AA30" s="108">
        <f t="shared" si="20"/>
        <v>0.26865776970211058</v>
      </c>
      <c r="AB30" s="108">
        <f t="shared" si="20"/>
        <v>0.19985455915655204</v>
      </c>
      <c r="AC30" s="108">
        <f t="shared" si="20"/>
        <v>0.16110430763524664</v>
      </c>
      <c r="AD30" s="108">
        <f t="shared" si="20"/>
        <v>0.21995740235934266</v>
      </c>
      <c r="AE30" s="108">
        <f t="shared" si="20"/>
        <v>0.26672217629849804</v>
      </c>
      <c r="AF30" s="108">
        <f t="shared" si="20"/>
        <v>0.78659659499967993</v>
      </c>
      <c r="AG30" s="108">
        <f t="shared" si="20"/>
        <v>0.56557573185272592</v>
      </c>
      <c r="AH30" s="108">
        <f t="shared" si="20"/>
        <v>1.2263003483628825</v>
      </c>
      <c r="AI30" s="108">
        <f t="shared" si="20"/>
        <v>1.0970572695741105</v>
      </c>
      <c r="AJ30" s="108">
        <f t="shared" si="20"/>
        <v>0.55391203054984828</v>
      </c>
      <c r="AK30" s="108">
        <f t="shared" si="20"/>
        <v>0.59578850311361109</v>
      </c>
      <c r="AL30" s="108">
        <f t="shared" si="20"/>
        <v>4.0628170059880633E-2</v>
      </c>
      <c r="AM30" s="108">
        <f t="shared" si="20"/>
        <v>-0.17999876397787209</v>
      </c>
      <c r="AN30" s="108">
        <f t="shared" si="20"/>
        <v>-0.22955181301645572</v>
      </c>
      <c r="AO30" s="108">
        <f t="shared" si="20"/>
        <v>-0.50703105140306559</v>
      </c>
      <c r="AP30" s="108">
        <f t="shared" si="20"/>
        <v>-0.37944659032180728</v>
      </c>
      <c r="AQ30" s="108">
        <f t="shared" si="20"/>
        <v>-0.16576280454617456</v>
      </c>
      <c r="AR30" s="108">
        <f t="shared" si="20"/>
        <v>5.6333641105445344E-2</v>
      </c>
      <c r="AS30" s="108">
        <f t="shared" si="20"/>
        <v>1.1200682806318631</v>
      </c>
      <c r="AT30" s="108">
        <f t="shared" si="20"/>
        <v>0.91203644881259671</v>
      </c>
      <c r="AU30" s="108">
        <f t="shared" si="20"/>
        <v>0.80200919226590495</v>
      </c>
      <c r="AV30" s="108">
        <f t="shared" si="20"/>
        <v>0.39997798490746816</v>
      </c>
      <c r="AW30" s="108">
        <f t="shared" si="20"/>
        <v>0.16350683829175883</v>
      </c>
      <c r="AX30" s="108">
        <f t="shared" si="20"/>
        <v>0.10988064483502032</v>
      </c>
      <c r="AY30" s="108">
        <f t="shared" si="20"/>
        <v>0.1003606431088771</v>
      </c>
      <c r="AZ30" s="108">
        <f t="shared" si="20"/>
        <v>7.1073268751223981E-2</v>
      </c>
      <c r="BA30" s="108">
        <f t="shared" si="20"/>
        <v>-6.9481056550353831E-2</v>
      </c>
      <c r="BB30" s="108">
        <f t="shared" si="20"/>
        <v>0.2615747367008816</v>
      </c>
      <c r="BC30" s="108">
        <f t="shared" si="20"/>
        <v>-2.2535449717728674E-2</v>
      </c>
      <c r="BD30" s="108">
        <f t="shared" si="20"/>
        <v>4.2239013936867988E-3</v>
      </c>
      <c r="BE30" s="108">
        <f t="shared" si="20"/>
        <v>0.12258713584024504</v>
      </c>
      <c r="BF30" s="108">
        <f t="shared" si="20"/>
        <v>0.10018065454588505</v>
      </c>
      <c r="BG30" s="108">
        <f t="shared" si="20"/>
        <v>0.3365016456062101</v>
      </c>
      <c r="BH30" s="108">
        <f t="shared" si="20"/>
        <v>0.43723046946188859</v>
      </c>
      <c r="BI30" s="108">
        <f t="shared" si="20"/>
        <v>0.39728336507439466</v>
      </c>
      <c r="BJ30" s="108">
        <f t="shared" si="20"/>
        <v>0.24639642190873653</v>
      </c>
      <c r="BK30" s="108">
        <f t="shared" si="20"/>
        <v>0.13164432420783764</v>
      </c>
      <c r="BL30" s="108">
        <f t="shared" si="20"/>
        <v>0.34302533666783636</v>
      </c>
      <c r="BM30" s="108">
        <f t="shared" si="20"/>
        <v>0.67778149144157385</v>
      </c>
      <c r="BN30" s="108">
        <f t="shared" si="20"/>
        <v>0.54005313571507796</v>
      </c>
      <c r="BO30" s="108">
        <f t="shared" si="20"/>
        <v>0.5080445647986932</v>
      </c>
      <c r="BP30" s="108">
        <f t="shared" si="20"/>
        <v>0.38333407490517574</v>
      </c>
      <c r="BQ30" s="108">
        <f t="shared" si="20"/>
        <v>0.19702388615452951</v>
      </c>
      <c r="BR30" s="108">
        <f t="shared" ref="BR30:CK30" si="21">(BR5-BV5)/BV5</f>
        <v>0.62214883431597257</v>
      </c>
      <c r="BS30" s="108">
        <f t="shared" si="21"/>
        <v>0.51919186879038881</v>
      </c>
      <c r="BT30" s="108">
        <f t="shared" si="21"/>
        <v>0.66823505697246921</v>
      </c>
      <c r="BU30" s="108">
        <f t="shared" si="21"/>
        <v>1.0797576436372316</v>
      </c>
      <c r="BV30" s="108" t="e">
        <f t="shared" si="21"/>
        <v>#DIV/0!</v>
      </c>
      <c r="BW30" s="108">
        <f t="shared" si="21"/>
        <v>1.8542588466497383</v>
      </c>
      <c r="BX30" s="108">
        <f t="shared" si="21"/>
        <v>2.4258361160422104</v>
      </c>
      <c r="BY30" s="108">
        <f t="shared" si="21"/>
        <v>3.579556099803705</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557</v>
      </c>
      <c r="E31" s="108">
        <f>(E6-I6)/I6</f>
        <v>-0.10311544619896097</v>
      </c>
      <c r="F31" s="108">
        <f t="shared" ref="F31:BQ31" si="22">(F6-J6)/J6</f>
        <v>-6.6617931515696407E-2</v>
      </c>
      <c r="G31" s="108">
        <f t="shared" si="22"/>
        <v>-3.6360527741859647E-2</v>
      </c>
      <c r="H31" s="108">
        <f t="shared" si="22"/>
        <v>4.6298967101311615E-2</v>
      </c>
      <c r="I31" s="108">
        <f t="shared" si="22"/>
        <v>0.21210974003790942</v>
      </c>
      <c r="J31" s="108">
        <f t="shared" si="22"/>
        <v>9.9629824436483272E-2</v>
      </c>
      <c r="K31" s="108">
        <f t="shared" si="22"/>
        <v>0.16476590060289914</v>
      </c>
      <c r="L31" s="108">
        <f t="shared" si="22"/>
        <v>0.25622907714253601</v>
      </c>
      <c r="M31" s="108">
        <f t="shared" si="22"/>
        <v>0.32284500276297257</v>
      </c>
      <c r="N31" s="108">
        <f t="shared" si="22"/>
        <v>0.59731707999236028</v>
      </c>
      <c r="O31" s="108">
        <f t="shared" si="22"/>
        <v>0.74112963956250677</v>
      </c>
      <c r="P31" s="108">
        <f t="shared" si="22"/>
        <v>0.555611677842198</v>
      </c>
      <c r="Q31" s="108">
        <f t="shared" si="22"/>
        <v>0.8565601993271954</v>
      </c>
      <c r="R31" s="108">
        <f t="shared" si="22"/>
        <v>0.19076016309162441</v>
      </c>
      <c r="S31" s="108">
        <f t="shared" si="22"/>
        <v>4.3541321590354475E-2</v>
      </c>
      <c r="T31" s="108">
        <f t="shared" si="22"/>
        <v>0.20406019803888478</v>
      </c>
      <c r="U31" s="108">
        <f t="shared" si="22"/>
        <v>0.11453857519815006</v>
      </c>
      <c r="V31" s="108">
        <f t="shared" si="22"/>
        <v>0.2854869607708182</v>
      </c>
      <c r="W31" s="108">
        <f t="shared" si="22"/>
        <v>0.18201812213134233</v>
      </c>
      <c r="X31" s="108">
        <f t="shared" si="22"/>
        <v>0.20038973809337929</v>
      </c>
      <c r="Y31" s="108">
        <f t="shared" si="22"/>
        <v>0.46548443828528591</v>
      </c>
      <c r="Z31" s="108">
        <f t="shared" si="22"/>
        <v>0.21639713186395798</v>
      </c>
      <c r="AA31" s="108">
        <f t="shared" si="22"/>
        <v>0.48337568746647419</v>
      </c>
      <c r="AB31" s="108">
        <f t="shared" si="22"/>
        <v>0.28621058346192474</v>
      </c>
      <c r="AC31" s="108">
        <f t="shared" si="22"/>
        <v>3.710798682842753E-2</v>
      </c>
      <c r="AD31" s="108">
        <f t="shared" si="22"/>
        <v>-0.12990086795928846</v>
      </c>
      <c r="AE31" s="108">
        <f t="shared" si="22"/>
        <v>2.5676695142082043E-2</v>
      </c>
      <c r="AF31" s="108">
        <f t="shared" si="22"/>
        <v>0.29091690048427976</v>
      </c>
      <c r="AG31" s="108">
        <f t="shared" si="22"/>
        <v>0.30809009431584405</v>
      </c>
      <c r="AH31" s="108">
        <f t="shared" si="22"/>
        <v>0.58324794718555295</v>
      </c>
      <c r="AI31" s="108">
        <f t="shared" si="22"/>
        <v>0.34080358977255099</v>
      </c>
      <c r="AJ31" s="108">
        <f t="shared" si="22"/>
        <v>0.21439841567281015</v>
      </c>
      <c r="AK31" s="108">
        <f t="shared" si="22"/>
        <v>7.5060934400292795E-2</v>
      </c>
      <c r="AL31" s="108">
        <f t="shared" si="22"/>
        <v>0.1983843927946376</v>
      </c>
      <c r="AM31" s="108">
        <f t="shared" si="22"/>
        <v>-4.9467436812875749E-2</v>
      </c>
      <c r="AN31" s="108">
        <f t="shared" si="22"/>
        <v>-0.15996418085601921</v>
      </c>
      <c r="AO31" s="108">
        <f t="shared" si="22"/>
        <v>-0.23068923664051222</v>
      </c>
      <c r="AP31" s="108">
        <f t="shared" si="22"/>
        <v>-0.15094469496061599</v>
      </c>
      <c r="AQ31" s="108">
        <f t="shared" si="22"/>
        <v>6.0919681183187552E-2</v>
      </c>
      <c r="AR31" s="108">
        <f t="shared" si="22"/>
        <v>0.18006031488014426</v>
      </c>
      <c r="AS31" s="108">
        <f t="shared" si="22"/>
        <v>0.66304207947153448</v>
      </c>
      <c r="AT31" s="108">
        <f t="shared" si="22"/>
        <v>0.81291090970782443</v>
      </c>
      <c r="AU31" s="108">
        <f t="shared" si="22"/>
        <v>0.73552795259109582</v>
      </c>
      <c r="AV31" s="108">
        <f t="shared" si="22"/>
        <v>0.73277564420181784</v>
      </c>
      <c r="AW31" s="108">
        <f t="shared" si="22"/>
        <v>0.57867643285945591</v>
      </c>
      <c r="AX31" s="108">
        <f t="shared" si="22"/>
        <v>0.33704545799329483</v>
      </c>
      <c r="AY31" s="108">
        <f t="shared" si="22"/>
        <v>0.52480957536607875</v>
      </c>
      <c r="AZ31" s="108">
        <f t="shared" si="22"/>
        <v>0.47686260022785781</v>
      </c>
      <c r="BA31" s="108">
        <f t="shared" si="22"/>
        <v>0.12332926877701519</v>
      </c>
      <c r="BB31" s="108">
        <f t="shared" si="22"/>
        <v>0.34694550859145556</v>
      </c>
      <c r="BC31" s="108">
        <f t="shared" si="22"/>
        <v>0.30990939518585736</v>
      </c>
      <c r="BD31" s="108">
        <f t="shared" si="22"/>
        <v>0.11237706554562392</v>
      </c>
      <c r="BE31" s="108">
        <f t="shared" si="22"/>
        <v>0.22076061920434101</v>
      </c>
      <c r="BF31" s="108">
        <f t="shared" si="22"/>
        <v>0.49261275016104528</v>
      </c>
      <c r="BG31" s="108">
        <f t="shared" si="22"/>
        <v>0.31253127472681796</v>
      </c>
      <c r="BH31" s="108">
        <f t="shared" si="22"/>
        <v>0.4030076865910201</v>
      </c>
      <c r="BI31" s="108">
        <f t="shared" si="22"/>
        <v>0.37960112286661207</v>
      </c>
      <c r="BJ31" s="108">
        <f t="shared" si="22"/>
        <v>8.9131698154453945E-2</v>
      </c>
      <c r="BK31" s="108">
        <f t="shared" si="22"/>
        <v>6.6653756374260451E-2</v>
      </c>
      <c r="BL31" s="108">
        <f t="shared" si="22"/>
        <v>0.66418933246712664</v>
      </c>
      <c r="BM31" s="108">
        <f t="shared" si="22"/>
        <v>1.0724208912304245</v>
      </c>
      <c r="BN31" s="108">
        <f t="shared" si="22"/>
        <v>0.68273740473127886</v>
      </c>
      <c r="BO31" s="108">
        <f t="shared" si="22"/>
        <v>0.47917761869146852</v>
      </c>
      <c r="BP31" s="108">
        <f t="shared" si="22"/>
        <v>0.55428020017264967</v>
      </c>
      <c r="BQ31" s="108">
        <f t="shared" si="22"/>
        <v>0.31954703014574987</v>
      </c>
      <c r="BR31" s="108">
        <f t="shared" ref="BR31:CK31" si="23">(BR6-BV6)/BV6</f>
        <v>1.0068862261010827</v>
      </c>
      <c r="BS31" s="108">
        <f t="shared" si="23"/>
        <v>0.81555461074989533</v>
      </c>
      <c r="BT31" s="108">
        <f t="shared" si="23"/>
        <v>0.7126181552792874</v>
      </c>
      <c r="BU31" s="108">
        <f t="shared" si="23"/>
        <v>1.1125753630848658</v>
      </c>
      <c r="BV31" s="108" t="e">
        <f t="shared" si="23"/>
        <v>#DIV/0!</v>
      </c>
      <c r="BW31" s="108">
        <f t="shared" si="23"/>
        <v>1.8924877381817067</v>
      </c>
      <c r="BX31" s="108">
        <f t="shared" si="23"/>
        <v>2.0034111825843435</v>
      </c>
      <c r="BY31" s="108">
        <f t="shared" si="23"/>
        <v>3.2170272879953368</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559</v>
      </c>
      <c r="E32" s="109">
        <f>(E7-I7)/I7</f>
        <v>-2.7583513184512971E-2</v>
      </c>
      <c r="F32" s="109">
        <f t="shared" ref="F32:BQ32" si="24">(F7-J7)/J7</f>
        <v>-3.7432203855397972E-2</v>
      </c>
      <c r="G32" s="109">
        <f t="shared" si="24"/>
        <v>-1.8182712435687125E-2</v>
      </c>
      <c r="H32" s="109">
        <f t="shared" si="24"/>
        <v>1.4656081856604776E-3</v>
      </c>
      <c r="I32" s="109">
        <f t="shared" si="24"/>
        <v>1.9784496850391794E-2</v>
      </c>
      <c r="J32" s="109">
        <f t="shared" si="24"/>
        <v>2.4179981241384166E-2</v>
      </c>
      <c r="K32" s="109">
        <f t="shared" si="24"/>
        <v>-1.2097340718400296E-2</v>
      </c>
      <c r="L32" s="109">
        <f t="shared" si="24"/>
        <v>-7.9960559434759052E-3</v>
      </c>
      <c r="M32" s="109">
        <f t="shared" si="24"/>
        <v>5.1106708779701519E-2</v>
      </c>
      <c r="N32" s="109">
        <f t="shared" si="24"/>
        <v>0.53235851969971437</v>
      </c>
      <c r="O32" s="109">
        <f t="shared" si="24"/>
        <v>0.58349200446121663</v>
      </c>
      <c r="P32" s="109">
        <f t="shared" si="24"/>
        <v>0.56343018087247543</v>
      </c>
      <c r="Q32" s="109">
        <f t="shared" si="24"/>
        <v>0.49902846441929777</v>
      </c>
      <c r="R32" s="109">
        <f t="shared" si="24"/>
        <v>4.0184039201200797E-2</v>
      </c>
      <c r="S32" s="109">
        <f t="shared" si="24"/>
        <v>2.385898007581513E-2</v>
      </c>
      <c r="T32" s="109">
        <f t="shared" si="24"/>
        <v>3.2148822925107963E-2</v>
      </c>
      <c r="U32" s="109">
        <f t="shared" si="24"/>
        <v>4.3938749670604432E-2</v>
      </c>
      <c r="V32" s="109">
        <f t="shared" si="24"/>
        <v>0.25594599630740533</v>
      </c>
      <c r="W32" s="109">
        <f t="shared" si="24"/>
        <v>0.4668364330457862</v>
      </c>
      <c r="X32" s="109">
        <f t="shared" si="24"/>
        <v>0.91254230059674557</v>
      </c>
      <c r="Y32" s="109">
        <f t="shared" si="24"/>
        <v>1.0820182852301525</v>
      </c>
      <c r="Z32" s="109">
        <f t="shared" si="24"/>
        <v>0.69131055220062243</v>
      </c>
      <c r="AA32" s="109">
        <f t="shared" si="24"/>
        <v>0.51543291253229417</v>
      </c>
      <c r="AB32" s="109">
        <f t="shared" si="24"/>
        <v>0.45582279796332914</v>
      </c>
      <c r="AC32" s="109">
        <f t="shared" si="24"/>
        <v>0.30305305870150295</v>
      </c>
      <c r="AD32" s="109">
        <f t="shared" si="24"/>
        <v>0.31362404987911446</v>
      </c>
      <c r="AE32" s="109">
        <f t="shared" si="24"/>
        <v>0.28095482841820152</v>
      </c>
      <c r="AF32" s="109">
        <f t="shared" si="24"/>
        <v>5.8981147659778993E-2</v>
      </c>
      <c r="AG32" s="109">
        <f t="shared" si="24"/>
        <v>6.4473106304128655E-2</v>
      </c>
      <c r="AH32" s="109">
        <f t="shared" si="24"/>
        <v>6.4316705156480442E-2</v>
      </c>
      <c r="AI32" s="109">
        <f t="shared" si="24"/>
        <v>3.3289541519543178E-2</v>
      </c>
      <c r="AJ32" s="109">
        <f t="shared" si="24"/>
        <v>4.0130223807492524E-2</v>
      </c>
      <c r="AK32" s="109">
        <f t="shared" si="24"/>
        <v>5.5827461354778195E-2</v>
      </c>
      <c r="AL32" s="109">
        <f t="shared" si="24"/>
        <v>0.11482175344309256</v>
      </c>
      <c r="AM32" s="109">
        <f t="shared" si="24"/>
        <v>0.30750228716751399</v>
      </c>
      <c r="AN32" s="109">
        <f t="shared" si="24"/>
        <v>0.36721450410723633</v>
      </c>
      <c r="AO32" s="109">
        <f t="shared" si="24"/>
        <v>1.5580359899299894</v>
      </c>
      <c r="AP32" s="109">
        <f t="shared" si="24"/>
        <v>1.4411884316321961</v>
      </c>
      <c r="AQ32" s="109">
        <f t="shared" si="24"/>
        <v>0.4978278504338422</v>
      </c>
      <c r="AR32" s="109">
        <f t="shared" si="24"/>
        <v>0.28525984419099054</v>
      </c>
      <c r="AS32" s="109">
        <f t="shared" si="24"/>
        <v>-0.29362351656544289</v>
      </c>
      <c r="AT32" s="109">
        <f t="shared" si="24"/>
        <v>-0.21213051054717894</v>
      </c>
      <c r="AU32" s="109">
        <f t="shared" si="24"/>
        <v>0.21437557706484187</v>
      </c>
      <c r="AV32" s="109">
        <f t="shared" si="24"/>
        <v>0.27129643011348037</v>
      </c>
      <c r="AW32" s="109">
        <f t="shared" si="24"/>
        <v>0.18972827563015351</v>
      </c>
      <c r="AX32" s="109">
        <f t="shared" si="24"/>
        <v>4.697133161314327E-2</v>
      </c>
      <c r="AY32" s="109">
        <f t="shared" si="24"/>
        <v>-4.4700931950146711E-2</v>
      </c>
      <c r="AZ32" s="109">
        <f t="shared" si="24"/>
        <v>-4.2033497929497503E-2</v>
      </c>
      <c r="BA32" s="109">
        <f t="shared" si="24"/>
        <v>-3.3174299225743956E-2</v>
      </c>
      <c r="BB32" s="109">
        <f t="shared" si="24"/>
        <v>-0.27929459223961933</v>
      </c>
      <c r="BC32" s="109">
        <f t="shared" si="24"/>
        <v>-1.3948952408223846E-2</v>
      </c>
      <c r="BD32" s="109">
        <f t="shared" si="24"/>
        <v>1.0846028834358366E-2</v>
      </c>
      <c r="BE32" s="109">
        <f t="shared" si="24"/>
        <v>4.9816935694300075E-2</v>
      </c>
      <c r="BF32" s="109">
        <f t="shared" si="24"/>
        <v>0.59954038590460912</v>
      </c>
      <c r="BG32" s="109">
        <f t="shared" si="24"/>
        <v>0.26660017465837332</v>
      </c>
      <c r="BH32" s="109">
        <f t="shared" si="24"/>
        <v>0.32307166646691388</v>
      </c>
      <c r="BI32" s="109">
        <f t="shared" si="24"/>
        <v>0.31643611536495303</v>
      </c>
      <c r="BJ32" s="109">
        <f t="shared" si="24"/>
        <v>0.1277729292616358</v>
      </c>
      <c r="BK32" s="109">
        <f t="shared" si="24"/>
        <v>0.12977720798656239</v>
      </c>
      <c r="BL32" s="109">
        <f t="shared" si="24"/>
        <v>4.9311148693798892E-2</v>
      </c>
      <c r="BM32" s="109">
        <f t="shared" si="24"/>
        <v>3.370643911181128E-2</v>
      </c>
      <c r="BN32" s="109">
        <f t="shared" si="24"/>
        <v>3.6205304836447495E-2</v>
      </c>
      <c r="BO32" s="109">
        <f t="shared" si="24"/>
        <v>-3.7301264050780415E-2</v>
      </c>
      <c r="BP32" s="109">
        <f t="shared" si="24"/>
        <v>-8.6427904746073161E-2</v>
      </c>
      <c r="BQ32" s="109">
        <f t="shared" si="24"/>
        <v>-6.9863650481482187E-2</v>
      </c>
      <c r="BR32" s="109">
        <f t="shared" ref="BR32:CK32" si="25">(BR7-BV7)/BV7</f>
        <v>-5.1008030801085527E-2</v>
      </c>
      <c r="BS32" s="109">
        <f t="shared" si="25"/>
        <v>-7.5694594164136386E-3</v>
      </c>
      <c r="BT32" s="109">
        <f t="shared" si="25"/>
        <v>0.31234042294333908</v>
      </c>
      <c r="BU32" s="109">
        <f t="shared" si="25"/>
        <v>0.77962370378358359</v>
      </c>
      <c r="BV32" s="109">
        <f t="shared" si="25"/>
        <v>2.0640192532657387</v>
      </c>
      <c r="BW32" s="109">
        <f t="shared" si="25"/>
        <v>4.0453685392267893</v>
      </c>
      <c r="BX32" s="109">
        <f t="shared" si="25"/>
        <v>6.2200020355833123</v>
      </c>
      <c r="BY32" s="109">
        <f t="shared" si="25"/>
        <v>5.1317793488729766</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566</v>
      </c>
      <c r="E33" s="109">
        <f>E7/E9</f>
        <v>0.37349222768987606</v>
      </c>
      <c r="F33" s="109">
        <f t="shared" ref="F33:BQ33" si="26">F7/F9</f>
        <v>0.3871728231974837</v>
      </c>
      <c r="G33" s="109">
        <f t="shared" si="26"/>
        <v>0.38741166318549863</v>
      </c>
      <c r="H33" s="109">
        <f t="shared" si="26"/>
        <v>0.44095270611029502</v>
      </c>
      <c r="I33" s="109">
        <f t="shared" si="26"/>
        <v>0.46342756274132896</v>
      </c>
      <c r="J33" s="109">
        <f t="shared" si="26"/>
        <v>0.54217690172686639</v>
      </c>
      <c r="K33" s="109">
        <f t="shared" si="26"/>
        <v>0.58409308863701692</v>
      </c>
      <c r="L33" s="109">
        <f t="shared" si="26"/>
        <v>0.48280041545905344</v>
      </c>
      <c r="M33" s="109">
        <f t="shared" si="26"/>
        <v>0.50419932045018778</v>
      </c>
      <c r="N33" s="109">
        <f t="shared" si="26"/>
        <v>0.57382487893190492</v>
      </c>
      <c r="O33" s="109">
        <f t="shared" si="26"/>
        <v>0.6359752276951498</v>
      </c>
      <c r="P33" s="109">
        <f t="shared" si="26"/>
        <v>0.58257863688836031</v>
      </c>
      <c r="Q33" s="109">
        <f t="shared" si="26"/>
        <v>0.57579667203829199</v>
      </c>
      <c r="R33" s="109">
        <f t="shared" si="26"/>
        <v>0.44990745436926577</v>
      </c>
      <c r="S33" s="109">
        <f t="shared" si="26"/>
        <v>0.45972503101780043</v>
      </c>
      <c r="T33" s="109">
        <f t="shared" si="26"/>
        <v>0.44628148508211102</v>
      </c>
      <c r="U33" s="109">
        <f t="shared" si="26"/>
        <v>0.45768693008397765</v>
      </c>
      <c r="V33" s="109">
        <f t="shared" si="26"/>
        <v>0.4865142470333757</v>
      </c>
      <c r="W33" s="109">
        <f t="shared" si="26"/>
        <v>0.4873802522503537</v>
      </c>
      <c r="X33" s="109">
        <f t="shared" si="26"/>
        <v>0.49717400106383247</v>
      </c>
      <c r="Y33" s="109">
        <f t="shared" si="26"/>
        <v>0.50376213921425028</v>
      </c>
      <c r="Z33" s="109">
        <f t="shared" si="26"/>
        <v>0.44595627820560646</v>
      </c>
      <c r="AA33" s="109">
        <f t="shared" si="26"/>
        <v>0.4258368424147112</v>
      </c>
      <c r="AB33" s="109">
        <f t="shared" si="26"/>
        <v>0.34537827389054976</v>
      </c>
      <c r="AC33" s="109">
        <f t="shared" si="26"/>
        <v>0.53521138237126831</v>
      </c>
      <c r="AD33" s="109">
        <f t="shared" si="26"/>
        <v>0.61678353438420452</v>
      </c>
      <c r="AE33" s="109">
        <f t="shared" si="26"/>
        <v>0.62213058756001127</v>
      </c>
      <c r="AF33" s="109">
        <f t="shared" si="26"/>
        <v>0.51904195935019826</v>
      </c>
      <c r="AG33" s="109">
        <f t="shared" si="26"/>
        <v>0.55118674553623048</v>
      </c>
      <c r="AH33" s="109">
        <f t="shared" si="26"/>
        <v>0.61904581414996285</v>
      </c>
      <c r="AI33" s="109">
        <f t="shared" si="26"/>
        <v>0.67513154837847578</v>
      </c>
      <c r="AJ33" s="109">
        <f t="shared" si="26"/>
        <v>0.56635899006087465</v>
      </c>
      <c r="AK33" s="109">
        <f t="shared" si="26"/>
        <v>0.59304450366788064</v>
      </c>
      <c r="AL33" s="109">
        <f t="shared" si="26"/>
        <v>0.59616294544162363</v>
      </c>
      <c r="AM33" s="109">
        <f t="shared" si="26"/>
        <v>0.64611131121245446</v>
      </c>
      <c r="AN33" s="109">
        <f t="shared" si="26"/>
        <v>0.62178822874979056</v>
      </c>
      <c r="AO33" s="109">
        <f t="shared" si="26"/>
        <v>0.73815781989541385</v>
      </c>
      <c r="AP33" s="109">
        <f t="shared" si="26"/>
        <v>0.72453705097308263</v>
      </c>
      <c r="AQ33" s="109">
        <f t="shared" si="26"/>
        <v>0.59828015552790936</v>
      </c>
      <c r="AR33" s="109">
        <f t="shared" si="26"/>
        <v>0.32639687635811054</v>
      </c>
      <c r="AS33" s="109">
        <f t="shared" si="26"/>
        <v>0.13919410323951362</v>
      </c>
      <c r="AT33" s="109">
        <f t="shared" si="26"/>
        <v>0.15437187116202059</v>
      </c>
      <c r="AU33" s="109">
        <f t="shared" si="26"/>
        <v>0.35512007981046645</v>
      </c>
      <c r="AV33" s="109">
        <f t="shared" si="26"/>
        <v>0.42366877695348942</v>
      </c>
      <c r="AW33" s="109">
        <f t="shared" si="26"/>
        <v>0.5461833984186969</v>
      </c>
      <c r="AX33" s="109">
        <f t="shared" si="26"/>
        <v>0.52808593634203482</v>
      </c>
      <c r="AY33" s="109">
        <f t="shared" si="26"/>
        <v>0.50346061662143349</v>
      </c>
      <c r="AZ33" s="109">
        <f t="shared" si="26"/>
        <v>0.43314848068782902</v>
      </c>
      <c r="BA33" s="109">
        <f t="shared" si="26"/>
        <v>0.45735767602834609</v>
      </c>
      <c r="BB33" s="109">
        <f t="shared" si="26"/>
        <v>0.47190440409163376</v>
      </c>
      <c r="BC33" s="109">
        <f t="shared" si="26"/>
        <v>0.4952884951678227</v>
      </c>
      <c r="BD33" s="109">
        <f t="shared" si="26"/>
        <v>0.48145476049195335</v>
      </c>
      <c r="BE33" s="109">
        <f t="shared" si="26"/>
        <v>0.4842737131965682</v>
      </c>
      <c r="BF33" s="109">
        <f t="shared" si="26"/>
        <v>0.64528702088776402</v>
      </c>
      <c r="BG33" s="109">
        <f t="shared" si="26"/>
        <v>0.51211425053642035</v>
      </c>
      <c r="BH33" s="109">
        <f t="shared" si="26"/>
        <v>0.49940213828984009</v>
      </c>
      <c r="BI33" s="109">
        <f t="shared" si="26"/>
        <v>0.47476899211093221</v>
      </c>
      <c r="BJ33" s="109">
        <f t="shared" si="26"/>
        <v>0.46594182096400466</v>
      </c>
      <c r="BK33" s="109">
        <f t="shared" si="26"/>
        <v>0.46142330415835625</v>
      </c>
      <c r="BL33" s="109">
        <f t="shared" si="26"/>
        <v>0.44407867377784954</v>
      </c>
      <c r="BM33" s="109">
        <f t="shared" si="26"/>
        <v>0.47714622652813821</v>
      </c>
      <c r="BN33" s="109">
        <f t="shared" si="26"/>
        <v>0.44128056241215796</v>
      </c>
      <c r="BO33" s="109">
        <f t="shared" si="26"/>
        <v>0.43539751531835313</v>
      </c>
      <c r="BP33" s="109">
        <f t="shared" si="26"/>
        <v>0.42585953284857025</v>
      </c>
      <c r="BQ33" s="109">
        <f t="shared" si="26"/>
        <v>0.43639861434577859</v>
      </c>
      <c r="BR33" s="109">
        <f t="shared" ref="BR33:CK33" si="27">BR7/BR9</f>
        <v>0.43669067577727061</v>
      </c>
      <c r="BS33" s="109">
        <f t="shared" si="27"/>
        <v>0.44867537588276535</v>
      </c>
      <c r="BT33" s="109">
        <f t="shared" si="27"/>
        <v>0.65508658373801132</v>
      </c>
      <c r="BU33" s="109">
        <f t="shared" si="27"/>
        <v>0.69765460031452864</v>
      </c>
      <c r="BV33" s="109">
        <f t="shared" si="27"/>
        <v>0.6455060046789779</v>
      </c>
      <c r="BW33" s="109">
        <f t="shared" si="27"/>
        <v>0.63676607478342795</v>
      </c>
      <c r="BX33" s="109">
        <f t="shared" si="27"/>
        <v>0.6648059124386112</v>
      </c>
      <c r="BY33" s="109">
        <f t="shared" si="27"/>
        <v>0.52754423514996684</v>
      </c>
      <c r="BZ33" s="109">
        <f t="shared" si="27"/>
        <v>1</v>
      </c>
      <c r="CA33" s="109">
        <f t="shared" si="27"/>
        <v>0.57303568102067504</v>
      </c>
      <c r="CB33" s="109">
        <f t="shared" si="27"/>
        <v>0.5788607742383074</v>
      </c>
      <c r="CC33" s="109">
        <f t="shared" si="27"/>
        <v>0.67056126285158568</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2" t="s">
        <v>560</v>
      </c>
      <c r="E34" s="108" t="e">
        <f>(E10-I10)/I10</f>
        <v>#DIV/0!</v>
      </c>
      <c r="F34" s="108">
        <f t="shared" ref="F34:BQ34" si="28">(F10-J10)/J10</f>
        <v>1354.0958817081703</v>
      </c>
      <c r="G34" s="108" t="e">
        <f t="shared" si="28"/>
        <v>#DIV/0!</v>
      </c>
      <c r="H34" s="108">
        <f t="shared" si="28"/>
        <v>-1</v>
      </c>
      <c r="I34" s="108">
        <f t="shared" si="28"/>
        <v>-1</v>
      </c>
      <c r="J34" s="108" t="e">
        <f t="shared" si="28"/>
        <v>#DIV/0!</v>
      </c>
      <c r="K34" s="108">
        <f t="shared" si="28"/>
        <v>-1</v>
      </c>
      <c r="L34" s="108">
        <f t="shared" si="28"/>
        <v>2.7574945421504706</v>
      </c>
      <c r="M34" s="108">
        <f t="shared" si="28"/>
        <v>0.54497345613178583</v>
      </c>
      <c r="N34" s="108">
        <f t="shared" si="28"/>
        <v>-1</v>
      </c>
      <c r="O34" s="108">
        <f t="shared" si="28"/>
        <v>-0.77793835530652133</v>
      </c>
      <c r="P34" s="108">
        <f t="shared" si="28"/>
        <v>-0.98490262976848619</v>
      </c>
      <c r="Q34" s="108">
        <f t="shared" si="28"/>
        <v>-0.9787775124456185</v>
      </c>
      <c r="R34" s="108">
        <f t="shared" si="28"/>
        <v>-0.98427545621735335</v>
      </c>
      <c r="S34" s="108">
        <f t="shared" si="28"/>
        <v>-0.98979102124715401</v>
      </c>
      <c r="T34" s="108">
        <f t="shared" si="28"/>
        <v>-0.3301047047072877</v>
      </c>
      <c r="U34" s="108">
        <f t="shared" si="28"/>
        <v>-0.35962199939955464</v>
      </c>
      <c r="V34" s="108">
        <f t="shared" si="28"/>
        <v>0.56267520557954231</v>
      </c>
      <c r="W34" s="108">
        <f t="shared" si="28"/>
        <v>1.5597362280021032</v>
      </c>
      <c r="X34" s="108">
        <f t="shared" si="28"/>
        <v>0.26936968476694423</v>
      </c>
      <c r="Y34" s="108">
        <f t="shared" si="28"/>
        <v>20.390898172157339</v>
      </c>
      <c r="Z34" s="108">
        <f t="shared" si="28"/>
        <v>51.486400111176842</v>
      </c>
      <c r="AA34" s="108">
        <f t="shared" si="28"/>
        <v>49.083206491967736</v>
      </c>
      <c r="AB34" s="108">
        <f t="shared" si="28"/>
        <v>23.398482341367959</v>
      </c>
      <c r="AC34" s="108">
        <f t="shared" si="28"/>
        <v>1.9969860242926174</v>
      </c>
      <c r="AD34" s="108" t="e">
        <f t="shared" si="28"/>
        <v>#DIV/0!</v>
      </c>
      <c r="AE34" s="108" t="e">
        <f t="shared" si="28"/>
        <v>#DIV/0!</v>
      </c>
      <c r="AF34" s="108">
        <f t="shared" si="28"/>
        <v>176.50355242622936</v>
      </c>
      <c r="AG34" s="108" t="e">
        <f t="shared" si="28"/>
        <v>#DIV/0!</v>
      </c>
      <c r="AH34" s="108" t="e">
        <f t="shared" si="28"/>
        <v>#DIV/0!</v>
      </c>
      <c r="AI34" s="108" t="e">
        <f t="shared" si="28"/>
        <v>#DIV/0!</v>
      </c>
      <c r="AJ34" s="108">
        <f t="shared" si="28"/>
        <v>-0.99975731374999999</v>
      </c>
      <c r="AK34" s="108" t="e">
        <f t="shared" si="28"/>
        <v>#DIV/0!</v>
      </c>
      <c r="AL34" s="108" t="e">
        <f t="shared" si="28"/>
        <v>#DIV/0!</v>
      </c>
      <c r="AM34" s="108" t="e">
        <f t="shared" si="28"/>
        <v>#DIV/0!</v>
      </c>
      <c r="AN34" s="108">
        <f t="shared" si="28"/>
        <v>-0.79035639412997905</v>
      </c>
      <c r="AO34" s="108">
        <f t="shared" si="28"/>
        <v>-1</v>
      </c>
      <c r="AP34" s="108">
        <f t="shared" si="28"/>
        <v>-1</v>
      </c>
      <c r="AQ34" s="108">
        <f t="shared" si="28"/>
        <v>-1</v>
      </c>
      <c r="AR34" s="108">
        <f t="shared" si="28"/>
        <v>2.5333333333333332</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f t="shared" si="28"/>
        <v>-1</v>
      </c>
      <c r="BB34" s="108">
        <f t="shared" si="28"/>
        <v>-1</v>
      </c>
      <c r="BC34" s="108">
        <f t="shared" si="28"/>
        <v>-1</v>
      </c>
      <c r="BD34" s="108">
        <f t="shared" si="28"/>
        <v>-1</v>
      </c>
      <c r="BE34" s="108">
        <f t="shared" si="28"/>
        <v>-0.66124539244703451</v>
      </c>
      <c r="BF34" s="108">
        <f t="shared" si="28"/>
        <v>0.36428571428571427</v>
      </c>
      <c r="BG34" s="108">
        <f t="shared" si="28"/>
        <v>0.65625</v>
      </c>
      <c r="BH34" s="108">
        <f t="shared" si="28"/>
        <v>0.61788200000000004</v>
      </c>
      <c r="BI34" s="108">
        <f t="shared" si="28"/>
        <v>6.0109747499999999</v>
      </c>
      <c r="BJ34" s="108">
        <f t="shared" si="28"/>
        <v>-0.25531914893617019</v>
      </c>
      <c r="BK34" s="108">
        <f t="shared" si="28"/>
        <v>-0.19191919191919191</v>
      </c>
      <c r="BL34" s="108">
        <f t="shared" si="28"/>
        <v>-0.49494949494949497</v>
      </c>
      <c r="BM34" s="108">
        <f t="shared" si="28"/>
        <v>-0.79695431472081213</v>
      </c>
      <c r="BN34" s="108">
        <f t="shared" si="28"/>
        <v>0.69369369369369371</v>
      </c>
      <c r="BO34" s="108">
        <f t="shared" si="28"/>
        <v>0.51145038167938928</v>
      </c>
      <c r="BP34" s="108">
        <f t="shared" si="28"/>
        <v>0.86792452830188682</v>
      </c>
      <c r="BQ34" s="108">
        <f t="shared" si="28"/>
        <v>1.6621621621621621</v>
      </c>
      <c r="BR34" s="108">
        <f t="shared" ref="BR34:CK34" si="29">(BR10-BV10)/BV10</f>
        <v>-0.36206896551724138</v>
      </c>
      <c r="BS34" s="108">
        <f t="shared" si="29"/>
        <v>3.1496062992125984E-2</v>
      </c>
      <c r="BT34" s="108">
        <f t="shared" si="29"/>
        <v>-0.62277580071174377</v>
      </c>
      <c r="BU34" s="108">
        <f t="shared" si="29"/>
        <v>-0.45985401459854014</v>
      </c>
      <c r="BV34" s="108" t="e">
        <f t="shared" si="29"/>
        <v>#DIV/0!</v>
      </c>
      <c r="BW34" s="108">
        <f t="shared" si="29"/>
        <v>-0.27278461706985224</v>
      </c>
      <c r="BX34" s="108">
        <f t="shared" si="29"/>
        <v>1.4976445700673742</v>
      </c>
      <c r="BY34" s="108">
        <f t="shared" si="29"/>
        <v>0.55469813890149799</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564</v>
      </c>
      <c r="E35" s="108">
        <f>E10/E12</f>
        <v>0.97390895774738151</v>
      </c>
      <c r="F35" s="108">
        <f t="shared" ref="F35:BQ35" si="30">F10/F12</f>
        <v>1</v>
      </c>
      <c r="G35" s="108">
        <f t="shared" si="30"/>
        <v>1</v>
      </c>
      <c r="H35" s="108" t="e">
        <f t="shared" si="30"/>
        <v>#DIV/0!</v>
      </c>
      <c r="I35" s="108" t="e">
        <f t="shared" si="30"/>
        <v>#DIV/0!</v>
      </c>
      <c r="J35" s="108">
        <f t="shared" si="30"/>
        <v>1</v>
      </c>
      <c r="K35" s="108" t="e">
        <f t="shared" si="30"/>
        <v>#DIV/0!</v>
      </c>
      <c r="L35" s="108">
        <f t="shared" si="30"/>
        <v>1</v>
      </c>
      <c r="M35" s="108">
        <f t="shared" si="30"/>
        <v>1</v>
      </c>
      <c r="N35" s="108" t="e">
        <f t="shared" si="30"/>
        <v>#DIV/0!</v>
      </c>
      <c r="O35" s="108">
        <f t="shared" si="30"/>
        <v>1</v>
      </c>
      <c r="P35" s="108">
        <f t="shared" si="30"/>
        <v>1</v>
      </c>
      <c r="Q35" s="108">
        <f t="shared" si="30"/>
        <v>1</v>
      </c>
      <c r="R35" s="108">
        <f t="shared" si="30"/>
        <v>2.2045385355898207E-2</v>
      </c>
      <c r="S35" s="108">
        <f t="shared" si="30"/>
        <v>2.1863461774806504E-2</v>
      </c>
      <c r="T35" s="108">
        <f t="shared" si="30"/>
        <v>0.40350958743653847</v>
      </c>
      <c r="U35" s="108">
        <f t="shared" si="30"/>
        <v>0.41762694643809628</v>
      </c>
      <c r="V35" s="108">
        <f t="shared" si="30"/>
        <v>0.57488472272516566</v>
      </c>
      <c r="W35" s="108">
        <f t="shared" si="30"/>
        <v>0.67278076940774445</v>
      </c>
      <c r="X35" s="108">
        <f t="shared" si="30"/>
        <v>0.42937199773625073</v>
      </c>
      <c r="Y35" s="108">
        <f t="shared" si="30"/>
        <v>0.45657098907831906</v>
      </c>
      <c r="Z35" s="108">
        <f t="shared" si="30"/>
        <v>0.52071410855569011</v>
      </c>
      <c r="AA35" s="108">
        <f t="shared" si="30"/>
        <v>0.5472222847060163</v>
      </c>
      <c r="AB35" s="108">
        <f t="shared" si="30"/>
        <v>0.53314960580183623</v>
      </c>
      <c r="AC35" s="108">
        <f t="shared" si="30"/>
        <v>7.0525716806537575E-2</v>
      </c>
      <c r="AD35" s="108">
        <f t="shared" si="30"/>
        <v>2.3171842479526621E-2</v>
      </c>
      <c r="AE35" s="108">
        <f t="shared" si="30"/>
        <v>1.9787939410044777E-2</v>
      </c>
      <c r="AF35" s="108">
        <f t="shared" si="30"/>
        <v>5.0959885281455737E-2</v>
      </c>
      <c r="AG35" s="108">
        <f t="shared" si="30"/>
        <v>2.8027035875736718E-2</v>
      </c>
      <c r="AH35" s="108">
        <f t="shared" si="30"/>
        <v>0</v>
      </c>
      <c r="AI35" s="108">
        <f t="shared" si="30"/>
        <v>0</v>
      </c>
      <c r="AJ35" s="108">
        <f t="shared" si="30"/>
        <v>3.186119193749728E-4</v>
      </c>
      <c r="AK35" s="108">
        <f t="shared" si="30"/>
        <v>0</v>
      </c>
      <c r="AL35" s="108">
        <f t="shared" si="30"/>
        <v>0</v>
      </c>
      <c r="AM35" s="108">
        <f t="shared" si="30"/>
        <v>0</v>
      </c>
      <c r="AN35" s="108">
        <f t="shared" si="30"/>
        <v>0.60973189815704953</v>
      </c>
      <c r="AO35" s="108">
        <f t="shared" si="30"/>
        <v>0</v>
      </c>
      <c r="AP35" s="108">
        <f t="shared" si="30"/>
        <v>0</v>
      </c>
      <c r="AQ35" s="108">
        <f t="shared" si="30"/>
        <v>0</v>
      </c>
      <c r="AR35" s="108">
        <f t="shared" si="30"/>
        <v>0.92156379888853301</v>
      </c>
      <c r="AS35" s="108">
        <f t="shared" si="30"/>
        <v>0.75112672687784721</v>
      </c>
      <c r="AT35" s="108">
        <f t="shared" si="30"/>
        <v>0.81180687918658034</v>
      </c>
      <c r="AU35" s="108">
        <f t="shared" si="30"/>
        <v>0.54336727686524222</v>
      </c>
      <c r="AV35" s="108">
        <f t="shared" si="30"/>
        <v>1</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f t="shared" si="30"/>
        <v>1</v>
      </c>
      <c r="BF35" s="108">
        <f t="shared" si="30"/>
        <v>1</v>
      </c>
      <c r="BG35" s="108">
        <f t="shared" si="30"/>
        <v>1</v>
      </c>
      <c r="BH35" s="108">
        <f t="shared" si="30"/>
        <v>0.6180118126027071</v>
      </c>
      <c r="BI35" s="108">
        <f t="shared" si="30"/>
        <v>0.73714576416050315</v>
      </c>
      <c r="BJ35" s="108">
        <f t="shared" si="30"/>
        <v>1</v>
      </c>
      <c r="BK35" s="108">
        <f t="shared" si="30"/>
        <v>1</v>
      </c>
      <c r="BL35" s="108">
        <f t="shared" si="30"/>
        <v>0.7142857142857143</v>
      </c>
      <c r="BM35" s="108">
        <f t="shared" si="30"/>
        <v>1</v>
      </c>
      <c r="BN35" s="108">
        <f t="shared" si="30"/>
        <v>1</v>
      </c>
      <c r="BO35" s="108">
        <f t="shared" si="30"/>
        <v>1</v>
      </c>
      <c r="BP35" s="108">
        <f t="shared" si="30"/>
        <v>1</v>
      </c>
      <c r="BQ35" s="108">
        <f t="shared" si="30"/>
        <v>1</v>
      </c>
      <c r="BR35" s="108">
        <f t="shared" ref="BR35:CK35" si="31">BR10/BR12</f>
        <v>0.56345177664974622</v>
      </c>
      <c r="BS35" s="108">
        <f t="shared" si="31"/>
        <v>0.66124530298948936</v>
      </c>
      <c r="BT35" s="108">
        <f t="shared" si="31"/>
        <v>0.59374542597218416</v>
      </c>
      <c r="BU35" s="108">
        <f t="shared" si="31"/>
        <v>0.50359206044308669</v>
      </c>
      <c r="BV35" s="108">
        <f t="shared" si="31"/>
        <v>0.62739461592727297</v>
      </c>
      <c r="BW35" s="108">
        <f t="shared" si="31"/>
        <v>0.60540299707285905</v>
      </c>
      <c r="BX35" s="108">
        <f t="shared" si="31"/>
        <v>0.98876028240908698</v>
      </c>
      <c r="BY35" s="108">
        <f t="shared" si="31"/>
        <v>0.94659743407621721</v>
      </c>
      <c r="BZ35" s="108" t="e">
        <f t="shared" si="31"/>
        <v>#DIV/0!</v>
      </c>
      <c r="CA35" s="108">
        <f t="shared" si="31"/>
        <v>0.95295162200940431</v>
      </c>
      <c r="CB35" s="108">
        <f t="shared" si="31"/>
        <v>0.77490642694604206</v>
      </c>
      <c r="CC35" s="108">
        <f t="shared" si="31"/>
        <v>0.63462796044905212</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2" t="s">
        <v>561</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f t="shared" si="32"/>
        <v>-1</v>
      </c>
      <c r="O36" s="108">
        <f t="shared" si="32"/>
        <v>-1</v>
      </c>
      <c r="P36" s="108">
        <f t="shared" si="32"/>
        <v>-1</v>
      </c>
      <c r="Q36" s="108">
        <f t="shared" si="32"/>
        <v>-1</v>
      </c>
      <c r="R36" s="108">
        <f t="shared" si="32"/>
        <v>-5.6692874708193598E-2</v>
      </c>
      <c r="S36" s="108">
        <f t="shared" si="32"/>
        <v>-6.0930782405039165E-2</v>
      </c>
      <c r="T36" s="108">
        <f t="shared" si="32"/>
        <v>-0.25486120499206605</v>
      </c>
      <c r="U36" s="108">
        <f t="shared" si="32"/>
        <v>-0.24973505337259083</v>
      </c>
      <c r="V36" s="108">
        <f t="shared" si="32"/>
        <v>0.25544984100585533</v>
      </c>
      <c r="W36" s="108">
        <f t="shared" si="32"/>
        <v>0.50466284258418737</v>
      </c>
      <c r="X36" s="108">
        <f t="shared" si="32"/>
        <v>0.9265436216003845</v>
      </c>
      <c r="Y36" s="108">
        <f t="shared" si="32"/>
        <v>0.93185113759600757</v>
      </c>
      <c r="Z36" s="108">
        <f t="shared" si="32"/>
        <v>0.14599964900456211</v>
      </c>
      <c r="AA36" s="108">
        <f t="shared" si="32"/>
        <v>-0.16344610644171326</v>
      </c>
      <c r="AB36" s="108">
        <f t="shared" si="32"/>
        <v>0.14718991899955047</v>
      </c>
      <c r="AC36" s="108">
        <f t="shared" si="32"/>
        <v>0.13893141292975883</v>
      </c>
      <c r="AD36" s="108">
        <f t="shared" si="32"/>
        <v>3.6834918006870339E-2</v>
      </c>
      <c r="AE36" s="108">
        <f t="shared" si="32"/>
        <v>0.42453238733872634</v>
      </c>
      <c r="AF36" s="108">
        <f t="shared" si="32"/>
        <v>5.3570470405777212E-2</v>
      </c>
      <c r="AG36" s="108">
        <f t="shared" si="32"/>
        <v>6.1622657994908583E-2</v>
      </c>
      <c r="AH36" s="108">
        <f t="shared" si="32"/>
        <v>-0.59729947736634914</v>
      </c>
      <c r="AI36" s="108">
        <f t="shared" si="32"/>
        <v>-0.64355150794822868</v>
      </c>
      <c r="AJ36" s="108">
        <f t="shared" si="32"/>
        <v>0.18965386064526296</v>
      </c>
      <c r="AK36" s="108">
        <f t="shared" si="32"/>
        <v>0.19397369166577938</v>
      </c>
      <c r="AL36" s="108">
        <f t="shared" si="32"/>
        <v>2.4211822955468087</v>
      </c>
      <c r="AM36" s="108">
        <f t="shared" si="32"/>
        <v>3.968594930923242</v>
      </c>
      <c r="AN36" s="108">
        <f t="shared" si="32"/>
        <v>0.57657492986905812</v>
      </c>
      <c r="AO36" s="108">
        <f t="shared" si="32"/>
        <v>-0.46114272344525042</v>
      </c>
      <c r="AP36" s="108">
        <f t="shared" si="32"/>
        <v>-0.44470664275036925</v>
      </c>
      <c r="AQ36" s="108">
        <f t="shared" si="32"/>
        <v>-0.60749707598234115</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f t="shared" si="32"/>
        <v>-1</v>
      </c>
      <c r="BE36" s="108">
        <f t="shared" si="32"/>
        <v>-1</v>
      </c>
      <c r="BF36" s="108" t="e">
        <f t="shared" si="32"/>
        <v>#DIV/0!</v>
      </c>
      <c r="BG36" s="108" t="e">
        <f t="shared" si="32"/>
        <v>#DIV/0!</v>
      </c>
      <c r="BH36" s="108">
        <f t="shared" si="32"/>
        <v>1.5</v>
      </c>
      <c r="BI36" s="108" t="e">
        <f t="shared" si="32"/>
        <v>#DIV/0!</v>
      </c>
      <c r="BJ36" s="108" t="e">
        <f t="shared" si="32"/>
        <v>#DIV/0!</v>
      </c>
      <c r="BK36" s="108" t="e">
        <f t="shared" si="32"/>
        <v>#DIV/0!</v>
      </c>
      <c r="BL36" s="108" t="e">
        <f t="shared" si="32"/>
        <v>#DIV/0!</v>
      </c>
      <c r="BM36" s="108" t="e">
        <f t="shared" si="32"/>
        <v>#DIV/0!</v>
      </c>
      <c r="BN36" s="108">
        <f t="shared" si="32"/>
        <v>-1</v>
      </c>
      <c r="BO36" s="108">
        <f t="shared" si="32"/>
        <v>-1</v>
      </c>
      <c r="BP36" s="108">
        <f t="shared" si="32"/>
        <v>-1</v>
      </c>
      <c r="BQ36" s="108">
        <f t="shared" si="32"/>
        <v>-1</v>
      </c>
      <c r="BR36" s="108">
        <f t="shared" ref="BR36:CK36" si="33">(BR11-BV11)/BV11</f>
        <v>-0.1677747959765897</v>
      </c>
      <c r="BS36" s="108">
        <f t="shared" si="33"/>
        <v>-0.18926096351118316</v>
      </c>
      <c r="BT36" s="108">
        <f t="shared" si="33"/>
        <v>21.705608522698906</v>
      </c>
      <c r="BU36" s="108">
        <f t="shared" si="33"/>
        <v>8.4378744384229076</v>
      </c>
      <c r="BV36" s="108" t="e">
        <f t="shared" si="33"/>
        <v>#DIV/0!</v>
      </c>
      <c r="BW36" s="108">
        <f t="shared" si="33"/>
        <v>8.6006021042601084</v>
      </c>
      <c r="BX36" s="108">
        <f t="shared" si="33"/>
        <v>-0.90225800706854431</v>
      </c>
      <c r="BY36" s="108">
        <f t="shared" si="33"/>
        <v>-0.84765550221881192</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565</v>
      </c>
      <c r="B37" s="108"/>
      <c r="C37" s="108"/>
      <c r="D37" s="108"/>
      <c r="E37" s="108">
        <f>E11/E12</f>
        <v>2.6091042252618529E-2</v>
      </c>
      <c r="F37" s="108">
        <f t="shared" ref="F37:BQ37" si="34">F11/F12</f>
        <v>0</v>
      </c>
      <c r="G37" s="108">
        <f t="shared" si="34"/>
        <v>0</v>
      </c>
      <c r="H37" s="108" t="e">
        <f t="shared" si="34"/>
        <v>#DIV/0!</v>
      </c>
      <c r="I37" s="108" t="e">
        <f t="shared" si="34"/>
        <v>#DIV/0!</v>
      </c>
      <c r="J37" s="108">
        <f t="shared" si="34"/>
        <v>0</v>
      </c>
      <c r="K37" s="108" t="e">
        <f t="shared" si="34"/>
        <v>#DIV/0!</v>
      </c>
      <c r="L37" s="108">
        <f t="shared" si="34"/>
        <v>0</v>
      </c>
      <c r="M37" s="108">
        <f t="shared" si="34"/>
        <v>0</v>
      </c>
      <c r="N37" s="108" t="e">
        <f t="shared" si="34"/>
        <v>#DIV/0!</v>
      </c>
      <c r="O37" s="110">
        <f t="shared" si="34"/>
        <v>0</v>
      </c>
      <c r="P37" s="110">
        <f t="shared" si="34"/>
        <v>0</v>
      </c>
      <c r="Q37" s="110">
        <f t="shared" si="34"/>
        <v>0</v>
      </c>
      <c r="R37" s="110">
        <f t="shared" si="34"/>
        <v>0.97795461464410183</v>
      </c>
      <c r="S37" s="110">
        <f t="shared" si="34"/>
        <v>0.97813653822519353</v>
      </c>
      <c r="T37" s="110">
        <f t="shared" si="34"/>
        <v>0.59649041256346158</v>
      </c>
      <c r="U37" s="110">
        <f t="shared" si="34"/>
        <v>0.58237305356190372</v>
      </c>
      <c r="V37" s="110">
        <f t="shared" si="34"/>
        <v>0.42511527727483439</v>
      </c>
      <c r="W37" s="110">
        <f t="shared" si="34"/>
        <v>0.32721923059225566</v>
      </c>
      <c r="X37" s="110">
        <f t="shared" si="34"/>
        <v>0.57062800226374921</v>
      </c>
      <c r="Y37" s="110">
        <f t="shared" si="34"/>
        <v>0.54342901092168094</v>
      </c>
      <c r="Z37" s="110">
        <f t="shared" si="34"/>
        <v>0.47928589144430994</v>
      </c>
      <c r="AA37" s="110">
        <f t="shared" si="34"/>
        <v>0.45277771529398364</v>
      </c>
      <c r="AB37" s="110">
        <f t="shared" si="34"/>
        <v>0.46685039419816377</v>
      </c>
      <c r="AC37" s="110">
        <f t="shared" si="34"/>
        <v>0.92947428319346237</v>
      </c>
      <c r="AD37" s="110">
        <f t="shared" si="34"/>
        <v>0.97682815752047336</v>
      </c>
      <c r="AE37" s="110">
        <f t="shared" si="34"/>
        <v>0.98021206058995525</v>
      </c>
      <c r="AF37" s="110">
        <f t="shared" si="34"/>
        <v>0.94904011471854421</v>
      </c>
      <c r="AG37" s="110">
        <f t="shared" si="34"/>
        <v>0.97197296412426326</v>
      </c>
      <c r="AH37" s="110">
        <f t="shared" si="34"/>
        <v>1</v>
      </c>
      <c r="AI37" s="110">
        <f t="shared" si="34"/>
        <v>1</v>
      </c>
      <c r="AJ37" s="110">
        <f t="shared" si="34"/>
        <v>0.99968138808062501</v>
      </c>
      <c r="AK37" s="110">
        <f t="shared" si="34"/>
        <v>1</v>
      </c>
      <c r="AL37" s="110">
        <f t="shared" si="34"/>
        <v>1</v>
      </c>
      <c r="AM37" s="110">
        <f t="shared" si="34"/>
        <v>1</v>
      </c>
      <c r="AN37" s="110">
        <f t="shared" si="34"/>
        <v>0.39026810184295041</v>
      </c>
      <c r="AO37" s="110">
        <f t="shared" si="34"/>
        <v>1</v>
      </c>
      <c r="AP37" s="110">
        <f t="shared" si="34"/>
        <v>1</v>
      </c>
      <c r="AQ37" s="110">
        <f t="shared" si="34"/>
        <v>1</v>
      </c>
      <c r="AR37" s="110">
        <f t="shared" si="34"/>
        <v>7.8436201111467055E-2</v>
      </c>
      <c r="AS37" s="110">
        <f t="shared" si="34"/>
        <v>0.24887327312215274</v>
      </c>
      <c r="AT37" s="110">
        <f t="shared" si="34"/>
        <v>0.1881931208134196</v>
      </c>
      <c r="AU37" s="110">
        <f t="shared" si="34"/>
        <v>0.45663272313475778</v>
      </c>
      <c r="AV37" s="110">
        <f t="shared" si="34"/>
        <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f t="shared" si="34"/>
        <v>0</v>
      </c>
      <c r="BF37" s="110">
        <f t="shared" si="34"/>
        <v>0</v>
      </c>
      <c r="BG37" s="110">
        <f t="shared" si="34"/>
        <v>0</v>
      </c>
      <c r="BH37" s="110">
        <f t="shared" si="34"/>
        <v>0.3819881873972929</v>
      </c>
      <c r="BI37" s="110">
        <f t="shared" si="34"/>
        <v>0.26285423583949691</v>
      </c>
      <c r="BJ37" s="110">
        <f t="shared" si="34"/>
        <v>0</v>
      </c>
      <c r="BK37" s="110">
        <f t="shared" si="34"/>
        <v>0</v>
      </c>
      <c r="BL37" s="110">
        <f t="shared" si="34"/>
        <v>0.2857142857142857</v>
      </c>
      <c r="BM37" s="110">
        <f t="shared" si="34"/>
        <v>0</v>
      </c>
      <c r="BN37" s="110">
        <f t="shared" si="34"/>
        <v>0</v>
      </c>
      <c r="BO37" s="110">
        <f t="shared" si="34"/>
        <v>0</v>
      </c>
      <c r="BP37" s="110">
        <f t="shared" si="34"/>
        <v>0</v>
      </c>
      <c r="BQ37" s="110">
        <f t="shared" si="34"/>
        <v>0</v>
      </c>
      <c r="BR37" s="110">
        <f t="shared" ref="BR37:CK37" si="35">BR11/BR12</f>
        <v>0.43654822335025378</v>
      </c>
      <c r="BS37" s="110">
        <f t="shared" si="35"/>
        <v>0.33875469701051059</v>
      </c>
      <c r="BT37" s="110">
        <f t="shared" si="35"/>
        <v>0.4062545740278159</v>
      </c>
      <c r="BU37" s="110">
        <f t="shared" si="35"/>
        <v>0.49640793955691342</v>
      </c>
      <c r="BV37" s="110">
        <f t="shared" si="35"/>
        <v>0.37260538407272703</v>
      </c>
      <c r="BW37" s="110">
        <f t="shared" si="35"/>
        <v>0.39459700292714095</v>
      </c>
      <c r="BX37" s="110">
        <f t="shared" si="35"/>
        <v>1.1239717590913063E-2</v>
      </c>
      <c r="BY37" s="110">
        <f t="shared" si="35"/>
        <v>5.3402565923782848E-2</v>
      </c>
      <c r="BZ37" s="110" t="e">
        <f t="shared" si="35"/>
        <v>#DIV/0!</v>
      </c>
      <c r="CA37" s="110">
        <f t="shared" si="35"/>
        <v>4.7048377990595677E-2</v>
      </c>
      <c r="CB37" s="110">
        <f t="shared" si="35"/>
        <v>0.225093573053958</v>
      </c>
      <c r="CC37" s="110">
        <f t="shared" si="35"/>
        <v>0.36537203955094788</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x14ac:dyDescent="0.25">
      <c r="A38" s="185" t="s">
        <v>635</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552</v>
      </c>
      <c r="B39" s="222"/>
      <c r="C39" s="222"/>
      <c r="D39" s="222"/>
      <c r="E39" s="223">
        <f>E2/E9</f>
        <v>0.22101164239541071</v>
      </c>
      <c r="F39" s="223">
        <f t="shared" ref="F39:U39" si="37">F2/F9</f>
        <v>0.23379635903406534</v>
      </c>
      <c r="G39" s="223">
        <f t="shared" si="37"/>
        <v>0.29000968247769809</v>
      </c>
      <c r="H39" s="223">
        <f t="shared" si="37"/>
        <v>0.34233317029620142</v>
      </c>
      <c r="I39" s="223">
        <f t="shared" si="37"/>
        <v>0.46825348694543661</v>
      </c>
      <c r="J39" s="223">
        <f t="shared" si="37"/>
        <v>0.29351153446579165</v>
      </c>
      <c r="K39" s="223">
        <f t="shared" si="37"/>
        <v>0.31235876554042596</v>
      </c>
      <c r="L39" s="223">
        <f t="shared" si="37"/>
        <v>0.42439407676065671</v>
      </c>
      <c r="M39" s="223">
        <f t="shared" si="37"/>
        <v>0.62391723252796183</v>
      </c>
      <c r="N39" s="223">
        <f t="shared" si="37"/>
        <v>0.60193193270263035</v>
      </c>
      <c r="O39" s="223">
        <f t="shared" si="37"/>
        <v>0.56790949121659062</v>
      </c>
      <c r="P39" s="223">
        <f t="shared" si="37"/>
        <v>0.45016570516581245</v>
      </c>
      <c r="Q39" s="223">
        <f t="shared" si="37"/>
        <v>0.55269153906675561</v>
      </c>
      <c r="R39" s="223">
        <f t="shared" si="37"/>
        <v>0.52230820331398675</v>
      </c>
      <c r="S39" s="223">
        <f t="shared" si="37"/>
        <v>0.50132881858660494</v>
      </c>
      <c r="T39" s="223">
        <f t="shared" si="37"/>
        <v>0.40455243972373317</v>
      </c>
      <c r="U39" s="223">
        <f t="shared" si="37"/>
        <v>0.44829037059543758</v>
      </c>
    </row>
    <row r="40" spans="1:89" s="224" customFormat="1" x14ac:dyDescent="0.25">
      <c r="A40" s="221" t="s">
        <v>553</v>
      </c>
      <c r="B40" s="222"/>
      <c r="C40" s="222"/>
      <c r="D40" s="222"/>
      <c r="E40" s="223">
        <f>E3/E9</f>
        <v>3.692761219400887E-2</v>
      </c>
      <c r="F40" s="223">
        <f t="shared" ref="F40:U40" si="38">F3/F9</f>
        <v>3.9607446347228341E-2</v>
      </c>
      <c r="G40" s="223">
        <f t="shared" si="38"/>
        <v>2.2022019282283735E-2</v>
      </c>
      <c r="H40" s="223">
        <f t="shared" si="38"/>
        <v>2.2111323828965516E-2</v>
      </c>
      <c r="I40" s="223">
        <f t="shared" si="38"/>
        <v>2.1566703594795476E-2</v>
      </c>
      <c r="J40" s="223">
        <f t="shared" si="38"/>
        <v>2.4223068277994239E-2</v>
      </c>
      <c r="K40" s="223">
        <f t="shared" si="38"/>
        <v>2.5914898626198734E-2</v>
      </c>
      <c r="L40" s="223">
        <f t="shared" si="38"/>
        <v>2.0959843512489688E-2</v>
      </c>
      <c r="M40" s="223">
        <f t="shared" si="38"/>
        <v>0</v>
      </c>
      <c r="N40" s="223">
        <f t="shared" si="38"/>
        <v>0</v>
      </c>
      <c r="O40" s="223">
        <f t="shared" si="38"/>
        <v>0</v>
      </c>
      <c r="P40" s="223">
        <f t="shared" si="38"/>
        <v>0</v>
      </c>
      <c r="Q40" s="223">
        <f t="shared" si="38"/>
        <v>0</v>
      </c>
      <c r="R40" s="223">
        <f t="shared" si="38"/>
        <v>0</v>
      </c>
      <c r="S40" s="223">
        <f t="shared" si="38"/>
        <v>1.6052025663720028E-2</v>
      </c>
      <c r="T40" s="223">
        <f t="shared" si="38"/>
        <v>1.4752493796852889E-2</v>
      </c>
      <c r="U40" s="223">
        <f t="shared" si="38"/>
        <v>1.5149785460810342E-2</v>
      </c>
    </row>
    <row r="41" spans="1:89" x14ac:dyDescent="0.25">
      <c r="A41" s="183" t="s">
        <v>558</v>
      </c>
      <c r="B41" s="64"/>
      <c r="C41" s="64"/>
      <c r="D41" s="64"/>
      <c r="E41" s="90">
        <f>E4/E9</f>
        <v>0.36856851772070442</v>
      </c>
      <c r="F41" s="90">
        <f t="shared" ref="F41:U41" si="39">F4/F9</f>
        <v>0.33942337142122264</v>
      </c>
      <c r="G41" s="90">
        <f t="shared" si="39"/>
        <v>0.30055663505451968</v>
      </c>
      <c r="H41" s="90">
        <f t="shared" si="39"/>
        <v>0.19460279976453795</v>
      </c>
      <c r="I41" s="90">
        <f t="shared" si="39"/>
        <v>4.6752246718438938E-2</v>
      </c>
      <c r="J41" s="90">
        <f t="shared" si="39"/>
        <v>0.14008849552934763</v>
      </c>
      <c r="K41" s="90">
        <f t="shared" si="39"/>
        <v>7.7633247196358515E-2</v>
      </c>
      <c r="L41" s="90">
        <f t="shared" si="39"/>
        <v>7.1845664267800161E-2</v>
      </c>
      <c r="M41" s="90">
        <f t="shared" si="39"/>
        <v>-0.12811655297814953</v>
      </c>
      <c r="N41" s="213">
        <f t="shared" si="39"/>
        <v>-0.17575681163453527</v>
      </c>
      <c r="O41" s="213">
        <f t="shared" si="39"/>
        <v>-0.20388471891174048</v>
      </c>
      <c r="P41" s="213">
        <f t="shared" si="39"/>
        <v>-3.2744342054172711E-2</v>
      </c>
      <c r="Q41" s="213">
        <f t="shared" si="39"/>
        <v>-0.12848821110504766</v>
      </c>
      <c r="R41" s="213">
        <f t="shared" si="39"/>
        <v>2.7784342316747604E-2</v>
      </c>
      <c r="S41" s="213">
        <f t="shared" si="39"/>
        <v>2.2894124731874646E-2</v>
      </c>
      <c r="T41" s="213">
        <f t="shared" si="39"/>
        <v>0.13441358139730306</v>
      </c>
      <c r="U41" s="213">
        <f t="shared" si="39"/>
        <v>7.8872913859774407E-2</v>
      </c>
    </row>
    <row r="42" spans="1:89" x14ac:dyDescent="0.25">
      <c r="A42" s="183" t="s">
        <v>334</v>
      </c>
      <c r="B42" s="64"/>
      <c r="C42" s="64"/>
      <c r="D42" s="64"/>
      <c r="E42" s="90">
        <f>E5/E9</f>
        <v>1.3773203890825765</v>
      </c>
      <c r="F42" s="90">
        <f t="shared" ref="F42:U42" si="40">F5/F9</f>
        <v>1.1836813563877289</v>
      </c>
      <c r="G42" s="90">
        <f t="shared" si="40"/>
        <v>1.1064774146859642</v>
      </c>
      <c r="H42" s="90">
        <f t="shared" si="40"/>
        <v>1.1315660982518843</v>
      </c>
      <c r="I42" s="90">
        <f t="shared" si="40"/>
        <v>1.4038165094813801</v>
      </c>
      <c r="J42" s="90">
        <f t="shared" si="40"/>
        <v>1.3593116379177885</v>
      </c>
      <c r="K42" s="90">
        <f t="shared" si="40"/>
        <v>1.3156252052388411</v>
      </c>
      <c r="L42" s="90">
        <f t="shared" si="40"/>
        <v>1.0537709539881643</v>
      </c>
      <c r="M42" s="90">
        <f t="shared" si="40"/>
        <v>1.1140712880520829</v>
      </c>
      <c r="N42" s="213">
        <f t="shared" si="40"/>
        <v>1.0260961340022634</v>
      </c>
      <c r="O42" s="213">
        <f t="shared" si="40"/>
        <v>0.93939226951363775</v>
      </c>
      <c r="P42" s="213">
        <f t="shared" si="40"/>
        <v>0.90289811929433317</v>
      </c>
      <c r="Q42" s="213">
        <f t="shared" si="40"/>
        <v>0.99868852122190443</v>
      </c>
      <c r="R42" s="213">
        <f t="shared" si="40"/>
        <v>0.93177595098362387</v>
      </c>
      <c r="S42" s="213">
        <f t="shared" si="40"/>
        <v>0.77450694574273082</v>
      </c>
      <c r="T42" s="213">
        <f t="shared" si="40"/>
        <v>0.85476022018313769</v>
      </c>
      <c r="U42" s="213">
        <f t="shared" si="40"/>
        <v>0.80229575885713977</v>
      </c>
    </row>
    <row r="43" spans="1:89" x14ac:dyDescent="0.25">
      <c r="A43" s="183" t="s">
        <v>335</v>
      </c>
      <c r="B43" s="64"/>
      <c r="C43" s="64"/>
      <c r="D43" s="64"/>
      <c r="E43" s="90">
        <f>E6/E9</f>
        <v>1.0087518713618719</v>
      </c>
      <c r="F43" s="90">
        <f t="shared" ref="F43:U43" si="41">F6/F9</f>
        <v>0.84425798496650628</v>
      </c>
      <c r="G43" s="90">
        <f t="shared" si="41"/>
        <v>0.80592077963144437</v>
      </c>
      <c r="H43" s="90">
        <f t="shared" si="41"/>
        <v>0.93696329848734639</v>
      </c>
      <c r="I43" s="90">
        <f t="shared" si="41"/>
        <v>1.3570642627629412</v>
      </c>
      <c r="J43" s="90">
        <f t="shared" si="41"/>
        <v>1.219223142388441</v>
      </c>
      <c r="K43" s="90">
        <f t="shared" si="41"/>
        <v>1.2379919580424827</v>
      </c>
      <c r="L43" s="90">
        <f t="shared" si="41"/>
        <v>0.98192528972036419</v>
      </c>
      <c r="M43" s="90">
        <f t="shared" si="41"/>
        <v>1.2421878410302323</v>
      </c>
      <c r="N43" s="213">
        <f t="shared" si="41"/>
        <v>1.2018529456367988</v>
      </c>
      <c r="O43" s="213">
        <f t="shared" si="41"/>
        <v>1.1432769884253782</v>
      </c>
      <c r="P43" s="213">
        <f t="shared" si="41"/>
        <v>0.93564246134850582</v>
      </c>
      <c r="Q43" s="213">
        <f t="shared" si="41"/>
        <v>1.1271767323269521</v>
      </c>
      <c r="R43" s="213">
        <f t="shared" si="41"/>
        <v>0.90399160866687622</v>
      </c>
      <c r="S43" s="213">
        <f t="shared" si="41"/>
        <v>0.75161282101085625</v>
      </c>
      <c r="T43" s="213">
        <f t="shared" si="41"/>
        <v>0.7203466387858346</v>
      </c>
      <c r="U43" s="213">
        <f t="shared" si="41"/>
        <v>0.72342284499736531</v>
      </c>
    </row>
    <row r="44" spans="1:89" x14ac:dyDescent="0.25">
      <c r="A44" s="183" t="s">
        <v>336</v>
      </c>
      <c r="B44" s="64"/>
      <c r="C44" s="64"/>
      <c r="D44" s="64"/>
      <c r="E44" s="90">
        <f>E7/E9</f>
        <v>0.37349222768987606</v>
      </c>
      <c r="F44" s="90">
        <f t="shared" ref="F44:U44" si="42">F7/F9</f>
        <v>0.3871728231974837</v>
      </c>
      <c r="G44" s="90">
        <f t="shared" si="42"/>
        <v>0.38741166318549863</v>
      </c>
      <c r="H44" s="90">
        <f t="shared" si="42"/>
        <v>0.44095270611029502</v>
      </c>
      <c r="I44" s="90">
        <f t="shared" si="42"/>
        <v>0.46342756274132896</v>
      </c>
      <c r="J44" s="90">
        <f t="shared" si="42"/>
        <v>0.54217690172686639</v>
      </c>
      <c r="K44" s="90">
        <f t="shared" si="42"/>
        <v>0.58409308863701692</v>
      </c>
      <c r="L44" s="90">
        <f t="shared" si="42"/>
        <v>0.48280041545905344</v>
      </c>
      <c r="M44" s="90">
        <f t="shared" si="42"/>
        <v>0.50419932045018778</v>
      </c>
      <c r="N44" s="213">
        <f t="shared" si="42"/>
        <v>0.57382487893190492</v>
      </c>
      <c r="O44" s="213">
        <f t="shared" si="42"/>
        <v>0.6359752276951498</v>
      </c>
      <c r="P44" s="213">
        <f t="shared" si="42"/>
        <v>0.58257863688836031</v>
      </c>
      <c r="Q44" s="213">
        <f t="shared" si="42"/>
        <v>0.57579667203829199</v>
      </c>
      <c r="R44" s="213">
        <f t="shared" si="42"/>
        <v>0.44990745436926577</v>
      </c>
      <c r="S44" s="213">
        <f t="shared" si="42"/>
        <v>0.45972503101780043</v>
      </c>
      <c r="T44" s="213">
        <f t="shared" si="42"/>
        <v>0.44628148508211102</v>
      </c>
      <c r="U44" s="213">
        <f t="shared" si="42"/>
        <v>0.45768693008397765</v>
      </c>
    </row>
    <row r="45" spans="1:89" s="224" customFormat="1" x14ac:dyDescent="0.25">
      <c r="A45" s="221" t="s">
        <v>337</v>
      </c>
      <c r="B45" s="222"/>
      <c r="C45" s="222"/>
      <c r="D45" s="222"/>
      <c r="E45" s="223">
        <f>E8/E9</f>
        <v>0.74206074541058042</v>
      </c>
      <c r="F45" s="223">
        <f t="shared" ref="F45:U45" si="43">F8/F9</f>
        <v>0.72659619461870639</v>
      </c>
      <c r="G45" s="223">
        <f t="shared" si="43"/>
        <v>0.68796829824001826</v>
      </c>
      <c r="H45" s="223">
        <f t="shared" si="43"/>
        <v>0.635555505874833</v>
      </c>
      <c r="I45" s="223">
        <f t="shared" si="43"/>
        <v>0.51017980945976793</v>
      </c>
      <c r="J45" s="223">
        <f t="shared" si="43"/>
        <v>0.68226539725621405</v>
      </c>
      <c r="K45" s="223">
        <f t="shared" si="43"/>
        <v>0.66172633583337537</v>
      </c>
      <c r="L45" s="223">
        <f t="shared" si="43"/>
        <v>0.55464607972685365</v>
      </c>
      <c r="M45" s="223">
        <f t="shared" si="43"/>
        <v>0.37608276747203828</v>
      </c>
      <c r="N45" s="223">
        <f t="shared" si="43"/>
        <v>0.39806806729736965</v>
      </c>
      <c r="O45" s="223">
        <f t="shared" si="43"/>
        <v>0.43209050878340927</v>
      </c>
      <c r="P45" s="223">
        <f t="shared" si="43"/>
        <v>0.54983429483418755</v>
      </c>
      <c r="Q45" s="223">
        <f t="shared" si="43"/>
        <v>0.44730846093324439</v>
      </c>
      <c r="R45" s="223">
        <f t="shared" si="43"/>
        <v>0.47769179668601336</v>
      </c>
      <c r="S45" s="223">
        <f t="shared" si="43"/>
        <v>0.48261915574967507</v>
      </c>
      <c r="T45" s="223">
        <f t="shared" si="43"/>
        <v>0.58069506647941405</v>
      </c>
      <c r="U45" s="223">
        <f t="shared" si="43"/>
        <v>0.536559843943752</v>
      </c>
    </row>
    <row r="46" spans="1:89" x14ac:dyDescent="0.25">
      <c r="A46" s="184"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339</v>
      </c>
      <c r="B47" s="64"/>
      <c r="C47" s="64"/>
      <c r="D47" s="64"/>
      <c r="E47" s="90">
        <f>E10/E14</f>
        <v>4.405168984665863E-2</v>
      </c>
      <c r="F47" s="90">
        <f t="shared" ref="F47:U47" si="45">F10/F14</f>
        <v>0.126151758454178</v>
      </c>
      <c r="G47" s="90">
        <f t="shared" si="45"/>
        <v>0.20171636825759093</v>
      </c>
      <c r="H47" s="90">
        <f t="shared" si="45"/>
        <v>0</v>
      </c>
      <c r="I47" s="90">
        <f t="shared" si="45"/>
        <v>0</v>
      </c>
      <c r="J47" s="90">
        <f t="shared" si="45"/>
        <v>1.2548469433161223E-4</v>
      </c>
      <c r="K47" s="90">
        <f t="shared" si="45"/>
        <v>0</v>
      </c>
      <c r="L47" s="90">
        <f t="shared" si="45"/>
        <v>7.3287478576177661E-4</v>
      </c>
      <c r="M47" s="90">
        <f t="shared" si="45"/>
        <v>4.744377419099036E-4</v>
      </c>
      <c r="N47" s="213">
        <f t="shared" si="45"/>
        <v>0</v>
      </c>
      <c r="O47" s="213">
        <f t="shared" si="45"/>
        <v>1.1943914019120089E-4</v>
      </c>
      <c r="P47" s="213">
        <f t="shared" si="45"/>
        <v>2.3347035331797581E-4</v>
      </c>
      <c r="Q47" s="213">
        <f t="shared" si="45"/>
        <v>3.6861407181204786E-4</v>
      </c>
      <c r="R47" s="213">
        <f t="shared" si="45"/>
        <v>5.7585879916255813E-4</v>
      </c>
      <c r="S47" s="213">
        <f t="shared" si="45"/>
        <v>6.1566851197310127E-4</v>
      </c>
      <c r="T47" s="213">
        <f t="shared" si="45"/>
        <v>1.8520949228041702E-2</v>
      </c>
      <c r="U47" s="213">
        <f t="shared" si="45"/>
        <v>2.0695925988187865E-2</v>
      </c>
    </row>
    <row r="48" spans="1:89" x14ac:dyDescent="0.25">
      <c r="A48" s="183" t="s">
        <v>340</v>
      </c>
      <c r="B48" s="64"/>
      <c r="C48" s="64"/>
      <c r="D48" s="64"/>
      <c r="E48" s="90">
        <f>E11/E14</f>
        <v>1.1801457332796643E-3</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3">
        <f t="shared" si="46"/>
        <v>0</v>
      </c>
      <c r="O48" s="213">
        <f t="shared" si="46"/>
        <v>0</v>
      </c>
      <c r="P48" s="213">
        <f t="shared" si="46"/>
        <v>0</v>
      </c>
      <c r="Q48" s="213">
        <f t="shared" si="46"/>
        <v>0</v>
      </c>
      <c r="R48" s="213">
        <f t="shared" si="46"/>
        <v>2.5545653248186983E-2</v>
      </c>
      <c r="S48" s="213">
        <f t="shared" si="46"/>
        <v>2.7544030913236064E-2</v>
      </c>
      <c r="T48" s="213">
        <f t="shared" si="46"/>
        <v>2.737870174606202E-2</v>
      </c>
      <c r="U48" s="213">
        <f t="shared" si="46"/>
        <v>2.8860086057255107E-2</v>
      </c>
    </row>
    <row r="49" spans="1:21" x14ac:dyDescent="0.25">
      <c r="A49" s="183" t="s">
        <v>341</v>
      </c>
      <c r="B49" s="64"/>
      <c r="C49" s="64"/>
      <c r="D49" s="64"/>
      <c r="E49" s="90">
        <f>E12/E14</f>
        <v>4.5231835579938297E-2</v>
      </c>
      <c r="F49" s="90">
        <f t="shared" ref="F49:U49" si="47">F12/F14</f>
        <v>0.126151758454178</v>
      </c>
      <c r="G49" s="90">
        <f t="shared" si="47"/>
        <v>0.20171636825759093</v>
      </c>
      <c r="H49" s="90">
        <f t="shared" si="47"/>
        <v>0</v>
      </c>
      <c r="I49" s="90">
        <f t="shared" si="47"/>
        <v>0</v>
      </c>
      <c r="J49" s="90">
        <f t="shared" si="47"/>
        <v>1.2548469433161223E-4</v>
      </c>
      <c r="K49" s="90">
        <f t="shared" si="47"/>
        <v>0</v>
      </c>
      <c r="L49" s="90">
        <f t="shared" si="47"/>
        <v>7.3287478576177661E-4</v>
      </c>
      <c r="M49" s="90">
        <f t="shared" si="47"/>
        <v>4.744377419099036E-4</v>
      </c>
      <c r="N49" s="213">
        <f t="shared" si="47"/>
        <v>0</v>
      </c>
      <c r="O49" s="213">
        <f t="shared" si="47"/>
        <v>1.1943914019120089E-4</v>
      </c>
      <c r="P49" s="213">
        <f t="shared" si="47"/>
        <v>2.3347035331797581E-4</v>
      </c>
      <c r="Q49" s="213">
        <f t="shared" si="47"/>
        <v>3.6861407181204786E-4</v>
      </c>
      <c r="R49" s="213">
        <f t="shared" si="47"/>
        <v>2.612151204734954E-2</v>
      </c>
      <c r="S49" s="213">
        <f t="shared" si="47"/>
        <v>2.8159699425209163E-2</v>
      </c>
      <c r="T49" s="213">
        <f t="shared" si="47"/>
        <v>4.5899650974103721E-2</v>
      </c>
      <c r="U49" s="213">
        <f t="shared" si="47"/>
        <v>4.9556012045442972E-2</v>
      </c>
    </row>
    <row r="50" spans="1:21" x14ac:dyDescent="0.25">
      <c r="A50" s="183" t="s">
        <v>345</v>
      </c>
      <c r="B50" s="64"/>
      <c r="C50" s="64"/>
      <c r="D50" s="64"/>
      <c r="E50" s="90">
        <f>E13/E14</f>
        <v>0.95476816442006174</v>
      </c>
      <c r="F50" s="90">
        <f t="shared" ref="F50:U50" si="48">F13/F14</f>
        <v>0.87384824154582197</v>
      </c>
      <c r="G50" s="90">
        <f t="shared" si="48"/>
        <v>0.79828363174240913</v>
      </c>
      <c r="H50" s="90">
        <f t="shared" si="48"/>
        <v>1</v>
      </c>
      <c r="I50" s="90">
        <f t="shared" si="48"/>
        <v>1</v>
      </c>
      <c r="J50" s="90">
        <f t="shared" si="48"/>
        <v>0.99987451530566829</v>
      </c>
      <c r="K50" s="90">
        <f t="shared" si="48"/>
        <v>1</v>
      </c>
      <c r="L50" s="90">
        <f t="shared" si="48"/>
        <v>0.99926712521423822</v>
      </c>
      <c r="M50" s="90">
        <f t="shared" si="48"/>
        <v>0.99952556225809008</v>
      </c>
      <c r="N50" s="213">
        <f t="shared" si="48"/>
        <v>1</v>
      </c>
      <c r="O50" s="213">
        <f t="shared" si="48"/>
        <v>0.99988056085980881</v>
      </c>
      <c r="P50" s="213">
        <f t="shared" si="48"/>
        <v>0.999766529646682</v>
      </c>
      <c r="Q50" s="213">
        <f t="shared" si="48"/>
        <v>0.99963138592818801</v>
      </c>
      <c r="R50" s="213">
        <f t="shared" si="48"/>
        <v>0.97387848795265053</v>
      </c>
      <c r="S50" s="213">
        <f t="shared" si="48"/>
        <v>0.97184030057479076</v>
      </c>
      <c r="T50" s="213">
        <f t="shared" si="48"/>
        <v>0.95410034902589624</v>
      </c>
      <c r="U50" s="213">
        <f t="shared" si="48"/>
        <v>0.95044398795455698</v>
      </c>
    </row>
    <row r="51" spans="1:21" x14ac:dyDescent="0.25">
      <c r="A51" s="184"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641</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645</v>
      </c>
      <c r="B55" s="64"/>
      <c r="C55" s="64"/>
      <c r="D55" s="64"/>
      <c r="E55" s="213">
        <f>E2/E9</f>
        <v>0.22101164239541071</v>
      </c>
      <c r="F55" s="213">
        <f t="shared" ref="F55:U55" si="51">F2/F9</f>
        <v>0.23379635903406534</v>
      </c>
      <c r="G55" s="213">
        <f t="shared" si="51"/>
        <v>0.29000968247769809</v>
      </c>
      <c r="H55" s="213">
        <f t="shared" si="51"/>
        <v>0.34233317029620142</v>
      </c>
      <c r="I55" s="213">
        <f t="shared" si="51"/>
        <v>0.46825348694543661</v>
      </c>
      <c r="J55" s="213">
        <f t="shared" si="51"/>
        <v>0.29351153446579165</v>
      </c>
      <c r="K55" s="213">
        <f t="shared" si="51"/>
        <v>0.31235876554042596</v>
      </c>
      <c r="L55" s="213">
        <f t="shared" si="51"/>
        <v>0.42439407676065671</v>
      </c>
      <c r="M55" s="213">
        <f t="shared" si="51"/>
        <v>0.62391723252796183</v>
      </c>
      <c r="N55" s="213">
        <f t="shared" si="51"/>
        <v>0.60193193270263035</v>
      </c>
      <c r="O55" s="213">
        <f t="shared" si="51"/>
        <v>0.56790949121659062</v>
      </c>
      <c r="P55" s="213">
        <f t="shared" si="51"/>
        <v>0.45016570516581245</v>
      </c>
      <c r="Q55" s="213">
        <f t="shared" si="51"/>
        <v>0.55269153906675561</v>
      </c>
      <c r="R55" s="213">
        <f t="shared" si="51"/>
        <v>0.52230820331398675</v>
      </c>
      <c r="S55" s="213">
        <f t="shared" si="51"/>
        <v>0.50132881858660494</v>
      </c>
      <c r="T55" s="213">
        <f t="shared" si="51"/>
        <v>0.40455243972373317</v>
      </c>
      <c r="U55" s="213">
        <f t="shared" si="51"/>
        <v>0.44829037059543758</v>
      </c>
    </row>
    <row r="56" spans="1:21" x14ac:dyDescent="0.25">
      <c r="A56" s="183" t="s">
        <v>646</v>
      </c>
      <c r="B56" s="64"/>
      <c r="C56" s="64"/>
      <c r="D56" s="64"/>
      <c r="E56" s="213">
        <f>E4/E9</f>
        <v>0.36856851772070442</v>
      </c>
      <c r="F56" s="213">
        <f t="shared" ref="F56:U56" si="52">F4/F9</f>
        <v>0.33942337142122264</v>
      </c>
      <c r="G56" s="213">
        <f t="shared" si="52"/>
        <v>0.30055663505451968</v>
      </c>
      <c r="H56" s="213">
        <f t="shared" si="52"/>
        <v>0.19460279976453795</v>
      </c>
      <c r="I56" s="213">
        <f t="shared" si="52"/>
        <v>4.6752246718438938E-2</v>
      </c>
      <c r="J56" s="213">
        <f t="shared" si="52"/>
        <v>0.14008849552934763</v>
      </c>
      <c r="K56" s="213">
        <f t="shared" si="52"/>
        <v>7.7633247196358515E-2</v>
      </c>
      <c r="L56" s="213">
        <f t="shared" si="52"/>
        <v>7.1845664267800161E-2</v>
      </c>
      <c r="M56" s="213">
        <f t="shared" si="52"/>
        <v>-0.12811655297814953</v>
      </c>
      <c r="N56" s="213">
        <f t="shared" si="52"/>
        <v>-0.17575681163453527</v>
      </c>
      <c r="O56" s="213">
        <f t="shared" si="52"/>
        <v>-0.20388471891174048</v>
      </c>
      <c r="P56" s="213">
        <f t="shared" si="52"/>
        <v>-3.2744342054172711E-2</v>
      </c>
      <c r="Q56" s="213">
        <f t="shared" si="52"/>
        <v>-0.12848821110504766</v>
      </c>
      <c r="R56" s="213">
        <f t="shared" si="52"/>
        <v>2.7784342316747604E-2</v>
      </c>
      <c r="S56" s="213">
        <f t="shared" si="52"/>
        <v>2.2894124731874646E-2</v>
      </c>
      <c r="T56" s="213">
        <f t="shared" si="52"/>
        <v>0.13441358139730306</v>
      </c>
      <c r="U56" s="213">
        <f t="shared" si="52"/>
        <v>7.8872913859774407E-2</v>
      </c>
    </row>
    <row r="57" spans="1:21" x14ac:dyDescent="0.25">
      <c r="A57" s="183" t="s">
        <v>647</v>
      </c>
      <c r="B57" s="64"/>
      <c r="C57" s="64"/>
      <c r="D57" s="64"/>
      <c r="E57" s="213">
        <f>E5/E9</f>
        <v>1.3773203890825765</v>
      </c>
      <c r="F57" s="213">
        <f t="shared" ref="F57:U57" si="53">F5/F9</f>
        <v>1.1836813563877289</v>
      </c>
      <c r="G57" s="213">
        <f t="shared" si="53"/>
        <v>1.1064774146859642</v>
      </c>
      <c r="H57" s="213">
        <f t="shared" si="53"/>
        <v>1.1315660982518843</v>
      </c>
      <c r="I57" s="213">
        <f t="shared" si="53"/>
        <v>1.4038165094813801</v>
      </c>
      <c r="J57" s="213">
        <f t="shared" si="53"/>
        <v>1.3593116379177885</v>
      </c>
      <c r="K57" s="213">
        <f t="shared" si="53"/>
        <v>1.3156252052388411</v>
      </c>
      <c r="L57" s="213">
        <f t="shared" si="53"/>
        <v>1.0537709539881643</v>
      </c>
      <c r="M57" s="213">
        <f t="shared" si="53"/>
        <v>1.1140712880520829</v>
      </c>
      <c r="N57" s="213">
        <f t="shared" si="53"/>
        <v>1.0260961340022634</v>
      </c>
      <c r="O57" s="213">
        <f t="shared" si="53"/>
        <v>0.93939226951363775</v>
      </c>
      <c r="P57" s="213">
        <f t="shared" si="53"/>
        <v>0.90289811929433317</v>
      </c>
      <c r="Q57" s="213">
        <f t="shared" si="53"/>
        <v>0.99868852122190443</v>
      </c>
      <c r="R57" s="213">
        <f t="shared" si="53"/>
        <v>0.93177595098362387</v>
      </c>
      <c r="S57" s="213">
        <f t="shared" si="53"/>
        <v>0.77450694574273082</v>
      </c>
      <c r="T57" s="213">
        <f t="shared" si="53"/>
        <v>0.85476022018313769</v>
      </c>
      <c r="U57" s="213">
        <f t="shared" si="53"/>
        <v>0.80229575885713977</v>
      </c>
    </row>
    <row r="58" spans="1:21" x14ac:dyDescent="0.25">
      <c r="A58" s="183" t="s">
        <v>648</v>
      </c>
      <c r="B58" s="64"/>
      <c r="C58" s="64"/>
      <c r="D58" s="64"/>
      <c r="E58" s="213">
        <f>E6/E9</f>
        <v>1.0087518713618719</v>
      </c>
      <c r="F58" s="213">
        <f t="shared" ref="F58:U58" si="54">F6/F9</f>
        <v>0.84425798496650628</v>
      </c>
      <c r="G58" s="213">
        <f t="shared" si="54"/>
        <v>0.80592077963144437</v>
      </c>
      <c r="H58" s="213">
        <f t="shared" si="54"/>
        <v>0.93696329848734639</v>
      </c>
      <c r="I58" s="213">
        <f t="shared" si="54"/>
        <v>1.3570642627629412</v>
      </c>
      <c r="J58" s="213">
        <f t="shared" si="54"/>
        <v>1.219223142388441</v>
      </c>
      <c r="K58" s="213">
        <f t="shared" si="54"/>
        <v>1.2379919580424827</v>
      </c>
      <c r="L58" s="213">
        <f t="shared" si="54"/>
        <v>0.98192528972036419</v>
      </c>
      <c r="M58" s="213">
        <f t="shared" si="54"/>
        <v>1.2421878410302323</v>
      </c>
      <c r="N58" s="213">
        <f t="shared" si="54"/>
        <v>1.2018529456367988</v>
      </c>
      <c r="O58" s="213">
        <f t="shared" si="54"/>
        <v>1.1432769884253782</v>
      </c>
      <c r="P58" s="213">
        <f t="shared" si="54"/>
        <v>0.93564246134850582</v>
      </c>
      <c r="Q58" s="213">
        <f t="shared" si="54"/>
        <v>1.1271767323269521</v>
      </c>
      <c r="R58" s="213">
        <f t="shared" si="54"/>
        <v>0.90399160866687622</v>
      </c>
      <c r="S58" s="213">
        <f t="shared" si="54"/>
        <v>0.75161282101085625</v>
      </c>
      <c r="T58" s="213">
        <f t="shared" si="54"/>
        <v>0.7203466387858346</v>
      </c>
      <c r="U58" s="213">
        <f t="shared" si="54"/>
        <v>0.72342284499736531</v>
      </c>
    </row>
    <row r="59" spans="1:21" s="224" customFormat="1" x14ac:dyDescent="0.25">
      <c r="A59" s="226" t="s">
        <v>642</v>
      </c>
      <c r="B59" s="222"/>
      <c r="C59" s="222"/>
      <c r="D59" s="222"/>
      <c r="E59" s="223">
        <f>E55+E56</f>
        <v>0.58958016011611514</v>
      </c>
      <c r="F59" s="223">
        <f t="shared" ref="F59:U59" si="55">F55+F56</f>
        <v>0.57321973045528796</v>
      </c>
      <c r="G59" s="223">
        <f t="shared" si="55"/>
        <v>0.59056631753221778</v>
      </c>
      <c r="H59" s="223">
        <f t="shared" si="55"/>
        <v>0.53693597006073934</v>
      </c>
      <c r="I59" s="223">
        <f t="shared" si="55"/>
        <v>0.51500573366387559</v>
      </c>
      <c r="J59" s="223">
        <f t="shared" si="55"/>
        <v>0.43360002999513925</v>
      </c>
      <c r="K59" s="223">
        <f t="shared" si="55"/>
        <v>0.38999201273678447</v>
      </c>
      <c r="L59" s="223">
        <f t="shared" si="55"/>
        <v>0.49623974102845686</v>
      </c>
      <c r="M59" s="223">
        <f t="shared" si="55"/>
        <v>0.49580067954981233</v>
      </c>
      <c r="N59" s="223">
        <f t="shared" si="55"/>
        <v>0.42617512106809508</v>
      </c>
      <c r="O59" s="223">
        <f t="shared" si="55"/>
        <v>0.36402477230485014</v>
      </c>
      <c r="P59" s="223">
        <f t="shared" si="55"/>
        <v>0.41742136311163974</v>
      </c>
      <c r="Q59" s="223">
        <f t="shared" si="55"/>
        <v>0.42420332796170795</v>
      </c>
      <c r="R59" s="223">
        <f t="shared" si="55"/>
        <v>0.5500925456307344</v>
      </c>
      <c r="S59" s="223">
        <f t="shared" si="55"/>
        <v>0.52422294331847963</v>
      </c>
      <c r="T59" s="223">
        <f t="shared" si="55"/>
        <v>0.5389660211210362</v>
      </c>
      <c r="U59" s="223">
        <f t="shared" si="55"/>
        <v>0.52716328445521199</v>
      </c>
    </row>
    <row r="60" spans="1:21" x14ac:dyDescent="0.25">
      <c r="A60" s="183" t="s">
        <v>649</v>
      </c>
      <c r="B60" s="64"/>
      <c r="C60" s="64"/>
      <c r="D60" s="64"/>
      <c r="E60" s="213">
        <f>E3/E9</f>
        <v>3.692761219400887E-2</v>
      </c>
      <c r="F60" s="213">
        <f t="shared" ref="F60:U60" si="56">F3/F9</f>
        <v>3.9607446347228341E-2</v>
      </c>
      <c r="G60" s="213">
        <f t="shared" si="56"/>
        <v>2.2022019282283735E-2</v>
      </c>
      <c r="H60" s="213">
        <f t="shared" si="56"/>
        <v>2.2111323828965516E-2</v>
      </c>
      <c r="I60" s="213">
        <f t="shared" si="56"/>
        <v>2.1566703594795476E-2</v>
      </c>
      <c r="J60" s="213">
        <f t="shared" si="56"/>
        <v>2.4223068277994239E-2</v>
      </c>
      <c r="K60" s="213">
        <f t="shared" si="56"/>
        <v>2.5914898626198734E-2</v>
      </c>
      <c r="L60" s="213">
        <f t="shared" si="56"/>
        <v>2.0959843512489688E-2</v>
      </c>
      <c r="M60" s="213">
        <f t="shared" si="56"/>
        <v>0</v>
      </c>
      <c r="N60" s="213">
        <f t="shared" si="56"/>
        <v>0</v>
      </c>
      <c r="O60" s="213">
        <f t="shared" si="56"/>
        <v>0</v>
      </c>
      <c r="P60" s="213">
        <f t="shared" si="56"/>
        <v>0</v>
      </c>
      <c r="Q60" s="213">
        <f t="shared" si="56"/>
        <v>0</v>
      </c>
      <c r="R60" s="213">
        <f t="shared" si="56"/>
        <v>0</v>
      </c>
      <c r="S60" s="213">
        <f t="shared" si="56"/>
        <v>1.6052025663720028E-2</v>
      </c>
      <c r="T60" s="213">
        <f t="shared" si="56"/>
        <v>1.4752493796852889E-2</v>
      </c>
      <c r="U60" s="213">
        <f t="shared" si="56"/>
        <v>1.5149785460810342E-2</v>
      </c>
    </row>
    <row r="61" spans="1:21" x14ac:dyDescent="0.25">
      <c r="A61" s="183" t="s">
        <v>650</v>
      </c>
      <c r="B61" s="64"/>
      <c r="C61" s="64"/>
      <c r="D61" s="64"/>
      <c r="E61" s="213">
        <f>E7/E9</f>
        <v>0.37349222768987606</v>
      </c>
      <c r="F61" s="213">
        <f t="shared" ref="F61:U61" si="57">F7/F9</f>
        <v>0.3871728231974837</v>
      </c>
      <c r="G61" s="213">
        <f t="shared" si="57"/>
        <v>0.38741166318549863</v>
      </c>
      <c r="H61" s="213">
        <f t="shared" si="57"/>
        <v>0.44095270611029502</v>
      </c>
      <c r="I61" s="213">
        <f t="shared" si="57"/>
        <v>0.46342756274132896</v>
      </c>
      <c r="J61" s="213">
        <f t="shared" si="57"/>
        <v>0.54217690172686639</v>
      </c>
      <c r="K61" s="213">
        <f t="shared" si="57"/>
        <v>0.58409308863701692</v>
      </c>
      <c r="L61" s="213">
        <f t="shared" si="57"/>
        <v>0.48280041545905344</v>
      </c>
      <c r="M61" s="213">
        <f t="shared" si="57"/>
        <v>0.50419932045018778</v>
      </c>
      <c r="N61" s="213">
        <f t="shared" si="57"/>
        <v>0.57382487893190492</v>
      </c>
      <c r="O61" s="213">
        <f t="shared" si="57"/>
        <v>0.6359752276951498</v>
      </c>
      <c r="P61" s="213">
        <f t="shared" si="57"/>
        <v>0.58257863688836031</v>
      </c>
      <c r="Q61" s="213">
        <f t="shared" si="57"/>
        <v>0.57579667203829199</v>
      </c>
      <c r="R61" s="213">
        <f t="shared" si="57"/>
        <v>0.44990745436926577</v>
      </c>
      <c r="S61" s="213">
        <f t="shared" si="57"/>
        <v>0.45972503101780043</v>
      </c>
      <c r="T61" s="213">
        <f t="shared" si="57"/>
        <v>0.44628148508211102</v>
      </c>
      <c r="U61" s="213">
        <f t="shared" si="57"/>
        <v>0.45768693008397765</v>
      </c>
    </row>
    <row r="62" spans="1:21" s="224" customFormat="1" x14ac:dyDescent="0.25">
      <c r="A62" s="226" t="s">
        <v>643</v>
      </c>
      <c r="B62" s="222"/>
      <c r="C62" s="222"/>
      <c r="D62" s="222"/>
      <c r="E62" s="223">
        <f>E60+E61</f>
        <v>0.41041983988388492</v>
      </c>
      <c r="F62" s="223">
        <f t="shared" ref="F62:M62" si="58">F60+F61</f>
        <v>0.42678026954471204</v>
      </c>
      <c r="G62" s="223">
        <f t="shared" si="58"/>
        <v>0.40943368246778239</v>
      </c>
      <c r="H62" s="223">
        <f t="shared" si="58"/>
        <v>0.46306402993926055</v>
      </c>
      <c r="I62" s="223">
        <f t="shared" si="58"/>
        <v>0.48499426633612441</v>
      </c>
      <c r="J62" s="223">
        <f t="shared" si="58"/>
        <v>0.56639997000486064</v>
      </c>
      <c r="K62" s="223">
        <f t="shared" si="58"/>
        <v>0.6100079872632157</v>
      </c>
      <c r="L62" s="223">
        <f t="shared" si="58"/>
        <v>0.50376025897154308</v>
      </c>
      <c r="M62" s="223">
        <f t="shared" si="58"/>
        <v>0.50419932045018778</v>
      </c>
      <c r="N62" s="223">
        <f t="shared" ref="N62" si="59">N60+N61</f>
        <v>0.57382487893190492</v>
      </c>
      <c r="O62" s="223">
        <f t="shared" ref="O62" si="60">O60+O61</f>
        <v>0.6359752276951498</v>
      </c>
      <c r="P62" s="223">
        <f t="shared" ref="P62" si="61">P60+P61</f>
        <v>0.58257863688836031</v>
      </c>
      <c r="Q62" s="223">
        <f t="shared" ref="Q62" si="62">Q60+Q61</f>
        <v>0.57579667203829199</v>
      </c>
      <c r="R62" s="223">
        <f t="shared" ref="R62" si="63">R60+R61</f>
        <v>0.44990745436926577</v>
      </c>
      <c r="S62" s="223">
        <f t="shared" ref="S62" si="64">S60+S61</f>
        <v>0.47577705668152048</v>
      </c>
      <c r="T62" s="223">
        <f t="shared" ref="T62" si="65">T60+T61</f>
        <v>0.46103397887896391</v>
      </c>
      <c r="U62" s="223">
        <f t="shared" ref="U62" si="66">U60+U61</f>
        <v>0.47283671554478801</v>
      </c>
    </row>
    <row r="63" spans="1:21" x14ac:dyDescent="0.25">
      <c r="A63" s="225" t="s">
        <v>644</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80" t="s">
        <v>700</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1" t="s">
        <v>651</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652</v>
      </c>
      <c r="E67" s="192">
        <f>E10</f>
        <v>792688790</v>
      </c>
      <c r="F67" s="192">
        <f t="shared" ref="F67:U67" si="68">F10</f>
        <v>2136978237.49</v>
      </c>
      <c r="G67" s="192">
        <f t="shared" si="68"/>
        <v>3413681737.4899998</v>
      </c>
      <c r="H67" s="192">
        <f t="shared" si="68"/>
        <v>0</v>
      </c>
      <c r="I67" s="192">
        <f t="shared" si="68"/>
        <v>0</v>
      </c>
      <c r="J67" s="192">
        <f t="shared" si="68"/>
        <v>1576994.12</v>
      </c>
      <c r="K67" s="192">
        <f t="shared" si="68"/>
        <v>0</v>
      </c>
      <c r="L67" s="192">
        <f t="shared" si="68"/>
        <v>10140041.73</v>
      </c>
      <c r="M67" s="192">
        <f t="shared" si="68"/>
        <v>6377316.4500000002</v>
      </c>
      <c r="N67" s="192">
        <f t="shared" si="68"/>
        <v>0</v>
      </c>
      <c r="O67" s="192">
        <f t="shared" si="68"/>
        <v>1269451.81</v>
      </c>
      <c r="P67" s="192">
        <f t="shared" si="68"/>
        <v>2698617.82</v>
      </c>
      <c r="Q67" s="192">
        <f t="shared" si="68"/>
        <v>4127783.83</v>
      </c>
      <c r="R67" s="192">
        <f t="shared" si="68"/>
        <v>5556949.8399999999</v>
      </c>
      <c r="S67" s="192">
        <f t="shared" si="68"/>
        <v>5716664</v>
      </c>
      <c r="T67" s="192">
        <f t="shared" si="68"/>
        <v>178747542.03</v>
      </c>
      <c r="U67" s="192">
        <f t="shared" si="68"/>
        <v>194500471.23000002</v>
      </c>
    </row>
    <row r="68" spans="1:21" x14ac:dyDescent="0.25">
      <c r="A68" s="17" t="s">
        <v>653</v>
      </c>
      <c r="E68" s="192">
        <f>E11</f>
        <v>21236150</v>
      </c>
      <c r="F68" s="192">
        <f t="shared" ref="F68:U68" si="69">F11</f>
        <v>0</v>
      </c>
      <c r="G68" s="192">
        <f t="shared" si="69"/>
        <v>0</v>
      </c>
      <c r="H68" s="192">
        <f t="shared" si="69"/>
        <v>0</v>
      </c>
      <c r="I68" s="192">
        <f t="shared" si="69"/>
        <v>0</v>
      </c>
      <c r="J68" s="192">
        <f t="shared" si="69"/>
        <v>0</v>
      </c>
      <c r="K68" s="192">
        <f t="shared" si="69"/>
        <v>0</v>
      </c>
      <c r="L68" s="192">
        <f t="shared" si="69"/>
        <v>0</v>
      </c>
      <c r="M68" s="192">
        <f t="shared" si="69"/>
        <v>0</v>
      </c>
      <c r="N68" s="192">
        <f t="shared" si="69"/>
        <v>0</v>
      </c>
      <c r="O68" s="192">
        <f t="shared" si="69"/>
        <v>0</v>
      </c>
      <c r="P68" s="192">
        <f t="shared" si="69"/>
        <v>0</v>
      </c>
      <c r="Q68" s="192">
        <f t="shared" si="69"/>
        <v>0</v>
      </c>
      <c r="R68" s="192">
        <f t="shared" si="69"/>
        <v>246511669.06999999</v>
      </c>
      <c r="S68" s="192">
        <f t="shared" si="69"/>
        <v>255754463.44</v>
      </c>
      <c r="T68" s="192">
        <f t="shared" si="69"/>
        <v>264234601.63</v>
      </c>
      <c r="U68" s="192">
        <f t="shared" si="69"/>
        <v>271227310.19999999</v>
      </c>
    </row>
    <row r="69" spans="1:21" x14ac:dyDescent="0.25">
      <c r="A69" s="17" t="s">
        <v>654</v>
      </c>
      <c r="E69" s="192">
        <f>E12</f>
        <v>813924940</v>
      </c>
      <c r="F69" s="192">
        <f t="shared" ref="F69:U69" si="70">F12</f>
        <v>2136978237.49</v>
      </c>
      <c r="G69" s="192">
        <f t="shared" si="70"/>
        <v>3413681737.4899998</v>
      </c>
      <c r="H69" s="192">
        <f t="shared" si="70"/>
        <v>0</v>
      </c>
      <c r="I69" s="192">
        <f t="shared" si="70"/>
        <v>0</v>
      </c>
      <c r="J69" s="192">
        <f t="shared" si="70"/>
        <v>1576994.12</v>
      </c>
      <c r="K69" s="192">
        <f t="shared" si="70"/>
        <v>0</v>
      </c>
      <c r="L69" s="192">
        <f t="shared" si="70"/>
        <v>10140041.73</v>
      </c>
      <c r="M69" s="192">
        <f t="shared" si="70"/>
        <v>6377316.4500000002</v>
      </c>
      <c r="N69" s="192">
        <f t="shared" si="70"/>
        <v>0</v>
      </c>
      <c r="O69" s="192">
        <f t="shared" si="70"/>
        <v>1269451.81</v>
      </c>
      <c r="P69" s="192">
        <f t="shared" si="70"/>
        <v>2698617.82</v>
      </c>
      <c r="Q69" s="192">
        <f t="shared" si="70"/>
        <v>4127783.83</v>
      </c>
      <c r="R69" s="192">
        <f t="shared" si="70"/>
        <v>252068618.91</v>
      </c>
      <c r="S69" s="192">
        <f t="shared" si="70"/>
        <v>261471127.44</v>
      </c>
      <c r="T69" s="192">
        <f t="shared" si="70"/>
        <v>442982143.65999997</v>
      </c>
      <c r="U69" s="192">
        <f t="shared" si="70"/>
        <v>465727781.43000001</v>
      </c>
    </row>
    <row r="70" spans="1:21" s="233" customFormat="1" x14ac:dyDescent="0.25">
      <c r="A70" s="233" t="s">
        <v>657</v>
      </c>
      <c r="E70" s="233">
        <f>E69/E74</f>
        <v>4.5231835579938297E-2</v>
      </c>
      <c r="F70" s="233">
        <f t="shared" ref="F70:U70" si="71">F69/F74</f>
        <v>0.126151758454178</v>
      </c>
      <c r="G70" s="233">
        <f t="shared" si="71"/>
        <v>0.20171636825759093</v>
      </c>
      <c r="H70" s="233">
        <f t="shared" si="71"/>
        <v>0</v>
      </c>
      <c r="I70" s="233">
        <f t="shared" si="71"/>
        <v>0</v>
      </c>
      <c r="J70" s="233">
        <f t="shared" si="71"/>
        <v>1.2548469433161223E-4</v>
      </c>
      <c r="K70" s="233">
        <f t="shared" si="71"/>
        <v>0</v>
      </c>
      <c r="L70" s="233">
        <f t="shared" si="71"/>
        <v>7.3287478576177661E-4</v>
      </c>
      <c r="M70" s="233">
        <f t="shared" si="71"/>
        <v>4.744377419099036E-4</v>
      </c>
      <c r="N70" s="233">
        <f t="shared" si="71"/>
        <v>0</v>
      </c>
      <c r="O70" s="233">
        <f t="shared" si="71"/>
        <v>1.1943914019120089E-4</v>
      </c>
      <c r="P70" s="233">
        <f t="shared" si="71"/>
        <v>2.3347035331797581E-4</v>
      </c>
      <c r="Q70" s="233">
        <f t="shared" si="71"/>
        <v>3.6861407181204786E-4</v>
      </c>
      <c r="R70" s="233">
        <f t="shared" si="71"/>
        <v>2.612151204734954E-2</v>
      </c>
      <c r="S70" s="233">
        <f t="shared" si="71"/>
        <v>2.8159699425209163E-2</v>
      </c>
      <c r="T70" s="233">
        <f t="shared" si="71"/>
        <v>4.5899650974103721E-2</v>
      </c>
      <c r="U70" s="233">
        <f t="shared" si="71"/>
        <v>4.9556012045442972E-2</v>
      </c>
    </row>
    <row r="71" spans="1:21" x14ac:dyDescent="0.25">
      <c r="A71" s="17" t="s">
        <v>655</v>
      </c>
      <c r="E71" s="192">
        <f>E13</f>
        <v>17180589975.529995</v>
      </c>
      <c r="F71" s="192">
        <f t="shared" ref="F71:U71" si="72">F13</f>
        <v>14802763734.210005</v>
      </c>
      <c r="G71" s="192">
        <f t="shared" si="72"/>
        <v>13509494933.680002</v>
      </c>
      <c r="H71" s="192">
        <f t="shared" si="72"/>
        <v>15171259069.099998</v>
      </c>
      <c r="I71" s="192">
        <f t="shared" si="72"/>
        <v>14913773349.100004</v>
      </c>
      <c r="J71" s="192">
        <f t="shared" si="72"/>
        <v>12565645872.379999</v>
      </c>
      <c r="K71" s="192">
        <f t="shared" si="72"/>
        <v>11432516512.739994</v>
      </c>
      <c r="L71" s="192">
        <f t="shared" si="72"/>
        <v>13825841120.4</v>
      </c>
      <c r="M71" s="192">
        <f t="shared" si="72"/>
        <v>13435463175.259998</v>
      </c>
      <c r="N71" s="192">
        <f t="shared" si="72"/>
        <v>11593769769.26</v>
      </c>
      <c r="O71" s="192">
        <f t="shared" si="72"/>
        <v>10627171174.670004</v>
      </c>
      <c r="P71" s="192">
        <f t="shared" si="72"/>
        <v>11556018716.73</v>
      </c>
      <c r="Q71" s="192">
        <f t="shared" si="72"/>
        <v>11193990100.570004</v>
      </c>
      <c r="R71" s="192">
        <f t="shared" si="72"/>
        <v>9397779309.2299995</v>
      </c>
      <c r="S71" s="192">
        <f t="shared" si="72"/>
        <v>9023824269.0700016</v>
      </c>
      <c r="T71" s="192">
        <f t="shared" si="72"/>
        <v>9208118338.7799988</v>
      </c>
      <c r="U71" s="192">
        <f t="shared" si="72"/>
        <v>8932279891.2399998</v>
      </c>
    </row>
    <row r="72" spans="1:21" s="233" customFormat="1" x14ac:dyDescent="0.25">
      <c r="A72" s="233" t="s">
        <v>658</v>
      </c>
      <c r="E72" s="233">
        <f>E71/E74</f>
        <v>0.95476816442006174</v>
      </c>
      <c r="F72" s="233">
        <f t="shared" ref="F72:U72" si="73">F71/F74</f>
        <v>0.87384824154582197</v>
      </c>
      <c r="G72" s="233">
        <f t="shared" si="73"/>
        <v>0.79828363174240913</v>
      </c>
      <c r="H72" s="233">
        <f t="shared" si="73"/>
        <v>1</v>
      </c>
      <c r="I72" s="233">
        <f t="shared" si="73"/>
        <v>1</v>
      </c>
      <c r="J72" s="233">
        <f t="shared" si="73"/>
        <v>0.99987451530566829</v>
      </c>
      <c r="K72" s="233">
        <f t="shared" si="73"/>
        <v>1</v>
      </c>
      <c r="L72" s="233">
        <f t="shared" si="73"/>
        <v>0.99926712521423822</v>
      </c>
      <c r="M72" s="233">
        <f t="shared" si="73"/>
        <v>0.99952556225809008</v>
      </c>
      <c r="N72" s="233">
        <f t="shared" si="73"/>
        <v>1</v>
      </c>
      <c r="O72" s="233">
        <f t="shared" si="73"/>
        <v>0.99988056085980881</v>
      </c>
      <c r="P72" s="233">
        <f t="shared" si="73"/>
        <v>0.999766529646682</v>
      </c>
      <c r="Q72" s="233">
        <f t="shared" si="73"/>
        <v>0.99963138592818801</v>
      </c>
      <c r="R72" s="233">
        <f t="shared" si="73"/>
        <v>0.97387848795265053</v>
      </c>
      <c r="S72" s="233">
        <f t="shared" si="73"/>
        <v>0.97184030057479076</v>
      </c>
      <c r="T72" s="233">
        <f t="shared" si="73"/>
        <v>0.95410034902589624</v>
      </c>
      <c r="U72" s="233">
        <f t="shared" si="73"/>
        <v>0.95044398795455698</v>
      </c>
    </row>
    <row r="73" spans="1:21" s="235" customFormat="1" x14ac:dyDescent="0.25">
      <c r="A73" s="234" t="s">
        <v>659</v>
      </c>
      <c r="E73" s="236">
        <f>E74/E71</f>
        <v>1.0473746792839629</v>
      </c>
      <c r="F73" s="236">
        <f t="shared" ref="F73:U73" si="74">F74/F71</f>
        <v>1.1443634631924391</v>
      </c>
      <c r="G73" s="236">
        <f t="shared" si="74"/>
        <v>1.2526875915234612</v>
      </c>
      <c r="H73" s="236">
        <f t="shared" si="74"/>
        <v>1</v>
      </c>
      <c r="I73" s="236">
        <f t="shared" si="74"/>
        <v>1</v>
      </c>
      <c r="J73" s="236">
        <f t="shared" si="74"/>
        <v>1.0001255004427163</v>
      </c>
      <c r="K73" s="236">
        <f t="shared" si="74"/>
        <v>1</v>
      </c>
      <c r="L73" s="236">
        <f t="shared" si="74"/>
        <v>1.000733412285133</v>
      </c>
      <c r="M73" s="236">
        <f t="shared" si="74"/>
        <v>1.0004746629399233</v>
      </c>
      <c r="N73" s="236">
        <f t="shared" si="74"/>
        <v>1</v>
      </c>
      <c r="O73" s="236">
        <f t="shared" si="74"/>
        <v>1.0001194534076034</v>
      </c>
      <c r="P73" s="236">
        <f t="shared" si="74"/>
        <v>1.0002335248744529</v>
      </c>
      <c r="Q73" s="236">
        <f t="shared" si="74"/>
        <v>1.0003687499982503</v>
      </c>
      <c r="R73" s="236">
        <f t="shared" si="74"/>
        <v>1.0268221470855814</v>
      </c>
      <c r="S73" s="236">
        <f t="shared" si="74"/>
        <v>1.0289756448755565</v>
      </c>
      <c r="T73" s="236">
        <f t="shared" si="74"/>
        <v>1.0481077813470729</v>
      </c>
      <c r="U73" s="236">
        <f t="shared" si="74"/>
        <v>1.0521398553449657</v>
      </c>
    </row>
    <row r="74" spans="1:21" x14ac:dyDescent="0.25">
      <c r="A74" s="17" t="s">
        <v>656</v>
      </c>
      <c r="E74" s="192">
        <f>E14</f>
        <v>17994514915.529995</v>
      </c>
      <c r="F74" s="192">
        <f t="shared" ref="F74:U74" si="75">F14</f>
        <v>16939741971.700005</v>
      </c>
      <c r="G74" s="192">
        <f t="shared" si="75"/>
        <v>16923176671.170002</v>
      </c>
      <c r="H74" s="192">
        <f t="shared" si="75"/>
        <v>15171259069.099998</v>
      </c>
      <c r="I74" s="192">
        <f t="shared" si="75"/>
        <v>14913773349.100004</v>
      </c>
      <c r="J74" s="192">
        <f t="shared" si="75"/>
        <v>12567222866.5</v>
      </c>
      <c r="K74" s="192">
        <f t="shared" si="75"/>
        <v>11432516512.739994</v>
      </c>
      <c r="L74" s="192">
        <f t="shared" si="75"/>
        <v>13835981162.129999</v>
      </c>
      <c r="M74" s="192">
        <f t="shared" si="75"/>
        <v>13441840491.709999</v>
      </c>
      <c r="N74" s="192">
        <f t="shared" si="75"/>
        <v>11593769769.26</v>
      </c>
      <c r="O74" s="192">
        <f t="shared" si="75"/>
        <v>10628440626.480003</v>
      </c>
      <c r="P74" s="192">
        <f t="shared" si="75"/>
        <v>11558717334.549999</v>
      </c>
      <c r="Q74" s="192">
        <f t="shared" si="75"/>
        <v>11198117884.400003</v>
      </c>
      <c r="R74" s="192">
        <f t="shared" si="75"/>
        <v>9649847928.1399994</v>
      </c>
      <c r="S74" s="192">
        <f t="shared" si="75"/>
        <v>9285295396.5100021</v>
      </c>
      <c r="T74" s="192">
        <f t="shared" si="75"/>
        <v>9651100482.4399986</v>
      </c>
      <c r="U74" s="192">
        <f t="shared" si="75"/>
        <v>9398007672.6700001</v>
      </c>
    </row>
    <row r="75" spans="1:21" ht="83.4" customHeight="1" x14ac:dyDescent="0.25">
      <c r="A75" s="278" t="s">
        <v>701</v>
      </c>
      <c r="B75" s="277"/>
      <c r="C75" s="277"/>
      <c r="D75" s="277"/>
      <c r="E75" s="277"/>
      <c r="F75" s="277"/>
      <c r="G75" s="277"/>
      <c r="H75" s="277"/>
      <c r="I75" s="277"/>
      <c r="J75" s="277"/>
      <c r="K75" s="277"/>
      <c r="L75" s="277"/>
      <c r="M75" s="277"/>
      <c r="N75" s="277"/>
      <c r="O75" s="277"/>
      <c r="P75" s="277"/>
      <c r="Q75" s="277"/>
      <c r="R75" s="277"/>
      <c r="S75" s="277"/>
      <c r="T75" s="277"/>
      <c r="U75" s="277"/>
    </row>
    <row r="77" spans="1:21" s="237" customFormat="1" x14ac:dyDescent="0.25">
      <c r="A77" s="238" t="s">
        <v>660</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652</v>
      </c>
      <c r="B78" s="64"/>
      <c r="C78" s="64"/>
      <c r="D78" s="64"/>
      <c r="E78" s="89">
        <f>E10</f>
        <v>792688790</v>
      </c>
      <c r="F78" s="89">
        <f t="shared" ref="F78:U78" si="77">F10</f>
        <v>2136978237.49</v>
      </c>
      <c r="G78" s="89">
        <f t="shared" si="77"/>
        <v>3413681737.4899998</v>
      </c>
      <c r="H78" s="89">
        <f t="shared" si="77"/>
        <v>0</v>
      </c>
      <c r="I78" s="89">
        <f t="shared" si="77"/>
        <v>0</v>
      </c>
      <c r="J78" s="89">
        <f t="shared" si="77"/>
        <v>1576994.12</v>
      </c>
      <c r="K78" s="89">
        <f t="shared" si="77"/>
        <v>0</v>
      </c>
      <c r="L78" s="89">
        <f t="shared" si="77"/>
        <v>10140041.73</v>
      </c>
      <c r="M78" s="89">
        <f t="shared" si="77"/>
        <v>6377316.4500000002</v>
      </c>
      <c r="N78" s="89">
        <f t="shared" si="77"/>
        <v>0</v>
      </c>
      <c r="O78" s="89">
        <f t="shared" si="77"/>
        <v>1269451.81</v>
      </c>
      <c r="P78" s="89">
        <f t="shared" si="77"/>
        <v>2698617.82</v>
      </c>
      <c r="Q78" s="89">
        <f t="shared" si="77"/>
        <v>4127783.83</v>
      </c>
      <c r="R78" s="89">
        <f t="shared" si="77"/>
        <v>5556949.8399999999</v>
      </c>
      <c r="S78" s="89">
        <f t="shared" si="77"/>
        <v>5716664</v>
      </c>
      <c r="T78" s="89">
        <f t="shared" si="77"/>
        <v>178747542.03</v>
      </c>
      <c r="U78" s="89">
        <f t="shared" si="77"/>
        <v>194500471.23000002</v>
      </c>
    </row>
    <row r="79" spans="1:21" x14ac:dyDescent="0.25">
      <c r="A79" s="183" t="s">
        <v>661</v>
      </c>
      <c r="B79" s="64"/>
      <c r="C79" s="64"/>
      <c r="D79" s="64"/>
      <c r="E79" s="89">
        <f>E78</f>
        <v>792688790</v>
      </c>
      <c r="F79" s="89">
        <f t="shared" ref="F79:U79" si="78">F78</f>
        <v>2136978237.49</v>
      </c>
      <c r="G79" s="89">
        <f t="shared" si="78"/>
        <v>3413681737.4899998</v>
      </c>
      <c r="H79" s="89">
        <f t="shared" si="78"/>
        <v>0</v>
      </c>
      <c r="I79" s="89">
        <f t="shared" si="78"/>
        <v>0</v>
      </c>
      <c r="J79" s="89">
        <f t="shared" si="78"/>
        <v>1576994.12</v>
      </c>
      <c r="K79" s="89">
        <f t="shared" si="78"/>
        <v>0</v>
      </c>
      <c r="L79" s="89">
        <f t="shared" si="78"/>
        <v>10140041.73</v>
      </c>
      <c r="M79" s="89">
        <f t="shared" si="78"/>
        <v>6377316.4500000002</v>
      </c>
      <c r="N79" s="89">
        <f t="shared" si="78"/>
        <v>0</v>
      </c>
      <c r="O79" s="89">
        <f t="shared" si="78"/>
        <v>1269451.81</v>
      </c>
      <c r="P79" s="89">
        <f t="shared" si="78"/>
        <v>2698617.82</v>
      </c>
      <c r="Q79" s="89">
        <f t="shared" si="78"/>
        <v>4127783.83</v>
      </c>
      <c r="R79" s="89">
        <f t="shared" si="78"/>
        <v>5556949.8399999999</v>
      </c>
      <c r="S79" s="89">
        <f t="shared" si="78"/>
        <v>5716664</v>
      </c>
      <c r="T79" s="89">
        <f t="shared" si="78"/>
        <v>178747542.03</v>
      </c>
      <c r="U79" s="89">
        <f t="shared" si="78"/>
        <v>194500471.23000002</v>
      </c>
    </row>
    <row r="80" spans="1:21" s="219" customFormat="1" x14ac:dyDescent="0.25">
      <c r="A80" s="223" t="s">
        <v>662</v>
      </c>
      <c r="B80" s="223"/>
      <c r="C80" s="223"/>
      <c r="D80" s="223"/>
      <c r="E80" s="223">
        <f>E79/E85</f>
        <v>4.405168984665863E-2</v>
      </c>
      <c r="F80" s="223">
        <f t="shared" ref="F80:U80" si="79">F79/F85</f>
        <v>0.126151758454178</v>
      </c>
      <c r="G80" s="223">
        <f t="shared" si="79"/>
        <v>0.20171636825759093</v>
      </c>
      <c r="H80" s="223">
        <f t="shared" si="79"/>
        <v>0</v>
      </c>
      <c r="I80" s="223">
        <f t="shared" si="79"/>
        <v>0</v>
      </c>
      <c r="J80" s="223">
        <f t="shared" si="79"/>
        <v>1.2548469433161223E-4</v>
      </c>
      <c r="K80" s="223">
        <f t="shared" si="79"/>
        <v>0</v>
      </c>
      <c r="L80" s="223">
        <f t="shared" si="79"/>
        <v>7.3287478576177661E-4</v>
      </c>
      <c r="M80" s="223">
        <f t="shared" si="79"/>
        <v>4.744377419099036E-4</v>
      </c>
      <c r="N80" s="223">
        <f t="shared" si="79"/>
        <v>0</v>
      </c>
      <c r="O80" s="223">
        <f t="shared" si="79"/>
        <v>1.1943914019120089E-4</v>
      </c>
      <c r="P80" s="223">
        <f t="shared" si="79"/>
        <v>2.3347035331797581E-4</v>
      </c>
      <c r="Q80" s="223">
        <f t="shared" si="79"/>
        <v>3.6861407181204786E-4</v>
      </c>
      <c r="R80" s="223">
        <f t="shared" si="79"/>
        <v>5.7585879916255813E-4</v>
      </c>
      <c r="S80" s="223">
        <f t="shared" si="79"/>
        <v>6.1566851197310127E-4</v>
      </c>
      <c r="T80" s="223">
        <f t="shared" si="79"/>
        <v>1.8520949228041702E-2</v>
      </c>
      <c r="U80" s="223">
        <f t="shared" si="79"/>
        <v>2.0695925988187865E-2</v>
      </c>
    </row>
    <row r="81" spans="1:21" x14ac:dyDescent="0.25">
      <c r="A81" s="183" t="s">
        <v>653</v>
      </c>
      <c r="B81" s="64"/>
      <c r="C81" s="64"/>
      <c r="D81" s="64"/>
      <c r="E81" s="89">
        <f>E11</f>
        <v>21236150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246511669.06999999</v>
      </c>
      <c r="S81" s="89">
        <f t="shared" si="80"/>
        <v>255754463.44</v>
      </c>
      <c r="T81" s="89">
        <f t="shared" si="80"/>
        <v>264234601.63</v>
      </c>
      <c r="U81" s="89">
        <f t="shared" si="80"/>
        <v>271227310.19999999</v>
      </c>
    </row>
    <row r="82" spans="1:21" x14ac:dyDescent="0.25">
      <c r="A82" s="183" t="s">
        <v>655</v>
      </c>
      <c r="B82" s="64"/>
      <c r="C82" s="64"/>
      <c r="D82" s="64"/>
      <c r="E82" s="89">
        <f>E13</f>
        <v>17180589975.529995</v>
      </c>
      <c r="F82" s="89">
        <f t="shared" ref="F82:U82" si="81">F13</f>
        <v>14802763734.210005</v>
      </c>
      <c r="G82" s="89">
        <f t="shared" si="81"/>
        <v>13509494933.680002</v>
      </c>
      <c r="H82" s="89">
        <f t="shared" si="81"/>
        <v>15171259069.099998</v>
      </c>
      <c r="I82" s="89">
        <f t="shared" si="81"/>
        <v>14913773349.100004</v>
      </c>
      <c r="J82" s="89">
        <f t="shared" si="81"/>
        <v>12565645872.379999</v>
      </c>
      <c r="K82" s="89">
        <f t="shared" si="81"/>
        <v>11432516512.739994</v>
      </c>
      <c r="L82" s="89">
        <f t="shared" si="81"/>
        <v>13825841120.4</v>
      </c>
      <c r="M82" s="89">
        <f t="shared" si="81"/>
        <v>13435463175.259998</v>
      </c>
      <c r="N82" s="89">
        <f t="shared" si="81"/>
        <v>11593769769.26</v>
      </c>
      <c r="O82" s="89">
        <f t="shared" si="81"/>
        <v>10627171174.670004</v>
      </c>
      <c r="P82" s="89">
        <f t="shared" si="81"/>
        <v>11556018716.73</v>
      </c>
      <c r="Q82" s="89">
        <f t="shared" si="81"/>
        <v>11193990100.570004</v>
      </c>
      <c r="R82" s="89">
        <f t="shared" si="81"/>
        <v>9397779309.2299995</v>
      </c>
      <c r="S82" s="89">
        <f t="shared" si="81"/>
        <v>9023824269.0700016</v>
      </c>
      <c r="T82" s="89">
        <f t="shared" si="81"/>
        <v>9208118338.7799988</v>
      </c>
      <c r="U82" s="89">
        <f t="shared" si="81"/>
        <v>8932279891.2399998</v>
      </c>
    </row>
    <row r="83" spans="1:21" x14ac:dyDescent="0.25">
      <c r="A83" s="183" t="s">
        <v>663</v>
      </c>
      <c r="B83" s="64"/>
      <c r="C83" s="64"/>
      <c r="D83" s="64"/>
      <c r="E83" s="89">
        <f>E81+E82</f>
        <v>17201826125.529995</v>
      </c>
      <c r="F83" s="89">
        <f t="shared" ref="F83:U83" si="82">F81+F82</f>
        <v>14802763734.210005</v>
      </c>
      <c r="G83" s="89">
        <f t="shared" si="82"/>
        <v>13509494933.680002</v>
      </c>
      <c r="H83" s="89">
        <f t="shared" si="82"/>
        <v>15171259069.099998</v>
      </c>
      <c r="I83" s="89">
        <f t="shared" si="82"/>
        <v>14913773349.100004</v>
      </c>
      <c r="J83" s="89">
        <f t="shared" si="82"/>
        <v>12565645872.379999</v>
      </c>
      <c r="K83" s="89">
        <f t="shared" si="82"/>
        <v>11432516512.739994</v>
      </c>
      <c r="L83" s="89">
        <f t="shared" si="82"/>
        <v>13825841120.4</v>
      </c>
      <c r="M83" s="89">
        <f t="shared" si="82"/>
        <v>13435463175.259998</v>
      </c>
      <c r="N83" s="89">
        <f t="shared" si="82"/>
        <v>11593769769.26</v>
      </c>
      <c r="O83" s="89">
        <f t="shared" si="82"/>
        <v>10627171174.670004</v>
      </c>
      <c r="P83" s="89">
        <f t="shared" si="82"/>
        <v>11556018716.73</v>
      </c>
      <c r="Q83" s="89">
        <f t="shared" si="82"/>
        <v>11193990100.570004</v>
      </c>
      <c r="R83" s="89">
        <f t="shared" si="82"/>
        <v>9644290978.2999992</v>
      </c>
      <c r="S83" s="89">
        <f t="shared" si="82"/>
        <v>9279578732.5100021</v>
      </c>
      <c r="T83" s="89">
        <f t="shared" si="82"/>
        <v>9472352940.4099979</v>
      </c>
      <c r="U83" s="89">
        <f t="shared" si="82"/>
        <v>9203507201.4400005</v>
      </c>
    </row>
    <row r="84" spans="1:21" s="219" customFormat="1" x14ac:dyDescent="0.25">
      <c r="A84" s="223" t="s">
        <v>664</v>
      </c>
      <c r="B84" s="223"/>
      <c r="C84" s="223"/>
      <c r="D84" s="223"/>
      <c r="E84" s="223">
        <f>E83/E85</f>
        <v>0.95594831015334136</v>
      </c>
      <c r="F84" s="223">
        <f t="shared" ref="F84:U84" si="83">F83/F85</f>
        <v>0.87384824154582197</v>
      </c>
      <c r="G84" s="223">
        <f t="shared" si="83"/>
        <v>0.79828363174240913</v>
      </c>
      <c r="H84" s="223">
        <f t="shared" si="83"/>
        <v>1</v>
      </c>
      <c r="I84" s="223">
        <f t="shared" si="83"/>
        <v>1</v>
      </c>
      <c r="J84" s="223">
        <f t="shared" si="83"/>
        <v>0.99987451530566829</v>
      </c>
      <c r="K84" s="223">
        <f t="shared" si="83"/>
        <v>1</v>
      </c>
      <c r="L84" s="223">
        <f t="shared" si="83"/>
        <v>0.99926712521423822</v>
      </c>
      <c r="M84" s="223">
        <f t="shared" si="83"/>
        <v>0.99952556225809008</v>
      </c>
      <c r="N84" s="223">
        <f t="shared" si="83"/>
        <v>1</v>
      </c>
      <c r="O84" s="223">
        <f t="shared" si="83"/>
        <v>0.99988056085980881</v>
      </c>
      <c r="P84" s="223">
        <f t="shared" si="83"/>
        <v>0.999766529646682</v>
      </c>
      <c r="Q84" s="223">
        <f t="shared" si="83"/>
        <v>0.99963138592818801</v>
      </c>
      <c r="R84" s="223">
        <f t="shared" si="83"/>
        <v>0.99942414120083745</v>
      </c>
      <c r="S84" s="223">
        <f t="shared" si="83"/>
        <v>0.99938433148802686</v>
      </c>
      <c r="T84" s="223">
        <f t="shared" si="83"/>
        <v>0.98147905077195818</v>
      </c>
      <c r="U84" s="223">
        <f t="shared" si="83"/>
        <v>0.97930407401181219</v>
      </c>
    </row>
    <row r="85" spans="1:21" x14ac:dyDescent="0.25">
      <c r="A85" s="183" t="s">
        <v>656</v>
      </c>
      <c r="B85" s="64"/>
      <c r="C85" s="64"/>
      <c r="D85" s="64"/>
      <c r="E85" s="89">
        <f>E14</f>
        <v>17994514915.529995</v>
      </c>
      <c r="F85" s="89">
        <f t="shared" ref="F85:U85" si="84">F14</f>
        <v>16939741971.700005</v>
      </c>
      <c r="G85" s="89">
        <f t="shared" si="84"/>
        <v>16923176671.170002</v>
      </c>
      <c r="H85" s="89">
        <f t="shared" si="84"/>
        <v>15171259069.099998</v>
      </c>
      <c r="I85" s="89">
        <f t="shared" si="84"/>
        <v>14913773349.100004</v>
      </c>
      <c r="J85" s="89">
        <f t="shared" si="84"/>
        <v>12567222866.5</v>
      </c>
      <c r="K85" s="89">
        <f t="shared" si="84"/>
        <v>11432516512.739994</v>
      </c>
      <c r="L85" s="89">
        <f t="shared" si="84"/>
        <v>13835981162.129999</v>
      </c>
      <c r="M85" s="89">
        <f t="shared" si="84"/>
        <v>13441840491.709999</v>
      </c>
      <c r="N85" s="89">
        <f t="shared" si="84"/>
        <v>11593769769.26</v>
      </c>
      <c r="O85" s="89">
        <f t="shared" si="84"/>
        <v>10628440626.480003</v>
      </c>
      <c r="P85" s="89">
        <f t="shared" si="84"/>
        <v>11558717334.549999</v>
      </c>
      <c r="Q85" s="89">
        <f t="shared" si="84"/>
        <v>11198117884.400003</v>
      </c>
      <c r="R85" s="89">
        <f t="shared" si="84"/>
        <v>9649847928.1399994</v>
      </c>
      <c r="S85" s="89">
        <f t="shared" si="84"/>
        <v>9285295396.5100021</v>
      </c>
      <c r="T85" s="89">
        <f t="shared" si="84"/>
        <v>9651100482.4399986</v>
      </c>
      <c r="U85" s="89">
        <f t="shared" si="84"/>
        <v>9398007672.6700001</v>
      </c>
    </row>
    <row r="87" spans="1:21" s="56" customFormat="1" ht="85.8" customHeight="1" x14ac:dyDescent="0.25">
      <c r="A87" s="276" t="s">
        <v>702</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6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8" width="19.33203125" hidden="1" customWidth="1"/>
    <col min="9" max="9" width="21.5546875" bestFit="1" customWidth="1"/>
    <col min="10" max="11" width="20.44140625" hidden="1" customWidth="1"/>
    <col min="12" max="12" width="19.33203125" hidden="1" customWidth="1"/>
    <col min="13" max="13" width="21.5546875" bestFit="1" customWidth="1"/>
    <col min="14" max="15" width="20.44140625" hidden="1" customWidth="1"/>
    <col min="16" max="16" width="19.33203125" hidden="1" customWidth="1"/>
    <col min="17" max="17" width="20.44140625" bestFit="1" customWidth="1"/>
    <col min="18" max="18" width="20.44140625" hidden="1" customWidth="1"/>
    <col min="19" max="20" width="19.33203125" hidden="1" customWidth="1"/>
    <col min="21" max="21" width="20.44140625" bestFit="1" customWidth="1"/>
    <col min="22" max="22" width="20.44140625" hidden="1" customWidth="1"/>
    <col min="23" max="24" width="19.332031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20.441406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1" width="19.33203125" hidden="1" customWidth="1"/>
    <col min="52" max="52" width="17.2187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3" width="19.33203125" hidden="1" customWidth="1"/>
    <col min="64" max="64" width="17.21875" hidden="1" customWidth="1"/>
    <col min="65" max="65" width="19.33203125" bestFit="1" customWidth="1"/>
    <col min="66" max="66" width="19.33203125" hidden="1" customWidth="1"/>
    <col min="67" max="68" width="17.21875" hidden="1" customWidth="1"/>
    <col min="69" max="69" width="19.33203125" bestFit="1" customWidth="1"/>
    <col min="70" max="70" width="17.21875" hidden="1" customWidth="1"/>
    <col min="71" max="71" width="19.33203125" bestFit="1" customWidth="1"/>
    <col min="72" max="72" width="17.21875" hidden="1" customWidth="1"/>
    <col min="73" max="73" width="17.21875" bestFit="1" customWidth="1"/>
    <col min="74" max="74" width="17.21875" hidden="1" customWidth="1"/>
    <col min="75" max="75" width="17.21875" bestFit="1" customWidth="1"/>
    <col min="76" max="76" width="17.21875" hidden="1" customWidth="1"/>
    <col min="77" max="77" width="17.21875" bestFit="1" customWidth="1"/>
    <col min="78" max="78" width="17.21875" hidden="1" customWidth="1"/>
    <col min="79" max="81" width="17.21875" bestFit="1" customWidth="1"/>
    <col min="82" max="82" width="9.5546875" hidden="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s="26" customFormat="1" x14ac:dyDescent="0.25">
      <c r="A2" s="17" t="s">
        <v>351</v>
      </c>
      <c r="E2" s="26">
        <f>股权价值增加表!E4</f>
        <v>33221948766.650002</v>
      </c>
      <c r="F2" s="26">
        <f>股权价值增加表!F4</f>
        <v>18994965921.450001</v>
      </c>
      <c r="G2" s="26">
        <f>股权价值增加表!G4</f>
        <v>9313067493.1000004</v>
      </c>
      <c r="H2" s="26">
        <f>股权价值增加表!H4</f>
        <v>3868458647.1999998</v>
      </c>
      <c r="I2" s="26">
        <f>股权价值增加表!I4</f>
        <v>35850442042.720001</v>
      </c>
      <c r="J2" s="26">
        <f>股权价值增加表!J4</f>
        <v>21659158276.32</v>
      </c>
      <c r="K2" s="26">
        <f>股权价值增加表!K4</f>
        <v>13268121440.85</v>
      </c>
      <c r="L2" s="26">
        <f>股权价值增加表!L4</f>
        <v>5126788582.8999996</v>
      </c>
      <c r="M2" s="26">
        <f>股权价值增加表!M4</f>
        <v>31210873852.540001</v>
      </c>
      <c r="N2" s="26">
        <f>股权价值增加表!N4</f>
        <v>18929067308.060001</v>
      </c>
      <c r="O2" s="26">
        <f>股权价值增加表!O4</f>
        <v>10387239701.25</v>
      </c>
      <c r="P2" s="26">
        <f>股权价值增加表!P4</f>
        <v>4273324043.52</v>
      </c>
      <c r="Q2" s="26">
        <f>股权价值增加表!Q4</f>
        <v>25728299513.16</v>
      </c>
      <c r="R2" s="26">
        <f>股权价值增加表!R4</f>
        <v>15002502291.76</v>
      </c>
      <c r="S2" s="26">
        <f>股权价值增加表!S4</f>
        <v>9341476892.9099998</v>
      </c>
      <c r="T2" s="26">
        <f>股权价值增加表!T4</f>
        <v>4395955446.3000002</v>
      </c>
      <c r="U2" s="26">
        <f>股权价值增加表!U4</f>
        <v>22093826571.040001</v>
      </c>
      <c r="V2" s="26">
        <f>股权价值增加表!V4</f>
        <v>13669406746.49</v>
      </c>
      <c r="W2" s="26">
        <f>股权价值增加表!W4</f>
        <v>9663747340.3899994</v>
      </c>
      <c r="X2" s="26">
        <f>股权价值增加表!X4</f>
        <v>4337342804.8900003</v>
      </c>
      <c r="Y2" s="26">
        <f>股权价值增加表!Y4</f>
        <v>19763459199.02</v>
      </c>
      <c r="Z2" s="26">
        <f>股权价值增加表!Z4</f>
        <v>13309007254.129999</v>
      </c>
      <c r="AA2" s="26">
        <f>股权价值增加表!AA4</f>
        <v>8296243064.9300003</v>
      </c>
      <c r="AB2" s="26">
        <f>股权价值增加表!AB4</f>
        <v>3969350239.1399999</v>
      </c>
      <c r="AC2" s="26">
        <f>股权价值增加表!AC4</f>
        <v>16931925945.07</v>
      </c>
      <c r="AD2" s="26">
        <f>股权价值增加表!AD4</f>
        <v>11009538186.57</v>
      </c>
      <c r="AE2" s="26">
        <f>股权价值增加表!AE4</f>
        <v>6405766461.7399998</v>
      </c>
      <c r="AF2" s="26">
        <f>股权价值增加表!AF4</f>
        <v>2947959956.1799998</v>
      </c>
      <c r="AG2" s="26">
        <f>股权价值增加表!AG4</f>
        <v>13478500120.48</v>
      </c>
      <c r="AH2" s="26">
        <f>股权价值增加表!AH4</f>
        <v>9132486590.3700008</v>
      </c>
      <c r="AI2" s="26">
        <f>股权价值增加表!AI4</f>
        <v>5525360311.0500002</v>
      </c>
      <c r="AJ2" s="26">
        <f>股权价值增加表!AJ4</f>
        <v>2357318390.8600001</v>
      </c>
      <c r="AK2" s="26">
        <f>股权价值增加表!AK4</f>
        <v>8781731234.4200001</v>
      </c>
      <c r="AL2" s="26">
        <f>股权价值增加表!AL4</f>
        <v>5832802762.3699999</v>
      </c>
      <c r="AM2" s="26">
        <f>股权价值增加表!AM4</f>
        <v>3547502321.2199998</v>
      </c>
      <c r="AN2" s="26">
        <f>股权价值增加表!AN4</f>
        <v>1322183548.28</v>
      </c>
      <c r="AO2" s="26">
        <f>股权价值增加表!AO4</f>
        <v>8335671865.1199999</v>
      </c>
      <c r="AP2" s="26">
        <f>股权价值增加表!AP4</f>
        <v>5909075990.5799999</v>
      </c>
      <c r="AQ2" s="26">
        <f>股权价值增加表!AQ4</f>
        <v>4269358208.9099998</v>
      </c>
      <c r="AR2" s="26">
        <f>股权价值增加表!AR4</f>
        <v>1728783903.51</v>
      </c>
      <c r="AS2" s="26">
        <f>股权价值增加表!AS4</f>
        <v>7880772643.7399998</v>
      </c>
      <c r="AT2" s="26">
        <f>股权价值增加表!AT4</f>
        <v>4791323219.5799999</v>
      </c>
      <c r="AU2" s="26">
        <f>股权价值增加表!AU4</f>
        <v>2824669536.7399998</v>
      </c>
      <c r="AV2" s="26">
        <f>股权价值增加表!AV4</f>
        <v>1218986397.53</v>
      </c>
      <c r="AW2" s="26">
        <f>股权价值增加表!AW4</f>
        <v>4954506733.5100002</v>
      </c>
      <c r="AX2" s="26">
        <f>股权价值增加表!AX4</f>
        <v>3211706920.0700002</v>
      </c>
      <c r="AY2" s="26">
        <f>股权价值增加表!AY4</f>
        <v>2039212675.8900001</v>
      </c>
      <c r="AZ2" s="26">
        <f>股权价值增加表!AZ4</f>
        <v>887602608.97000003</v>
      </c>
      <c r="BA2" s="26">
        <f>股权价值增加表!BA4</f>
        <v>4576435573.4799995</v>
      </c>
      <c r="BB2" s="26">
        <f>股权价值增加表!BB4</f>
        <v>2944163022.0500002</v>
      </c>
      <c r="BC2" s="26">
        <f>股权价值增加表!BC4</f>
        <v>1699337866.3199999</v>
      </c>
      <c r="BD2" s="26">
        <f>股权价值增加表!BD4</f>
        <v>739399700.55999994</v>
      </c>
      <c r="BE2" s="26">
        <f>股权价值增加表!BE4</f>
        <v>3949088707.25</v>
      </c>
      <c r="BF2" s="26">
        <f>股权价值增加表!BF4</f>
        <v>2762182434.1100001</v>
      </c>
      <c r="BG2" s="26">
        <f>股权价值增加表!BG4</f>
        <v>1486749846.54</v>
      </c>
      <c r="BH2" s="26">
        <f>股权价值增加表!BH4</f>
        <v>572856842.5</v>
      </c>
      <c r="BI2" s="26">
        <f>股权价值增加表!BI4</f>
        <v>3253649665.4099998</v>
      </c>
      <c r="BJ2" s="26">
        <f>股权价值增加表!BJ4</f>
        <v>1946404611.7</v>
      </c>
      <c r="BK2" s="26">
        <f>股权价值增加表!BK4</f>
        <v>1201983585.6400001</v>
      </c>
      <c r="BL2" s="26">
        <f>股权价值增加表!BL4</f>
        <v>747595762.03999996</v>
      </c>
      <c r="BM2" s="26">
        <f>股权价值增加表!BM4</f>
        <v>2685049399.9299998</v>
      </c>
      <c r="BN2" s="26">
        <f>股权价值增加表!BN4</f>
        <v>1843794209.3099999</v>
      </c>
      <c r="BO2" s="26">
        <f>股权价值增加表!BO4</f>
        <v>998872375.82000005</v>
      </c>
      <c r="BP2" s="26">
        <f>股权价值增加表!BP4</f>
        <v>364636034.19</v>
      </c>
      <c r="BQ2" s="26">
        <f>股权价值增加表!BQ4</f>
        <v>1579515325.0899999</v>
      </c>
      <c r="BR2" s="26">
        <f>股权价值增加表!BR4</f>
        <v>701830564.21000004</v>
      </c>
      <c r="BS2" s="26">
        <f>股权价值增加表!BS4</f>
        <v>1198968349.3199999</v>
      </c>
      <c r="BT2" s="26">
        <f>股权价值增加表!BT4</f>
        <v>469805804.99000001</v>
      </c>
      <c r="BU2" s="26">
        <f>股权价值增加表!BU4</f>
        <v>700109344.52999997</v>
      </c>
      <c r="BV2" s="26">
        <f>股权价值增加表!BV4</f>
        <v>319096258.16000003</v>
      </c>
      <c r="BW2" s="26">
        <f>股权价值增加表!BW4</f>
        <v>565416206.90999997</v>
      </c>
      <c r="BX2" s="26">
        <f>股权价值增加表!BX4</f>
        <v>226544658.12</v>
      </c>
      <c r="BY2" s="26">
        <f>股权价值增加表!BY4</f>
        <v>436671752.77999997</v>
      </c>
      <c r="BZ2" s="26">
        <f>股权价值增加表!BZ4</f>
        <v>157092838.58000001</v>
      </c>
      <c r="CA2" s="26">
        <f>股权价值增加表!CA4</f>
        <v>439068983</v>
      </c>
      <c r="CB2" s="26">
        <f>股权价值增加表!CB4</f>
        <v>274237533</v>
      </c>
      <c r="CC2" s="26">
        <f>股权价值增加表!CC4</f>
        <v>137629196</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-7.3318294735050749E-2</v>
      </c>
      <c r="F3" s="66">
        <f t="shared" ref="F3:BQ3" si="0">(F2-J2)/J2</f>
        <v>-0.12300535047951358</v>
      </c>
      <c r="G3" s="66">
        <f t="shared" si="0"/>
        <v>-0.29808695717640538</v>
      </c>
      <c r="H3" s="66">
        <f t="shared" si="0"/>
        <v>-0.24544213504279472</v>
      </c>
      <c r="I3" s="66">
        <f t="shared" si="0"/>
        <v>0.14865230022396259</v>
      </c>
      <c r="J3" s="66">
        <f t="shared" si="0"/>
        <v>0.14422744257967349</v>
      </c>
      <c r="K3" s="66">
        <f t="shared" si="0"/>
        <v>0.27734815239252786</v>
      </c>
      <c r="L3" s="66">
        <f t="shared" si="0"/>
        <v>0.19971912513261886</v>
      </c>
      <c r="M3" s="66">
        <f t="shared" si="0"/>
        <v>0.21309509151880285</v>
      </c>
      <c r="N3" s="66">
        <f t="shared" si="0"/>
        <v>0.26172733987560426</v>
      </c>
      <c r="O3" s="66">
        <f t="shared" si="0"/>
        <v>0.11194833754111343</v>
      </c>
      <c r="P3" s="66">
        <f t="shared" si="0"/>
        <v>-2.7896416212138123E-2</v>
      </c>
      <c r="Q3" s="66">
        <f t="shared" si="0"/>
        <v>0.16450174126395875</v>
      </c>
      <c r="R3" s="66">
        <f t="shared" si="0"/>
        <v>9.7524023536157467E-2</v>
      </c>
      <c r="S3" s="66">
        <f t="shared" si="0"/>
        <v>-3.3348393343548825E-2</v>
      </c>
      <c r="T3" s="66">
        <f t="shared" si="0"/>
        <v>1.3513490643146508E-2</v>
      </c>
      <c r="U3" s="66">
        <f t="shared" si="0"/>
        <v>0.11791292954097606</v>
      </c>
      <c r="V3" s="66">
        <f t="shared" si="0"/>
        <v>2.7079367039052657E-2</v>
      </c>
      <c r="W3" s="66">
        <f t="shared" si="0"/>
        <v>0.16483416225360284</v>
      </c>
      <c r="X3" s="66">
        <f t="shared" si="0"/>
        <v>9.270851489026824E-2</v>
      </c>
      <c r="Y3" s="66">
        <f t="shared" si="0"/>
        <v>0.16723042984808512</v>
      </c>
      <c r="Z3" s="66">
        <f t="shared" si="0"/>
        <v>0.20886153702296159</v>
      </c>
      <c r="AA3" s="66">
        <f t="shared" si="0"/>
        <v>0.29512106232428742</v>
      </c>
      <c r="AB3" s="66">
        <f t="shared" si="0"/>
        <v>0.34647359466969463</v>
      </c>
      <c r="AC3" s="66">
        <f t="shared" si="0"/>
        <v>0.25621736793567029</v>
      </c>
      <c r="AD3" s="66">
        <f t="shared" si="0"/>
        <v>0.20553565314613295</v>
      </c>
      <c r="AE3" s="66">
        <f t="shared" si="0"/>
        <v>0.15933913828738047</v>
      </c>
      <c r="AF3" s="66">
        <f t="shared" si="0"/>
        <v>0.25055655087156936</v>
      </c>
      <c r="AG3" s="66">
        <f t="shared" si="0"/>
        <v>0.53483405044907451</v>
      </c>
      <c r="AH3" s="66">
        <f t="shared" si="0"/>
        <v>0.56571153910564687</v>
      </c>
      <c r="AI3" s="66">
        <f t="shared" si="0"/>
        <v>0.55753536171043505</v>
      </c>
      <c r="AJ3" s="66">
        <f t="shared" si="0"/>
        <v>0.78289799016678485</v>
      </c>
      <c r="AK3" s="66">
        <f t="shared" si="0"/>
        <v>5.3512107544264366E-2</v>
      </c>
      <c r="AL3" s="66">
        <f t="shared" si="0"/>
        <v>-1.2907809669666055E-2</v>
      </c>
      <c r="AM3" s="66">
        <f t="shared" si="0"/>
        <v>-0.1690783139684818</v>
      </c>
      <c r="AN3" s="66">
        <f t="shared" si="0"/>
        <v>-0.23519443604516882</v>
      </c>
      <c r="AO3" s="66">
        <f t="shared" si="0"/>
        <v>5.7722667807368358E-2</v>
      </c>
      <c r="AP3" s="66">
        <f t="shared" si="0"/>
        <v>0.23328686456222431</v>
      </c>
      <c r="AQ3" s="66">
        <f t="shared" si="0"/>
        <v>0.51145404918316228</v>
      </c>
      <c r="AR3" s="66">
        <f t="shared" si="0"/>
        <v>0.41821426966944775</v>
      </c>
      <c r="AS3" s="66">
        <f t="shared" si="0"/>
        <v>0.59062709319539031</v>
      </c>
      <c r="AT3" s="66">
        <f t="shared" si="0"/>
        <v>0.49183077373559714</v>
      </c>
      <c r="AU3" s="66">
        <f t="shared" si="0"/>
        <v>0.38517652922454126</v>
      </c>
      <c r="AV3" s="66">
        <f t="shared" si="0"/>
        <v>0.37334701950070581</v>
      </c>
      <c r="AW3" s="66">
        <f t="shared" si="0"/>
        <v>8.2612582207184648E-2</v>
      </c>
      <c r="AX3" s="66">
        <f t="shared" si="0"/>
        <v>9.0872650738514818E-2</v>
      </c>
      <c r="AY3" s="66">
        <f t="shared" si="0"/>
        <v>0.20000425830915888</v>
      </c>
      <c r="AZ3" s="66">
        <f t="shared" si="0"/>
        <v>0.20043679798322273</v>
      </c>
      <c r="BA3" s="66">
        <f t="shared" si="0"/>
        <v>0.1588586412552026</v>
      </c>
      <c r="BB3" s="66">
        <f t="shared" si="0"/>
        <v>6.5882899584304919E-2</v>
      </c>
      <c r="BC3" s="66">
        <f t="shared" si="0"/>
        <v>0.14298842557457794</v>
      </c>
      <c r="BD3" s="66">
        <f t="shared" si="0"/>
        <v>0.29072334605133032</v>
      </c>
      <c r="BE3" s="66">
        <f t="shared" si="0"/>
        <v>0.21374121781865729</v>
      </c>
      <c r="BF3" s="66">
        <f t="shared" si="0"/>
        <v>0.4191203707113576</v>
      </c>
      <c r="BG3" s="66">
        <f t="shared" si="0"/>
        <v>0.23691360206751502</v>
      </c>
      <c r="BH3" s="66">
        <f t="shared" si="0"/>
        <v>-0.23373449718759989</v>
      </c>
      <c r="BI3" s="66">
        <f t="shared" si="0"/>
        <v>0.21176529023816978</v>
      </c>
      <c r="BJ3" s="66">
        <f t="shared" si="0"/>
        <v>5.5651765187178792E-2</v>
      </c>
      <c r="BK3" s="66">
        <f t="shared" si="0"/>
        <v>0.20334050148624927</v>
      </c>
      <c r="BL3" s="66">
        <f t="shared" si="0"/>
        <v>1.050252010064513</v>
      </c>
      <c r="BM3" s="66">
        <f t="shared" si="0"/>
        <v>0.69991981545162096</v>
      </c>
      <c r="BN3" s="66">
        <f t="shared" si="0"/>
        <v>1.6271215637144927</v>
      </c>
      <c r="BO3" s="66">
        <f t="shared" si="0"/>
        <v>-0.16689012150611413</v>
      </c>
      <c r="BP3" s="66">
        <f t="shared" si="0"/>
        <v>-0.22385796361592125</v>
      </c>
      <c r="BQ3" s="66">
        <f t="shared" si="0"/>
        <v>1.2560980472991201</v>
      </c>
      <c r="BR3" s="66">
        <f t="shared" ref="BR3:CJ3" si="1">(BR2-BV2)/BV2</f>
        <v>1.1994321345444634</v>
      </c>
      <c r="BS3" s="66">
        <f t="shared" si="1"/>
        <v>1.1205058055770332</v>
      </c>
      <c r="BT3" s="66">
        <f t="shared" si="1"/>
        <v>1.0737889336642197</v>
      </c>
      <c r="BU3" s="66">
        <f t="shared" si="1"/>
        <v>0.60328516803037346</v>
      </c>
      <c r="BV3" s="66">
        <f t="shared" si="1"/>
        <v>1.0312591015885124</v>
      </c>
      <c r="BW3" s="66">
        <f t="shared" si="1"/>
        <v>0.28776167026583149</v>
      </c>
      <c r="BX3" s="66">
        <f t="shared" si="1"/>
        <v>-0.1739108223380933</v>
      </c>
      <c r="BY3" s="66">
        <f t="shared" si="1"/>
        <v>2.1728133671579393</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24478638345.450001</v>
      </c>
      <c r="F4" s="26">
        <f>股权价值增加表!F5</f>
        <v>14121403654.690001</v>
      </c>
      <c r="G4" s="26">
        <f>股权价值增加表!G5</f>
        <v>6990825699.3400002</v>
      </c>
      <c r="H4" s="26">
        <f>股权价值增加表!H5</f>
        <v>2939134421.02</v>
      </c>
      <c r="I4" s="26">
        <f>股权价值增加表!I5</f>
        <v>25876318999.369999</v>
      </c>
      <c r="J4" s="26">
        <f>股权价值增加表!J5</f>
        <v>16093040683.639999</v>
      </c>
      <c r="K4" s="26">
        <f>股权价值增加表!K5</f>
        <v>9971215461.4500008</v>
      </c>
      <c r="L4" s="26">
        <f>股权价值增加表!L5</f>
        <v>3888650143.8800001</v>
      </c>
      <c r="M4" s="26">
        <f>股权价值增加表!M5</f>
        <v>23305898509.150002</v>
      </c>
      <c r="N4" s="26">
        <f>股权价值增加表!N5</f>
        <v>14407927241.440001</v>
      </c>
      <c r="O4" s="26">
        <f>股权价值增加表!O5</f>
        <v>7958746567.7299995</v>
      </c>
      <c r="P4" s="26">
        <f>股权价值增加表!P5</f>
        <v>3293056646.0599999</v>
      </c>
      <c r="Q4" s="26">
        <f>股权价值增加表!Q5</f>
        <v>19481360598.02</v>
      </c>
      <c r="R4" s="26">
        <f>股权价值增加表!R5</f>
        <v>12084870421.18</v>
      </c>
      <c r="S4" s="26">
        <f>股权价值增加表!S5</f>
        <v>7507615942.46</v>
      </c>
      <c r="T4" s="26">
        <f>股权价值增加表!T5</f>
        <v>3549148936.71</v>
      </c>
      <c r="U4" s="26">
        <f>股权价值增加表!U5</f>
        <v>17794266439</v>
      </c>
      <c r="V4" s="26">
        <f>股权价值增加表!V5</f>
        <v>11179258927.299999</v>
      </c>
      <c r="W4" s="26">
        <f>股权价值增加表!W5</f>
        <v>7894081245.0500002</v>
      </c>
      <c r="X4" s="26">
        <f>股权价值增加表!X5</f>
        <v>3549456898.02</v>
      </c>
      <c r="Y4" s="26">
        <f>股权价值增加表!Y5</f>
        <v>15817656983.84</v>
      </c>
      <c r="Z4" s="26">
        <f>股权价值增加表!Z5</f>
        <v>10791637167.530001</v>
      </c>
      <c r="AA4" s="26">
        <f>股权价值增加表!AA5</f>
        <v>6740653410.54</v>
      </c>
      <c r="AB4" s="26">
        <f>股权价值增加表!AB5</f>
        <v>3240050083.3099999</v>
      </c>
      <c r="AC4" s="26">
        <f>股权价值增加表!AC5</f>
        <v>13850380881.74</v>
      </c>
      <c r="AD4" s="26">
        <f>股权价值增加表!AD5</f>
        <v>9101798182.5499992</v>
      </c>
      <c r="AE4" s="26">
        <f>股权价值增加表!AE5</f>
        <v>5305856182.1300001</v>
      </c>
      <c r="AF4" s="26">
        <f>股权价值增加表!AF5</f>
        <v>2442077334.04</v>
      </c>
      <c r="AG4" s="26">
        <f>股权价值增加表!AG5</f>
        <v>11142433611.040001</v>
      </c>
      <c r="AH4" s="26">
        <f>股权价值增加表!AH5</f>
        <v>7564867694.8900003</v>
      </c>
      <c r="AI4" s="26">
        <f>股权价值增加表!AI5</f>
        <v>4584544816.6199999</v>
      </c>
      <c r="AJ4" s="26">
        <f>股权价值增加表!AJ5</f>
        <v>1947669634.8099999</v>
      </c>
      <c r="AK4" s="26">
        <f>股权价值增加表!AK5</f>
        <v>7259352892.6700001</v>
      </c>
      <c r="AL4" s="26">
        <f>股权价值增加表!AL5</f>
        <v>4858571714.3999996</v>
      </c>
      <c r="AM4" s="26">
        <f>股权价值增加表!AM5</f>
        <v>2963452423.54</v>
      </c>
      <c r="AN4" s="26">
        <f>股权价值增加表!AN5</f>
        <v>1083319467.78</v>
      </c>
      <c r="AO4" s="26">
        <f>股权价值增加表!AO5</f>
        <v>7024011472.3500004</v>
      </c>
      <c r="AP4" s="26">
        <f>股权价值增加表!AP5</f>
        <v>5071120898.0299997</v>
      </c>
      <c r="AQ4" s="26">
        <f>股权价值增加表!AQ5</f>
        <v>3645150174.6799998</v>
      </c>
      <c r="AR4" s="26">
        <f>股权价值增加表!AR5</f>
        <v>1444690742.1300001</v>
      </c>
      <c r="AS4" s="26">
        <f>股权价值增加表!AS5</f>
        <v>6422600909.8599997</v>
      </c>
      <c r="AT4" s="26">
        <f>股权价值增加表!AT5</f>
        <v>4036392929.8899999</v>
      </c>
      <c r="AU4" s="26">
        <f>股权价值增加表!AU5</f>
        <v>2360176309.1399999</v>
      </c>
      <c r="AV4" s="26">
        <f>股权价值增加表!AV5</f>
        <v>1010554712.9</v>
      </c>
      <c r="AW4" s="26">
        <f>股权价值增加表!AW5</f>
        <v>4044004119.1300001</v>
      </c>
      <c r="AX4" s="26">
        <f>股权价值增加表!AX5</f>
        <v>2660021369.1700001</v>
      </c>
      <c r="AY4" s="26">
        <f>股权价值增加表!AY5</f>
        <v>1683552954.5899999</v>
      </c>
      <c r="AZ4" s="26">
        <f>股权价值增加表!AZ5</f>
        <v>732160459.53999996</v>
      </c>
      <c r="BA4" s="26">
        <f>股权价值增加表!BA5</f>
        <v>3730373976.7600002</v>
      </c>
      <c r="BB4" s="26">
        <f>股权价值增加表!BB5</f>
        <v>2427721005.29</v>
      </c>
      <c r="BC4" s="26">
        <f>股权价值增加表!BC5</f>
        <v>1410254715.55</v>
      </c>
      <c r="BD4" s="26">
        <f>股权价值增加表!BD5</f>
        <v>611087749.47000003</v>
      </c>
      <c r="BE4" s="26">
        <f>股权价值增加表!BE5</f>
        <v>3276574385.25</v>
      </c>
      <c r="BF4" s="26">
        <f>股权价值增加表!BF5</f>
        <v>2272572167.96</v>
      </c>
      <c r="BG4" s="26">
        <f>股权价值增加表!BG5</f>
        <v>1231601629.0599999</v>
      </c>
      <c r="BH4" s="26">
        <f>股权价值增加表!BH5</f>
        <v>450122432.81999999</v>
      </c>
      <c r="BI4" s="26">
        <f>股权价值增加表!BI5</f>
        <v>2658677990.2399998</v>
      </c>
      <c r="BJ4" s="26">
        <f>股权价值增加表!BJ5</f>
        <v>1542116118.54</v>
      </c>
      <c r="BK4" s="26">
        <f>股权价值增加表!BK5</f>
        <v>949358638.54999995</v>
      </c>
      <c r="BL4" s="26">
        <f>股权价值增加表!BL5</f>
        <v>583912373.85000002</v>
      </c>
      <c r="BM4" s="26">
        <f>股权价值增加表!BM5</f>
        <v>2185394749.9699998</v>
      </c>
      <c r="BN4" s="26">
        <f>股权价值增加表!BN5</f>
        <v>1477664672.4200001</v>
      </c>
      <c r="BO4" s="26">
        <f>股权价值增加表!BO5</f>
        <v>798471850.73000002</v>
      </c>
      <c r="BP4" s="26">
        <f>股权价值增加表!BP5</f>
        <v>285998870.98000002</v>
      </c>
      <c r="BQ4" s="26">
        <f>股权价值增加表!BQ5</f>
        <v>1251281550.24</v>
      </c>
      <c r="BR4" s="26">
        <f>股权价值增加表!BR5</f>
        <v>555472289.60000002</v>
      </c>
      <c r="BS4" s="26">
        <f>股权价值增加表!BS5</f>
        <v>954991664.87</v>
      </c>
      <c r="BT4" s="26">
        <f>股权价值增加表!BT5</f>
        <v>383723432.27999997</v>
      </c>
      <c r="BU4" s="26">
        <f>股权价值增加表!BU5</f>
        <v>550899618.62</v>
      </c>
      <c r="BV4" s="26">
        <f>股权价值增加表!BV5</f>
        <v>267579038.37</v>
      </c>
      <c r="BW4" s="26">
        <f>股权价值增加表!BW5</f>
        <v>454870147.83999997</v>
      </c>
      <c r="BX4" s="26">
        <f>股权价值增加表!BX5</f>
        <v>188374809.66999999</v>
      </c>
      <c r="BY4" s="26">
        <f>股权价值增加表!BY5</f>
        <v>350700596.99000001</v>
      </c>
      <c r="BZ4" s="26">
        <f>股权价值增加表!BZ5</f>
        <v>0</v>
      </c>
      <c r="CA4" s="26">
        <f>股权价值增加表!CA5</f>
        <v>369063910</v>
      </c>
      <c r="CB4" s="26">
        <f>股权价值增加表!CB5</f>
        <v>225141238</v>
      </c>
      <c r="CC4" s="26">
        <f>股权价值增加表!CC5</f>
        <v>121860020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0.73682126588621399</v>
      </c>
      <c r="F5" s="66">
        <f t="shared" si="2"/>
        <v>0.74342874386225954</v>
      </c>
      <c r="G5" s="66">
        <f t="shared" si="2"/>
        <v>0.75064694897996431</v>
      </c>
      <c r="H5" s="66">
        <f t="shared" si="2"/>
        <v>0.75976886120971021</v>
      </c>
      <c r="I5" s="66">
        <f t="shared" si="2"/>
        <v>0.72178521449011235</v>
      </c>
      <c r="J5" s="66">
        <f t="shared" si="2"/>
        <v>0.74301320846962704</v>
      </c>
      <c r="K5" s="66">
        <f t="shared" si="2"/>
        <v>0.75151674680565872</v>
      </c>
      <c r="L5" s="66">
        <f t="shared" si="2"/>
        <v>0.7584962947078191</v>
      </c>
      <c r="M5" s="66">
        <f t="shared" si="2"/>
        <v>0.74672367775608828</v>
      </c>
      <c r="N5" s="66">
        <f t="shared" si="2"/>
        <v>0.76115357439217846</v>
      </c>
      <c r="O5" s="66">
        <f t="shared" si="2"/>
        <v>0.76620418866161766</v>
      </c>
      <c r="P5" s="66">
        <f t="shared" si="2"/>
        <v>0.77060775464793929</v>
      </c>
      <c r="Q5" s="66">
        <f t="shared" si="2"/>
        <v>0.75719581031988936</v>
      </c>
      <c r="R5" s="66">
        <f t="shared" si="2"/>
        <v>0.8055236510656969</v>
      </c>
      <c r="S5" s="66">
        <f t="shared" si="2"/>
        <v>0.8036861867268692</v>
      </c>
      <c r="T5" s="66">
        <f t="shared" si="2"/>
        <v>0.80736690352429696</v>
      </c>
      <c r="U5" s="66">
        <f t="shared" si="2"/>
        <v>0.80539540680219923</v>
      </c>
      <c r="V5" s="66">
        <f t="shared" si="2"/>
        <v>0.8178305858204552</v>
      </c>
      <c r="W5" s="66">
        <f t="shared" si="2"/>
        <v>0.81687579020784074</v>
      </c>
      <c r="X5" s="66">
        <f t="shared" si="2"/>
        <v>0.8183482509194977</v>
      </c>
      <c r="Y5" s="66">
        <f t="shared" si="2"/>
        <v>0.80034860418687948</v>
      </c>
      <c r="Z5" s="66">
        <f t="shared" si="2"/>
        <v>0.81085215158938184</v>
      </c>
      <c r="AA5" s="66">
        <f t="shared" si="2"/>
        <v>0.81249468678590053</v>
      </c>
      <c r="AB5" s="66">
        <f t="shared" si="2"/>
        <v>0.81626711882496661</v>
      </c>
      <c r="AC5" s="66">
        <f t="shared" si="2"/>
        <v>0.81800386599096597</v>
      </c>
      <c r="AD5" s="66">
        <f t="shared" si="2"/>
        <v>0.82671934356455024</v>
      </c>
      <c r="AE5" s="66">
        <f t="shared" si="2"/>
        <v>0.82829372781860189</v>
      </c>
      <c r="AF5" s="66">
        <f t="shared" si="2"/>
        <v>0.82839569408685987</v>
      </c>
      <c r="AG5" s="66">
        <f t="shared" si="2"/>
        <v>0.82668201294219334</v>
      </c>
      <c r="AH5" s="66">
        <f t="shared" si="2"/>
        <v>0.82834698086137692</v>
      </c>
      <c r="AI5" s="66">
        <f t="shared" si="2"/>
        <v>0.82972775683994904</v>
      </c>
      <c r="AJ5" s="66">
        <f t="shared" si="2"/>
        <v>0.82622255965154046</v>
      </c>
      <c r="AK5" s="66">
        <f t="shared" ref="AK5:BP5" si="3">AK4/AK2</f>
        <v>0.82664257182193901</v>
      </c>
      <c r="AL5" s="66">
        <f t="shared" si="3"/>
        <v>0.83297377133079187</v>
      </c>
      <c r="AM5" s="66">
        <f t="shared" si="3"/>
        <v>0.83536306821100459</v>
      </c>
      <c r="AN5" s="66">
        <f t="shared" si="3"/>
        <v>0.81934120961440404</v>
      </c>
      <c r="AO5" s="66">
        <f t="shared" si="3"/>
        <v>0.84264491045304402</v>
      </c>
      <c r="AP5" s="66">
        <f t="shared" si="3"/>
        <v>0.85819185708800616</v>
      </c>
      <c r="AQ5" s="66">
        <f t="shared" si="3"/>
        <v>0.85379347347165668</v>
      </c>
      <c r="AR5" s="66">
        <f t="shared" si="3"/>
        <v>0.83566878381780552</v>
      </c>
      <c r="AS5" s="66">
        <f t="shared" si="3"/>
        <v>0.81497096797503965</v>
      </c>
      <c r="AT5" s="66">
        <f t="shared" si="3"/>
        <v>0.84243803744966805</v>
      </c>
      <c r="AU5" s="66">
        <f t="shared" si="3"/>
        <v>0.83555838247327163</v>
      </c>
      <c r="AV5" s="66">
        <f t="shared" si="3"/>
        <v>0.82901229656677089</v>
      </c>
      <c r="AW5" s="66">
        <f t="shared" si="3"/>
        <v>0.81622739389538412</v>
      </c>
      <c r="AX5" s="66">
        <f t="shared" si="3"/>
        <v>0.82822668299759561</v>
      </c>
      <c r="AY5" s="66">
        <f t="shared" si="3"/>
        <v>0.82558968688992918</v>
      </c>
      <c r="AZ5" s="66">
        <f t="shared" si="3"/>
        <v>0.82487416343854636</v>
      </c>
      <c r="BA5" s="66">
        <f t="shared" si="3"/>
        <v>0.81512651426301197</v>
      </c>
      <c r="BB5" s="66">
        <f t="shared" si="3"/>
        <v>0.82458783263964597</v>
      </c>
      <c r="BC5" s="66">
        <f t="shared" si="3"/>
        <v>0.82988482955657084</v>
      </c>
      <c r="BD5" s="66">
        <f t="shared" si="3"/>
        <v>0.82646469697942782</v>
      </c>
      <c r="BE5" s="66">
        <f t="shared" si="3"/>
        <v>0.82970392111847135</v>
      </c>
      <c r="BF5" s="66">
        <f t="shared" si="3"/>
        <v>0.822745138009772</v>
      </c>
      <c r="BG5" s="66">
        <f t="shared" si="3"/>
        <v>0.82838524041298067</v>
      </c>
      <c r="BH5" s="66">
        <f t="shared" si="3"/>
        <v>0.7857502947082281</v>
      </c>
      <c r="BI5" s="66">
        <f t="shared" si="3"/>
        <v>0.8171371424848759</v>
      </c>
      <c r="BJ5" s="66">
        <f t="shared" si="3"/>
        <v>0.79228959347414807</v>
      </c>
      <c r="BK5" s="66">
        <f t="shared" si="3"/>
        <v>0.78982662483241051</v>
      </c>
      <c r="BL5" s="66">
        <f t="shared" si="3"/>
        <v>0.78105361680575969</v>
      </c>
      <c r="BM5" s="66">
        <f t="shared" si="3"/>
        <v>0.81391230642794643</v>
      </c>
      <c r="BN5" s="66">
        <f t="shared" si="3"/>
        <v>0.80142602952038999</v>
      </c>
      <c r="BO5" s="66">
        <f t="shared" si="3"/>
        <v>0.79937324332802173</v>
      </c>
      <c r="BP5" s="66">
        <f t="shared" si="3"/>
        <v>0.7843406689503849</v>
      </c>
      <c r="BQ5" s="66">
        <f t="shared" ref="BQ5:CK5" si="4">BQ4/BQ2</f>
        <v>0.79219335853465223</v>
      </c>
      <c r="BR5" s="66">
        <f t="shared" si="4"/>
        <v>0.7914620963041914</v>
      </c>
      <c r="BS5" s="66">
        <f t="shared" si="4"/>
        <v>0.79651115512067328</v>
      </c>
      <c r="BT5" s="66">
        <f t="shared" si="4"/>
        <v>0.81677030850686838</v>
      </c>
      <c r="BU5" s="66">
        <f t="shared" si="4"/>
        <v>0.78687653996367091</v>
      </c>
      <c r="BV5" s="66">
        <f t="shared" si="4"/>
        <v>0.83855272986570573</v>
      </c>
      <c r="BW5" s="66">
        <f t="shared" si="4"/>
        <v>0.80448728260879843</v>
      </c>
      <c r="BX5" s="66">
        <f t="shared" si="4"/>
        <v>0.83151291773217817</v>
      </c>
      <c r="BY5" s="66">
        <f t="shared" si="4"/>
        <v>0.80312178371355936</v>
      </c>
      <c r="BZ5" s="66">
        <f t="shared" si="4"/>
        <v>0</v>
      </c>
      <c r="CA5" s="66">
        <f t="shared" si="4"/>
        <v>0.84056019507075952</v>
      </c>
      <c r="CB5" s="66">
        <f t="shared" si="4"/>
        <v>0.82097164285677848</v>
      </c>
      <c r="CC5" s="66">
        <f t="shared" si="4"/>
        <v>0.88542274126196308</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-5.4013890227355248E-2</v>
      </c>
      <c r="F6" s="66">
        <f t="shared" ref="F6:BQ6" si="5">(F4-J4)/J4</f>
        <v>-0.12251488501823912</v>
      </c>
      <c r="G6" s="66">
        <f t="shared" si="5"/>
        <v>-0.29889934418051339</v>
      </c>
      <c r="H6" s="66">
        <f t="shared" si="5"/>
        <v>-0.24417617623800852</v>
      </c>
      <c r="I6" s="66">
        <f t="shared" si="5"/>
        <v>0.11029055538068351</v>
      </c>
      <c r="J6" s="66">
        <f t="shared" si="5"/>
        <v>0.11695738144438188</v>
      </c>
      <c r="K6" s="66">
        <f t="shared" si="5"/>
        <v>0.25286254268729647</v>
      </c>
      <c r="L6" s="66">
        <f t="shared" si="5"/>
        <v>0.18086342320670434</v>
      </c>
      <c r="M6" s="66">
        <f t="shared" si="5"/>
        <v>0.1963178029525674</v>
      </c>
      <c r="N6" s="66">
        <f t="shared" si="5"/>
        <v>0.19222852536247306</v>
      </c>
      <c r="O6" s="66">
        <f t="shared" si="5"/>
        <v>6.0089731377785255E-2</v>
      </c>
      <c r="P6" s="66">
        <f t="shared" si="5"/>
        <v>-7.2155971816554212E-2</v>
      </c>
      <c r="Q6" s="66">
        <f t="shared" si="5"/>
        <v>9.4811110354196287E-2</v>
      </c>
      <c r="R6" s="66">
        <f t="shared" si="5"/>
        <v>8.1008186657925738E-2</v>
      </c>
      <c r="S6" s="66">
        <f t="shared" si="5"/>
        <v>-4.8956337107922979E-2</v>
      </c>
      <c r="T6" s="66">
        <f t="shared" si="5"/>
        <v>-8.6762938344661514E-5</v>
      </c>
      <c r="U6" s="66">
        <f t="shared" si="5"/>
        <v>0.12496221514851341</v>
      </c>
      <c r="V6" s="66">
        <f t="shared" si="5"/>
        <v>3.5918716850143854E-2</v>
      </c>
      <c r="W6" s="66">
        <f t="shared" si="5"/>
        <v>0.17111513739995096</v>
      </c>
      <c r="X6" s="66">
        <f t="shared" si="5"/>
        <v>9.5494454330753251E-2</v>
      </c>
      <c r="Y6" s="66">
        <f t="shared" si="5"/>
        <v>0.1420376897139059</v>
      </c>
      <c r="Z6" s="66">
        <f t="shared" si="5"/>
        <v>0.1856599048987668</v>
      </c>
      <c r="AA6" s="66">
        <f t="shared" si="5"/>
        <v>0.27041766289149777</v>
      </c>
      <c r="AB6" s="66">
        <f t="shared" si="5"/>
        <v>0.32675981966135786</v>
      </c>
      <c r="AC6" s="66">
        <f t="shared" si="5"/>
        <v>0.24303014630636396</v>
      </c>
      <c r="AD6" s="66">
        <f t="shared" si="5"/>
        <v>0.2031668694877746</v>
      </c>
      <c r="AE6" s="66">
        <f t="shared" si="5"/>
        <v>0.1573354377287545</v>
      </c>
      <c r="AF6" s="66">
        <f t="shared" si="5"/>
        <v>0.25384577055247398</v>
      </c>
      <c r="AG6" s="66">
        <f t="shared" si="5"/>
        <v>0.53490728110089136</v>
      </c>
      <c r="AH6" s="66">
        <f t="shared" si="5"/>
        <v>0.55701472357997495</v>
      </c>
      <c r="AI6" s="66">
        <f t="shared" si="5"/>
        <v>0.54702831744587943</v>
      </c>
      <c r="AJ6" s="66">
        <f t="shared" si="5"/>
        <v>0.79787190458348878</v>
      </c>
      <c r="AK6" s="66">
        <f t="shared" si="5"/>
        <v>3.3505272769900854E-2</v>
      </c>
      <c r="AL6" s="66">
        <f t="shared" si="5"/>
        <v>-4.1913649448304419E-2</v>
      </c>
      <c r="AM6" s="66">
        <f t="shared" si="5"/>
        <v>-0.18701499759192902</v>
      </c>
      <c r="AN6" s="66">
        <f t="shared" si="5"/>
        <v>-0.25013746112694496</v>
      </c>
      <c r="AO6" s="66">
        <f t="shared" si="5"/>
        <v>9.3639721809074747E-2</v>
      </c>
      <c r="AP6" s="66">
        <f t="shared" si="5"/>
        <v>0.25634966320491459</v>
      </c>
      <c r="AQ6" s="66">
        <f t="shared" si="5"/>
        <v>0.54443977789448206</v>
      </c>
      <c r="AR6" s="66">
        <f t="shared" si="5"/>
        <v>0.42960170655595203</v>
      </c>
      <c r="AS6" s="66">
        <f t="shared" si="5"/>
        <v>0.58817862708846969</v>
      </c>
      <c r="AT6" s="66">
        <f t="shared" si="5"/>
        <v>0.51742876078828859</v>
      </c>
      <c r="AU6" s="66">
        <f t="shared" si="5"/>
        <v>0.40190203266566082</v>
      </c>
      <c r="AV6" s="66">
        <f t="shared" si="5"/>
        <v>0.38023666770383763</v>
      </c>
      <c r="AW6" s="66">
        <f t="shared" si="5"/>
        <v>8.4074718600305576E-2</v>
      </c>
      <c r="AX6" s="66">
        <f t="shared" si="5"/>
        <v>9.568659799615277E-2</v>
      </c>
      <c r="AY6" s="66">
        <f t="shared" si="5"/>
        <v>0.19379352965567892</v>
      </c>
      <c r="AZ6" s="66">
        <f t="shared" si="5"/>
        <v>0.19812655412419411</v>
      </c>
      <c r="BA6" s="66">
        <f t="shared" si="5"/>
        <v>0.13849818076856377</v>
      </c>
      <c r="BB6" s="66">
        <f t="shared" si="5"/>
        <v>6.8270147596355996E-2</v>
      </c>
      <c r="BC6" s="66">
        <f t="shared" si="5"/>
        <v>0.14505752694266416</v>
      </c>
      <c r="BD6" s="66">
        <f t="shared" si="5"/>
        <v>0.3576034094580855</v>
      </c>
      <c r="BE6" s="66">
        <f t="shared" si="5"/>
        <v>0.23240738339817621</v>
      </c>
      <c r="BF6" s="66">
        <f t="shared" si="5"/>
        <v>0.47367123696985935</v>
      </c>
      <c r="BG6" s="66">
        <f t="shared" si="5"/>
        <v>0.29729859617760784</v>
      </c>
      <c r="BH6" s="66">
        <f t="shared" si="5"/>
        <v>-0.22912674404870384</v>
      </c>
      <c r="BI6" s="66">
        <f t="shared" si="5"/>
        <v>0.21656647627459388</v>
      </c>
      <c r="BJ6" s="66">
        <f t="shared" si="5"/>
        <v>4.3617098874297711E-2</v>
      </c>
      <c r="BK6" s="66">
        <f t="shared" si="5"/>
        <v>0.18896945168705975</v>
      </c>
      <c r="BL6" s="66">
        <f t="shared" si="5"/>
        <v>1.0416597165197663</v>
      </c>
      <c r="BM6" s="66">
        <f t="shared" si="5"/>
        <v>0.74652519215266433</v>
      </c>
      <c r="BN6" s="66">
        <f t="shared" si="5"/>
        <v>1.6601951169950855</v>
      </c>
      <c r="BO6" s="66">
        <f t="shared" si="5"/>
        <v>-0.16389652381029579</v>
      </c>
      <c r="BP6" s="66">
        <f t="shared" si="5"/>
        <v>-0.25467446884685196</v>
      </c>
      <c r="BQ6" s="66">
        <f t="shared" si="5"/>
        <v>1.271342197285328</v>
      </c>
      <c r="BR6" s="66">
        <f t="shared" ref="BR6:CJ6" si="6">(BR4-BV4)/BV4</f>
        <v>1.0759185509588018</v>
      </c>
      <c r="BS6" s="66">
        <f t="shared" si="6"/>
        <v>1.0994819497495738</v>
      </c>
      <c r="BT6" s="66">
        <f t="shared" si="6"/>
        <v>1.0370209421961296</v>
      </c>
      <c r="BU6" s="66">
        <f t="shared" si="6"/>
        <v>0.57085452191491004</v>
      </c>
      <c r="BV6" s="66" t="e">
        <f t="shared" si="6"/>
        <v>#DIV/0!</v>
      </c>
      <c r="BW6" s="66">
        <f t="shared" si="6"/>
        <v>0.23249696194894801</v>
      </c>
      <c r="BX6" s="66">
        <f t="shared" si="6"/>
        <v>-0.16330383832214698</v>
      </c>
      <c r="BY6" s="66">
        <f t="shared" si="6"/>
        <v>1.8778970903664713</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8743310421.2000008</v>
      </c>
      <c r="F7" s="27">
        <f>股权价值增加表!F6</f>
        <v>4873562266.7600002</v>
      </c>
      <c r="G7" s="27">
        <f>股权价值增加表!G6</f>
        <v>2322241793.7600002</v>
      </c>
      <c r="H7" s="27">
        <f>股权价值增加表!H6</f>
        <v>929324226.17999983</v>
      </c>
      <c r="I7" s="27">
        <f>股权价值增加表!I6</f>
        <v>9974123043.3500023</v>
      </c>
      <c r="J7" s="27">
        <f>股权价值增加表!J6</f>
        <v>5566117592.6800003</v>
      </c>
      <c r="K7" s="27">
        <f>股权价值增加表!K6</f>
        <v>3296905979.3999996</v>
      </c>
      <c r="L7" s="27">
        <f>股权价值增加表!L6</f>
        <v>1238138439.0199995</v>
      </c>
      <c r="M7" s="27">
        <f>股权价值增加表!M6</f>
        <v>7904975343.3899994</v>
      </c>
      <c r="N7" s="27">
        <f>股权价值增加表!N6</f>
        <v>4521140066.6200008</v>
      </c>
      <c r="O7" s="27">
        <f>股权价值增加表!O6</f>
        <v>2428493133.5200005</v>
      </c>
      <c r="P7" s="27">
        <f>股权价值增加表!P6</f>
        <v>980267397.46000004</v>
      </c>
      <c r="Q7" s="27">
        <f>股权价值增加表!Q6</f>
        <v>6246938915.1399994</v>
      </c>
      <c r="R7" s="27">
        <f>股权价值增加表!R6</f>
        <v>2917631870.5799999</v>
      </c>
      <c r="S7" s="27">
        <f>股权价值增加表!S6</f>
        <v>1833860950.4499998</v>
      </c>
      <c r="T7" s="27">
        <f>股权价值增加表!T6</f>
        <v>846806509.59000015</v>
      </c>
      <c r="U7" s="27">
        <f>股权价值增加表!U6</f>
        <v>4299560132.0400009</v>
      </c>
      <c r="V7" s="27">
        <f>股权价值增加表!V6</f>
        <v>2490147819.1900005</v>
      </c>
      <c r="W7" s="27">
        <f>股权价值增加表!W6</f>
        <v>1769666095.3399992</v>
      </c>
      <c r="X7" s="27">
        <f>股权价值增加表!X6</f>
        <v>787885906.87000036</v>
      </c>
      <c r="Y7" s="27">
        <f>股权价值增加表!Y6</f>
        <v>3945802215.1800003</v>
      </c>
      <c r="Z7" s="27">
        <f>股权价值增加表!Z6</f>
        <v>2517370086.5999985</v>
      </c>
      <c r="AA7" s="27">
        <f>股权价值增加表!AA6</f>
        <v>1555589654.3900003</v>
      </c>
      <c r="AB7" s="27">
        <f>股权价值增加表!AB6</f>
        <v>729300155.82999992</v>
      </c>
      <c r="AC7" s="27">
        <f>股权价值增加表!AC6</f>
        <v>3081545063.3299999</v>
      </c>
      <c r="AD7" s="27">
        <f>股权价值增加表!AD6</f>
        <v>1907740004.0200005</v>
      </c>
      <c r="AE7" s="27">
        <f>股权价值增加表!AE6</f>
        <v>1099910279.6099997</v>
      </c>
      <c r="AF7" s="27">
        <f>股权价值增加表!AF6</f>
        <v>505882622.13999987</v>
      </c>
      <c r="AG7" s="27">
        <f>股权价值增加表!AG6</f>
        <v>2336066509.4399986</v>
      </c>
      <c r="AH7" s="27">
        <f>股权价值增加表!AH6</f>
        <v>1567618895.4800005</v>
      </c>
      <c r="AI7" s="27">
        <f>股权价值增加表!AI6</f>
        <v>940815494.43000031</v>
      </c>
      <c r="AJ7" s="27">
        <f>股权价值增加表!AJ6</f>
        <v>409648756.05000019</v>
      </c>
      <c r="AK7" s="27">
        <f>股权价值增加表!AK6</f>
        <v>1522378341.75</v>
      </c>
      <c r="AL7" s="27">
        <f>股权价值增加表!AL6</f>
        <v>974231047.97000027</v>
      </c>
      <c r="AM7" s="27">
        <f>股权价值增加表!AM6</f>
        <v>584049897.67999983</v>
      </c>
      <c r="AN7" s="27">
        <f>股权价值增加表!AN6</f>
        <v>238864080.5</v>
      </c>
      <c r="AO7" s="27">
        <f>股权价值增加表!AO6</f>
        <v>1311660392.7699995</v>
      </c>
      <c r="AP7" s="27">
        <f>股权价值增加表!AP6</f>
        <v>837955092.55000019</v>
      </c>
      <c r="AQ7" s="27">
        <f>股权价值增加表!AQ6</f>
        <v>624208034.23000002</v>
      </c>
      <c r="AR7" s="27">
        <f>股权价值增加表!AR6</f>
        <v>284093161.37999988</v>
      </c>
      <c r="AS7" s="27">
        <f>股权价值增加表!AS6</f>
        <v>1458171733.8800001</v>
      </c>
      <c r="AT7" s="27">
        <f>股权价值增加表!AT6</f>
        <v>754930289.69000006</v>
      </c>
      <c r="AU7" s="27">
        <f>股权价值增加表!AU6</f>
        <v>464493227.5999999</v>
      </c>
      <c r="AV7" s="27">
        <f>股权价值增加表!AV6</f>
        <v>208431684.63</v>
      </c>
      <c r="AW7" s="27">
        <f>股权价值增加表!AW6</f>
        <v>910502614.38000011</v>
      </c>
      <c r="AX7" s="27">
        <f>股权价值增加表!AX6</f>
        <v>551685550.9000001</v>
      </c>
      <c r="AY7" s="27">
        <f>股权价值增加表!AY6</f>
        <v>355659721.30000019</v>
      </c>
      <c r="AZ7" s="27">
        <f>股权价值增加表!AZ6</f>
        <v>155442149.43000007</v>
      </c>
      <c r="BA7" s="27">
        <f>股权价值增加表!BA6</f>
        <v>846061596.71999931</v>
      </c>
      <c r="BB7" s="27">
        <f>股权价值增加表!BB6</f>
        <v>516442016.76000023</v>
      </c>
      <c r="BC7" s="27">
        <f>股权价值增加表!BC6</f>
        <v>289083150.76999998</v>
      </c>
      <c r="BD7" s="27">
        <f>股权价值增加表!BD6</f>
        <v>128311951.08999991</v>
      </c>
      <c r="BE7" s="27">
        <f>股权价值增加表!BE6</f>
        <v>672514322</v>
      </c>
      <c r="BF7" s="27">
        <f>股权价值增加表!BF6</f>
        <v>489610266.1500001</v>
      </c>
      <c r="BG7" s="27">
        <f>股权价值增加表!BG6</f>
        <v>255148217.48000002</v>
      </c>
      <c r="BH7" s="27">
        <f>股权价值增加表!BH6</f>
        <v>122734409.68000001</v>
      </c>
      <c r="BI7" s="27">
        <f>股权价值增加表!BI6</f>
        <v>594971675.17000008</v>
      </c>
      <c r="BJ7" s="27">
        <f>股权价值增加表!BJ6</f>
        <v>404288493.16000009</v>
      </c>
      <c r="BK7" s="27">
        <f>股权价值增加表!BK6</f>
        <v>252624947.09000015</v>
      </c>
      <c r="BL7" s="27">
        <f>股权价值增加表!BL6</f>
        <v>163683388.18999994</v>
      </c>
      <c r="BM7" s="27">
        <f>股权价值增加表!BM6</f>
        <v>499654649.96000004</v>
      </c>
      <c r="BN7" s="27">
        <f>股权价值增加表!BN6</f>
        <v>366129536.88999987</v>
      </c>
      <c r="BO7" s="27">
        <f>股权价值增加表!BO6</f>
        <v>200400525.09000003</v>
      </c>
      <c r="BP7" s="27">
        <f>股权价值增加表!BP6</f>
        <v>78637163.209999979</v>
      </c>
      <c r="BQ7" s="27">
        <f>股权价值增加表!BQ6</f>
        <v>328233774.8499999</v>
      </c>
      <c r="BR7" s="27">
        <f>股权价值增加表!BR6</f>
        <v>146358274.61000001</v>
      </c>
      <c r="BS7" s="27">
        <f>股权价值增加表!BS6</f>
        <v>243976684.44999993</v>
      </c>
      <c r="BT7" s="27">
        <f>股权价值增加表!BT6</f>
        <v>86082372.710000038</v>
      </c>
      <c r="BU7" s="27">
        <f>股权价值增加表!BU6</f>
        <v>149209725.90999997</v>
      </c>
      <c r="BV7" s="27">
        <f>股权价值增加表!BV6</f>
        <v>51517219.790000021</v>
      </c>
      <c r="BW7" s="27">
        <f>股权价值增加表!BW6</f>
        <v>110546059.06999999</v>
      </c>
      <c r="BX7" s="27">
        <f>股权价值增加表!BX6</f>
        <v>38169848.450000018</v>
      </c>
      <c r="BY7" s="27">
        <f>股权价值增加表!BY6</f>
        <v>85971155.789999962</v>
      </c>
      <c r="BZ7" s="27">
        <f>股权价值增加表!BZ6</f>
        <v>157092838.58000001</v>
      </c>
      <c r="CA7" s="27">
        <f>股权价值增加表!CA6</f>
        <v>70005073</v>
      </c>
      <c r="CB7" s="27">
        <f>股权价值增加表!CB6</f>
        <v>49096295</v>
      </c>
      <c r="CC7" s="27">
        <f>股权价值增加表!CC6</f>
        <v>15769176</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0.26317873411378601</v>
      </c>
      <c r="F8" s="66">
        <f t="shared" ref="F8:BQ8" si="7">F7/F2</f>
        <v>0.25657125613774051</v>
      </c>
      <c r="G8" s="66">
        <f t="shared" si="7"/>
        <v>0.24935305102003569</v>
      </c>
      <c r="H8" s="66">
        <f t="shared" si="7"/>
        <v>0.24023113879028979</v>
      </c>
      <c r="I8" s="66">
        <f t="shared" si="7"/>
        <v>0.2782147855098876</v>
      </c>
      <c r="J8" s="66">
        <f t="shared" si="7"/>
        <v>0.25698679153037296</v>
      </c>
      <c r="K8" s="66">
        <f t="shared" si="7"/>
        <v>0.24848325319434134</v>
      </c>
      <c r="L8" s="66">
        <f t="shared" si="7"/>
        <v>0.24150370529218096</v>
      </c>
      <c r="M8" s="66">
        <f t="shared" si="7"/>
        <v>0.25327632224391172</v>
      </c>
      <c r="N8" s="66">
        <f t="shared" si="7"/>
        <v>0.2388464256078216</v>
      </c>
      <c r="O8" s="66">
        <f t="shared" si="7"/>
        <v>0.2337958113383824</v>
      </c>
      <c r="P8" s="66">
        <f t="shared" si="7"/>
        <v>0.22939224535206071</v>
      </c>
      <c r="Q8" s="66">
        <f t="shared" si="7"/>
        <v>0.24280418968011067</v>
      </c>
      <c r="R8" s="66">
        <f t="shared" si="7"/>
        <v>0.1944763489343031</v>
      </c>
      <c r="S8" s="66">
        <f t="shared" si="7"/>
        <v>0.1963138132731308</v>
      </c>
      <c r="T8" s="66">
        <f t="shared" si="7"/>
        <v>0.19263309647570304</v>
      </c>
      <c r="U8" s="66">
        <f t="shared" si="7"/>
        <v>0.19460459319780077</v>
      </c>
      <c r="V8" s="66">
        <f t="shared" si="7"/>
        <v>0.1821694141795448</v>
      </c>
      <c r="W8" s="66">
        <f t="shared" si="7"/>
        <v>0.18312420979215924</v>
      </c>
      <c r="X8" s="66">
        <f t="shared" si="7"/>
        <v>0.1816517490805023</v>
      </c>
      <c r="Y8" s="66">
        <f t="shared" si="7"/>
        <v>0.19965139581312052</v>
      </c>
      <c r="Z8" s="66">
        <f t="shared" si="7"/>
        <v>0.18914784841061816</v>
      </c>
      <c r="AA8" s="66">
        <f t="shared" si="7"/>
        <v>0.18750531321409947</v>
      </c>
      <c r="AB8" s="66">
        <f t="shared" si="7"/>
        <v>0.18373288117503339</v>
      </c>
      <c r="AC8" s="66">
        <f t="shared" si="7"/>
        <v>0.18199613400903403</v>
      </c>
      <c r="AD8" s="66">
        <f t="shared" si="7"/>
        <v>0.17328065643544974</v>
      </c>
      <c r="AE8" s="66">
        <f t="shared" si="7"/>
        <v>0.17170627218139806</v>
      </c>
      <c r="AF8" s="66">
        <f t="shared" si="7"/>
        <v>0.17160430591314013</v>
      </c>
      <c r="AG8" s="66">
        <f t="shared" si="7"/>
        <v>0.17331798705780671</v>
      </c>
      <c r="AH8" s="66">
        <f t="shared" si="7"/>
        <v>0.1716530191386231</v>
      </c>
      <c r="AI8" s="66">
        <f t="shared" si="7"/>
        <v>0.17027224316005093</v>
      </c>
      <c r="AJ8" s="66">
        <f t="shared" si="7"/>
        <v>0.17377744034845949</v>
      </c>
      <c r="AK8" s="66">
        <f t="shared" si="7"/>
        <v>0.17335742817806099</v>
      </c>
      <c r="AL8" s="66">
        <f t="shared" si="7"/>
        <v>0.1670262286692081</v>
      </c>
      <c r="AM8" s="66">
        <f t="shared" si="7"/>
        <v>0.16463693178899536</v>
      </c>
      <c r="AN8" s="66">
        <f t="shared" si="7"/>
        <v>0.18065879038559596</v>
      </c>
      <c r="AO8" s="66">
        <f t="shared" si="7"/>
        <v>0.15735508954695601</v>
      </c>
      <c r="AP8" s="66">
        <f t="shared" si="7"/>
        <v>0.14180814291199384</v>
      </c>
      <c r="AQ8" s="66">
        <f t="shared" si="7"/>
        <v>0.14620652652834326</v>
      </c>
      <c r="AR8" s="66">
        <f t="shared" si="7"/>
        <v>0.16433121618219448</v>
      </c>
      <c r="AS8" s="66">
        <f t="shared" si="7"/>
        <v>0.18502903202496038</v>
      </c>
      <c r="AT8" s="66">
        <f t="shared" si="7"/>
        <v>0.157561962550332</v>
      </c>
      <c r="AU8" s="66">
        <f t="shared" si="7"/>
        <v>0.16444161752672831</v>
      </c>
      <c r="AV8" s="66">
        <f t="shared" si="7"/>
        <v>0.17098770343322914</v>
      </c>
      <c r="AW8" s="66">
        <f t="shared" si="7"/>
        <v>0.18377260610461582</v>
      </c>
      <c r="AX8" s="66">
        <f t="shared" si="7"/>
        <v>0.17177331700240442</v>
      </c>
      <c r="AY8" s="66">
        <f t="shared" si="7"/>
        <v>0.17441031311007077</v>
      </c>
      <c r="AZ8" s="66">
        <f t="shared" si="7"/>
        <v>0.17512583656145364</v>
      </c>
      <c r="BA8" s="66">
        <f t="shared" si="7"/>
        <v>0.18487348573698803</v>
      </c>
      <c r="BB8" s="66">
        <f t="shared" si="7"/>
        <v>0.175412167360354</v>
      </c>
      <c r="BC8" s="66">
        <f t="shared" si="7"/>
        <v>0.17011517044342914</v>
      </c>
      <c r="BD8" s="66">
        <f t="shared" si="7"/>
        <v>0.17353530302057216</v>
      </c>
      <c r="BE8" s="66">
        <f t="shared" si="7"/>
        <v>0.17029607888152865</v>
      </c>
      <c r="BF8" s="66">
        <f t="shared" si="7"/>
        <v>0.177254861990228</v>
      </c>
      <c r="BG8" s="66">
        <f t="shared" si="7"/>
        <v>0.17161475958701936</v>
      </c>
      <c r="BH8" s="66">
        <f t="shared" si="7"/>
        <v>0.21424970529177192</v>
      </c>
      <c r="BI8" s="66">
        <f t="shared" si="7"/>
        <v>0.18286285751512413</v>
      </c>
      <c r="BJ8" s="66">
        <f t="shared" si="7"/>
        <v>0.20771040652585199</v>
      </c>
      <c r="BK8" s="66">
        <f t="shared" si="7"/>
        <v>0.21017337516758947</v>
      </c>
      <c r="BL8" s="66">
        <f t="shared" si="7"/>
        <v>0.21894638319424034</v>
      </c>
      <c r="BM8" s="66">
        <f t="shared" si="7"/>
        <v>0.18608769357205354</v>
      </c>
      <c r="BN8" s="66">
        <f t="shared" si="7"/>
        <v>0.19857397047961003</v>
      </c>
      <c r="BO8" s="66">
        <f t="shared" si="7"/>
        <v>0.20062675667197832</v>
      </c>
      <c r="BP8" s="66">
        <f t="shared" si="7"/>
        <v>0.2156593310496151</v>
      </c>
      <c r="BQ8" s="66">
        <f t="shared" si="7"/>
        <v>0.2078066414653478</v>
      </c>
      <c r="BR8" s="66">
        <f t="shared" ref="BR8:CJ8" si="8">BR7/BR2</f>
        <v>0.20853790369580863</v>
      </c>
      <c r="BS8" s="66">
        <f t="shared" si="8"/>
        <v>0.20348884487932675</v>
      </c>
      <c r="BT8" s="66">
        <f t="shared" si="8"/>
        <v>0.18322969149313159</v>
      </c>
      <c r="BU8" s="66">
        <f t="shared" si="8"/>
        <v>0.21312346003632904</v>
      </c>
      <c r="BV8" s="66">
        <f t="shared" si="8"/>
        <v>0.16144727013429425</v>
      </c>
      <c r="BW8" s="66">
        <f t="shared" si="8"/>
        <v>0.1955127173912016</v>
      </c>
      <c r="BX8" s="66">
        <f t="shared" si="8"/>
        <v>0.16848708226782186</v>
      </c>
      <c r="BY8" s="66">
        <f t="shared" si="8"/>
        <v>0.19687821628644062</v>
      </c>
      <c r="BZ8" s="66">
        <f t="shared" si="8"/>
        <v>1</v>
      </c>
      <c r="CA8" s="66">
        <f t="shared" si="8"/>
        <v>0.15943980492924048</v>
      </c>
      <c r="CB8" s="66">
        <f t="shared" si="8"/>
        <v>0.17902835714322152</v>
      </c>
      <c r="CC8" s="66">
        <f t="shared" si="8"/>
        <v>0.11457725873803695</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-0.12340058537483305</v>
      </c>
      <c r="F9" s="66">
        <f t="shared" ref="F9:BQ9" si="9">(F7-J7)/J7</f>
        <v>-0.12442340902584943</v>
      </c>
      <c r="G9" s="66">
        <f t="shared" si="9"/>
        <v>-0.29562996085723303</v>
      </c>
      <c r="H9" s="66">
        <f t="shared" si="9"/>
        <v>-0.24941816125540017</v>
      </c>
      <c r="I9" s="66">
        <f t="shared" si="9"/>
        <v>0.26175258113742095</v>
      </c>
      <c r="J9" s="66">
        <f t="shared" si="9"/>
        <v>0.23113142054040001</v>
      </c>
      <c r="K9" s="66">
        <f t="shared" si="9"/>
        <v>0.3575932885679074</v>
      </c>
      <c r="L9" s="66">
        <f t="shared" si="9"/>
        <v>0.263061938230504</v>
      </c>
      <c r="M9" s="66">
        <f t="shared" si="9"/>
        <v>0.26541582217677917</v>
      </c>
      <c r="N9" s="66">
        <f t="shared" si="9"/>
        <v>0.54959236365938013</v>
      </c>
      <c r="O9" s="66">
        <f t="shared" si="9"/>
        <v>0.32425151041254657</v>
      </c>
      <c r="P9" s="66">
        <f t="shared" si="9"/>
        <v>0.15760493850551277</v>
      </c>
      <c r="Q9" s="66">
        <f t="shared" si="9"/>
        <v>0.45292511868557839</v>
      </c>
      <c r="R9" s="66">
        <f t="shared" si="9"/>
        <v>0.17167015070175717</v>
      </c>
      <c r="S9" s="66">
        <f t="shared" si="9"/>
        <v>3.6275122905412897E-2</v>
      </c>
      <c r="T9" s="66">
        <f t="shared" si="9"/>
        <v>7.4783166199876669E-2</v>
      </c>
      <c r="U9" s="66">
        <f t="shared" si="9"/>
        <v>8.965424457897285E-2</v>
      </c>
      <c r="V9" s="66">
        <f t="shared" si="9"/>
        <v>-1.0813772498093351E-2</v>
      </c>
      <c r="W9" s="66">
        <f t="shared" si="9"/>
        <v>0.13761755251190938</v>
      </c>
      <c r="X9" s="66">
        <f t="shared" si="9"/>
        <v>8.0331466504796403E-2</v>
      </c>
      <c r="Y9" s="66">
        <f t="shared" si="9"/>
        <v>0.28046227917759575</v>
      </c>
      <c r="Z9" s="66">
        <f t="shared" si="9"/>
        <v>0.31955616661357528</v>
      </c>
      <c r="AA9" s="66">
        <f t="shared" si="9"/>
        <v>0.41428776803647388</v>
      </c>
      <c r="AB9" s="66">
        <f t="shared" si="9"/>
        <v>0.44163907576997308</v>
      </c>
      <c r="AC9" s="66">
        <f t="shared" si="9"/>
        <v>0.31911700753276379</v>
      </c>
      <c r="AD9" s="66">
        <f t="shared" si="9"/>
        <v>0.21696670633448562</v>
      </c>
      <c r="AE9" s="66">
        <f t="shared" si="9"/>
        <v>0.16910306656502086</v>
      </c>
      <c r="AF9" s="66">
        <f t="shared" si="9"/>
        <v>0.23491799906321142</v>
      </c>
      <c r="AG9" s="66">
        <f t="shared" si="9"/>
        <v>0.53448485529204925</v>
      </c>
      <c r="AH9" s="66">
        <f t="shared" si="9"/>
        <v>0.60908328547569812</v>
      </c>
      <c r="AI9" s="66">
        <f t="shared" si="9"/>
        <v>0.6108478028455574</v>
      </c>
      <c r="AJ9" s="66">
        <f t="shared" si="9"/>
        <v>0.71498684604443985</v>
      </c>
      <c r="AK9" s="66">
        <f t="shared" si="9"/>
        <v>0.16064977652866433</v>
      </c>
      <c r="AL9" s="66">
        <f t="shared" si="9"/>
        <v>0.16262918697145884</v>
      </c>
      <c r="AM9" s="66">
        <f t="shared" si="9"/>
        <v>-6.4334539685215339E-2</v>
      </c>
      <c r="AN9" s="66">
        <f t="shared" si="9"/>
        <v>-0.15920510251037673</v>
      </c>
      <c r="AO9" s="66">
        <f t="shared" si="9"/>
        <v>-0.10047605347564481</v>
      </c>
      <c r="AP9" s="66">
        <f t="shared" si="9"/>
        <v>0.10997678062976242</v>
      </c>
      <c r="AQ9" s="66">
        <f t="shared" si="9"/>
        <v>0.34384743875650026</v>
      </c>
      <c r="AR9" s="66">
        <f t="shared" si="9"/>
        <v>0.363003719344836</v>
      </c>
      <c r="AS9" s="66">
        <f t="shared" si="9"/>
        <v>0.60150197358074708</v>
      </c>
      <c r="AT9" s="66">
        <f t="shared" si="9"/>
        <v>0.36840685506160847</v>
      </c>
      <c r="AU9" s="66">
        <f t="shared" si="9"/>
        <v>0.30600458748095988</v>
      </c>
      <c r="AV9" s="66">
        <f t="shared" si="9"/>
        <v>0.34089553827137853</v>
      </c>
      <c r="AW9" s="66">
        <f t="shared" si="9"/>
        <v>7.6165870085375467E-2</v>
      </c>
      <c r="AX9" s="66">
        <f t="shared" si="9"/>
        <v>6.8242964352720675E-2</v>
      </c>
      <c r="AY9" s="66">
        <f t="shared" si="9"/>
        <v>0.23030249377269929</v>
      </c>
      <c r="AZ9" s="66">
        <f t="shared" si="9"/>
        <v>0.21143937185532022</v>
      </c>
      <c r="BA9" s="66">
        <f t="shared" si="9"/>
        <v>0.25805736627866094</v>
      </c>
      <c r="BB9" s="66">
        <f t="shared" si="9"/>
        <v>5.4802263075463757E-2</v>
      </c>
      <c r="BC9" s="66">
        <f t="shared" si="9"/>
        <v>0.13300086367509104</v>
      </c>
      <c r="BD9" s="66">
        <f t="shared" si="9"/>
        <v>4.5443991009057556E-2</v>
      </c>
      <c r="BE9" s="66">
        <f t="shared" si="9"/>
        <v>0.13032998051183498</v>
      </c>
      <c r="BF9" s="66">
        <f t="shared" si="9"/>
        <v>0.21104180414116636</v>
      </c>
      <c r="BG9" s="66">
        <f t="shared" si="9"/>
        <v>9.9882074952040521E-3</v>
      </c>
      <c r="BH9" s="66">
        <f t="shared" si="9"/>
        <v>-0.25017186510378986</v>
      </c>
      <c r="BI9" s="66">
        <f t="shared" si="9"/>
        <v>0.19076581238187348</v>
      </c>
      <c r="BJ9" s="66">
        <f t="shared" si="9"/>
        <v>0.10422255629560069</v>
      </c>
      <c r="BK9" s="66">
        <f t="shared" si="9"/>
        <v>0.26060022535642602</v>
      </c>
      <c r="BL9" s="66">
        <f t="shared" si="9"/>
        <v>1.0815016909102459</v>
      </c>
      <c r="BM9" s="66">
        <f t="shared" si="9"/>
        <v>0.52225239522757227</v>
      </c>
      <c r="BN9" s="66">
        <f t="shared" si="9"/>
        <v>1.5015977939451868</v>
      </c>
      <c r="BO9" s="66">
        <f t="shared" si="9"/>
        <v>-0.17860788402069749</v>
      </c>
      <c r="BP9" s="66">
        <f t="shared" si="9"/>
        <v>-8.6489362056526617E-2</v>
      </c>
      <c r="BQ9" s="66">
        <f t="shared" si="9"/>
        <v>1.1998148770006005</v>
      </c>
      <c r="BR9" s="66">
        <f t="shared" ref="BR9:CK9" si="10">(BR7-BV7)/BV7</f>
        <v>1.840958328236679</v>
      </c>
      <c r="BS9" s="66">
        <f t="shared" si="10"/>
        <v>1.2070138592232309</v>
      </c>
      <c r="BT9" s="66">
        <f t="shared" si="10"/>
        <v>1.2552453364535168</v>
      </c>
      <c r="BU9" s="66">
        <f t="shared" si="10"/>
        <v>0.73557892224307886</v>
      </c>
      <c r="BV9" s="66">
        <f t="shared" si="10"/>
        <v>-0.67205876311309554</v>
      </c>
      <c r="BW9" s="66">
        <f t="shared" si="10"/>
        <v>0.57911497456762873</v>
      </c>
      <c r="BX9" s="66">
        <f t="shared" si="10"/>
        <v>-0.22255134628794254</v>
      </c>
      <c r="BY9" s="66">
        <f t="shared" si="10"/>
        <v>4.4518483267610156</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185639614.84</v>
      </c>
      <c r="F10" s="27">
        <f>股权价值增加表!F8</f>
        <v>128297438.25</v>
      </c>
      <c r="G10" s="27">
        <f>股权价值增加表!G8</f>
        <v>70517957.469999999</v>
      </c>
      <c r="H10" s="27">
        <f>股权价值增加表!H8</f>
        <v>29725850.300000001</v>
      </c>
      <c r="I10" s="27">
        <f>股权价值增加表!I8</f>
        <v>161368125.83000001</v>
      </c>
      <c r="J10" s="27">
        <f>股权价值增加表!J8</f>
        <v>80764424.370000005</v>
      </c>
      <c r="K10" s="27">
        <f>股权价值增加表!K8</f>
        <v>54553327.200000003</v>
      </c>
      <c r="L10" s="27">
        <f>股权价值增加表!L8</f>
        <v>18124933.739999998</v>
      </c>
      <c r="M10" s="27">
        <f>股权价值增加表!M8</f>
        <v>151755768.25</v>
      </c>
      <c r="N10" s="27">
        <f>股权价值增加表!N8</f>
        <v>121363808.81999999</v>
      </c>
      <c r="O10" s="27">
        <f>股权价值增加表!O8</f>
        <v>75151913.010000005</v>
      </c>
      <c r="P10" s="27">
        <f>股权价值增加表!P8</f>
        <v>14607386.41</v>
      </c>
      <c r="Q10" s="27">
        <f>股权价值增加表!Q8</f>
        <v>154579150.66999999</v>
      </c>
      <c r="R10" s="27">
        <f>股权价值增加表!R8</f>
        <v>93818123.319999993</v>
      </c>
      <c r="S10" s="27">
        <f>股权价值增加表!S8</f>
        <v>48617816</v>
      </c>
      <c r="T10" s="27">
        <f>股权价值增加表!T8</f>
        <v>14489892.67</v>
      </c>
      <c r="U10" s="27">
        <f>股权价值增加表!U8</f>
        <v>123587552.8</v>
      </c>
      <c r="V10" s="27">
        <f>股权价值增加表!V8</f>
        <v>65469458.539999999</v>
      </c>
      <c r="W10" s="27">
        <f>股权价值增加表!W8</f>
        <v>50885609.140000001</v>
      </c>
      <c r="X10" s="27">
        <f>股权价值增加表!X8</f>
        <v>10555770.99</v>
      </c>
      <c r="Y10" s="27">
        <f>股权价值增加表!Y8</f>
        <v>116779946.92</v>
      </c>
      <c r="Z10" s="27">
        <f>股权价值增加表!Z8</f>
        <v>75162927.530000001</v>
      </c>
      <c r="AA10" s="27">
        <f>股权价值增加表!AA8</f>
        <v>48269298.560000002</v>
      </c>
      <c r="AB10" s="27">
        <f>股权价值增加表!AB8</f>
        <v>16641759.460000001</v>
      </c>
      <c r="AC10" s="27">
        <f>股权价值增加表!AC8</f>
        <v>82419950.219999999</v>
      </c>
      <c r="AD10" s="27">
        <f>股权价值增加表!AD8</f>
        <v>51691894.829999998</v>
      </c>
      <c r="AE10" s="27">
        <f>股权价值增加表!AE8</f>
        <v>30965916.890000001</v>
      </c>
      <c r="AF10" s="27">
        <f>股权价值增加表!AF8</f>
        <v>18141306.559999999</v>
      </c>
      <c r="AG10" s="27">
        <f>股权价值增加表!AG8</f>
        <v>42289142.390000001</v>
      </c>
      <c r="AH10" s="27">
        <f>股权价值增加表!AH8</f>
        <v>29641626.420000002</v>
      </c>
      <c r="AI10" s="27">
        <f>股权价值增加表!AI8</f>
        <v>17449730.859999999</v>
      </c>
      <c r="AJ10" s="27">
        <f>股权价值增加表!AJ8</f>
        <v>8984216.3499999996</v>
      </c>
      <c r="AK10" s="27">
        <f>股权价值增加表!AK8</f>
        <v>38916368.479999997</v>
      </c>
      <c r="AL10" s="27">
        <f>股权价值增加表!AL8</f>
        <v>27959493</v>
      </c>
      <c r="AM10" s="27">
        <f>股权价值增加表!AM8</f>
        <v>17998343.210000001</v>
      </c>
      <c r="AN10" s="27">
        <f>股权价值增加表!AN8</f>
        <v>9292339.5299999993</v>
      </c>
      <c r="AO10" s="27">
        <f>股权价值增加表!AO8</f>
        <v>29973907.100000001</v>
      </c>
      <c r="AP10" s="27">
        <f>股权价值增加表!AP8</f>
        <v>18158860.969999999</v>
      </c>
      <c r="AQ10" s="27">
        <f>股权价值增加表!AQ8</f>
        <v>16801117.719999999</v>
      </c>
      <c r="AR10" s="27">
        <f>股权价值增加表!AR8</f>
        <v>7243207.25</v>
      </c>
      <c r="AS10" s="27">
        <f>股权价值增加表!AS8</f>
        <v>79172020.239999995</v>
      </c>
      <c r="AT10" s="27">
        <f>股权价值增加表!AT8</f>
        <v>17198553.170000002</v>
      </c>
      <c r="AU10" s="27">
        <f>股权价值增加表!AU8</f>
        <v>11824130.48</v>
      </c>
      <c r="AV10" s="27">
        <f>股权价值增加表!AV8</f>
        <v>6513616.3399999999</v>
      </c>
      <c r="AW10" s="27">
        <f>股权价值增加表!AW8</f>
        <v>37625834.859999999</v>
      </c>
      <c r="AX10" s="27">
        <f>股权价值增加表!AX8</f>
        <v>16027684.460000001</v>
      </c>
      <c r="AY10" s="27">
        <f>股权价值增加表!AY8</f>
        <v>10436146.32</v>
      </c>
      <c r="AZ10" s="27">
        <f>股权价值增加表!AZ8</f>
        <v>3713359.4</v>
      </c>
      <c r="BA10" s="27">
        <f>股权价值增加表!BA8</f>
        <v>20823501.93</v>
      </c>
      <c r="BB10" s="27">
        <f>股权价值增加表!BB8</f>
        <v>12541004.550000001</v>
      </c>
      <c r="BC10" s="27">
        <f>股权价值增加表!BC8</f>
        <v>8667088.5800000001</v>
      </c>
      <c r="BD10" s="27">
        <f>股权价值增加表!BD8</f>
        <v>5334592.7699999996</v>
      </c>
      <c r="BE10" s="27">
        <f>股权价值增加表!BE8</f>
        <v>13688847.07</v>
      </c>
      <c r="BF10" s="27">
        <f>股权价值增加表!BF8</f>
        <v>10872380.720000001</v>
      </c>
      <c r="BG10" s="27">
        <f>股权价值增加表!BG8</f>
        <v>5218882.84</v>
      </c>
      <c r="BH10" s="27">
        <f>股权价值增加表!BH8</f>
        <v>2867333.97</v>
      </c>
      <c r="BI10" s="27">
        <f>股权价值增加表!BI8</f>
        <v>12766571.560000001</v>
      </c>
      <c r="BJ10" s="27">
        <f>股权价值增加表!BJ8</f>
        <v>7756698.7800000003</v>
      </c>
      <c r="BK10" s="27">
        <f>股权价值增加表!BK8</f>
        <v>5220937.96</v>
      </c>
      <c r="BL10" s="27">
        <f>股权价值增加表!BL8</f>
        <v>5216740.7699999996</v>
      </c>
      <c r="BM10" s="27">
        <f>股权价值增加表!BM8</f>
        <v>8231378.9400000004</v>
      </c>
      <c r="BN10" s="27">
        <f>股权价值增加表!BN8</f>
        <v>6717289.6699999999</v>
      </c>
      <c r="BO10" s="27">
        <f>股权价值增加表!BO8</f>
        <v>3001526.26</v>
      </c>
      <c r="BP10" s="27">
        <f>股权价值增加表!BP8</f>
        <v>2352525.83</v>
      </c>
      <c r="BQ10" s="27">
        <f>股权价值增加表!BQ8</f>
        <v>7826994.4699999997</v>
      </c>
      <c r="BR10" s="27">
        <f>股权价值增加表!BR8</f>
        <v>3883780.13</v>
      </c>
      <c r="BS10" s="27">
        <f>股权价值增加表!BS8</f>
        <v>6746639.4900000002</v>
      </c>
      <c r="BT10" s="27">
        <f>股权价值增加表!BT8</f>
        <v>3543698.72</v>
      </c>
      <c r="BU10" s="27">
        <f>股权价值增加表!BU8</f>
        <v>2694070.68</v>
      </c>
      <c r="BV10" s="27">
        <f>股权价值增加表!BV8</f>
        <v>1625630.23</v>
      </c>
      <c r="BW10" s="27">
        <f>股权价值增加表!BW8</f>
        <v>1242815.3899999999</v>
      </c>
      <c r="BX10" s="27">
        <f>股权价值增加表!BX8</f>
        <v>1062317.1599999999</v>
      </c>
      <c r="BY10" s="27">
        <f>股权价值增加表!BY8</f>
        <v>971693.92</v>
      </c>
      <c r="BZ10" s="27">
        <f>股权价值增加表!BZ8</f>
        <v>0</v>
      </c>
      <c r="CA10" s="27">
        <f>股权价值增加表!CA8</f>
        <v>1224034</v>
      </c>
      <c r="CB10" s="27">
        <f>股权价值增加表!CB8</f>
        <v>734461</v>
      </c>
      <c r="CC10" s="27">
        <f>股权价值增加表!CC8</f>
        <v>430700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5.5878604877735273E-3</v>
      </c>
      <c r="F11" s="57">
        <f t="shared" ref="F11:BQ11" si="11">F10/F2</f>
        <v>6.7542863083065894E-3</v>
      </c>
      <c r="G11" s="57">
        <f t="shared" si="11"/>
        <v>7.5719366924213057E-3</v>
      </c>
      <c r="H11" s="57">
        <f t="shared" si="11"/>
        <v>7.6841587337415761E-3</v>
      </c>
      <c r="I11" s="57">
        <f t="shared" si="11"/>
        <v>4.5011474513399581E-3</v>
      </c>
      <c r="J11" s="57">
        <f t="shared" si="11"/>
        <v>3.7288810275836024E-3</v>
      </c>
      <c r="K11" s="57">
        <f t="shared" si="11"/>
        <v>4.1116089751817297E-3</v>
      </c>
      <c r="L11" s="57">
        <f t="shared" si="11"/>
        <v>3.535338632931791E-3</v>
      </c>
      <c r="M11" s="57">
        <f t="shared" si="11"/>
        <v>4.862272327490434E-3</v>
      </c>
      <c r="N11" s="57">
        <f t="shared" si="11"/>
        <v>6.4115049539880528E-3</v>
      </c>
      <c r="O11" s="57">
        <f t="shared" si="11"/>
        <v>7.2350225056379731E-3</v>
      </c>
      <c r="P11" s="57">
        <f t="shared" si="11"/>
        <v>3.4182725815399854E-3</v>
      </c>
      <c r="Q11" s="57">
        <f t="shared" si="11"/>
        <v>6.0081370939782828E-3</v>
      </c>
      <c r="R11" s="57">
        <f t="shared" si="11"/>
        <v>6.2534983495072562E-3</v>
      </c>
      <c r="S11" s="57">
        <f t="shared" si="11"/>
        <v>5.2045106525821392E-3</v>
      </c>
      <c r="T11" s="57">
        <f t="shared" si="11"/>
        <v>3.2961873356100306E-3</v>
      </c>
      <c r="U11" s="57">
        <f t="shared" si="11"/>
        <v>5.593759523847954E-3</v>
      </c>
      <c r="V11" s="57">
        <f t="shared" si="11"/>
        <v>4.7894879239591803E-3</v>
      </c>
      <c r="W11" s="57">
        <f t="shared" si="11"/>
        <v>5.2656187447411486E-3</v>
      </c>
      <c r="X11" s="57">
        <f t="shared" si="11"/>
        <v>2.4336953440939066E-3</v>
      </c>
      <c r="Y11" s="57">
        <f t="shared" si="11"/>
        <v>5.9088819292217173E-3</v>
      </c>
      <c r="Z11" s="57">
        <f t="shared" si="11"/>
        <v>5.6475232220401517E-3</v>
      </c>
      <c r="AA11" s="57">
        <f t="shared" si="11"/>
        <v>5.8182117112798547E-3</v>
      </c>
      <c r="AB11" s="57">
        <f t="shared" si="11"/>
        <v>4.1925651447692882E-3</v>
      </c>
      <c r="AC11" s="57">
        <f t="shared" si="11"/>
        <v>4.8677244684027145E-3</v>
      </c>
      <c r="AD11" s="57">
        <f t="shared" si="11"/>
        <v>4.6951919284912809E-3</v>
      </c>
      <c r="AE11" s="57">
        <f t="shared" si="11"/>
        <v>4.8340689712857128E-3</v>
      </c>
      <c r="AF11" s="57">
        <f t="shared" si="11"/>
        <v>6.1538510799541901E-3</v>
      </c>
      <c r="AG11" s="57">
        <f t="shared" si="11"/>
        <v>3.1375258383344504E-3</v>
      </c>
      <c r="AH11" s="57">
        <f t="shared" si="11"/>
        <v>3.2457344587022356E-3</v>
      </c>
      <c r="AI11" s="57">
        <f t="shared" si="11"/>
        <v>3.1581163720857831E-3</v>
      </c>
      <c r="AJ11" s="57">
        <f t="shared" si="11"/>
        <v>3.8112019084203409E-3</v>
      </c>
      <c r="AK11" s="57">
        <f t="shared" si="11"/>
        <v>4.4315144065747844E-3</v>
      </c>
      <c r="AL11" s="57">
        <f t="shared" si="11"/>
        <v>4.7934919350229198E-3</v>
      </c>
      <c r="AM11" s="57">
        <f t="shared" si="11"/>
        <v>5.0735254216296892E-3</v>
      </c>
      <c r="AN11" s="57">
        <f t="shared" si="11"/>
        <v>7.0280253767248902E-3</v>
      </c>
      <c r="AO11" s="57">
        <f t="shared" si="11"/>
        <v>3.5958597681158243E-3</v>
      </c>
      <c r="AP11" s="57">
        <f t="shared" si="11"/>
        <v>3.0730457687374625E-3</v>
      </c>
      <c r="AQ11" s="57">
        <f t="shared" si="11"/>
        <v>3.9352794724360814E-3</v>
      </c>
      <c r="AR11" s="57">
        <f t="shared" si="11"/>
        <v>4.1897701819723718E-3</v>
      </c>
      <c r="AS11" s="57">
        <f t="shared" si="11"/>
        <v>1.0046225645513244E-2</v>
      </c>
      <c r="AT11" s="57">
        <f t="shared" si="11"/>
        <v>3.5895205524263504E-3</v>
      </c>
      <c r="AU11" s="57">
        <f t="shared" si="11"/>
        <v>4.1860225864319813E-3</v>
      </c>
      <c r="AV11" s="57">
        <f t="shared" si="11"/>
        <v>5.3434692570797915E-3</v>
      </c>
      <c r="AW11" s="57">
        <f t="shared" si="11"/>
        <v>7.5942645522138847E-3</v>
      </c>
      <c r="AX11" s="57">
        <f t="shared" si="11"/>
        <v>4.990394472124085E-3</v>
      </c>
      <c r="AY11" s="57">
        <f t="shared" si="11"/>
        <v>5.1177331542651468E-3</v>
      </c>
      <c r="AZ11" s="57">
        <f t="shared" si="11"/>
        <v>4.1835832415016115E-3</v>
      </c>
      <c r="BA11" s="57">
        <f t="shared" si="11"/>
        <v>4.5501573431231445E-3</v>
      </c>
      <c r="BB11" s="57">
        <f t="shared" si="11"/>
        <v>4.2596162155680451E-3</v>
      </c>
      <c r="BC11" s="57">
        <f t="shared" si="11"/>
        <v>5.1002739077244293E-3</v>
      </c>
      <c r="BD11" s="57">
        <f t="shared" si="11"/>
        <v>7.2147618750179818E-3</v>
      </c>
      <c r="BE11" s="57">
        <f t="shared" si="11"/>
        <v>3.4663306106214081E-3</v>
      </c>
      <c r="BF11" s="57">
        <f t="shared" si="11"/>
        <v>3.9361559127079086E-3</v>
      </c>
      <c r="BG11" s="57">
        <f t="shared" si="11"/>
        <v>3.510262908145247E-3</v>
      </c>
      <c r="BH11" s="57">
        <f t="shared" si="11"/>
        <v>5.0053237690008048E-3</v>
      </c>
      <c r="BI11" s="57">
        <f t="shared" si="11"/>
        <v>3.9237695735109997E-3</v>
      </c>
      <c r="BJ11" s="57">
        <f t="shared" si="11"/>
        <v>3.9851420066382079E-3</v>
      </c>
      <c r="BK11" s="57">
        <f t="shared" si="11"/>
        <v>4.3436017116823562E-3</v>
      </c>
      <c r="BL11" s="57">
        <f t="shared" si="11"/>
        <v>6.9780234652010763E-3</v>
      </c>
      <c r="BM11" s="57">
        <f t="shared" si="11"/>
        <v>3.065634077426879E-3</v>
      </c>
      <c r="BN11" s="57">
        <f t="shared" si="11"/>
        <v>3.643188397100889E-3</v>
      </c>
      <c r="BO11" s="57">
        <f t="shared" si="11"/>
        <v>3.0049146744457415E-3</v>
      </c>
      <c r="BP11" s="57">
        <f t="shared" si="11"/>
        <v>6.4517096759948173E-3</v>
      </c>
      <c r="BQ11" s="57">
        <f t="shared" si="11"/>
        <v>4.9553140420173017E-3</v>
      </c>
      <c r="BR11" s="57">
        <f t="shared" ref="BR11:CJ11" si="12">BR10/BR2</f>
        <v>5.5337859706518916E-3</v>
      </c>
      <c r="BS11" s="57">
        <f t="shared" si="12"/>
        <v>5.6270371889519735E-3</v>
      </c>
      <c r="BT11" s="57">
        <f t="shared" si="12"/>
        <v>7.542901093091919E-3</v>
      </c>
      <c r="BU11" s="57">
        <f t="shared" si="12"/>
        <v>3.8480713063594285E-3</v>
      </c>
      <c r="BV11" s="57">
        <f t="shared" si="12"/>
        <v>5.0944822711925459E-3</v>
      </c>
      <c r="BW11" s="57">
        <f t="shared" si="12"/>
        <v>2.1980540614355342E-3</v>
      </c>
      <c r="BX11" s="57">
        <f t="shared" si="12"/>
        <v>4.689217432075992E-3</v>
      </c>
      <c r="BY11" s="57">
        <f t="shared" si="12"/>
        <v>2.2252273333776872E-3</v>
      </c>
      <c r="BZ11" s="57">
        <f t="shared" si="12"/>
        <v>0</v>
      </c>
      <c r="CA11" s="57">
        <f t="shared" si="12"/>
        <v>2.7877942815195396E-3</v>
      </c>
      <c r="CB11" s="57">
        <f t="shared" si="12"/>
        <v>2.6781928497001174E-3</v>
      </c>
      <c r="CC11" s="57">
        <f t="shared" si="12"/>
        <v>3.1294232075583729E-3</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2353432561.25</v>
      </c>
      <c r="F12" s="27">
        <f>股权价值增加表!F9</f>
        <v>1328312996.5699999</v>
      </c>
      <c r="G12" s="27">
        <f>股权价值增加表!G9</f>
        <v>706513406.10000002</v>
      </c>
      <c r="H12" s="27">
        <f>股权价值增加表!H9</f>
        <v>236390665.97</v>
      </c>
      <c r="I12" s="27">
        <f>股权价值增加表!I9</f>
        <v>2926673958.9200001</v>
      </c>
      <c r="J12" s="27">
        <f>股权价值增加表!J9</f>
        <v>1502320466.1800001</v>
      </c>
      <c r="K12" s="27">
        <f>股权价值增加表!K9</f>
        <v>968054175.01999998</v>
      </c>
      <c r="L12" s="27">
        <f>股权价值增加表!L9</f>
        <v>349205247.36000001</v>
      </c>
      <c r="M12" s="27">
        <f>股权价值增加表!M9</f>
        <v>2034365059.76</v>
      </c>
      <c r="N12" s="27">
        <f>股权价值增加表!N9</f>
        <v>1185418868</v>
      </c>
      <c r="O12" s="27">
        <f>股权价值增加表!O9</f>
        <v>671568493.53999996</v>
      </c>
      <c r="P12" s="27">
        <f>股权价值增加表!P9</f>
        <v>281531935.98000002</v>
      </c>
      <c r="Q12" s="27">
        <f>股权价值增加表!Q9</f>
        <v>1518055430.49</v>
      </c>
      <c r="R12" s="27">
        <f>股权价值增加表!R9</f>
        <v>834689212.35000002</v>
      </c>
      <c r="S12" s="27">
        <f>股权价值增加表!S9</f>
        <v>524951624.47000003</v>
      </c>
      <c r="T12" s="27">
        <f>股权价值增加表!T9</f>
        <v>224688189.40000001</v>
      </c>
      <c r="U12" s="27">
        <f>股权价值增加表!U9</f>
        <v>1241389817.24</v>
      </c>
      <c r="V12" s="27">
        <f>股权价值增加表!V9</f>
        <v>730132314.66999996</v>
      </c>
      <c r="W12" s="27">
        <f>股权价值增加表!W9</f>
        <v>520987767.81999999</v>
      </c>
      <c r="X12" s="27">
        <f>股权价值增加表!X9</f>
        <v>239085592.90000001</v>
      </c>
      <c r="Y12" s="27">
        <f>股权价值增加表!Y9</f>
        <v>1149954983.3900001</v>
      </c>
      <c r="Z12" s="27">
        <f>股权价值增加表!Z9</f>
        <v>767392718.36000001</v>
      </c>
      <c r="AA12" s="27">
        <f>股权价值增加表!AA9</f>
        <v>510109959.39999998</v>
      </c>
      <c r="AB12" s="27">
        <f>股权价值增加表!AB9</f>
        <v>238871637.58000001</v>
      </c>
      <c r="AC12" s="27">
        <f>股权价值增加表!AC9</f>
        <v>927571001.59000003</v>
      </c>
      <c r="AD12" s="27">
        <f>股权价值增加表!AD9</f>
        <v>541675821.89999998</v>
      </c>
      <c r="AE12" s="27">
        <f>股权价值增加表!AE9</f>
        <v>320176213.88</v>
      </c>
      <c r="AF12" s="27">
        <f>股权价值增加表!AF9</f>
        <v>159218674.22999999</v>
      </c>
      <c r="AG12" s="27">
        <f>股权价值增加表!AG9</f>
        <v>720775641.63999999</v>
      </c>
      <c r="AH12" s="27">
        <f>股权价值增加表!AH9</f>
        <v>447289241.69999999</v>
      </c>
      <c r="AI12" s="27">
        <f>股权价值增加表!AI9</f>
        <v>258986451.05000001</v>
      </c>
      <c r="AJ12" s="27">
        <f>股权价值增加表!AJ9</f>
        <v>143674381.62</v>
      </c>
      <c r="AK12" s="27">
        <f>股权价值增加表!AK9</f>
        <v>470415363.69999999</v>
      </c>
      <c r="AL12" s="27">
        <f>股权价值增加表!AL9</f>
        <v>282404551.30000001</v>
      </c>
      <c r="AM12" s="27">
        <f>股权价值增加表!AM9</f>
        <v>170096735.83000001</v>
      </c>
      <c r="AN12" s="27">
        <f>股权价值增加表!AN9</f>
        <v>70892092.219999999</v>
      </c>
      <c r="AO12" s="27">
        <f>股权价值增加表!AO9</f>
        <v>405353055.02999997</v>
      </c>
      <c r="AP12" s="27">
        <f>股权价值增加表!AP9</f>
        <v>255641174.88999999</v>
      </c>
      <c r="AQ12" s="27">
        <f>股权价值增加表!AQ9</f>
        <v>171286300.63</v>
      </c>
      <c r="AR12" s="27">
        <f>股权价值增加表!AR9</f>
        <v>86046021.439999998</v>
      </c>
      <c r="AS12" s="27">
        <f>股权价值增加表!AS9</f>
        <v>410999664.69</v>
      </c>
      <c r="AT12" s="27">
        <f>股权价值增加表!AT9</f>
        <v>250382271.30000001</v>
      </c>
      <c r="AU12" s="27">
        <f>股权价值增加表!AU9</f>
        <v>160542836.91</v>
      </c>
      <c r="AV12" s="27">
        <f>股权价值增加表!AV9</f>
        <v>76433822.829999998</v>
      </c>
      <c r="AW12" s="27">
        <f>股权价值增加表!AW9</f>
        <v>334663982.06999999</v>
      </c>
      <c r="AX12" s="27">
        <f>股权价值增加表!AX9</f>
        <v>235133700.47999999</v>
      </c>
      <c r="AY12" s="27">
        <f>股权价值增加表!AY9</f>
        <v>151285312.56</v>
      </c>
      <c r="AZ12" s="27">
        <f>股权价值增加表!AZ9</f>
        <v>54471960.229999997</v>
      </c>
      <c r="BA12" s="27">
        <f>股权价值增加表!BA9</f>
        <v>305756609.54000002</v>
      </c>
      <c r="BB12" s="27">
        <f>股权价值增加表!BB9</f>
        <v>181225555.91</v>
      </c>
      <c r="BC12" s="27">
        <f>股权价值增加表!BC9</f>
        <v>94180585.439999998</v>
      </c>
      <c r="BD12" s="27">
        <f>股权价值增加表!BD9</f>
        <v>35197472.590000004</v>
      </c>
      <c r="BE12" s="27">
        <f>股权价值增加表!BE9</f>
        <v>241528132.36000001</v>
      </c>
      <c r="BF12" s="27">
        <f>股权价值增加表!BF9</f>
        <v>162478232.75999999</v>
      </c>
      <c r="BG12" s="27">
        <f>股权价值增加表!BG9</f>
        <v>79362335.939999998</v>
      </c>
      <c r="BH12" s="27">
        <f>股权价值增加表!BH9</f>
        <v>35416428.619999997</v>
      </c>
      <c r="BI12" s="27">
        <f>股权价值增加表!BI9</f>
        <v>193566859.59</v>
      </c>
      <c r="BJ12" s="27">
        <f>股权价值增加表!BJ9</f>
        <v>116783462.20999999</v>
      </c>
      <c r="BK12" s="27">
        <f>股权价值增加表!BK9</f>
        <v>80727007.510000005</v>
      </c>
      <c r="BL12" s="27">
        <f>股权价值增加表!BL9</f>
        <v>40066641.75</v>
      </c>
      <c r="BM12" s="27">
        <f>股权价值增加表!BM9</f>
        <v>154938525.41999999</v>
      </c>
      <c r="BN12" s="27">
        <f>股权价值增加表!BN9</f>
        <v>96274222.920000002</v>
      </c>
      <c r="BO12" s="27">
        <f>股权价值增加表!BO9</f>
        <v>58895417.530000001</v>
      </c>
      <c r="BP12" s="27">
        <f>股权价值增加表!BP9</f>
        <v>26507627.449999999</v>
      </c>
      <c r="BQ12" s="27">
        <f>股权价值增加表!BQ9</f>
        <v>64709098.049999997</v>
      </c>
      <c r="BR12" s="27">
        <f>股权价值增加表!BR9</f>
        <v>34037263.399999999</v>
      </c>
      <c r="BS12" s="27">
        <f>股权价值增加表!BS9</f>
        <v>31769993.309999999</v>
      </c>
      <c r="BT12" s="27">
        <f>股权价值增加表!BT9</f>
        <v>9285876.6099999994</v>
      </c>
      <c r="BU12" s="27">
        <f>股权价值增加表!BU9</f>
        <v>16375695.550000001</v>
      </c>
      <c r="BV12" s="27">
        <f>股权价值增加表!BV9</f>
        <v>7252156.5800000001</v>
      </c>
      <c r="BW12" s="27">
        <f>股权价值增加表!BW9</f>
        <v>11269225.09</v>
      </c>
      <c r="BX12" s="27">
        <f>股权价值增加表!BX9</f>
        <v>3916037.15</v>
      </c>
      <c r="BY12" s="27">
        <f>股权价值增加表!BY9</f>
        <v>11101935.949999999</v>
      </c>
      <c r="BZ12" s="27">
        <f>股权价值增加表!BZ9</f>
        <v>0</v>
      </c>
      <c r="CA12" s="27">
        <f>股权价值增加表!CA9</f>
        <v>7030640</v>
      </c>
      <c r="CB12" s="27">
        <f>股权价值增加表!CB9</f>
        <v>4451221</v>
      </c>
      <c r="CC12" s="27">
        <f>股权价值增加表!CC9</f>
        <v>2763600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7.083969028368689E-2</v>
      </c>
      <c r="F13" s="57">
        <f t="shared" ref="F13:BQ13" si="13">F12/F2</f>
        <v>6.9929738335039973E-2</v>
      </c>
      <c r="G13" s="57">
        <f t="shared" si="13"/>
        <v>7.586258841390893E-2</v>
      </c>
      <c r="H13" s="57">
        <f t="shared" si="13"/>
        <v>6.1107197343598374E-2</v>
      </c>
      <c r="I13" s="57">
        <f t="shared" si="13"/>
        <v>8.1635644978450342E-2</v>
      </c>
      <c r="J13" s="57">
        <f t="shared" si="13"/>
        <v>6.9361904420011097E-2</v>
      </c>
      <c r="K13" s="57">
        <f t="shared" si="13"/>
        <v>7.296090703839557E-2</v>
      </c>
      <c r="L13" s="57">
        <f t="shared" si="13"/>
        <v>6.8113838071019089E-2</v>
      </c>
      <c r="M13" s="57">
        <f t="shared" si="13"/>
        <v>6.5181291282379122E-2</v>
      </c>
      <c r="N13" s="57">
        <f t="shared" si="13"/>
        <v>6.2624261867104694E-2</v>
      </c>
      <c r="O13" s="57">
        <f t="shared" si="13"/>
        <v>6.4653219994449868E-2</v>
      </c>
      <c r="P13" s="57">
        <f t="shared" si="13"/>
        <v>6.5881251483118991E-2</v>
      </c>
      <c r="Q13" s="57">
        <f t="shared" si="13"/>
        <v>5.900333326396158E-2</v>
      </c>
      <c r="R13" s="57">
        <f t="shared" si="13"/>
        <v>5.5636666211905605E-2</v>
      </c>
      <c r="S13" s="57">
        <f t="shared" si="13"/>
        <v>5.6195784723123185E-2</v>
      </c>
      <c r="T13" s="57">
        <f t="shared" si="13"/>
        <v>5.1112481039614764E-2</v>
      </c>
      <c r="U13" s="57">
        <f t="shared" si="13"/>
        <v>5.618718030796805E-2</v>
      </c>
      <c r="V13" s="57">
        <f t="shared" si="13"/>
        <v>5.3413606618844797E-2</v>
      </c>
      <c r="W13" s="57">
        <f t="shared" si="13"/>
        <v>5.3911567580260694E-2</v>
      </c>
      <c r="X13" s="57">
        <f t="shared" si="13"/>
        <v>5.5122595481835214E-2</v>
      </c>
      <c r="Y13" s="57">
        <f t="shared" si="13"/>
        <v>5.8185916332249281E-2</v>
      </c>
      <c r="Z13" s="57">
        <f t="shared" si="13"/>
        <v>5.7659651370455575E-2</v>
      </c>
      <c r="AA13" s="57">
        <f t="shared" si="13"/>
        <v>6.1486862837510661E-2</v>
      </c>
      <c r="AB13" s="57">
        <f t="shared" si="13"/>
        <v>6.017902759615236E-2</v>
      </c>
      <c r="AC13" s="57">
        <f t="shared" si="13"/>
        <v>5.4782368207798422E-2</v>
      </c>
      <c r="AD13" s="57">
        <f t="shared" si="13"/>
        <v>4.9200594313825438E-2</v>
      </c>
      <c r="AE13" s="57">
        <f t="shared" si="13"/>
        <v>4.9982498705241664E-2</v>
      </c>
      <c r="AF13" s="57">
        <f t="shared" si="13"/>
        <v>5.400978188194841E-2</v>
      </c>
      <c r="AG13" s="57">
        <f t="shared" si="13"/>
        <v>5.3475953199333542E-2</v>
      </c>
      <c r="AH13" s="57">
        <f t="shared" si="13"/>
        <v>4.8977815327060685E-2</v>
      </c>
      <c r="AI13" s="57">
        <f t="shared" si="13"/>
        <v>4.6872318992855704E-2</v>
      </c>
      <c r="AJ13" s="57">
        <f t="shared" si="13"/>
        <v>6.0948229215479252E-2</v>
      </c>
      <c r="AK13" s="57">
        <f t="shared" si="13"/>
        <v>5.3567497244302667E-2</v>
      </c>
      <c r="AL13" s="57">
        <f t="shared" si="13"/>
        <v>4.8416612528357231E-2</v>
      </c>
      <c r="AM13" s="57">
        <f t="shared" si="13"/>
        <v>4.7948308535990775E-2</v>
      </c>
      <c r="AN13" s="57">
        <f t="shared" si="13"/>
        <v>5.3617436332664997E-2</v>
      </c>
      <c r="AO13" s="57">
        <f t="shared" si="13"/>
        <v>4.8628720226640609E-2</v>
      </c>
      <c r="AP13" s="57">
        <f t="shared" si="13"/>
        <v>4.3262461897178577E-2</v>
      </c>
      <c r="AQ13" s="57">
        <f t="shared" si="13"/>
        <v>4.01199178538197E-2</v>
      </c>
      <c r="AR13" s="57">
        <f t="shared" si="13"/>
        <v>4.9772572075259536E-2</v>
      </c>
      <c r="AS13" s="57">
        <f t="shared" si="13"/>
        <v>5.2152204265970392E-2</v>
      </c>
      <c r="AT13" s="57">
        <f t="shared" si="13"/>
        <v>5.2257437001285864E-2</v>
      </c>
      <c r="AU13" s="57">
        <f t="shared" si="13"/>
        <v>5.6835971366507275E-2</v>
      </c>
      <c r="AV13" s="57">
        <f t="shared" si="13"/>
        <v>6.2702769271975337E-2</v>
      </c>
      <c r="AW13" s="57">
        <f t="shared" si="13"/>
        <v>6.7547386666464107E-2</v>
      </c>
      <c r="AX13" s="57">
        <f t="shared" si="13"/>
        <v>7.3211443737486226E-2</v>
      </c>
      <c r="AY13" s="57">
        <f t="shared" si="13"/>
        <v>7.4188099332980359E-2</v>
      </c>
      <c r="AZ13" s="57">
        <f t="shared" si="13"/>
        <v>6.1369761286766439E-2</v>
      </c>
      <c r="BA13" s="57">
        <f t="shared" si="13"/>
        <v>6.6811081382163434E-2</v>
      </c>
      <c r="BB13" s="57">
        <f t="shared" si="13"/>
        <v>6.1554185197195334E-2</v>
      </c>
      <c r="BC13" s="57">
        <f t="shared" si="13"/>
        <v>5.5421930686422413E-2</v>
      </c>
      <c r="BD13" s="57">
        <f t="shared" si="13"/>
        <v>4.7602768250166259E-2</v>
      </c>
      <c r="BE13" s="57">
        <f t="shared" si="13"/>
        <v>6.1160472773525341E-2</v>
      </c>
      <c r="BF13" s="57">
        <f t="shared" si="13"/>
        <v>5.8822411855772999E-2</v>
      </c>
      <c r="BG13" s="57">
        <f t="shared" si="13"/>
        <v>5.3379750550971258E-2</v>
      </c>
      <c r="BH13" s="57">
        <f t="shared" si="13"/>
        <v>6.1824222026290968E-2</v>
      </c>
      <c r="BI13" s="57">
        <f t="shared" si="13"/>
        <v>5.9492225499209732E-2</v>
      </c>
      <c r="BJ13" s="57">
        <f t="shared" si="13"/>
        <v>5.9999581540243423E-2</v>
      </c>
      <c r="BK13" s="57">
        <f t="shared" si="13"/>
        <v>6.7161489120516268E-2</v>
      </c>
      <c r="BL13" s="57">
        <f t="shared" si="13"/>
        <v>5.3593992615298215E-2</v>
      </c>
      <c r="BM13" s="57">
        <f t="shared" si="13"/>
        <v>5.7704161951001455E-2</v>
      </c>
      <c r="BN13" s="57">
        <f t="shared" si="13"/>
        <v>5.2215275671154505E-2</v>
      </c>
      <c r="BO13" s="57">
        <f t="shared" si="13"/>
        <v>5.896190439909927E-2</v>
      </c>
      <c r="BP13" s="57">
        <f t="shared" si="13"/>
        <v>7.2696126999307303E-2</v>
      </c>
      <c r="BQ13" s="57">
        <f t="shared" si="13"/>
        <v>4.0967692444714272E-2</v>
      </c>
      <c r="BR13" s="57">
        <f t="shared" ref="BR13:CJ13" si="14">BR12/BR2</f>
        <v>4.8497835710978598E-2</v>
      </c>
      <c r="BS13" s="57">
        <f t="shared" si="14"/>
        <v>2.6497774797823885E-2</v>
      </c>
      <c r="BT13" s="57">
        <f t="shared" si="14"/>
        <v>1.9765350941539882E-2</v>
      </c>
      <c r="BU13" s="57">
        <f t="shared" si="14"/>
        <v>2.3390197085561535E-2</v>
      </c>
      <c r="BV13" s="57">
        <f t="shared" si="14"/>
        <v>2.2727175247425343E-2</v>
      </c>
      <c r="BW13" s="57">
        <f t="shared" si="14"/>
        <v>1.993084908475886E-2</v>
      </c>
      <c r="BX13" s="57">
        <f t="shared" si="14"/>
        <v>1.7285939039558756E-2</v>
      </c>
      <c r="BY13" s="57">
        <f t="shared" si="14"/>
        <v>2.5423984673433358E-2</v>
      </c>
      <c r="BZ13" s="57">
        <f t="shared" si="14"/>
        <v>0</v>
      </c>
      <c r="CA13" s="57">
        <f t="shared" si="14"/>
        <v>1.6012609116595238E-2</v>
      </c>
      <c r="CB13" s="57">
        <f t="shared" si="14"/>
        <v>1.6231261094373978E-2</v>
      </c>
      <c r="CC13" s="57">
        <f t="shared" si="14"/>
        <v>2.0080041737655721E-2</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2051275833.0599999</v>
      </c>
      <c r="F14" s="26">
        <f>股权价值增加表!F10</f>
        <v>1102439012.6400001</v>
      </c>
      <c r="G14" s="26">
        <f>股权价值增加表!G10</f>
        <v>681167145.64999998</v>
      </c>
      <c r="H14" s="26">
        <f>股权价值增加表!H10</f>
        <v>394099300.13999999</v>
      </c>
      <c r="I14" s="26">
        <f>股权价值增加表!I10</f>
        <v>1825537916.75</v>
      </c>
      <c r="J14" s="26">
        <f>股权价值增加表!J10</f>
        <v>1179240233.48</v>
      </c>
      <c r="K14" s="26">
        <f>股权价值增加表!K10</f>
        <v>762850423.29999995</v>
      </c>
      <c r="L14" s="26">
        <f>股权价值增加表!L10</f>
        <v>383664873.14999998</v>
      </c>
      <c r="M14" s="26">
        <f>股权价值增加表!M10</f>
        <v>1812930608.9200001</v>
      </c>
      <c r="N14" s="26">
        <f>股权价值增加表!N10</f>
        <v>1196003215.73</v>
      </c>
      <c r="O14" s="26">
        <f>股权价值增加表!O10</f>
        <v>782642166.84000003</v>
      </c>
      <c r="P14" s="26">
        <f>股权价值增加表!P10</f>
        <v>366029342.07999998</v>
      </c>
      <c r="Q14" s="26">
        <f>股权价值增加表!Q10</f>
        <v>1452376480.1600001</v>
      </c>
      <c r="R14" s="26">
        <f>股权价值增加表!R10</f>
        <v>813320411.19000006</v>
      </c>
      <c r="S14" s="26">
        <f>股权价值增加表!S10</f>
        <v>549893109.62</v>
      </c>
      <c r="T14" s="26">
        <f>股权价值增加表!T10</f>
        <v>296527579.26999998</v>
      </c>
      <c r="U14" s="26">
        <f>股权价值增加表!U10</f>
        <v>1071030306.22</v>
      </c>
      <c r="V14" s="26">
        <f>股权价值增加表!V10</f>
        <v>723793176.41999996</v>
      </c>
      <c r="W14" s="26">
        <f>股权价值增加表!W10</f>
        <v>480316564.81999999</v>
      </c>
      <c r="X14" s="26">
        <f>股权价值增加表!X10</f>
        <v>239543726.65000001</v>
      </c>
      <c r="Y14" s="26">
        <f>股权价值增加表!Y10</f>
        <v>880513246.49000001</v>
      </c>
      <c r="Z14" s="26">
        <f>股权价值增加表!Z10</f>
        <v>588699251.63</v>
      </c>
      <c r="AA14" s="26">
        <f>股权价值增加表!AA10</f>
        <v>359948868.73000002</v>
      </c>
      <c r="AB14" s="26">
        <f>股权价值增加表!AB10</f>
        <v>179197381.71000001</v>
      </c>
      <c r="AC14" s="26">
        <f>股权价值增加表!AC10</f>
        <v>698998678.25999999</v>
      </c>
      <c r="AD14" s="26">
        <f>股权价值增加表!AD10</f>
        <v>462580285.74000001</v>
      </c>
      <c r="AE14" s="26">
        <f>股权价值增加表!AE10</f>
        <v>275696964.37</v>
      </c>
      <c r="AF14" s="26">
        <f>股权价值增加表!AF10</f>
        <v>133452455.86</v>
      </c>
      <c r="AG14" s="26">
        <f>股权价值增加表!AG10</f>
        <v>523426742.54000002</v>
      </c>
      <c r="AH14" s="26">
        <f>股权价值增加表!AH10</f>
        <v>374846325.30000001</v>
      </c>
      <c r="AI14" s="26">
        <f>股权价值增加表!AI10</f>
        <v>224473640.03999999</v>
      </c>
      <c r="AJ14" s="26">
        <f>股权价值增加表!AJ10</f>
        <v>100851848.41</v>
      </c>
      <c r="AK14" s="26">
        <f>股权价值增加表!AK10</f>
        <v>358150786.63</v>
      </c>
      <c r="AL14" s="26">
        <f>股权价值增加表!AL10</f>
        <v>280716465.63</v>
      </c>
      <c r="AM14" s="26">
        <f>股权价值增加表!AM10</f>
        <v>183887667.75999999</v>
      </c>
      <c r="AN14" s="26">
        <f>股权价值增加表!AN10</f>
        <v>94098554.109999999</v>
      </c>
      <c r="AO14" s="26">
        <f>股权价值增加表!AO10</f>
        <v>410060735.70999998</v>
      </c>
      <c r="AP14" s="26">
        <f>股权价值增加表!AP10</f>
        <v>313364207.63</v>
      </c>
      <c r="AQ14" s="26">
        <f>股权价值增加表!AQ10</f>
        <v>221626498.81</v>
      </c>
      <c r="AR14" s="26">
        <f>股权价值增加表!AR10</f>
        <v>126883062.36</v>
      </c>
      <c r="AS14" s="26">
        <f>股权价值增加表!AS10</f>
        <v>369681844.36000001</v>
      </c>
      <c r="AT14" s="26">
        <f>股权价值增加表!AT10</f>
        <v>250554601.13999999</v>
      </c>
      <c r="AU14" s="26">
        <f>股权价值增加表!AU10</f>
        <v>155761236</v>
      </c>
      <c r="AV14" s="26">
        <f>股权价值增加表!AV10</f>
        <v>68630785.109999999</v>
      </c>
      <c r="AW14" s="26">
        <f>股权价值增加表!AW10</f>
        <v>281010186.29000002</v>
      </c>
      <c r="AX14" s="26">
        <f>股权价值增加表!AX10</f>
        <v>177974375.25999999</v>
      </c>
      <c r="AY14" s="26">
        <f>股权价值增加表!AY10</f>
        <v>109110684.33</v>
      </c>
      <c r="AZ14" s="26">
        <f>股权价值增加表!AZ10</f>
        <v>55182171.57</v>
      </c>
      <c r="BA14" s="26">
        <f>股权价值增加表!BA10</f>
        <v>291412597.25999999</v>
      </c>
      <c r="BB14" s="26">
        <f>股权价值增加表!BB10</f>
        <v>176286507.25999999</v>
      </c>
      <c r="BC14" s="26">
        <f>股权价值增加表!BC10</f>
        <v>105140169.63</v>
      </c>
      <c r="BD14" s="26">
        <f>股权价值增加表!BD10</f>
        <v>49172531.189999998</v>
      </c>
      <c r="BE14" s="26">
        <f>股权价值增加表!BE10</f>
        <v>240598845.02000001</v>
      </c>
      <c r="BF14" s="26">
        <f>股权价值增加表!BF10</f>
        <v>185177144.90000001</v>
      </c>
      <c r="BG14" s="26">
        <f>股权价值增加表!BG10</f>
        <v>104756543.64</v>
      </c>
      <c r="BH14" s="26">
        <f>股权价值增加表!BH10</f>
        <v>51311269.859999999</v>
      </c>
      <c r="BI14" s="26">
        <f>股权价值增加表!BI10</f>
        <v>207612352.59</v>
      </c>
      <c r="BJ14" s="26">
        <f>股权价值增加表!BJ10</f>
        <v>178422651.16</v>
      </c>
      <c r="BK14" s="26">
        <f>股权价值增加表!BK10</f>
        <v>118867271.18000001</v>
      </c>
      <c r="BL14" s="26">
        <f>股权价值增加表!BL10</f>
        <v>85282478.069999993</v>
      </c>
      <c r="BM14" s="26">
        <f>股权价值增加表!BM10</f>
        <v>157493020.16999999</v>
      </c>
      <c r="BN14" s="26">
        <f>股权价值增加表!BN10</f>
        <v>165111587.21000001</v>
      </c>
      <c r="BO14" s="26">
        <f>股权价值增加表!BO10</f>
        <v>87847561.030000001</v>
      </c>
      <c r="BP14" s="26">
        <f>股权价值增加表!BP10</f>
        <v>33555535.149999999</v>
      </c>
      <c r="BQ14" s="26">
        <f>股权价值增加表!BQ10</f>
        <v>128357653.31999999</v>
      </c>
      <c r="BR14" s="26">
        <f>股权价值增加表!BR10</f>
        <v>74118774.290000007</v>
      </c>
      <c r="BS14" s="26">
        <f>股权价值增加表!BS10</f>
        <v>94748656.430000007</v>
      </c>
      <c r="BT14" s="26">
        <f>股权价值增加表!BT10</f>
        <v>40470603.82</v>
      </c>
      <c r="BU14" s="26">
        <f>股权价值增加表!BU10</f>
        <v>48361994.43</v>
      </c>
      <c r="BV14" s="26">
        <f>股权价值增加表!BV10</f>
        <v>16586491.119999999</v>
      </c>
      <c r="BW14" s="26">
        <f>股权价值增加表!BW10</f>
        <v>31127259.690000001</v>
      </c>
      <c r="BX14" s="26">
        <f>股权价值增加表!BX10</f>
        <v>6316654.54</v>
      </c>
      <c r="BY14" s="26">
        <f>股权价值增加表!BY10</f>
        <v>22011099.829999998</v>
      </c>
      <c r="BZ14" s="26">
        <f>股权价值增加表!BZ10</f>
        <v>0</v>
      </c>
      <c r="CA14" s="26">
        <f>股权价值增加表!CA10</f>
        <v>23754785</v>
      </c>
      <c r="CB14" s="26">
        <f>股权价值增加表!CB10</f>
        <v>16103087</v>
      </c>
      <c r="CC14" s="26">
        <f>股权价值增加表!CC10</f>
        <v>5569596</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6.1744596846744347E-2</v>
      </c>
      <c r="F15" s="57">
        <f t="shared" ref="F15:BQ15" si="15">F14/F2</f>
        <v>5.8038483311784968E-2</v>
      </c>
      <c r="G15" s="57">
        <f t="shared" si="15"/>
        <v>7.3141008175305597E-2</v>
      </c>
      <c r="H15" s="57">
        <f t="shared" si="15"/>
        <v>0.10187501950557235</v>
      </c>
      <c r="I15" s="57">
        <f t="shared" si="15"/>
        <v>5.0920931869533372E-2</v>
      </c>
      <c r="J15" s="57">
        <f t="shared" si="15"/>
        <v>5.4445339862041899E-2</v>
      </c>
      <c r="K15" s="57">
        <f t="shared" si="15"/>
        <v>5.749498349866846E-2</v>
      </c>
      <c r="L15" s="57">
        <f t="shared" si="15"/>
        <v>7.4835321750868378E-2</v>
      </c>
      <c r="M15" s="57">
        <f t="shared" si="15"/>
        <v>5.808650592371864E-2</v>
      </c>
      <c r="N15" s="57">
        <f t="shared" si="15"/>
        <v>6.318342030622616E-2</v>
      </c>
      <c r="O15" s="57">
        <f t="shared" si="15"/>
        <v>7.5346501029124893E-2</v>
      </c>
      <c r="P15" s="57">
        <f t="shared" si="15"/>
        <v>8.5654478422959993E-2</v>
      </c>
      <c r="Q15" s="57">
        <f t="shared" si="15"/>
        <v>5.6450543084556014E-2</v>
      </c>
      <c r="R15" s="57">
        <f t="shared" si="15"/>
        <v>5.4212317077045845E-2</v>
      </c>
      <c r="S15" s="57">
        <f t="shared" si="15"/>
        <v>5.8865757087871E-2</v>
      </c>
      <c r="T15" s="57">
        <f t="shared" si="15"/>
        <v>6.7454637084546007E-2</v>
      </c>
      <c r="U15" s="57">
        <f t="shared" si="15"/>
        <v>4.8476451228411377E-2</v>
      </c>
      <c r="V15" s="57">
        <f t="shared" si="15"/>
        <v>5.2949860212906021E-2</v>
      </c>
      <c r="W15" s="57">
        <f t="shared" si="15"/>
        <v>4.9702930747423275E-2</v>
      </c>
      <c r="X15" s="57">
        <f t="shared" si="15"/>
        <v>5.5228220923634164E-2</v>
      </c>
      <c r="Y15" s="57">
        <f t="shared" si="15"/>
        <v>4.4552587561880942E-2</v>
      </c>
      <c r="Z15" s="57">
        <f t="shared" si="15"/>
        <v>4.4233145296942951E-2</v>
      </c>
      <c r="AA15" s="57">
        <f t="shared" si="15"/>
        <v>4.3386972381701437E-2</v>
      </c>
      <c r="AB15" s="57">
        <f t="shared" si="15"/>
        <v>4.5145268347200562E-2</v>
      </c>
      <c r="AC15" s="57">
        <f t="shared" si="15"/>
        <v>4.128288066742488E-2</v>
      </c>
      <c r="AD15" s="57">
        <f t="shared" si="15"/>
        <v>4.2016320566858945E-2</v>
      </c>
      <c r="AE15" s="57">
        <f t="shared" si="15"/>
        <v>4.3038872243730278E-2</v>
      </c>
      <c r="AF15" s="57">
        <f t="shared" si="15"/>
        <v>4.5269426262129153E-2</v>
      </c>
      <c r="AG15" s="57">
        <f t="shared" si="15"/>
        <v>3.883419800877367E-2</v>
      </c>
      <c r="AH15" s="57">
        <f t="shared" si="15"/>
        <v>4.1045373742488372E-2</v>
      </c>
      <c r="AI15" s="57">
        <f t="shared" si="15"/>
        <v>4.0626063714086114E-2</v>
      </c>
      <c r="AJ15" s="57">
        <f t="shared" si="15"/>
        <v>4.2782446699194961E-2</v>
      </c>
      <c r="AK15" s="57">
        <f t="shared" si="15"/>
        <v>4.0783619661033103E-2</v>
      </c>
      <c r="AL15" s="57">
        <f t="shared" si="15"/>
        <v>4.8127200089985306E-2</v>
      </c>
      <c r="AM15" s="57">
        <f t="shared" si="15"/>
        <v>5.1835813231197639E-2</v>
      </c>
      <c r="AN15" s="57">
        <f t="shared" si="15"/>
        <v>7.1169055334571948E-2</v>
      </c>
      <c r="AO15" s="57">
        <f t="shared" si="15"/>
        <v>4.9193483422238428E-2</v>
      </c>
      <c r="AP15" s="57">
        <f t="shared" si="15"/>
        <v>5.3030999792446742E-2</v>
      </c>
      <c r="AQ15" s="57">
        <f t="shared" si="15"/>
        <v>5.1910963654320061E-2</v>
      </c>
      <c r="AR15" s="57">
        <f t="shared" si="15"/>
        <v>7.3394402910847131E-2</v>
      </c>
      <c r="AS15" s="57">
        <f t="shared" si="15"/>
        <v>4.6909340120813214E-2</v>
      </c>
      <c r="AT15" s="57">
        <f t="shared" si="15"/>
        <v>5.2293404067606027E-2</v>
      </c>
      <c r="AU15" s="57">
        <f t="shared" si="15"/>
        <v>5.5143171253854623E-2</v>
      </c>
      <c r="AV15" s="57">
        <f t="shared" si="15"/>
        <v>5.6301518416501405E-2</v>
      </c>
      <c r="AW15" s="57">
        <f t="shared" si="15"/>
        <v>5.6718095545087589E-2</v>
      </c>
      <c r="AX15" s="57">
        <f t="shared" si="15"/>
        <v>5.54142640313273E-2</v>
      </c>
      <c r="AY15" s="57">
        <f t="shared" si="15"/>
        <v>5.3506279957964364E-2</v>
      </c>
      <c r="AZ15" s="57">
        <f t="shared" si="15"/>
        <v>6.2169906906915248E-2</v>
      </c>
      <c r="BA15" s="57">
        <f t="shared" si="15"/>
        <v>6.36767616589443E-2</v>
      </c>
      <c r="BB15" s="57">
        <f t="shared" si="15"/>
        <v>5.9876612110036261E-2</v>
      </c>
      <c r="BC15" s="57">
        <f t="shared" si="15"/>
        <v>6.1871256866467779E-2</v>
      </c>
      <c r="BD15" s="57">
        <f t="shared" si="15"/>
        <v>6.650331499019832E-2</v>
      </c>
      <c r="BE15" s="57">
        <f t="shared" si="15"/>
        <v>6.0925155866540202E-2</v>
      </c>
      <c r="BF15" s="57">
        <f t="shared" si="15"/>
        <v>6.7040157309401521E-2</v>
      </c>
      <c r="BG15" s="57">
        <f t="shared" si="15"/>
        <v>7.0460100523159264E-2</v>
      </c>
      <c r="BH15" s="57">
        <f t="shared" si="15"/>
        <v>8.9570842230098702E-2</v>
      </c>
      <c r="BI15" s="57">
        <f t="shared" si="15"/>
        <v>6.3809067951339588E-2</v>
      </c>
      <c r="BJ15" s="57">
        <f t="shared" si="15"/>
        <v>9.16678115575182E-2</v>
      </c>
      <c r="BK15" s="57">
        <f t="shared" si="15"/>
        <v>9.8892591047080508E-2</v>
      </c>
      <c r="BL15" s="57">
        <f t="shared" si="15"/>
        <v>0.11407565746130724</v>
      </c>
      <c r="BM15" s="57">
        <f t="shared" si="15"/>
        <v>5.8655539139840736E-2</v>
      </c>
      <c r="BN15" s="57">
        <f t="shared" si="15"/>
        <v>8.9549900079027495E-2</v>
      </c>
      <c r="BO15" s="57">
        <f t="shared" si="15"/>
        <v>8.7946731891432747E-2</v>
      </c>
      <c r="BP15" s="57">
        <f t="shared" si="15"/>
        <v>9.2024737008068985E-2</v>
      </c>
      <c r="BQ15" s="57">
        <f t="shared" si="15"/>
        <v>8.1263949314759734E-2</v>
      </c>
      <c r="BR15" s="57">
        <f t="shared" ref="BR15:CK15" si="16">BR14/BR2</f>
        <v>0.10560778921537872</v>
      </c>
      <c r="BS15" s="57">
        <f t="shared" si="16"/>
        <v>7.9025152318438693E-2</v>
      </c>
      <c r="BT15" s="57">
        <f t="shared" si="16"/>
        <v>8.6143260449626488E-2</v>
      </c>
      <c r="BU15" s="57">
        <f t="shared" si="16"/>
        <v>6.9077773076242188E-2</v>
      </c>
      <c r="BV15" s="57">
        <f t="shared" si="16"/>
        <v>5.1979585143500068E-2</v>
      </c>
      <c r="BW15" s="57">
        <f t="shared" si="16"/>
        <v>5.5051941047304785E-2</v>
      </c>
      <c r="BX15" s="57">
        <f t="shared" si="16"/>
        <v>2.7882602010655611E-2</v>
      </c>
      <c r="BY15" s="57">
        <f t="shared" si="16"/>
        <v>5.0406511733057831E-2</v>
      </c>
      <c r="BZ15" s="57">
        <f t="shared" si="16"/>
        <v>0</v>
      </c>
      <c r="CA15" s="57">
        <f t="shared" si="16"/>
        <v>5.4102626055915225E-2</v>
      </c>
      <c r="CB15" s="57">
        <f t="shared" si="16"/>
        <v>5.8719486074139966E-2</v>
      </c>
      <c r="CC15" s="57">
        <f t="shared" si="16"/>
        <v>4.0468128579345911E-2</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560350406.35000002</v>
      </c>
      <c r="F16" s="26">
        <f>股权价值增加表!F11</f>
        <v>212508044.03999999</v>
      </c>
      <c r="G16" s="26">
        <f>股权价值增加表!G11</f>
        <v>25803137.550000001</v>
      </c>
      <c r="H16" s="26">
        <f>股权价值增加表!H11</f>
        <v>-66892569.729999997</v>
      </c>
      <c r="I16" s="26">
        <f>股权价值增加表!I11</f>
        <v>437965546.48000002</v>
      </c>
      <c r="J16" s="26">
        <f>股权价值增加表!J11</f>
        <v>211834317.93000001</v>
      </c>
      <c r="K16" s="26">
        <f>股权价值增加表!K11</f>
        <v>93790916.879999995</v>
      </c>
      <c r="L16" s="26">
        <f>股权价值增加表!L11</f>
        <v>-30512512.550000001</v>
      </c>
      <c r="M16" s="26">
        <f>股权价值增加表!M11</f>
        <v>240740779.00999999</v>
      </c>
      <c r="N16" s="26">
        <f>股权价值增加表!N11</f>
        <v>-3559174.98</v>
      </c>
      <c r="O16" s="26">
        <f>股权价值增加表!O11</f>
        <v>-50117286.490000002</v>
      </c>
      <c r="P16" s="26">
        <f>股权价值增加表!P11</f>
        <v>-41866112.770000003</v>
      </c>
      <c r="Q16" s="26">
        <f>股权价值增加表!Q11</f>
        <v>356544590.82999998</v>
      </c>
      <c r="R16" s="26">
        <f>股权价值增加表!R11</f>
        <v>73614401.180000007</v>
      </c>
      <c r="S16" s="26">
        <f>股权价值增加表!S11</f>
        <v>52853538.43</v>
      </c>
      <c r="T16" s="26">
        <f>股权价值增加表!T11</f>
        <v>31558781.66</v>
      </c>
      <c r="U16" s="26">
        <f>股权价值增加表!U11</f>
        <v>10876314.699999999</v>
      </c>
      <c r="V16" s="26">
        <f>股权价值增加表!V11</f>
        <v>155313703.19</v>
      </c>
      <c r="W16" s="26">
        <f>股权价值增加表!W11</f>
        <v>176033326.75999999</v>
      </c>
      <c r="X16" s="26">
        <f>股权价值增加表!X11</f>
        <v>69605803.239999995</v>
      </c>
      <c r="Y16" s="26">
        <f>股权价值增加表!Y11</f>
        <v>258726975.11000001</v>
      </c>
      <c r="Z16" s="26">
        <f>股权价值增加表!Z11</f>
        <v>99775944.260000005</v>
      </c>
      <c r="AA16" s="26">
        <f>股权价值增加表!AA11</f>
        <v>57231779.520000003</v>
      </c>
      <c r="AB16" s="26">
        <f>股权价值增加表!AB11</f>
        <v>45047118.840000004</v>
      </c>
      <c r="AC16" s="26">
        <f>股权价值增加表!AC11</f>
        <v>39806258.420000002</v>
      </c>
      <c r="AD16" s="26">
        <f>股权价值增加表!AD11</f>
        <v>45658847.189999998</v>
      </c>
      <c r="AE16" s="26">
        <f>股权价值增加表!AE11</f>
        <v>9430681.3399999999</v>
      </c>
      <c r="AF16" s="26">
        <f>股权价值增加表!AF11</f>
        <v>1205498.8400000001</v>
      </c>
      <c r="AG16" s="26">
        <f>股权价值增加表!AG11</f>
        <v>40379439.049999997</v>
      </c>
      <c r="AH16" s="26">
        <f>股权价值增加表!AH11</f>
        <v>42895473.689999998</v>
      </c>
      <c r="AI16" s="26">
        <f>股权价值增加表!AI11</f>
        <v>24495553.59</v>
      </c>
      <c r="AJ16" s="26">
        <f>股权价值增加表!AJ11</f>
        <v>-1859114.74</v>
      </c>
      <c r="AK16" s="26">
        <f>股权价值增加表!AK11</f>
        <v>39616708.619999997</v>
      </c>
      <c r="AL16" s="26">
        <f>股权价值增加表!AL11</f>
        <v>15233147.65</v>
      </c>
      <c r="AM16" s="26">
        <f>股权价值增加表!AM11</f>
        <v>9914485.5299999993</v>
      </c>
      <c r="AN16" s="26">
        <f>股权价值增加表!AN11</f>
        <v>3168473.74</v>
      </c>
      <c r="AO16" s="26">
        <f>股权价值增加表!AO11</f>
        <v>151545293.86000001</v>
      </c>
      <c r="AP16" s="26">
        <f>股权价值增加表!AP11</f>
        <v>144212178.31</v>
      </c>
      <c r="AQ16" s="26">
        <f>股权价值增加表!AQ11</f>
        <v>-16013320.02</v>
      </c>
      <c r="AR16" s="26">
        <f>股权价值增加表!AR11</f>
        <v>-15568237</v>
      </c>
      <c r="AS16" s="26">
        <f>股权价值增加表!AS11</f>
        <v>54864256.969999999</v>
      </c>
      <c r="AT16" s="26">
        <f>股权价值增加表!AT11</f>
        <v>16384639.039999999</v>
      </c>
      <c r="AU16" s="26">
        <f>股权价值增加表!AU11</f>
        <v>4425313.41</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4934929.22</v>
      </c>
      <c r="BT16" s="26">
        <f>股权价值增加表!BT11</f>
        <v>0</v>
      </c>
      <c r="BU16" s="26">
        <f>股权价值增加表!BU11</f>
        <v>2075722.79</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1.6866873472290409E-2</v>
      </c>
      <c r="F17" s="57">
        <f t="shared" ref="F17:BQ17" si="17">F16/F2</f>
        <v>1.1187598067760996E-2</v>
      </c>
      <c r="G17" s="57">
        <f t="shared" si="17"/>
        <v>2.7706378772748507E-3</v>
      </c>
      <c r="H17" s="57">
        <f t="shared" si="17"/>
        <v>-1.7291788753750027E-2</v>
      </c>
      <c r="I17" s="57">
        <f t="shared" si="17"/>
        <v>1.2216461542039364E-2</v>
      </c>
      <c r="J17" s="57">
        <f t="shared" si="17"/>
        <v>9.7803578157327972E-3</v>
      </c>
      <c r="K17" s="57">
        <f t="shared" si="17"/>
        <v>7.0688919526494349E-3</v>
      </c>
      <c r="L17" s="57">
        <f t="shared" si="17"/>
        <v>-5.9515839314638582E-3</v>
      </c>
      <c r="M17" s="57">
        <f t="shared" si="17"/>
        <v>7.7133623411959687E-3</v>
      </c>
      <c r="N17" s="57">
        <f t="shared" si="17"/>
        <v>-1.8802695991706377E-4</v>
      </c>
      <c r="O17" s="57">
        <f t="shared" si="17"/>
        <v>-4.8248897619998978E-3</v>
      </c>
      <c r="P17" s="57">
        <f t="shared" si="17"/>
        <v>-9.7970835685828941E-3</v>
      </c>
      <c r="Q17" s="57">
        <f t="shared" si="17"/>
        <v>1.3858070590620565E-2</v>
      </c>
      <c r="R17" s="57">
        <f t="shared" si="17"/>
        <v>4.906808194285836E-3</v>
      </c>
      <c r="S17" s="57">
        <f t="shared" si="17"/>
        <v>5.6579424255831338E-3</v>
      </c>
      <c r="T17" s="57">
        <f t="shared" si="17"/>
        <v>7.1790494798036411E-3</v>
      </c>
      <c r="U17" s="57">
        <f t="shared" si="17"/>
        <v>4.9227845004705449E-4</v>
      </c>
      <c r="V17" s="57">
        <f t="shared" si="17"/>
        <v>1.1362139269861226E-2</v>
      </c>
      <c r="W17" s="57">
        <f t="shared" si="17"/>
        <v>1.8215845319575152E-2</v>
      </c>
      <c r="X17" s="57">
        <f t="shared" si="17"/>
        <v>1.6048029028631339E-2</v>
      </c>
      <c r="Y17" s="57">
        <f t="shared" si="17"/>
        <v>1.309117864967836E-2</v>
      </c>
      <c r="Z17" s="57">
        <f t="shared" si="17"/>
        <v>7.4968735349541507E-3</v>
      </c>
      <c r="AA17" s="57">
        <f t="shared" si="17"/>
        <v>6.8985176871120156E-3</v>
      </c>
      <c r="AB17" s="57">
        <f t="shared" si="17"/>
        <v>1.1348738742127206E-2</v>
      </c>
      <c r="AC17" s="57">
        <f t="shared" si="17"/>
        <v>2.3509586888779319E-3</v>
      </c>
      <c r="AD17" s="57">
        <f t="shared" si="17"/>
        <v>4.1472082131198754E-3</v>
      </c>
      <c r="AE17" s="57">
        <f t="shared" si="17"/>
        <v>1.4722174772257217E-3</v>
      </c>
      <c r="AF17" s="57">
        <f t="shared" si="17"/>
        <v>4.0892646369664369E-4</v>
      </c>
      <c r="AG17" s="57">
        <f t="shared" si="17"/>
        <v>2.9958406862084885E-3</v>
      </c>
      <c r="AH17" s="57">
        <f t="shared" si="17"/>
        <v>4.6970201670191664E-3</v>
      </c>
      <c r="AI17" s="57">
        <f t="shared" si="17"/>
        <v>4.4332952442960299E-3</v>
      </c>
      <c r="AJ17" s="57">
        <f t="shared" si="17"/>
        <v>-7.8865661389158177E-4</v>
      </c>
      <c r="AK17" s="57">
        <f t="shared" si="17"/>
        <v>4.5112640733893433E-3</v>
      </c>
      <c r="AL17" s="57">
        <f t="shared" si="17"/>
        <v>2.6116342812542537E-3</v>
      </c>
      <c r="AM17" s="57">
        <f t="shared" si="17"/>
        <v>2.794779152277022E-3</v>
      </c>
      <c r="AN17" s="57">
        <f t="shared" si="17"/>
        <v>2.3963947699408295E-3</v>
      </c>
      <c r="AO17" s="57">
        <f t="shared" si="17"/>
        <v>1.818033342868618E-2</v>
      </c>
      <c r="AP17" s="57">
        <f t="shared" si="17"/>
        <v>2.4405199482947417E-2</v>
      </c>
      <c r="AQ17" s="57">
        <f t="shared" si="17"/>
        <v>-3.7507557896127729E-3</v>
      </c>
      <c r="AR17" s="57">
        <f t="shared" si="17"/>
        <v>-9.0053111718540173E-3</v>
      </c>
      <c r="AS17" s="57">
        <f t="shared" si="17"/>
        <v>6.9617865468534715E-3</v>
      </c>
      <c r="AT17" s="57">
        <f t="shared" si="17"/>
        <v>3.4196480364846378E-3</v>
      </c>
      <c r="AU17" s="57">
        <f t="shared" si="17"/>
        <v>1.5666658886785501E-3</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4.1159795609274144E-3</v>
      </c>
      <c r="BT17" s="57">
        <f t="shared" si="18"/>
        <v>0</v>
      </c>
      <c r="BU17" s="57">
        <f t="shared" si="18"/>
        <v>2.9648551418685635E-3</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15727776.189999999</v>
      </c>
      <c r="F18" s="26">
        <f>股权价值增加表!F12</f>
        <v>1204</v>
      </c>
      <c r="G18" s="26">
        <f>股权价值增加表!G12</f>
        <v>868</v>
      </c>
      <c r="H18" s="26">
        <f>股权价值增加表!H12</f>
        <v>644</v>
      </c>
      <c r="I18" s="26">
        <f>股权价值增加表!I12</f>
        <v>13765636.810000001</v>
      </c>
      <c r="J18" s="26">
        <f>股权价值增加表!J12</f>
        <v>0</v>
      </c>
      <c r="K18" s="26">
        <f>股权价值增加表!K12</f>
        <v>0</v>
      </c>
      <c r="L18" s="26">
        <f>股权价值增加表!L12</f>
        <v>0</v>
      </c>
      <c r="M18" s="26">
        <f>股权价值增加表!M12</f>
        <v>9417861.1199999992</v>
      </c>
      <c r="N18" s="26">
        <f>股权价值增加表!N12</f>
        <v>0</v>
      </c>
      <c r="O18" s="26">
        <f>股权价值增加表!O12</f>
        <v>0</v>
      </c>
      <c r="P18" s="26">
        <f>股权价值增加表!P12</f>
        <v>0</v>
      </c>
      <c r="Q18" s="26">
        <f>股权价值增加表!Q12</f>
        <v>11421798.140000001</v>
      </c>
      <c r="R18" s="26">
        <f>股权价值增加表!R12</f>
        <v>0</v>
      </c>
      <c r="S18" s="26">
        <f>股权价值增加表!S12</f>
        <v>0</v>
      </c>
      <c r="T18" s="26">
        <f>股权价值增加表!T12</f>
        <v>0</v>
      </c>
      <c r="U18" s="26">
        <f>股权价值增加表!U12</f>
        <v>19326234.550000001</v>
      </c>
      <c r="V18" s="26">
        <f>股权价值增加表!V12</f>
        <v>0</v>
      </c>
      <c r="W18" s="26">
        <f>股权价值增加表!W12</f>
        <v>0</v>
      </c>
      <c r="X18" s="26">
        <f>股权价值增加表!X12</f>
        <v>0</v>
      </c>
      <c r="Y18" s="26">
        <f>股权价值增加表!Y12</f>
        <v>3892751.06</v>
      </c>
      <c r="Z18" s="26">
        <f>股权价值增加表!Z12</f>
        <v>0</v>
      </c>
      <c r="AA18" s="26">
        <f>股权价值增加表!AA12</f>
        <v>0</v>
      </c>
      <c r="AB18" s="26">
        <f>股权价值增加表!AB12</f>
        <v>0</v>
      </c>
      <c r="AC18" s="26">
        <f>股权价值增加表!AC12</f>
        <v>6517796.0499999998</v>
      </c>
      <c r="AD18" s="26">
        <f>股权价值增加表!AD12</f>
        <v>0</v>
      </c>
      <c r="AE18" s="26">
        <f>股权价值增加表!AE12</f>
        <v>0</v>
      </c>
      <c r="AF18" s="26">
        <f>股权价值增加表!AF12</f>
        <v>0</v>
      </c>
      <c r="AG18" s="26">
        <f>股权价值增加表!AG12</f>
        <v>3125361.43</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4.7341522017481396E-4</v>
      </c>
      <c r="F19" s="57">
        <f t="shared" ref="F19:BQ19" si="19">F18/F2</f>
        <v>6.3385215060606512E-8</v>
      </c>
      <c r="G19" s="57">
        <f t="shared" si="19"/>
        <v>9.3202374045189337E-8</v>
      </c>
      <c r="H19" s="57">
        <f t="shared" si="19"/>
        <v>1.6647457262238768E-7</v>
      </c>
      <c r="I19" s="57">
        <f t="shared" si="19"/>
        <v>3.8397397704599101E-4</v>
      </c>
      <c r="J19" s="57">
        <f t="shared" si="19"/>
        <v>0</v>
      </c>
      <c r="K19" s="57">
        <f t="shared" si="19"/>
        <v>0</v>
      </c>
      <c r="L19" s="57">
        <f t="shared" si="19"/>
        <v>0</v>
      </c>
      <c r="M19" s="57">
        <f t="shared" si="19"/>
        <v>3.0174935711495802E-4</v>
      </c>
      <c r="N19" s="57">
        <f t="shared" si="19"/>
        <v>0</v>
      </c>
      <c r="O19" s="57">
        <f t="shared" si="19"/>
        <v>0</v>
      </c>
      <c r="P19" s="57">
        <f t="shared" si="19"/>
        <v>0</v>
      </c>
      <c r="Q19" s="57">
        <f t="shared" si="19"/>
        <v>4.439391003730255E-4</v>
      </c>
      <c r="R19" s="57">
        <f t="shared" si="19"/>
        <v>0</v>
      </c>
      <c r="S19" s="57">
        <f t="shared" si="19"/>
        <v>0</v>
      </c>
      <c r="T19" s="57">
        <f t="shared" si="19"/>
        <v>0</v>
      </c>
      <c r="U19" s="57">
        <f t="shared" si="19"/>
        <v>8.7473460008653792E-4</v>
      </c>
      <c r="V19" s="57">
        <f t="shared" si="19"/>
        <v>0</v>
      </c>
      <c r="W19" s="57">
        <f t="shared" si="19"/>
        <v>0</v>
      </c>
      <c r="X19" s="57">
        <f t="shared" si="19"/>
        <v>0</v>
      </c>
      <c r="Y19" s="57">
        <f t="shared" si="19"/>
        <v>1.9696709066968537E-4</v>
      </c>
      <c r="Z19" s="57">
        <f t="shared" si="19"/>
        <v>0</v>
      </c>
      <c r="AA19" s="57">
        <f t="shared" si="19"/>
        <v>0</v>
      </c>
      <c r="AB19" s="57">
        <f t="shared" si="19"/>
        <v>0</v>
      </c>
      <c r="AC19" s="57">
        <f t="shared" si="19"/>
        <v>3.8494120935473144E-4</v>
      </c>
      <c r="AD19" s="57">
        <f t="shared" si="19"/>
        <v>0</v>
      </c>
      <c r="AE19" s="57">
        <f t="shared" si="19"/>
        <v>0</v>
      </c>
      <c r="AF19" s="57">
        <f t="shared" si="19"/>
        <v>0</v>
      </c>
      <c r="AG19" s="57">
        <f t="shared" si="19"/>
        <v>2.3187753845482764E-4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34392466.700000003</v>
      </c>
      <c r="F20" s="26">
        <f>股权价值增加表!F13-股权价值增加表!F14</f>
        <v>37499186.779999994</v>
      </c>
      <c r="G20" s="26">
        <f>股权价值增加表!G13-股权价值增加表!G14</f>
        <v>20772455.890000001</v>
      </c>
      <c r="H20" s="26">
        <f>股权价值增加表!H13-股权价值增加表!H14</f>
        <v>20116305.129999999</v>
      </c>
      <c r="I20" s="26">
        <f>股权价值增加表!I13-股权价值增加表!I14</f>
        <v>388959915.47000003</v>
      </c>
      <c r="J20" s="26">
        <f>股权价值增加表!J13-股权价值增加表!J14</f>
        <v>190674646.36000001</v>
      </c>
      <c r="K20" s="26">
        <f>股权价值增加表!K13-股权价值增加表!K14</f>
        <v>99100658.709999993</v>
      </c>
      <c r="L20" s="26">
        <f>股权价值增加表!L13-股权价值增加表!L14</f>
        <v>54063432.340000004</v>
      </c>
      <c r="M20" s="26">
        <f>股权价值增加表!M13-股权价值增加表!M14</f>
        <v>276061921.00999999</v>
      </c>
      <c r="N20" s="26">
        <f>股权价值增加表!N13-股权价值增加表!N14</f>
        <v>106933622.25999999</v>
      </c>
      <c r="O20" s="26">
        <f>股权价值增加表!O13-股权价值增加表!O14</f>
        <v>53938838.569999993</v>
      </c>
      <c r="P20" s="26">
        <f>股权价值增加表!P13-股权价值增加表!P14</f>
        <v>14986102.560000001</v>
      </c>
      <c r="Q20" s="26">
        <f>股权价值增加表!Q13-股权价值增加表!Q14</f>
        <v>148129019.82999998</v>
      </c>
      <c r="R20" s="26">
        <f>股权价值增加表!R13-股权价值增加表!R14</f>
        <v>74479714.709999993</v>
      </c>
      <c r="S20" s="26">
        <f>股权价值增加表!S13-股权价值增加表!S14</f>
        <v>59131918.829999998</v>
      </c>
      <c r="T20" s="26">
        <f>股权价值增加表!T13-股权价值增加表!T14</f>
        <v>7534439.459999999</v>
      </c>
      <c r="U20" s="26">
        <f>股权价值增加表!U13-股权价值增加表!U14</f>
        <v>203323985.87</v>
      </c>
      <c r="V20" s="26">
        <f>股权价值增加表!V13-股权价值增加表!V14</f>
        <v>179836291.68000001</v>
      </c>
      <c r="W20" s="26">
        <f>股权价值增加表!W13-股权价值增加表!W14</f>
        <v>163950809.77000001</v>
      </c>
      <c r="X20" s="26">
        <f>股权价值增加表!X13-股权价值增加表!X14</f>
        <v>49909402.32</v>
      </c>
      <c r="Y20" s="26">
        <f>股权价值增加表!Y13-股权价值增加表!Y14</f>
        <v>128045630.66000001</v>
      </c>
      <c r="Z20" s="26">
        <f>股权价值增加表!Z13-股权价值增加表!Z14</f>
        <v>23078584.199999999</v>
      </c>
      <c r="AA20" s="26">
        <f>股权价值增加表!AA13-股权价值增加表!AA14</f>
        <v>9670343.3300000001</v>
      </c>
      <c r="AB20" s="26">
        <f>股权价值增加表!AB13-股权价值增加表!AB14</f>
        <v>19849.429999999702</v>
      </c>
      <c r="AC20" s="26">
        <f>股权价值增加表!AC13-股权价值增加表!AC14</f>
        <v>21910421.890000001</v>
      </c>
      <c r="AD20" s="26">
        <f>股权价值增加表!AD13-股权价值增加表!AD14</f>
        <v>8509009.2700000033</v>
      </c>
      <c r="AE20" s="26">
        <f>股权价值增加表!AE13-股权价值增加表!AE14</f>
        <v>8150959.0600000005</v>
      </c>
      <c r="AF20" s="26">
        <f>股权价值增加表!AF13-股权价值增加表!AF14</f>
        <v>1193597.68</v>
      </c>
      <c r="AG20" s="26">
        <f>股权价值增加表!AG13-股权价值增加表!AG14</f>
        <v>-30773580.629999999</v>
      </c>
      <c r="AH20" s="26">
        <f>股权价值增加表!AH13-股权价值增加表!AH14</f>
        <v>-35230522.520000003</v>
      </c>
      <c r="AI20" s="26">
        <f>股权价值增加表!AI13-股权价值增加表!AI14</f>
        <v>12769873.360000001</v>
      </c>
      <c r="AJ20" s="26">
        <f>股权价值增加表!AJ13-股权价值增加表!AJ14</f>
        <v>8889961</v>
      </c>
      <c r="AK20" s="26">
        <f>股权价值增加表!AK13-股权价值增加表!AK14</f>
        <v>10402364.859999999</v>
      </c>
      <c r="AL20" s="26">
        <f>股权价值增加表!AL13-股权价值增加表!AL14</f>
        <v>6938151.8999999994</v>
      </c>
      <c r="AM20" s="26">
        <f>股权价值增加表!AM13-股权价值增加表!AM14</f>
        <v>6644658.1599999992</v>
      </c>
      <c r="AN20" s="26">
        <f>股权价值增加表!AN13-股权价值增加表!AN14</f>
        <v>2419149.9799999995</v>
      </c>
      <c r="AO20" s="26">
        <f>股权价值增加表!AO13-股权价值增加表!AO14</f>
        <v>-360177.0700000003</v>
      </c>
      <c r="AP20" s="26">
        <f>股权价值增加表!AP13-股权价值增加表!AP14</f>
        <v>2316953.9700000002</v>
      </c>
      <c r="AQ20" s="26">
        <f>股权价值增加表!AQ13-股权价值增加表!AQ14</f>
        <v>2941663.2699999996</v>
      </c>
      <c r="AR20" s="26">
        <f>股权价值增加表!AR13-股权价值增加表!AR14</f>
        <v>227025.95999999996</v>
      </c>
      <c r="AS20" s="26">
        <f>股权价值增加表!AS13-股权价值增加表!AS14</f>
        <v>7718810.6300000008</v>
      </c>
      <c r="AT20" s="26">
        <f>股权价值增加表!AT13-股权价值增加表!AT14</f>
        <v>3365759.73</v>
      </c>
      <c r="AU20" s="26">
        <f>股权价值增加表!AU13-股权价值增加表!AU14</f>
        <v>3346749.08</v>
      </c>
      <c r="AV20" s="26">
        <f>股权价值增加表!AV13-股权价值增加表!AV14</f>
        <v>607051.49000000011</v>
      </c>
      <c r="AW20" s="26">
        <f>股权价值增加表!AW13-股权价值增加表!AW14</f>
        <v>2630987.3000000003</v>
      </c>
      <c r="AX20" s="26">
        <f>股权价值增加表!AX13-股权价值增加表!AX14</f>
        <v>747436.46999999974</v>
      </c>
      <c r="AY20" s="26">
        <f>股权价值增加表!AY13-股权价值增加表!AY14</f>
        <v>-582394.90999999992</v>
      </c>
      <c r="AZ20" s="26">
        <f>股权价值增加表!AZ13-股权价值增加表!AZ14</f>
        <v>-1120821</v>
      </c>
      <c r="BA20" s="26">
        <f>股权价值增加表!BA13-股权价值增加表!BA14</f>
        <v>1069771.4099999997</v>
      </c>
      <c r="BB20" s="26">
        <f>股权价值增加表!BB13-股权价值增加表!BB14</f>
        <v>394502.63999999966</v>
      </c>
      <c r="BC20" s="26">
        <f>股权价值增加表!BC13-股权价值增加表!BC14</f>
        <v>-221024.8600000001</v>
      </c>
      <c r="BD20" s="26">
        <f>股权价值增加表!BD13-股权价值增加表!BD14</f>
        <v>-2003989.75</v>
      </c>
      <c r="BE20" s="26">
        <f>股权价值增加表!BE13-股权价值增加表!BE14</f>
        <v>-1562016.99</v>
      </c>
      <c r="BF20" s="26">
        <f>股权价值增加表!BF13-股权价值增加表!BF14</f>
        <v>-2100329.9</v>
      </c>
      <c r="BG20" s="26">
        <f>股权价值增加表!BG13-股权价值增加表!BG14</f>
        <v>-2299972.67</v>
      </c>
      <c r="BH20" s="26">
        <f>股权价值增加表!BH13-股权价值增加表!BH14</f>
        <v>-1041849.69</v>
      </c>
      <c r="BI20" s="26">
        <f>股权价值增加表!BI13-股权价值增加表!BI14</f>
        <v>-1974993.8</v>
      </c>
      <c r="BJ20" s="26">
        <f>股权价值增加表!BJ13-股权价值增加表!BJ14</f>
        <v>-822189.81</v>
      </c>
      <c r="BK20" s="26">
        <f>股权价值增加表!BK13-股权价值增加表!BK14</f>
        <v>-772826.8</v>
      </c>
      <c r="BL20" s="26">
        <f>股权价值增加表!BL13-股权价值增加表!BL14</f>
        <v>148385.35</v>
      </c>
      <c r="BM20" s="26">
        <f>股权价值增加表!BM13-股权价值增加表!BM14</f>
        <v>-17231260.349999998</v>
      </c>
      <c r="BN20" s="26">
        <f>股权价值增加表!BN13-股权价值增加表!BN14</f>
        <v>-444190.15000000014</v>
      </c>
      <c r="BO20" s="26">
        <f>股权价值增加表!BO13-股权价值增加表!BO14</f>
        <v>398584.73</v>
      </c>
      <c r="BP20" s="26">
        <f>股权价值增加表!BP13-股权价值增加表!BP14</f>
        <v>31056.11</v>
      </c>
      <c r="BQ20" s="26">
        <f>股权价值增加表!BQ13-股权价值增加表!BQ14</f>
        <v>-13972055.52</v>
      </c>
      <c r="BR20" s="26">
        <f>股权价值增加表!BR13-股权价值增加表!BR14</f>
        <v>-998358.7699999999</v>
      </c>
      <c r="BS20" s="26">
        <f>股权价值增加表!BS13-股权价值增加表!BS14</f>
        <v>-7892548.6299999999</v>
      </c>
      <c r="BT20" s="26">
        <f>股权价值增加表!BT13-股权价值增加表!BT14</f>
        <v>-111204.63</v>
      </c>
      <c r="BU20" s="26">
        <f>股权价值增加表!BU13-股权价值增加表!BU14</f>
        <v>-728170.65999999992</v>
      </c>
      <c r="BV20" s="26">
        <f>股权价值增加表!BV13-股权价值增加表!BV14</f>
        <v>192520.35</v>
      </c>
      <c r="BW20" s="26">
        <f>股权价值增加表!BW13-股权价值增加表!BW14</f>
        <v>4356664.12</v>
      </c>
      <c r="BX20" s="26">
        <f>股权价值增加表!BX13-股权价值增加表!BX14</f>
        <v>-102466.14000000001</v>
      </c>
      <c r="BY20" s="26">
        <f>股权价值增加表!BY13-股权价值增加表!BY14</f>
        <v>-5914.9899999999907</v>
      </c>
      <c r="BZ20" s="26">
        <f>股权价值增加表!BZ13-股权价值增加表!BZ14</f>
        <v>0</v>
      </c>
      <c r="CA20" s="26">
        <f>股权价值增加表!CA13-股权价值增加表!CA14</f>
        <v>639150</v>
      </c>
      <c r="CB20" s="26">
        <f>股权价值增加表!CB13-股权价值增加表!CB14</f>
        <v>394606</v>
      </c>
      <c r="CC20" s="26">
        <f>股权价值增加表!CC13-股权价值增加表!CC14</f>
        <v>759716</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1.0352332712801312E-3</v>
      </c>
      <c r="F21" s="57">
        <f t="shared" ref="F21:BQ21" si="21">F20/F2</f>
        <v>1.9741644673157408E-3</v>
      </c>
      <c r="G21" s="57">
        <f t="shared" si="21"/>
        <v>2.230463368314489E-3</v>
      </c>
      <c r="H21" s="57">
        <f t="shared" si="21"/>
        <v>5.2000827628234389E-3</v>
      </c>
      <c r="I21" s="57">
        <f t="shared" si="21"/>
        <v>1.0849515188864581E-2</v>
      </c>
      <c r="J21" s="57">
        <f t="shared" si="21"/>
        <v>8.8034190399940409E-3</v>
      </c>
      <c r="K21" s="57">
        <f t="shared" si="21"/>
        <v>7.4690798657365371E-3</v>
      </c>
      <c r="L21" s="57">
        <f t="shared" si="21"/>
        <v>1.0545282190945875E-2</v>
      </c>
      <c r="M21" s="57">
        <f t="shared" si="21"/>
        <v>8.8450558069694523E-3</v>
      </c>
      <c r="N21" s="57">
        <f t="shared" si="21"/>
        <v>5.6491754464028784E-3</v>
      </c>
      <c r="O21" s="57">
        <f t="shared" si="21"/>
        <v>5.1927980985659733E-3</v>
      </c>
      <c r="P21" s="57">
        <f t="shared" si="21"/>
        <v>3.5068958982234651E-3</v>
      </c>
      <c r="Q21" s="57">
        <f t="shared" si="21"/>
        <v>5.7574353001539078E-3</v>
      </c>
      <c r="R21" s="57">
        <f t="shared" si="21"/>
        <v>4.9644861411490904E-3</v>
      </c>
      <c r="S21" s="57">
        <f t="shared" si="21"/>
        <v>6.3300396187759107E-3</v>
      </c>
      <c r="T21" s="57">
        <f t="shared" si="21"/>
        <v>1.7139480943424044E-3</v>
      </c>
      <c r="U21" s="57">
        <f t="shared" si="21"/>
        <v>9.2027510588189223E-3</v>
      </c>
      <c r="V21" s="57">
        <f t="shared" si="21"/>
        <v>1.3156115332231077E-2</v>
      </c>
      <c r="W21" s="57">
        <f t="shared" si="21"/>
        <v>1.6965552181270445E-2</v>
      </c>
      <c r="X21" s="57">
        <f t="shared" si="21"/>
        <v>1.1506907469645059E-2</v>
      </c>
      <c r="Y21" s="57">
        <f t="shared" si="21"/>
        <v>6.4789078354435719E-3</v>
      </c>
      <c r="Z21" s="57">
        <f t="shared" si="21"/>
        <v>1.7340575265550587E-3</v>
      </c>
      <c r="AA21" s="57">
        <f t="shared" si="21"/>
        <v>1.165629219673977E-3</v>
      </c>
      <c r="AB21" s="57">
        <f t="shared" si="21"/>
        <v>5.0006748722431414E-6</v>
      </c>
      <c r="AC21" s="57">
        <f t="shared" si="21"/>
        <v>1.2940301039043682E-3</v>
      </c>
      <c r="AD21" s="57">
        <f t="shared" si="21"/>
        <v>7.7287613029761138E-4</v>
      </c>
      <c r="AE21" s="57">
        <f t="shared" si="21"/>
        <v>1.2724408716245884E-3</v>
      </c>
      <c r="AF21" s="57">
        <f t="shared" si="21"/>
        <v>4.0488938036549091E-4</v>
      </c>
      <c r="AG21" s="57">
        <f t="shared" si="21"/>
        <v>-2.2831606154189864E-3</v>
      </c>
      <c r="AH21" s="57">
        <f t="shared" si="21"/>
        <v>-3.8577141254332406E-3</v>
      </c>
      <c r="AI21" s="57">
        <f t="shared" si="21"/>
        <v>2.3111385757887898E-3</v>
      </c>
      <c r="AJ21" s="57">
        <f t="shared" si="21"/>
        <v>3.7712177678114801E-3</v>
      </c>
      <c r="AK21" s="57">
        <f t="shared" si="21"/>
        <v>1.1845460288317552E-3</v>
      </c>
      <c r="AL21" s="57">
        <f t="shared" si="21"/>
        <v>1.1895056600852506E-3</v>
      </c>
      <c r="AM21" s="57">
        <f t="shared" si="21"/>
        <v>1.8730525193045894E-3</v>
      </c>
      <c r="AN21" s="57">
        <f t="shared" si="21"/>
        <v>1.8296627447429818E-3</v>
      </c>
      <c r="AO21" s="57">
        <f t="shared" si="21"/>
        <v>-4.3209122891117454E-5</v>
      </c>
      <c r="AP21" s="57">
        <f t="shared" si="21"/>
        <v>3.9210089254116727E-4</v>
      </c>
      <c r="AQ21" s="57">
        <f t="shared" si="21"/>
        <v>6.8901767573890894E-4</v>
      </c>
      <c r="AR21" s="57">
        <f t="shared" si="21"/>
        <v>1.313211903113296E-4</v>
      </c>
      <c r="AS21" s="57">
        <f t="shared" si="21"/>
        <v>9.7944846006074661E-4</v>
      </c>
      <c r="AT21" s="57">
        <f t="shared" si="21"/>
        <v>7.0246977207583116E-4</v>
      </c>
      <c r="AU21" s="57">
        <f t="shared" si="21"/>
        <v>1.1848285388677861E-3</v>
      </c>
      <c r="AV21" s="57">
        <f t="shared" si="21"/>
        <v>4.9799693518324118E-4</v>
      </c>
      <c r="AW21" s="57">
        <f t="shared" si="21"/>
        <v>5.3102910976085972E-4</v>
      </c>
      <c r="AX21" s="57">
        <f t="shared" si="21"/>
        <v>2.3272250195970843E-4</v>
      </c>
      <c r="AY21" s="57">
        <f t="shared" si="21"/>
        <v>-2.8559792555517423E-4</v>
      </c>
      <c r="AZ21" s="57">
        <f t="shared" si="21"/>
        <v>-1.2627509075267742E-3</v>
      </c>
      <c r="BA21" s="57">
        <f t="shared" si="21"/>
        <v>2.3375646675749602E-4</v>
      </c>
      <c r="BB21" s="57">
        <f t="shared" si="21"/>
        <v>1.3399483555951675E-4</v>
      </c>
      <c r="BC21" s="57">
        <f t="shared" si="21"/>
        <v>-1.3006528270840005E-4</v>
      </c>
      <c r="BD21" s="57">
        <f t="shared" si="21"/>
        <v>-2.7102928882473663E-3</v>
      </c>
      <c r="BE21" s="57">
        <f t="shared" si="21"/>
        <v>-3.9553859277264279E-4</v>
      </c>
      <c r="BF21" s="57">
        <f t="shared" si="21"/>
        <v>-7.6038782741616592E-4</v>
      </c>
      <c r="BG21" s="57">
        <f t="shared" si="21"/>
        <v>-1.546980263931119E-3</v>
      </c>
      <c r="BH21" s="57">
        <f t="shared" si="21"/>
        <v>-1.8186911854858397E-3</v>
      </c>
      <c r="BI21" s="57">
        <f t="shared" si="21"/>
        <v>-6.0700874497842609E-4</v>
      </c>
      <c r="BJ21" s="57">
        <f t="shared" si="21"/>
        <v>-4.2241464341881885E-4</v>
      </c>
      <c r="BK21" s="57">
        <f t="shared" si="21"/>
        <v>-6.4295952892610086E-4</v>
      </c>
      <c r="BL21" s="57">
        <f t="shared" si="21"/>
        <v>1.9848340177196013E-4</v>
      </c>
      <c r="BM21" s="57">
        <f t="shared" si="21"/>
        <v>-6.4174835481422511E-3</v>
      </c>
      <c r="BN21" s="57">
        <f t="shared" si="21"/>
        <v>-2.4091091498016403E-4</v>
      </c>
      <c r="BO21" s="57">
        <f t="shared" si="21"/>
        <v>3.9903469116641803E-4</v>
      </c>
      <c r="BP21" s="57">
        <f t="shared" si="21"/>
        <v>8.5170161717526997E-5</v>
      </c>
      <c r="BQ21" s="57">
        <f t="shared" si="21"/>
        <v>-8.8457866144501501E-3</v>
      </c>
      <c r="BR21" s="57">
        <f t="shared" ref="BR21:CK21" si="22">BR20/BR2</f>
        <v>-1.4225068284448117E-3</v>
      </c>
      <c r="BS21" s="57">
        <f t="shared" si="22"/>
        <v>-6.5827831355817629E-3</v>
      </c>
      <c r="BT21" s="57">
        <f t="shared" si="22"/>
        <v>-2.3670339706076437E-4</v>
      </c>
      <c r="BU21" s="57">
        <f t="shared" si="22"/>
        <v>-1.0400813325650413E-3</v>
      </c>
      <c r="BV21" s="57">
        <f t="shared" si="22"/>
        <v>6.033300143039195E-4</v>
      </c>
      <c r="BW21" s="57">
        <f t="shared" si="22"/>
        <v>7.7052338909936327E-3</v>
      </c>
      <c r="BX21" s="57">
        <f t="shared" si="22"/>
        <v>-4.5229996085683033E-4</v>
      </c>
      <c r="BY21" s="57">
        <f t="shared" si="22"/>
        <v>-1.3545620852146183E-5</v>
      </c>
      <c r="BZ21" s="57">
        <f t="shared" si="22"/>
        <v>0</v>
      </c>
      <c r="CA21" s="57">
        <f t="shared" si="22"/>
        <v>1.4556938083690599E-3</v>
      </c>
      <c r="CB21" s="57">
        <f t="shared" si="22"/>
        <v>1.438920470452161E-3</v>
      </c>
      <c r="CC21" s="57">
        <f t="shared" si="22"/>
        <v>5.520020621205983E-3</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0.15654766958195013</v>
      </c>
      <c r="F22" s="66">
        <f t="shared" ref="F22:BQ22" si="23">F11+F13+F15+F17+F19+F21</f>
        <v>0.1478843338754233</v>
      </c>
      <c r="G22" s="66">
        <f t="shared" si="23"/>
        <v>0.16157672772959919</v>
      </c>
      <c r="H22" s="66">
        <f t="shared" si="23"/>
        <v>0.15857483606655834</v>
      </c>
      <c r="I22" s="66">
        <f t="shared" si="23"/>
        <v>0.16050767500727359</v>
      </c>
      <c r="J22" s="66">
        <f t="shared" si="23"/>
        <v>0.14611990216536344</v>
      </c>
      <c r="K22" s="66">
        <f t="shared" si="23"/>
        <v>0.14910547133063171</v>
      </c>
      <c r="L22" s="66">
        <f t="shared" si="23"/>
        <v>0.15107819671430128</v>
      </c>
      <c r="M22" s="66">
        <f t="shared" si="23"/>
        <v>0.14499023703886857</v>
      </c>
      <c r="N22" s="66">
        <f t="shared" si="23"/>
        <v>0.13768033561380469</v>
      </c>
      <c r="O22" s="66">
        <f t="shared" si="23"/>
        <v>0.14760265186577881</v>
      </c>
      <c r="P22" s="66">
        <f t="shared" si="23"/>
        <v>0.14866381481725957</v>
      </c>
      <c r="Q22" s="66">
        <f t="shared" si="23"/>
        <v>0.14152145843364336</v>
      </c>
      <c r="R22" s="66">
        <f t="shared" si="23"/>
        <v>0.12597377597389364</v>
      </c>
      <c r="S22" s="66">
        <f t="shared" si="23"/>
        <v>0.13225403450793535</v>
      </c>
      <c r="T22" s="66">
        <f t="shared" si="23"/>
        <v>0.13075630303391686</v>
      </c>
      <c r="U22" s="66">
        <f t="shared" si="23"/>
        <v>0.1208271551691799</v>
      </c>
      <c r="V22" s="66">
        <f t="shared" si="23"/>
        <v>0.1356712093578023</v>
      </c>
      <c r="W22" s="66">
        <f t="shared" si="23"/>
        <v>0.14406151457327071</v>
      </c>
      <c r="X22" s="66">
        <f t="shared" si="23"/>
        <v>0.14033944824783967</v>
      </c>
      <c r="Y22" s="66">
        <f t="shared" si="23"/>
        <v>0.12841443939914354</v>
      </c>
      <c r="Z22" s="66">
        <f t="shared" si="23"/>
        <v>0.1167712509509479</v>
      </c>
      <c r="AA22" s="66">
        <f t="shared" si="23"/>
        <v>0.11875619383727794</v>
      </c>
      <c r="AB22" s="66">
        <f t="shared" si="23"/>
        <v>0.12087060050512166</v>
      </c>
      <c r="AC22" s="66">
        <f t="shared" si="23"/>
        <v>0.10496290334576305</v>
      </c>
      <c r="AD22" s="66">
        <f t="shared" si="23"/>
        <v>0.10083219115259315</v>
      </c>
      <c r="AE22" s="66">
        <f t="shared" si="23"/>
        <v>0.10060009826910797</v>
      </c>
      <c r="AF22" s="66">
        <f t="shared" si="23"/>
        <v>0.1062468750680939</v>
      </c>
      <c r="AG22" s="66">
        <f t="shared" si="23"/>
        <v>9.6392234655685999E-2</v>
      </c>
      <c r="AH22" s="66">
        <f t="shared" si="23"/>
        <v>9.4108229569837221E-2</v>
      </c>
      <c r="AI22" s="66">
        <f t="shared" si="23"/>
        <v>9.7400932899112419E-2</v>
      </c>
      <c r="AJ22" s="66">
        <f t="shared" si="23"/>
        <v>0.11052443897701444</v>
      </c>
      <c r="AK22" s="66">
        <f t="shared" si="23"/>
        <v>0.10447844141413165</v>
      </c>
      <c r="AL22" s="66">
        <f t="shared" si="23"/>
        <v>0.10513844449470496</v>
      </c>
      <c r="AM22" s="66">
        <f t="shared" si="23"/>
        <v>0.10952547886039971</v>
      </c>
      <c r="AN22" s="66">
        <f t="shared" si="23"/>
        <v>0.13604057455864563</v>
      </c>
      <c r="AO22" s="66">
        <f t="shared" si="23"/>
        <v>0.11955518772278992</v>
      </c>
      <c r="AP22" s="66">
        <f t="shared" si="23"/>
        <v>0.12416380783385138</v>
      </c>
      <c r="AQ22" s="66">
        <f t="shared" si="23"/>
        <v>9.2904422866701974E-2</v>
      </c>
      <c r="AR22" s="66">
        <f t="shared" si="23"/>
        <v>0.11848275518653635</v>
      </c>
      <c r="AS22" s="66">
        <f t="shared" si="23"/>
        <v>0.11704900503921108</v>
      </c>
      <c r="AT22" s="66">
        <f t="shared" si="23"/>
        <v>0.1122624794298787</v>
      </c>
      <c r="AU22" s="66">
        <f t="shared" si="23"/>
        <v>0.11891665963434021</v>
      </c>
      <c r="AV22" s="66">
        <f t="shared" si="23"/>
        <v>0.12484575388073976</v>
      </c>
      <c r="AW22" s="66">
        <f t="shared" si="23"/>
        <v>0.13239077587352643</v>
      </c>
      <c r="AX22" s="66">
        <f t="shared" si="23"/>
        <v>0.13384882474289733</v>
      </c>
      <c r="AY22" s="66">
        <f t="shared" si="23"/>
        <v>0.13252651451965466</v>
      </c>
      <c r="AZ22" s="66">
        <f t="shared" si="23"/>
        <v>0.12646050052765653</v>
      </c>
      <c r="BA22" s="66">
        <f t="shared" si="23"/>
        <v>0.13527175685098836</v>
      </c>
      <c r="BB22" s="66">
        <f t="shared" si="23"/>
        <v>0.12582440835835915</v>
      </c>
      <c r="BC22" s="66">
        <f t="shared" si="23"/>
        <v>0.12226339617790621</v>
      </c>
      <c r="BD22" s="66">
        <f t="shared" si="23"/>
        <v>0.11861055222713519</v>
      </c>
      <c r="BE22" s="66">
        <f t="shared" si="23"/>
        <v>0.12515642065791432</v>
      </c>
      <c r="BF22" s="66">
        <f t="shared" si="23"/>
        <v>0.12903833725046626</v>
      </c>
      <c r="BG22" s="66">
        <f t="shared" si="23"/>
        <v>0.12580313371834465</v>
      </c>
      <c r="BH22" s="66">
        <f t="shared" si="23"/>
        <v>0.15458169683990464</v>
      </c>
      <c r="BI22" s="66">
        <f t="shared" si="23"/>
        <v>0.1266180542790819</v>
      </c>
      <c r="BJ22" s="66">
        <f t="shared" si="23"/>
        <v>0.155230120460981</v>
      </c>
      <c r="BK22" s="66">
        <f t="shared" si="23"/>
        <v>0.16975472235035302</v>
      </c>
      <c r="BL22" s="66">
        <f t="shared" si="23"/>
        <v>0.1748461569435785</v>
      </c>
      <c r="BM22" s="66">
        <f t="shared" si="23"/>
        <v>0.11300785162012682</v>
      </c>
      <c r="BN22" s="66">
        <f t="shared" si="23"/>
        <v>0.14516745323230273</v>
      </c>
      <c r="BO22" s="66">
        <f t="shared" si="23"/>
        <v>0.15031258565614419</v>
      </c>
      <c r="BP22" s="66">
        <f t="shared" si="23"/>
        <v>0.17125774384508863</v>
      </c>
      <c r="BQ22" s="66">
        <f t="shared" si="23"/>
        <v>0.11834116918704116</v>
      </c>
      <c r="BR22" s="66">
        <f t="shared" ref="BR22:CJ22" si="24">BR11+BR13+BR15+BR17+BR19+BR21</f>
        <v>0.15821690406856442</v>
      </c>
      <c r="BS22" s="66">
        <f t="shared" si="24"/>
        <v>0.10868316073056021</v>
      </c>
      <c r="BT22" s="66">
        <f t="shared" si="24"/>
        <v>0.11321480908719753</v>
      </c>
      <c r="BU22" s="66">
        <f t="shared" si="24"/>
        <v>9.824081527746667E-2</v>
      </c>
      <c r="BV22" s="66">
        <f t="shared" si="24"/>
        <v>8.040457267642187E-2</v>
      </c>
      <c r="BW22" s="66">
        <f t="shared" si="24"/>
        <v>8.4886078084492819E-2</v>
      </c>
      <c r="BX22" s="66">
        <f t="shared" si="24"/>
        <v>4.9405458521433535E-2</v>
      </c>
      <c r="BY22" s="66">
        <f t="shared" si="24"/>
        <v>7.8042178119016731E-2</v>
      </c>
      <c r="BZ22" s="66">
        <f t="shared" si="24"/>
        <v>0</v>
      </c>
      <c r="CA22" s="66">
        <f t="shared" si="24"/>
        <v>7.4358723262399062E-2</v>
      </c>
      <c r="CB22" s="66">
        <f t="shared" si="24"/>
        <v>7.9067860488666222E-2</v>
      </c>
      <c r="CC22" s="66">
        <f t="shared" si="24"/>
        <v>6.9197614145766001E-2</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3095384625.9483867</v>
      </c>
      <c r="F23" s="27">
        <f>股权价值增加表!F17</f>
        <v>1856598104.8921204</v>
      </c>
      <c r="G23" s="27">
        <f>股权价值增加表!G17</f>
        <v>750500333.84514523</v>
      </c>
      <c r="H23" s="27">
        <f>股权价值增加表!H17</f>
        <v>284819934.01386189</v>
      </c>
      <c r="I23" s="27">
        <f>股权价值增加表!I17</f>
        <v>4267600376.5592198</v>
      </c>
      <c r="J23" s="27">
        <f>股权价值增加表!J17</f>
        <v>2419550366.9987845</v>
      </c>
      <c r="K23" s="27">
        <f>股权价值增加表!K17</f>
        <v>1319111579.7266903</v>
      </c>
      <c r="L23" s="27">
        <f>股权价值增加表!L17</f>
        <v>495462584.27277845</v>
      </c>
      <c r="M23" s="27">
        <f>股权价值增加表!M17</f>
        <v>3453581379.3923969</v>
      </c>
      <c r="N23" s="27">
        <f>股权价值增加表!N17</f>
        <v>1870608763.1307969</v>
      </c>
      <c r="O23" s="27">
        <f>股权价值增加表!O17</f>
        <v>889641223.41347229</v>
      </c>
      <c r="P23" s="27">
        <f>股权价值增加表!P17</f>
        <v>326143464.65726501</v>
      </c>
      <c r="Q23" s="27">
        <f>股权价值增加表!Q17</f>
        <v>2523554654.1348829</v>
      </c>
      <c r="R23" s="27">
        <f>股权价值增加表!R17</f>
        <v>1033441001.9126641</v>
      </c>
      <c r="S23" s="27">
        <f>股权价值增加表!S17</f>
        <v>629711754.66873181</v>
      </c>
      <c r="T23" s="27">
        <f>股权价值增加表!T17</f>
        <v>253710060.01093599</v>
      </c>
      <c r="U23" s="27">
        <f>股权价值增加表!U17</f>
        <v>1773680541.4003735</v>
      </c>
      <c r="V23" s="27">
        <f>股权价值增加表!V17</f>
        <v>874809722.1404326</v>
      </c>
      <c r="W23" s="27">
        <f>股权价值增加表!W17</f>
        <v>619294209.39212155</v>
      </c>
      <c r="X23" s="27">
        <f>股权价值增加表!X17</f>
        <v>245506060.41715002</v>
      </c>
      <c r="Y23" s="27">
        <f>股权价值增加表!Y17</f>
        <v>1461406891.5593734</v>
      </c>
      <c r="Z23" s="27">
        <f>股权价值增加表!Z17</f>
        <v>886331722.13141119</v>
      </c>
      <c r="AA23" s="27">
        <f>股权价值增加表!AA17</f>
        <v>518674631.90894401</v>
      </c>
      <c r="AB23" s="27">
        <f>股权价值增加表!AB17</f>
        <v>217423792.4087764</v>
      </c>
      <c r="AC23" s="27">
        <f>股权价值增加表!AC17</f>
        <v>1152642099.3689842</v>
      </c>
      <c r="AD23" s="27">
        <f>股权价值增加表!AD17</f>
        <v>688618100.28682411</v>
      </c>
      <c r="AE23" s="27">
        <f>股权价值增加表!AE17</f>
        <v>406565555.74809575</v>
      </c>
      <c r="AF23" s="27">
        <f>股权价值增加表!AF17</f>
        <v>165844437.79608873</v>
      </c>
      <c r="AG23" s="27">
        <f>股权价值增加表!AG17</f>
        <v>852515463.03624678</v>
      </c>
      <c r="AH23" s="27">
        <f>股权价值增加表!AH17</f>
        <v>544439988.11063159</v>
      </c>
      <c r="AI23" s="27">
        <f>股权价值增加表!AI17</f>
        <v>359021602.1454249</v>
      </c>
      <c r="AJ23" s="27">
        <f>股权价值增加表!AJ17</f>
        <v>148501715.80425435</v>
      </c>
      <c r="AK23" s="27">
        <f>股权价值增加表!AK17</f>
        <v>565060863.92979777</v>
      </c>
      <c r="AL23" s="27">
        <f>股权价值增加表!AL17</f>
        <v>324087120.1839996</v>
      </c>
      <c r="AM23" s="27">
        <f>股权价值增加表!AM17</f>
        <v>181307046.41304189</v>
      </c>
      <c r="AN23" s="27">
        <f>股权价值增加表!AN17</f>
        <v>56171966.818133965</v>
      </c>
      <c r="AO23" s="27">
        <f>股权价值增加表!AO17</f>
        <v>261595377.17470032</v>
      </c>
      <c r="AP23" s="27">
        <f>股权价值增加表!AP17</f>
        <v>88201042.073253393</v>
      </c>
      <c r="AQ23" s="27">
        <f>股权价值增加表!AQ17</f>
        <v>184124308.77610385</v>
      </c>
      <c r="AR23" s="27">
        <f>股权价值增加表!AR17</f>
        <v>60342509.199521653</v>
      </c>
      <c r="AS23" s="27">
        <f>股权价值增加表!AS17</f>
        <v>401836476.17868435</v>
      </c>
      <c r="AT23" s="27">
        <f>股权价值增加表!AT17</f>
        <v>147867323.19410557</v>
      </c>
      <c r="AU23" s="27">
        <f>股权价值增加表!AU17</f>
        <v>90314673.243622646</v>
      </c>
      <c r="AV23" s="27">
        <f>股权价值增加表!AV17</f>
        <v>36871983.305569068</v>
      </c>
      <c r="AW23" s="27">
        <f>股权价值增加表!AW17</f>
        <v>167350900.51504111</v>
      </c>
      <c r="AX23" s="27">
        <f>股权价值增加表!AX17</f>
        <v>60267965.041016489</v>
      </c>
      <c r="AY23" s="27">
        <f>股权价值增加表!AY17</f>
        <v>41165398.477783687</v>
      </c>
      <c r="AZ23" s="27">
        <f>股权价值增加表!AZ17</f>
        <v>24034003.00288273</v>
      </c>
      <c r="BA23" s="27">
        <f>股权价值增加表!BA17</f>
        <v>145636106.75642031</v>
      </c>
      <c r="BB23" s="27">
        <f>股权价值增加表!BB17</f>
        <v>92426431.122305095</v>
      </c>
      <c r="BC23" s="27">
        <f>股权价值增加表!BC17</f>
        <v>50872771.903626308</v>
      </c>
      <c r="BD23" s="27">
        <f>股权价值增加表!BD17</f>
        <v>24123507.727772966</v>
      </c>
      <c r="BE23" s="27">
        <f>股权价值增加表!BE17</f>
        <v>121498577.79538681</v>
      </c>
      <c r="BF23" s="27">
        <f>股权价值增加表!BF17</f>
        <v>78734666.702965945</v>
      </c>
      <c r="BG23" s="27">
        <f>股权价值增加表!BG17</f>
        <v>38100241.003878444</v>
      </c>
      <c r="BH23" s="27">
        <f>股权价值增加表!BH17</f>
        <v>19803668.132732451</v>
      </c>
      <c r="BI23" s="27">
        <f>股权价值增加表!BI17</f>
        <v>122389775.90195173</v>
      </c>
      <c r="BJ23" s="27">
        <f>股权价值增加表!BJ17</f>
        <v>63498742.786346152</v>
      </c>
      <c r="BK23" s="27">
        <f>股权价值增加表!BK17</f>
        <v>26420851.595960688</v>
      </c>
      <c r="BL23" s="27">
        <f>股权价值增加表!BL17</f>
        <v>21397607.540797055</v>
      </c>
      <c r="BM23" s="27">
        <f>股权价值增加表!BM17</f>
        <v>93432710.045941308</v>
      </c>
      <c r="BN23" s="27">
        <f>股权价值增加表!BN17</f>
        <v>52972029.790829621</v>
      </c>
      <c r="BO23" s="27">
        <f>股权价值增加表!BO17</f>
        <v>27740979.540014792</v>
      </c>
      <c r="BP23" s="27">
        <f>股权价值增加表!BP17</f>
        <v>10112245.639373686</v>
      </c>
      <c r="BQ23" s="27">
        <f>股权价值增加表!BQ17</f>
        <v>89864325.499530107</v>
      </c>
      <c r="BR23" s="27">
        <f>股权价值增加表!BR17</f>
        <v>24116484.194998045</v>
      </c>
      <c r="BS23" s="27">
        <f>股权价值增加表!BS17</f>
        <v>77921846.500596225</v>
      </c>
      <c r="BT23" s="27">
        <f>股权价值增加表!BT17</f>
        <v>21436149.692562066</v>
      </c>
      <c r="BU23" s="27">
        <f>股权价值增加表!BU17</f>
        <v>53101994.405817918</v>
      </c>
      <c r="BV23" s="27">
        <f>股权价值增加表!BV17</f>
        <v>17415170.902142704</v>
      </c>
      <c r="BW23" s="27">
        <f>股权价值增加表!BW17</f>
        <v>48223781.99733144</v>
      </c>
      <c r="BX23" s="27">
        <f>股权价值增加表!BX17</f>
        <v>23104125.654620718</v>
      </c>
      <c r="BY23" s="27">
        <f>股权价值增加表!BY17</f>
        <v>43728772.053297594</v>
      </c>
      <c r="BZ23" s="27">
        <f>股权价值增加表!BZ17</f>
        <v>153922774.69915965</v>
      </c>
      <c r="CA23" s="27">
        <f>股权价值增加表!CA17</f>
        <v>26737844.754418835</v>
      </c>
      <c r="CB23" s="27">
        <f>股权价值增加表!CB17</f>
        <v>18587190.270854674</v>
      </c>
      <c r="CC23" s="27">
        <f>股权价值增加表!CC17</f>
        <v>4896856.1222940776</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9.3172879402417905E-2</v>
      </c>
      <c r="F24" s="57">
        <f t="shared" ref="F24:BQ24" si="25">F23/F2</f>
        <v>9.7741586511380013E-2</v>
      </c>
      <c r="G24" s="57">
        <f t="shared" si="25"/>
        <v>8.0585729073818779E-2</v>
      </c>
      <c r="H24" s="57">
        <f t="shared" si="25"/>
        <v>7.3626206194556398E-2</v>
      </c>
      <c r="I24" s="57">
        <f t="shared" si="25"/>
        <v>0.11903898901647779</v>
      </c>
      <c r="J24" s="57">
        <f t="shared" si="25"/>
        <v>0.1117102675981681</v>
      </c>
      <c r="K24" s="57">
        <f t="shared" si="25"/>
        <v>9.9419619092827927E-2</v>
      </c>
      <c r="L24" s="57">
        <f t="shared" si="25"/>
        <v>9.6641898970703605E-2</v>
      </c>
      <c r="M24" s="57">
        <f t="shared" si="25"/>
        <v>0.11065314594231837</v>
      </c>
      <c r="N24" s="57">
        <f t="shared" si="25"/>
        <v>9.8822025020445209E-2</v>
      </c>
      <c r="O24" s="57">
        <f t="shared" si="25"/>
        <v>8.5647510695879378E-2</v>
      </c>
      <c r="P24" s="57">
        <f t="shared" si="25"/>
        <v>7.6320789468756464E-2</v>
      </c>
      <c r="Q24" s="57">
        <f t="shared" si="25"/>
        <v>9.8084782200397166E-2</v>
      </c>
      <c r="R24" s="57">
        <f t="shared" si="25"/>
        <v>6.888457550713209E-2</v>
      </c>
      <c r="S24" s="57">
        <f t="shared" si="25"/>
        <v>6.7410299451328815E-2</v>
      </c>
      <c r="T24" s="57">
        <f t="shared" si="25"/>
        <v>5.7714429345383692E-2</v>
      </c>
      <c r="U24" s="57">
        <f t="shared" si="25"/>
        <v>8.0279463392062045E-2</v>
      </c>
      <c r="V24" s="57">
        <f t="shared" si="25"/>
        <v>6.3997636354267112E-2</v>
      </c>
      <c r="W24" s="57">
        <f t="shared" si="25"/>
        <v>6.4084271616224681E-2</v>
      </c>
      <c r="X24" s="57">
        <f t="shared" si="25"/>
        <v>5.6602872187174587E-2</v>
      </c>
      <c r="Y24" s="57">
        <f t="shared" si="25"/>
        <v>7.3944893798340697E-2</v>
      </c>
      <c r="Z24" s="57">
        <f t="shared" si="25"/>
        <v>6.6596381323360404E-2</v>
      </c>
      <c r="AA24" s="57">
        <f t="shared" si="25"/>
        <v>6.2519218379882446E-2</v>
      </c>
      <c r="AB24" s="57">
        <f t="shared" si="25"/>
        <v>5.4775663347833847E-2</v>
      </c>
      <c r="AC24" s="57">
        <f t="shared" si="25"/>
        <v>6.8075073273315037E-2</v>
      </c>
      <c r="AD24" s="57">
        <f t="shared" si="25"/>
        <v>6.2547410129049352E-2</v>
      </c>
      <c r="AE24" s="57">
        <f t="shared" si="25"/>
        <v>6.3468682190711695E-2</v>
      </c>
      <c r="AF24" s="57">
        <f t="shared" si="25"/>
        <v>5.6257357718994205E-2</v>
      </c>
      <c r="AG24" s="57">
        <f t="shared" si="25"/>
        <v>6.325002451429193E-2</v>
      </c>
      <c r="AH24" s="57">
        <f t="shared" si="25"/>
        <v>5.9615744597394882E-2</v>
      </c>
      <c r="AI24" s="57">
        <f t="shared" si="25"/>
        <v>6.4977047999463217E-2</v>
      </c>
      <c r="AJ24" s="57">
        <f t="shared" si="25"/>
        <v>6.2996036674569766E-2</v>
      </c>
      <c r="AK24" s="57">
        <f t="shared" si="25"/>
        <v>6.4345041865440086E-2</v>
      </c>
      <c r="AL24" s="57">
        <f t="shared" si="25"/>
        <v>5.5562845751416366E-2</v>
      </c>
      <c r="AM24" s="57">
        <f t="shared" si="25"/>
        <v>5.1108365829254675E-2</v>
      </c>
      <c r="AN24" s="57">
        <f t="shared" si="25"/>
        <v>4.2484242744667985E-2</v>
      </c>
      <c r="AO24" s="57">
        <f t="shared" si="25"/>
        <v>3.1382638545229539E-2</v>
      </c>
      <c r="AP24" s="57">
        <f t="shared" si="25"/>
        <v>1.4926367881181386E-2</v>
      </c>
      <c r="AQ24" s="57">
        <f t="shared" si="25"/>
        <v>4.3126929099517326E-2</v>
      </c>
      <c r="AR24" s="57">
        <f t="shared" si="25"/>
        <v>3.4904599167661449E-2</v>
      </c>
      <c r="AS24" s="57">
        <f t="shared" si="25"/>
        <v>5.0989477091168023E-2</v>
      </c>
      <c r="AT24" s="57">
        <f t="shared" si="25"/>
        <v>3.0861479473945276E-2</v>
      </c>
      <c r="AU24" s="57">
        <f t="shared" si="25"/>
        <v>3.1973536043390184E-2</v>
      </c>
      <c r="AV24" s="57">
        <f t="shared" si="25"/>
        <v>3.0248067886796601E-2</v>
      </c>
      <c r="AW24" s="57">
        <f t="shared" si="25"/>
        <v>3.3777509955361801E-2</v>
      </c>
      <c r="AX24" s="57">
        <f t="shared" si="25"/>
        <v>1.8765088640062752E-2</v>
      </c>
      <c r="AY24" s="57">
        <f t="shared" si="25"/>
        <v>2.0186907900529471E-2</v>
      </c>
      <c r="AZ24" s="57">
        <f t="shared" si="25"/>
        <v>2.70774361859667E-2</v>
      </c>
      <c r="BA24" s="57">
        <f t="shared" si="25"/>
        <v>3.1823043156199431E-2</v>
      </c>
      <c r="BB24" s="57">
        <f t="shared" si="25"/>
        <v>3.1393109155331084E-2</v>
      </c>
      <c r="BC24" s="57">
        <f t="shared" si="25"/>
        <v>2.9936820047324553E-2</v>
      </c>
      <c r="BD24" s="57">
        <f t="shared" si="25"/>
        <v>3.2625801321670159E-2</v>
      </c>
      <c r="BE24" s="57">
        <f t="shared" si="25"/>
        <v>3.0766231604859022E-2</v>
      </c>
      <c r="BF24" s="57">
        <f t="shared" si="25"/>
        <v>2.8504513579797257E-2</v>
      </c>
      <c r="BG24" s="57">
        <f t="shared" si="25"/>
        <v>2.5626530981352539E-2</v>
      </c>
      <c r="BH24" s="57">
        <f t="shared" si="25"/>
        <v>3.4570012372214007E-2</v>
      </c>
      <c r="BI24" s="57">
        <f t="shared" si="25"/>
        <v>3.7616150627123257E-2</v>
      </c>
      <c r="BJ24" s="57">
        <f t="shared" si="25"/>
        <v>3.2623608886173987E-2</v>
      </c>
      <c r="BK24" s="57">
        <f t="shared" si="25"/>
        <v>2.19810419306956E-2</v>
      </c>
      <c r="BL24" s="57">
        <f t="shared" si="25"/>
        <v>2.862189518357941E-2</v>
      </c>
      <c r="BM24" s="57">
        <f t="shared" si="25"/>
        <v>3.4797389593047012E-2</v>
      </c>
      <c r="BN24" s="57">
        <f t="shared" si="25"/>
        <v>2.8729903545284079E-2</v>
      </c>
      <c r="BO24" s="57">
        <f t="shared" si="25"/>
        <v>2.7772296252803575E-2</v>
      </c>
      <c r="BP24" s="57">
        <f t="shared" si="25"/>
        <v>2.7732436433050178E-2</v>
      </c>
      <c r="BQ24" s="57">
        <f t="shared" si="25"/>
        <v>5.6893607850502931E-2</v>
      </c>
      <c r="BR24" s="57">
        <f t="shared" ref="BR24:CJ24" si="26">BR23/BR2</f>
        <v>3.4362259817145795E-2</v>
      </c>
      <c r="BS24" s="57">
        <f t="shared" si="26"/>
        <v>6.499074520590134E-2</v>
      </c>
      <c r="BT24" s="57">
        <f t="shared" si="26"/>
        <v>4.562768161840474E-2</v>
      </c>
      <c r="BU24" s="57">
        <f t="shared" si="26"/>
        <v>7.5848144037366838E-2</v>
      </c>
      <c r="BV24" s="57">
        <f t="shared" si="26"/>
        <v>5.4576543775735703E-2</v>
      </c>
      <c r="BW24" s="57">
        <f t="shared" si="26"/>
        <v>8.5288998454562254E-2</v>
      </c>
      <c r="BX24" s="57">
        <f t="shared" si="26"/>
        <v>0.10198486182085359</v>
      </c>
      <c r="BY24" s="57">
        <f t="shared" si="26"/>
        <v>0.10014105967447047</v>
      </c>
      <c r="BZ24" s="57">
        <f t="shared" si="26"/>
        <v>0.97982044306096105</v>
      </c>
      <c r="CA24" s="57">
        <f t="shared" si="26"/>
        <v>6.0896683185700767E-2</v>
      </c>
      <c r="CB24" s="57">
        <f t="shared" si="26"/>
        <v>6.7777703757474633E-2</v>
      </c>
      <c r="CC24" s="57">
        <f t="shared" si="26"/>
        <v>3.5580067780778706E-2</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4" t="s">
        <v>670</v>
      </c>
      <c r="B25" s="285"/>
      <c r="C25" s="285"/>
      <c r="D25" s="285"/>
      <c r="E25" s="285"/>
      <c r="F25" s="285"/>
      <c r="G25" s="285"/>
      <c r="H25" s="285"/>
      <c r="I25" s="285"/>
      <c r="J25" s="285"/>
      <c r="K25" s="285"/>
      <c r="L25" s="285"/>
      <c r="M25" s="285"/>
      <c r="N25" s="285"/>
      <c r="O25" s="285"/>
      <c r="P25" s="285"/>
      <c r="Q25" s="285"/>
      <c r="R25" s="285"/>
      <c r="S25" s="285"/>
      <c r="T25" s="285"/>
      <c r="U25" s="285"/>
      <c r="V25" s="285"/>
      <c r="W25" s="285"/>
      <c r="X25" s="285"/>
      <c r="Y25" s="285"/>
      <c r="Z25" s="285"/>
      <c r="AA25" s="285"/>
      <c r="AB25" s="285"/>
      <c r="AC25" s="285"/>
      <c r="AD25" s="285"/>
      <c r="AE25" s="285"/>
      <c r="AF25" s="285"/>
      <c r="AG25" s="285"/>
    </row>
    <row r="26" spans="1:89" s="63" customFormat="1" ht="15" thickBot="1" x14ac:dyDescent="0.3">
      <c r="A26" s="150" t="s">
        <v>600</v>
      </c>
      <c r="B26" s="151"/>
      <c r="C26" s="151"/>
      <c r="D26" s="151"/>
      <c r="E26" s="152">
        <f>POWER(E2/Y2,1/6)-1</f>
        <v>9.0419703494800219E-2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35064</v>
      </c>
      <c r="CC27" s="1">
        <v>34699</v>
      </c>
      <c r="CD27" s="1">
        <v>25569</v>
      </c>
      <c r="CE27" s="1"/>
      <c r="CF27" s="1"/>
      <c r="CG27" s="1"/>
      <c r="CH27" s="1"/>
      <c r="CI27" s="1"/>
      <c r="CJ27" s="1"/>
      <c r="CK27" s="1"/>
    </row>
    <row r="28" spans="1:89" s="26" customFormat="1" x14ac:dyDescent="0.25">
      <c r="A28" s="17" t="s">
        <v>373</v>
      </c>
      <c r="E28" s="26">
        <f>股权价值增加表!E15</f>
        <v>3611276696.210001</v>
      </c>
      <c r="F28" s="26">
        <f>股权价值增加表!F15</f>
        <v>2139502758.0400002</v>
      </c>
      <c r="G28" s="26">
        <f>股权价值增加表!G15</f>
        <v>859011734.88000023</v>
      </c>
      <c r="H28" s="26">
        <f>股权价值增加表!H15</f>
        <v>356116640.62999988</v>
      </c>
      <c r="I28" s="26">
        <f>股权价值增加表!I15</f>
        <v>4997771774.0300026</v>
      </c>
      <c r="J28" s="26">
        <f>股权价值增加表!J15</f>
        <v>2782632797.0800004</v>
      </c>
      <c r="K28" s="26">
        <f>股权价值增加表!K15</f>
        <v>1516757795.7099996</v>
      </c>
      <c r="L28" s="26">
        <f>股权价值增加表!L15</f>
        <v>571719329.65999937</v>
      </c>
      <c r="M28" s="26">
        <f>股权价值增加表!M15</f>
        <v>3931827187.3399987</v>
      </c>
      <c r="N28" s="26">
        <f>股权价值增加表!N15</f>
        <v>2128846971.3100004</v>
      </c>
      <c r="O28" s="26">
        <f>股权价值增加表!O15</f>
        <v>1003186685.1900005</v>
      </c>
      <c r="P28" s="26">
        <f>股权价值增加表!P15</f>
        <v>374950948.31999999</v>
      </c>
      <c r="Q28" s="26">
        <f>股权价值增加表!Q15</f>
        <v>2902090484.6799994</v>
      </c>
      <c r="R28" s="26">
        <f>股权价值增加表!R15</f>
        <v>1176669437.2499995</v>
      </c>
      <c r="S28" s="26">
        <f>股权价值增加表!S15</f>
        <v>716676780.75999963</v>
      </c>
      <c r="T28" s="26">
        <f>股权价值增加表!T15</f>
        <v>287076506.05000013</v>
      </c>
      <c r="U28" s="26">
        <f>股权价值增加表!U15</f>
        <v>2036673892.4000008</v>
      </c>
      <c r="V28" s="26">
        <f>股权价值增加表!V15</f>
        <v>995275458.05000067</v>
      </c>
      <c r="W28" s="26">
        <f>股权价值增加表!W15</f>
        <v>705393636.56999922</v>
      </c>
      <c r="X28" s="26">
        <f>股权价值增加表!X15</f>
        <v>279004415.41000038</v>
      </c>
      <c r="Y28" s="26">
        <f>股权价值增加表!Y15</f>
        <v>1663979942.8700001</v>
      </c>
      <c r="Z28" s="26">
        <f>股权价值增加表!Z15</f>
        <v>1009417829.0199984</v>
      </c>
      <c r="AA28" s="26">
        <f>股权价值增加表!AA15</f>
        <v>589700091.51000035</v>
      </c>
      <c r="AB28" s="26">
        <f>股权价值增加表!AB15</f>
        <v>249562107.6699999</v>
      </c>
      <c r="AC28" s="26">
        <f>股权价值增加表!AC15</f>
        <v>1348141800.6799996</v>
      </c>
      <c r="AD28" s="26">
        <f>股权价值增加表!AD15</f>
        <v>814642163.63000035</v>
      </c>
      <c r="AE28" s="26">
        <f>股权价值增加表!AE15</f>
        <v>471791462.18999964</v>
      </c>
      <c r="AF28" s="26">
        <f>股权价值增加表!AF15</f>
        <v>195058284.32999992</v>
      </c>
      <c r="AG28" s="26">
        <f>股权价值增加表!AG15</f>
        <v>975296601.75999856</v>
      </c>
      <c r="AH28" s="26">
        <f>股权价值增加表!AH15</f>
        <v>637715705.85000038</v>
      </c>
      <c r="AI28" s="26">
        <f>股权价值增加表!AI15</f>
        <v>428179992.2500003</v>
      </c>
      <c r="AJ28" s="26">
        <f>股权价值增加表!AJ15</f>
        <v>166887385.41000021</v>
      </c>
      <c r="AK28" s="26">
        <f>股权价值增加表!AK15</f>
        <v>625681479.18000007</v>
      </c>
      <c r="AL28" s="26">
        <f>股权价值增加表!AL15</f>
        <v>374855542.2900002</v>
      </c>
      <c r="AM28" s="26">
        <f>股权价值增加表!AM15</f>
        <v>208797323.50999984</v>
      </c>
      <c r="AN28" s="26">
        <f>股权价值增加表!AN15</f>
        <v>63831770.879999973</v>
      </c>
      <c r="AO28" s="26">
        <f>股权价值增加表!AO15</f>
        <v>314367223.99999958</v>
      </c>
      <c r="AP28" s="26">
        <f>股权价值增加表!AP15</f>
        <v>108895624.72000024</v>
      </c>
      <c r="AQ28" s="26">
        <f>股权价值增加表!AQ15</f>
        <v>233449100.36000001</v>
      </c>
      <c r="AR28" s="26">
        <f>股权价值增加表!AR15</f>
        <v>79716133.289999858</v>
      </c>
      <c r="AS28" s="26">
        <f>股权价值增加表!AS15</f>
        <v>551172758.25000012</v>
      </c>
      <c r="AT28" s="26">
        <f>股权价值增加表!AT15</f>
        <v>223775984.77000001</v>
      </c>
      <c r="AU28" s="26">
        <f>股权价值增加表!AU15</f>
        <v>135286459.87999988</v>
      </c>
      <c r="AV28" s="26">
        <f>股权价值增加表!AV15</f>
        <v>57460511.839999996</v>
      </c>
      <c r="AW28" s="26">
        <f>股权价值增加表!AW15</f>
        <v>259833598.4600001</v>
      </c>
      <c r="AX28" s="26">
        <f>股权价值增加表!AX15</f>
        <v>123297227.17000011</v>
      </c>
      <c r="AY28" s="26">
        <f>股权价值增加表!AY15</f>
        <v>84245183.180000216</v>
      </c>
      <c r="AZ28" s="26">
        <f>股权价值增加表!AZ15</f>
        <v>40953837.230000079</v>
      </c>
      <c r="BA28" s="26">
        <f>股权价值增加表!BA15</f>
        <v>229138659.39999929</v>
      </c>
      <c r="BB28" s="26">
        <f>股权价值增加表!BB15</f>
        <v>146783451.68000019</v>
      </c>
      <c r="BC28" s="26">
        <f>股权价值增加表!BC15</f>
        <v>80874282.25999999</v>
      </c>
      <c r="BD28" s="26">
        <f>股权价值增加表!BD15</f>
        <v>36603364.789999917</v>
      </c>
      <c r="BE28" s="26">
        <f>股权价值增加表!BE15</f>
        <v>175136480.55999994</v>
      </c>
      <c r="BF28" s="26">
        <f>股权价值增加表!BF15</f>
        <v>128982177.87000009</v>
      </c>
      <c r="BG28" s="26">
        <f>股权价值增加表!BG15</f>
        <v>63510482.390000001</v>
      </c>
      <c r="BH28" s="26">
        <f>股权价值增加表!BH15</f>
        <v>32097527.540000018</v>
      </c>
      <c r="BI28" s="26">
        <f>股权价值增加表!BI15</f>
        <v>179050897.63000005</v>
      </c>
      <c r="BJ28" s="26">
        <f>股权价值增加表!BJ15</f>
        <v>100503491.20000011</v>
      </c>
      <c r="BK28" s="26">
        <f>股权价值增加表!BK15</f>
        <v>47036903.640000142</v>
      </c>
      <c r="BL28" s="26">
        <f>股权价值增加表!BL15</f>
        <v>33265912.949999951</v>
      </c>
      <c r="BM28" s="26">
        <f>股权价值增加表!BM15</f>
        <v>161760465.08000007</v>
      </c>
      <c r="BN28" s="26">
        <f>股权价值增加表!BN15</f>
        <v>97582246.939999864</v>
      </c>
      <c r="BO28" s="26">
        <f>股权价值增加表!BO15</f>
        <v>51054605.000000037</v>
      </c>
      <c r="BP28" s="26">
        <f>股权价值增加表!BP15</f>
        <v>16252530.889999978</v>
      </c>
      <c r="BQ28" s="26">
        <f>股权价值增加表!BQ15</f>
        <v>113367973.48999992</v>
      </c>
      <c r="BR28" s="26">
        <f>股权价值增加表!BR15</f>
        <v>33320098.020000007</v>
      </c>
      <c r="BS28" s="26">
        <f>股权价值增加表!BS15</f>
        <v>97883917.369999915</v>
      </c>
      <c r="BT28" s="26">
        <f>股权价值增加表!BT15</f>
        <v>32670988.930000041</v>
      </c>
      <c r="BU28" s="26">
        <f>股权价值增加表!BU15</f>
        <v>78974071.799999967</v>
      </c>
      <c r="BV28" s="26">
        <f>股权价值增加表!BV15</f>
        <v>26245462.21000002</v>
      </c>
      <c r="BW28" s="26">
        <f>股权价值增加表!BW15</f>
        <v>71263423.019999996</v>
      </c>
      <c r="BX28" s="26">
        <f>股权价值增加表!BX15</f>
        <v>26772373.46000002</v>
      </c>
      <c r="BY28" s="26">
        <f>股权价值增加表!BY15</f>
        <v>51880511.099999964</v>
      </c>
      <c r="BZ28" s="26">
        <f>股权价值增加表!BZ15</f>
        <v>157092838.58000001</v>
      </c>
      <c r="CA28" s="26">
        <f>股权价值增加表!CA15</f>
        <v>38634764</v>
      </c>
      <c r="CB28" s="26">
        <f>股权价值增加表!CB15</f>
        <v>28202132</v>
      </c>
      <c r="CC28" s="26">
        <f>股权价值增加表!CC15</f>
        <v>7764996</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378</v>
      </c>
      <c r="E29" s="59">
        <f t="shared" ref="E29:AJ29" si="27">E28/E34</f>
        <v>0.94887507356419398</v>
      </c>
      <c r="F29" s="59">
        <f t="shared" si="27"/>
        <v>0.92550860521601941</v>
      </c>
      <c r="G29" s="59">
        <f t="shared" si="27"/>
        <v>0.88237617394278145</v>
      </c>
      <c r="H29" s="59">
        <f t="shared" si="27"/>
        <v>0.82762436929887861</v>
      </c>
      <c r="I29" s="59">
        <f t="shared" si="27"/>
        <v>1.004019147740898</v>
      </c>
      <c r="J29" s="59">
        <f t="shared" si="27"/>
        <v>1.0060911647175266</v>
      </c>
      <c r="K29" s="59">
        <f t="shared" si="27"/>
        <v>1.0110350809447082</v>
      </c>
      <c r="L29" s="59">
        <f t="shared" si="27"/>
        <v>1.1786481333094496</v>
      </c>
      <c r="M29" s="59">
        <f t="shared" si="27"/>
        <v>0.93540735901705097</v>
      </c>
      <c r="N29" s="59">
        <f t="shared" si="27"/>
        <v>1.0477560789789733</v>
      </c>
      <c r="O29" s="59">
        <f t="shared" si="27"/>
        <v>1.0275966026951013</v>
      </c>
      <c r="P29" s="59">
        <f t="shared" si="27"/>
        <v>0.9749407932324119</v>
      </c>
      <c r="Q29" s="59">
        <f t="shared" si="27"/>
        <v>0.93044648359108284</v>
      </c>
      <c r="R29" s="59">
        <f t="shared" si="27"/>
        <v>0.94680079358442881</v>
      </c>
      <c r="S29" s="59">
        <f t="shared" si="27"/>
        <v>0.94391141558605163</v>
      </c>
      <c r="T29" s="59">
        <f t="shared" si="27"/>
        <v>0.96843640233935957</v>
      </c>
      <c r="U29" s="59">
        <f t="shared" si="27"/>
        <v>0.95180101059524391</v>
      </c>
      <c r="V29" s="59">
        <f t="shared" si="27"/>
        <v>0.97620871309936785</v>
      </c>
      <c r="W29" s="59">
        <f t="shared" si="27"/>
        <v>0.9767648159539758</v>
      </c>
      <c r="X29" s="59">
        <f t="shared" si="27"/>
        <v>0.9679643325315237</v>
      </c>
      <c r="Y29" s="59">
        <f t="shared" si="27"/>
        <v>0.93310229894315377</v>
      </c>
      <c r="Z29" s="59">
        <f t="shared" si="27"/>
        <v>0.94027634899446277</v>
      </c>
      <c r="AA29" s="59">
        <f t="shared" si="27"/>
        <v>0.90575585516854717</v>
      </c>
      <c r="AB29" s="59">
        <f t="shared" si="27"/>
        <v>0.90643080869701798</v>
      </c>
      <c r="AC29" s="59">
        <f t="shared" si="27"/>
        <v>1.1213785175851296</v>
      </c>
      <c r="AD29" s="59">
        <f t="shared" si="27"/>
        <v>1.2519229377138814</v>
      </c>
      <c r="AE29" s="59">
        <f t="shared" si="27"/>
        <v>1.1384176345822417</v>
      </c>
      <c r="AF29" s="59">
        <f t="shared" si="27"/>
        <v>1.2838786450209858</v>
      </c>
      <c r="AG29" s="59">
        <f t="shared" si="27"/>
        <v>1.0200921890851109</v>
      </c>
      <c r="AH29" s="59">
        <f t="shared" si="27"/>
        <v>1.0719662119672537</v>
      </c>
      <c r="AI29" s="59">
        <f t="shared" si="27"/>
        <v>1.2258805147088696</v>
      </c>
      <c r="AJ29" s="59">
        <f t="shared" si="27"/>
        <v>1.0024490932229264</v>
      </c>
      <c r="AK29" s="59">
        <f t="shared" ref="AK29:BP29" si="28">AK28/AK34</f>
        <v>0.69573945094060652</v>
      </c>
      <c r="AL29" s="59">
        <f t="shared" si="28"/>
        <v>0.93805119061744713</v>
      </c>
      <c r="AM29" s="59">
        <f t="shared" si="28"/>
        <v>0.92821199475004079</v>
      </c>
      <c r="AN29" s="59">
        <f t="shared" si="28"/>
        <v>1.000447539193057</v>
      </c>
      <c r="AO29" s="59">
        <f t="shared" si="28"/>
        <v>0.48325187419833771</v>
      </c>
      <c r="AP29" s="59">
        <f t="shared" si="28"/>
        <v>0.23135007640777772</v>
      </c>
      <c r="AQ29" s="59">
        <f t="shared" si="28"/>
        <v>0.4552038842830467</v>
      </c>
      <c r="AR29" s="59">
        <f t="shared" si="28"/>
        <v>0.23340802671669719</v>
      </c>
      <c r="AS29" s="59">
        <f t="shared" si="28"/>
        <v>0.89498408064779955</v>
      </c>
      <c r="AT29" s="59">
        <f t="shared" si="28"/>
        <v>0.88843449914224881</v>
      </c>
      <c r="AU29" s="59">
        <f t="shared" si="28"/>
        <v>0.9082517530458204</v>
      </c>
      <c r="AV29" s="59">
        <f t="shared" si="28"/>
        <v>0.88080667218275344</v>
      </c>
      <c r="AW29" s="59">
        <f t="shared" si="28"/>
        <v>0.9517056977514452</v>
      </c>
      <c r="AX29" s="59">
        <f t="shared" si="28"/>
        <v>0.98340102242104188</v>
      </c>
      <c r="AY29" s="59">
        <f t="shared" si="28"/>
        <v>1.0843053136942911</v>
      </c>
      <c r="AZ29" s="59">
        <f t="shared" si="28"/>
        <v>0.97216646394044604</v>
      </c>
      <c r="BA29" s="59">
        <f t="shared" si="28"/>
        <v>0.96151333059779487</v>
      </c>
      <c r="BB29" s="59">
        <f t="shared" si="28"/>
        <v>0.95203018102973613</v>
      </c>
      <c r="BC29" s="59">
        <f t="shared" si="28"/>
        <v>0.9419444579516888</v>
      </c>
      <c r="BD29" s="59">
        <f t="shared" si="28"/>
        <v>0.92307505240198029</v>
      </c>
      <c r="BE29" s="59">
        <f t="shared" si="28"/>
        <v>0.98766913781653543</v>
      </c>
      <c r="BF29" s="59">
        <f t="shared" si="28"/>
        <v>0.98794396814797791</v>
      </c>
      <c r="BG29" s="59">
        <f t="shared" si="28"/>
        <v>0.9817065126308312</v>
      </c>
      <c r="BH29" s="59">
        <f t="shared" si="28"/>
        <v>0.97449717502384214</v>
      </c>
      <c r="BI29" s="59">
        <f t="shared" si="28"/>
        <v>1.0027237126832105</v>
      </c>
      <c r="BJ29" s="59">
        <f t="shared" si="28"/>
        <v>0.99844189206751033</v>
      </c>
      <c r="BK29" s="59">
        <f t="shared" si="28"/>
        <v>0.99667668531815745</v>
      </c>
      <c r="BL29" s="59">
        <f t="shared" si="28"/>
        <v>0.99644122418921988</v>
      </c>
      <c r="BM29" s="59">
        <f t="shared" si="28"/>
        <v>0.9948324793756822</v>
      </c>
      <c r="BN29" s="59">
        <f t="shared" si="28"/>
        <v>0.98916568368191249</v>
      </c>
      <c r="BO29" s="59">
        <f t="shared" si="28"/>
        <v>0.9794944999296874</v>
      </c>
      <c r="BP29" s="59">
        <f t="shared" si="28"/>
        <v>1</v>
      </c>
      <c r="BQ29" s="59">
        <f t="shared" ref="BQ29:CK29" si="29">BQ28/BQ34</f>
        <v>0.95390983440530674</v>
      </c>
      <c r="BR29" s="59">
        <f t="shared" si="29"/>
        <v>0.82638931094543</v>
      </c>
      <c r="BS29" s="59">
        <f t="shared" si="29"/>
        <v>1</v>
      </c>
      <c r="BT29" s="59">
        <f t="shared" si="29"/>
        <v>1</v>
      </c>
      <c r="BU29" s="59">
        <f t="shared" si="29"/>
        <v>0.87527122616188391</v>
      </c>
      <c r="BV29" s="59">
        <f t="shared" si="29"/>
        <v>0.85363693772876936</v>
      </c>
      <c r="BW29" s="59">
        <f t="shared" si="29"/>
        <v>0.91048916052869022</v>
      </c>
      <c r="BX29" s="59">
        <f t="shared" si="29"/>
        <v>1</v>
      </c>
      <c r="BY29" s="59">
        <f t="shared" si="29"/>
        <v>0.87991488612204882</v>
      </c>
      <c r="BZ29" s="59">
        <f t="shared" si="29"/>
        <v>0.97875435142184652</v>
      </c>
      <c r="CA29" s="59">
        <f t="shared" si="29"/>
        <v>0.99971929542738258</v>
      </c>
      <c r="CB29" s="59">
        <f t="shared" si="29"/>
        <v>0.99930238375838265</v>
      </c>
      <c r="CC29" s="59">
        <f t="shared" si="29"/>
        <v>0.99770059766986363</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32853540.620000001</v>
      </c>
      <c r="F30" s="26">
        <f>股权价值增加表!F20</f>
        <v>39298991.979999997</v>
      </c>
      <c r="G30" s="26">
        <f>股权价值增加表!G20</f>
        <v>31041593.670000002</v>
      </c>
      <c r="H30" s="26">
        <f>股权价值增加表!H20</f>
        <v>13815692.869999999</v>
      </c>
      <c r="I30" s="26">
        <f>股权价值增加表!I20</f>
        <v>28640929.300000001</v>
      </c>
      <c r="J30" s="26">
        <f>股权价值增加表!J20</f>
        <v>11416697.560000001</v>
      </c>
      <c r="K30" s="26">
        <f>股权价值增加表!K20</f>
        <v>6272506.4699999997</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3666330</v>
      </c>
      <c r="AG30" s="26">
        <f>股权价值增加表!AG20</f>
        <v>0</v>
      </c>
      <c r="AH30" s="26">
        <f>股权价值增加表!AH20</f>
        <v>0</v>
      </c>
      <c r="AI30" s="26">
        <f>股权价值增加表!AI20</f>
        <v>0</v>
      </c>
      <c r="AJ30" s="26">
        <f>股权价值增加表!AJ20</f>
        <v>0</v>
      </c>
      <c r="AK30" s="26">
        <f>股权价值增加表!AK20</f>
        <v>-1328374.43</v>
      </c>
      <c r="AL30" s="26">
        <f>股权价值增加表!AL20</f>
        <v>5277574.4800000004</v>
      </c>
      <c r="AM30" s="26">
        <f>股权价值增加表!AM20</f>
        <v>5277574.4800000004</v>
      </c>
      <c r="AN30" s="26">
        <f>股权价值增加表!AN20</f>
        <v>-1338498.1499999999</v>
      </c>
      <c r="AO30" s="26">
        <f>股权价值增加表!AO20</f>
        <v>-3638378.98</v>
      </c>
      <c r="AP30" s="26">
        <f>股权价值增加表!AP20</f>
        <v>-2473518.4700000002</v>
      </c>
      <c r="AQ30" s="26">
        <f>股权价值增加表!AQ20</f>
        <v>-1793591.05</v>
      </c>
      <c r="AR30" s="26">
        <f>股权价值增加表!AR20</f>
        <v>-837793.33</v>
      </c>
      <c r="AS30" s="26">
        <f>股权价值增加表!AS20</f>
        <v>-1330461.3600000001</v>
      </c>
      <c r="AT30" s="26">
        <f>股权价值增加表!AT20</f>
        <v>-247631.13</v>
      </c>
      <c r="AU30" s="26">
        <f>股权价值增加表!AU20</f>
        <v>146578.22</v>
      </c>
      <c r="AV30" s="26">
        <f>股权价值增加表!AV20</f>
        <v>-72900.740000000005</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379</v>
      </c>
      <c r="E31" s="59">
        <f>E30/E34</f>
        <v>8.6323780743146721E-3</v>
      </c>
      <c r="F31" s="59">
        <f t="shared" ref="F31:BQ31" si="30">F30/F34</f>
        <v>1.7000003910780343E-2</v>
      </c>
      <c r="G31" s="59">
        <f t="shared" si="30"/>
        <v>3.1885900440518859E-2</v>
      </c>
      <c r="H31" s="59">
        <f t="shared" si="30"/>
        <v>3.2108030890476522E-2</v>
      </c>
      <c r="I31" s="59">
        <f t="shared" si="30"/>
        <v>5.7537724262878044E-3</v>
      </c>
      <c r="J31" s="59">
        <f t="shared" si="30"/>
        <v>4.1278312242353397E-3</v>
      </c>
      <c r="K31" s="59">
        <f t="shared" si="30"/>
        <v>4.1811053185680661E-3</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2.4131878370447845E-2</v>
      </c>
      <c r="AG31" s="59">
        <f t="shared" si="30"/>
        <v>0</v>
      </c>
      <c r="AH31" s="59">
        <f t="shared" si="30"/>
        <v>0</v>
      </c>
      <c r="AI31" s="59">
        <f t="shared" si="30"/>
        <v>0</v>
      </c>
      <c r="AJ31" s="59">
        <f t="shared" si="30"/>
        <v>0</v>
      </c>
      <c r="AK31" s="59">
        <f t="shared" si="30"/>
        <v>-1.4771133992698233E-3</v>
      </c>
      <c r="AL31" s="59">
        <f t="shared" si="30"/>
        <v>1.3206780922306028E-2</v>
      </c>
      <c r="AM31" s="59">
        <f t="shared" si="30"/>
        <v>2.3461545642313262E-2</v>
      </c>
      <c r="AN31" s="59">
        <f t="shared" si="30"/>
        <v>-2.097853720679917E-2</v>
      </c>
      <c r="AO31" s="59">
        <f t="shared" si="30"/>
        <v>-5.5929922933977321E-3</v>
      </c>
      <c r="AP31" s="59">
        <f t="shared" si="30"/>
        <v>-5.2550200111524574E-3</v>
      </c>
      <c r="AQ31" s="59">
        <f t="shared" si="30"/>
        <v>-3.4973345860672316E-3</v>
      </c>
      <c r="AR31" s="59">
        <f t="shared" si="30"/>
        <v>-2.4530503410185047E-3</v>
      </c>
      <c r="AS31" s="59">
        <f t="shared" si="30"/>
        <v>-2.1603784281677548E-3</v>
      </c>
      <c r="AT31" s="59">
        <f t="shared" si="30"/>
        <v>-9.8314409912977126E-4</v>
      </c>
      <c r="AU31" s="59">
        <f t="shared" si="30"/>
        <v>9.8405949413875706E-4</v>
      </c>
      <c r="AV31" s="59">
        <f t="shared" si="30"/>
        <v>-1.1174884480294623E-3</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161720287.46000001</v>
      </c>
      <c r="F32" s="26">
        <f>股权价值增加表!F27</f>
        <v>132903128.77000001</v>
      </c>
      <c r="G32" s="26">
        <f>股权价值增加表!G27</f>
        <v>83467671.050000012</v>
      </c>
      <c r="H32" s="26">
        <f>股权价值增加表!H27</f>
        <v>60355432.109999999</v>
      </c>
      <c r="I32" s="26">
        <f>股权价值增加表!I27</f>
        <v>-48647303.859999985</v>
      </c>
      <c r="J32" s="26">
        <f>股权价值增加表!J27</f>
        <v>-28263555.289999999</v>
      </c>
      <c r="K32" s="26">
        <f>股权价值增加表!K27</f>
        <v>-22827367.290000003</v>
      </c>
      <c r="L32" s="26">
        <f>股权价值增加表!L27</f>
        <v>-86655710.160000011</v>
      </c>
      <c r="M32" s="26">
        <f>股权价值增加表!M27</f>
        <v>271504280.43000001</v>
      </c>
      <c r="N32" s="26">
        <f>股权价值增加表!N27</f>
        <v>-97031538.289999992</v>
      </c>
      <c r="O32" s="26">
        <f>股权价值增加表!O27</f>
        <v>-26941062.579999998</v>
      </c>
      <c r="P32" s="26">
        <f>股权价值增加表!P27</f>
        <v>9637480.9700000007</v>
      </c>
      <c r="Q32" s="26">
        <f>股权价值增加表!Q27</f>
        <v>216939503.46000001</v>
      </c>
      <c r="R32" s="26">
        <f>股权价值增加表!R27</f>
        <v>66115154</v>
      </c>
      <c r="S32" s="26">
        <f>股权价值增加表!S27</f>
        <v>42585973.059999995</v>
      </c>
      <c r="T32" s="26">
        <f>股权价值增加表!T27</f>
        <v>9356491.8800000008</v>
      </c>
      <c r="U32" s="26">
        <f>股权价值增加表!U27</f>
        <v>103136708.47999999</v>
      </c>
      <c r="V32" s="26">
        <f>股权价值增加表!V27</f>
        <v>24255964.579999998</v>
      </c>
      <c r="W32" s="26">
        <f>股权价值增加表!W27</f>
        <v>16779833.490000002</v>
      </c>
      <c r="X32" s="26">
        <f>股权价值增加表!X27</f>
        <v>9233907.0499999989</v>
      </c>
      <c r="Y32" s="26">
        <f>股权价值增加表!Y27</f>
        <v>119297136.99000001</v>
      </c>
      <c r="Z32" s="26">
        <f>股权价值增加表!Z27</f>
        <v>64115319.079999998</v>
      </c>
      <c r="AA32" s="26">
        <f>股权价值增加表!AA27</f>
        <v>61358456.049999997</v>
      </c>
      <c r="AB32" s="26">
        <f>股权价值增加表!AB27</f>
        <v>25761839.039999999</v>
      </c>
      <c r="AC32" s="26">
        <f>股权价值增加表!AC27</f>
        <v>-145923477.84</v>
      </c>
      <c r="AD32" s="26">
        <f>股权价值增加表!AD27</f>
        <v>-163929456.72999999</v>
      </c>
      <c r="AE32" s="26">
        <f>股权价值增加表!AE27</f>
        <v>-57364060.630000003</v>
      </c>
      <c r="AF32" s="26">
        <f>股权价值增加表!AF27</f>
        <v>-46795703.380000003</v>
      </c>
      <c r="AG32" s="26">
        <f>股权价值增加表!AG27</f>
        <v>-19209875.289999999</v>
      </c>
      <c r="AH32" s="26">
        <f>股权价值增加表!AH27</f>
        <v>-42812901.329999998</v>
      </c>
      <c r="AI32" s="26">
        <f>股权价值增加表!AI27</f>
        <v>-78896365.409999996</v>
      </c>
      <c r="AJ32" s="26">
        <f>股权价值增加表!AJ27</f>
        <v>-407724.20999999996</v>
      </c>
      <c r="AK32" s="26">
        <f>股权价值增加表!AK27</f>
        <v>274951194.19999999</v>
      </c>
      <c r="AL32" s="26">
        <f>股权价值增加表!AL27</f>
        <v>19477849.07</v>
      </c>
      <c r="AM32" s="26">
        <f>股权价值增加表!AM27</f>
        <v>10870830.67</v>
      </c>
      <c r="AN32" s="26">
        <f>股权价值增加表!AN27</f>
        <v>1309943.71</v>
      </c>
      <c r="AO32" s="26">
        <f>股权价值增加表!AO27</f>
        <v>339795738.08999997</v>
      </c>
      <c r="AP32" s="26">
        <f>股权价值增加表!AP27</f>
        <v>364274192.67000002</v>
      </c>
      <c r="AQ32" s="26">
        <f>股权价值增加表!AQ27</f>
        <v>281189632.00000006</v>
      </c>
      <c r="AR32" s="26">
        <f>股权价值增加表!AR27</f>
        <v>262652902.17999995</v>
      </c>
      <c r="AS32" s="26">
        <f>股权价值增加表!AS27</f>
        <v>66004141.240000002</v>
      </c>
      <c r="AT32" s="26">
        <f>股权价值增加表!AT27</f>
        <v>28348385.710000001</v>
      </c>
      <c r="AU32" s="26">
        <f>股权价值增加表!AU27</f>
        <v>13519561.689999999</v>
      </c>
      <c r="AV32" s="26">
        <f>股权价值增加表!AV27</f>
        <v>7848624.79</v>
      </c>
      <c r="AW32" s="26">
        <f>股权价值增加表!AW27</f>
        <v>13185255.029999999</v>
      </c>
      <c r="AX32" s="26">
        <f>股权价值增加表!AX27</f>
        <v>2081152.92</v>
      </c>
      <c r="AY32" s="26">
        <f>股权价值增加表!AY27</f>
        <v>-6550107.71</v>
      </c>
      <c r="AZ32" s="26">
        <f>股权价值增加表!AZ27</f>
        <v>1172525.6399999999</v>
      </c>
      <c r="BA32" s="26">
        <f>股权价值增加表!BA27</f>
        <v>9171774.9000000004</v>
      </c>
      <c r="BB32" s="26">
        <f>股权价值增加表!BB27</f>
        <v>7395958.3899999997</v>
      </c>
      <c r="BC32" s="26">
        <f>股权价值增加表!BC27</f>
        <v>4984582.96</v>
      </c>
      <c r="BD32" s="26">
        <f>股权价值增加表!BD27</f>
        <v>3050360.76</v>
      </c>
      <c r="BE32" s="26">
        <f>股权价值增加表!BE27</f>
        <v>2186545.7999999998</v>
      </c>
      <c r="BF32" s="26">
        <f>股权价值增加表!BF27</f>
        <v>1573989.31</v>
      </c>
      <c r="BG32" s="26">
        <f>股权价值增加表!BG27</f>
        <v>1183478.1499999999</v>
      </c>
      <c r="BH32" s="26">
        <f>股权价值增加表!BH27</f>
        <v>840000</v>
      </c>
      <c r="BI32" s="26">
        <f>股权价值增加表!BI27</f>
        <v>-486358.5</v>
      </c>
      <c r="BJ32" s="26">
        <f>股权价值增加表!BJ27</f>
        <v>156839.66</v>
      </c>
      <c r="BK32" s="26">
        <f>股权价值增加表!BK27</f>
        <v>156839.66</v>
      </c>
      <c r="BL32" s="26">
        <f>股权价值增加表!BL27</f>
        <v>118808.74</v>
      </c>
      <c r="BM32" s="26">
        <f>股权价值增加表!BM27</f>
        <v>840242.51</v>
      </c>
      <c r="BN32" s="26">
        <f>股权价值增加表!BN27</f>
        <v>1068816.83</v>
      </c>
      <c r="BO32" s="26">
        <f>股权价值增加表!BO27</f>
        <v>1068816.83</v>
      </c>
      <c r="BP32" s="26">
        <f>股权价值增加表!BP27</f>
        <v>0</v>
      </c>
      <c r="BQ32" s="26">
        <f>股权价值增加表!BQ27</f>
        <v>5477612.75</v>
      </c>
      <c r="BR32" s="26">
        <f>股权价值增加表!BR27</f>
        <v>7000000</v>
      </c>
      <c r="BS32" s="26">
        <f>股权价值增加表!BS27</f>
        <v>0</v>
      </c>
      <c r="BT32" s="26">
        <f>股权价值增加表!BT27</f>
        <v>0</v>
      </c>
      <c r="BU32" s="26">
        <f>股权价值增加表!BU27</f>
        <v>11254042</v>
      </c>
      <c r="BV32" s="26">
        <f>股权价值增加表!BV27</f>
        <v>4500000</v>
      </c>
      <c r="BW32" s="26">
        <f>股权价值增加表!BW27</f>
        <v>7005958</v>
      </c>
      <c r="BX32" s="26">
        <f>股权价值增加表!BX27</f>
        <v>0</v>
      </c>
      <c r="BY32" s="26">
        <f>股权价值增加表!BY27</f>
        <v>7080317.8600000003</v>
      </c>
      <c r="BZ32" s="26">
        <f>股权价值增加表!BZ27</f>
        <v>3409986.62</v>
      </c>
      <c r="CA32" s="26">
        <f>股权价值增加表!CA27</f>
        <v>10848</v>
      </c>
      <c r="CB32" s="26">
        <f>股权价值增加表!CB27</f>
        <v>19688</v>
      </c>
      <c r="CC32" s="26">
        <f>股权价值增加表!CC27</f>
        <v>17896</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380</v>
      </c>
      <c r="E33" s="59">
        <f>E32/E34</f>
        <v>4.2492548361491335E-2</v>
      </c>
      <c r="F33" s="59">
        <f t="shared" ref="F33:BQ33" si="32">F32/F34</f>
        <v>5.74913908732003E-2</v>
      </c>
      <c r="G33" s="59">
        <f t="shared" si="32"/>
        <v>8.5737925616699767E-2</v>
      </c>
      <c r="H33" s="59">
        <f t="shared" si="32"/>
        <v>0.14026759981064482</v>
      </c>
      <c r="I33" s="59">
        <f t="shared" si="32"/>
        <v>-9.7729201671857818E-3</v>
      </c>
      <c r="J33" s="59">
        <f t="shared" si="32"/>
        <v>-1.0218995941761979E-2</v>
      </c>
      <c r="K33" s="59">
        <f t="shared" si="32"/>
        <v>-1.5216186263276301E-2</v>
      </c>
      <c r="L33" s="59">
        <f t="shared" si="32"/>
        <v>-0.17864813330944959</v>
      </c>
      <c r="M33" s="59">
        <f t="shared" si="32"/>
        <v>6.4592640982949104E-2</v>
      </c>
      <c r="N33" s="59">
        <f t="shared" si="32"/>
        <v>-4.7756078978973306E-2</v>
      </c>
      <c r="O33" s="59">
        <f t="shared" si="32"/>
        <v>-2.7596602695101311E-2</v>
      </c>
      <c r="P33" s="59">
        <f t="shared" si="32"/>
        <v>2.5059206767587983E-2</v>
      </c>
      <c r="Q33" s="59">
        <f t="shared" si="32"/>
        <v>6.9553516408917118E-2</v>
      </c>
      <c r="R33" s="59">
        <f t="shared" si="32"/>
        <v>5.3199206415571194E-2</v>
      </c>
      <c r="S33" s="59">
        <f t="shared" si="32"/>
        <v>5.6088584413948435E-2</v>
      </c>
      <c r="T33" s="59">
        <f t="shared" si="32"/>
        <v>3.1563597660640492E-2</v>
      </c>
      <c r="U33" s="59">
        <f t="shared" si="32"/>
        <v>4.8198989404756122E-2</v>
      </c>
      <c r="V33" s="59">
        <f t="shared" si="32"/>
        <v>2.379128690063215E-2</v>
      </c>
      <c r="W33" s="59">
        <f t="shared" si="32"/>
        <v>2.3235184046024163E-2</v>
      </c>
      <c r="X33" s="59">
        <f t="shared" si="32"/>
        <v>3.2035667468476241E-2</v>
      </c>
      <c r="Y33" s="59">
        <f t="shared" si="32"/>
        <v>6.689770105684624E-2</v>
      </c>
      <c r="Z33" s="59">
        <f t="shared" si="32"/>
        <v>5.9723651005537205E-2</v>
      </c>
      <c r="AA33" s="59">
        <f t="shared" si="32"/>
        <v>9.4244144831452839E-2</v>
      </c>
      <c r="AB33" s="59">
        <f t="shared" si="32"/>
        <v>9.3569191302981983E-2</v>
      </c>
      <c r="AC33" s="59">
        <f t="shared" si="32"/>
        <v>-0.12137851758512967</v>
      </c>
      <c r="AD33" s="59">
        <f t="shared" si="32"/>
        <v>-0.25192293771388147</v>
      </c>
      <c r="AE33" s="59">
        <f t="shared" si="32"/>
        <v>-0.13841763458224177</v>
      </c>
      <c r="AF33" s="59">
        <f t="shared" si="32"/>
        <v>-0.3080105233914337</v>
      </c>
      <c r="AG33" s="59">
        <f t="shared" si="32"/>
        <v>-2.0092189085110988E-2</v>
      </c>
      <c r="AH33" s="59">
        <f t="shared" si="32"/>
        <v>-7.196621196725364E-2</v>
      </c>
      <c r="AI33" s="59">
        <f t="shared" si="32"/>
        <v>-0.22588051470886958</v>
      </c>
      <c r="AJ33" s="59">
        <f t="shared" si="32"/>
        <v>-2.4490932229263782E-3</v>
      </c>
      <c r="AK33" s="59">
        <f t="shared" si="32"/>
        <v>0.30573766245866335</v>
      </c>
      <c r="AL33" s="59">
        <f t="shared" si="32"/>
        <v>4.8742028460246799E-2</v>
      </c>
      <c r="AM33" s="59">
        <f t="shared" si="32"/>
        <v>4.8326459607646095E-2</v>
      </c>
      <c r="AN33" s="59">
        <f t="shared" si="32"/>
        <v>2.0530998013742148E-2</v>
      </c>
      <c r="AO33" s="59">
        <f t="shared" si="32"/>
        <v>0.52234111809506001</v>
      </c>
      <c r="AP33" s="59">
        <f t="shared" si="32"/>
        <v>0.7739049436033747</v>
      </c>
      <c r="AQ33" s="59">
        <f t="shared" si="32"/>
        <v>0.54829345030302057</v>
      </c>
      <c r="AR33" s="59">
        <f t="shared" si="32"/>
        <v>0.76904502362432126</v>
      </c>
      <c r="AS33" s="59">
        <f t="shared" si="32"/>
        <v>0.10717629778036822</v>
      </c>
      <c r="AT33" s="59">
        <f t="shared" si="32"/>
        <v>0.11254864495688097</v>
      </c>
      <c r="AU33" s="59">
        <f t="shared" si="32"/>
        <v>9.0764187460040918E-2</v>
      </c>
      <c r="AV33" s="59">
        <f t="shared" si="32"/>
        <v>0.12031081626527611</v>
      </c>
      <c r="AW33" s="59">
        <f t="shared" si="32"/>
        <v>4.8294302248554931E-2</v>
      </c>
      <c r="AX33" s="59">
        <f t="shared" si="32"/>
        <v>1.6598977578958111E-2</v>
      </c>
      <c r="AY33" s="59">
        <f t="shared" si="32"/>
        <v>-8.4305313694291228E-2</v>
      </c>
      <c r="AZ33" s="59">
        <f t="shared" si="32"/>
        <v>2.7833536059553902E-2</v>
      </c>
      <c r="BA33" s="59">
        <f t="shared" si="32"/>
        <v>3.8486669402205138E-2</v>
      </c>
      <c r="BB33" s="59">
        <f t="shared" si="32"/>
        <v>4.7969818970263957E-2</v>
      </c>
      <c r="BC33" s="59">
        <f t="shared" si="32"/>
        <v>5.805554204831128E-2</v>
      </c>
      <c r="BD33" s="59">
        <f t="shared" si="32"/>
        <v>7.6924947598019738E-2</v>
      </c>
      <c r="BE33" s="59">
        <f t="shared" si="32"/>
        <v>1.2330862183464486E-2</v>
      </c>
      <c r="BF33" s="59">
        <f t="shared" si="32"/>
        <v>1.2056031852022074E-2</v>
      </c>
      <c r="BG33" s="59">
        <f t="shared" si="32"/>
        <v>1.829348736916888E-2</v>
      </c>
      <c r="BH33" s="59">
        <f t="shared" si="32"/>
        <v>2.5502824976157867E-2</v>
      </c>
      <c r="BI33" s="59">
        <f t="shared" si="32"/>
        <v>-2.723712683210395E-3</v>
      </c>
      <c r="BJ33" s="59">
        <f t="shared" si="32"/>
        <v>1.5581079324896612E-3</v>
      </c>
      <c r="BK33" s="59">
        <f t="shared" si="32"/>
        <v>3.3233146818425728E-3</v>
      </c>
      <c r="BL33" s="59">
        <f t="shared" si="32"/>
        <v>3.5587758107801732E-3</v>
      </c>
      <c r="BM33" s="59">
        <f t="shared" si="32"/>
        <v>5.1675206243178423E-3</v>
      </c>
      <c r="BN33" s="59">
        <f t="shared" si="32"/>
        <v>1.0834316318087501E-2</v>
      </c>
      <c r="BO33" s="59">
        <f t="shared" si="32"/>
        <v>2.050550007031262E-2</v>
      </c>
      <c r="BP33" s="59">
        <f t="shared" si="32"/>
        <v>0</v>
      </c>
      <c r="BQ33" s="59">
        <f t="shared" si="32"/>
        <v>4.6090165594693304E-2</v>
      </c>
      <c r="BR33" s="59">
        <f t="shared" ref="BR33:CJ33" si="33">BR32/BR34</f>
        <v>0.17361068905456986</v>
      </c>
      <c r="BS33" s="59">
        <f t="shared" si="33"/>
        <v>0</v>
      </c>
      <c r="BT33" s="59">
        <f t="shared" si="33"/>
        <v>0</v>
      </c>
      <c r="BU33" s="59">
        <f t="shared" si="33"/>
        <v>0.12472877383811612</v>
      </c>
      <c r="BV33" s="59">
        <f t="shared" si="33"/>
        <v>0.14636306227123061</v>
      </c>
      <c r="BW33" s="59">
        <f t="shared" si="33"/>
        <v>8.9510839471309778E-2</v>
      </c>
      <c r="BX33" s="59">
        <f t="shared" si="33"/>
        <v>0</v>
      </c>
      <c r="BY33" s="59">
        <f t="shared" si="33"/>
        <v>0.12008511387795123</v>
      </c>
      <c r="BZ33" s="59">
        <f t="shared" si="33"/>
        <v>2.12456485781535E-2</v>
      </c>
      <c r="CA33" s="59">
        <f t="shared" si="33"/>
        <v>2.8070457261745524E-4</v>
      </c>
      <c r="CB33" s="59">
        <f t="shared" si="33"/>
        <v>6.9761624161730177E-4</v>
      </c>
      <c r="CC33" s="59">
        <f t="shared" si="33"/>
        <v>2.2994023301364068E-3</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5" t="s">
        <v>376</v>
      </c>
      <c r="E34" s="58">
        <f>股权价值增加表!E31</f>
        <v>3805850524.2900009</v>
      </c>
      <c r="F34" s="58">
        <f>股权价值增加表!F31</f>
        <v>2311704878.79</v>
      </c>
      <c r="G34" s="58">
        <f>股权价值增加表!G31</f>
        <v>973520999.60000014</v>
      </c>
      <c r="H34" s="58">
        <f>股权价值增加表!H31</f>
        <v>430287765.6099999</v>
      </c>
      <c r="I34" s="58">
        <f>股权价值增加表!I31</f>
        <v>4977765399.4700031</v>
      </c>
      <c r="J34" s="58">
        <f>股权价值增加表!J31</f>
        <v>2765785939.3500004</v>
      </c>
      <c r="K34" s="58">
        <f>股权价值增加表!K31</f>
        <v>1500202934.8899996</v>
      </c>
      <c r="L34" s="58">
        <f>股权价值增加表!L31</f>
        <v>485063619.49999934</v>
      </c>
      <c r="M34" s="58">
        <f>股权价值增加表!M31</f>
        <v>4203331467.7699986</v>
      </c>
      <c r="N34" s="58">
        <f>股权价值增加表!N31</f>
        <v>2031815433.0200005</v>
      </c>
      <c r="O34" s="58">
        <f>股权价值增加表!O31</f>
        <v>976245622.61000049</v>
      </c>
      <c r="P34" s="58">
        <f>股权价值增加表!P31</f>
        <v>384588429.29000002</v>
      </c>
      <c r="Q34" s="58">
        <f>股权价值增加表!Q31</f>
        <v>3119029988.1399994</v>
      </c>
      <c r="R34" s="58">
        <f>股权价值增加表!R31</f>
        <v>1242784591.2499995</v>
      </c>
      <c r="S34" s="58">
        <f>股权价值增加表!S31</f>
        <v>759262753.81999958</v>
      </c>
      <c r="T34" s="58">
        <f>股权价值增加表!T31</f>
        <v>296432997.93000013</v>
      </c>
      <c r="U34" s="58">
        <f>股权价值增加表!U31</f>
        <v>2139810600.8800008</v>
      </c>
      <c r="V34" s="58">
        <f>股权价值增加表!V31</f>
        <v>1019531422.6300007</v>
      </c>
      <c r="W34" s="58">
        <f>股权价值增加表!W31</f>
        <v>722173470.05999923</v>
      </c>
      <c r="X34" s="58">
        <f>股权价值增加表!X31</f>
        <v>288238322.4600004</v>
      </c>
      <c r="Y34" s="58">
        <f>股权价值增加表!Y31</f>
        <v>1783277079.8600001</v>
      </c>
      <c r="Z34" s="58">
        <f>股权价值增加表!Z31</f>
        <v>1073533148.0999985</v>
      </c>
      <c r="AA34" s="58">
        <f>股权价值增加表!AA31</f>
        <v>651058547.5600003</v>
      </c>
      <c r="AB34" s="58">
        <f>股权价值增加表!AB31</f>
        <v>275323946.70999992</v>
      </c>
      <c r="AC34" s="58">
        <f>股权价值增加表!AC31</f>
        <v>1202218322.8399997</v>
      </c>
      <c r="AD34" s="58">
        <f>股权价值增加表!AD31</f>
        <v>650712706.90000033</v>
      </c>
      <c r="AE34" s="58">
        <f>股权价值增加表!AE31</f>
        <v>414427401.55999964</v>
      </c>
      <c r="AF34" s="58">
        <f>股权价值增加表!AF31</f>
        <v>151928910.94999993</v>
      </c>
      <c r="AG34" s="58">
        <f>股权价值增加表!AG31</f>
        <v>956086726.4699986</v>
      </c>
      <c r="AH34" s="58">
        <f>股权价值增加表!AH31</f>
        <v>594902804.52000034</v>
      </c>
      <c r="AI34" s="58">
        <f>股权价值增加表!AI31</f>
        <v>349283626.84000027</v>
      </c>
      <c r="AJ34" s="58">
        <f>股权价值增加表!AJ31</f>
        <v>166479661.2000002</v>
      </c>
      <c r="AK34" s="58">
        <f>股权价值增加表!AK31</f>
        <v>899304298.95000005</v>
      </c>
      <c r="AL34" s="58">
        <f>股权价值增加表!AL31</f>
        <v>399610965.84000021</v>
      </c>
      <c r="AM34" s="58">
        <f>股权价值增加表!AM31</f>
        <v>224945728.65999982</v>
      </c>
      <c r="AN34" s="58">
        <f>股权价值增加表!AN31</f>
        <v>63803216.439999975</v>
      </c>
      <c r="AO34" s="58">
        <f>股权价值增加表!AO31</f>
        <v>650524583.10999954</v>
      </c>
      <c r="AP34" s="58">
        <f>股权价值增加表!AP31</f>
        <v>470696298.92000026</v>
      </c>
      <c r="AQ34" s="58">
        <f>股权价值增加表!AQ31</f>
        <v>512845141.31000006</v>
      </c>
      <c r="AR34" s="58">
        <f>股权价值增加表!AR31</f>
        <v>341531242.13999981</v>
      </c>
      <c r="AS34" s="58">
        <f>股权价值增加表!AS31</f>
        <v>615846438.13000011</v>
      </c>
      <c r="AT34" s="58">
        <f>股权价值增加表!AT31</f>
        <v>251876739.35000002</v>
      </c>
      <c r="AU34" s="58">
        <f>股权价值增加表!AU31</f>
        <v>148952599.78999987</v>
      </c>
      <c r="AV34" s="58">
        <f>股权价值增加表!AV31</f>
        <v>65236235.889999993</v>
      </c>
      <c r="AW34" s="58">
        <f>股权价值增加表!AW31</f>
        <v>273018853.49000007</v>
      </c>
      <c r="AX34" s="58">
        <f>股权价值增加表!AX31</f>
        <v>125378380.09000011</v>
      </c>
      <c r="AY34" s="58">
        <f>股权价值增加表!AY31</f>
        <v>77695075.470000222</v>
      </c>
      <c r="AZ34" s="58">
        <f>股权价值增加表!AZ31</f>
        <v>42126362.870000079</v>
      </c>
      <c r="BA34" s="58">
        <f>股权价值增加表!BA31</f>
        <v>238310434.2999993</v>
      </c>
      <c r="BB34" s="58">
        <f>股权价值增加表!BB31</f>
        <v>154179410.07000017</v>
      </c>
      <c r="BC34" s="58">
        <f>股权价值增加表!BC31</f>
        <v>85858865.219999984</v>
      </c>
      <c r="BD34" s="58">
        <f>股权价值增加表!BD31</f>
        <v>39653725.549999915</v>
      </c>
      <c r="BE34" s="58">
        <f>股权价值增加表!BE31</f>
        <v>177323026.35999995</v>
      </c>
      <c r="BF34" s="58">
        <f>股权价值增加表!BF31</f>
        <v>130556167.1800001</v>
      </c>
      <c r="BG34" s="58">
        <f>股权价值增加表!BG31</f>
        <v>64693960.539999999</v>
      </c>
      <c r="BH34" s="58">
        <f>股权价值增加表!BH31</f>
        <v>32937527.540000018</v>
      </c>
      <c r="BI34" s="58">
        <f>股权价值增加表!BI31</f>
        <v>178564539.13000005</v>
      </c>
      <c r="BJ34" s="58">
        <f>股权价值增加表!BJ31</f>
        <v>100660330.8600001</v>
      </c>
      <c r="BK34" s="58">
        <f>股权价值增加表!BK31</f>
        <v>47193743.300000139</v>
      </c>
      <c r="BL34" s="58">
        <f>股权价值增加表!BL31</f>
        <v>33384721.689999949</v>
      </c>
      <c r="BM34" s="58">
        <f>股权价值增加表!BM31</f>
        <v>162600707.59000006</v>
      </c>
      <c r="BN34" s="58">
        <f>股权价值增加表!BN31</f>
        <v>98651063.769999862</v>
      </c>
      <c r="BO34" s="58">
        <f>股权价值增加表!BO31</f>
        <v>52123421.830000035</v>
      </c>
      <c r="BP34" s="58">
        <f>股权价值增加表!BP31</f>
        <v>16252530.889999978</v>
      </c>
      <c r="BQ34" s="58">
        <f>股权价值增加表!BQ31</f>
        <v>118845586.23999992</v>
      </c>
      <c r="BR34" s="58">
        <f>股权价值增加表!BR31</f>
        <v>40320098.020000011</v>
      </c>
      <c r="BS34" s="58">
        <f>股权价值增加表!BS31</f>
        <v>97883917.369999915</v>
      </c>
      <c r="BT34" s="58">
        <f>股权价值增加表!BT31</f>
        <v>32670988.930000041</v>
      </c>
      <c r="BU34" s="58">
        <f>股权价值增加表!BU31</f>
        <v>90228113.799999967</v>
      </c>
      <c r="BV34" s="58">
        <f>股权价值增加表!BV31</f>
        <v>30745462.21000002</v>
      </c>
      <c r="BW34" s="58">
        <f>股权价值增加表!BW31</f>
        <v>78269381.019999996</v>
      </c>
      <c r="BX34" s="58">
        <f>股权价值增加表!BX31</f>
        <v>26772373.46000002</v>
      </c>
      <c r="BY34" s="58">
        <f>股权价值增加表!BY31</f>
        <v>58960828.959999964</v>
      </c>
      <c r="BZ34" s="58">
        <f>股权价值增加表!BZ31</f>
        <v>160502825.20000002</v>
      </c>
      <c r="CA34" s="58">
        <f>股权价值增加表!CA31</f>
        <v>38645612</v>
      </c>
      <c r="CB34" s="58">
        <f>股权价值增加表!CB31</f>
        <v>28221820</v>
      </c>
      <c r="CC34" s="58">
        <f>股权价值增加表!CC31</f>
        <v>7782892</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4" t="s">
        <v>677</v>
      </c>
      <c r="B35" s="285"/>
      <c r="C35" s="285"/>
      <c r="D35" s="285"/>
      <c r="E35" s="285"/>
      <c r="F35" s="285"/>
      <c r="G35" s="285"/>
      <c r="H35" s="285"/>
      <c r="I35" s="285"/>
      <c r="J35" s="285"/>
      <c r="K35" s="285"/>
      <c r="L35" s="285"/>
      <c r="M35" s="285"/>
      <c r="N35" s="285"/>
      <c r="O35" s="285"/>
      <c r="P35" s="285"/>
      <c r="Q35" s="285"/>
      <c r="R35" s="285"/>
      <c r="S35" s="285"/>
      <c r="T35" s="285"/>
      <c r="U35" s="285"/>
      <c r="V35" s="285"/>
      <c r="W35" s="285"/>
      <c r="X35" s="285"/>
      <c r="Y35" s="285"/>
      <c r="Z35" s="285"/>
      <c r="AA35" s="285"/>
      <c r="AB35" s="285"/>
      <c r="AC35" s="285"/>
      <c r="AD35" s="285"/>
      <c r="AE35" s="285"/>
      <c r="AF35" s="285"/>
      <c r="AG35" s="285"/>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35064</v>
      </c>
      <c r="CC38" s="1">
        <v>34699</v>
      </c>
      <c r="CD38" s="1">
        <v>25569</v>
      </c>
      <c r="CE38" s="1"/>
      <c r="CF38" s="1"/>
      <c r="CG38" s="1"/>
      <c r="CH38" s="1"/>
      <c r="CI38" s="1"/>
      <c r="CJ38" s="1"/>
      <c r="CK38" s="1"/>
    </row>
    <row r="39" spans="1:89" x14ac:dyDescent="0.25">
      <c r="A39" s="17" t="s">
        <v>376</v>
      </c>
      <c r="E39" s="26">
        <f>股权价值增加表!E31</f>
        <v>3805850524.2900009</v>
      </c>
      <c r="F39" s="26">
        <f>股权价值增加表!F31</f>
        <v>2311704878.79</v>
      </c>
      <c r="G39" s="26">
        <f>股权价值增加表!G31</f>
        <v>973520999.60000014</v>
      </c>
      <c r="H39" s="26">
        <f>股权价值增加表!H31</f>
        <v>430287765.6099999</v>
      </c>
      <c r="I39" s="26">
        <f>股权价值增加表!I31</f>
        <v>4977765399.4700031</v>
      </c>
      <c r="J39" s="26">
        <f>股权价值增加表!J31</f>
        <v>2765785939.3500004</v>
      </c>
      <c r="K39" s="26">
        <f>股权价值增加表!K31</f>
        <v>1500202934.8899996</v>
      </c>
      <c r="L39" s="26">
        <f>股权价值增加表!L31</f>
        <v>485063619.49999934</v>
      </c>
      <c r="M39" s="26">
        <f>股权价值增加表!M31</f>
        <v>4203331467.7699986</v>
      </c>
      <c r="N39" s="26">
        <f>股权价值增加表!N31</f>
        <v>2031815433.0200005</v>
      </c>
      <c r="O39" s="26">
        <f>股权价值增加表!O31</f>
        <v>976245622.61000049</v>
      </c>
      <c r="P39" s="26">
        <f>股权价值增加表!P31</f>
        <v>384588429.29000002</v>
      </c>
      <c r="Q39" s="26">
        <f>股权价值增加表!Q31</f>
        <v>3119029988.1399994</v>
      </c>
      <c r="R39" s="26">
        <f>股权价值增加表!R31</f>
        <v>1242784591.2499995</v>
      </c>
      <c r="S39" s="26">
        <f>股权价值增加表!S31</f>
        <v>759262753.81999958</v>
      </c>
      <c r="T39" s="26">
        <f>股权价值增加表!T31</f>
        <v>296432997.93000013</v>
      </c>
      <c r="U39" s="26">
        <f>股权价值增加表!U31</f>
        <v>2139810600.8800008</v>
      </c>
      <c r="V39" s="26">
        <f>股权价值增加表!V31</f>
        <v>1019531422.6300007</v>
      </c>
      <c r="W39" s="26">
        <f>股权价值增加表!W31</f>
        <v>722173470.05999923</v>
      </c>
      <c r="X39" s="26">
        <f>股权价值增加表!X31</f>
        <v>288238322.4600004</v>
      </c>
      <c r="Y39" s="26">
        <f>股权价值增加表!Y31</f>
        <v>1783277079.8600001</v>
      </c>
      <c r="Z39" s="26">
        <f>股权价值增加表!Z31</f>
        <v>1073533148.0999985</v>
      </c>
      <c r="AA39" s="26">
        <f>股权价值增加表!AA31</f>
        <v>651058547.5600003</v>
      </c>
      <c r="AB39" s="26">
        <f>股权价值增加表!AB31</f>
        <v>275323946.70999992</v>
      </c>
      <c r="AC39" s="26">
        <f>股权价值增加表!AC31</f>
        <v>1202218322.8399997</v>
      </c>
      <c r="AD39" s="26">
        <f>股权价值增加表!AD31</f>
        <v>650712706.90000033</v>
      </c>
      <c r="AE39" s="26">
        <f>股权价值增加表!AE31</f>
        <v>414427401.55999964</v>
      </c>
      <c r="AF39" s="26">
        <f>股权价值增加表!AF31</f>
        <v>151928910.94999993</v>
      </c>
      <c r="AG39" s="26">
        <f>股权价值增加表!AG31</f>
        <v>956086726.4699986</v>
      </c>
      <c r="AH39" s="26">
        <f>股权价值增加表!AH31</f>
        <v>594902804.52000034</v>
      </c>
      <c r="AI39" s="26">
        <f>股权价值增加表!AI31</f>
        <v>349283626.84000027</v>
      </c>
      <c r="AJ39" s="26">
        <f>股权价值增加表!AJ31</f>
        <v>166479661.2000002</v>
      </c>
      <c r="AK39" s="26">
        <f>股权价值增加表!AK31</f>
        <v>899304298.95000005</v>
      </c>
      <c r="AL39" s="26">
        <f>股权价值增加表!AL31</f>
        <v>399610965.84000021</v>
      </c>
      <c r="AM39" s="26">
        <f>股权价值增加表!AM31</f>
        <v>224945728.65999982</v>
      </c>
      <c r="AN39" s="26">
        <f>股权价值增加表!AN31</f>
        <v>63803216.439999975</v>
      </c>
      <c r="AO39" s="26">
        <f>股权价值增加表!AO31</f>
        <v>650524583.10999954</v>
      </c>
      <c r="AP39" s="26">
        <f>股权价值增加表!AP31</f>
        <v>470696298.92000026</v>
      </c>
      <c r="AQ39" s="26">
        <f>股权价值增加表!AQ31</f>
        <v>512845141.31000006</v>
      </c>
      <c r="AR39" s="26">
        <f>股权价值增加表!AR31</f>
        <v>341531242.13999981</v>
      </c>
      <c r="AS39" s="26">
        <f>股权价值增加表!AS31</f>
        <v>615846438.13000011</v>
      </c>
      <c r="AT39" s="26">
        <f>股权价值增加表!AT31</f>
        <v>251876739.35000002</v>
      </c>
      <c r="AU39" s="26">
        <f>股权价值增加表!AU31</f>
        <v>148952599.78999987</v>
      </c>
      <c r="AV39" s="26">
        <f>股权价值增加表!AV31</f>
        <v>65236235.889999993</v>
      </c>
      <c r="AW39" s="26">
        <f>股权价值增加表!AW31</f>
        <v>273018853.49000007</v>
      </c>
      <c r="AX39" s="26">
        <f>股权价值增加表!AX31</f>
        <v>125378380.09000011</v>
      </c>
      <c r="AY39" s="26">
        <f>股权价值增加表!AY31</f>
        <v>77695075.470000222</v>
      </c>
      <c r="AZ39" s="26">
        <f>股权价值增加表!AZ31</f>
        <v>42126362.870000079</v>
      </c>
      <c r="BA39" s="26">
        <f>股权价值增加表!BA31</f>
        <v>238310434.2999993</v>
      </c>
      <c r="BB39" s="26">
        <f>股权价值增加表!BB31</f>
        <v>154179410.07000017</v>
      </c>
      <c r="BC39" s="26">
        <f>股权价值增加表!BC31</f>
        <v>85858865.219999984</v>
      </c>
      <c r="BD39" s="26">
        <f>股权价值增加表!BD31</f>
        <v>39653725.549999915</v>
      </c>
      <c r="BE39" s="26">
        <f>股权价值增加表!BE31</f>
        <v>177323026.35999995</v>
      </c>
      <c r="BF39" s="26">
        <f>股权价值增加表!BF31</f>
        <v>130556167.1800001</v>
      </c>
      <c r="BG39" s="26">
        <f>股权价值增加表!BG31</f>
        <v>64693960.539999999</v>
      </c>
      <c r="BH39" s="26">
        <f>股权价值增加表!BH31</f>
        <v>32937527.540000018</v>
      </c>
      <c r="BI39" s="26">
        <f>股权价值增加表!BI31</f>
        <v>178564539.13000005</v>
      </c>
      <c r="BJ39" s="26">
        <f>股权价值增加表!BJ31</f>
        <v>100660330.8600001</v>
      </c>
      <c r="BK39" s="26">
        <f>股权价值增加表!BK31</f>
        <v>47193743.300000139</v>
      </c>
      <c r="BL39" s="26">
        <f>股权价值增加表!BL31</f>
        <v>33384721.689999949</v>
      </c>
      <c r="BM39" s="26">
        <f>股权价值增加表!BM31</f>
        <v>162600707.59000006</v>
      </c>
      <c r="BN39" s="26">
        <f>股权价值增加表!BN31</f>
        <v>98651063.769999862</v>
      </c>
      <c r="BO39" s="26">
        <f>股权价值增加表!BO31</f>
        <v>52123421.830000035</v>
      </c>
      <c r="BP39" s="26">
        <f>股权价值增加表!BP31</f>
        <v>16252530.889999978</v>
      </c>
      <c r="BQ39" s="26">
        <f>股权价值增加表!BQ31</f>
        <v>118845586.23999992</v>
      </c>
      <c r="BR39" s="26">
        <f>股权价值增加表!BR31</f>
        <v>40320098.020000011</v>
      </c>
      <c r="BS39" s="26">
        <f>股权价值增加表!BS31</f>
        <v>97883917.369999915</v>
      </c>
      <c r="BT39" s="26">
        <f>股权价值增加表!BT31</f>
        <v>32670988.930000041</v>
      </c>
      <c r="BU39" s="26">
        <f>股权价值增加表!BU31</f>
        <v>90228113.799999967</v>
      </c>
      <c r="BV39" s="26">
        <f>股权价值增加表!BV31</f>
        <v>30745462.21000002</v>
      </c>
      <c r="BW39" s="26">
        <f>股权价值增加表!BW31</f>
        <v>78269381.019999996</v>
      </c>
      <c r="BX39" s="26">
        <f>股权价值增加表!BX31</f>
        <v>26772373.46000002</v>
      </c>
      <c r="BY39" s="26">
        <f>股权价值增加表!BY31</f>
        <v>58960828.959999964</v>
      </c>
      <c r="BZ39" s="26">
        <f>股权价值增加表!BZ31</f>
        <v>160502825.20000002</v>
      </c>
      <c r="CA39" s="26">
        <f>股权价值增加表!CA31</f>
        <v>38645612</v>
      </c>
      <c r="CB39" s="26">
        <f>股权价值增加表!CB31</f>
        <v>28221820</v>
      </c>
      <c r="CC39" s="26">
        <f>股权价值增加表!CC31</f>
        <v>7782892</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3276724092.0300007</v>
      </c>
      <c r="F40" s="26">
        <f>股权价值增加表!F38</f>
        <v>2110762557.8499999</v>
      </c>
      <c r="G40" s="26">
        <f>股权价值增加表!G38</f>
        <v>918285556.63000011</v>
      </c>
      <c r="H40" s="26">
        <f>股权价值增加表!H38</f>
        <v>409314281.08999991</v>
      </c>
      <c r="I40" s="26">
        <f>股权价值增加表!I38</f>
        <v>4654029478.6400032</v>
      </c>
      <c r="J40" s="26">
        <f>股权价值增加表!J38</f>
        <v>2688516481.7300005</v>
      </c>
      <c r="K40" s="26">
        <f>股权价值增加表!K38</f>
        <v>1457567112.8999996</v>
      </c>
      <c r="L40" s="26">
        <f>股权价值增加表!L38</f>
        <v>455871163.98999935</v>
      </c>
      <c r="M40" s="26">
        <f>股权价值增加表!M38</f>
        <v>4247608943.3899984</v>
      </c>
      <c r="N40" s="26">
        <f>股权价值增加表!N38</f>
        <v>2170880947.5100002</v>
      </c>
      <c r="O40" s="26">
        <f>股权价值增加表!O38</f>
        <v>1089272551.3000004</v>
      </c>
      <c r="P40" s="26">
        <f>股权价值增加表!P38</f>
        <v>441982481.34000003</v>
      </c>
      <c r="Q40" s="26">
        <f>股权价值增加表!Q38</f>
        <v>3052919287.4199996</v>
      </c>
      <c r="R40" s="26">
        <f>股权价值增加表!R38</f>
        <v>1281537979.5899994</v>
      </c>
      <c r="S40" s="26">
        <f>股权价值增加表!S38</f>
        <v>791615218.87999952</v>
      </c>
      <c r="T40" s="26">
        <f>股权价值增加表!T38</f>
        <v>321010745.09000015</v>
      </c>
      <c r="U40" s="26">
        <f>股权价值增加表!U38</f>
        <v>2055175652.8500009</v>
      </c>
      <c r="V40" s="26">
        <f>股权价值增加表!V38</f>
        <v>1027279151.7200007</v>
      </c>
      <c r="W40" s="26">
        <f>股权价值增加表!W38</f>
        <v>719829976.66999924</v>
      </c>
      <c r="X40" s="26">
        <f>股权价值增加表!X38</f>
        <v>302242131.80000037</v>
      </c>
      <c r="Y40" s="26">
        <f>股权价值增加表!Y38</f>
        <v>1769328404.96</v>
      </c>
      <c r="Z40" s="26">
        <f>股权价值增加表!Z38</f>
        <v>1110244076.2399986</v>
      </c>
      <c r="AA40" s="26">
        <f>股权价值增加表!AA38</f>
        <v>673118424.9400003</v>
      </c>
      <c r="AB40" s="26">
        <f>股权价值增加表!AB38</f>
        <v>287607446.15999991</v>
      </c>
      <c r="AC40" s="26">
        <f>股权价值增加表!AC38</f>
        <v>1178809542.6099997</v>
      </c>
      <c r="AD40" s="26">
        <f>股权价值增加表!AD38</f>
        <v>657627024.83000028</v>
      </c>
      <c r="AE40" s="26">
        <f>股权价值增加表!AE38</f>
        <v>418130207.79999965</v>
      </c>
      <c r="AF40" s="26">
        <f>股权价值增加表!AF38</f>
        <v>153417524.91999993</v>
      </c>
      <c r="AG40" s="26">
        <f>股权价值增加表!AG38</f>
        <v>926770171.82999861</v>
      </c>
      <c r="AH40" s="26">
        <f>股权价值增加表!AH38</f>
        <v>582825838.9600004</v>
      </c>
      <c r="AI40" s="26">
        <f>股权价值增加表!AI38</f>
        <v>336645920.34000027</v>
      </c>
      <c r="AJ40" s="26">
        <f>股权价值增加表!AJ38</f>
        <v>159086456.24000019</v>
      </c>
      <c r="AK40" s="26">
        <f>股权价值增加表!AK38</f>
        <v>890783321.35000002</v>
      </c>
      <c r="AL40" s="26">
        <f>股权价值增加表!AL38</f>
        <v>394051043.41000021</v>
      </c>
      <c r="AM40" s="26">
        <f>股权价值增加表!AM38</f>
        <v>222903032.46999982</v>
      </c>
      <c r="AN40" s="26">
        <f>股权价值增加表!AN38</f>
        <v>61835007.329999976</v>
      </c>
      <c r="AO40" s="26">
        <f>股权价值增加表!AO38</f>
        <v>629824594.44999957</v>
      </c>
      <c r="AP40" s="26">
        <f>股权价值增加表!AP38</f>
        <v>462963891.68000025</v>
      </c>
      <c r="AQ40" s="26">
        <f>股权价值增加表!AQ38</f>
        <v>503264562.08000004</v>
      </c>
      <c r="AR40" s="26">
        <f>股权价值增加表!AR38</f>
        <v>334865876.77999979</v>
      </c>
      <c r="AS40" s="26">
        <f>股权价值增加表!AS38</f>
        <v>597827804.09000015</v>
      </c>
      <c r="AT40" s="26">
        <f>股权价值增加表!AT38</f>
        <v>238418304.34000003</v>
      </c>
      <c r="AU40" s="26">
        <f>股权价值增加表!AU38</f>
        <v>143664862.59999987</v>
      </c>
      <c r="AV40" s="26">
        <f>股权价值增加表!AV38</f>
        <v>65651334.579999991</v>
      </c>
      <c r="AW40" s="26">
        <f>股权价值增加表!AW38</f>
        <v>282950417.56000006</v>
      </c>
      <c r="AX40" s="26">
        <f>股权价值增加表!AX38</f>
        <v>131045922.9700001</v>
      </c>
      <c r="AY40" s="26">
        <f>股权价值增加表!AY38</f>
        <v>80058152.730000228</v>
      </c>
      <c r="AZ40" s="26">
        <f>股权价值增加表!AZ38</f>
        <v>41721188.840000078</v>
      </c>
      <c r="BA40" s="26">
        <f>股权价值增加表!BA38</f>
        <v>242839531.49999928</v>
      </c>
      <c r="BB40" s="26">
        <f>股权价值增加表!BB38</f>
        <v>157074063.05000016</v>
      </c>
      <c r="BC40" s="26">
        <f>股权价值增加表!BC38</f>
        <v>88686227.589999989</v>
      </c>
      <c r="BD40" s="26">
        <f>股权价值增加表!BD38</f>
        <v>42010022.259999916</v>
      </c>
      <c r="BE40" s="26">
        <f>股权价值增加表!BE38</f>
        <v>172482512.13999996</v>
      </c>
      <c r="BF40" s="26">
        <f>股权价值增加表!BF38</f>
        <v>123836648.9700001</v>
      </c>
      <c r="BG40" s="26">
        <f>股权价值增加表!BG38</f>
        <v>58900145.390000001</v>
      </c>
      <c r="BH40" s="26">
        <f>股权价值增加表!BH38</f>
        <v>29742485.360000018</v>
      </c>
      <c r="BI40" s="26">
        <f>股权价值增加表!BI38</f>
        <v>177761528.13000005</v>
      </c>
      <c r="BJ40" s="26">
        <f>股权价值增加表!BJ38</f>
        <v>99906092.530000106</v>
      </c>
      <c r="BK40" s="26">
        <f>股权价值增加表!BK38</f>
        <v>46955497.800000139</v>
      </c>
      <c r="BL40" s="26">
        <f>股权价值增加表!BL38</f>
        <v>33701821.699999951</v>
      </c>
      <c r="BM40" s="26">
        <f>股权价值增加表!BM38</f>
        <v>159803330.36000007</v>
      </c>
      <c r="BN40" s="26">
        <f>股权价值增加表!BN38</f>
        <v>95909279.559999868</v>
      </c>
      <c r="BO40" s="26">
        <f>股权价值增加表!BO38</f>
        <v>50302511.460000038</v>
      </c>
      <c r="BP40" s="26">
        <f>股权价值增加表!BP38</f>
        <v>15348251.639999978</v>
      </c>
      <c r="BQ40" s="26">
        <f>股权价值增加表!BQ38</f>
        <v>115422292.65999992</v>
      </c>
      <c r="BR40" s="26">
        <f>股权价值增加表!BR38</f>
        <v>37405561.38000001</v>
      </c>
      <c r="BS40" s="26">
        <f>股权价值增加表!BS38</f>
        <v>90107667.689999908</v>
      </c>
      <c r="BT40" s="26">
        <f>股权价值增加表!BT38</f>
        <v>27399512.750000041</v>
      </c>
      <c r="BU40" s="26">
        <f>股权价值增加表!BU38</f>
        <v>81558155.789999962</v>
      </c>
      <c r="BV40" s="26">
        <f>股权价值增加表!BV38</f>
        <v>25526867.78000002</v>
      </c>
      <c r="BW40" s="26">
        <f>股权价值增加表!BW38</f>
        <v>69255921.149999991</v>
      </c>
      <c r="BX40" s="26">
        <f>股权价值增加表!BX38</f>
        <v>23076778.390000019</v>
      </c>
      <c r="BY40" s="26">
        <f>股权价值增加表!BY38</f>
        <v>49588395.779999964</v>
      </c>
      <c r="BZ40" s="26">
        <f>股权价值增加表!BZ38</f>
        <v>160502825.20000002</v>
      </c>
      <c r="CA40" s="26">
        <f>股权价值增加表!CA38</f>
        <v>29606069</v>
      </c>
      <c r="CB40" s="26">
        <f>股权价值增加表!CB38</f>
        <v>21472814</v>
      </c>
      <c r="CC40" s="26">
        <f>股权价值增加表!CC38</f>
        <v>3397548</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0.13902974614556396</v>
      </c>
      <c r="F41" s="59">
        <f t="shared" ref="F41:BQ41" si="34">1-F40/F39</f>
        <v>8.6923864193762412E-2</v>
      </c>
      <c r="G41" s="59">
        <f t="shared" si="34"/>
        <v>5.673780328590261E-2</v>
      </c>
      <c r="H41" s="59">
        <f t="shared" si="34"/>
        <v>4.874292554022952E-2</v>
      </c>
      <c r="I41" s="59">
        <f t="shared" si="34"/>
        <v>6.5036395822203441E-2</v>
      </c>
      <c r="J41" s="59">
        <f t="shared" si="34"/>
        <v>2.7937613146648443E-2</v>
      </c>
      <c r="K41" s="59">
        <f t="shared" si="34"/>
        <v>2.8420036382028724E-2</v>
      </c>
      <c r="L41" s="59">
        <f t="shared" si="34"/>
        <v>6.0182735493730433E-2</v>
      </c>
      <c r="M41" s="59">
        <f t="shared" si="34"/>
        <v>-1.053390054044212E-2</v>
      </c>
      <c r="N41" s="59">
        <f t="shared" si="34"/>
        <v>-6.844396997383706E-2</v>
      </c>
      <c r="O41" s="59">
        <f t="shared" si="34"/>
        <v>-0.11577714262914851</v>
      </c>
      <c r="P41" s="59">
        <f t="shared" si="34"/>
        <v>-0.14923499429235787</v>
      </c>
      <c r="Q41" s="59">
        <f t="shared" si="34"/>
        <v>2.119591699066159E-2</v>
      </c>
      <c r="R41" s="59">
        <f t="shared" si="34"/>
        <v>-3.1182707456182346E-2</v>
      </c>
      <c r="S41" s="59">
        <f t="shared" si="34"/>
        <v>-4.261036761941539E-2</v>
      </c>
      <c r="T41" s="59">
        <f t="shared" si="34"/>
        <v>-8.2911643884544306E-2</v>
      </c>
      <c r="U41" s="59">
        <f t="shared" si="34"/>
        <v>3.9552541704015121E-2</v>
      </c>
      <c r="V41" s="59">
        <f t="shared" si="34"/>
        <v>-7.5993038743364938E-3</v>
      </c>
      <c r="W41" s="59">
        <f t="shared" si="34"/>
        <v>3.2450560525372207E-3</v>
      </c>
      <c r="X41" s="59">
        <f t="shared" si="34"/>
        <v>-4.8584134200071016E-2</v>
      </c>
      <c r="Y41" s="59">
        <f t="shared" si="34"/>
        <v>7.8219335949156754E-3</v>
      </c>
      <c r="Z41" s="59">
        <f t="shared" si="34"/>
        <v>-3.4196361989355717E-2</v>
      </c>
      <c r="AA41" s="59">
        <f t="shared" si="34"/>
        <v>-3.3883093099191575E-2</v>
      </c>
      <c r="AB41" s="59">
        <f t="shared" si="34"/>
        <v>-4.4614715126607862E-2</v>
      </c>
      <c r="AC41" s="59">
        <f t="shared" si="34"/>
        <v>1.9471322126168755E-2</v>
      </c>
      <c r="AD41" s="59">
        <f t="shared" si="34"/>
        <v>-1.0625761348567853E-2</v>
      </c>
      <c r="AE41" s="59">
        <f t="shared" si="34"/>
        <v>-8.9347524465366313E-3</v>
      </c>
      <c r="AF41" s="59">
        <f t="shared" si="34"/>
        <v>-9.7980954427423494E-3</v>
      </c>
      <c r="AG41" s="59">
        <f t="shared" si="34"/>
        <v>3.0663070439478468E-2</v>
      </c>
      <c r="AH41" s="59">
        <f t="shared" si="34"/>
        <v>2.0300737310768424E-2</v>
      </c>
      <c r="AI41" s="59">
        <f t="shared" si="34"/>
        <v>3.6181789035845902E-2</v>
      </c>
      <c r="AJ41" s="59">
        <f t="shared" si="34"/>
        <v>4.4409058179894934E-2</v>
      </c>
      <c r="AK41" s="59">
        <f t="shared" si="34"/>
        <v>9.4750771345681883E-3</v>
      </c>
      <c r="AL41" s="59">
        <f t="shared" si="34"/>
        <v>1.3913337984388874E-2</v>
      </c>
      <c r="AM41" s="59">
        <f t="shared" si="34"/>
        <v>9.0808400860434846E-3</v>
      </c>
      <c r="AN41" s="59">
        <f t="shared" si="34"/>
        <v>3.0848117380585127E-2</v>
      </c>
      <c r="AO41" s="59">
        <f t="shared" si="34"/>
        <v>3.1820455671388137E-2</v>
      </c>
      <c r="AP41" s="59">
        <f t="shared" si="34"/>
        <v>1.6427593031306587E-2</v>
      </c>
      <c r="AQ41" s="59">
        <f t="shared" si="34"/>
        <v>1.8681232321959063E-2</v>
      </c>
      <c r="AR41" s="59">
        <f t="shared" si="34"/>
        <v>1.9516121916798967E-2</v>
      </c>
      <c r="AS41" s="59">
        <f t="shared" si="34"/>
        <v>2.9258323056496116E-2</v>
      </c>
      <c r="AT41" s="59">
        <f t="shared" si="34"/>
        <v>5.3432623610783603E-2</v>
      </c>
      <c r="AU41" s="59">
        <f t="shared" si="34"/>
        <v>3.5499462227949641E-2</v>
      </c>
      <c r="AV41" s="59">
        <f t="shared" si="34"/>
        <v>-6.3630079868484124E-3</v>
      </c>
      <c r="AW41" s="59">
        <f t="shared" si="34"/>
        <v>-3.6376843368305156E-2</v>
      </c>
      <c r="AX41" s="59">
        <f t="shared" si="34"/>
        <v>-4.5203510174016248E-2</v>
      </c>
      <c r="AY41" s="59">
        <f t="shared" si="34"/>
        <v>-3.0414762399097572E-2</v>
      </c>
      <c r="AZ41" s="59">
        <f t="shared" si="34"/>
        <v>9.6180634262290621E-3</v>
      </c>
      <c r="BA41" s="59">
        <f t="shared" si="34"/>
        <v>-1.9005031035688846E-2</v>
      </c>
      <c r="BB41" s="59">
        <f t="shared" si="34"/>
        <v>-1.8774575533047955E-2</v>
      </c>
      <c r="BC41" s="59">
        <f t="shared" si="34"/>
        <v>-3.2930348692069566E-2</v>
      </c>
      <c r="BD41" s="59">
        <f t="shared" si="34"/>
        <v>-5.9421824237647414E-2</v>
      </c>
      <c r="BE41" s="59">
        <f t="shared" si="34"/>
        <v>2.7297719418417854E-2</v>
      </c>
      <c r="BF41" s="59">
        <f t="shared" si="34"/>
        <v>5.146840900082239E-2</v>
      </c>
      <c r="BG41" s="59">
        <f t="shared" si="34"/>
        <v>8.9557280179464516E-2</v>
      </c>
      <c r="BH41" s="59">
        <f t="shared" si="34"/>
        <v>9.700309703331178E-2</v>
      </c>
      <c r="BI41" s="59">
        <f t="shared" si="34"/>
        <v>4.4970350995355846E-3</v>
      </c>
      <c r="BJ41" s="59">
        <f t="shared" si="34"/>
        <v>7.4929053337704499E-3</v>
      </c>
      <c r="BK41" s="59">
        <f t="shared" si="34"/>
        <v>5.0482433335606869E-3</v>
      </c>
      <c r="BL41" s="59">
        <f t="shared" si="34"/>
        <v>-9.498357151049408E-3</v>
      </c>
      <c r="BM41" s="59">
        <f t="shared" si="34"/>
        <v>1.7203967138037402E-2</v>
      </c>
      <c r="BN41" s="59">
        <f t="shared" si="34"/>
        <v>2.7792748554565261E-2</v>
      </c>
      <c r="BO41" s="59">
        <f t="shared" si="34"/>
        <v>3.4934589980275543E-2</v>
      </c>
      <c r="BP41" s="59">
        <f t="shared" si="34"/>
        <v>5.5639288189656355E-2</v>
      </c>
      <c r="BQ41" s="59">
        <f t="shared" si="34"/>
        <v>2.8804549569782956E-2</v>
      </c>
      <c r="BR41" s="59">
        <f t="shared" ref="BR41:CK41" si="35">1-BR40/BR39</f>
        <v>7.2284959192170151E-2</v>
      </c>
      <c r="BS41" s="59">
        <f t="shared" si="35"/>
        <v>7.9443588782883379E-2</v>
      </c>
      <c r="BT41" s="59">
        <f t="shared" si="35"/>
        <v>0.16135037085331327</v>
      </c>
      <c r="BU41" s="59">
        <f t="shared" si="35"/>
        <v>9.6089319003363816E-2</v>
      </c>
      <c r="BV41" s="59">
        <f t="shared" si="35"/>
        <v>0.16973543589475271</v>
      </c>
      <c r="BW41" s="59">
        <f t="shared" si="35"/>
        <v>0.11515946277506417</v>
      </c>
      <c r="BX41" s="59">
        <f t="shared" si="35"/>
        <v>0.13803763329095575</v>
      </c>
      <c r="BY41" s="59">
        <f t="shared" si="35"/>
        <v>0.15896033596064973</v>
      </c>
      <c r="BZ41" s="59">
        <f t="shared" si="35"/>
        <v>0</v>
      </c>
      <c r="CA41" s="59">
        <f t="shared" si="35"/>
        <v>0.23390865177655873</v>
      </c>
      <c r="CB41" s="59">
        <f t="shared" si="35"/>
        <v>0.2391414161099461</v>
      </c>
      <c r="CC41" s="59">
        <f t="shared" si="35"/>
        <v>0.56345944412436921</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9">
        <f>E39/(E39-E40)</f>
        <v>7.1927053578376059</v>
      </c>
      <c r="F42" s="29">
        <f t="shared" ref="F42:BQ42" si="36">F39/(F39-F40)</f>
        <v>11.504320583020728</v>
      </c>
      <c r="G42" s="29">
        <f t="shared" si="36"/>
        <v>17.624933326392398</v>
      </c>
      <c r="H42" s="29">
        <f t="shared" si="36"/>
        <v>20.515797706369884</v>
      </c>
      <c r="I42" s="29">
        <f t="shared" si="36"/>
        <v>15.376005809636197</v>
      </c>
      <c r="J42" s="29">
        <f t="shared" si="36"/>
        <v>35.794038479624632</v>
      </c>
      <c r="K42" s="29">
        <f t="shared" si="36"/>
        <v>35.186443344328246</v>
      </c>
      <c r="L42" s="29">
        <f t="shared" si="36"/>
        <v>16.616060931696509</v>
      </c>
      <c r="M42" s="29">
        <f t="shared" si="36"/>
        <v>-94.931596910447567</v>
      </c>
      <c r="N42" s="29">
        <f t="shared" si="36"/>
        <v>-14.610490893240888</v>
      </c>
      <c r="O42" s="29">
        <f t="shared" si="36"/>
        <v>-8.6372834679738926</v>
      </c>
      <c r="P42" s="29">
        <f t="shared" si="36"/>
        <v>-6.7008412118203102</v>
      </c>
      <c r="Q42" s="29">
        <f t="shared" si="36"/>
        <v>47.178897730188957</v>
      </c>
      <c r="R42" s="29">
        <f t="shared" si="36"/>
        <v>-32.069056267971284</v>
      </c>
      <c r="S42" s="29">
        <f t="shared" si="36"/>
        <v>-23.468466851347891</v>
      </c>
      <c r="T42" s="29">
        <f t="shared" si="36"/>
        <v>-12.061032119837293</v>
      </c>
      <c r="U42" s="29">
        <f t="shared" si="36"/>
        <v>25.282825247574049</v>
      </c>
      <c r="V42" s="29">
        <f t="shared" si="36"/>
        <v>-131.59100050954368</v>
      </c>
      <c r="W42" s="29">
        <f t="shared" si="36"/>
        <v>308.16108683797211</v>
      </c>
      <c r="X42" s="29">
        <f t="shared" si="36"/>
        <v>-20.582851098714041</v>
      </c>
      <c r="Y42" s="29">
        <f t="shared" si="36"/>
        <v>127.8456263870619</v>
      </c>
      <c r="Z42" s="29">
        <f t="shared" si="36"/>
        <v>-29.242876780614008</v>
      </c>
      <c r="AA42" s="29">
        <f t="shared" si="36"/>
        <v>-29.513244173798778</v>
      </c>
      <c r="AB42" s="29">
        <f t="shared" si="36"/>
        <v>-22.414129445009269</v>
      </c>
      <c r="AC42" s="29">
        <f t="shared" si="36"/>
        <v>51.357580831967965</v>
      </c>
      <c r="AD42" s="29">
        <f t="shared" si="36"/>
        <v>-94.110903416326607</v>
      </c>
      <c r="AE42" s="29">
        <f t="shared" si="36"/>
        <v>-111.92251894876318</v>
      </c>
      <c r="AF42" s="29">
        <f t="shared" si="36"/>
        <v>-102.06065105649925</v>
      </c>
      <c r="AG42" s="29">
        <f t="shared" si="36"/>
        <v>32.612520066239242</v>
      </c>
      <c r="AH42" s="29">
        <f t="shared" si="36"/>
        <v>49.259294610425563</v>
      </c>
      <c r="AI42" s="29">
        <f t="shared" si="36"/>
        <v>27.638213218513997</v>
      </c>
      <c r="AJ42" s="29">
        <f t="shared" si="36"/>
        <v>22.517928570994197</v>
      </c>
      <c r="AK42" s="29">
        <f t="shared" si="36"/>
        <v>105.54003791184682</v>
      </c>
      <c r="AL42" s="29">
        <f t="shared" si="36"/>
        <v>71.87347860894522</v>
      </c>
      <c r="AM42" s="29">
        <f t="shared" si="36"/>
        <v>110.12197005174816</v>
      </c>
      <c r="AN42" s="29">
        <f t="shared" si="36"/>
        <v>32.416889097723967</v>
      </c>
      <c r="AO42" s="29">
        <f t="shared" si="36"/>
        <v>31.426325578962931</v>
      </c>
      <c r="AP42" s="29">
        <f t="shared" si="36"/>
        <v>60.873190496883304</v>
      </c>
      <c r="AQ42" s="29">
        <f t="shared" si="36"/>
        <v>53.52965921977966</v>
      </c>
      <c r="AR42" s="29">
        <f t="shared" si="36"/>
        <v>51.239688103158848</v>
      </c>
      <c r="AS42" s="29">
        <f t="shared" si="36"/>
        <v>34.17830878649675</v>
      </c>
      <c r="AT42" s="29">
        <f t="shared" si="36"/>
        <v>18.715158126695162</v>
      </c>
      <c r="AU42" s="29">
        <f t="shared" si="36"/>
        <v>28.169440809519497</v>
      </c>
      <c r="AV42" s="29">
        <f t="shared" si="36"/>
        <v>-157.15837573469665</v>
      </c>
      <c r="AW42" s="29">
        <f t="shared" si="36"/>
        <v>-27.490015828896553</v>
      </c>
      <c r="AX42" s="29">
        <f t="shared" si="36"/>
        <v>-22.122175825514038</v>
      </c>
      <c r="AY42" s="29">
        <f t="shared" si="36"/>
        <v>-32.878770738964349</v>
      </c>
      <c r="AZ42" s="29">
        <f t="shared" si="36"/>
        <v>103.97103405171342</v>
      </c>
      <c r="BA42" s="29">
        <f t="shared" si="36"/>
        <v>-52.617646249676412</v>
      </c>
      <c r="BB42" s="29">
        <f t="shared" si="36"/>
        <v>-53.2635210974411</v>
      </c>
      <c r="BC42" s="29">
        <f t="shared" si="36"/>
        <v>-30.367124543713807</v>
      </c>
      <c r="BD42" s="29">
        <f t="shared" si="36"/>
        <v>-16.828833729517832</v>
      </c>
      <c r="BE42" s="29">
        <f t="shared" si="36"/>
        <v>36.633096877876746</v>
      </c>
      <c r="BF42" s="29">
        <f t="shared" si="36"/>
        <v>19.429394057702869</v>
      </c>
      <c r="BG42" s="29">
        <f t="shared" si="36"/>
        <v>11.166038070786572</v>
      </c>
      <c r="BH42" s="29">
        <f t="shared" si="36"/>
        <v>10.308949204545407</v>
      </c>
      <c r="BI42" s="29">
        <f t="shared" si="36"/>
        <v>222.36873359144528</v>
      </c>
      <c r="BJ42" s="29">
        <f t="shared" si="36"/>
        <v>133.45958015684556</v>
      </c>
      <c r="BK42" s="29">
        <f t="shared" si="36"/>
        <v>198.0887080763336</v>
      </c>
      <c r="BL42" s="29">
        <f t="shared" si="36"/>
        <v>-105.28136435568001</v>
      </c>
      <c r="BM42" s="29">
        <f t="shared" si="36"/>
        <v>58.126128234053255</v>
      </c>
      <c r="BN42" s="29">
        <f t="shared" si="36"/>
        <v>35.980608324387461</v>
      </c>
      <c r="BO42" s="29">
        <f t="shared" si="36"/>
        <v>28.624924482142475</v>
      </c>
      <c r="BP42" s="29">
        <f t="shared" si="36"/>
        <v>17.972911454066846</v>
      </c>
      <c r="BQ42" s="29">
        <f t="shared" si="36"/>
        <v>34.716737978400317</v>
      </c>
      <c r="BR42" s="29">
        <f t="shared" ref="BR42:CK42" si="37">BR39/(BR39-BR40)</f>
        <v>13.83413660567328</v>
      </c>
      <c r="BS42" s="29">
        <f t="shared" si="37"/>
        <v>12.587548162419576</v>
      </c>
      <c r="BT42" s="29">
        <f t="shared" si="37"/>
        <v>6.1976926034407391</v>
      </c>
      <c r="BU42" s="29">
        <f t="shared" si="37"/>
        <v>10.406983943397428</v>
      </c>
      <c r="BV42" s="29">
        <f t="shared" si="37"/>
        <v>5.89152167741842</v>
      </c>
      <c r="BW42" s="29">
        <f t="shared" si="37"/>
        <v>8.683611193578205</v>
      </c>
      <c r="BX42" s="29">
        <f t="shared" si="37"/>
        <v>7.2444012271073888</v>
      </c>
      <c r="BY42" s="29">
        <f t="shared" si="37"/>
        <v>6.2908774944181536</v>
      </c>
      <c r="BZ42" s="29" t="e">
        <f t="shared" si="37"/>
        <v>#DIV/0!</v>
      </c>
      <c r="CA42" s="29">
        <f t="shared" si="37"/>
        <v>4.2751732028931109</v>
      </c>
      <c r="CB42" s="29">
        <f t="shared" si="37"/>
        <v>4.1816261535402397</v>
      </c>
      <c r="CC42" s="29">
        <f t="shared" si="37"/>
        <v>1.7747506238963238</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4" t="s">
        <v>699</v>
      </c>
      <c r="B43" s="285"/>
      <c r="C43" s="285"/>
      <c r="D43" s="285"/>
      <c r="E43" s="285"/>
      <c r="F43" s="285"/>
      <c r="G43" s="285"/>
      <c r="H43" s="285"/>
      <c r="I43" s="285"/>
      <c r="J43" s="285"/>
      <c r="K43" s="285"/>
      <c r="L43" s="285"/>
      <c r="M43" s="285"/>
      <c r="N43" s="285"/>
      <c r="O43" s="285"/>
      <c r="P43" s="285"/>
      <c r="Q43" s="285"/>
      <c r="R43" s="285"/>
      <c r="S43" s="285"/>
      <c r="T43" s="285"/>
      <c r="U43" s="285"/>
      <c r="V43" s="285"/>
      <c r="W43" s="285"/>
      <c r="X43" s="285"/>
      <c r="Y43" s="285"/>
      <c r="Z43" s="285"/>
      <c r="AA43" s="285"/>
      <c r="AB43" s="285"/>
      <c r="AC43" s="285"/>
      <c r="AD43" s="285"/>
      <c r="AE43" s="285"/>
      <c r="AF43" s="285"/>
      <c r="AG43" s="285"/>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35064</v>
      </c>
      <c r="CC46" s="1">
        <v>34699</v>
      </c>
      <c r="CD46" s="1">
        <v>25569</v>
      </c>
      <c r="CE46" s="1"/>
      <c r="CF46" s="1"/>
      <c r="CG46" s="1"/>
      <c r="CH46" s="1"/>
      <c r="CI46" s="1"/>
      <c r="CJ46" s="1"/>
      <c r="CK46" s="1"/>
    </row>
    <row r="47" spans="1:89" s="26" customFormat="1" x14ac:dyDescent="0.25">
      <c r="A47" s="17" t="s">
        <v>424</v>
      </c>
      <c r="E47" s="26">
        <f>股权价值增加表!E42</f>
        <v>2808624824.7300005</v>
      </c>
      <c r="F47" s="26">
        <f>股权价值增加表!F42</f>
        <v>1831658197.2399998</v>
      </c>
      <c r="G47" s="26">
        <f>股权价值增加表!G42</f>
        <v>802286614.76000011</v>
      </c>
      <c r="H47" s="26">
        <f>股权价值增加表!H42</f>
        <v>327367084.90999991</v>
      </c>
      <c r="I47" s="26">
        <f>股权价值增加表!I42</f>
        <v>3974078620.1500034</v>
      </c>
      <c r="J47" s="26">
        <f>股权价值增加表!J42</f>
        <v>2337714500.7700005</v>
      </c>
      <c r="K47" s="26">
        <f>股权价值增加表!K42</f>
        <v>1267633937.5299997</v>
      </c>
      <c r="L47" s="26">
        <f>股权价值增加表!L42</f>
        <v>395066413.33999938</v>
      </c>
      <c r="M47" s="26">
        <f>股权价值增加表!M42</f>
        <v>3730953181.5299983</v>
      </c>
      <c r="N47" s="26">
        <f>股权价值增加表!N42</f>
        <v>1907543838.9200003</v>
      </c>
      <c r="O47" s="26">
        <f>股权价值增加表!O42</f>
        <v>965983479.92000043</v>
      </c>
      <c r="P47" s="26">
        <f>股权价值增加表!P42</f>
        <v>384449481.80000001</v>
      </c>
      <c r="Q47" s="26">
        <f>股权价值增加表!Q42</f>
        <v>2654710015.8099995</v>
      </c>
      <c r="R47" s="26">
        <f>股权价值增加表!R42</f>
        <v>1125544568.1599994</v>
      </c>
      <c r="S47" s="26">
        <f>股权价值增加表!S42</f>
        <v>695556800.33999956</v>
      </c>
      <c r="T47" s="26">
        <f>股权价值增加表!T42</f>
        <v>283700176.38000017</v>
      </c>
      <c r="U47" s="26">
        <f>股权价值增加表!U42</f>
        <v>1789793190.8600008</v>
      </c>
      <c r="V47" s="26">
        <f>股权价值增加表!V42</f>
        <v>902939766.08000076</v>
      </c>
      <c r="W47" s="26">
        <f>股权价值增加表!W42</f>
        <v>631968468.64999926</v>
      </c>
      <c r="X47" s="26">
        <f>股权价值增加表!X42</f>
        <v>265953766.22000039</v>
      </c>
      <c r="Y47" s="26">
        <f>股权价值增加表!Y42</f>
        <v>1553930223.45</v>
      </c>
      <c r="Z47" s="26">
        <f>股权价值增加表!Z42</f>
        <v>974863446.81999862</v>
      </c>
      <c r="AA47" s="26">
        <f>股权价值增加表!AA42</f>
        <v>592045781.09000027</v>
      </c>
      <c r="AB47" s="26">
        <f>股权价值增加表!AB42</f>
        <v>250569696.86999992</v>
      </c>
      <c r="AC47" s="26">
        <f>股权价值增加表!AC42</f>
        <v>1007865422.8099997</v>
      </c>
      <c r="AD47" s="26">
        <f>股权价值增加表!AD42</f>
        <v>555892995.42000031</v>
      </c>
      <c r="AE47" s="26">
        <f>股权价值增加表!AE42</f>
        <v>360323053.57999969</v>
      </c>
      <c r="AF47" s="26">
        <f>股权价值增加表!AF42</f>
        <v>130440207.93999992</v>
      </c>
      <c r="AG47" s="26">
        <f>股权价值增加表!AG42</f>
        <v>810098077.5899986</v>
      </c>
      <c r="AH47" s="26">
        <f>股权价值增加表!AH42</f>
        <v>497578607.40000039</v>
      </c>
      <c r="AI47" s="26">
        <f>股权价值增加表!AI42</f>
        <v>282271847.97000027</v>
      </c>
      <c r="AJ47" s="26">
        <f>股权价值增加表!AJ42</f>
        <v>141560200.34000018</v>
      </c>
      <c r="AK47" s="26">
        <f>股权价值增加表!AK42</f>
        <v>804477693.34000003</v>
      </c>
      <c r="AL47" s="26">
        <f>股权价值增加表!AL42</f>
        <v>340682885.69000018</v>
      </c>
      <c r="AM47" s="26">
        <f>股权价值增加表!AM42</f>
        <v>193555596.27999982</v>
      </c>
      <c r="AN47" s="26">
        <f>股权价值增加表!AN42</f>
        <v>54414814.629999973</v>
      </c>
      <c r="AO47" s="26">
        <f>股权价值增加表!AO42</f>
        <v>524097901.30999959</v>
      </c>
      <c r="AP47" s="26">
        <f>股权价值增加表!AP42</f>
        <v>374981986.59000027</v>
      </c>
      <c r="AQ47" s="26">
        <f>股权价值增加表!AQ42</f>
        <v>396931234.61000001</v>
      </c>
      <c r="AR47" s="26">
        <f>股权价值增加表!AR42</f>
        <v>253482531.27999979</v>
      </c>
      <c r="AS47" s="26">
        <f>股权价值增加表!AS42</f>
        <v>435850673.97000015</v>
      </c>
      <c r="AT47" s="26">
        <f>股权价值增加表!AT42</f>
        <v>157542716.21000004</v>
      </c>
      <c r="AU47" s="26">
        <f>股权价值增加表!AU42</f>
        <v>95907935.899999872</v>
      </c>
      <c r="AV47" s="26">
        <f>股权价值增加表!AV42</f>
        <v>42127973.36999999</v>
      </c>
      <c r="AW47" s="26">
        <f>股权价值增加表!AW42</f>
        <v>182239739.05000007</v>
      </c>
      <c r="AX47" s="26">
        <f>股权价值增加表!AX42</f>
        <v>64055545.170000106</v>
      </c>
      <c r="AY47" s="26">
        <f>股权价值增加表!AY42</f>
        <v>39119456.260000229</v>
      </c>
      <c r="AZ47" s="26">
        <f>股权价值增加表!AZ42</f>
        <v>24484327.860000078</v>
      </c>
      <c r="BA47" s="26">
        <f>股权价值增加表!BA42</f>
        <v>154344116.46999928</v>
      </c>
      <c r="BB47" s="26">
        <f>股权价值增加表!BB42</f>
        <v>98906211.180000156</v>
      </c>
      <c r="BC47" s="26">
        <f>股权价值增加表!BC42</f>
        <v>55786760.649999991</v>
      </c>
      <c r="BD47" s="26">
        <f>股权价值增加表!BD42</f>
        <v>27686774.219999917</v>
      </c>
      <c r="BE47" s="26">
        <f>股权价值增加表!BE42</f>
        <v>119657422.89999995</v>
      </c>
      <c r="BF47" s="26">
        <f>股权价值增加表!BF42</f>
        <v>75593678.470000103</v>
      </c>
      <c r="BG47" s="26">
        <f>股权价值增加表!BG42</f>
        <v>35334477.870000005</v>
      </c>
      <c r="BH47" s="26">
        <f>股权价值增加表!BH42</f>
        <v>18350644.26000002</v>
      </c>
      <c r="BI47" s="26">
        <f>股权价值增加表!BI42</f>
        <v>121508430.73000005</v>
      </c>
      <c r="BJ47" s="26">
        <f>股权价值增加表!BJ42</f>
        <v>63121302.520000108</v>
      </c>
      <c r="BK47" s="26">
        <f>股权价值增加表!BK42</f>
        <v>26375125.550000139</v>
      </c>
      <c r="BL47" s="26">
        <f>股权价值增加表!BL42</f>
        <v>21677996.789999951</v>
      </c>
      <c r="BM47" s="26">
        <f>股权价值增加表!BM42</f>
        <v>92302270.660000071</v>
      </c>
      <c r="BN47" s="26">
        <f>股权价值增加表!BN42</f>
        <v>52063867.899999872</v>
      </c>
      <c r="BO47" s="26">
        <f>股权价值增加表!BO42</f>
        <v>27332322.740000039</v>
      </c>
      <c r="BP47" s="26">
        <f>股权价值增加表!BP42</f>
        <v>9549607.4899999779</v>
      </c>
      <c r="BQ47" s="26">
        <f>股权价值增加表!BQ42</f>
        <v>91492739.59999992</v>
      </c>
      <c r="BR47" s="26">
        <f>股权价值增加表!BR42</f>
        <v>27073468.670000009</v>
      </c>
      <c r="BS47" s="26">
        <f>股权价值增加表!BS42</f>
        <v>71731455.369999915</v>
      </c>
      <c r="BT47" s="26">
        <f>股权价值增加表!BT42</f>
        <v>17977418.990000039</v>
      </c>
      <c r="BU47" s="26">
        <f>股权价值增加表!BU42</f>
        <v>54839526.86999996</v>
      </c>
      <c r="BV47" s="26">
        <f>股权价值增加表!BV42</f>
        <v>16938347.720000021</v>
      </c>
      <c r="BW47" s="26">
        <f>股权价值增加表!BW42</f>
        <v>46865310.449999988</v>
      </c>
      <c r="BX47" s="26">
        <f>股权价值增加表!BX42</f>
        <v>19914886.830000021</v>
      </c>
      <c r="BY47" s="26">
        <f>股权价值增加表!BY42</f>
        <v>41796805.959999964</v>
      </c>
      <c r="BZ47" s="26">
        <f>股权价值增加表!BZ42</f>
        <v>157263949.30000001</v>
      </c>
      <c r="CA47" s="26">
        <f>股权价值增加表!CA42</f>
        <v>20489383</v>
      </c>
      <c r="CB47" s="26">
        <f>股权价值增加表!CB42</f>
        <v>14152096</v>
      </c>
      <c r="CC47" s="26">
        <f>股权价值增加表!CC42</f>
        <v>2142603</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8.4541242431553282E-2</v>
      </c>
      <c r="F48" s="63">
        <f>股权价值增加表!F43</f>
        <v>9.6428611918255983E-2</v>
      </c>
      <c r="G48" s="63">
        <f>股权价值增加表!G43</f>
        <v>8.6146333133997985E-2</v>
      </c>
      <c r="H48" s="63">
        <f>股权价值增加表!H43</f>
        <v>8.4624682532653941E-2</v>
      </c>
      <c r="I48" s="63">
        <f>股权价值增加表!I43</f>
        <v>0.11085159327782969</v>
      </c>
      <c r="J48" s="63">
        <f>股权价值增加表!J43</f>
        <v>0.10793191826507073</v>
      </c>
      <c r="K48" s="63">
        <f>股权价值增加表!K43</f>
        <v>9.5539820251207386E-2</v>
      </c>
      <c r="L48" s="63">
        <f>股权价值增加表!L43</f>
        <v>7.7059236391707739E-2</v>
      </c>
      <c r="M48" s="63">
        <f>股权价值增加表!M43</f>
        <v>0.1195401704917777</v>
      </c>
      <c r="N48" s="63">
        <f>股权价值增加表!N43</f>
        <v>0.10077326092594999</v>
      </c>
      <c r="O48" s="63">
        <f>股权价值增加表!O43</f>
        <v>9.2997129911592785E-2</v>
      </c>
      <c r="P48" s="63">
        <f>股权价值增加表!P43</f>
        <v>8.9964972907442639E-2</v>
      </c>
      <c r="Q48" s="63">
        <f>股权价值增加表!Q43</f>
        <v>0.10318249033334356</v>
      </c>
      <c r="R48" s="63">
        <f>股权价值增加表!R43</f>
        <v>7.5023789116712578E-2</v>
      </c>
      <c r="S48" s="63">
        <f>股权价值增加表!S43</f>
        <v>7.4458975632419933E-2</v>
      </c>
      <c r="T48" s="63">
        <f>股权价值增加表!T43</f>
        <v>6.4536635970409054E-2</v>
      </c>
      <c r="U48" s="63">
        <f>股权价值增加表!U43</f>
        <v>8.1008746271504367E-2</v>
      </c>
      <c r="V48" s="63">
        <f>股权价值增加表!V43</f>
        <v>6.6055519659758144E-2</v>
      </c>
      <c r="W48" s="63">
        <f>股权价值增加表!W43</f>
        <v>6.5395797964280689E-2</v>
      </c>
      <c r="X48" s="63">
        <f>股权价值增加表!X43</f>
        <v>6.1317211524106234E-2</v>
      </c>
      <c r="Y48" s="63">
        <f>股权价值增加表!Y43</f>
        <v>7.8626429098356113E-2</v>
      </c>
      <c r="Z48" s="63">
        <f>股权价值增加表!Z43</f>
        <v>7.3248396984492051E-2</v>
      </c>
      <c r="AA48" s="63">
        <f>股权价值增加表!AA43</f>
        <v>7.1363118999334146E-2</v>
      </c>
      <c r="AB48" s="63">
        <f>股权价值增加表!AB43</f>
        <v>6.3126124371501266E-2</v>
      </c>
      <c r="AC48" s="63">
        <f>股权价值增加表!AC43</f>
        <v>5.952455887650842E-2</v>
      </c>
      <c r="AD48" s="63">
        <f>股权价值增加表!AD43</f>
        <v>5.0491944893574843E-2</v>
      </c>
      <c r="AE48" s="63">
        <f>股权价值增加表!AE43</f>
        <v>5.624979551348256E-2</v>
      </c>
      <c r="AF48" s="63">
        <f>股权价值增加表!AF43</f>
        <v>4.4247618651179314E-2</v>
      </c>
      <c r="AG48" s="63">
        <f>股权价值增加表!AG43</f>
        <v>6.0102984037451582E-2</v>
      </c>
      <c r="AH48" s="63">
        <f>股权价值增加表!AH43</f>
        <v>5.4484460773770609E-2</v>
      </c>
      <c r="AI48" s="63">
        <f>股权价值增加表!AI43</f>
        <v>5.1086595638929352E-2</v>
      </c>
      <c r="AJ48" s="63">
        <f>股权价值增加表!AJ43</f>
        <v>6.005137061199272E-2</v>
      </c>
      <c r="AK48" s="63">
        <f>股权价值增加表!AK43</f>
        <v>9.1608097750344411E-2</v>
      </c>
      <c r="AL48" s="63">
        <f>股权价值增加表!AL43</f>
        <v>5.8408092913392634E-2</v>
      </c>
      <c r="AM48" s="63">
        <f>股权价值增加表!AM43</f>
        <v>5.4561090805272626E-2</v>
      </c>
      <c r="AN48" s="63">
        <f>股权价值增加表!AN43</f>
        <v>4.115526524345809E-2</v>
      </c>
      <c r="AO48" s="63">
        <f>股权价值增加表!AO43</f>
        <v>6.2874104186256219E-2</v>
      </c>
      <c r="AP48" s="63">
        <f>股权价值增加表!AP43</f>
        <v>6.3458650250526605E-2</v>
      </c>
      <c r="AQ48" s="63">
        <f>股权价值增加表!AQ43</f>
        <v>9.2972108496686579E-2</v>
      </c>
      <c r="AR48" s="63">
        <f>股权价值增加表!AR43</f>
        <v>0.14662476366499413</v>
      </c>
      <c r="AS48" s="63">
        <f>股权价值增加表!AS43</f>
        <v>5.5305576454640279E-2</v>
      </c>
      <c r="AT48" s="63">
        <f>股权价值增加表!AT43</f>
        <v>3.2880836668708398E-2</v>
      </c>
      <c r="AU48" s="63">
        <f>股权价值增加表!AU43</f>
        <v>3.3953683661944005E-2</v>
      </c>
      <c r="AV48" s="63">
        <f>股权价值增加表!AV43</f>
        <v>3.4559838777005872E-2</v>
      </c>
      <c r="AW48" s="63">
        <f>股权价值增加表!AW43</f>
        <v>3.678262011784432E-2</v>
      </c>
      <c r="AX48" s="63">
        <f>股权价值增加表!AX43</f>
        <v>1.994439304835573E-2</v>
      </c>
      <c r="AY48" s="63">
        <f>股权价值增加表!AY43</f>
        <v>1.9183607831844619E-2</v>
      </c>
      <c r="AZ48" s="63">
        <f>股权价值增加表!AZ43</f>
        <v>2.7584785818072804E-2</v>
      </c>
      <c r="BA48" s="63">
        <f>股权价值增加表!BA43</f>
        <v>3.3725836186662056E-2</v>
      </c>
      <c r="BB48" s="63">
        <f>股权价值增加表!BB43</f>
        <v>3.3593999530342734E-2</v>
      </c>
      <c r="BC48" s="63">
        <f>股权价值增加表!BC43</f>
        <v>3.2828527955308252E-2</v>
      </c>
      <c r="BD48" s="63">
        <f>股权价值增加表!BD43</f>
        <v>3.7444935667448546E-2</v>
      </c>
      <c r="BE48" s="63">
        <f>股权价值增加表!BE43</f>
        <v>3.0300008880612097E-2</v>
      </c>
      <c r="BF48" s="63">
        <f>股权价值增加表!BF43</f>
        <v>2.7367373543651204E-2</v>
      </c>
      <c r="BG48" s="63">
        <f>股权价值增加表!BG43</f>
        <v>2.3766256275210826E-2</v>
      </c>
      <c r="BH48" s="63">
        <f>股权价值增加表!BH43</f>
        <v>3.203356039166106E-2</v>
      </c>
      <c r="BI48" s="63">
        <f>股权价值增加表!BI43</f>
        <v>3.7345271687291043E-2</v>
      </c>
      <c r="BJ48" s="63">
        <f>股权价值增加表!BJ43</f>
        <v>3.2429692233861711E-2</v>
      </c>
      <c r="BK48" s="63">
        <f>股权价值增加表!BK43</f>
        <v>2.1942999775622241E-2</v>
      </c>
      <c r="BL48" s="63">
        <f>股权价值增加表!BL43</f>
        <v>2.8996949809942975E-2</v>
      </c>
      <c r="BM48" s="63">
        <f>股权价值增加表!BM43</f>
        <v>3.437637708356741E-2</v>
      </c>
      <c r="BN48" s="63">
        <f>股权价值增加表!BN43</f>
        <v>2.8237352974160627E-2</v>
      </c>
      <c r="BO48" s="63">
        <f>股权价值增加表!BO43</f>
        <v>2.7363178121291253E-2</v>
      </c>
      <c r="BP48" s="63">
        <f>股权价值增加表!BP43</f>
        <v>2.6189423410150372E-2</v>
      </c>
      <c r="BQ48" s="63">
        <f>股权价值增加表!BQ43</f>
        <v>5.792456593910332E-2</v>
      </c>
      <c r="BR48" s="63">
        <f>股权价值增加表!BR43</f>
        <v>3.857550532937342E-2</v>
      </c>
      <c r="BS48" s="63">
        <f>股权价值增加表!BS43</f>
        <v>5.9827647169070575E-2</v>
      </c>
      <c r="BT48" s="63">
        <f>股权价值增加表!BT43</f>
        <v>3.8265638268098229E-2</v>
      </c>
      <c r="BU48" s="63">
        <f>股权价值增加表!BU43</f>
        <v>7.832994559844797E-2</v>
      </c>
      <c r="BV48" s="63">
        <f>股权价值增加表!BV43</f>
        <v>5.3082251160422131E-2</v>
      </c>
      <c r="BW48" s="63">
        <f>股权价值增加表!BW43</f>
        <v>8.2886393911697276E-2</v>
      </c>
      <c r="BX48" s="63">
        <f>股权价值增加表!BX43</f>
        <v>8.7907112863597814E-2</v>
      </c>
      <c r="BY48" s="63">
        <f>股权价值增加表!BY43</f>
        <v>9.5716761374894002E-2</v>
      </c>
      <c r="BZ48" s="63">
        <f>股权价值增加表!BZ43</f>
        <v>1.0010892331028372</v>
      </c>
      <c r="CA48" s="63">
        <f>股权价值增加表!CA43</f>
        <v>4.6665521349295587E-2</v>
      </c>
      <c r="CB48" s="63">
        <f>股权价值增加表!CB43</f>
        <v>5.1605248359640109E-2</v>
      </c>
      <c r="CC48" s="63">
        <f>股权价值增加表!CC43</f>
        <v>1.5567939523529585E-2</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-0.29326390009264897</v>
      </c>
      <c r="F49" s="59">
        <f t="shared" ref="F49:BQ49" si="38">(F47-J47)/J47</f>
        <v>-0.21647481048832737</v>
      </c>
      <c r="G49" s="59">
        <f t="shared" si="38"/>
        <v>-0.36709913563590335</v>
      </c>
      <c r="H49" s="59">
        <f t="shared" si="38"/>
        <v>-0.17136189294769671</v>
      </c>
      <c r="I49" s="59">
        <f t="shared" si="38"/>
        <v>6.5164430318662869E-2</v>
      </c>
      <c r="J49" s="59">
        <f t="shared" si="38"/>
        <v>0.22551023629084777</v>
      </c>
      <c r="K49" s="59">
        <f t="shared" si="38"/>
        <v>0.31227289480662856</v>
      </c>
      <c r="L49" s="59">
        <f t="shared" si="38"/>
        <v>2.7615934063145785E-2</v>
      </c>
      <c r="M49" s="59">
        <f t="shared" si="38"/>
        <v>0.40540893706298758</v>
      </c>
      <c r="N49" s="59">
        <f t="shared" si="38"/>
        <v>0.69477415011507349</v>
      </c>
      <c r="O49" s="59">
        <f t="shared" si="38"/>
        <v>0.38879165504213586</v>
      </c>
      <c r="P49" s="59">
        <f t="shared" si="38"/>
        <v>0.35512598795515693</v>
      </c>
      <c r="Q49" s="59">
        <f t="shared" si="38"/>
        <v>0.48324958959889863</v>
      </c>
      <c r="R49" s="59">
        <f t="shared" si="38"/>
        <v>0.24653339064510285</v>
      </c>
      <c r="S49" s="59">
        <f t="shared" si="38"/>
        <v>0.10061946892039828</v>
      </c>
      <c r="T49" s="59">
        <f t="shared" si="38"/>
        <v>6.6727425643296701E-2</v>
      </c>
      <c r="U49" s="59">
        <f t="shared" si="38"/>
        <v>0.15178478663369022</v>
      </c>
      <c r="V49" s="59">
        <f t="shared" si="38"/>
        <v>-7.3778210655669446E-2</v>
      </c>
      <c r="W49" s="59">
        <f t="shared" si="38"/>
        <v>6.7431757534862177E-2</v>
      </c>
      <c r="X49" s="59">
        <f t="shared" si="38"/>
        <v>6.1396368125001183E-2</v>
      </c>
      <c r="Y49" s="59">
        <f t="shared" si="38"/>
        <v>0.54180328869456917</v>
      </c>
      <c r="Z49" s="59">
        <f t="shared" si="38"/>
        <v>0.75368902801779092</v>
      </c>
      <c r="AA49" s="59">
        <f t="shared" si="38"/>
        <v>0.64309714631831905</v>
      </c>
      <c r="AB49" s="59">
        <f t="shared" si="38"/>
        <v>0.92095444209393873</v>
      </c>
      <c r="AC49" s="59">
        <f t="shared" si="38"/>
        <v>0.24412765650345586</v>
      </c>
      <c r="AD49" s="59">
        <f t="shared" si="38"/>
        <v>0.11719633270552032</v>
      </c>
      <c r="AE49" s="59">
        <f t="shared" si="38"/>
        <v>0.27651076850672923</v>
      </c>
      <c r="AF49" s="59">
        <f t="shared" si="38"/>
        <v>-7.85530987755894E-2</v>
      </c>
      <c r="AG49" s="59">
        <f t="shared" si="38"/>
        <v>6.986376746711361E-3</v>
      </c>
      <c r="AH49" s="59">
        <f t="shared" si="38"/>
        <v>0.46053303027603615</v>
      </c>
      <c r="AI49" s="59">
        <f t="shared" si="38"/>
        <v>0.45835022802266312</v>
      </c>
      <c r="AJ49" s="59">
        <f t="shared" si="38"/>
        <v>1.6015011041121001</v>
      </c>
      <c r="AK49" s="59">
        <f t="shared" si="38"/>
        <v>0.53497598698484028</v>
      </c>
      <c r="AL49" s="59">
        <f t="shared" si="38"/>
        <v>-9.1468662833402242E-2</v>
      </c>
      <c r="AM49" s="59">
        <f t="shared" si="38"/>
        <v>-0.51236995377757177</v>
      </c>
      <c r="AN49" s="59">
        <f t="shared" si="38"/>
        <v>-0.78533110603234146</v>
      </c>
      <c r="AO49" s="59">
        <f t="shared" si="38"/>
        <v>0.2024712421256312</v>
      </c>
      <c r="AP49" s="59">
        <f t="shared" si="38"/>
        <v>1.3801924684995259</v>
      </c>
      <c r="AQ49" s="59">
        <f t="shared" si="38"/>
        <v>3.138669348737392</v>
      </c>
      <c r="AR49" s="59">
        <f t="shared" si="38"/>
        <v>5.0169647624328588</v>
      </c>
      <c r="AS49" s="59">
        <f t="shared" si="38"/>
        <v>1.391633549532346</v>
      </c>
      <c r="AT49" s="59">
        <f t="shared" si="38"/>
        <v>1.4594703829604418</v>
      </c>
      <c r="AU49" s="59">
        <f t="shared" si="38"/>
        <v>1.451668429708366</v>
      </c>
      <c r="AV49" s="59">
        <f t="shared" si="38"/>
        <v>0.72060975538659755</v>
      </c>
      <c r="AW49" s="59">
        <f t="shared" si="38"/>
        <v>0.18073654647809664</v>
      </c>
      <c r="AX49" s="59">
        <f t="shared" si="38"/>
        <v>-0.35236074250761723</v>
      </c>
      <c r="AY49" s="59">
        <f t="shared" si="38"/>
        <v>-0.29876809830505485</v>
      </c>
      <c r="AZ49" s="59">
        <f t="shared" si="38"/>
        <v>-0.11566700889576759</v>
      </c>
      <c r="BA49" s="59">
        <f t="shared" si="38"/>
        <v>0.28988334137020222</v>
      </c>
      <c r="BB49" s="59">
        <f t="shared" si="38"/>
        <v>0.30839262200015571</v>
      </c>
      <c r="BC49" s="59">
        <f t="shared" si="38"/>
        <v>0.57881944245069961</v>
      </c>
      <c r="BD49" s="59">
        <f t="shared" si="38"/>
        <v>0.50876306181524145</v>
      </c>
      <c r="BE49" s="59">
        <f t="shared" si="38"/>
        <v>-1.5233575307323053E-2</v>
      </c>
      <c r="BF49" s="59">
        <f t="shared" si="38"/>
        <v>0.19759376711290294</v>
      </c>
      <c r="BG49" s="59">
        <f t="shared" si="38"/>
        <v>0.33968946623648655</v>
      </c>
      <c r="BH49" s="59">
        <f t="shared" si="38"/>
        <v>-0.15348985250956568</v>
      </c>
      <c r="BI49" s="59">
        <f t="shared" si="38"/>
        <v>0.3164186521215962</v>
      </c>
      <c r="BJ49" s="59">
        <f t="shared" si="38"/>
        <v>0.21238211961582407</v>
      </c>
      <c r="BK49" s="59">
        <f t="shared" si="38"/>
        <v>-3.5020704208174422E-2</v>
      </c>
      <c r="BL49" s="59">
        <f t="shared" si="38"/>
        <v>1.270040607710883</v>
      </c>
      <c r="BM49" s="59">
        <f t="shared" si="38"/>
        <v>8.8480360686472668E-3</v>
      </c>
      <c r="BN49" s="59">
        <f t="shared" si="38"/>
        <v>0.92305864219355138</v>
      </c>
      <c r="BO49" s="59">
        <f t="shared" si="38"/>
        <v>-0.6189632205422787</v>
      </c>
      <c r="BP49" s="59">
        <f t="shared" si="38"/>
        <v>-0.46879985968442084</v>
      </c>
      <c r="BQ49" s="59">
        <f t="shared" si="38"/>
        <v>0.66837215457544641</v>
      </c>
      <c r="BR49" s="59">
        <f t="shared" ref="BR49:CJ49" si="39">(BR47-BV47)/BV47</f>
        <v>0.59835357719294568</v>
      </c>
      <c r="BS49" s="59">
        <f t="shared" si="39"/>
        <v>0.53058743623451088</v>
      </c>
      <c r="BT49" s="59">
        <f t="shared" si="39"/>
        <v>-9.7287414010375231E-2</v>
      </c>
      <c r="BU49" s="59">
        <f t="shared" si="39"/>
        <v>0.31205066058114667</v>
      </c>
      <c r="BV49" s="59">
        <f t="shared" si="39"/>
        <v>-0.89229351167006443</v>
      </c>
      <c r="BW49" s="59">
        <f t="shared" si="39"/>
        <v>1.2872973017293878</v>
      </c>
      <c r="BX49" s="59">
        <f t="shared" si="39"/>
        <v>0.40720405161186163</v>
      </c>
      <c r="BY49" s="59">
        <f t="shared" si="39"/>
        <v>18.507489702945421</v>
      </c>
      <c r="BZ49" s="59" t="e">
        <f t="shared" si="39"/>
        <v>#DIV/0!</v>
      </c>
      <c r="CA49" s="59">
        <f t="shared" si="39"/>
        <v>-2.0203367860166326</v>
      </c>
      <c r="CB49" s="59">
        <f t="shared" si="39"/>
        <v>-1.9858952287051865</v>
      </c>
      <c r="CC49" s="59">
        <f t="shared" si="39"/>
        <v>-1.4948274826789838</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1560156195.9644005</v>
      </c>
      <c r="F50" s="26">
        <f>股权价值增加表!F47</f>
        <v>762271564.70719981</v>
      </c>
      <c r="G50" s="26">
        <f>股权价值增加表!G47</f>
        <v>-178862379.11759984</v>
      </c>
      <c r="H50" s="26">
        <f>股权价值增加表!H47</f>
        <v>-793170961.08200026</v>
      </c>
      <c r="I50" s="26">
        <f>股权价值增加表!I47</f>
        <v>2879749745.4892035</v>
      </c>
      <c r="J50" s="26">
        <f>股权价值增加表!J47</f>
        <v>1384543068.5124006</v>
      </c>
      <c r="K50" s="26">
        <f>股权价值增加表!K47</f>
        <v>400093968.8859998</v>
      </c>
      <c r="L50" s="26">
        <f>股权价值增加表!L47</f>
        <v>-671699319.26000071</v>
      </c>
      <c r="M50" s="26">
        <f>股权价值增加表!M47</f>
        <v>2695802358.4387984</v>
      </c>
      <c r="N50" s="26">
        <f>股权价值增加表!N47</f>
        <v>1006828163.1792003</v>
      </c>
      <c r="O50" s="26">
        <f>股权价值增加表!O47</f>
        <v>139837847.59040034</v>
      </c>
      <c r="P50" s="26">
        <f>股权价值增加表!P47</f>
        <v>-515503129.76080006</v>
      </c>
      <c r="Q50" s="26">
        <f>股权价值增加表!Q47</f>
        <v>1785864073.4035995</v>
      </c>
      <c r="R50" s="26">
        <f>股权价值增加表!R47</f>
        <v>386291333.71119928</v>
      </c>
      <c r="S50" s="26">
        <f>股权价值增加表!S47</f>
        <v>-11220308.329600573</v>
      </c>
      <c r="T50" s="26">
        <f>股权价值增加表!T47</f>
        <v>-440310986.58079988</v>
      </c>
      <c r="U50" s="26">
        <f>股权价值增加表!U47</f>
        <v>1089221593.3312008</v>
      </c>
      <c r="V50" s="26">
        <f>股权价值增加表!V47</f>
        <v>277678027.22560072</v>
      </c>
      <c r="W50" s="26">
        <f>股权价值增加表!W47</f>
        <v>28936794.301199317</v>
      </c>
      <c r="X50" s="26">
        <f>股权价值增加表!X47</f>
        <v>-341888693.84319961</v>
      </c>
      <c r="Y50" s="26">
        <f>股权价值增加表!Y47</f>
        <v>968365747.14919996</v>
      </c>
      <c r="Z50" s="26">
        <f>股权价值增加表!Z47</f>
        <v>428104421.01439869</v>
      </c>
      <c r="AA50" s="26">
        <f>股权价值增加表!AA47</f>
        <v>108246590.94280022</v>
      </c>
      <c r="AB50" s="26">
        <f>股权价值增加表!AB47</f>
        <v>-211656005.6060001</v>
      </c>
      <c r="AC50" s="26">
        <f>股权价值增加表!AC47</f>
        <v>740844223.70679975</v>
      </c>
      <c r="AD50" s="26">
        <f>股权价值增加表!AD47</f>
        <v>325260327.19600034</v>
      </c>
      <c r="AE50" s="26">
        <f>股权价值增加表!AE47</f>
        <v>145104774.15679967</v>
      </c>
      <c r="AF50" s="26">
        <f>股权价值增加表!AF47</f>
        <v>-78864845.18400009</v>
      </c>
      <c r="AG50" s="26">
        <f>股权价值增加表!AG47</f>
        <v>611228241.10119855</v>
      </c>
      <c r="AH50" s="26">
        <f>股权价值增加表!AH47</f>
        <v>325513151.86480039</v>
      </c>
      <c r="AI50" s="26">
        <f>股权价值增加表!AI47</f>
        <v>127393673.94600028</v>
      </c>
      <c r="AJ50" s="26">
        <f>股权价值增加表!AJ47</f>
        <v>-40250628.204799831</v>
      </c>
      <c r="AK50" s="26">
        <f>股权价值增加表!AK47</f>
        <v>630568337.84720004</v>
      </c>
      <c r="AL50" s="26">
        <f>股权价值增加表!AL47</f>
        <v>186892913.12440017</v>
      </c>
      <c r="AM50" s="26">
        <f>股权价值增加表!AM47</f>
        <v>52190991.747199804</v>
      </c>
      <c r="AN50" s="26">
        <f>股权价值增加表!AN47</f>
        <v>-94407546.748400033</v>
      </c>
      <c r="AO50" s="26">
        <f>股权价值增加表!AO47</f>
        <v>388015600.01159954</v>
      </c>
      <c r="AP50" s="26">
        <f>股权价值增加表!AP47</f>
        <v>245960166.64680028</v>
      </c>
      <c r="AQ50" s="26">
        <f>股权价值增加表!AQ47</f>
        <v>258874087.39320001</v>
      </c>
      <c r="AR50" s="26">
        <f>股权价值增加表!AR47</f>
        <v>92373903.632799804</v>
      </c>
      <c r="AS50" s="26">
        <f>股权价值增加表!AS47</f>
        <v>209564789.59240016</v>
      </c>
      <c r="AT50" s="26">
        <f>股权价值增加表!AT47</f>
        <v>-12732295.789199978</v>
      </c>
      <c r="AU50" s="26">
        <f>股权价值增加表!AU47</f>
        <v>-28813100.305600122</v>
      </c>
      <c r="AV50" s="26">
        <f>股权价值增加表!AV47</f>
        <v>-66487623.913200006</v>
      </c>
      <c r="AW50" s="26">
        <f>股权价值增加表!AW47</f>
        <v>73254992.052400067</v>
      </c>
      <c r="AX50" s="26">
        <f>股权价值增加表!AX47</f>
        <v>-34413627.233199894</v>
      </c>
      <c r="AY50" s="26">
        <f>股权价值增加表!AY47</f>
        <v>-54883845.887199759</v>
      </c>
      <c r="AZ50" s="26">
        <f>股权价值增加表!AZ47</f>
        <v>-87533318.337599933</v>
      </c>
      <c r="BA50" s="26">
        <f>股权价值增加表!BA47</f>
        <v>44944110.139599279</v>
      </c>
      <c r="BB50" s="26">
        <f>股权价值增加表!BB47</f>
        <v>-4936560.423999846</v>
      </c>
      <c r="BC50" s="26">
        <f>股权价值增加表!BC47</f>
        <v>-44329942.957200006</v>
      </c>
      <c r="BD50" s="26">
        <f>股权价值增加表!BD47</f>
        <v>-69371702.631200105</v>
      </c>
      <c r="BE50" s="26">
        <f>股权价值增加表!BE47</f>
        <v>16618532.217599943</v>
      </c>
      <c r="BF50" s="26">
        <f>股权价值增加表!BF47</f>
        <v>-23181648.544399902</v>
      </c>
      <c r="BG50" s="26">
        <f>股权价值增加表!BG47</f>
        <v>-52248541.097199991</v>
      </c>
      <c r="BH50" s="26">
        <f>股权价值增加表!BH47</f>
        <v>-71786536.716799989</v>
      </c>
      <c r="BI50" s="26">
        <f>股权价值增加表!BI47</f>
        <v>33046330.762800053</v>
      </c>
      <c r="BJ50" s="26">
        <f>股权价值增加表!BJ47</f>
        <v>-20587675.233599894</v>
      </c>
      <c r="BK50" s="26">
        <f>股权价值增加表!BK47</f>
        <v>-53109889.221199863</v>
      </c>
      <c r="BL50" s="26">
        <f>股权价值增加表!BL47</f>
        <v>-56958776.277200058</v>
      </c>
      <c r="BM50" s="26">
        <f>股权价值增加表!BM47</f>
        <v>15626466.084000066</v>
      </c>
      <c r="BN50" s="26">
        <f>股权价值增加表!BN47</f>
        <v>-24191235.768000126</v>
      </c>
      <c r="BO50" s="26">
        <f>股权价值增加表!BO47</f>
        <v>-43609114.838399962</v>
      </c>
      <c r="BP50" s="26">
        <f>股权价值增加表!BP47</f>
        <v>-59680919.149200022</v>
      </c>
      <c r="BQ50" s="26">
        <f>股权价值增加表!BQ47</f>
        <v>23204053.344799921</v>
      </c>
      <c r="BR50" s="26">
        <f>股权价值增加表!BR47</f>
        <v>-42218344.510799997</v>
      </c>
      <c r="BS50" s="26">
        <f>股权价值增加表!BS47</f>
        <v>4798487.0691999123</v>
      </c>
      <c r="BT50" s="26">
        <f>股权价值增加表!BT47</f>
        <v>-34829231.288399965</v>
      </c>
      <c r="BU50" s="26">
        <f>股权价值增加表!BU47</f>
        <v>3563253.0331999585</v>
      </c>
      <c r="BV50" s="26">
        <f>股权价值增加表!BV47</f>
        <v>-31096122.491999976</v>
      </c>
      <c r="BW50" s="26">
        <f>股权价值增加表!BW47</f>
        <v>553899.31879998744</v>
      </c>
      <c r="BX50" s="26">
        <f>股权价值增加表!BX47</f>
        <v>-14192036.820399977</v>
      </c>
      <c r="BY50" s="26">
        <f>股权价值增加表!BY47</f>
        <v>9316743.8807999603</v>
      </c>
      <c r="BZ50" s="26">
        <f>股权价值增加表!BZ47</f>
        <v>122699883.83520001</v>
      </c>
      <c r="CA50" s="26">
        <f>股权价值增加表!CA47</f>
        <v>14390211.559999999</v>
      </c>
      <c r="CB50" s="26">
        <f>股权价值增加表!CB47</f>
        <v>11835726.48</v>
      </c>
      <c r="CC50" s="26">
        <f>股权价值增加表!CC47</f>
        <v>1088555.8</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4" t="s">
        <v>684</v>
      </c>
      <c r="B51" s="285"/>
      <c r="C51" s="285"/>
      <c r="D51" s="285"/>
      <c r="E51" s="285"/>
      <c r="F51" s="285"/>
      <c r="G51" s="285"/>
      <c r="H51" s="285"/>
      <c r="I51" s="285"/>
      <c r="J51" s="285"/>
      <c r="K51" s="285"/>
      <c r="L51" s="285"/>
      <c r="M51" s="285"/>
      <c r="N51" s="285"/>
      <c r="O51" s="285"/>
      <c r="P51" s="285"/>
      <c r="Q51" s="285"/>
      <c r="R51" s="285"/>
      <c r="S51" s="285"/>
      <c r="T51" s="285"/>
      <c r="U51" s="285"/>
      <c r="V51" s="285"/>
      <c r="W51" s="285"/>
      <c r="X51" s="285"/>
      <c r="Y51" s="285"/>
      <c r="Z51" s="285"/>
      <c r="AA51" s="285"/>
      <c r="AB51" s="285"/>
      <c r="AC51" s="285"/>
      <c r="AD51" s="285"/>
      <c r="AE51" s="285"/>
      <c r="AF51" s="285"/>
      <c r="AG51" s="285"/>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2">
        <f>E39</f>
        <v>3805850524.2900009</v>
      </c>
      <c r="F54" s="192">
        <f t="shared" ref="F54:AC54" si="41">F39</f>
        <v>2311704878.79</v>
      </c>
      <c r="G54" s="192">
        <f t="shared" si="41"/>
        <v>973520999.60000014</v>
      </c>
      <c r="H54" s="192">
        <f t="shared" si="41"/>
        <v>430287765.6099999</v>
      </c>
      <c r="I54" s="192">
        <f t="shared" si="41"/>
        <v>4977765399.4700031</v>
      </c>
      <c r="J54" s="192">
        <f t="shared" si="41"/>
        <v>2765785939.3500004</v>
      </c>
      <c r="K54" s="192">
        <f t="shared" si="41"/>
        <v>1500202934.8899996</v>
      </c>
      <c r="L54" s="192">
        <f t="shared" si="41"/>
        <v>485063619.49999934</v>
      </c>
      <c r="M54" s="192">
        <f t="shared" si="41"/>
        <v>4203331467.7699986</v>
      </c>
      <c r="N54" s="192">
        <f t="shared" si="41"/>
        <v>2031815433.0200005</v>
      </c>
      <c r="O54" s="192">
        <f t="shared" si="41"/>
        <v>976245622.61000049</v>
      </c>
      <c r="P54" s="192">
        <f t="shared" si="41"/>
        <v>384588429.29000002</v>
      </c>
      <c r="Q54" s="192">
        <f t="shared" si="41"/>
        <v>3119029988.1399994</v>
      </c>
      <c r="R54" s="192">
        <f t="shared" si="41"/>
        <v>1242784591.2499995</v>
      </c>
      <c r="S54" s="192">
        <f t="shared" si="41"/>
        <v>759262753.81999958</v>
      </c>
      <c r="T54" s="192">
        <f t="shared" si="41"/>
        <v>296432997.93000013</v>
      </c>
      <c r="U54" s="192">
        <f t="shared" si="41"/>
        <v>2139810600.8800008</v>
      </c>
      <c r="V54" s="192">
        <f t="shared" si="41"/>
        <v>1019531422.6300007</v>
      </c>
      <c r="W54" s="192">
        <f t="shared" si="41"/>
        <v>722173470.05999923</v>
      </c>
      <c r="X54" s="192">
        <f t="shared" si="41"/>
        <v>288238322.4600004</v>
      </c>
      <c r="Y54" s="192">
        <f t="shared" si="41"/>
        <v>1783277079.8600001</v>
      </c>
      <c r="Z54" s="192">
        <f t="shared" si="41"/>
        <v>1073533148.0999985</v>
      </c>
      <c r="AA54" s="192">
        <f t="shared" si="41"/>
        <v>651058547.5600003</v>
      </c>
      <c r="AB54" s="192">
        <f t="shared" si="41"/>
        <v>275323946.70999992</v>
      </c>
      <c r="AC54" s="192">
        <f t="shared" si="41"/>
        <v>1202218322.8399997</v>
      </c>
    </row>
    <row r="55" spans="1:88" s="63" customFormat="1" x14ac:dyDescent="0.25">
      <c r="A55" s="63" t="s">
        <v>673</v>
      </c>
      <c r="E55" s="63">
        <f>E54/E2</f>
        <v>0.11455831658227468</v>
      </c>
      <c r="F55" s="63">
        <f t="shared" ref="F55:AC55" si="42">F54/F2</f>
        <v>0.12170092267338659</v>
      </c>
      <c r="G55" s="63">
        <f t="shared" si="42"/>
        <v>0.10453279763314036</v>
      </c>
      <c r="H55" s="63">
        <f t="shared" si="42"/>
        <v>0.1112297700070914</v>
      </c>
      <c r="I55" s="63">
        <f t="shared" si="42"/>
        <v>0.13884808989351966</v>
      </c>
      <c r="J55" s="63">
        <f t="shared" si="42"/>
        <v>0.12769591061965874</v>
      </c>
      <c r="K55" s="63">
        <f t="shared" si="42"/>
        <v>0.11306822458461697</v>
      </c>
      <c r="L55" s="63">
        <f t="shared" si="42"/>
        <v>9.4613540554001174E-2</v>
      </c>
      <c r="M55" s="63">
        <f t="shared" si="42"/>
        <v>0.13467522529581219</v>
      </c>
      <c r="N55" s="63">
        <f t="shared" si="42"/>
        <v>0.10733838070060922</v>
      </c>
      <c r="O55" s="63">
        <f t="shared" si="42"/>
        <v>9.3985086576226701E-2</v>
      </c>
      <c r="P55" s="63">
        <f t="shared" si="42"/>
        <v>8.999748799138782E-2</v>
      </c>
      <c r="Q55" s="63">
        <f t="shared" si="42"/>
        <v>0.12122954284423729</v>
      </c>
      <c r="R55" s="63">
        <f t="shared" si="42"/>
        <v>8.2838487012435832E-2</v>
      </c>
      <c r="S55" s="63">
        <f t="shared" si="42"/>
        <v>8.1278663162595341E-2</v>
      </c>
      <c r="T55" s="63">
        <f t="shared" si="42"/>
        <v>6.7433121548013564E-2</v>
      </c>
      <c r="U55" s="63">
        <f t="shared" si="42"/>
        <v>9.6851063531240331E-2</v>
      </c>
      <c r="V55" s="63">
        <f t="shared" si="42"/>
        <v>7.4584906392648948E-2</v>
      </c>
      <c r="W55" s="63">
        <f t="shared" si="42"/>
        <v>7.4730168807461236E-2</v>
      </c>
      <c r="X55" s="63">
        <f t="shared" si="42"/>
        <v>6.6455047577755486E-2</v>
      </c>
      <c r="Y55" s="63">
        <f t="shared" si="42"/>
        <v>9.0231019878768318E-2</v>
      </c>
      <c r="Z55" s="63">
        <f t="shared" si="42"/>
        <v>8.0662150647401884E-2</v>
      </c>
      <c r="AA55" s="63">
        <f t="shared" si="42"/>
        <v>7.8476310598006041E-2</v>
      </c>
      <c r="AB55" s="63">
        <f t="shared" si="42"/>
        <v>6.9362472476012002E-2</v>
      </c>
      <c r="AC55" s="63">
        <f t="shared" si="42"/>
        <v>7.1003046359888244E-2</v>
      </c>
    </row>
    <row r="56" spans="1:88" x14ac:dyDescent="0.25">
      <c r="A56" s="17" t="s">
        <v>674</v>
      </c>
      <c r="E56" s="192">
        <f>E23</f>
        <v>3095384625.9483867</v>
      </c>
      <c r="F56" s="192">
        <f t="shared" ref="F56:AC56" si="43">F23</f>
        <v>1856598104.8921204</v>
      </c>
      <c r="G56" s="192">
        <f t="shared" si="43"/>
        <v>750500333.84514523</v>
      </c>
      <c r="H56" s="192">
        <f t="shared" si="43"/>
        <v>284819934.01386189</v>
      </c>
      <c r="I56" s="192">
        <f t="shared" si="43"/>
        <v>4267600376.5592198</v>
      </c>
      <c r="J56" s="192">
        <f t="shared" si="43"/>
        <v>2419550366.9987845</v>
      </c>
      <c r="K56" s="192">
        <f t="shared" si="43"/>
        <v>1319111579.7266903</v>
      </c>
      <c r="L56" s="192">
        <f t="shared" si="43"/>
        <v>495462584.27277845</v>
      </c>
      <c r="M56" s="192">
        <f t="shared" si="43"/>
        <v>3453581379.3923969</v>
      </c>
      <c r="N56" s="192">
        <f t="shared" si="43"/>
        <v>1870608763.1307969</v>
      </c>
      <c r="O56" s="192">
        <f t="shared" si="43"/>
        <v>889641223.41347229</v>
      </c>
      <c r="P56" s="192">
        <f t="shared" si="43"/>
        <v>326143464.65726501</v>
      </c>
      <c r="Q56" s="192">
        <f t="shared" si="43"/>
        <v>2523554654.1348829</v>
      </c>
      <c r="R56" s="192">
        <f t="shared" si="43"/>
        <v>1033441001.9126641</v>
      </c>
      <c r="S56" s="192">
        <f t="shared" si="43"/>
        <v>629711754.66873181</v>
      </c>
      <c r="T56" s="192">
        <f t="shared" si="43"/>
        <v>253710060.01093599</v>
      </c>
      <c r="U56" s="192">
        <f t="shared" si="43"/>
        <v>1773680541.4003735</v>
      </c>
      <c r="V56" s="192">
        <f t="shared" si="43"/>
        <v>874809722.1404326</v>
      </c>
      <c r="W56" s="192">
        <f t="shared" si="43"/>
        <v>619294209.39212155</v>
      </c>
      <c r="X56" s="192">
        <f t="shared" si="43"/>
        <v>245506060.41715002</v>
      </c>
      <c r="Y56" s="192">
        <f t="shared" si="43"/>
        <v>1461406891.5593734</v>
      </c>
      <c r="Z56" s="192">
        <f t="shared" si="43"/>
        <v>886331722.13141119</v>
      </c>
      <c r="AA56" s="192">
        <f t="shared" si="43"/>
        <v>518674631.90894401</v>
      </c>
      <c r="AB56" s="192">
        <f t="shared" si="43"/>
        <v>217423792.4087764</v>
      </c>
      <c r="AC56" s="192">
        <f t="shared" si="43"/>
        <v>1152642099.3689842</v>
      </c>
    </row>
    <row r="57" spans="1:88" s="63" customFormat="1" x14ac:dyDescent="0.25">
      <c r="A57" s="63" t="s">
        <v>675</v>
      </c>
      <c r="E57" s="63">
        <f>E56/E2</f>
        <v>9.3172879402417905E-2</v>
      </c>
      <c r="F57" s="63">
        <f t="shared" ref="F57:AC57" si="44">F56/F2</f>
        <v>9.7741586511380013E-2</v>
      </c>
      <c r="G57" s="63">
        <f t="shared" si="44"/>
        <v>8.0585729073818779E-2</v>
      </c>
      <c r="H57" s="63">
        <f t="shared" si="44"/>
        <v>7.3626206194556398E-2</v>
      </c>
      <c r="I57" s="63">
        <f t="shared" si="44"/>
        <v>0.11903898901647779</v>
      </c>
      <c r="J57" s="63">
        <f t="shared" si="44"/>
        <v>0.1117102675981681</v>
      </c>
      <c r="K57" s="63">
        <f t="shared" si="44"/>
        <v>9.9419619092827927E-2</v>
      </c>
      <c r="L57" s="63">
        <f t="shared" si="44"/>
        <v>9.6641898970703605E-2</v>
      </c>
      <c r="M57" s="63">
        <f t="shared" si="44"/>
        <v>0.11065314594231837</v>
      </c>
      <c r="N57" s="63">
        <f t="shared" si="44"/>
        <v>9.8822025020445209E-2</v>
      </c>
      <c r="O57" s="63">
        <f t="shared" si="44"/>
        <v>8.5647510695879378E-2</v>
      </c>
      <c r="P57" s="63">
        <f t="shared" si="44"/>
        <v>7.6320789468756464E-2</v>
      </c>
      <c r="Q57" s="63">
        <f t="shared" si="44"/>
        <v>9.8084782200397166E-2</v>
      </c>
      <c r="R57" s="63">
        <f t="shared" si="44"/>
        <v>6.888457550713209E-2</v>
      </c>
      <c r="S57" s="63">
        <f t="shared" si="44"/>
        <v>6.7410299451328815E-2</v>
      </c>
      <c r="T57" s="63">
        <f t="shared" si="44"/>
        <v>5.7714429345383692E-2</v>
      </c>
      <c r="U57" s="63">
        <f t="shared" si="44"/>
        <v>8.0279463392062045E-2</v>
      </c>
      <c r="V57" s="63">
        <f t="shared" si="44"/>
        <v>6.3997636354267112E-2</v>
      </c>
      <c r="W57" s="63">
        <f t="shared" si="44"/>
        <v>6.4084271616224681E-2</v>
      </c>
      <c r="X57" s="63">
        <f t="shared" si="44"/>
        <v>5.6602872187174587E-2</v>
      </c>
      <c r="Y57" s="63">
        <f t="shared" si="44"/>
        <v>7.3944893798340697E-2</v>
      </c>
      <c r="Z57" s="63">
        <f t="shared" si="44"/>
        <v>6.6596381323360404E-2</v>
      </c>
      <c r="AA57" s="63">
        <f t="shared" si="44"/>
        <v>6.2519218379882446E-2</v>
      </c>
      <c r="AB57" s="63">
        <f t="shared" si="44"/>
        <v>5.4775663347833847E-2</v>
      </c>
      <c r="AC57" s="63">
        <f t="shared" si="44"/>
        <v>6.8075073273315037E-2</v>
      </c>
    </row>
    <row r="58" spans="1:88" ht="93" customHeight="1" x14ac:dyDescent="0.25">
      <c r="A58" s="278" t="s">
        <v>676</v>
      </c>
      <c r="B58" s="286"/>
      <c r="C58" s="286"/>
      <c r="D58" s="286"/>
      <c r="E58" s="286"/>
      <c r="F58" s="286"/>
      <c r="G58" s="286"/>
      <c r="H58" s="286"/>
      <c r="I58" s="286"/>
      <c r="J58" s="286"/>
      <c r="K58" s="286"/>
      <c r="L58" s="286"/>
      <c r="M58" s="286"/>
      <c r="N58" s="286"/>
      <c r="O58" s="286"/>
      <c r="P58" s="286"/>
      <c r="Q58" s="286"/>
      <c r="R58" s="286"/>
      <c r="S58" s="286"/>
      <c r="T58" s="286"/>
      <c r="U58" s="286"/>
      <c r="V58" s="286"/>
      <c r="W58" s="286"/>
      <c r="X58" s="286"/>
      <c r="Y58" s="286"/>
      <c r="Z58" s="286"/>
      <c r="AA58" s="286"/>
      <c r="AB58" s="286"/>
      <c r="AC58" s="286"/>
    </row>
    <row r="60" spans="1:88" s="224" customFormat="1" x14ac:dyDescent="0.25">
      <c r="A60" s="226" t="s">
        <v>678</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679</v>
      </c>
      <c r="B61" s="89"/>
      <c r="C61" s="89"/>
      <c r="D61" s="89"/>
      <c r="E61" s="89">
        <f>股权价值增加表!E38</f>
        <v>3276724092.0300007</v>
      </c>
      <c r="F61" s="89">
        <f>股权价值增加表!F38</f>
        <v>2110762557.8499999</v>
      </c>
      <c r="G61" s="89">
        <f>股权价值增加表!G38</f>
        <v>918285556.63000011</v>
      </c>
      <c r="H61" s="89">
        <f>股权价值增加表!H38</f>
        <v>409314281.08999991</v>
      </c>
      <c r="I61" s="89">
        <f>股权价值增加表!I38</f>
        <v>4654029478.6400032</v>
      </c>
      <c r="J61" s="89">
        <f>股权价值增加表!J38</f>
        <v>2688516481.7300005</v>
      </c>
      <c r="K61" s="89">
        <f>股权价值增加表!K38</f>
        <v>1457567112.8999996</v>
      </c>
      <c r="L61" s="89">
        <f>股权价值增加表!L38</f>
        <v>455871163.98999935</v>
      </c>
      <c r="M61" s="89">
        <f>股权价值增加表!M38</f>
        <v>4247608943.3899984</v>
      </c>
      <c r="N61" s="89">
        <f>股权价值增加表!N38</f>
        <v>2170880947.5100002</v>
      </c>
      <c r="O61" s="89">
        <f>股权价值增加表!O38</f>
        <v>1089272551.3000004</v>
      </c>
      <c r="P61" s="89">
        <f>股权价值增加表!P38</f>
        <v>441982481.34000003</v>
      </c>
      <c r="Q61" s="89">
        <f>股权价值增加表!Q38</f>
        <v>3052919287.4199996</v>
      </c>
      <c r="R61" s="89">
        <f>股权价值增加表!R38</f>
        <v>1281537979.5899994</v>
      </c>
      <c r="S61" s="89">
        <f>股权价值增加表!S38</f>
        <v>791615218.87999952</v>
      </c>
      <c r="T61" s="89">
        <f>股权价值增加表!T38</f>
        <v>321010745.09000015</v>
      </c>
      <c r="U61" s="89">
        <f>股权价值增加表!U38</f>
        <v>2055175652.8500009</v>
      </c>
      <c r="V61" s="89">
        <f>股权价值增加表!V38</f>
        <v>1027279151.7200007</v>
      </c>
      <c r="W61" s="89">
        <f>股权价值增加表!W38</f>
        <v>719829976.66999924</v>
      </c>
      <c r="X61" s="89">
        <f>股权价值增加表!X38</f>
        <v>302242131.80000037</v>
      </c>
      <c r="Y61" s="89">
        <f>股权价值增加表!Y38</f>
        <v>1769328404.96</v>
      </c>
      <c r="Z61" s="89">
        <f>股权价值增加表!Z38</f>
        <v>1110244076.2399986</v>
      </c>
      <c r="AA61" s="89">
        <f>股权价值增加表!AA38</f>
        <v>673118424.9400003</v>
      </c>
      <c r="AB61" s="89">
        <f>股权价值增加表!AB38</f>
        <v>287607446.15999991</v>
      </c>
      <c r="AC61" s="89">
        <f>股权价值增加表!AC38</f>
        <v>1178809542.6099997</v>
      </c>
    </row>
    <row r="62" spans="1:88" s="192" customFormat="1" x14ac:dyDescent="0.25">
      <c r="A62" s="89" t="s">
        <v>680</v>
      </c>
      <c r="B62" s="89"/>
      <c r="C62" s="89"/>
      <c r="D62" s="89"/>
      <c r="E62" s="89">
        <f>股权价值增加表!E40</f>
        <v>468099267.30000001</v>
      </c>
      <c r="F62" s="89">
        <f>股权价值增加表!F40</f>
        <v>279104360.61000001</v>
      </c>
      <c r="G62" s="89">
        <f>股权价值增加表!G40</f>
        <v>115998941.87</v>
      </c>
      <c r="H62" s="89">
        <f>股权价值增加表!H40</f>
        <v>81947196.180000007</v>
      </c>
      <c r="I62" s="89">
        <f>股权价值增加表!I40</f>
        <v>679950858.49000001</v>
      </c>
      <c r="J62" s="89">
        <f>股权价值增加表!J40</f>
        <v>350801980.95999998</v>
      </c>
      <c r="K62" s="89">
        <f>股权价值增加表!K40</f>
        <v>189933175.37</v>
      </c>
      <c r="L62" s="89">
        <f>股权价值增加表!L40</f>
        <v>60804750.649999999</v>
      </c>
      <c r="M62" s="89">
        <f>股权价值增加表!M40</f>
        <v>516655761.86000001</v>
      </c>
      <c r="N62" s="89">
        <f>股权价值增加表!N40</f>
        <v>263337108.59</v>
      </c>
      <c r="O62" s="89">
        <f>股权价值增加表!O40</f>
        <v>123289071.38</v>
      </c>
      <c r="P62" s="89">
        <f>股权价值增加表!P40</f>
        <v>57532999.539999999</v>
      </c>
      <c r="Q62" s="89">
        <f>股权价值增加表!Q40</f>
        <v>398209271.61000001</v>
      </c>
      <c r="R62" s="89">
        <f>股权价值增加表!R40</f>
        <v>155993411.43000001</v>
      </c>
      <c r="S62" s="89">
        <f>股权价值增加表!S40</f>
        <v>96058418.540000007</v>
      </c>
      <c r="T62" s="89">
        <f>股权价值增加表!T40</f>
        <v>37310568.710000001</v>
      </c>
      <c r="U62" s="89">
        <f>股权价值增加表!U40</f>
        <v>265382461.99000001</v>
      </c>
      <c r="V62" s="89">
        <f>股权价值增加表!V40</f>
        <v>124339385.64</v>
      </c>
      <c r="W62" s="89">
        <f>股权价值增加表!W40</f>
        <v>87861508.019999996</v>
      </c>
      <c r="X62" s="89">
        <f>股权价值增加表!X40</f>
        <v>36288365.579999998</v>
      </c>
      <c r="Y62" s="89">
        <f>股权价值增加表!Y40</f>
        <v>215398181.50999999</v>
      </c>
      <c r="Z62" s="89">
        <f>股权价值增加表!Z40</f>
        <v>135380629.41999999</v>
      </c>
      <c r="AA62" s="89">
        <f>股权价值增加表!AA40</f>
        <v>81072643.849999994</v>
      </c>
      <c r="AB62" s="89">
        <f>股权价值增加表!AB40</f>
        <v>37037749.289999999</v>
      </c>
      <c r="AC62" s="89">
        <f>股权价值增加表!AC40</f>
        <v>170944119.80000001</v>
      </c>
    </row>
    <row r="63" spans="1:88" x14ac:dyDescent="0.25">
      <c r="A63" s="183" t="s">
        <v>681</v>
      </c>
      <c r="B63" s="64"/>
      <c r="C63" s="64"/>
      <c r="D63" s="64"/>
      <c r="E63" s="64">
        <f>股权价值增加表!E42</f>
        <v>2808624824.7300005</v>
      </c>
      <c r="F63" s="64">
        <f>股权价值增加表!F42</f>
        <v>1831658197.2399998</v>
      </c>
      <c r="G63" s="64">
        <f>股权价值增加表!G42</f>
        <v>802286614.76000011</v>
      </c>
      <c r="H63" s="64">
        <f>股权价值增加表!H42</f>
        <v>327367084.90999991</v>
      </c>
      <c r="I63" s="64">
        <f>股权价值增加表!I42</f>
        <v>3974078620.1500034</v>
      </c>
      <c r="J63" s="64">
        <f>股权价值增加表!J42</f>
        <v>2337714500.7700005</v>
      </c>
      <c r="K63" s="64">
        <f>股权价值增加表!K42</f>
        <v>1267633937.5299997</v>
      </c>
      <c r="L63" s="64">
        <f>股权价值增加表!L42</f>
        <v>395066413.33999938</v>
      </c>
      <c r="M63" s="64">
        <f>股权价值增加表!M42</f>
        <v>3730953181.5299983</v>
      </c>
      <c r="N63" s="64">
        <f>股权价值增加表!N42</f>
        <v>1907543838.9200003</v>
      </c>
      <c r="O63" s="64">
        <f>股权价值增加表!O42</f>
        <v>965983479.92000043</v>
      </c>
      <c r="P63" s="64">
        <f>股权价值增加表!P42</f>
        <v>384449481.80000001</v>
      </c>
      <c r="Q63" s="64">
        <f>股权价值增加表!Q42</f>
        <v>2654710015.8099995</v>
      </c>
      <c r="R63" s="64">
        <f>股权价值增加表!R42</f>
        <v>1125544568.1599994</v>
      </c>
      <c r="S63" s="64">
        <f>股权价值增加表!S42</f>
        <v>695556800.33999956</v>
      </c>
      <c r="T63" s="64">
        <f>股权价值增加表!T42</f>
        <v>283700176.38000017</v>
      </c>
      <c r="U63" s="64">
        <f>股权价值增加表!U42</f>
        <v>1789793190.8600008</v>
      </c>
      <c r="V63" s="64">
        <f>股权价值增加表!V42</f>
        <v>902939766.08000076</v>
      </c>
      <c r="W63" s="64">
        <f>股权价值增加表!W42</f>
        <v>631968468.64999926</v>
      </c>
      <c r="X63" s="64">
        <f>股权价值增加表!X42</f>
        <v>265953766.22000039</v>
      </c>
      <c r="Y63" s="64">
        <f>股权价值增加表!Y42</f>
        <v>1553930223.45</v>
      </c>
      <c r="Z63" s="64">
        <f>股权价值增加表!Z42</f>
        <v>974863446.81999862</v>
      </c>
      <c r="AA63" s="64">
        <f>股权价值增加表!AA42</f>
        <v>592045781.09000027</v>
      </c>
      <c r="AB63" s="64">
        <f>股权价值增加表!AB42</f>
        <v>250569696.86999992</v>
      </c>
      <c r="AC63" s="64">
        <f>股权价值增加表!AC42</f>
        <v>1007865422.8099997</v>
      </c>
    </row>
    <row r="64" spans="1:88" s="63" customFormat="1" x14ac:dyDescent="0.25">
      <c r="A64" s="213" t="s">
        <v>682</v>
      </c>
      <c r="B64" s="213"/>
      <c r="C64" s="213"/>
      <c r="D64" s="213"/>
      <c r="E64" s="213">
        <f>1-E63/E61</f>
        <v>0.1428558688961824</v>
      </c>
      <c r="F64" s="213">
        <f t="shared" ref="F64:AC64" si="46">1-F63/F61</f>
        <v>0.13222916029659582</v>
      </c>
      <c r="G64" s="213">
        <f t="shared" si="46"/>
        <v>0.12632120916254252</v>
      </c>
      <c r="H64" s="213">
        <f t="shared" si="46"/>
        <v>0.20020605184303719</v>
      </c>
      <c r="I64" s="213">
        <f t="shared" si="46"/>
        <v>0.14609938798425803</v>
      </c>
      <c r="J64" s="213">
        <f t="shared" si="46"/>
        <v>0.13048161815034398</v>
      </c>
      <c r="K64" s="213">
        <f t="shared" si="46"/>
        <v>0.13030835677412189</v>
      </c>
      <c r="L64" s="213">
        <f t="shared" si="46"/>
        <v>0.13338143636418709</v>
      </c>
      <c r="M64" s="213">
        <f t="shared" si="46"/>
        <v>0.12163449336926468</v>
      </c>
      <c r="N64" s="213">
        <f t="shared" si="46"/>
        <v>0.12130426078502721</v>
      </c>
      <c r="O64" s="213">
        <f t="shared" si="46"/>
        <v>0.11318477752226452</v>
      </c>
      <c r="P64" s="213">
        <f t="shared" si="46"/>
        <v>0.13017031662787126</v>
      </c>
      <c r="Q64" s="213">
        <f t="shared" si="46"/>
        <v>0.1304355713729084</v>
      </c>
      <c r="R64" s="213">
        <f t="shared" si="46"/>
        <v>0.12172359611215489</v>
      </c>
      <c r="S64" s="213">
        <f t="shared" si="46"/>
        <v>0.12134483553247777</v>
      </c>
      <c r="T64" s="213">
        <f t="shared" si="46"/>
        <v>0.11622841067061296</v>
      </c>
      <c r="U64" s="213">
        <f t="shared" si="46"/>
        <v>0.12912884678347691</v>
      </c>
      <c r="V64" s="213">
        <f t="shared" si="46"/>
        <v>0.12103758304820578</v>
      </c>
      <c r="W64" s="213">
        <f t="shared" si="46"/>
        <v>0.12205869561928429</v>
      </c>
      <c r="X64" s="213">
        <f t="shared" si="46"/>
        <v>0.1200638883926769</v>
      </c>
      <c r="Y64" s="213">
        <f t="shared" si="46"/>
        <v>0.1217400799682915</v>
      </c>
      <c r="Z64" s="213">
        <f t="shared" si="46"/>
        <v>0.12193771830648803</v>
      </c>
      <c r="AA64" s="213">
        <f t="shared" si="46"/>
        <v>0.12044335862181543</v>
      </c>
      <c r="AB64" s="213">
        <f t="shared" si="46"/>
        <v>0.12877882608573143</v>
      </c>
      <c r="AC64" s="213">
        <f t="shared" si="46"/>
        <v>0.14501419747715394</v>
      </c>
    </row>
    <row r="65" spans="1:29" ht="42.6" customHeight="1" x14ac:dyDescent="0.25">
      <c r="A65" s="280" t="s">
        <v>683</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735</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2" t="s">
        <v>703</v>
      </c>
      <c r="B69" s="282"/>
      <c r="C69" s="282"/>
      <c r="D69" s="282"/>
      <c r="E69" s="282"/>
      <c r="F69" s="256"/>
      <c r="G69" s="256"/>
      <c r="H69" s="256"/>
      <c r="I69" s="256" t="s">
        <v>707</v>
      </c>
      <c r="J69" s="256"/>
      <c r="K69" s="256"/>
      <c r="L69" s="256"/>
      <c r="M69" s="256" t="s">
        <v>708</v>
      </c>
    </row>
    <row r="70" spans="1:29" ht="57.6" x14ac:dyDescent="0.25">
      <c r="A70" s="283" t="s">
        <v>704</v>
      </c>
      <c r="B70" s="65"/>
      <c r="C70" s="65"/>
      <c r="D70" s="65"/>
      <c r="E70" s="65" t="s">
        <v>705</v>
      </c>
      <c r="F70" s="65"/>
      <c r="G70" s="65"/>
      <c r="H70" s="65"/>
      <c r="I70" s="257" t="s">
        <v>709</v>
      </c>
      <c r="J70" s="258"/>
      <c r="K70" s="258"/>
      <c r="L70" s="258"/>
      <c r="M70" s="257" t="s">
        <v>710</v>
      </c>
    </row>
    <row r="71" spans="1:29" ht="54.6" customHeight="1" x14ac:dyDescent="0.25">
      <c r="A71" s="283"/>
      <c r="B71" s="65"/>
      <c r="C71" s="65"/>
      <c r="D71" s="65"/>
      <c r="E71" s="65" t="s">
        <v>706</v>
      </c>
      <c r="F71" s="65"/>
      <c r="G71" s="65"/>
      <c r="H71" s="65"/>
      <c r="I71" s="257" t="s">
        <v>711</v>
      </c>
      <c r="J71" s="258"/>
      <c r="K71" s="258"/>
      <c r="L71" s="258"/>
      <c r="M71" s="257" t="s">
        <v>712</v>
      </c>
    </row>
    <row r="72" spans="1:29" ht="57.6" x14ac:dyDescent="0.25">
      <c r="A72" s="283" t="s">
        <v>720</v>
      </c>
      <c r="B72" s="65"/>
      <c r="C72" s="65"/>
      <c r="D72" s="65"/>
      <c r="E72" s="65" t="s">
        <v>713</v>
      </c>
      <c r="F72" s="65"/>
      <c r="G72" s="65"/>
      <c r="H72" s="65"/>
      <c r="I72" s="257" t="s">
        <v>721</v>
      </c>
      <c r="J72" s="258"/>
      <c r="K72" s="258"/>
      <c r="L72" s="258"/>
      <c r="M72" s="257" t="s">
        <v>722</v>
      </c>
    </row>
    <row r="73" spans="1:29" ht="43.2" x14ac:dyDescent="0.25">
      <c r="A73" s="283"/>
      <c r="B73" s="65"/>
      <c r="C73" s="65"/>
      <c r="D73" s="65"/>
      <c r="E73" s="65" t="s">
        <v>714</v>
      </c>
      <c r="F73" s="65"/>
      <c r="G73" s="65"/>
      <c r="H73" s="65"/>
      <c r="I73" s="257" t="s">
        <v>723</v>
      </c>
      <c r="J73" s="258"/>
      <c r="K73" s="258"/>
      <c r="L73" s="258"/>
      <c r="M73" s="257" t="s">
        <v>724</v>
      </c>
    </row>
    <row r="74" spans="1:29" ht="72" x14ac:dyDescent="0.25">
      <c r="A74" s="283"/>
      <c r="B74" s="65"/>
      <c r="C74" s="65"/>
      <c r="D74" s="65"/>
      <c r="E74" s="65" t="s">
        <v>715</v>
      </c>
      <c r="F74" s="65"/>
      <c r="G74" s="65"/>
      <c r="H74" s="65"/>
      <c r="I74" s="257" t="s">
        <v>725</v>
      </c>
      <c r="J74" s="258"/>
      <c r="K74" s="258"/>
      <c r="L74" s="258"/>
      <c r="M74" s="257" t="s">
        <v>726</v>
      </c>
    </row>
    <row r="75" spans="1:29" ht="72" x14ac:dyDescent="0.25">
      <c r="A75" s="283"/>
      <c r="B75" s="65"/>
      <c r="C75" s="65"/>
      <c r="D75" s="65"/>
      <c r="E75" s="65" t="s">
        <v>716</v>
      </c>
      <c r="F75" s="65"/>
      <c r="G75" s="65"/>
      <c r="H75" s="65"/>
      <c r="I75" s="257" t="s">
        <v>727</v>
      </c>
      <c r="J75" s="258"/>
      <c r="K75" s="258"/>
      <c r="L75" s="258"/>
      <c r="M75" s="257" t="s">
        <v>728</v>
      </c>
    </row>
    <row r="76" spans="1:29" x14ac:dyDescent="0.25">
      <c r="A76" s="283"/>
      <c r="B76" s="65"/>
      <c r="C76" s="65"/>
      <c r="D76" s="65"/>
      <c r="E76" s="65" t="s">
        <v>717</v>
      </c>
      <c r="F76" s="65"/>
      <c r="G76" s="65"/>
      <c r="H76" s="65"/>
      <c r="I76" s="257" t="s">
        <v>729</v>
      </c>
      <c r="J76" s="258"/>
      <c r="K76" s="258"/>
      <c r="L76" s="258"/>
      <c r="M76" s="257" t="s">
        <v>730</v>
      </c>
    </row>
    <row r="77" spans="1:29" ht="57.6" x14ac:dyDescent="0.25">
      <c r="A77" s="283"/>
      <c r="B77" s="65"/>
      <c r="C77" s="65"/>
      <c r="D77" s="65"/>
      <c r="E77" s="65" t="s">
        <v>718</v>
      </c>
      <c r="F77" s="65"/>
      <c r="G77" s="65"/>
      <c r="H77" s="65"/>
      <c r="I77" s="257" t="s">
        <v>731</v>
      </c>
      <c r="J77" s="258"/>
      <c r="K77" s="258"/>
      <c r="L77" s="258"/>
      <c r="M77" s="257" t="s">
        <v>732</v>
      </c>
    </row>
    <row r="78" spans="1:29" ht="57.6" x14ac:dyDescent="0.25">
      <c r="A78" s="283"/>
      <c r="B78" s="65"/>
      <c r="C78" s="65"/>
      <c r="D78" s="65"/>
      <c r="E78" s="65" t="s">
        <v>719</v>
      </c>
      <c r="F78" s="65"/>
      <c r="G78" s="65"/>
      <c r="H78" s="65"/>
      <c r="I78" s="257" t="s">
        <v>733</v>
      </c>
      <c r="J78" s="258"/>
      <c r="K78" s="258"/>
      <c r="L78" s="258"/>
      <c r="M78" s="257" t="s">
        <v>734</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71"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18" width="20.44140625" hidden="1" customWidth="1"/>
    <col min="19" max="20" width="19.33203125" hidden="1" customWidth="1"/>
    <col min="21" max="21" width="20.44140625" bestFit="1" customWidth="1"/>
    <col min="22" max="22" width="20.44140625" hidden="1" customWidth="1"/>
    <col min="23" max="23" width="19.33203125" hidden="1" customWidth="1"/>
    <col min="24" max="24" width="20.441406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20.44140625" bestFit="1" customWidth="1"/>
    <col min="34" max="34" width="20.44140625" hidden="1" customWidth="1"/>
    <col min="35" max="36" width="19.33203125" hidden="1" customWidth="1"/>
    <col min="37" max="37" width="19.332031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3" width="19.33203125" hidden="1" customWidth="1"/>
    <col min="64" max="64" width="18.33203125" hidden="1" customWidth="1"/>
    <col min="65" max="65" width="19.33203125" bestFit="1" customWidth="1"/>
    <col min="66" max="66" width="19.33203125" hidden="1" customWidth="1"/>
    <col min="67" max="68" width="18.33203125" hidden="1" customWidth="1"/>
    <col min="69" max="69" width="19.33203125" bestFit="1" customWidth="1"/>
    <col min="70" max="70" width="18.33203125" hidden="1" customWidth="1"/>
    <col min="71" max="71" width="19.33203125" bestFit="1" customWidth="1"/>
    <col min="72" max="72" width="18.33203125" hidden="1" customWidth="1"/>
    <col min="73" max="73" width="18.33203125" bestFit="1" customWidth="1"/>
    <col min="74" max="74" width="18.33203125" hidden="1" customWidth="1"/>
    <col min="75" max="75" width="18.33203125" bestFit="1" customWidth="1"/>
    <col min="76" max="76" width="18.33203125" hidden="1" customWidth="1"/>
    <col min="77" max="77" width="17.21875" bestFit="1" customWidth="1"/>
    <col min="78" max="78" width="17.21875" hidden="1" customWidth="1"/>
    <col min="79" max="81" width="17.21875" bestFit="1" customWidth="1"/>
    <col min="82" max="82" width="9.5546875" hidden="1" customWidth="1"/>
    <col min="83" max="84" width="19.33203125" bestFit="1" customWidth="1"/>
    <col min="85" max="87" width="17.21875" bestFit="1" customWidth="1"/>
    <col min="88" max="89" width="16.109375" bestFit="1" customWidth="1"/>
  </cols>
  <sheetData>
    <row r="1" spans="1:89" s="26" customFormat="1"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s="26" customFormat="1" x14ac:dyDescent="0.25">
      <c r="A2" s="17" t="s">
        <v>424</v>
      </c>
      <c r="E2" s="26">
        <f>股权价值增加表!E42</f>
        <v>2808624824.7300005</v>
      </c>
      <c r="F2" s="26">
        <f>股权价值增加表!F42</f>
        <v>1831658197.2399998</v>
      </c>
      <c r="G2" s="26">
        <f>股权价值增加表!G42</f>
        <v>802286614.76000011</v>
      </c>
      <c r="H2" s="26">
        <f>股权价值增加表!H42</f>
        <v>327367084.90999991</v>
      </c>
      <c r="I2" s="26">
        <f>股权价值增加表!I42</f>
        <v>3974078620.1500034</v>
      </c>
      <c r="J2" s="26">
        <f>股权价值增加表!J42</f>
        <v>2337714500.7700005</v>
      </c>
      <c r="K2" s="26">
        <f>股权价值增加表!K42</f>
        <v>1267633937.5299997</v>
      </c>
      <c r="L2" s="26">
        <f>股权价值增加表!L42</f>
        <v>395066413.33999938</v>
      </c>
      <c r="M2" s="26">
        <f>股权价值增加表!M42</f>
        <v>3730953181.5299983</v>
      </c>
      <c r="N2" s="26">
        <f>股权价值增加表!N42</f>
        <v>1907543838.9200003</v>
      </c>
      <c r="O2" s="26">
        <f>股权价值增加表!O42</f>
        <v>965983479.92000043</v>
      </c>
      <c r="P2" s="26">
        <f>股权价值增加表!P42</f>
        <v>384449481.80000001</v>
      </c>
      <c r="Q2" s="26">
        <f>股权价值增加表!Q42</f>
        <v>2654710015.8099995</v>
      </c>
      <c r="R2" s="26">
        <f>股权价值增加表!R42</f>
        <v>1125544568.1599994</v>
      </c>
      <c r="S2" s="26">
        <f>股权价值增加表!S42</f>
        <v>695556800.33999956</v>
      </c>
      <c r="T2" s="26">
        <f>股权价值增加表!T42</f>
        <v>283700176.38000017</v>
      </c>
      <c r="U2" s="26">
        <f>股权价值增加表!U42</f>
        <v>1789793190.8600008</v>
      </c>
      <c r="V2" s="26">
        <f>股权价值增加表!V42</f>
        <v>902939766.08000076</v>
      </c>
      <c r="W2" s="26">
        <f>股权价值增加表!W42</f>
        <v>631968468.64999926</v>
      </c>
      <c r="X2" s="26">
        <f>股权价值增加表!X42</f>
        <v>265953766.22000039</v>
      </c>
      <c r="Y2" s="26">
        <f>股权价值增加表!Y42</f>
        <v>1553930223.45</v>
      </c>
      <c r="Z2" s="26">
        <f>股权价值增加表!Z42</f>
        <v>974863446.81999862</v>
      </c>
      <c r="AA2" s="26">
        <f>股权价值增加表!AA42</f>
        <v>592045781.09000027</v>
      </c>
      <c r="AB2" s="26">
        <f>股权价值增加表!AB42</f>
        <v>250569696.86999992</v>
      </c>
      <c r="AC2" s="26">
        <f>股权价值增加表!AC42</f>
        <v>1007865422.8099997</v>
      </c>
      <c r="AD2" s="26">
        <f>股权价值增加表!AD42</f>
        <v>555892995.42000031</v>
      </c>
      <c r="AE2" s="26">
        <f>股权价值增加表!AE42</f>
        <v>360323053.57999969</v>
      </c>
      <c r="AF2" s="26">
        <f>股权价值增加表!AF42</f>
        <v>130440207.93999992</v>
      </c>
      <c r="AG2" s="26">
        <f>股权价值增加表!AG42</f>
        <v>810098077.5899986</v>
      </c>
      <c r="AH2" s="26">
        <f>股权价值增加表!AH42</f>
        <v>497578607.40000039</v>
      </c>
      <c r="AI2" s="26">
        <f>股权价值增加表!AI42</f>
        <v>282271847.97000027</v>
      </c>
      <c r="AJ2" s="26">
        <f>股权价值增加表!AJ42</f>
        <v>141560200.34000018</v>
      </c>
      <c r="AK2" s="26">
        <f>股权价值增加表!AK42</f>
        <v>804477693.34000003</v>
      </c>
      <c r="AL2" s="26">
        <f>股权价值增加表!AL42</f>
        <v>340682885.69000018</v>
      </c>
      <c r="AM2" s="26">
        <f>股权价值增加表!AM42</f>
        <v>193555596.27999982</v>
      </c>
      <c r="AN2" s="26">
        <f>股权价值增加表!AN42</f>
        <v>54414814.629999973</v>
      </c>
      <c r="AO2" s="26">
        <f>股权价值增加表!AO42</f>
        <v>524097901.30999959</v>
      </c>
      <c r="AP2" s="26">
        <f>股权价值增加表!AP42</f>
        <v>374981986.59000027</v>
      </c>
      <c r="AQ2" s="26">
        <f>股权价值增加表!AQ42</f>
        <v>396931234.61000001</v>
      </c>
      <c r="AR2" s="26">
        <f>股权价值增加表!AR42</f>
        <v>253482531.27999979</v>
      </c>
      <c r="AS2" s="26">
        <f>股权价值增加表!AS42</f>
        <v>435850673.97000015</v>
      </c>
      <c r="AT2" s="26">
        <f>股权价值增加表!AT42</f>
        <v>157542716.21000004</v>
      </c>
      <c r="AU2" s="26">
        <f>股权价值增加表!AU42</f>
        <v>95907935.899999872</v>
      </c>
      <c r="AV2" s="26">
        <f>股权价值增加表!AV42</f>
        <v>42127973.36999999</v>
      </c>
      <c r="AW2" s="26">
        <f>股权价值增加表!AW42</f>
        <v>182239739.05000007</v>
      </c>
      <c r="AX2" s="26">
        <f>股权价值增加表!AX42</f>
        <v>64055545.170000106</v>
      </c>
      <c r="AY2" s="26">
        <f>股权价值增加表!AY42</f>
        <v>39119456.260000229</v>
      </c>
      <c r="AZ2" s="26">
        <f>股权价值增加表!AZ42</f>
        <v>24484327.860000078</v>
      </c>
      <c r="BA2" s="26">
        <f>股权价值增加表!BA42</f>
        <v>154344116.46999928</v>
      </c>
      <c r="BB2" s="26">
        <f>股权价值增加表!BB42</f>
        <v>98906211.180000156</v>
      </c>
      <c r="BC2" s="26">
        <f>股权价值增加表!BC42</f>
        <v>55786760.649999991</v>
      </c>
      <c r="BD2" s="26">
        <f>股权价值增加表!BD42</f>
        <v>27686774.219999917</v>
      </c>
      <c r="BE2" s="26">
        <f>股权价值增加表!BE42</f>
        <v>119657422.89999995</v>
      </c>
      <c r="BF2" s="26">
        <f>股权价值增加表!BF42</f>
        <v>75593678.470000103</v>
      </c>
      <c r="BG2" s="26">
        <f>股权价值增加表!BG42</f>
        <v>35334477.870000005</v>
      </c>
      <c r="BH2" s="26">
        <f>股权价值增加表!BH42</f>
        <v>18350644.26000002</v>
      </c>
      <c r="BI2" s="26">
        <f>股权价值增加表!BI42</f>
        <v>121508430.73000005</v>
      </c>
      <c r="BJ2" s="26">
        <f>股权价值增加表!BJ42</f>
        <v>63121302.520000108</v>
      </c>
      <c r="BK2" s="26">
        <f>股权价值增加表!BK42</f>
        <v>26375125.550000139</v>
      </c>
      <c r="BL2" s="26">
        <f>股权价值增加表!BL42</f>
        <v>21677996.789999951</v>
      </c>
      <c r="BM2" s="26">
        <f>股权价值增加表!BM42</f>
        <v>92302270.660000071</v>
      </c>
      <c r="BN2" s="26">
        <f>股权价值增加表!BN42</f>
        <v>52063867.899999872</v>
      </c>
      <c r="BO2" s="26">
        <f>股权价值增加表!BO42</f>
        <v>27332322.740000039</v>
      </c>
      <c r="BP2" s="26">
        <f>股权价值增加表!BP42</f>
        <v>9549607.4899999779</v>
      </c>
      <c r="BQ2" s="26">
        <f>股权价值增加表!BQ42</f>
        <v>91492739.59999992</v>
      </c>
      <c r="BR2" s="26">
        <f>股权价值增加表!BR42</f>
        <v>27073468.670000009</v>
      </c>
      <c r="BS2" s="26">
        <f>股权价值增加表!BS42</f>
        <v>71731455.369999915</v>
      </c>
      <c r="BT2" s="26">
        <f>股权价值增加表!BT42</f>
        <v>17977418.990000039</v>
      </c>
      <c r="BU2" s="26">
        <f>股权价值增加表!BU42</f>
        <v>54839526.86999996</v>
      </c>
      <c r="BV2" s="26">
        <f>股权价值增加表!BV42</f>
        <v>16938347.720000021</v>
      </c>
      <c r="BW2" s="26">
        <f>股权价值增加表!BW42</f>
        <v>46865310.449999988</v>
      </c>
      <c r="BX2" s="26">
        <f>股权价值增加表!BX42</f>
        <v>19914886.830000021</v>
      </c>
      <c r="BY2" s="26">
        <f>股权价值增加表!BY42</f>
        <v>41796805.959999964</v>
      </c>
      <c r="BZ2" s="26">
        <f>股权价值增加表!BZ42</f>
        <v>157263949.30000001</v>
      </c>
      <c r="CA2" s="26">
        <f>股权价值增加表!CA42</f>
        <v>20489383</v>
      </c>
      <c r="CB2" s="26">
        <f>股权价值增加表!CB42</f>
        <v>14152096</v>
      </c>
      <c r="CC2" s="26">
        <f>股权价值增加表!CC42</f>
        <v>2142603</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15605857859.57</v>
      </c>
      <c r="F3" s="26">
        <f>资产资本表!F107</f>
        <v>13367332906.66</v>
      </c>
      <c r="G3" s="26">
        <f>资产资本表!G107</f>
        <v>12264362423.469999</v>
      </c>
      <c r="H3" s="26">
        <f>资产资本表!H107</f>
        <v>14006725574.900002</v>
      </c>
      <c r="I3" s="26">
        <f>资产资本表!I107</f>
        <v>13679110933.26</v>
      </c>
      <c r="J3" s="26">
        <f>资产资本表!J107</f>
        <v>11914642903.220001</v>
      </c>
      <c r="K3" s="26">
        <f>资产资本表!K107</f>
        <v>10844249608.049999</v>
      </c>
      <c r="L3" s="26">
        <f>资产资本表!L107</f>
        <v>13334571657.5</v>
      </c>
      <c r="M3" s="26">
        <f>资产资本表!M107</f>
        <v>12939385288.640001</v>
      </c>
      <c r="N3" s="26">
        <f>资产资本表!N107</f>
        <v>11258945946.76</v>
      </c>
      <c r="O3" s="26">
        <f>资产资本表!O107</f>
        <v>10326820404.119999</v>
      </c>
      <c r="P3" s="26">
        <f>资产资本表!P107</f>
        <v>11249407644.51</v>
      </c>
      <c r="Q3" s="26">
        <f>资产资本表!Q107</f>
        <v>10860574280.08</v>
      </c>
      <c r="R3" s="26">
        <f>资产资本表!R107</f>
        <v>9240665430.6100006</v>
      </c>
      <c r="S3" s="26">
        <f>资产资本表!S107</f>
        <v>8834713858.3699989</v>
      </c>
      <c r="T3" s="26">
        <f>资产资本表!T107</f>
        <v>9050139537.0100002</v>
      </c>
      <c r="U3" s="26">
        <f>资产资本表!U107</f>
        <v>8757144969.1100006</v>
      </c>
      <c r="V3" s="26">
        <f>资产资本表!V107</f>
        <v>7815771735.6799994</v>
      </c>
      <c r="W3" s="26">
        <f>资产资本表!W107</f>
        <v>7537895929.3599997</v>
      </c>
      <c r="X3" s="26">
        <f>资产资本表!X107</f>
        <v>7598030750.79</v>
      </c>
      <c r="Y3" s="26">
        <f>资产资本表!Y107</f>
        <v>7319555953.7600002</v>
      </c>
      <c r="Z3" s="26">
        <f>资产资本表!Z107</f>
        <v>6834487822.5699997</v>
      </c>
      <c r="AA3" s="26">
        <f>资产资本表!AA107</f>
        <v>6047489876.8400002</v>
      </c>
      <c r="AB3" s="26">
        <f>资产资本表!AB107</f>
        <v>5777821280.9499998</v>
      </c>
      <c r="AC3" s="26">
        <f>资产资本表!AC107</f>
        <v>3337764988.79</v>
      </c>
      <c r="AD3" s="26">
        <f>资产资本表!AD107</f>
        <v>2882908352.8000002</v>
      </c>
      <c r="AE3" s="26">
        <f>资产资本表!AE107</f>
        <v>2690228492.79</v>
      </c>
      <c r="AF3" s="26">
        <f>资产资本表!AF107</f>
        <v>2616313164.0499997</v>
      </c>
      <c r="AG3" s="26">
        <f>资产资本表!AG107</f>
        <v>2485872956.1099997</v>
      </c>
      <c r="AH3" s="26">
        <f>资产资本表!AH107</f>
        <v>2150818194.1900001</v>
      </c>
      <c r="AI3" s="26">
        <f>资产资本表!AI107</f>
        <v>1935977175.3</v>
      </c>
      <c r="AJ3" s="26">
        <f>资产资本表!AJ107</f>
        <v>2272635356.8099999</v>
      </c>
      <c r="AK3" s="26">
        <f>资产资本表!AK107</f>
        <v>2173866943.6599998</v>
      </c>
      <c r="AL3" s="26">
        <f>资产资本表!AL107</f>
        <v>1922374657.0699999</v>
      </c>
      <c r="AM3" s="26">
        <f>资产资本表!AM107</f>
        <v>1767057556.6600001</v>
      </c>
      <c r="AN3" s="26">
        <f>资产资本表!AN107</f>
        <v>1860279517.23</v>
      </c>
      <c r="AO3" s="26">
        <f>资产资本表!AO107</f>
        <v>1701028766.23</v>
      </c>
      <c r="AP3" s="26">
        <f>资产资本表!AP107</f>
        <v>1612772749.2900002</v>
      </c>
      <c r="AQ3" s="26">
        <f>资产资本表!AQ107</f>
        <v>1725714340.21</v>
      </c>
      <c r="AR3" s="26">
        <f>资产资本表!AR107</f>
        <v>2013857845.5900002</v>
      </c>
      <c r="AS3" s="26">
        <f>资产资本表!AS107</f>
        <v>2828573554.7200003</v>
      </c>
      <c r="AT3" s="26">
        <f>资产资本表!AT107</f>
        <v>2128437649.99</v>
      </c>
      <c r="AU3" s="26">
        <f>资产资本表!AU107</f>
        <v>1559012952.5699999</v>
      </c>
      <c r="AV3" s="26">
        <f>资产资本表!AV107</f>
        <v>1357694966.04</v>
      </c>
      <c r="AW3" s="26">
        <f>资产资本表!AW107</f>
        <v>1362309337.47</v>
      </c>
      <c r="AX3" s="26">
        <f>资产资本表!AX107</f>
        <v>1230864655.04</v>
      </c>
      <c r="AY3" s="26">
        <f>资产资本表!AY107</f>
        <v>1175041276.8399999</v>
      </c>
      <c r="AZ3" s="26">
        <f>资产资本表!AZ107</f>
        <v>1400220577.47</v>
      </c>
      <c r="BA3" s="26">
        <f>资产资本表!BA107</f>
        <v>1367500079.1299999</v>
      </c>
      <c r="BB3" s="26">
        <f>资产资本表!BB107</f>
        <v>1298034645.05</v>
      </c>
      <c r="BC3" s="26">
        <f>资产资本表!BC107</f>
        <v>1251458795.0899999</v>
      </c>
      <c r="BD3" s="26">
        <f>资产资本表!BD107</f>
        <v>1213230960.6400001</v>
      </c>
      <c r="BE3" s="26">
        <f>资产资本表!BE107</f>
        <v>1287986133.53</v>
      </c>
      <c r="BF3" s="26">
        <f>资产资本表!BF107</f>
        <v>1234691587.6800001</v>
      </c>
      <c r="BG3" s="26">
        <f>资产资本表!BG107</f>
        <v>1094787737.0900002</v>
      </c>
      <c r="BH3" s="26">
        <f>资产资本表!BH107</f>
        <v>1126714762.21</v>
      </c>
      <c r="BI3" s="26">
        <f>资产资本表!BI107</f>
        <v>1105776249.5900002</v>
      </c>
      <c r="BJ3" s="26">
        <f>资产资本表!BJ107</f>
        <v>1046362221.92</v>
      </c>
      <c r="BK3" s="26">
        <f>资产资本表!BK107</f>
        <v>993562684.63999999</v>
      </c>
      <c r="BL3" s="26">
        <f>资产资本表!BL107</f>
        <v>982959663.34000003</v>
      </c>
      <c r="BM3" s="26">
        <f>资产资本表!BM107</f>
        <v>958447557.20000005</v>
      </c>
      <c r="BN3" s="26">
        <f>资产资本表!BN107</f>
        <v>953188795.85000002</v>
      </c>
      <c r="BO3" s="26">
        <f>资产资本表!BO107</f>
        <v>886767969.73000002</v>
      </c>
      <c r="BP3" s="26">
        <f>资产资本表!BP107</f>
        <v>865381582.99000001</v>
      </c>
      <c r="BQ3" s="26">
        <f>资产资本表!BQ107</f>
        <v>853608578.19000006</v>
      </c>
      <c r="BR3" s="26">
        <f>资产资本表!BR107</f>
        <v>866147664.75999999</v>
      </c>
      <c r="BS3" s="26">
        <f>资产资本表!BS107</f>
        <v>836662103.75999999</v>
      </c>
      <c r="BT3" s="26">
        <f>资产资本表!BT107</f>
        <v>660083128.48000002</v>
      </c>
      <c r="BU3" s="26">
        <f>资产资本表!BU107</f>
        <v>640953422.96000004</v>
      </c>
      <c r="BV3" s="26">
        <f>资产资本表!BV107</f>
        <v>600430877.64999998</v>
      </c>
      <c r="BW3" s="26">
        <f>资产资本表!BW107</f>
        <v>578892639.13999999</v>
      </c>
      <c r="BX3" s="26">
        <f>资产资本表!BX107</f>
        <v>426336545.63</v>
      </c>
      <c r="BY3" s="26">
        <f>资产资本表!BY107</f>
        <v>406000775.99000001</v>
      </c>
      <c r="BZ3" s="26">
        <f>资产资本表!BZ107</f>
        <v>432050818.31</v>
      </c>
      <c r="CA3" s="26">
        <f>资产资本表!CA107</f>
        <v>76239643</v>
      </c>
      <c r="CB3" s="26">
        <f>资产资本表!CB107</f>
        <v>28954619</v>
      </c>
      <c r="CC3" s="26">
        <f>资产资本表!CC107</f>
        <v>13175590</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430</v>
      </c>
      <c r="E4" s="59">
        <f>E2/E3</f>
        <v>0.1799724725166367</v>
      </c>
      <c r="F4" s="59">
        <f t="shared" ref="F4:BQ4" si="0">F2/F3</f>
        <v>0.13702495554123692</v>
      </c>
      <c r="G4" s="59">
        <f t="shared" si="0"/>
        <v>6.5416088261113725E-2</v>
      </c>
      <c r="H4" s="59">
        <f t="shared" si="0"/>
        <v>2.3372135275973455E-2</v>
      </c>
      <c r="I4" s="59">
        <f t="shared" si="0"/>
        <v>0.29052170419111462</v>
      </c>
      <c r="J4" s="59">
        <f t="shared" si="0"/>
        <v>0.19620516701664803</v>
      </c>
      <c r="K4" s="59">
        <f t="shared" si="0"/>
        <v>0.11689457393059254</v>
      </c>
      <c r="L4" s="59">
        <f t="shared" si="0"/>
        <v>2.9627229391938896E-2</v>
      </c>
      <c r="M4" s="59">
        <f t="shared" si="0"/>
        <v>0.288340836778819</v>
      </c>
      <c r="N4" s="59">
        <f t="shared" si="0"/>
        <v>0.16942472660763919</v>
      </c>
      <c r="O4" s="59">
        <f t="shared" si="0"/>
        <v>9.3541229741403331E-2</v>
      </c>
      <c r="P4" s="59">
        <f t="shared" si="0"/>
        <v>3.4175086720021321E-2</v>
      </c>
      <c r="Q4" s="59">
        <f t="shared" si="0"/>
        <v>0.24443551025466073</v>
      </c>
      <c r="R4" s="59">
        <f t="shared" si="0"/>
        <v>0.12180341087034673</v>
      </c>
      <c r="S4" s="59">
        <f t="shared" si="0"/>
        <v>7.8729974902472896E-2</v>
      </c>
      <c r="T4" s="59">
        <f t="shared" si="0"/>
        <v>3.134760245627434E-2</v>
      </c>
      <c r="U4" s="59">
        <f t="shared" si="0"/>
        <v>0.20438090235725534</v>
      </c>
      <c r="V4" s="59">
        <f t="shared" si="0"/>
        <v>0.11552790903014286</v>
      </c>
      <c r="W4" s="59">
        <f t="shared" si="0"/>
        <v>8.3838842373571504E-2</v>
      </c>
      <c r="X4" s="59">
        <f t="shared" si="0"/>
        <v>3.5002986292513756E-2</v>
      </c>
      <c r="Y4" s="59">
        <f t="shared" si="0"/>
        <v>0.21229842811048638</v>
      </c>
      <c r="Z4" s="59">
        <f t="shared" si="0"/>
        <v>0.14263884465499227</v>
      </c>
      <c r="AA4" s="59">
        <f t="shared" si="0"/>
        <v>9.7899424909721797E-2</v>
      </c>
      <c r="AB4" s="59">
        <f t="shared" si="0"/>
        <v>4.3367505619488593E-2</v>
      </c>
      <c r="AC4" s="59">
        <f t="shared" si="0"/>
        <v>0.3019581744655333</v>
      </c>
      <c r="AD4" s="59">
        <f t="shared" si="0"/>
        <v>0.19282367921272764</v>
      </c>
      <c r="AE4" s="59">
        <f t="shared" si="0"/>
        <v>0.13393771367216228</v>
      </c>
      <c r="AF4" s="59">
        <f t="shared" si="0"/>
        <v>4.9856496436413267E-2</v>
      </c>
      <c r="AG4" s="59">
        <f t="shared" si="0"/>
        <v>0.32588072354979664</v>
      </c>
      <c r="AH4" s="59">
        <f t="shared" si="0"/>
        <v>0.23134387125053538</v>
      </c>
      <c r="AI4" s="59">
        <f t="shared" si="0"/>
        <v>0.14580329332976733</v>
      </c>
      <c r="AJ4" s="59">
        <f t="shared" si="0"/>
        <v>6.2289007304146722E-2</v>
      </c>
      <c r="AK4" s="59">
        <f t="shared" si="0"/>
        <v>0.37006758655870298</v>
      </c>
      <c r="AL4" s="59">
        <f t="shared" si="0"/>
        <v>0.17721981739462497</v>
      </c>
      <c r="AM4" s="59">
        <f t="shared" si="0"/>
        <v>0.10953553581234134</v>
      </c>
      <c r="AN4" s="59">
        <f t="shared" si="0"/>
        <v>2.9250880916554364E-2</v>
      </c>
      <c r="AO4" s="59">
        <f t="shared" si="0"/>
        <v>0.30810643048180825</v>
      </c>
      <c r="AP4" s="59">
        <f t="shared" si="0"/>
        <v>0.23250764049372774</v>
      </c>
      <c r="AQ4" s="59">
        <f t="shared" si="0"/>
        <v>0.23000981411656923</v>
      </c>
      <c r="AR4" s="59">
        <f t="shared" si="0"/>
        <v>0.12586912816864537</v>
      </c>
      <c r="AS4" s="59">
        <f t="shared" si="0"/>
        <v>0.15408850628710091</v>
      </c>
      <c r="AT4" s="59">
        <f t="shared" si="0"/>
        <v>7.4018008566396204E-2</v>
      </c>
      <c r="AU4" s="59">
        <f t="shared" si="0"/>
        <v>6.1518370159720392E-2</v>
      </c>
      <c r="AV4" s="59">
        <f t="shared" si="0"/>
        <v>3.1029041444320143E-2</v>
      </c>
      <c r="AW4" s="59">
        <f t="shared" si="0"/>
        <v>0.13377265650138234</v>
      </c>
      <c r="AX4" s="59">
        <f t="shared" si="0"/>
        <v>5.2041095588952847E-2</v>
      </c>
      <c r="AY4" s="59">
        <f t="shared" si="0"/>
        <v>3.329198474218957E-2</v>
      </c>
      <c r="AZ4" s="59">
        <f t="shared" si="0"/>
        <v>1.7486050593714161E-2</v>
      </c>
      <c r="BA4" s="59">
        <f t="shared" si="0"/>
        <v>0.11286589216740128</v>
      </c>
      <c r="BB4" s="59">
        <f t="shared" si="0"/>
        <v>7.619689625171007E-2</v>
      </c>
      <c r="BC4" s="59">
        <f t="shared" si="0"/>
        <v>4.457738510358867E-2</v>
      </c>
      <c r="BD4" s="59">
        <f t="shared" si="0"/>
        <v>2.2820695414329576E-2</v>
      </c>
      <c r="BE4" s="59">
        <f t="shared" si="0"/>
        <v>9.2902726034831851E-2</v>
      </c>
      <c r="BF4" s="59">
        <f t="shared" si="0"/>
        <v>6.1224745697054203E-2</v>
      </c>
      <c r="BG4" s="59">
        <f t="shared" si="0"/>
        <v>3.2275186022745185E-2</v>
      </c>
      <c r="BH4" s="59">
        <f t="shared" si="0"/>
        <v>1.628685881775975E-2</v>
      </c>
      <c r="BI4" s="59">
        <f t="shared" si="0"/>
        <v>0.10988518769059559</v>
      </c>
      <c r="BJ4" s="59">
        <f t="shared" si="0"/>
        <v>6.0324523570983883E-2</v>
      </c>
      <c r="BK4" s="59">
        <f t="shared" si="0"/>
        <v>2.6546010591728997E-2</v>
      </c>
      <c r="BL4" s="59">
        <f t="shared" si="0"/>
        <v>2.2053800983389545E-2</v>
      </c>
      <c r="BM4" s="59">
        <f t="shared" si="0"/>
        <v>9.6303934384945472E-2</v>
      </c>
      <c r="BN4" s="59">
        <f t="shared" si="0"/>
        <v>5.4620730044956364E-2</v>
      </c>
      <c r="BO4" s="59">
        <f t="shared" si="0"/>
        <v>3.0822406393774111E-2</v>
      </c>
      <c r="BP4" s="59">
        <f t="shared" si="0"/>
        <v>1.1035140656685698E-2</v>
      </c>
      <c r="BQ4" s="59">
        <f t="shared" si="0"/>
        <v>0.10718348191158296</v>
      </c>
      <c r="BR4" s="59">
        <f t="shared" ref="BR4:CJ4" si="1">BR2/BR3</f>
        <v>3.1257336100423208E-2</v>
      </c>
      <c r="BS4" s="59">
        <f t="shared" si="1"/>
        <v>8.5735274787318905E-2</v>
      </c>
      <c r="BT4" s="59">
        <f t="shared" si="1"/>
        <v>2.7235083301397758E-2</v>
      </c>
      <c r="BU4" s="59">
        <f t="shared" si="1"/>
        <v>8.5559301043661523E-2</v>
      </c>
      <c r="BV4" s="59">
        <f t="shared" si="1"/>
        <v>2.8210320872061538E-2</v>
      </c>
      <c r="BW4" s="59">
        <f t="shared" si="1"/>
        <v>8.0956825638036883E-2</v>
      </c>
      <c r="BX4" s="59">
        <f t="shared" si="1"/>
        <v>4.6711657806795981E-2</v>
      </c>
      <c r="BY4" s="59">
        <f t="shared" si="1"/>
        <v>0.10294760116672644</v>
      </c>
      <c r="BZ4" s="59">
        <f t="shared" si="1"/>
        <v>0.3639941012382526</v>
      </c>
      <c r="CA4" s="59">
        <f t="shared" si="1"/>
        <v>0.26874972381494494</v>
      </c>
      <c r="CB4" s="59">
        <f t="shared" si="1"/>
        <v>0.48876816510692128</v>
      </c>
      <c r="CC4" s="59">
        <f t="shared" si="1"/>
        <v>0.16261913128747935</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1560156195.9644005</v>
      </c>
      <c r="F5" s="26">
        <f>股权价值增加表!F47</f>
        <v>762271564.70719981</v>
      </c>
      <c r="G5" s="26">
        <f>股权价值增加表!G47</f>
        <v>-178862379.11759984</v>
      </c>
      <c r="H5" s="26">
        <f>股权价值增加表!H47</f>
        <v>-793170961.08200026</v>
      </c>
      <c r="I5" s="26">
        <f>股权价值增加表!I47</f>
        <v>2879749745.4892035</v>
      </c>
      <c r="J5" s="26">
        <f>股权价值增加表!J47</f>
        <v>1384543068.5124006</v>
      </c>
      <c r="K5" s="26">
        <f>股权价值增加表!K47</f>
        <v>400093968.8859998</v>
      </c>
      <c r="L5" s="26">
        <f>股权价值增加表!L47</f>
        <v>-671699319.26000071</v>
      </c>
      <c r="M5" s="26">
        <f>股权价值增加表!M47</f>
        <v>2695802358.4387984</v>
      </c>
      <c r="N5" s="26">
        <f>股权价值增加表!N47</f>
        <v>1006828163.1792003</v>
      </c>
      <c r="O5" s="26">
        <f>股权价值增加表!O47</f>
        <v>139837847.59040034</v>
      </c>
      <c r="P5" s="26">
        <f>股权价值增加表!P47</f>
        <v>-515503129.76080006</v>
      </c>
      <c r="Q5" s="26">
        <f>股权价值增加表!Q47</f>
        <v>1785864073.4035995</v>
      </c>
      <c r="R5" s="26">
        <f>股权价值增加表!R47</f>
        <v>386291333.71119928</v>
      </c>
      <c r="S5" s="26">
        <f>股权价值增加表!S47</f>
        <v>-11220308.329600573</v>
      </c>
      <c r="T5" s="26">
        <f>股权价值增加表!T47</f>
        <v>-440310986.58079988</v>
      </c>
      <c r="U5" s="26">
        <f>股权价值增加表!U47</f>
        <v>1089221593.3312008</v>
      </c>
      <c r="V5" s="26">
        <f>股权价值增加表!V47</f>
        <v>277678027.22560072</v>
      </c>
      <c r="W5" s="26">
        <f>股权价值增加表!W47</f>
        <v>28936794.301199317</v>
      </c>
      <c r="X5" s="26">
        <f>股权价值增加表!X47</f>
        <v>-341888693.84319961</v>
      </c>
      <c r="Y5" s="26">
        <f>股权价值增加表!Y47</f>
        <v>968365747.14919996</v>
      </c>
      <c r="Z5" s="26">
        <f>股权价值增加表!Z47</f>
        <v>428104421.01439869</v>
      </c>
      <c r="AA5" s="26">
        <f>股权价值增加表!AA47</f>
        <v>108246590.94280022</v>
      </c>
      <c r="AB5" s="26">
        <f>股权价值增加表!AB47</f>
        <v>-211656005.6060001</v>
      </c>
      <c r="AC5" s="26">
        <f>股权价值增加表!AC47</f>
        <v>740844223.70679975</v>
      </c>
      <c r="AD5" s="26">
        <f>股权价值增加表!AD47</f>
        <v>325260327.19600034</v>
      </c>
      <c r="AE5" s="26">
        <f>股权价值增加表!AE47</f>
        <v>145104774.15679967</v>
      </c>
      <c r="AF5" s="26">
        <f>股权价值增加表!AF47</f>
        <v>-78864845.18400009</v>
      </c>
      <c r="AG5" s="26">
        <f>股权价值增加表!AG47</f>
        <v>611228241.10119855</v>
      </c>
      <c r="AH5" s="26">
        <f>股权价值增加表!AH47</f>
        <v>325513151.86480039</v>
      </c>
      <c r="AI5" s="26">
        <f>股权价值增加表!AI47</f>
        <v>127393673.94600028</v>
      </c>
      <c r="AJ5" s="26">
        <f>股权价值增加表!AJ47</f>
        <v>-40250628.204799831</v>
      </c>
      <c r="AK5" s="26">
        <f>股权价值增加表!AK47</f>
        <v>630568337.84720004</v>
      </c>
      <c r="AL5" s="26">
        <f>股权价值增加表!AL47</f>
        <v>186892913.12440017</v>
      </c>
      <c r="AM5" s="26">
        <f>股权价值增加表!AM47</f>
        <v>52190991.747199804</v>
      </c>
      <c r="AN5" s="26">
        <f>股权价值增加表!AN47</f>
        <v>-94407546.748400033</v>
      </c>
      <c r="AO5" s="26">
        <f>股权价值增加表!AO47</f>
        <v>388015600.01159954</v>
      </c>
      <c r="AP5" s="26">
        <f>股权价值增加表!AP47</f>
        <v>245960166.64680028</v>
      </c>
      <c r="AQ5" s="26">
        <f>股权价值增加表!AQ47</f>
        <v>258874087.39320001</v>
      </c>
      <c r="AR5" s="26">
        <f>股权价值增加表!AR47</f>
        <v>92373903.632799804</v>
      </c>
      <c r="AS5" s="26">
        <f>股权价值增加表!AS47</f>
        <v>209564789.59240016</v>
      </c>
      <c r="AT5" s="26">
        <f>股权价值增加表!AT47</f>
        <v>-12732295.789199978</v>
      </c>
      <c r="AU5" s="26">
        <f>股权价值增加表!AU47</f>
        <v>-28813100.305600122</v>
      </c>
      <c r="AV5" s="26">
        <f>股权价值增加表!AV47</f>
        <v>-66487623.913200006</v>
      </c>
      <c r="AW5" s="26">
        <f>股权价值增加表!AW47</f>
        <v>73254992.052400067</v>
      </c>
      <c r="AX5" s="26">
        <f>股权价值增加表!AX47</f>
        <v>-34413627.233199894</v>
      </c>
      <c r="AY5" s="26">
        <f>股权价值增加表!AY47</f>
        <v>-54883845.887199759</v>
      </c>
      <c r="AZ5" s="26">
        <f>股权价值增加表!AZ47</f>
        <v>-87533318.337599933</v>
      </c>
      <c r="BA5" s="26">
        <f>股权价值增加表!BA47</f>
        <v>44944110.139599279</v>
      </c>
      <c r="BB5" s="26">
        <f>股权价值增加表!BB47</f>
        <v>-4936560.423999846</v>
      </c>
      <c r="BC5" s="26">
        <f>股权价值增加表!BC47</f>
        <v>-44329942.957200006</v>
      </c>
      <c r="BD5" s="26">
        <f>股权价值增加表!BD47</f>
        <v>-69371702.631200105</v>
      </c>
      <c r="BE5" s="26">
        <f>股权价值增加表!BE47</f>
        <v>16618532.217599943</v>
      </c>
      <c r="BF5" s="26">
        <f>股权价值增加表!BF47</f>
        <v>-23181648.544399902</v>
      </c>
      <c r="BG5" s="26">
        <f>股权价值增加表!BG47</f>
        <v>-52248541.097199991</v>
      </c>
      <c r="BH5" s="26">
        <f>股权价值增加表!BH47</f>
        <v>-71786536.716799989</v>
      </c>
      <c r="BI5" s="26">
        <f>股权价值增加表!BI47</f>
        <v>33046330.762800053</v>
      </c>
      <c r="BJ5" s="26">
        <f>股权价值增加表!BJ47</f>
        <v>-20587675.233599894</v>
      </c>
      <c r="BK5" s="26">
        <f>股权价值增加表!BK47</f>
        <v>-53109889.221199863</v>
      </c>
      <c r="BL5" s="26">
        <f>股权价值增加表!BL47</f>
        <v>-56958776.277200058</v>
      </c>
      <c r="BM5" s="26">
        <f>股权价值增加表!BM47</f>
        <v>15626466.084000066</v>
      </c>
      <c r="BN5" s="26">
        <f>股权价值增加表!BN47</f>
        <v>-24191235.768000126</v>
      </c>
      <c r="BO5" s="26">
        <f>股权价值增加表!BO47</f>
        <v>-43609114.838399962</v>
      </c>
      <c r="BP5" s="26">
        <f>股权价值增加表!BP47</f>
        <v>-59680919.149200022</v>
      </c>
      <c r="BQ5" s="26">
        <f>股权价值增加表!BQ47</f>
        <v>23204053.344799921</v>
      </c>
      <c r="BR5" s="26">
        <f>股权价值增加表!BR47</f>
        <v>-42218344.510799997</v>
      </c>
      <c r="BS5" s="26">
        <f>股权价值增加表!BS47</f>
        <v>4798487.0691999123</v>
      </c>
      <c r="BT5" s="26">
        <f>股权价值增加表!BT47</f>
        <v>-34829231.288399965</v>
      </c>
      <c r="BU5" s="26">
        <f>股权价值增加表!BU47</f>
        <v>3563253.0331999585</v>
      </c>
      <c r="BV5" s="26">
        <f>股权价值增加表!BV47</f>
        <v>-31096122.491999976</v>
      </c>
      <c r="BW5" s="26">
        <f>股权价值增加表!BW47</f>
        <v>553899.31879998744</v>
      </c>
      <c r="BX5" s="26">
        <f>股权价值增加表!BX47</f>
        <v>-14192036.820399977</v>
      </c>
      <c r="BY5" s="26">
        <f>股权价值增加表!BY47</f>
        <v>9316743.8807999603</v>
      </c>
      <c r="BZ5" s="26">
        <f>股权价值增加表!BZ47</f>
        <v>122699883.83520001</v>
      </c>
      <c r="CA5" s="26">
        <f>股权价值增加表!CA47</f>
        <v>14390211.559999999</v>
      </c>
      <c r="CB5" s="26">
        <f>股权价值增加表!CB47</f>
        <v>11835726.48</v>
      </c>
      <c r="CC5" s="26">
        <f>股权价值增加表!CC47</f>
        <v>1088555.8</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437</v>
      </c>
      <c r="E6" s="157">
        <f>股权价值增加表!E31/股权价值增加表!E4</f>
        <v>0.11455831658227468</v>
      </c>
      <c r="F6" s="157">
        <f>股权价值增加表!F31/股权价值增加表!F4</f>
        <v>0.12170092267338659</v>
      </c>
      <c r="G6" s="157">
        <f>股权价值增加表!G31/股权价值增加表!G4</f>
        <v>0.10453279763314036</v>
      </c>
      <c r="H6" s="157">
        <f>股权价值增加表!H31/股权价值增加表!H4</f>
        <v>0.1112297700070914</v>
      </c>
      <c r="I6" s="157">
        <f>股权价值增加表!I31/股权价值增加表!I4</f>
        <v>0.13884808989351966</v>
      </c>
      <c r="J6" s="157">
        <f>股权价值增加表!J31/股权价值增加表!J4</f>
        <v>0.12769591061965874</v>
      </c>
      <c r="K6" s="157">
        <f>股权价值增加表!K31/股权价值增加表!K4</f>
        <v>0.11306822458461697</v>
      </c>
      <c r="L6" s="157">
        <f>股权价值增加表!L31/股权价值增加表!L4</f>
        <v>9.4613540554001174E-2</v>
      </c>
      <c r="M6" s="157">
        <f>股权价值增加表!M31/股权价值增加表!M4</f>
        <v>0.13467522529581219</v>
      </c>
      <c r="N6" s="157">
        <f>股权价值增加表!N31/股权价值增加表!N4</f>
        <v>0.10733838070060922</v>
      </c>
      <c r="O6" s="157">
        <f>股权价值增加表!O31/股权价值增加表!O4</f>
        <v>9.3985086576226701E-2</v>
      </c>
      <c r="P6" s="157">
        <f>股权价值增加表!P31/股权价值增加表!P4</f>
        <v>8.999748799138782E-2</v>
      </c>
      <c r="Q6" s="157">
        <f>股权价值增加表!Q31/股权价值增加表!Q4</f>
        <v>0.12122954284423729</v>
      </c>
      <c r="R6" s="157">
        <f>股权价值增加表!R31/股权价值增加表!R4</f>
        <v>8.2838487012435832E-2</v>
      </c>
      <c r="S6" s="157">
        <f>股权价值增加表!S31/股权价值增加表!S4</f>
        <v>8.1278663162595341E-2</v>
      </c>
      <c r="T6" s="157">
        <f>股权价值增加表!T31/股权价值增加表!T4</f>
        <v>6.7433121548013564E-2</v>
      </c>
      <c r="U6" s="157">
        <f>股权价值增加表!U31/股权价值增加表!U4</f>
        <v>9.6851063531240331E-2</v>
      </c>
      <c r="V6" s="157">
        <f>股权价值增加表!V31/股权价值增加表!V4</f>
        <v>7.4584906392648948E-2</v>
      </c>
      <c r="W6" s="157">
        <f>股权价值增加表!W31/股权价值增加表!W4</f>
        <v>7.4730168807461236E-2</v>
      </c>
      <c r="X6" s="157">
        <f>股权价值增加表!X31/股权价值增加表!X4</f>
        <v>6.6455047577755486E-2</v>
      </c>
      <c r="Y6" s="157">
        <f>股权价值增加表!Y31/股权价值增加表!Y4</f>
        <v>9.0231019878768318E-2</v>
      </c>
      <c r="Z6" s="157">
        <f>股权价值增加表!Z31/股权价值增加表!Z4</f>
        <v>8.0662150647401884E-2</v>
      </c>
      <c r="AA6" s="157">
        <f>股权价值增加表!AA31/股权价值增加表!AA4</f>
        <v>7.8476310598006041E-2</v>
      </c>
      <c r="AB6" s="157">
        <f>股权价值增加表!AB31/股权价值增加表!AB4</f>
        <v>6.9362472476012002E-2</v>
      </c>
      <c r="AC6" s="157">
        <f>股权价值增加表!AC31/股权价值增加表!AC4</f>
        <v>7.1003046359888244E-2</v>
      </c>
      <c r="AD6" s="157">
        <f>股权价值增加表!AD31/股权价值增加表!AD4</f>
        <v>5.9104450692924894E-2</v>
      </c>
      <c r="AE6" s="157">
        <f>股权价值增加表!AE31/股权价值增加表!AE4</f>
        <v>6.4695989782841481E-2</v>
      </c>
      <c r="AF6" s="157">
        <f>股权价值增加表!AF31/股权价值增加表!AF4</f>
        <v>5.1536965633302276E-2</v>
      </c>
      <c r="AG6" s="157">
        <f>股权价值增加表!AG31/股权价值增加表!AG4</f>
        <v>7.093420765840748E-2</v>
      </c>
      <c r="AH6" s="157">
        <f>股权价值增加表!AH31/股权价值增加表!AH4</f>
        <v>6.5141382758482427E-2</v>
      </c>
      <c r="AI6" s="157">
        <f>股权价值增加表!AI31/股权价值增加表!AI4</f>
        <v>6.321463346769958E-2</v>
      </c>
      <c r="AJ6" s="157">
        <f>股权价值增加表!AJ31/股权价值增加表!AJ4</f>
        <v>7.0622475880004004E-2</v>
      </c>
      <c r="AK6" s="157">
        <f>股权价值增加表!AK31/股权价值增加表!AK4</f>
        <v>0.10240626534152815</v>
      </c>
      <c r="AL6" s="157">
        <f>股权价值增加表!AL31/股权价值增加表!AL4</f>
        <v>6.8510968417802146E-2</v>
      </c>
      <c r="AM6" s="157">
        <f>股权价值增加表!AM31/股权价值增加表!AM4</f>
        <v>6.3409607180366867E-2</v>
      </c>
      <c r="AN6" s="157">
        <f>股权价值增加表!AN31/股权价值增加表!AN4</f>
        <v>4.8255944889800062E-2</v>
      </c>
      <c r="AO6" s="157">
        <f>股权价值增加表!AO31/股权价值增加表!AO4</f>
        <v>7.8041049796126374E-2</v>
      </c>
      <c r="AP6" s="157">
        <f>股权价值增加表!AP31/股权价值增加表!AP4</f>
        <v>7.9656497846763943E-2</v>
      </c>
      <c r="AQ6" s="157">
        <f>股权价值增加表!AQ31/股权价值增加表!AQ4</f>
        <v>0.12012230321637345</v>
      </c>
      <c r="AR6" s="157">
        <f>股权价值增加表!AR31/股权价值增加表!AR4</f>
        <v>0.19755577400193225</v>
      </c>
      <c r="AS6" s="157">
        <f>股权价值增加表!AS31/股权价值增加表!AS4</f>
        <v>7.8145439028645319E-2</v>
      </c>
      <c r="AT6" s="157">
        <f>股权价值增加表!AT31/股权价值增加表!AT4</f>
        <v>5.2569348342164056E-2</v>
      </c>
      <c r="AU6" s="157">
        <f>股权价值增加表!AU31/股权价值增加表!AU4</f>
        <v>5.2732752576044227E-2</v>
      </c>
      <c r="AV6" s="157">
        <f>股权价值增加表!AV31/股权价值增加表!AV4</f>
        <v>5.351678740811748E-2</v>
      </c>
      <c r="AW6" s="157">
        <f>股权价值增加表!AW31/股权价值增加表!AW4</f>
        <v>5.5105153383570228E-2</v>
      </c>
      <c r="AX6" s="157">
        <f>股权价值增加表!AX31/股权价值增加表!AX4</f>
        <v>3.9037926937389243E-2</v>
      </c>
      <c r="AY6" s="157">
        <f>股权价值增加表!AY31/股权价值增加表!AY4</f>
        <v>3.8100525947393278E-2</v>
      </c>
      <c r="AZ6" s="157">
        <f>股权价值增加表!AZ31/股权价值增加表!AZ4</f>
        <v>4.7460837140716319E-2</v>
      </c>
      <c r="BA6" s="157">
        <f>股权价值增加表!BA31/股权价值增加表!BA4</f>
        <v>5.2073372491243004E-2</v>
      </c>
      <c r="BB6" s="157">
        <f>股权价值增加表!BB31/股权价值增加表!BB4</f>
        <v>5.2367823695661432E-2</v>
      </c>
      <c r="BC6" s="157">
        <f>股权价值增加表!BC31/股权价值增加表!BC4</f>
        <v>5.0524893796388824E-2</v>
      </c>
      <c r="BD6" s="157">
        <f>股权价值增加表!BD31/股权价值增加表!BD4</f>
        <v>5.3629620785574206E-2</v>
      </c>
      <c r="BE6" s="157">
        <f>股权价值增加表!BE31/股权价值增加表!BE4</f>
        <v>4.4902264675508181E-2</v>
      </c>
      <c r="BF6" s="157">
        <f>股权价值增加表!BF31/股权价值增加表!BF4</f>
        <v>4.7265584476887189E-2</v>
      </c>
      <c r="BG6" s="157">
        <f>股权价值增加表!BG31/股权价值增加表!BG4</f>
        <v>4.351368233906823E-2</v>
      </c>
      <c r="BH6" s="157">
        <f>股权价值增加表!BH31/股权价值增加表!BH4</f>
        <v>5.7496961014304404E-2</v>
      </c>
      <c r="BI6" s="157">
        <f>股权价值增加表!BI31/股权价值增加表!BI4</f>
        <v>5.4881304840021468E-2</v>
      </c>
      <c r="BJ6" s="157">
        <f>股权价值增加表!BJ31/股权价值增加表!BJ4</f>
        <v>5.1716035943874403E-2</v>
      </c>
      <c r="BK6" s="157">
        <f>股权价值增加表!BK31/股权价值增加表!BK4</f>
        <v>3.9263217787513856E-2</v>
      </c>
      <c r="BL6" s="157">
        <f>股权价值增加表!BL31/股权价值增加表!BL4</f>
        <v>4.4656114153057098E-2</v>
      </c>
      <c r="BM6" s="157">
        <f>股权价值增加表!BM31/股权价值增加表!BM4</f>
        <v>6.0557808580445155E-2</v>
      </c>
      <c r="BN6" s="157">
        <f>股权价值增加表!BN31/股权价值增加表!BN4</f>
        <v>5.350437878146818E-2</v>
      </c>
      <c r="BO6" s="157">
        <f>股权价值增加表!BO31/股权价值增加表!BO4</f>
        <v>5.2182263812442078E-2</v>
      </c>
      <c r="BP6" s="157">
        <f>股权价值增加表!BP31/股权价值增加表!BP4</f>
        <v>4.4571927527961519E-2</v>
      </c>
      <c r="BQ6" s="157">
        <f>股权价值增加表!BQ31/股权价值增加表!BQ4</f>
        <v>7.5241806364384697E-2</v>
      </c>
      <c r="BR6" s="157">
        <f>股权价值增加表!BR31/股权价值增加表!BR4</f>
        <v>5.7449903261744421E-2</v>
      </c>
      <c r="BS6" s="157">
        <f>股权价值增加表!BS31/股权价值增加表!BS4</f>
        <v>8.164011787760303E-2</v>
      </c>
      <c r="BT6" s="157">
        <f>股权价值增加表!BT31/股权价值增加表!BT4</f>
        <v>6.9541475611812537E-2</v>
      </c>
      <c r="BU6" s="157">
        <f>股权价值增加表!BU31/股权价值增加表!BU4</f>
        <v>0.12887717397997628</v>
      </c>
      <c r="BV6" s="157">
        <f>股权价值增加表!BV31/股权价值增加表!BV4</f>
        <v>9.6351685185176159E-2</v>
      </c>
      <c r="BW6" s="157">
        <f>股权价值增加表!BW31/股权价值增加表!BW4</f>
        <v>0.13842790507853006</v>
      </c>
      <c r="BX6" s="157">
        <f>股权价值增加表!BX31/股权价值增加表!BX4</f>
        <v>0.11817702382467467</v>
      </c>
      <c r="BY6" s="157">
        <f>股权价值增加表!BY31/股权价值增加表!BY4</f>
        <v>0.13502322645015483</v>
      </c>
      <c r="BZ6" s="157">
        <f>股权价值增加表!BZ31/股权价值增加表!BZ4</f>
        <v>1.0217068241354839</v>
      </c>
      <c r="CA6" s="157">
        <f>股权价值增加表!CA31/股权价值增加表!CA4</f>
        <v>8.8017176107381745E-2</v>
      </c>
      <c r="CB6" s="157">
        <f>股权价值增加表!CB31/股权价值增加表!CB4</f>
        <v>0.10291012937313726</v>
      </c>
      <c r="CC6" s="157">
        <f>股权价值增加表!CC31/股权价值增加表!CC4</f>
        <v>5.6549716384305553E-2</v>
      </c>
      <c r="CD6" s="157" t="e">
        <f>股权价值增加表!CD31/股权价值增加表!CD4</f>
        <v>#DIV/0!</v>
      </c>
      <c r="CE6" s="157" t="e">
        <f>股权价值增加表!CE31/股权价值增加表!CE4</f>
        <v>#DIV/0!</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431</v>
      </c>
      <c r="E7" s="61">
        <f>股权价值增加表!E4/资产资本表!E70</f>
        <v>1.8462264152493555</v>
      </c>
      <c r="F7" s="61">
        <f>股权价值增加表!F4/资产资本表!F70</f>
        <v>1.1213255758667109</v>
      </c>
      <c r="G7" s="61">
        <f>股权价值增加表!G4/资产资本表!G70</f>
        <v>0.55031438092622187</v>
      </c>
      <c r="H7" s="61">
        <f>股权价值增加表!H4/资产资本表!H70</f>
        <v>0.25498599882715517</v>
      </c>
      <c r="I7" s="61">
        <f>股权价值增加表!I4/资产资本表!I70</f>
        <v>2.4038478528228038</v>
      </c>
      <c r="J7" s="61">
        <f>股权价值增加表!J4/资产资本表!J70</f>
        <v>1.7234641659818137</v>
      </c>
      <c r="K7" s="61">
        <f>股权价值增加表!K4/资产资本表!K70</f>
        <v>1.1605600067198216</v>
      </c>
      <c r="L7" s="61">
        <f>股权价值增加表!L4/资产资本表!L70</f>
        <v>0.37054029799725091</v>
      </c>
      <c r="M7" s="61">
        <f>股权价值增加表!M4/资产资本表!M70</f>
        <v>2.3219196710293293</v>
      </c>
      <c r="N7" s="61">
        <f>股权价值增加表!N4/资产资本表!N70</f>
        <v>1.632693048489628</v>
      </c>
      <c r="O7" s="61">
        <f>股权价值增加表!O4/资产资本表!O70</f>
        <v>0.9773060852756642</v>
      </c>
      <c r="P7" s="61">
        <f>股权价值增加表!P4/资产资本表!P70</f>
        <v>0.36970573116678501</v>
      </c>
      <c r="Q7" s="61">
        <f>股权价值增加表!Q4/资产资本表!Q70</f>
        <v>2.2975556945155811</v>
      </c>
      <c r="R7" s="61">
        <f>股权价值增加表!R4/资产资本表!R70</f>
        <v>1.55468794984956</v>
      </c>
      <c r="S7" s="61">
        <f>股权价值增加表!S4/资产资本表!S70</f>
        <v>1.0060505879458734</v>
      </c>
      <c r="T7" s="61">
        <f>股权价值增加表!T4/资产资本表!T70</f>
        <v>0.45548748086276386</v>
      </c>
      <c r="U7" s="61">
        <f>股权价值增加表!U4/资产资本表!U70</f>
        <v>2.3509053557479258</v>
      </c>
      <c r="V7" s="61">
        <f>股权价值增加表!V4/资产资本表!V70</f>
        <v>1.5933520978582127</v>
      </c>
      <c r="W7" s="61">
        <f>股权价值增加表!W4/资产资本表!W70</f>
        <v>1.1296912461361068</v>
      </c>
      <c r="X7" s="61">
        <f>股权价值增加表!X4/资产资本表!X70</f>
        <v>0.51675986107435135</v>
      </c>
      <c r="Y7" s="61">
        <f>股权价值增加表!Y4/资产资本表!Y70</f>
        <v>2.4163464270598158</v>
      </c>
      <c r="Z7" s="61">
        <f>股权价值增加表!Z4/资产资本表!Z70</f>
        <v>1.7859752545474552</v>
      </c>
      <c r="AA7" s="61">
        <f>股权价值增加表!AA4/资产资本表!AA70</f>
        <v>1.2429471336636306</v>
      </c>
      <c r="AB7" s="61">
        <f>股权价值增加表!AB4/资产资本表!AB70</f>
        <v>0.62832175906719689</v>
      </c>
      <c r="AC7" s="61">
        <f>股权价值增加表!AC4/资产资本表!AC70</f>
        <v>4.5791719640187081</v>
      </c>
      <c r="AD7" s="61">
        <f>股权价值增加表!AD4/资产资本表!AD70</f>
        <v>3.4559123964663674</v>
      </c>
      <c r="AE7" s="61">
        <f>股权价值增加表!AE4/资产资本表!AE70</f>
        <v>2.1247964272267366</v>
      </c>
      <c r="AF7" s="61">
        <f>股权价值增加表!AF4/资产资本表!AF70</f>
        <v>1.0209400192727018</v>
      </c>
      <c r="AG7" s="61">
        <f>股权价值增加表!AG4/资产资本表!AG70</f>
        <v>4.8916760030047151</v>
      </c>
      <c r="AH7" s="61">
        <f>股权价值增加表!AH4/资产资本表!AH70</f>
        <v>3.7795820439727161</v>
      </c>
      <c r="AI7" s="61">
        <f>股权价值增加表!AI4/资产资本表!AI70</f>
        <v>2.5476953438958065</v>
      </c>
      <c r="AJ7" s="61">
        <f>股权价值增加表!AJ4/资产资本表!AJ70</f>
        <v>0.9433534715673727</v>
      </c>
      <c r="AK7" s="61">
        <f>股权价值增加表!AK4/资产资本表!AK70</f>
        <v>3.6502236273207362</v>
      </c>
      <c r="AL7" s="61">
        <f>股权价值增加表!AL4/资产资本表!AL70</f>
        <v>2.4742586151892372</v>
      </c>
      <c r="AM7" s="61">
        <f>股权价值增加表!AM4/资产资本表!AM70</f>
        <v>1.6175233286193276</v>
      </c>
      <c r="AN7" s="61">
        <f>股权价值增加表!AN4/资产资本表!AN70</f>
        <v>0.60420785935991006</v>
      </c>
      <c r="AO7" s="61">
        <f>股权价值增加表!AO4/资产资本表!AO70</f>
        <v>4.5533898382559155</v>
      </c>
      <c r="AP7" s="61">
        <f>股权价值增加表!AP4/资产资本表!AP70</f>
        <v>3.3961622469993125</v>
      </c>
      <c r="AQ7" s="61">
        <f>股权价值增加表!AQ4/资产资本表!AQ70</f>
        <v>2.3568403795433372</v>
      </c>
      <c r="AR7" s="61">
        <f>股权价值增加表!AR4/资产资本表!AR70</f>
        <v>0.56699011340507999</v>
      </c>
      <c r="AS7" s="61">
        <f>股权价值增加表!AS4/资产资本表!AS70</f>
        <v>2.0765447044797538</v>
      </c>
      <c r="AT7" s="61">
        <f>股权价值增加表!AT4/资产资本表!AT70</f>
        <v>1.432297376440733</v>
      </c>
      <c r="AU7" s="61">
        <f>股权价值增加表!AU4/资产资本表!AU70</f>
        <v>1.3863336190985873</v>
      </c>
      <c r="AV7" s="61">
        <f>股权价值增加表!AV4/资产资本表!AV70</f>
        <v>0.66696806418208077</v>
      </c>
      <c r="AW7" s="61">
        <f>股权价值增加表!AW4/资产资本表!AW70</f>
        <v>3.6184851941518752</v>
      </c>
      <c r="AX7" s="61">
        <f>股权价值增加表!AX4/资产资本表!AX70</f>
        <v>2.5876429490999091</v>
      </c>
      <c r="AY7" s="61">
        <f>股权价值增加表!AY4/资产资本表!AY70</f>
        <v>1.723081934370001</v>
      </c>
      <c r="AZ7" s="61">
        <f>股权价值增加表!AZ4/资产资本表!AZ70</f>
        <v>0.63122169047874799</v>
      </c>
      <c r="BA7" s="61">
        <f>股权价值增加表!BA4/资产资本表!BA70</f>
        <v>3.3298064497613327</v>
      </c>
      <c r="BB7" s="61">
        <f>股权价值增加表!BB4/资产资本表!BB70</f>
        <v>2.2192923479635631</v>
      </c>
      <c r="BC7" s="61">
        <f>股权价值增加表!BC4/资产资本表!BC70</f>
        <v>1.3494451372686058</v>
      </c>
      <c r="BD7" s="61">
        <f>股权价值增加表!BD4/资产资本表!BD70</f>
        <v>0.5599014950207446</v>
      </c>
      <c r="BE7" s="61">
        <f>股权价值增加表!BE4/资产资本表!BE70</f>
        <v>2.9415188555626965</v>
      </c>
      <c r="BF7" s="61">
        <f>股权价值增加表!BF4/资产资本表!BF70</f>
        <v>2.0519260321560293</v>
      </c>
      <c r="BG7" s="61">
        <f>股权价值增加表!BG4/资产资本表!BG70</f>
        <v>1.2037087567300877</v>
      </c>
      <c r="BH7" s="61">
        <f>股权价值增加表!BH4/资产资本表!BH70</f>
        <v>0.45483971971913922</v>
      </c>
      <c r="BI7" s="61">
        <f>股权价值增加表!BI4/资产资本表!BI70</f>
        <v>2.4943107681632344</v>
      </c>
      <c r="BJ7" s="61">
        <f>股权价值增加表!BJ4/资产资本表!BJ70</f>
        <v>1.6699998788283428</v>
      </c>
      <c r="BK7" s="61">
        <f>股权价值增加表!BK4/资产资本表!BK70</f>
        <v>1.1105912866954022</v>
      </c>
      <c r="BL7" s="61">
        <f>股权价值增加表!BL4/资产资本表!BL70</f>
        <v>0.69834816779197939</v>
      </c>
      <c r="BM7" s="61">
        <f>股权价值增加表!BM4/资产资本表!BM70</f>
        <v>2.723334502823425</v>
      </c>
      <c r="BN7" s="61">
        <f>股权价值增加表!BN4/资产资本表!BN70</f>
        <v>1.6896647056774139</v>
      </c>
      <c r="BO7" s="61">
        <f>股权价值增加表!BO4/资产资本表!BO70</f>
        <v>0.98388640173121067</v>
      </c>
      <c r="BP7" s="61">
        <f>股权价值增加表!BP4/资产资本表!BP70</f>
        <v>0.34274844639626056</v>
      </c>
      <c r="BQ7" s="61">
        <f>股权价值增加表!BQ4/资产资本表!BQ70</f>
        <v>1.5146128702419117</v>
      </c>
      <c r="BR7" s="61">
        <f>股权价值增加表!BR4/资产资本表!BR70</f>
        <v>0.65951593846603518</v>
      </c>
      <c r="BS7" s="61">
        <f>股权价值增加表!BS4/资产资本表!BS70</f>
        <v>1.171600004603464</v>
      </c>
      <c r="BT7" s="61">
        <f>股权价值增加表!BT4/资产资本表!BT70</f>
        <v>0.62059667816772701</v>
      </c>
      <c r="BU7" s="61">
        <f>股权价值增加表!BU4/资产资本表!BU70</f>
        <v>0.99826855080587285</v>
      </c>
      <c r="BV7" s="61">
        <f>股权价值增加表!BV4/资产资本表!BV70</f>
        <v>0.42063328374080217</v>
      </c>
      <c r="BW7" s="61">
        <f>股权价值增加表!BW4/资产资本表!BW70</f>
        <v>0.77819368361892061</v>
      </c>
      <c r="BX7" s="61">
        <f>股权价值增加表!BX4/资产资本表!BX70</f>
        <v>0.39855436353505935</v>
      </c>
      <c r="BY7" s="61">
        <f>股权价值增加表!BY4/资产资本表!BY70</f>
        <v>0.83788268447517655</v>
      </c>
      <c r="BZ7" s="61">
        <f>股权价值增加表!BZ4/资产资本表!BZ70</f>
        <v>0.98294566913293024</v>
      </c>
      <c r="CA7" s="61">
        <f>股权价值增加表!CA4/资产资本表!CA70</f>
        <v>2.7437646059857537</v>
      </c>
      <c r="CB7" s="61">
        <f>股权价值增加表!CB4/资产资本表!CB70</f>
        <v>3.0330334757270418</v>
      </c>
      <c r="CC7" s="61">
        <f>股权价值增加表!CC4/资产资本表!CC70</f>
        <v>2.0582815786326782</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0.21150059016069378</v>
      </c>
      <c r="F8" s="63">
        <f>股权价值增加表!F31/资产资本表!F70</f>
        <v>0.13646635720024528</v>
      </c>
      <c r="G8" s="63">
        <f>股权价值增加表!G31/资产资本表!G70</f>
        <v>5.7525901815967673E-2</v>
      </c>
      <c r="H8" s="63">
        <f>股权价值增加表!H31/资产资本表!H70</f>
        <v>2.8362034004572947E-2</v>
      </c>
      <c r="I8" s="63">
        <f>股权价值增加表!I31/资产资本表!I70</f>
        <v>0.33376968275908486</v>
      </c>
      <c r="J8" s="63">
        <f>股权价值增加表!J31/资产资本表!J70</f>
        <v>0.22007932609539835</v>
      </c>
      <c r="K8" s="63">
        <f>股权价值增加表!K31/资产资本表!K70</f>
        <v>0.13122245948372138</v>
      </c>
      <c r="L8" s="63">
        <f>股权价值增加表!L31/资产资本表!L70</f>
        <v>3.505812951145458E-2</v>
      </c>
      <c r="M8" s="63">
        <f>股权价值增加表!M31/资产资本表!M70</f>
        <v>0.31270505481465311</v>
      </c>
      <c r="N8" s="63">
        <f>股权价值增加表!N31/资产资本表!N70</f>
        <v>0.17525062800601793</v>
      </c>
      <c r="O8" s="63">
        <f>股权价值增加表!O31/资产资本表!O70</f>
        <v>9.1852197036106503E-2</v>
      </c>
      <c r="P8" s="63">
        <f>股权价值增加表!P31/资产资本表!P70</f>
        <v>3.3272587101029989E-2</v>
      </c>
      <c r="Q8" s="63">
        <f>股权价值增加表!Q31/资产资本表!Q70</f>
        <v>0.278531626505298</v>
      </c>
      <c r="R8" s="63">
        <f>股权价值增加表!R31/资产资本表!R70</f>
        <v>0.12878799754200326</v>
      </c>
      <c r="S8" s="63">
        <f>股权价值增加表!S31/资产资本表!S70</f>
        <v>8.1770446862183654E-2</v>
      </c>
      <c r="T8" s="63">
        <f>股权价值增加表!T31/资产资本表!T70</f>
        <v>3.0714942660617261E-2</v>
      </c>
      <c r="U8" s="63">
        <f>股权价值增加表!U31/资产资本表!U70</f>
        <v>0.22768768396547548</v>
      </c>
      <c r="V8" s="63">
        <f>股权价值增加表!V31/资产资本表!V70</f>
        <v>0.11884001706928563</v>
      </c>
      <c r="W8" s="63">
        <f>股权价值增加表!W31/资产资本表!W70</f>
        <v>8.4422017524062504E-2</v>
      </c>
      <c r="X8" s="63">
        <f>股权价值增加表!X31/资产资本表!X70</f>
        <v>3.4341301153970327E-2</v>
      </c>
      <c r="Y8" s="63">
        <f>股权价值增加表!Y31/资产资本表!Y70</f>
        <v>0.21802940249402505</v>
      </c>
      <c r="Z8" s="63">
        <f>股权价值增加表!Z31/资产资本表!Z70</f>
        <v>0.14406060503483875</v>
      </c>
      <c r="AA8" s="63">
        <f>股权价值增加表!AA31/资产资本表!AA70</f>
        <v>9.7541905318288408E-2</v>
      </c>
      <c r="AB8" s="63">
        <f>股权价值增加表!AB31/资产资本表!AB70</f>
        <v>4.3581950719377892E-2</v>
      </c>
      <c r="AC8" s="63">
        <f>股权价值增加表!AC31/资产资本表!AC70</f>
        <v>0.3251351592511208</v>
      </c>
      <c r="AD8" s="63">
        <f>股权价值增加表!AD31/资产资本表!AD70</f>
        <v>0.20425980383601433</v>
      </c>
      <c r="AE8" s="63">
        <f>股权价值增加表!AE31/资产资本表!AE70</f>
        <v>0.13746580794647903</v>
      </c>
      <c r="AF8" s="63">
        <f>股权价值增加表!AF31/资产资本表!AF70</f>
        <v>5.2616150686920195E-2</v>
      </c>
      <c r="AG8" s="63">
        <f>股权价值增加表!AG31/资产资本表!AG70</f>
        <v>0.34698716139478519</v>
      </c>
      <c r="AH8" s="63">
        <f>股权价值增加表!AH31/资产资本表!AH70</f>
        <v>0.24620720059351406</v>
      </c>
      <c r="AI8" s="63">
        <f>股权价值增加表!AI31/资产资本表!AI70</f>
        <v>0.16105162735173825</v>
      </c>
      <c r="AJ8" s="63">
        <f>股权价值增加表!AJ31/资产资本表!AJ70</f>
        <v>6.662195779208481E-2</v>
      </c>
      <c r="AK8" s="63">
        <f>股权价值增加表!AK31/资产资本表!AK70</f>
        <v>0.37380576933532267</v>
      </c>
      <c r="AL8" s="63">
        <f>股权价值增加表!AL31/资产资本表!AL70</f>
        <v>0.1695138538427047</v>
      </c>
      <c r="AM8" s="63">
        <f>股权价值增加表!AM31/资产资本表!AM70</f>
        <v>0.10256651887283103</v>
      </c>
      <c r="AN8" s="63">
        <f>股权价值增加表!AN31/资产资本表!AN70</f>
        <v>2.9156621163255889E-2</v>
      </c>
      <c r="AO8" s="63">
        <f>股权价值增加表!AO31/资产资本表!AO70</f>
        <v>0.3553513231085057</v>
      </c>
      <c r="AP8" s="63">
        <f>股权价值增加表!AP31/资产资本表!AP70</f>
        <v>0.27052639071536172</v>
      </c>
      <c r="AQ8" s="63">
        <f>股权价值增加表!AQ31/资产资本表!AQ70</f>
        <v>0.28310909470409745</v>
      </c>
      <c r="AR8" s="63">
        <f>股权价值增加表!AR31/资产资本表!AR70</f>
        <v>0.11201217070518392</v>
      </c>
      <c r="AS8" s="63">
        <f>股权价值增加表!AS31/资产资本表!AS70</f>
        <v>0.16227249759417892</v>
      </c>
      <c r="AT8" s="63">
        <f>股权价值增加表!AT31/资产资本表!AT70</f>
        <v>7.5294939711680567E-2</v>
      </c>
      <c r="AU8" s="63">
        <f>股权价值增加表!AU31/资产资本表!AU70</f>
        <v>7.3105187723777748E-2</v>
      </c>
      <c r="AV8" s="63">
        <f>股权价值增加表!AV31/资产资本表!AV70</f>
        <v>3.5693988098836074E-2</v>
      </c>
      <c r="AW8" s="63">
        <f>股权价值增加表!AW31/资产资本表!AW70</f>
        <v>0.19939718163991699</v>
      </c>
      <c r="AX8" s="63">
        <f>股权价值增加表!AX31/资产资本表!AX70</f>
        <v>0.10101621638701269</v>
      </c>
      <c r="AY8" s="63">
        <f>股权价值增加表!AY31/资产资本表!AY70</f>
        <v>6.5650327949948822E-2</v>
      </c>
      <c r="AZ8" s="63">
        <f>股权价值增加表!AZ31/资产资本表!AZ70</f>
        <v>2.9958309851499502E-2</v>
      </c>
      <c r="BA8" s="63">
        <f>股权价值增加表!BA31/资产资本表!BA70</f>
        <v>0.17339425158216529</v>
      </c>
      <c r="BB8" s="63">
        <f>股权价值增加表!BB31/资产资本表!BB70</f>
        <v>0.11621951040728638</v>
      </c>
      <c r="BC8" s="63">
        <f>股权价值增加表!BC31/资产资本表!BC70</f>
        <v>6.8180572244549639E-2</v>
      </c>
      <c r="BD8" s="63">
        <f>股权价值增加表!BD31/资产资本表!BD70</f>
        <v>3.00273048552386E-2</v>
      </c>
      <c r="BE8" s="63">
        <f>股权价值增加表!BE31/资产资本表!BE70</f>
        <v>0.13208085820047413</v>
      </c>
      <c r="BF8" s="63">
        <f>股权价值增加表!BF31/资产资本表!BF70</f>
        <v>9.6985483213194751E-2</v>
      </c>
      <c r="BG8" s="63">
        <f>股权价值增加表!BG31/资产资本表!BG70</f>
        <v>5.2377800469107796E-2</v>
      </c>
      <c r="BH8" s="63">
        <f>股权价值增加表!BH31/资产资本表!BH70</f>
        <v>2.6151901632448488E-2</v>
      </c>
      <c r="BI8" s="63">
        <f>股权价值增加表!BI31/资产资本表!BI70</f>
        <v>0.13689102963331459</v>
      </c>
      <c r="BJ8" s="63">
        <f>股权价值增加表!BJ31/资产资本表!BJ70</f>
        <v>8.6365773759752476E-2</v>
      </c>
      <c r="BK8" s="63">
        <f>股权价值增加表!BK31/资产资本表!BK70</f>
        <v>4.3605387562436822E-2</v>
      </c>
      <c r="BL8" s="63">
        <f>股权价值增加表!BL31/资产资本表!BL70</f>
        <v>3.1185515499496903E-2</v>
      </c>
      <c r="BM8" s="63">
        <f>股权价值增加表!BM31/资产资本表!BM70</f>
        <v>0.16491916952250277</v>
      </c>
      <c r="BN8" s="63">
        <f>股权价值增加表!BN31/资产资本表!BN70</f>
        <v>9.0404460426242311E-2</v>
      </c>
      <c r="BO8" s="63">
        <f>股权价值增加表!BO31/资产资本表!BO70</f>
        <v>5.1341419776612406E-2</v>
      </c>
      <c r="BP8" s="63">
        <f>股权价值增加表!BP31/资产资本表!BP70</f>
        <v>1.527695891309553E-2</v>
      </c>
      <c r="BQ8" s="63">
        <f>股权价值增加表!BQ31/资产资本表!BQ70</f>
        <v>0.11396220829974685</v>
      </c>
      <c r="BR8" s="63">
        <f>股权价值增加表!BR31/资产资本表!BR70</f>
        <v>3.7889126864452304E-2</v>
      </c>
      <c r="BS8" s="63">
        <f>股权价值增加表!BS31/资产资本表!BS70</f>
        <v>9.5649562481227038E-2</v>
      </c>
      <c r="BT8" s="63">
        <f>股权价值增加表!BT31/资产资本表!BT70</f>
        <v>4.3157208759572858E-2</v>
      </c>
      <c r="BU8" s="63">
        <f>股权价值增加表!BU31/资产资本表!BU70</f>
        <v>0.12865402970094728</v>
      </c>
      <c r="BV8" s="63">
        <f>股权价值增加表!BV31/资产资本表!BV70</f>
        <v>4.052872573340064E-2</v>
      </c>
      <c r="BW8" s="63">
        <f>股权价值增加表!BW31/资产资本表!BW70</f>
        <v>0.10772372136871161</v>
      </c>
      <c r="BX8" s="63">
        <f>股权价值增加表!BX31/资产资本表!BX70</f>
        <v>4.7099968514910759E-2</v>
      </c>
      <c r="BY8" s="63">
        <f>股权价值增加表!BY31/资产资本表!BY70</f>
        <v>0.1131336234445554</v>
      </c>
      <c r="BZ8" s="63">
        <f>股权价值增加表!BZ31/资产资本表!BZ70</f>
        <v>1.0042822979075341</v>
      </c>
      <c r="CA8" s="63">
        <f>股权价值增加表!CA31/资产资本表!CA70</f>
        <v>0.24149841252224896</v>
      </c>
      <c r="CB8" s="63">
        <f>股权价值增加表!CB31/资产资本表!CB70</f>
        <v>0.3121298673801261</v>
      </c>
      <c r="CC8" s="63">
        <f>股权价值增加表!CC31/资产资本表!CC70</f>
        <v>0.11639523951071865</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432</v>
      </c>
      <c r="E9" s="157">
        <f>股权价值增加表!E38/股权价值增加表!E31</f>
        <v>0.86097025385443604</v>
      </c>
      <c r="F9" s="157">
        <f>股权价值增加表!F38/股权价值增加表!F31</f>
        <v>0.91307613580623759</v>
      </c>
      <c r="G9" s="157">
        <f>股权价值增加表!G38/股权价值增加表!G31</f>
        <v>0.94326219671409739</v>
      </c>
      <c r="H9" s="157">
        <f>股权价值增加表!H38/股权价值增加表!H31</f>
        <v>0.95125707445977048</v>
      </c>
      <c r="I9" s="157">
        <f>股权价值增加表!I38/股权价值增加表!I31</f>
        <v>0.93496360417779656</v>
      </c>
      <c r="J9" s="157">
        <f>股权价值增加表!J38/股权价值增加表!J31</f>
        <v>0.97206238685335156</v>
      </c>
      <c r="K9" s="157">
        <f>股权价值增加表!K38/股权价值增加表!K31</f>
        <v>0.97157996361797128</v>
      </c>
      <c r="L9" s="157">
        <f>股权价值增加表!L38/股权价值增加表!L31</f>
        <v>0.93981726450626957</v>
      </c>
      <c r="M9" s="157">
        <f>股权价值增加表!M38/股权价值增加表!M31</f>
        <v>1.0105339005404421</v>
      </c>
      <c r="N9" s="157">
        <f>股权价值增加表!N38/股权价值增加表!N31</f>
        <v>1.0684439699738371</v>
      </c>
      <c r="O9" s="157">
        <f>股权价值增加表!O38/股权价值增加表!O31</f>
        <v>1.1157771426291485</v>
      </c>
      <c r="P9" s="157">
        <f>股权价值增加表!P38/股权价值增加表!P31</f>
        <v>1.1492349942923579</v>
      </c>
      <c r="Q9" s="157">
        <f>股权价值增加表!Q38/股权价值增加表!Q31</f>
        <v>0.97880408300933841</v>
      </c>
      <c r="R9" s="157">
        <f>股权价值增加表!R38/股权价值增加表!R31</f>
        <v>1.0311827074561823</v>
      </c>
      <c r="S9" s="157">
        <f>股权价值增加表!S38/股权价值增加表!S31</f>
        <v>1.0426103676194154</v>
      </c>
      <c r="T9" s="157">
        <f>股权价值增加表!T38/股权价值增加表!T31</f>
        <v>1.0829116438845443</v>
      </c>
      <c r="U9" s="157">
        <f>股权价值增加表!U38/股权价值增加表!U31</f>
        <v>0.96044745829598488</v>
      </c>
      <c r="V9" s="157">
        <f>股权价值增加表!V38/股权价值增加表!V31</f>
        <v>1.0075993038743365</v>
      </c>
      <c r="W9" s="157">
        <f>股权价值增加表!W38/股权价值增加表!W31</f>
        <v>0.99675494394746278</v>
      </c>
      <c r="X9" s="157">
        <f>股权价值增加表!X38/股权价值增加表!X31</f>
        <v>1.048584134200071</v>
      </c>
      <c r="Y9" s="157">
        <f>股权价值增加表!Y38/股权价值增加表!Y31</f>
        <v>0.99217806640508432</v>
      </c>
      <c r="Z9" s="157">
        <f>股权价值增加表!Z38/股权价值增加表!Z31</f>
        <v>1.0341963619893557</v>
      </c>
      <c r="AA9" s="157">
        <f>股权价值增加表!AA38/股权价值增加表!AA31</f>
        <v>1.0338830930991916</v>
      </c>
      <c r="AB9" s="157">
        <f>股权价值增加表!AB38/股权价值增加表!AB31</f>
        <v>1.0446147151266079</v>
      </c>
      <c r="AC9" s="157">
        <f>股权价值增加表!AC38/股权价值增加表!AC31</f>
        <v>0.98052867787383124</v>
      </c>
      <c r="AD9" s="157">
        <f>股权价值增加表!AD38/股权价值增加表!AD31</f>
        <v>1.0106257613485679</v>
      </c>
      <c r="AE9" s="157">
        <f>股权价值增加表!AE38/股权价值增加表!AE31</f>
        <v>1.0089347524465366</v>
      </c>
      <c r="AF9" s="157">
        <f>股权价值增加表!AF38/股权价值增加表!AF31</f>
        <v>1.0097980954427423</v>
      </c>
      <c r="AG9" s="157">
        <f>股权价值增加表!AG38/股权价值增加表!AG31</f>
        <v>0.96933692956052153</v>
      </c>
      <c r="AH9" s="157">
        <f>股权价值增加表!AH38/股权价值增加表!AH31</f>
        <v>0.97969926268923158</v>
      </c>
      <c r="AI9" s="157">
        <f>股权价值增加表!AI38/股权价值增加表!AI31</f>
        <v>0.9638182109641541</v>
      </c>
      <c r="AJ9" s="157">
        <f>股权价值增加表!AJ38/股权价值增加表!AJ31</f>
        <v>0.95559094182010507</v>
      </c>
      <c r="AK9" s="157">
        <f>股权价值增加表!AK38/股权价值增加表!AK31</f>
        <v>0.99052492286543181</v>
      </c>
      <c r="AL9" s="157">
        <f>股权价值增加表!AL38/股权价值增加表!AL31</f>
        <v>0.98608666201561113</v>
      </c>
      <c r="AM9" s="157">
        <f>股权价值增加表!AM38/股权价值增加表!AM31</f>
        <v>0.99091915991395652</v>
      </c>
      <c r="AN9" s="157">
        <f>股权价值增加表!AN38/股权价值增加表!AN31</f>
        <v>0.96915188261941487</v>
      </c>
      <c r="AO9" s="157">
        <f>股权价值增加表!AO38/股权价值增加表!AO31</f>
        <v>0.96817954432861186</v>
      </c>
      <c r="AP9" s="157">
        <f>股权价值增加表!AP38/股权价值增加表!AP31</f>
        <v>0.98357240696869341</v>
      </c>
      <c r="AQ9" s="157">
        <f>股权价值增加表!AQ38/股权价值增加表!AQ31</f>
        <v>0.98131876767804094</v>
      </c>
      <c r="AR9" s="157">
        <f>股权价值增加表!AR38/股权价值增加表!AR31</f>
        <v>0.98048387808320103</v>
      </c>
      <c r="AS9" s="157">
        <f>股权价值增加表!AS38/股权价值增加表!AS31</f>
        <v>0.97074167694350388</v>
      </c>
      <c r="AT9" s="157">
        <f>股权价值增加表!AT38/股权价值增加表!AT31</f>
        <v>0.9465673763892164</v>
      </c>
      <c r="AU9" s="157">
        <f>股权价值增加表!AU38/股权价值增加表!AU31</f>
        <v>0.96450053777205036</v>
      </c>
      <c r="AV9" s="157">
        <f>股权价值增加表!AV38/股权价值增加表!AV31</f>
        <v>1.0063630079868484</v>
      </c>
      <c r="AW9" s="157">
        <f>股权价值增加表!AW38/股权价值增加表!AW31</f>
        <v>1.0363768433683052</v>
      </c>
      <c r="AX9" s="157">
        <f>股权价值增加表!AX38/股权价值增加表!AX31</f>
        <v>1.0452035101740162</v>
      </c>
      <c r="AY9" s="157">
        <f>股权价值增加表!AY38/股权价值增加表!AY31</f>
        <v>1.0304147623990976</v>
      </c>
      <c r="AZ9" s="157">
        <f>股权价值增加表!AZ38/股权价值增加表!AZ31</f>
        <v>0.99038193657377094</v>
      </c>
      <c r="BA9" s="157">
        <f>股权价值增加表!BA38/股权价值增加表!BA31</f>
        <v>1.0190050310356888</v>
      </c>
      <c r="BB9" s="157">
        <f>股权价值增加表!BB38/股权价值增加表!BB31</f>
        <v>1.018774575533048</v>
      </c>
      <c r="BC9" s="157">
        <f>股权价值增加表!BC38/股权价值增加表!BC31</f>
        <v>1.0329303486920696</v>
      </c>
      <c r="BD9" s="157">
        <f>股权价值增加表!BD38/股权价值增加表!BD31</f>
        <v>1.0594218242376474</v>
      </c>
      <c r="BE9" s="157">
        <f>股权价值增加表!BE38/股权价值增加表!BE31</f>
        <v>0.97270228058158215</v>
      </c>
      <c r="BF9" s="157">
        <f>股权价值增加表!BF38/股权价值增加表!BF31</f>
        <v>0.94853159099917761</v>
      </c>
      <c r="BG9" s="157">
        <f>股权价值增加表!BG38/股权价值增加表!BG31</f>
        <v>0.91044271982053548</v>
      </c>
      <c r="BH9" s="157">
        <f>股权价值增加表!BH38/股权价值增加表!BH31</f>
        <v>0.90299690296668822</v>
      </c>
      <c r="BI9" s="157">
        <f>股权价值增加表!BI38/股权价值增加表!BI31</f>
        <v>0.99550296490046442</v>
      </c>
      <c r="BJ9" s="157">
        <f>股权价值增加表!BJ38/股权价值增加表!BJ31</f>
        <v>0.99250709466622955</v>
      </c>
      <c r="BK9" s="157">
        <f>股权价值增加表!BK38/股权价值增加表!BK31</f>
        <v>0.99495175666643931</v>
      </c>
      <c r="BL9" s="157">
        <f>股权价值增加表!BL38/股权价值增加表!BL31</f>
        <v>1.0094983571510494</v>
      </c>
      <c r="BM9" s="157">
        <f>股权价值增加表!BM38/股权价值增加表!BM31</f>
        <v>0.9827960328619626</v>
      </c>
      <c r="BN9" s="157">
        <f>股权价值增加表!BN38/股权价值增加表!BN31</f>
        <v>0.97220725144543474</v>
      </c>
      <c r="BO9" s="157">
        <f>股权价值增加表!BO38/股权价值增加表!BO31</f>
        <v>0.96506541001972446</v>
      </c>
      <c r="BP9" s="157">
        <f>股权价值增加表!BP38/股权价值增加表!BP31</f>
        <v>0.94436071181034364</v>
      </c>
      <c r="BQ9" s="157">
        <f>股权价值增加表!BQ38/股权价值增加表!BQ31</f>
        <v>0.97119545043021704</v>
      </c>
      <c r="BR9" s="157">
        <f>股权价值增加表!BR38/股权价值增加表!BR31</f>
        <v>0.92771504080782985</v>
      </c>
      <c r="BS9" s="157">
        <f>股权价值增加表!BS38/股权价值增加表!BS31</f>
        <v>0.92055641121711662</v>
      </c>
      <c r="BT9" s="157">
        <f>股权价值增加表!BT38/股权价值增加表!BT31</f>
        <v>0.83864962914668673</v>
      </c>
      <c r="BU9" s="157">
        <f>股权价值增加表!BU38/股权价值增加表!BU31</f>
        <v>0.90391068099663618</v>
      </c>
      <c r="BV9" s="157">
        <f>股权价值增加表!BV38/股权价值增加表!BV31</f>
        <v>0.83026456410524729</v>
      </c>
      <c r="BW9" s="157">
        <f>股权价值增加表!BW38/股权价值增加表!BW31</f>
        <v>0.88484053722493583</v>
      </c>
      <c r="BX9" s="157">
        <f>股权价值增加表!BX38/股权价值增加表!BX31</f>
        <v>0.86196236670904425</v>
      </c>
      <c r="BY9" s="157">
        <f>股权价值增加表!BY38/股权价值增加表!BY31</f>
        <v>0.84103966403935027</v>
      </c>
      <c r="BZ9" s="157">
        <f>股权价值增加表!BZ38/股权价值增加表!BZ31</f>
        <v>1</v>
      </c>
      <c r="CA9" s="157">
        <f>股权价值增加表!CA38/股权价值增加表!CA31</f>
        <v>0.76609134822344127</v>
      </c>
      <c r="CB9" s="157">
        <f>股权价值增加表!CB38/股权价值增加表!CB31</f>
        <v>0.7608585838900539</v>
      </c>
      <c r="CC9" s="157">
        <f>股权价值增加表!CC38/股权价值增加表!CC31</f>
        <v>0.43654055587563079</v>
      </c>
      <c r="CD9" s="157" t="e">
        <f>股权价值增加表!CD38/股权价值增加表!CD31</f>
        <v>#DIV/0!</v>
      </c>
      <c r="CE9" s="157">
        <f>股权价值增加表!CE38/股权价值增加表!CE31</f>
        <v>1</v>
      </c>
      <c r="CF9" s="157">
        <f>股权价值增加表!CF38/股权价值增加表!CF31</f>
        <v>1</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433</v>
      </c>
      <c r="E10" s="61">
        <f>资产资本表!E70/资产资本表!E107</f>
        <v>1.1530615668458877</v>
      </c>
      <c r="F10" s="61">
        <f>资产资本表!F70/资产资本表!F107</f>
        <v>1.2672492029625539</v>
      </c>
      <c r="G10" s="61">
        <f>资产资本表!G70/资产资本表!G107</f>
        <v>1.3798659960329083</v>
      </c>
      <c r="H10" s="61">
        <f>资产资本表!H70/资产资本表!H107</f>
        <v>1.0831410230730041</v>
      </c>
      <c r="I10" s="61">
        <f>资产资本表!I70/资产资本表!I107</f>
        <v>1.0902589665266909</v>
      </c>
      <c r="J10" s="61">
        <f>资产资本表!J70/资产资本表!J107</f>
        <v>1.0547712565605836</v>
      </c>
      <c r="K10" s="61">
        <f>资产资本表!K70/资产资本表!K107</f>
        <v>1.0542468982135293</v>
      </c>
      <c r="L10" s="61">
        <f>资产资本表!L70/资产资本表!L107</f>
        <v>1.0376022205668662</v>
      </c>
      <c r="M10" s="61">
        <f>资产资本表!M70/资产资本表!M107</f>
        <v>1.038831458516899</v>
      </c>
      <c r="N10" s="61">
        <f>资产资本表!N70/资产资本表!N107</f>
        <v>1.0297384696652134</v>
      </c>
      <c r="O10" s="61">
        <f>资产资本表!O70/资产资本表!O107</f>
        <v>1.0292074627578174</v>
      </c>
      <c r="P10" s="61">
        <f>资产资本表!P70/资产资本表!P107</f>
        <v>1.0274956424208657</v>
      </c>
      <c r="Q10" s="61">
        <f>资产资本表!Q70/资产资本表!Q107</f>
        <v>1.0310797196920896</v>
      </c>
      <c r="R10" s="61">
        <f>资产资本表!R70/资产资本表!R107</f>
        <v>1.0442806311517965</v>
      </c>
      <c r="S10" s="61">
        <f>资产资本表!S70/资产资本表!S107</f>
        <v>1.0510012599574035</v>
      </c>
      <c r="T10" s="61">
        <f>资产资本表!T70/资产资本表!T107</f>
        <v>1.0664035005175783</v>
      </c>
      <c r="U10" s="61">
        <f>资产资本表!U70/资产资本表!U107</f>
        <v>1.0731816940133549</v>
      </c>
      <c r="V10" s="61">
        <f>资产资本表!V70/资产资本表!V107</f>
        <v>1.0976554624344586</v>
      </c>
      <c r="W10" s="61">
        <f>资产资本表!W70/资产资本表!W107</f>
        <v>1.1348426942352732</v>
      </c>
      <c r="X10" s="61">
        <f>资产资本表!X70/资产资本表!X107</f>
        <v>1.1046734814685117</v>
      </c>
      <c r="Y10" s="61">
        <f>资产资本表!Y70/资产资本表!Y107</f>
        <v>1.1174266582180408</v>
      </c>
      <c r="Z10" s="61">
        <f>资产资本表!Z70/资产资本表!Z107</f>
        <v>1.0903457886077279</v>
      </c>
      <c r="AA10" s="61">
        <f>资产资本表!AA70/资产资本表!AA107</f>
        <v>1.1037066529175763</v>
      </c>
      <c r="AB10" s="61">
        <f>资产资本表!AB70/资产资本表!AB107</f>
        <v>1.093385265452739</v>
      </c>
      <c r="AC10" s="61">
        <f>资产资本表!AC70/资产资本表!AC107</f>
        <v>1.1078058453241928</v>
      </c>
      <c r="AD10" s="61">
        <f>资产资本表!AD70/资产资本表!AD107</f>
        <v>1.1050337453169143</v>
      </c>
      <c r="AE10" s="61">
        <f>资产资本表!AE70/资产资本表!AE107</f>
        <v>1.1206360926403784</v>
      </c>
      <c r="AF10" s="61">
        <f>资产资本表!AF70/资产资本表!AF107</f>
        <v>1.1036506559750725</v>
      </c>
      <c r="AG10" s="61">
        <f>资产资本表!AG70/资产资本表!AG107</f>
        <v>1.1084215303793157</v>
      </c>
      <c r="AH10" s="61">
        <f>资产资本表!AH70/资产资本表!AH107</f>
        <v>1.123418482220887</v>
      </c>
      <c r="AI10" s="61">
        <f>资产资本表!AI70/资产资本表!AI107</f>
        <v>1.1202446477882297</v>
      </c>
      <c r="AJ10" s="61">
        <f>资产资本表!AJ70/资产资本表!AJ107</f>
        <v>1.0995475961385892</v>
      </c>
      <c r="AK10" s="61">
        <f>资产资本表!AK70/资产资本表!AK107</f>
        <v>1.1066943961342448</v>
      </c>
      <c r="AL10" s="61">
        <f>资产资本表!AL70/资产资本表!AL107</f>
        <v>1.2262927687743439</v>
      </c>
      <c r="AM10" s="61">
        <f>资产资本表!AM70/资产资本表!AM107</f>
        <v>1.2411419069367573</v>
      </c>
      <c r="AN10" s="61">
        <f>资产资本表!AN70/资产资本表!AN107</f>
        <v>1.1763245871504402</v>
      </c>
      <c r="AO10" s="61">
        <f>资产资本表!AO70/资产资本表!AO107</f>
        <v>1.0762028013184539</v>
      </c>
      <c r="AP10" s="61">
        <f>资产资本表!AP70/资产资本表!AP107</f>
        <v>1.0788423056354204</v>
      </c>
      <c r="AQ10" s="61">
        <f>资产资本表!AQ70/资产资本表!AQ107</f>
        <v>1.0496959373586501</v>
      </c>
      <c r="AR10" s="61">
        <f>资产资本表!AR70/资产资本表!AR107</f>
        <v>1.514036735783959</v>
      </c>
      <c r="AS10" s="61">
        <f>资产资本表!AS70/资产资本表!AS107</f>
        <v>1.341714263352674</v>
      </c>
      <c r="AT10" s="61">
        <f>资产资本表!AT70/资产资本表!AT107</f>
        <v>1.5716699154639164</v>
      </c>
      <c r="AU10" s="61">
        <f>资产资本表!AU70/资产资本表!AU107</f>
        <v>1.3069235015021565</v>
      </c>
      <c r="AV10" s="61">
        <f>资产资本表!AV70/资产资本表!AV107</f>
        <v>1.3461442862756807</v>
      </c>
      <c r="AW10" s="61">
        <f>资产资本表!AW70/资产资本表!AW107</f>
        <v>1.005073655637446</v>
      </c>
      <c r="AX10" s="61">
        <f>资产资本表!AX70/资产资本表!AX107</f>
        <v>1.0083731095517279</v>
      </c>
      <c r="AY10" s="61">
        <f>资产资本表!AY70/资产资本表!AY107</f>
        <v>1.0071715978460452</v>
      </c>
      <c r="AZ10" s="61">
        <f>资产资本表!AZ70/资产资本表!AZ107</f>
        <v>1.0042462077444561</v>
      </c>
      <c r="BA10" s="61">
        <f>资产资本表!BA70/资产资本表!BA107</f>
        <v>1.0050345748677254</v>
      </c>
      <c r="BB10" s="61">
        <f>资产资本表!BB70/资产资本表!BB107</f>
        <v>1.0220239048310602</v>
      </c>
      <c r="BC10" s="61">
        <f>资产资本表!BC70/资产资本表!BC107</f>
        <v>1.0062547591504498</v>
      </c>
      <c r="BD10" s="61">
        <f>资产资本表!BD70/资产资本表!BD107</f>
        <v>1.0884892859504403</v>
      </c>
      <c r="BE10" s="61">
        <f>资产资本表!BE70/资产资本表!BE107</f>
        <v>1.0423511868256687</v>
      </c>
      <c r="BF10" s="61">
        <f>资产资本表!BF70/资产资本表!BF107</f>
        <v>1.0902652464324434</v>
      </c>
      <c r="BG10" s="61">
        <f>资产资本表!BG70/资产资本表!BG107</f>
        <v>1.1282012024020887</v>
      </c>
      <c r="BH10" s="61">
        <f>资产资本表!BH70/资产资本表!BH107</f>
        <v>1.1178247911473236</v>
      </c>
      <c r="BI10" s="61">
        <f>资产资本表!BI70/资产资本表!BI107</f>
        <v>1.1796494496546259</v>
      </c>
      <c r="BJ10" s="61">
        <f>资产资本表!BJ70/资产资本表!BJ107</f>
        <v>1.1138703249065787</v>
      </c>
      <c r="BK10" s="61">
        <f>资产资本表!BK70/资产资本表!BK107</f>
        <v>1.0893037603280655</v>
      </c>
      <c r="BL10" s="61">
        <f>资产资本表!BL70/资产资本表!BL107</f>
        <v>1.0890783788649863</v>
      </c>
      <c r="BM10" s="61">
        <f>资产资本表!BM70/资产资本表!BM107</f>
        <v>1.0286862555112786</v>
      </c>
      <c r="BN10" s="61">
        <f>资产资本表!BN70/资产资本表!BN107</f>
        <v>1.1448088691673222</v>
      </c>
      <c r="BO10" s="61">
        <f>资产资本表!BO70/资产资本表!BO107</f>
        <v>1.1448670244247929</v>
      </c>
      <c r="BP10" s="61">
        <f>资产资本表!BP70/资产资本表!BP107</f>
        <v>1.2293525352992096</v>
      </c>
      <c r="BQ10" s="61">
        <f>资产资本表!BQ70/资产资本表!BQ107</f>
        <v>1.2216967830047716</v>
      </c>
      <c r="BR10" s="61">
        <f>资产资本表!BR70/资产资本表!BR107</f>
        <v>1.2286128212847716</v>
      </c>
      <c r="BS10" s="61">
        <f>资产资本表!BS70/资产资本表!BS107</f>
        <v>1.2231458768133174</v>
      </c>
      <c r="BT10" s="61">
        <f>资产资本表!BT70/资产资本表!BT107</f>
        <v>1.1468597196586841</v>
      </c>
      <c r="BU10" s="61">
        <f>资产资本表!BU70/资产资本表!BU107</f>
        <v>1.0941881666864386</v>
      </c>
      <c r="BV10" s="61">
        <f>资产资本表!BV70/资产资本表!BV107</f>
        <v>1.2634412702575974</v>
      </c>
      <c r="BW10" s="61">
        <f>资产资本表!BW70/资产资本表!BW107</f>
        <v>1.2551121218597567</v>
      </c>
      <c r="BX10" s="61">
        <f>资产资本表!BX70/资产资本表!BX107</f>
        <v>1.3332564571260213</v>
      </c>
      <c r="BY10" s="61">
        <f>资产资本表!BY70/资产资本表!BY107</f>
        <v>1.2836452564879739</v>
      </c>
      <c r="BZ10" s="61">
        <f>资产资本表!BZ70/资产资本表!BZ107</f>
        <v>0.36990656718379128</v>
      </c>
      <c r="CA10" s="61">
        <f>资产资本表!CA70/资产资本表!CA107</f>
        <v>2.0989643144053023</v>
      </c>
      <c r="CB10" s="61">
        <f>资产资本表!CB70/资产资本表!CB107</f>
        <v>3.1227113021241966</v>
      </c>
      <c r="CC10" s="61">
        <f>资产资本表!CC70/资产资本表!CC107</f>
        <v>5.0749961102311172</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0.99275170991709771</v>
      </c>
      <c r="F11" s="28">
        <f t="shared" ref="F11:BQ11" si="2">F9*F10</f>
        <v>1.1570950053445832</v>
      </c>
      <c r="G11" s="28">
        <f t="shared" si="2"/>
        <v>1.301575430589087</v>
      </c>
      <c r="H11" s="28">
        <f t="shared" si="2"/>
        <v>1.0303455608357885</v>
      </c>
      <c r="I11" s="28">
        <f t="shared" si="2"/>
        <v>1.0193524528309545</v>
      </c>
      <c r="J11" s="28">
        <f t="shared" si="2"/>
        <v>1.0253034652365898</v>
      </c>
      <c r="K11" s="28">
        <f t="shared" si="2"/>
        <v>1.02428516301066</v>
      </c>
      <c r="L11" s="28">
        <f t="shared" si="2"/>
        <v>0.97515648057878324</v>
      </c>
      <c r="M11" s="28">
        <f t="shared" si="2"/>
        <v>1.0497744057791984</v>
      </c>
      <c r="N11" s="28">
        <f t="shared" si="2"/>
        <v>1.1002178585638842</v>
      </c>
      <c r="O11" s="28">
        <f t="shared" si="2"/>
        <v>1.1483661619685133</v>
      </c>
      <c r="P11" s="28">
        <f t="shared" si="2"/>
        <v>1.1808339487529662</v>
      </c>
      <c r="Q11" s="28">
        <f t="shared" si="2"/>
        <v>1.0092250395427413</v>
      </c>
      <c r="R11" s="28">
        <f t="shared" si="2"/>
        <v>1.0768441285751604</v>
      </c>
      <c r="S11" s="28">
        <f t="shared" si="2"/>
        <v>1.0957848100126573</v>
      </c>
      <c r="T11" s="28">
        <f t="shared" si="2"/>
        <v>1.1548207677897231</v>
      </c>
      <c r="U11" s="28">
        <f t="shared" si="2"/>
        <v>1.0307346303049061</v>
      </c>
      <c r="V11" s="28">
        <f t="shared" si="2"/>
        <v>1.1059968798428232</v>
      </c>
      <c r="W11" s="28">
        <f t="shared" si="2"/>
        <v>1.1311600660816674</v>
      </c>
      <c r="X11" s="28">
        <f t="shared" si="2"/>
        <v>1.1583430861394375</v>
      </c>
      <c r="Y11" s="28">
        <f t="shared" si="2"/>
        <v>1.1086862211002708</v>
      </c>
      <c r="Z11" s="28">
        <f t="shared" si="2"/>
        <v>1.1276316478885273</v>
      </c>
      <c r="AA11" s="28">
        <f t="shared" si="2"/>
        <v>1.1411036481925796</v>
      </c>
      <c r="AB11" s="28">
        <f t="shared" si="2"/>
        <v>1.1421663375945434</v>
      </c>
      <c r="AC11" s="28">
        <f t="shared" si="2"/>
        <v>1.0862354008566328</v>
      </c>
      <c r="AD11" s="28">
        <f t="shared" si="2"/>
        <v>1.1167755701767659</v>
      </c>
      <c r="AE11" s="28">
        <f t="shared" si="2"/>
        <v>1.1306486987107742</v>
      </c>
      <c r="AF11" s="28">
        <f t="shared" si="2"/>
        <v>1.1144643304377615</v>
      </c>
      <c r="AG11" s="28">
        <f t="shared" si="2"/>
        <v>1.0744339229166602</v>
      </c>
      <c r="AH11" s="28">
        <f t="shared" si="2"/>
        <v>1.1006122587232587</v>
      </c>
      <c r="AI11" s="28">
        <f t="shared" si="2"/>
        <v>1.0797121922734205</v>
      </c>
      <c r="AJ11" s="28">
        <f t="shared" si="2"/>
        <v>1.050717722970107</v>
      </c>
      <c r="AK11" s="28">
        <f t="shared" si="2"/>
        <v>1.0962083813664785</v>
      </c>
      <c r="AL11" s="28">
        <f t="shared" si="2"/>
        <v>1.2092309430145745</v>
      </c>
      <c r="AM11" s="28">
        <f t="shared" si="2"/>
        <v>1.2298712957557776</v>
      </c>
      <c r="AN11" s="28">
        <f t="shared" si="2"/>
        <v>1.1400371882083551</v>
      </c>
      <c r="AO11" s="28">
        <f t="shared" si="2"/>
        <v>1.0419575377856762</v>
      </c>
      <c r="AP11" s="28">
        <f t="shared" si="2"/>
        <v>1.0611195232934851</v>
      </c>
      <c r="AQ11" s="28">
        <f t="shared" si="2"/>
        <v>1.0300863236854365</v>
      </c>
      <c r="AR11" s="28">
        <f t="shared" si="2"/>
        <v>1.4844886102618868</v>
      </c>
      <c r="AS11" s="28">
        <f t="shared" si="2"/>
        <v>1.3024579539859926</v>
      </c>
      <c r="AT11" s="28">
        <f t="shared" si="2"/>
        <v>1.4876914684305409</v>
      </c>
      <c r="AU11" s="28">
        <f t="shared" si="2"/>
        <v>1.2605284200257609</v>
      </c>
      <c r="AV11" s="28">
        <f t="shared" si="2"/>
        <v>1.3547098131207032</v>
      </c>
      <c r="AW11" s="28">
        <f t="shared" si="2"/>
        <v>1.0416350625821793</v>
      </c>
      <c r="AX11" s="28">
        <f t="shared" si="2"/>
        <v>1.0539551136685539</v>
      </c>
      <c r="AY11" s="28">
        <f t="shared" si="2"/>
        <v>1.037804482689652</v>
      </c>
      <c r="AZ11" s="28">
        <f t="shared" si="2"/>
        <v>0.99458730402281992</v>
      </c>
      <c r="BA11" s="28">
        <f t="shared" si="2"/>
        <v>1.024135288155027</v>
      </c>
      <c r="BB11" s="28">
        <f t="shared" si="2"/>
        <v>1.0412119698288915</v>
      </c>
      <c r="BC11" s="28">
        <f t="shared" si="2"/>
        <v>1.0393910792423287</v>
      </c>
      <c r="BD11" s="28">
        <f t="shared" si="2"/>
        <v>1.1531693049847496</v>
      </c>
      <c r="BE11" s="28">
        <f t="shared" si="2"/>
        <v>1.0138973765922468</v>
      </c>
      <c r="BF11" s="28">
        <f t="shared" si="2"/>
        <v>1.034151028809676</v>
      </c>
      <c r="BG11" s="28">
        <f t="shared" si="2"/>
        <v>1.0271625712197561</v>
      </c>
      <c r="BH11" s="28">
        <f t="shared" si="2"/>
        <v>1.0093923244654184</v>
      </c>
      <c r="BI11" s="28">
        <f t="shared" si="2"/>
        <v>1.1743445246743813</v>
      </c>
      <c r="BJ11" s="28">
        <f t="shared" si="2"/>
        <v>1.1055242000079575</v>
      </c>
      <c r="BK11" s="28">
        <f t="shared" si="2"/>
        <v>1.0838046898817668</v>
      </c>
      <c r="BL11" s="28">
        <f t="shared" si="2"/>
        <v>1.0994228342729317</v>
      </c>
      <c r="BM11" s="28">
        <f t="shared" si="2"/>
        <v>1.0109887709761118</v>
      </c>
      <c r="BN11" s="28">
        <f t="shared" si="2"/>
        <v>1.1129914841235187</v>
      </c>
      <c r="BO11" s="28">
        <f t="shared" si="2"/>
        <v>1.1048715643445748</v>
      </c>
      <c r="BP11" s="28">
        <f t="shared" si="2"/>
        <v>1.1609522353010122</v>
      </c>
      <c r="BQ11" s="28">
        <f t="shared" si="2"/>
        <v>1.1865063574594663</v>
      </c>
      <c r="BR11" s="28">
        <f t="shared" ref="BR11:CJ11" si="3">BR9*BR10</f>
        <v>1.1398025936352247</v>
      </c>
      <c r="BS11" s="28">
        <f t="shared" si="3"/>
        <v>1.1259747787542809</v>
      </c>
      <c r="BT11" s="28">
        <f t="shared" si="3"/>
        <v>0.96181347857502852</v>
      </c>
      <c r="BU11" s="28">
        <f t="shared" si="3"/>
        <v>0.98904837088799957</v>
      </c>
      <c r="BV11" s="28">
        <f t="shared" si="3"/>
        <v>1.0489905155230042</v>
      </c>
      <c r="BW11" s="28">
        <f t="shared" si="3"/>
        <v>1.1105740841839162</v>
      </c>
      <c r="BX11" s="28">
        <f t="shared" si="3"/>
        <v>1.1492168912144607</v>
      </c>
      <c r="BY11" s="28">
        <f t="shared" si="3"/>
        <v>1.0795965752623511</v>
      </c>
      <c r="BZ11" s="28">
        <f t="shared" si="3"/>
        <v>0.36990656718379128</v>
      </c>
      <c r="CA11" s="28">
        <f t="shared" si="3"/>
        <v>1.6079984014956492</v>
      </c>
      <c r="CB11" s="28">
        <f t="shared" si="3"/>
        <v>2.3759416992316824</v>
      </c>
      <c r="CC11" s="28">
        <f t="shared" si="3"/>
        <v>2.215441623026956</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7" customFormat="1" x14ac:dyDescent="0.25">
      <c r="A12" s="157" t="s">
        <v>434</v>
      </c>
      <c r="E12" s="157">
        <f>E2/股权价值增加表!E38</f>
        <v>0.8571441311038176</v>
      </c>
      <c r="F12" s="157">
        <f>F2/股权价值增加表!F38</f>
        <v>0.86777083970340418</v>
      </c>
      <c r="G12" s="157">
        <f>G2/股权价值增加表!G38</f>
        <v>0.87367879083745748</v>
      </c>
      <c r="H12" s="157">
        <f>H2/股权价值增加表!H38</f>
        <v>0.79979394815696281</v>
      </c>
      <c r="I12" s="157">
        <f>I2/股权价值增加表!I38</f>
        <v>0.85390061201574197</v>
      </c>
      <c r="J12" s="157">
        <f>J2/股权价值增加表!J38</f>
        <v>0.86951838184965602</v>
      </c>
      <c r="K12" s="157">
        <f>K2/股权价值增加表!K38</f>
        <v>0.86969164322587811</v>
      </c>
      <c r="L12" s="157">
        <f>L2/股权价值增加表!L38</f>
        <v>0.86661856363581291</v>
      </c>
      <c r="M12" s="157">
        <f>M2/股权价值增加表!M38</f>
        <v>0.87836550663073532</v>
      </c>
      <c r="N12" s="157">
        <f>N2/股权价值增加表!N38</f>
        <v>0.87869573921497279</v>
      </c>
      <c r="O12" s="157">
        <f>O2/股权价值增加表!O38</f>
        <v>0.88681522247773548</v>
      </c>
      <c r="P12" s="157">
        <f>P2/股权价值增加表!P38</f>
        <v>0.86982968337212874</v>
      </c>
      <c r="Q12" s="157">
        <f>Q2/股权价值增加表!Q38</f>
        <v>0.8695644286270916</v>
      </c>
      <c r="R12" s="157">
        <f>R2/股权价值增加表!R38</f>
        <v>0.87827640388784511</v>
      </c>
      <c r="S12" s="157">
        <f>S2/股权价值增加表!S38</f>
        <v>0.87865516446752223</v>
      </c>
      <c r="T12" s="157">
        <f>T2/股权价值增加表!T38</f>
        <v>0.88377158932938704</v>
      </c>
      <c r="U12" s="157">
        <f>U2/股权价值增加表!U38</f>
        <v>0.87087115321652309</v>
      </c>
      <c r="V12" s="157">
        <f>V2/股权价值增加表!V38</f>
        <v>0.87896241695179422</v>
      </c>
      <c r="W12" s="157">
        <f>W2/股权价值增加表!W38</f>
        <v>0.87794130438071571</v>
      </c>
      <c r="X12" s="157">
        <f>X2/股权价值增加表!X38</f>
        <v>0.8799361116073231</v>
      </c>
      <c r="Y12" s="157">
        <f>Y2/股权价值增加表!Y38</f>
        <v>0.8782599200317085</v>
      </c>
      <c r="Z12" s="157">
        <f>Z2/股权价值增加表!Z38</f>
        <v>0.87806228169351197</v>
      </c>
      <c r="AA12" s="157">
        <f>AA2/股权价值增加表!AA38</f>
        <v>0.87955664137818457</v>
      </c>
      <c r="AB12" s="157">
        <f>AB2/股权价值增加表!AB38</f>
        <v>0.87122117391426857</v>
      </c>
      <c r="AC12" s="157">
        <f>AC2/股权价值增加表!AC38</f>
        <v>0.85498580252284606</v>
      </c>
      <c r="AD12" s="157">
        <f>AD2/股权价值增加表!AD38</f>
        <v>0.84530132496258237</v>
      </c>
      <c r="AE12" s="157">
        <f>AE2/股权价值增加表!AE38</f>
        <v>0.86174843830548997</v>
      </c>
      <c r="AF12" s="157">
        <f>AF2/股权价值增加表!AF38</f>
        <v>0.85023016769445603</v>
      </c>
      <c r="AG12" s="157">
        <f>AG2/股权价值增加表!AG38</f>
        <v>0.87410892388819605</v>
      </c>
      <c r="AH12" s="157">
        <f>AH2/股权价值增加表!AH38</f>
        <v>0.85373463930131188</v>
      </c>
      <c r="AI12" s="157">
        <f>AI2/股权价值增加表!AI38</f>
        <v>0.83848290121833602</v>
      </c>
      <c r="AJ12" s="157">
        <f>AJ2/股权价值增加表!AJ38</f>
        <v>0.88983187938035635</v>
      </c>
      <c r="AK12" s="157">
        <f>AK2/股权价值增加表!AK38</f>
        <v>0.9031126583295227</v>
      </c>
      <c r="AL12" s="157">
        <f>AL2/股权价值增加表!AL38</f>
        <v>0.8645653688462086</v>
      </c>
      <c r="AM12" s="157">
        <f>AM2/股权价值增加表!AM38</f>
        <v>0.8683398971077263</v>
      </c>
      <c r="AN12" s="157">
        <f>AN2/股权价值增加表!AN38</f>
        <v>0.88000013228105478</v>
      </c>
      <c r="AO12" s="157">
        <f>AO2/股权价值增加表!AO38</f>
        <v>0.83213311440731075</v>
      </c>
      <c r="AP12" s="157">
        <f>AP2/股权价值增加表!AP38</f>
        <v>0.80995946623238402</v>
      </c>
      <c r="AQ12" s="157">
        <f>AQ2/股权价值增加表!AQ38</f>
        <v>0.78871286499783977</v>
      </c>
      <c r="AR12" s="157">
        <f>AR2/股权价值增加表!AR38</f>
        <v>0.75696733784115233</v>
      </c>
      <c r="AS12" s="157">
        <f>AS2/股权价值增加表!AS38</f>
        <v>0.7290572151180591</v>
      </c>
      <c r="AT12" s="157">
        <f>AT2/股权价值增加表!AT38</f>
        <v>0.66078280627872377</v>
      </c>
      <c r="AU12" s="157">
        <f>AU2/股权价值增加表!AU38</f>
        <v>0.66758102269608099</v>
      </c>
      <c r="AV12" s="157">
        <f>AV2/股权价值增加表!AV38</f>
        <v>0.64169256633564076</v>
      </c>
      <c r="AW12" s="157">
        <f>AW2/股权价值增加表!AW38</f>
        <v>0.64406951797961509</v>
      </c>
      <c r="AX12" s="157">
        <f>AX2/股权价值增加表!AX38</f>
        <v>0.48880227418188449</v>
      </c>
      <c r="AY12" s="157">
        <f>AY2/股权价值增加表!AY38</f>
        <v>0.48863800782329292</v>
      </c>
      <c r="AZ12" s="157">
        <f>AZ2/股权价值增加表!AZ38</f>
        <v>0.58685594875776392</v>
      </c>
      <c r="BA12" s="157">
        <f>BA2/股权价值增加表!BA38</f>
        <v>0.63558068785847477</v>
      </c>
      <c r="BB12" s="157">
        <f>BB2/股权价值增加表!BB38</f>
        <v>0.62967882322185886</v>
      </c>
      <c r="BC12" s="157">
        <f>BC2/股权价值增加表!BC38</f>
        <v>0.62903521962738607</v>
      </c>
      <c r="BD12" s="157">
        <f>BD2/股权价值增加表!BD38</f>
        <v>0.65905164364461755</v>
      </c>
      <c r="BE12" s="157">
        <f>BE2/股权价值增加表!BE38</f>
        <v>0.69373654995746381</v>
      </c>
      <c r="BF12" s="157">
        <f>BF2/股权价值增加表!BF38</f>
        <v>0.61043058818809737</v>
      </c>
      <c r="BG12" s="157">
        <f>BG2/股权价值增加表!BG38</f>
        <v>0.59990476485307709</v>
      </c>
      <c r="BH12" s="157">
        <f>BH2/股权价值增加表!BH38</f>
        <v>0.61698422434728262</v>
      </c>
      <c r="BI12" s="157">
        <f>BI2/股权价值增加表!BI38</f>
        <v>0.6835474020066864</v>
      </c>
      <c r="BJ12" s="157">
        <f>BJ2/股权价值增加表!BJ38</f>
        <v>0.6318063385478303</v>
      </c>
      <c r="BK12" s="157">
        <f>BK2/股权价值增加表!BK38</f>
        <v>0.56170473716072622</v>
      </c>
      <c r="BL12" s="157">
        <f>BL2/股权价值增加表!BL38</f>
        <v>0.64322922905974489</v>
      </c>
      <c r="BM12" s="157">
        <f>BM2/股权价值增加表!BM38</f>
        <v>0.57759916800272137</v>
      </c>
      <c r="BN12" s="157">
        <f>BN2/股权价值增加表!BN38</f>
        <v>0.5428449482558072</v>
      </c>
      <c r="BO12" s="157">
        <f>BO2/股权价值增加表!BO38</f>
        <v>0.54335900826212979</v>
      </c>
      <c r="BP12" s="157">
        <f>BP2/股权价值增加表!BP38</f>
        <v>0.62219513427263506</v>
      </c>
      <c r="BQ12" s="157">
        <f>BQ2/股权价值增加表!BQ38</f>
        <v>0.79267823824562711</v>
      </c>
      <c r="BR12" s="157">
        <f>BR2/股权价值增加表!BR38</f>
        <v>0.72378191026096028</v>
      </c>
      <c r="BS12" s="157">
        <f>BS2/股权价值增加表!BS38</f>
        <v>0.79606383351059284</v>
      </c>
      <c r="BT12" s="157">
        <f>BT2/股权价值增加表!BT38</f>
        <v>0.65612184983107091</v>
      </c>
      <c r="BU12" s="157">
        <f>BU2/股权价值增加表!BU38</f>
        <v>0.67239782874938381</v>
      </c>
      <c r="BV12" s="157">
        <f>BV2/股权价值增加表!BV38</f>
        <v>0.66354978863764102</v>
      </c>
      <c r="BW12" s="157">
        <f>BW2/股权价值增加表!BW38</f>
        <v>0.67669752523391269</v>
      </c>
      <c r="BX12" s="157">
        <f>BX2/股权价值增加表!BX38</f>
        <v>0.8629838400073141</v>
      </c>
      <c r="BY12" s="157">
        <f>BY2/股权价值增加表!BY38</f>
        <v>0.8428747351584519</v>
      </c>
      <c r="BZ12" s="157">
        <f>BZ2/股权价值增加表!BZ38</f>
        <v>0.97982044306096117</v>
      </c>
      <c r="CA12" s="157">
        <f>CA2/股权价值增加表!CA38</f>
        <v>0.6920669880219491</v>
      </c>
      <c r="CB12" s="157">
        <f>CB2/股权价值增加表!CB38</f>
        <v>0.6590703947791845</v>
      </c>
      <c r="CC12" s="157">
        <f>CC2/股权价值增加表!CC38</f>
        <v>0.63063215000935968</v>
      </c>
      <c r="CD12" s="157" t="e">
        <f>CD2/股权价值增加表!CD38</f>
        <v>#DIV/0!</v>
      </c>
      <c r="CE12" s="157">
        <f>CE2/股权价值增加表!CE38</f>
        <v>-2.5981368870487773</v>
      </c>
      <c r="CF12" s="157">
        <f>CF2/股权价值增加表!CF38</f>
        <v>-6.859739633359264</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435</v>
      </c>
      <c r="E13" s="63">
        <f>1-E2/股权价值增加表!E38</f>
        <v>0.1428558688961824</v>
      </c>
      <c r="F13" s="63">
        <f>1-F2/股权价值增加表!F38</f>
        <v>0.13222916029659582</v>
      </c>
      <c r="G13" s="63">
        <f>1-G2/股权价值增加表!G38</f>
        <v>0.12632120916254252</v>
      </c>
      <c r="H13" s="63">
        <f>1-H2/股权价值增加表!H38</f>
        <v>0.20020605184303719</v>
      </c>
      <c r="I13" s="63">
        <f>1-I2/股权价值增加表!I38</f>
        <v>0.14609938798425803</v>
      </c>
      <c r="J13" s="63">
        <f>1-J2/股权价值增加表!J38</f>
        <v>0.13048161815034398</v>
      </c>
      <c r="K13" s="63">
        <f>1-K2/股权价值增加表!K38</f>
        <v>0.13030835677412189</v>
      </c>
      <c r="L13" s="63">
        <f>1-L2/股权价值增加表!L38</f>
        <v>0.13338143636418709</v>
      </c>
      <c r="M13" s="63">
        <f>1-M2/股权价值增加表!M38</f>
        <v>0.12163449336926468</v>
      </c>
      <c r="N13" s="63">
        <f>1-N2/股权价值增加表!N38</f>
        <v>0.12130426078502721</v>
      </c>
      <c r="O13" s="63">
        <f>1-O2/股权价值增加表!O38</f>
        <v>0.11318477752226452</v>
      </c>
      <c r="P13" s="63">
        <f>1-P2/股权价值增加表!P38</f>
        <v>0.13017031662787126</v>
      </c>
      <c r="Q13" s="63">
        <f>1-Q2/股权价值增加表!Q38</f>
        <v>0.1304355713729084</v>
      </c>
      <c r="R13" s="63">
        <f>1-R2/股权价值增加表!R38</f>
        <v>0.12172359611215489</v>
      </c>
      <c r="S13" s="63">
        <f>1-S2/股权价值增加表!S38</f>
        <v>0.12134483553247777</v>
      </c>
      <c r="T13" s="63">
        <f>1-T2/股权价值增加表!T38</f>
        <v>0.11622841067061296</v>
      </c>
      <c r="U13" s="63">
        <f>1-U2/股权价值增加表!U38</f>
        <v>0.12912884678347691</v>
      </c>
      <c r="V13" s="63">
        <f>1-V2/股权价值增加表!V38</f>
        <v>0.12103758304820578</v>
      </c>
      <c r="W13" s="63">
        <f>1-W2/股权价值增加表!W38</f>
        <v>0.12205869561928429</v>
      </c>
      <c r="X13" s="63">
        <f>1-X2/股权价值增加表!X38</f>
        <v>0.1200638883926769</v>
      </c>
      <c r="Y13" s="63">
        <f>1-Y2/股权价值增加表!Y38</f>
        <v>0.1217400799682915</v>
      </c>
      <c r="Z13" s="63">
        <f>1-Z2/股权价值增加表!Z38</f>
        <v>0.12193771830648803</v>
      </c>
      <c r="AA13" s="63">
        <f>1-AA2/股权价值增加表!AA38</f>
        <v>0.12044335862181543</v>
      </c>
      <c r="AB13" s="63">
        <f>1-AB2/股权价值增加表!AB38</f>
        <v>0.12877882608573143</v>
      </c>
      <c r="AC13" s="63">
        <f>1-AC2/股权价值增加表!AC38</f>
        <v>0.14501419747715394</v>
      </c>
      <c r="AD13" s="63">
        <f>1-AD2/股权价值增加表!AD38</f>
        <v>0.15469867503741763</v>
      </c>
      <c r="AE13" s="63">
        <f>1-AE2/股权价值增加表!AE38</f>
        <v>0.13825156169451003</v>
      </c>
      <c r="AF13" s="63">
        <f>1-AF2/股权价值增加表!AF38</f>
        <v>0.14976983230554397</v>
      </c>
      <c r="AG13" s="63">
        <f>1-AG2/股权价值增加表!AG38</f>
        <v>0.12589107611180395</v>
      </c>
      <c r="AH13" s="63">
        <f>1-AH2/股权价值增加表!AH38</f>
        <v>0.14626536069868812</v>
      </c>
      <c r="AI13" s="63">
        <f>1-AI2/股权价值增加表!AI38</f>
        <v>0.16151709878166398</v>
      </c>
      <c r="AJ13" s="63">
        <f>1-AJ2/股权价值增加表!AJ38</f>
        <v>0.11016812061964365</v>
      </c>
      <c r="AK13" s="63">
        <f>1-AK2/股权价值增加表!AK38</f>
        <v>9.6887341670477301E-2</v>
      </c>
      <c r="AL13" s="63">
        <f>1-AL2/股权价值增加表!AL38</f>
        <v>0.1354346311537914</v>
      </c>
      <c r="AM13" s="63">
        <f>1-AM2/股权价值增加表!AM38</f>
        <v>0.1316601028922737</v>
      </c>
      <c r="AN13" s="63">
        <f>1-AN2/股权价值增加表!AN38</f>
        <v>0.11999986771894522</v>
      </c>
      <c r="AO13" s="63">
        <f>1-AO2/股权价值增加表!AO38</f>
        <v>0.16786688559268925</v>
      </c>
      <c r="AP13" s="63">
        <f>1-AP2/股权价值增加表!AP38</f>
        <v>0.19004053376761598</v>
      </c>
      <c r="AQ13" s="63">
        <f>1-AQ2/股权价值增加表!AQ38</f>
        <v>0.21128713500216023</v>
      </c>
      <c r="AR13" s="63">
        <f>1-AR2/股权价值增加表!AR38</f>
        <v>0.24303266215884767</v>
      </c>
      <c r="AS13" s="63">
        <f>1-AS2/股权价值增加表!AS38</f>
        <v>0.2709427848819409</v>
      </c>
      <c r="AT13" s="63">
        <f>1-AT2/股权价值增加表!AT38</f>
        <v>0.33921719372127623</v>
      </c>
      <c r="AU13" s="63">
        <f>1-AU2/股权价值增加表!AU38</f>
        <v>0.33241897730391901</v>
      </c>
      <c r="AV13" s="63">
        <f>1-AV2/股权价值增加表!AV38</f>
        <v>0.35830743366435924</v>
      </c>
      <c r="AW13" s="63">
        <f>1-AW2/股权价值增加表!AW38</f>
        <v>0.35593048202038491</v>
      </c>
      <c r="AX13" s="63">
        <f>1-AX2/股权价值增加表!AX38</f>
        <v>0.51119772581811551</v>
      </c>
      <c r="AY13" s="63">
        <f>1-AY2/股权价值增加表!AY38</f>
        <v>0.51136199217670708</v>
      </c>
      <c r="AZ13" s="63">
        <f>1-AZ2/股权价值增加表!AZ38</f>
        <v>0.41314405124223608</v>
      </c>
      <c r="BA13" s="63">
        <f>1-BA2/股权价值增加表!BA38</f>
        <v>0.36441931214152523</v>
      </c>
      <c r="BB13" s="63">
        <f>1-BB2/股权价值增加表!BB38</f>
        <v>0.37032117677814114</v>
      </c>
      <c r="BC13" s="63">
        <f>1-BC2/股权价值增加表!BC38</f>
        <v>0.37096478037261393</v>
      </c>
      <c r="BD13" s="63">
        <f>1-BD2/股权价值增加表!BD38</f>
        <v>0.34094835635538245</v>
      </c>
      <c r="BE13" s="63">
        <f>1-BE2/股权价值增加表!BE38</f>
        <v>0.30626345004253619</v>
      </c>
      <c r="BF13" s="63">
        <f>1-BF2/股权价值增加表!BF38</f>
        <v>0.38956941181190263</v>
      </c>
      <c r="BG13" s="63">
        <f>1-BG2/股权价值增加表!BG38</f>
        <v>0.40009523514692291</v>
      </c>
      <c r="BH13" s="63">
        <f>1-BH2/股权价值增加表!BH38</f>
        <v>0.38301577565271738</v>
      </c>
      <c r="BI13" s="63">
        <f>1-BI2/股权价值增加表!BI38</f>
        <v>0.3164525979933136</v>
      </c>
      <c r="BJ13" s="63">
        <f>1-BJ2/股权价值增加表!BJ38</f>
        <v>0.3681936614521697</v>
      </c>
      <c r="BK13" s="63">
        <f>1-BK2/股权价值增加表!BK38</f>
        <v>0.43829526283927378</v>
      </c>
      <c r="BL13" s="63">
        <f>1-BL2/股权价值增加表!BL38</f>
        <v>0.35677077094025511</v>
      </c>
      <c r="BM13" s="63">
        <f>1-BM2/股权价值增加表!BM38</f>
        <v>0.42240083199727863</v>
      </c>
      <c r="BN13" s="63">
        <f>1-BN2/股权价值增加表!BN38</f>
        <v>0.4571550517441928</v>
      </c>
      <c r="BO13" s="63">
        <f>1-BO2/股权价值增加表!BO38</f>
        <v>0.45664099173787021</v>
      </c>
      <c r="BP13" s="63">
        <f>1-BP2/股权价值增加表!BP38</f>
        <v>0.37780486572736494</v>
      </c>
      <c r="BQ13" s="63">
        <f>1-BQ2/股权价值增加表!BQ38</f>
        <v>0.20732176175437289</v>
      </c>
      <c r="BR13" s="63">
        <f>1-BR2/股权价值增加表!BR38</f>
        <v>0.27621808973903972</v>
      </c>
      <c r="BS13" s="63">
        <f>1-BS2/股权价值增加表!BS38</f>
        <v>0.20393616648940716</v>
      </c>
      <c r="BT13" s="63">
        <f>1-BT2/股权价值增加表!BT38</f>
        <v>0.34387815016892909</v>
      </c>
      <c r="BU13" s="63">
        <f>1-BU2/股权价值增加表!BU38</f>
        <v>0.32760217125061619</v>
      </c>
      <c r="BV13" s="63">
        <f>1-BV2/股权价值增加表!BV38</f>
        <v>0.33645021136235898</v>
      </c>
      <c r="BW13" s="63">
        <f>1-BW2/股权价值增加表!BW38</f>
        <v>0.32330247476608731</v>
      </c>
      <c r="BX13" s="63">
        <f>1-BX2/股权价值增加表!BX38</f>
        <v>0.1370161599926859</v>
      </c>
      <c r="BY13" s="63">
        <f>1-BY2/股权价值增加表!BY38</f>
        <v>0.1571252648415481</v>
      </c>
      <c r="BZ13" s="63">
        <f>1-BZ2/股权价值增加表!BZ38</f>
        <v>2.0179556939038834E-2</v>
      </c>
      <c r="CA13" s="63">
        <f>1-CA2/股权价值增加表!CA38</f>
        <v>0.3079330119780509</v>
      </c>
      <c r="CB13" s="63">
        <f>1-CB2/股权价值增加表!CB38</f>
        <v>0.3409296052208155</v>
      </c>
      <c r="CC13" s="63">
        <f>1-CC2/股权价值增加表!CC38</f>
        <v>0.36936784999064032</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436</v>
      </c>
      <c r="E14" s="59">
        <f>E6*E7*E9*E10*E12</f>
        <v>0.17997247251663667</v>
      </c>
      <c r="F14" s="59">
        <f t="shared" ref="F14:BQ14" si="4">F6*F7*F9*F10*F12</f>
        <v>0.13702495554123692</v>
      </c>
      <c r="G14" s="59">
        <f t="shared" si="4"/>
        <v>6.5416088261113725E-2</v>
      </c>
      <c r="H14" s="59">
        <f t="shared" si="4"/>
        <v>2.3372135275973458E-2</v>
      </c>
      <c r="I14" s="59">
        <f t="shared" si="4"/>
        <v>0.29052170419111462</v>
      </c>
      <c r="J14" s="59">
        <f t="shared" si="4"/>
        <v>0.19620516701664803</v>
      </c>
      <c r="K14" s="59">
        <f t="shared" si="4"/>
        <v>0.11689457393059251</v>
      </c>
      <c r="L14" s="59">
        <f t="shared" si="4"/>
        <v>2.9627229391938899E-2</v>
      </c>
      <c r="M14" s="59">
        <f t="shared" si="4"/>
        <v>0.28834083677881894</v>
      </c>
      <c r="N14" s="59">
        <f t="shared" si="4"/>
        <v>0.16942472660763919</v>
      </c>
      <c r="O14" s="59">
        <f t="shared" si="4"/>
        <v>9.3541229741403303E-2</v>
      </c>
      <c r="P14" s="59">
        <f t="shared" si="4"/>
        <v>3.4175086720021328E-2</v>
      </c>
      <c r="Q14" s="59">
        <f t="shared" si="4"/>
        <v>0.24443551025466079</v>
      </c>
      <c r="R14" s="59">
        <f t="shared" si="4"/>
        <v>0.12180341087034671</v>
      </c>
      <c r="S14" s="59">
        <f t="shared" si="4"/>
        <v>7.8729974902472896E-2</v>
      </c>
      <c r="T14" s="59">
        <f t="shared" si="4"/>
        <v>3.1347602456274333E-2</v>
      </c>
      <c r="U14" s="59">
        <f t="shared" si="4"/>
        <v>0.20438090235725534</v>
      </c>
      <c r="V14" s="59">
        <f t="shared" si="4"/>
        <v>0.11552790903014286</v>
      </c>
      <c r="W14" s="59">
        <f t="shared" si="4"/>
        <v>8.3838842373571504E-2</v>
      </c>
      <c r="X14" s="59">
        <f t="shared" si="4"/>
        <v>3.5002986292513756E-2</v>
      </c>
      <c r="Y14" s="59">
        <f t="shared" si="4"/>
        <v>0.21229842811048641</v>
      </c>
      <c r="Z14" s="59">
        <f t="shared" si="4"/>
        <v>0.14263884465499227</v>
      </c>
      <c r="AA14" s="59">
        <f t="shared" si="4"/>
        <v>9.7899424909721783E-2</v>
      </c>
      <c r="AB14" s="59">
        <f t="shared" si="4"/>
        <v>4.33675056194886E-2</v>
      </c>
      <c r="AC14" s="59">
        <f t="shared" si="4"/>
        <v>0.30195817446553336</v>
      </c>
      <c r="AD14" s="59">
        <f t="shared" si="4"/>
        <v>0.19282367921272764</v>
      </c>
      <c r="AE14" s="59">
        <f t="shared" si="4"/>
        <v>0.13393771367216228</v>
      </c>
      <c r="AF14" s="59">
        <f t="shared" si="4"/>
        <v>4.9856496436413267E-2</v>
      </c>
      <c r="AG14" s="59">
        <f t="shared" si="4"/>
        <v>0.32588072354979664</v>
      </c>
      <c r="AH14" s="59">
        <f t="shared" si="4"/>
        <v>0.23134387125053538</v>
      </c>
      <c r="AI14" s="59">
        <f t="shared" si="4"/>
        <v>0.14580329332976733</v>
      </c>
      <c r="AJ14" s="59">
        <f t="shared" si="4"/>
        <v>6.2289007304146736E-2</v>
      </c>
      <c r="AK14" s="59">
        <f t="shared" si="4"/>
        <v>0.37006758655870298</v>
      </c>
      <c r="AL14" s="59">
        <f t="shared" si="4"/>
        <v>0.17721981739462497</v>
      </c>
      <c r="AM14" s="59">
        <f t="shared" si="4"/>
        <v>0.10953553581234135</v>
      </c>
      <c r="AN14" s="59">
        <f t="shared" si="4"/>
        <v>2.925088091655436E-2</v>
      </c>
      <c r="AO14" s="59">
        <f t="shared" si="4"/>
        <v>0.30810643048180825</v>
      </c>
      <c r="AP14" s="59">
        <f t="shared" si="4"/>
        <v>0.23250764049372774</v>
      </c>
      <c r="AQ14" s="59">
        <f t="shared" si="4"/>
        <v>0.23000981411656923</v>
      </c>
      <c r="AR14" s="59">
        <f t="shared" si="4"/>
        <v>0.12586912816864537</v>
      </c>
      <c r="AS14" s="59">
        <f t="shared" si="4"/>
        <v>0.15408850628710088</v>
      </c>
      <c r="AT14" s="59">
        <f t="shared" si="4"/>
        <v>7.4018008566396204E-2</v>
      </c>
      <c r="AU14" s="59">
        <f t="shared" si="4"/>
        <v>6.1518370159720392E-2</v>
      </c>
      <c r="AV14" s="59">
        <f t="shared" si="4"/>
        <v>3.102904144432015E-2</v>
      </c>
      <c r="AW14" s="59">
        <f t="shared" si="4"/>
        <v>0.13377265650138231</v>
      </c>
      <c r="AX14" s="59">
        <f t="shared" si="4"/>
        <v>5.2041095588952833E-2</v>
      </c>
      <c r="AY14" s="59">
        <f t="shared" si="4"/>
        <v>3.329198474218957E-2</v>
      </c>
      <c r="AZ14" s="59">
        <f t="shared" si="4"/>
        <v>1.7486050593714161E-2</v>
      </c>
      <c r="BA14" s="59">
        <f t="shared" si="4"/>
        <v>0.1128658921674013</v>
      </c>
      <c r="BB14" s="59">
        <f t="shared" si="4"/>
        <v>7.6196896251710083E-2</v>
      </c>
      <c r="BC14" s="59">
        <f t="shared" si="4"/>
        <v>4.457738510358867E-2</v>
      </c>
      <c r="BD14" s="59">
        <f t="shared" si="4"/>
        <v>2.282069541432958E-2</v>
      </c>
      <c r="BE14" s="59">
        <f t="shared" si="4"/>
        <v>9.2902726034831865E-2</v>
      </c>
      <c r="BF14" s="59">
        <f t="shared" si="4"/>
        <v>6.1224745697054196E-2</v>
      </c>
      <c r="BG14" s="59">
        <f t="shared" si="4"/>
        <v>3.2275186022745185E-2</v>
      </c>
      <c r="BH14" s="59">
        <f t="shared" si="4"/>
        <v>1.628685881775975E-2</v>
      </c>
      <c r="BI14" s="59">
        <f t="shared" si="4"/>
        <v>0.10988518769059559</v>
      </c>
      <c r="BJ14" s="59">
        <f t="shared" si="4"/>
        <v>6.0324523570983883E-2</v>
      </c>
      <c r="BK14" s="59">
        <f t="shared" si="4"/>
        <v>2.6546010591728991E-2</v>
      </c>
      <c r="BL14" s="59">
        <f t="shared" si="4"/>
        <v>2.2053800983389552E-2</v>
      </c>
      <c r="BM14" s="59">
        <f t="shared" si="4"/>
        <v>9.6303934384945458E-2</v>
      </c>
      <c r="BN14" s="59">
        <f t="shared" si="4"/>
        <v>5.4620730044956364E-2</v>
      </c>
      <c r="BO14" s="59">
        <f t="shared" si="4"/>
        <v>3.0822406393774114E-2</v>
      </c>
      <c r="BP14" s="59">
        <f t="shared" si="4"/>
        <v>1.1035140656685696E-2</v>
      </c>
      <c r="BQ14" s="59">
        <f t="shared" si="4"/>
        <v>0.10718348191158297</v>
      </c>
      <c r="BR14" s="59">
        <f t="shared" ref="BR14:CJ14" si="5">BR6*BR7*BR9*BR10*BR12</f>
        <v>3.1257336100423215E-2</v>
      </c>
      <c r="BS14" s="59">
        <f t="shared" si="5"/>
        <v>8.5735274787318891E-2</v>
      </c>
      <c r="BT14" s="59">
        <f t="shared" si="5"/>
        <v>2.7235083301397761E-2</v>
      </c>
      <c r="BU14" s="59">
        <f t="shared" si="5"/>
        <v>8.5559301043661509E-2</v>
      </c>
      <c r="BV14" s="59">
        <f t="shared" si="5"/>
        <v>2.8210320872061538E-2</v>
      </c>
      <c r="BW14" s="59">
        <f t="shared" si="5"/>
        <v>8.0956825638036869E-2</v>
      </c>
      <c r="BX14" s="59">
        <f t="shared" si="5"/>
        <v>4.6711657806795981E-2</v>
      </c>
      <c r="BY14" s="59">
        <f t="shared" si="5"/>
        <v>0.10294760116672642</v>
      </c>
      <c r="BZ14" s="59">
        <f t="shared" si="5"/>
        <v>0.3639941012382526</v>
      </c>
      <c r="CA14" s="59">
        <f t="shared" si="5"/>
        <v>0.26874972381494494</v>
      </c>
      <c r="CB14" s="59">
        <f t="shared" si="5"/>
        <v>0.48876816510692123</v>
      </c>
      <c r="CC14" s="59">
        <f t="shared" si="5"/>
        <v>0.16261913128747937</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698</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49" customFormat="1" x14ac:dyDescent="0.25">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35064</v>
      </c>
      <c r="CC18" s="1">
        <v>34699</v>
      </c>
      <c r="CD18" s="1">
        <v>25569</v>
      </c>
      <c r="CE18" s="1"/>
      <c r="CF18" s="1"/>
      <c r="CG18" s="1"/>
      <c r="CH18" s="1"/>
      <c r="CI18" s="1"/>
      <c r="CJ18" s="1"/>
      <c r="CK18" s="1"/>
    </row>
    <row r="19" spans="1:89" s="116" customFormat="1" x14ac:dyDescent="0.25">
      <c r="A19" s="158" t="s">
        <v>446</v>
      </c>
      <c r="B19" s="76">
        <v>43373</v>
      </c>
      <c r="C19" s="76">
        <v>43281</v>
      </c>
      <c r="D19" s="76">
        <v>43190</v>
      </c>
      <c r="E19" s="76">
        <f>股权价值增加表!E4</f>
        <v>33221948766.650002</v>
      </c>
      <c r="F19" s="76">
        <f>股权价值增加表!F4</f>
        <v>18994965921.450001</v>
      </c>
      <c r="G19" s="76">
        <f>股权价值增加表!G4</f>
        <v>9313067493.1000004</v>
      </c>
      <c r="H19" s="76">
        <f>股权价值增加表!H4</f>
        <v>3868458647.1999998</v>
      </c>
      <c r="I19" s="76">
        <f>股权价值增加表!I4</f>
        <v>35850442042.720001</v>
      </c>
      <c r="J19" s="76">
        <f>股权价值增加表!J4</f>
        <v>21659158276.32</v>
      </c>
      <c r="K19" s="76">
        <f>股权价值增加表!K4</f>
        <v>13268121440.85</v>
      </c>
      <c r="L19" s="76">
        <f>股权价值增加表!L4</f>
        <v>5126788582.8999996</v>
      </c>
      <c r="M19" s="76">
        <f>股权价值增加表!M4</f>
        <v>31210873852.540001</v>
      </c>
      <c r="N19" s="76">
        <f>股权价值增加表!N4</f>
        <v>18929067308.060001</v>
      </c>
      <c r="O19" s="76">
        <f>股权价值增加表!O4</f>
        <v>10387239701.25</v>
      </c>
      <c r="P19" s="76">
        <f>股权价值增加表!P4</f>
        <v>4273324043.52</v>
      </c>
      <c r="Q19" s="76">
        <f>股权价值增加表!Q4</f>
        <v>25728299513.16</v>
      </c>
      <c r="R19" s="76">
        <f>股权价值增加表!R4</f>
        <v>15002502291.76</v>
      </c>
      <c r="S19" s="76">
        <f>股权价值增加表!S4</f>
        <v>9341476892.9099998</v>
      </c>
      <c r="T19" s="76">
        <f>股权价值增加表!T4</f>
        <v>4395955446.3000002</v>
      </c>
      <c r="U19" s="76">
        <f>股权价值增加表!U4</f>
        <v>22093826571.040001</v>
      </c>
      <c r="V19" s="76">
        <f>股权价值增加表!V4</f>
        <v>13669406746.49</v>
      </c>
      <c r="W19" s="76">
        <f>股权价值增加表!W4</f>
        <v>9663747340.3899994</v>
      </c>
      <c r="X19" s="76">
        <f>股权价值增加表!X4</f>
        <v>4337342804.8900003</v>
      </c>
      <c r="Y19" s="76">
        <f>股权价值增加表!Y4</f>
        <v>19763459199.02</v>
      </c>
      <c r="Z19" s="76">
        <f>股权价值增加表!Z4</f>
        <v>13309007254.129999</v>
      </c>
      <c r="AA19" s="76">
        <f>股权价值增加表!AA4</f>
        <v>8296243064.9300003</v>
      </c>
      <c r="AB19" s="76">
        <f>股权价值增加表!AB4</f>
        <v>3969350239.1399999</v>
      </c>
      <c r="AC19" s="76">
        <f>股权价值增加表!AC4</f>
        <v>16931925945.07</v>
      </c>
      <c r="AD19" s="76">
        <f>股权价值增加表!AD4</f>
        <v>11009538186.57</v>
      </c>
      <c r="AE19" s="76">
        <f>股权价值增加表!AE4</f>
        <v>6405766461.7399998</v>
      </c>
      <c r="AF19" s="76">
        <f>股权价值增加表!AF4</f>
        <v>2947959956.1799998</v>
      </c>
      <c r="AG19" s="76">
        <f>股权价值增加表!AG4</f>
        <v>13478500120.48</v>
      </c>
      <c r="AH19" s="76">
        <f>股权价值增加表!AH4</f>
        <v>9132486590.3700008</v>
      </c>
      <c r="AI19" s="76">
        <f>股权价值增加表!AI4</f>
        <v>5525360311.0500002</v>
      </c>
      <c r="AJ19" s="76">
        <f>股权价值增加表!AJ4</f>
        <v>2357318390.8600001</v>
      </c>
      <c r="AK19" s="76">
        <f>股权价值增加表!AK4</f>
        <v>8781731234.4200001</v>
      </c>
      <c r="AL19" s="76">
        <f>股权价值增加表!AL4</f>
        <v>5832802762.3699999</v>
      </c>
      <c r="AM19" s="76">
        <f>股权价值增加表!AM4</f>
        <v>3547502321.2199998</v>
      </c>
      <c r="AN19" s="76">
        <f>股权价值增加表!AN4</f>
        <v>1322183548.28</v>
      </c>
      <c r="AO19" s="76">
        <f>股权价值增加表!AO4</f>
        <v>8335671865.1199999</v>
      </c>
      <c r="AP19" s="76">
        <f>股权价值增加表!AP4</f>
        <v>5909075990.5799999</v>
      </c>
      <c r="AQ19" s="76">
        <f>股权价值增加表!AQ4</f>
        <v>4269358208.9099998</v>
      </c>
      <c r="AR19" s="76">
        <f>股权价值增加表!AR4</f>
        <v>1728783903.51</v>
      </c>
      <c r="AS19" s="76">
        <f>股权价值增加表!AS4</f>
        <v>7880772643.7399998</v>
      </c>
      <c r="AT19" s="76">
        <f>股权价值增加表!AT4</f>
        <v>4791323219.5799999</v>
      </c>
      <c r="AU19" s="76">
        <f>股权价值增加表!AU4</f>
        <v>2824669536.7399998</v>
      </c>
      <c r="AV19" s="76">
        <f>股权价值增加表!AV4</f>
        <v>1218986397.53</v>
      </c>
      <c r="AW19" s="76">
        <f>股权价值增加表!AW4</f>
        <v>4954506733.5100002</v>
      </c>
      <c r="AX19" s="76">
        <f>股权价值增加表!AX4</f>
        <v>3211706920.0700002</v>
      </c>
      <c r="AY19" s="76">
        <f>股权价值增加表!AY4</f>
        <v>2039212675.8900001</v>
      </c>
      <c r="AZ19" s="76">
        <f>股权价值增加表!AZ4</f>
        <v>887602608.97000003</v>
      </c>
      <c r="BA19" s="76">
        <f>股权价值增加表!BA4</f>
        <v>4576435573.4799995</v>
      </c>
      <c r="BB19" s="76">
        <f>股权价值增加表!BB4</f>
        <v>2944163022.0500002</v>
      </c>
      <c r="BC19" s="76">
        <f>股权价值增加表!BC4</f>
        <v>1699337866.3199999</v>
      </c>
      <c r="BD19" s="76">
        <f>股权价值增加表!BD4</f>
        <v>739399700.55999994</v>
      </c>
      <c r="BE19" s="76">
        <f>股权价值增加表!BE4</f>
        <v>3949088707.25</v>
      </c>
      <c r="BF19" s="76">
        <f>股权价值增加表!BF4</f>
        <v>2762182434.1100001</v>
      </c>
      <c r="BG19" s="76">
        <f>股权价值增加表!BG4</f>
        <v>1486749846.54</v>
      </c>
      <c r="BH19" s="76">
        <f>股权价值增加表!BH4</f>
        <v>572856842.5</v>
      </c>
      <c r="BI19" s="76">
        <f>股权价值增加表!BI4</f>
        <v>3253649665.4099998</v>
      </c>
      <c r="BJ19" s="76">
        <f>股权价值增加表!BJ4</f>
        <v>1946404611.7</v>
      </c>
      <c r="BK19" s="76">
        <f>股权价值增加表!BK4</f>
        <v>1201983585.6400001</v>
      </c>
      <c r="BL19" s="76">
        <f>股权价值增加表!BL4</f>
        <v>747595762.03999996</v>
      </c>
      <c r="BM19" s="76">
        <f>股权价值增加表!BM4</f>
        <v>2685049399.9299998</v>
      </c>
      <c r="BN19" s="76">
        <f>股权价值增加表!BN4</f>
        <v>1843794209.3099999</v>
      </c>
      <c r="BO19" s="76">
        <f>股权价值增加表!BO4</f>
        <v>998872375.82000005</v>
      </c>
      <c r="BP19" s="76">
        <f>股权价值增加表!BP4</f>
        <v>364636034.19</v>
      </c>
      <c r="BQ19" s="76">
        <f>股权价值增加表!BQ4</f>
        <v>1579515325.0899999</v>
      </c>
      <c r="BR19" s="76">
        <f>股权价值增加表!BR4</f>
        <v>701830564.21000004</v>
      </c>
      <c r="BS19" s="76">
        <f>股权价值增加表!BS4</f>
        <v>1198968349.3199999</v>
      </c>
      <c r="BT19" s="76">
        <f>股权价值增加表!BT4</f>
        <v>469805804.99000001</v>
      </c>
      <c r="BU19" s="76">
        <f>股权价值增加表!BU4</f>
        <v>700109344.52999997</v>
      </c>
      <c r="BV19" s="76">
        <f>股权价值增加表!BV4</f>
        <v>319096258.16000003</v>
      </c>
      <c r="BW19" s="76">
        <f>股权价值增加表!BW4</f>
        <v>565416206.90999997</v>
      </c>
      <c r="BX19" s="76">
        <f>股权价值增加表!BX4</f>
        <v>226544658.12</v>
      </c>
      <c r="BY19" s="76">
        <f>股权价值增加表!BY4</f>
        <v>436671752.77999997</v>
      </c>
      <c r="BZ19" s="76">
        <f>股权价值增加表!BZ4</f>
        <v>157092838.58000001</v>
      </c>
      <c r="CA19" s="76">
        <f>股权价值增加表!CA4</f>
        <v>439068983</v>
      </c>
      <c r="CB19" s="76">
        <f>股权价值增加表!CB4</f>
        <v>274237533</v>
      </c>
      <c r="CC19" s="76">
        <f>股权价值增加表!CC4</f>
        <v>137629196</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8" t="s">
        <v>447</v>
      </c>
      <c r="E20" s="76">
        <f>股权价值增加表!E15</f>
        <v>3611276696.210001</v>
      </c>
      <c r="F20" s="76">
        <f>股权价值增加表!F15</f>
        <v>2139502758.0400002</v>
      </c>
      <c r="G20" s="76">
        <f>股权价值增加表!G15</f>
        <v>859011734.88000023</v>
      </c>
      <c r="H20" s="76">
        <f>股权价值增加表!H15</f>
        <v>356116640.62999988</v>
      </c>
      <c r="I20" s="76">
        <f>股权价值增加表!I15</f>
        <v>4997771774.0300026</v>
      </c>
      <c r="J20" s="76">
        <f>股权价值增加表!J15</f>
        <v>2782632797.0800004</v>
      </c>
      <c r="K20" s="76">
        <f>股权价值增加表!K15</f>
        <v>1516757795.7099996</v>
      </c>
      <c r="L20" s="76">
        <f>股权价值增加表!L15</f>
        <v>571719329.65999937</v>
      </c>
      <c r="M20" s="76">
        <f>股权价值增加表!M15</f>
        <v>3931827187.3399987</v>
      </c>
      <c r="N20" s="76">
        <f>股权价值增加表!N15</f>
        <v>2128846971.3100004</v>
      </c>
      <c r="O20" s="76">
        <f>股权价值增加表!O15</f>
        <v>1003186685.1900005</v>
      </c>
      <c r="P20" s="76">
        <f>股权价值增加表!P15</f>
        <v>374950948.31999999</v>
      </c>
      <c r="Q20" s="76">
        <f>股权价值增加表!Q15</f>
        <v>2902090484.6799994</v>
      </c>
      <c r="R20" s="76">
        <f>股权价值增加表!R15</f>
        <v>1176669437.2499995</v>
      </c>
      <c r="S20" s="76">
        <f>股权价值增加表!S15</f>
        <v>716676780.75999963</v>
      </c>
      <c r="T20" s="76">
        <f>股权价值增加表!T15</f>
        <v>287076506.05000013</v>
      </c>
      <c r="U20" s="76">
        <f>股权价值增加表!U15</f>
        <v>2036673892.4000008</v>
      </c>
      <c r="V20" s="76">
        <f>股权价值增加表!V15</f>
        <v>995275458.05000067</v>
      </c>
      <c r="W20" s="76">
        <f>股权价值增加表!W15</f>
        <v>705393636.56999922</v>
      </c>
      <c r="X20" s="76">
        <f>股权价值增加表!X15</f>
        <v>279004415.41000038</v>
      </c>
      <c r="Y20" s="76">
        <f>股权价值增加表!Y15</f>
        <v>1663979942.8700001</v>
      </c>
      <c r="Z20" s="76">
        <f>股权价值增加表!Z15</f>
        <v>1009417829.0199984</v>
      </c>
      <c r="AA20" s="76">
        <f>股权价值增加表!AA15</f>
        <v>589700091.51000035</v>
      </c>
      <c r="AB20" s="76">
        <f>股权价值增加表!AB15</f>
        <v>249562107.6699999</v>
      </c>
      <c r="AC20" s="76">
        <f>股权价值增加表!AC15</f>
        <v>1348141800.6799996</v>
      </c>
      <c r="AD20" s="76">
        <f>股权价值增加表!AD15</f>
        <v>814642163.63000035</v>
      </c>
      <c r="AE20" s="76">
        <f>股权价值增加表!AE15</f>
        <v>471791462.18999964</v>
      </c>
      <c r="AF20" s="76">
        <f>股权价值增加表!AF15</f>
        <v>195058284.32999992</v>
      </c>
      <c r="AG20" s="76">
        <f>股权价值增加表!AG15</f>
        <v>975296601.75999856</v>
      </c>
      <c r="AH20" s="76">
        <f>股权价值增加表!AH15</f>
        <v>637715705.85000038</v>
      </c>
      <c r="AI20" s="76">
        <f>股权价值增加表!AI15</f>
        <v>428179992.2500003</v>
      </c>
      <c r="AJ20" s="76">
        <f>股权价值增加表!AJ15</f>
        <v>166887385.41000021</v>
      </c>
      <c r="AK20" s="76">
        <f>股权价值增加表!AK15</f>
        <v>625681479.18000007</v>
      </c>
      <c r="AL20" s="76">
        <f>股权价值增加表!AL15</f>
        <v>374855542.2900002</v>
      </c>
      <c r="AM20" s="76">
        <f>股权价值增加表!AM15</f>
        <v>208797323.50999984</v>
      </c>
      <c r="AN20" s="76">
        <f>股权价值增加表!AN15</f>
        <v>63831770.879999973</v>
      </c>
      <c r="AO20" s="76">
        <f>股权价值增加表!AO15</f>
        <v>314367223.99999958</v>
      </c>
      <c r="AP20" s="76">
        <f>股权价值增加表!AP15</f>
        <v>108895624.72000024</v>
      </c>
      <c r="AQ20" s="76">
        <f>股权价值增加表!AQ15</f>
        <v>233449100.36000001</v>
      </c>
      <c r="AR20" s="76">
        <f>股权价值增加表!AR15</f>
        <v>79716133.289999858</v>
      </c>
      <c r="AS20" s="76">
        <f>股权价值增加表!AS15</f>
        <v>551172758.25000012</v>
      </c>
      <c r="AT20" s="76">
        <f>股权价值增加表!AT15</f>
        <v>223775984.77000001</v>
      </c>
      <c r="AU20" s="76">
        <f>股权价值增加表!AU15</f>
        <v>135286459.87999988</v>
      </c>
      <c r="AV20" s="76">
        <f>股权价值增加表!AV15</f>
        <v>57460511.839999996</v>
      </c>
      <c r="AW20" s="76">
        <f>股权价值增加表!AW15</f>
        <v>259833598.4600001</v>
      </c>
      <c r="AX20" s="76">
        <f>股权价值增加表!AX15</f>
        <v>123297227.17000011</v>
      </c>
      <c r="AY20" s="76">
        <f>股权价值增加表!AY15</f>
        <v>84245183.180000216</v>
      </c>
      <c r="AZ20" s="76">
        <f>股权价值增加表!AZ15</f>
        <v>40953837.230000079</v>
      </c>
      <c r="BA20" s="76">
        <f>股权价值增加表!BA15</f>
        <v>229138659.39999929</v>
      </c>
      <c r="BB20" s="76">
        <f>股权价值增加表!BB15</f>
        <v>146783451.68000019</v>
      </c>
      <c r="BC20" s="76">
        <f>股权价值增加表!BC15</f>
        <v>80874282.25999999</v>
      </c>
      <c r="BD20" s="76">
        <f>股权价值增加表!BD15</f>
        <v>36603364.789999917</v>
      </c>
      <c r="BE20" s="76">
        <f>股权价值增加表!BE15</f>
        <v>175136480.55999994</v>
      </c>
      <c r="BF20" s="76">
        <f>股权价值增加表!BF15</f>
        <v>128982177.87000009</v>
      </c>
      <c r="BG20" s="76">
        <f>股权价值增加表!BG15</f>
        <v>63510482.390000001</v>
      </c>
      <c r="BH20" s="76">
        <f>股权价值增加表!BH15</f>
        <v>32097527.540000018</v>
      </c>
      <c r="BI20" s="76">
        <f>股权价值增加表!BI15</f>
        <v>179050897.63000005</v>
      </c>
      <c r="BJ20" s="76">
        <f>股权价值增加表!BJ15</f>
        <v>100503491.20000011</v>
      </c>
      <c r="BK20" s="76">
        <f>股权价值增加表!BK15</f>
        <v>47036903.640000142</v>
      </c>
      <c r="BL20" s="76">
        <f>股权价值增加表!BL15</f>
        <v>33265912.949999951</v>
      </c>
      <c r="BM20" s="76">
        <f>股权价值增加表!BM15</f>
        <v>161760465.08000007</v>
      </c>
      <c r="BN20" s="76">
        <f>股权价值增加表!BN15</f>
        <v>97582246.939999864</v>
      </c>
      <c r="BO20" s="76">
        <f>股权价值增加表!BO15</f>
        <v>51054605.000000037</v>
      </c>
      <c r="BP20" s="76">
        <f>股权价值增加表!BP15</f>
        <v>16252530.889999978</v>
      </c>
      <c r="BQ20" s="76">
        <f>股权价值增加表!BQ15</f>
        <v>113367973.48999992</v>
      </c>
      <c r="BR20" s="76">
        <f>股权价值增加表!BR15</f>
        <v>33320098.020000007</v>
      </c>
      <c r="BS20" s="76">
        <f>股权价值增加表!BS15</f>
        <v>97883917.369999915</v>
      </c>
      <c r="BT20" s="76">
        <f>股权价值增加表!BT15</f>
        <v>32670988.930000041</v>
      </c>
      <c r="BU20" s="76">
        <f>股权价值增加表!BU15</f>
        <v>78974071.799999967</v>
      </c>
      <c r="BV20" s="76">
        <f>股权价值增加表!BV15</f>
        <v>26245462.21000002</v>
      </c>
      <c r="BW20" s="76">
        <f>股权价值增加表!BW15</f>
        <v>71263423.019999996</v>
      </c>
      <c r="BX20" s="76">
        <f>股权价值增加表!BX15</f>
        <v>26772373.46000002</v>
      </c>
      <c r="BY20" s="76">
        <f>股权价值增加表!BY15</f>
        <v>51880511.099999964</v>
      </c>
      <c r="BZ20" s="76">
        <f>股权价值增加表!BZ15</f>
        <v>157092838.58000001</v>
      </c>
      <c r="CA20" s="76">
        <f>股权价值增加表!CA15</f>
        <v>38634764</v>
      </c>
      <c r="CB20" s="76">
        <f>股权价值增加表!CB15</f>
        <v>28202132</v>
      </c>
      <c r="CC20" s="76">
        <f>股权价值增加表!CC15</f>
        <v>7764996</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x14ac:dyDescent="0.25">
      <c r="A21" s="233" t="s">
        <v>448</v>
      </c>
      <c r="E21" s="243">
        <f>E20/E19</f>
        <v>0.10870153107439612</v>
      </c>
      <c r="F21" s="243">
        <f t="shared" ref="F21:BQ21" si="6">F20/F19</f>
        <v>0.11263525119694866</v>
      </c>
      <c r="G21" s="243">
        <f t="shared" si="6"/>
        <v>9.223725002706544E-2</v>
      </c>
      <c r="H21" s="243">
        <f t="shared" si="6"/>
        <v>9.205646824937834E-2</v>
      </c>
      <c r="I21" s="243">
        <f t="shared" si="6"/>
        <v>0.13940614088034317</v>
      </c>
      <c r="J21" s="243">
        <f t="shared" si="6"/>
        <v>0.12847372744499763</v>
      </c>
      <c r="K21" s="243">
        <f t="shared" si="6"/>
        <v>0.11431594159518267</v>
      </c>
      <c r="L21" s="243">
        <f t="shared" si="6"/>
        <v>0.1115160729597714</v>
      </c>
      <c r="M21" s="243">
        <f t="shared" si="6"/>
        <v>0.12597619681898201</v>
      </c>
      <c r="N21" s="243">
        <f t="shared" si="6"/>
        <v>0.11246444088682261</v>
      </c>
      <c r="O21" s="243">
        <f t="shared" si="6"/>
        <v>9.6578755669735533E-2</v>
      </c>
      <c r="P21" s="243">
        <f t="shared" si="6"/>
        <v>8.7742222331248107E-2</v>
      </c>
      <c r="Q21" s="243">
        <f t="shared" si="6"/>
        <v>0.11279760184677511</v>
      </c>
      <c r="R21" s="243">
        <f t="shared" si="6"/>
        <v>7.8431545242707637E-2</v>
      </c>
      <c r="S21" s="243">
        <f t="shared" si="6"/>
        <v>7.6719858002747235E-2</v>
      </c>
      <c r="T21" s="243">
        <f t="shared" si="6"/>
        <v>6.5304689630470994E-2</v>
      </c>
      <c r="U21" s="243">
        <f t="shared" si="6"/>
        <v>9.2182940146258718E-2</v>
      </c>
      <c r="V21" s="243">
        <f t="shared" si="6"/>
        <v>7.2810435486204639E-2</v>
      </c>
      <c r="W21" s="243">
        <f t="shared" si="6"/>
        <v>7.2993799581429417E-2</v>
      </c>
      <c r="X21" s="243">
        <f t="shared" si="6"/>
        <v>6.4326115771952741E-2</v>
      </c>
      <c r="Y21" s="243">
        <f t="shared" si="6"/>
        <v>8.4194772084864117E-2</v>
      </c>
      <c r="Z21" s="243">
        <f t="shared" si="6"/>
        <v>7.5844712512780382E-2</v>
      </c>
      <c r="AA21" s="243">
        <f t="shared" si="6"/>
        <v>7.1080377816169493E-2</v>
      </c>
      <c r="AB21" s="243">
        <f t="shared" si="6"/>
        <v>6.2872282019656209E-2</v>
      </c>
      <c r="AC21" s="243">
        <f t="shared" si="6"/>
        <v>7.9621290871079706E-2</v>
      </c>
      <c r="AD21" s="243">
        <f t="shared" si="6"/>
        <v>7.3994217543451798E-2</v>
      </c>
      <c r="AE21" s="243">
        <f t="shared" si="6"/>
        <v>7.3651055655539283E-2</v>
      </c>
      <c r="AF21" s="243">
        <f t="shared" si="6"/>
        <v>6.6167209605777239E-2</v>
      </c>
      <c r="AG21" s="243">
        <f t="shared" si="6"/>
        <v>7.235943117128274E-2</v>
      </c>
      <c r="AH21" s="243">
        <f t="shared" si="6"/>
        <v>6.9829361317919378E-2</v>
      </c>
      <c r="AI21" s="243">
        <f t="shared" si="6"/>
        <v>7.7493587412516093E-2</v>
      </c>
      <c r="AJ21" s="243">
        <f t="shared" si="6"/>
        <v>7.0795436907068007E-2</v>
      </c>
      <c r="AK21" s="243">
        <f t="shared" si="6"/>
        <v>7.1248078821592856E-2</v>
      </c>
      <c r="AL21" s="243">
        <f t="shared" si="6"/>
        <v>6.4266795494673623E-2</v>
      </c>
      <c r="AM21" s="243">
        <f t="shared" si="6"/>
        <v>5.8857557967204835E-2</v>
      </c>
      <c r="AN21" s="243">
        <f t="shared" si="6"/>
        <v>4.8277541316436245E-2</v>
      </c>
      <c r="AO21" s="243">
        <f t="shared" si="6"/>
        <v>3.7713483578383875E-2</v>
      </c>
      <c r="AP21" s="243">
        <f t="shared" si="6"/>
        <v>1.8428536863224817E-2</v>
      </c>
      <c r="AQ21" s="243">
        <f t="shared" si="6"/>
        <v>5.4680139013119113E-2</v>
      </c>
      <c r="AR21" s="243">
        <f t="shared" si="6"/>
        <v>4.6111103376280799E-2</v>
      </c>
      <c r="AS21" s="243">
        <f t="shared" si="6"/>
        <v>6.9938923905870809E-2</v>
      </c>
      <c r="AT21" s="243">
        <f t="shared" si="6"/>
        <v>4.6704422664604929E-2</v>
      </c>
      <c r="AU21" s="243">
        <f t="shared" si="6"/>
        <v>4.7894614970123664E-2</v>
      </c>
      <c r="AV21" s="243">
        <f t="shared" si="6"/>
        <v>4.7137943422855842E-2</v>
      </c>
      <c r="AW21" s="243">
        <f t="shared" si="6"/>
        <v>5.2443888450611112E-2</v>
      </c>
      <c r="AX21" s="243">
        <f t="shared" si="6"/>
        <v>3.8389937263426516E-2</v>
      </c>
      <c r="AY21" s="243">
        <f t="shared" si="6"/>
        <v>4.1312602739305745E-2</v>
      </c>
      <c r="AZ21" s="243">
        <f t="shared" si="6"/>
        <v>4.6139834218743576E-2</v>
      </c>
      <c r="BA21" s="243">
        <f t="shared" si="6"/>
        <v>5.0069241819514644E-2</v>
      </c>
      <c r="BB21" s="243">
        <f t="shared" si="6"/>
        <v>4.9855748673113862E-2</v>
      </c>
      <c r="BC21" s="243">
        <f t="shared" si="6"/>
        <v>4.7591643700106115E-2</v>
      </c>
      <c r="BD21" s="243">
        <f t="shared" si="6"/>
        <v>4.9504165016942242E-2</v>
      </c>
      <c r="BE21" s="243">
        <f t="shared" si="6"/>
        <v>4.4348581038069046E-2</v>
      </c>
      <c r="BF21" s="243">
        <f t="shared" si="6"/>
        <v>4.6695749084929399E-2</v>
      </c>
      <c r="BG21" s="243">
        <f t="shared" si="6"/>
        <v>4.2717665340812463E-2</v>
      </c>
      <c r="BH21" s="243">
        <f t="shared" si="6"/>
        <v>5.6030626080895624E-2</v>
      </c>
      <c r="BI21" s="243">
        <f t="shared" si="6"/>
        <v>5.5030785746085373E-2</v>
      </c>
      <c r="BJ21" s="243">
        <f t="shared" si="6"/>
        <v>5.1635456778033335E-2</v>
      </c>
      <c r="BK21" s="243">
        <f t="shared" si="6"/>
        <v>3.9132733759384232E-2</v>
      </c>
      <c r="BL21" s="243">
        <f t="shared" si="6"/>
        <v>4.4497193054205762E-2</v>
      </c>
      <c r="BM21" s="243">
        <f t="shared" si="6"/>
        <v>6.0244874855642221E-2</v>
      </c>
      <c r="BN21" s="243">
        <f t="shared" si="6"/>
        <v>5.2924695417346984E-2</v>
      </c>
      <c r="BO21" s="243">
        <f t="shared" si="6"/>
        <v>5.1112240398166982E-2</v>
      </c>
      <c r="BP21" s="243">
        <f t="shared" si="6"/>
        <v>4.4571927527961519E-2</v>
      </c>
      <c r="BQ21" s="243">
        <f t="shared" si="6"/>
        <v>7.1773899049406356E-2</v>
      </c>
      <c r="BR21" s="243">
        <f t="shared" ref="BR21:CK21" si="7">BR20/BR19</f>
        <v>4.7475985970354587E-2</v>
      </c>
      <c r="BS21" s="243">
        <f t="shared" si="7"/>
        <v>8.164011787760303E-2</v>
      </c>
      <c r="BT21" s="243">
        <f t="shared" si="7"/>
        <v>6.9541475611812537E-2</v>
      </c>
      <c r="BU21" s="243">
        <f t="shared" si="7"/>
        <v>0.11280248209373228</v>
      </c>
      <c r="BV21" s="243">
        <f t="shared" si="7"/>
        <v>8.2249357486480212E-2</v>
      </c>
      <c r="BW21" s="243">
        <f t="shared" si="7"/>
        <v>0.12603710708869606</v>
      </c>
      <c r="BX21" s="243">
        <f t="shared" si="7"/>
        <v>0.11817702382467467</v>
      </c>
      <c r="BY21" s="243">
        <f t="shared" si="7"/>
        <v>0.1188089469257196</v>
      </c>
      <c r="BZ21" s="243">
        <f t="shared" si="7"/>
        <v>1</v>
      </c>
      <c r="CA21" s="243">
        <f t="shared" si="7"/>
        <v>8.7992469283579525E-2</v>
      </c>
      <c r="CB21" s="243">
        <f t="shared" si="7"/>
        <v>0.10283833759545963</v>
      </c>
      <c r="CC21" s="243">
        <f t="shared" si="7"/>
        <v>5.6419685834682924E-2</v>
      </c>
      <c r="CD21" s="243" t="e">
        <f t="shared" si="7"/>
        <v>#DIV/0!</v>
      </c>
      <c r="CE21" s="243" t="e">
        <f t="shared" si="7"/>
        <v>#DIV/0!</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685</v>
      </c>
      <c r="E22" s="26">
        <f>资产资本表!E69</f>
        <v>13353023151.519997</v>
      </c>
      <c r="F22" s="192">
        <f>资产资本表!F69</f>
        <v>12308352054.460005</v>
      </c>
      <c r="G22" s="192">
        <f>资产资本表!G69</f>
        <v>11642609055.280003</v>
      </c>
      <c r="H22" s="192">
        <f>资产资本表!H69</f>
        <v>9642177232.4199982</v>
      </c>
      <c r="I22" s="192">
        <f>资产资本表!I69</f>
        <v>7608706045.5700045</v>
      </c>
      <c r="J22" s="192">
        <f>资产资本表!J69</f>
        <v>8574181301.4199991</v>
      </c>
      <c r="K22" s="192">
        <f>资产资本表!K69</f>
        <v>7565197261.3299952</v>
      </c>
      <c r="L22" s="192">
        <f>资产资本表!L69</f>
        <v>7674072710.75</v>
      </c>
      <c r="M22" s="192">
        <f>资产资本表!M69</f>
        <v>5055244572.04</v>
      </c>
      <c r="N22" s="192">
        <f>资产资本表!N69</f>
        <v>4615109524.7399998</v>
      </c>
      <c r="O22" s="192">
        <f>资产资本表!O69</f>
        <v>4592448317.8700018</v>
      </c>
      <c r="P22" s="192">
        <f>资产资本表!P69</f>
        <v>6355379194.829999</v>
      </c>
      <c r="Q22" s="192">
        <f>资产资本表!Q69</f>
        <v>5009012876.2200041</v>
      </c>
      <c r="R22" s="192">
        <f>资产资本表!R69</f>
        <v>4609653194.54</v>
      </c>
      <c r="S22" s="192">
        <f>资产资本表!S69</f>
        <v>4481261425.1500015</v>
      </c>
      <c r="T22" s="192">
        <f>资产资本表!T69</f>
        <v>5604346436.25</v>
      </c>
      <c r="U22" s="192">
        <f>资产资本表!U69</f>
        <v>5042593530.2299995</v>
      </c>
      <c r="V22" s="192">
        <f>资产资本表!V69</f>
        <v>3602353312.8900013</v>
      </c>
      <c r="W22" s="192">
        <f>资产资本表!W69</f>
        <v>4307555554.2299995</v>
      </c>
      <c r="X22" s="192">
        <f>资产资本表!X69</f>
        <v>5226570103.54</v>
      </c>
      <c r="Y22" s="192">
        <f>资产资本表!Y69</f>
        <v>4982144938.210001</v>
      </c>
      <c r="Z22" s="192">
        <f>资产资本表!Z69</f>
        <v>2704237959.1099997</v>
      </c>
      <c r="AA22" s="192">
        <f>资产资本表!AA69</f>
        <v>1985384835.920002</v>
      </c>
      <c r="AB22" s="192">
        <f>资产资本表!AB69</f>
        <v>1765943349.4899993</v>
      </c>
      <c r="AC22" s="192">
        <f>资产资本表!AC69</f>
        <v>2124209821.9300008</v>
      </c>
      <c r="AD22" s="192">
        <f>资产资本表!AD69</f>
        <v>1805422827.8900003</v>
      </c>
      <c r="AE22" s="192">
        <f>资产资本表!AE69</f>
        <v>1845665996.5200002</v>
      </c>
      <c r="AF22" s="192">
        <f>资产资本表!AF69</f>
        <v>1421222770.8299997</v>
      </c>
      <c r="AG22" s="192">
        <f>资产资本表!AG69</f>
        <v>1215190245.2399993</v>
      </c>
      <c r="AH22" s="192">
        <f>资产资本表!AH69</f>
        <v>-179111620.05000114</v>
      </c>
      <c r="AI22" s="192">
        <f>资产资本表!AI69</f>
        <v>732949818.57000041</v>
      </c>
      <c r="AJ22" s="192">
        <f>资产资本表!AJ69</f>
        <v>568140825.44000053</v>
      </c>
      <c r="AK22" s="192">
        <f>资产资本表!AK69</f>
        <v>728236547.70000005</v>
      </c>
      <c r="AL22" s="192">
        <f>资产资本表!AL69</f>
        <v>-329271491.46999955</v>
      </c>
      <c r="AM22" s="192">
        <f>资产资本表!AM69</f>
        <v>68127383.349999428</v>
      </c>
      <c r="AN22" s="192">
        <f>资产资本表!AN69</f>
        <v>294300051.78999996</v>
      </c>
      <c r="AO22" s="192">
        <f>资产资本表!AO69</f>
        <v>-17718810.120000362</v>
      </c>
      <c r="AP22" s="192">
        <f>资产资本表!AP69</f>
        <v>23928011.319999695</v>
      </c>
      <c r="AQ22" s="192">
        <f>资产资本表!AQ69</f>
        <v>-96757468.759999752</v>
      </c>
      <c r="AR22" s="192">
        <f>资产资本表!AR69</f>
        <v>-132380333.20000017</v>
      </c>
      <c r="AS22" s="192">
        <f>资产资本表!AS69</f>
        <v>-169237408.53000009</v>
      </c>
      <c r="AT22" s="192">
        <f>资产资本表!AT69</f>
        <v>-245741854.06999969</v>
      </c>
      <c r="AU22" s="192">
        <f>资产资本表!AU69</f>
        <v>55785941.379999876</v>
      </c>
      <c r="AV22" s="192">
        <f>资产资本表!AV69</f>
        <v>-11267329.199999809</v>
      </c>
      <c r="AW22" s="192">
        <f>资产资本表!AW69</f>
        <v>-62039236.009999871</v>
      </c>
      <c r="AX22" s="192">
        <f>资产资本表!AX69</f>
        <v>161257082.29999971</v>
      </c>
      <c r="AY22" s="192">
        <f>资产资本表!AY69</f>
        <v>166792914.58000004</v>
      </c>
      <c r="AZ22" s="192">
        <f>资产资本表!AZ69</f>
        <v>378070982.70999992</v>
      </c>
      <c r="BA22" s="192">
        <f>资产资本表!BA69</f>
        <v>436727536.39000022</v>
      </c>
      <c r="BB22" s="192">
        <f>资产资本表!BB69</f>
        <v>463011229.74000013</v>
      </c>
      <c r="BC22" s="192">
        <f>资产资本表!BC69</f>
        <v>634692433.95000005</v>
      </c>
      <c r="BD22" s="192">
        <f>资产资本表!BD69</f>
        <v>776390190.43000031</v>
      </c>
      <c r="BE22" s="192">
        <f>资产资本表!BE69</f>
        <v>704619511.68999994</v>
      </c>
      <c r="BF22" s="192">
        <f>资产资本表!BF69</f>
        <v>808699288.33000004</v>
      </c>
      <c r="BG22" s="192">
        <f>资产资本表!BG69</f>
        <v>913611034.9799999</v>
      </c>
      <c r="BH22" s="192">
        <f>资产资本表!BH69</f>
        <v>860020327.29999971</v>
      </c>
      <c r="BI22" s="192">
        <f>资产资本表!BI69</f>
        <v>757934741.00999987</v>
      </c>
      <c r="BJ22" s="192">
        <f>资产资本表!BJ69</f>
        <v>733223056.80999994</v>
      </c>
      <c r="BK22" s="192">
        <f>资产资本表!BK69</f>
        <v>698861726.88000011</v>
      </c>
      <c r="BL22" s="192">
        <f>资产资本表!BL69</f>
        <v>621800455.81999993</v>
      </c>
      <c r="BM22" s="192">
        <f>资产资本表!BM69</f>
        <v>560202309.44000006</v>
      </c>
      <c r="BN22" s="192">
        <f>资产资本表!BN69</f>
        <v>554644533.56999993</v>
      </c>
      <c r="BO22" s="192">
        <f>资产资本表!BO69</f>
        <v>585746294.30999982</v>
      </c>
      <c r="BP22" s="192">
        <f>资产资本表!BP69</f>
        <v>648646516.27999997</v>
      </c>
      <c r="BQ22" s="192">
        <f>资产资本表!BQ69</f>
        <v>593372659.45000005</v>
      </c>
      <c r="BR22" s="192">
        <f>资产资本表!BR69</f>
        <v>546854725.6500001</v>
      </c>
      <c r="BS22" s="192">
        <f>资产资本表!BS69</f>
        <v>547122895.86000001</v>
      </c>
      <c r="BT22" s="192">
        <f>资产资本表!BT69</f>
        <v>666093090.50999999</v>
      </c>
      <c r="BU22" s="192">
        <f>资产资本表!BU69</f>
        <v>632752816</v>
      </c>
      <c r="BV22" s="192">
        <f>资产资本表!BV69</f>
        <v>584555438.73000002</v>
      </c>
      <c r="BW22" s="192">
        <f>资产资本表!BW69</f>
        <v>561728016.43999994</v>
      </c>
      <c r="BX22" s="192">
        <f>资产资本表!BX69</f>
        <v>483515534.34000009</v>
      </c>
      <c r="BY22" s="192">
        <f>资产资本表!BY69</f>
        <v>345960100.43000001</v>
      </c>
      <c r="BZ22" s="192">
        <f>资产资本表!BZ69</f>
        <v>159818435.05000001</v>
      </c>
      <c r="CA22" s="192">
        <f>资产资本表!CA69</f>
        <v>127386160</v>
      </c>
      <c r="CB22" s="192">
        <f>资产资本表!CB69</f>
        <v>77587807</v>
      </c>
      <c r="CC22" s="192">
        <f>资产资本表!CC69</f>
        <v>57919885</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686</v>
      </c>
      <c r="E23" s="245">
        <f>E19/E22</f>
        <v>2.4879720786575805</v>
      </c>
      <c r="F23" s="245">
        <f t="shared" ref="F23:BQ23" si="8">F19/F22</f>
        <v>1.5432582556465844</v>
      </c>
      <c r="G23" s="245">
        <f t="shared" si="8"/>
        <v>0.7999124121475556</v>
      </c>
      <c r="H23" s="245">
        <f t="shared" si="8"/>
        <v>0.4012017777678924</v>
      </c>
      <c r="I23" s="245">
        <f t="shared" si="8"/>
        <v>4.7117659465360875</v>
      </c>
      <c r="J23" s="245">
        <f t="shared" si="8"/>
        <v>2.5260905402983433</v>
      </c>
      <c r="K23" s="245">
        <f t="shared" si="8"/>
        <v>1.7538368111920728</v>
      </c>
      <c r="L23" s="245">
        <f t="shared" si="8"/>
        <v>0.66806619850217053</v>
      </c>
      <c r="M23" s="245">
        <f t="shared" si="8"/>
        <v>6.1739592234891862</v>
      </c>
      <c r="N23" s="245">
        <f t="shared" si="8"/>
        <v>4.1015423808661193</v>
      </c>
      <c r="O23" s="245">
        <f t="shared" si="8"/>
        <v>2.2618087308313246</v>
      </c>
      <c r="P23" s="245">
        <f t="shared" si="8"/>
        <v>0.6723948190213862</v>
      </c>
      <c r="Q23" s="245">
        <f t="shared" si="8"/>
        <v>5.1364011530702181</v>
      </c>
      <c r="R23" s="245">
        <f t="shared" si="8"/>
        <v>3.2545837308390202</v>
      </c>
      <c r="S23" s="245">
        <f t="shared" si="8"/>
        <v>2.0845641453728203</v>
      </c>
      <c r="T23" s="245">
        <f t="shared" si="8"/>
        <v>0.78438324545144245</v>
      </c>
      <c r="U23" s="245">
        <f t="shared" si="8"/>
        <v>4.3814411053734625</v>
      </c>
      <c r="V23" s="245">
        <f t="shared" si="8"/>
        <v>3.7945769221408399</v>
      </c>
      <c r="W23" s="245">
        <f t="shared" si="8"/>
        <v>2.2434411393487994</v>
      </c>
      <c r="X23" s="245">
        <f t="shared" si="8"/>
        <v>0.82986408274755208</v>
      </c>
      <c r="Y23" s="245">
        <f t="shared" si="8"/>
        <v>3.9668575370913781</v>
      </c>
      <c r="Z23" s="245">
        <f t="shared" si="8"/>
        <v>4.9215370301621562</v>
      </c>
      <c r="AA23" s="245">
        <f t="shared" si="8"/>
        <v>4.1786574143373203</v>
      </c>
      <c r="AB23" s="245">
        <f t="shared" si="8"/>
        <v>2.2477222954441545</v>
      </c>
      <c r="AC23" s="245">
        <f t="shared" si="8"/>
        <v>7.9709291286894155</v>
      </c>
      <c r="AD23" s="245">
        <f t="shared" si="8"/>
        <v>6.0980386513871983</v>
      </c>
      <c r="AE23" s="245">
        <f t="shared" si="8"/>
        <v>3.4707073077241821</v>
      </c>
      <c r="AF23" s="245">
        <f t="shared" si="8"/>
        <v>2.0742419954743476</v>
      </c>
      <c r="AG23" s="245">
        <f t="shared" si="8"/>
        <v>11.091678996993599</v>
      </c>
      <c r="AH23" s="245">
        <f t="shared" si="8"/>
        <v>-50.987683478160484</v>
      </c>
      <c r="AI23" s="245">
        <f t="shared" si="8"/>
        <v>7.5385246998629283</v>
      </c>
      <c r="AJ23" s="245">
        <f t="shared" si="8"/>
        <v>4.14917971971889</v>
      </c>
      <c r="AK23" s="245">
        <f t="shared" si="8"/>
        <v>12.058899353727121</v>
      </c>
      <c r="AL23" s="245">
        <f t="shared" si="8"/>
        <v>-17.714265927882298</v>
      </c>
      <c r="AM23" s="245">
        <f t="shared" si="8"/>
        <v>52.071606845590523</v>
      </c>
      <c r="AN23" s="245">
        <f t="shared" si="8"/>
        <v>4.4926378376020608</v>
      </c>
      <c r="AO23" s="245">
        <f t="shared" si="8"/>
        <v>-470.44196583556084</v>
      </c>
      <c r="AP23" s="245">
        <f t="shared" si="8"/>
        <v>246.95223984790707</v>
      </c>
      <c r="AQ23" s="245">
        <f t="shared" si="8"/>
        <v>-44.124327182430221</v>
      </c>
      <c r="AR23" s="245">
        <f t="shared" si="8"/>
        <v>-13.059220064797342</v>
      </c>
      <c r="AS23" s="245">
        <f t="shared" si="8"/>
        <v>-46.566375083337469</v>
      </c>
      <c r="AT23" s="245">
        <f t="shared" si="8"/>
        <v>-19.497383698485439</v>
      </c>
      <c r="AU23" s="245">
        <f t="shared" si="8"/>
        <v>50.634074945496707</v>
      </c>
      <c r="AV23" s="245">
        <f t="shared" si="8"/>
        <v>-108.18769700365377</v>
      </c>
      <c r="AW23" s="245">
        <f t="shared" si="8"/>
        <v>-79.860859871185426</v>
      </c>
      <c r="AX23" s="245">
        <f t="shared" si="8"/>
        <v>19.916687529388629</v>
      </c>
      <c r="AY23" s="245">
        <f t="shared" si="8"/>
        <v>12.226015002045656</v>
      </c>
      <c r="AZ23" s="245">
        <f t="shared" si="8"/>
        <v>2.3477141848012106</v>
      </c>
      <c r="BA23" s="245">
        <f t="shared" si="8"/>
        <v>10.478926085835852</v>
      </c>
      <c r="BB23" s="245">
        <f t="shared" si="8"/>
        <v>6.3587291904415988</v>
      </c>
      <c r="BC23" s="245">
        <f t="shared" si="8"/>
        <v>2.6774194482581004</v>
      </c>
      <c r="BD23" s="245">
        <f t="shared" si="8"/>
        <v>0.95235579953745508</v>
      </c>
      <c r="BE23" s="245">
        <f t="shared" si="8"/>
        <v>5.604569050008676</v>
      </c>
      <c r="BF23" s="245">
        <f t="shared" si="8"/>
        <v>3.4155865770749343</v>
      </c>
      <c r="BG23" s="245">
        <f t="shared" si="8"/>
        <v>1.6273335036638943</v>
      </c>
      <c r="BH23" s="245">
        <f t="shared" si="8"/>
        <v>0.66609686342933516</v>
      </c>
      <c r="BI23" s="245">
        <f t="shared" si="8"/>
        <v>4.2927833880187221</v>
      </c>
      <c r="BJ23" s="245">
        <f t="shared" si="8"/>
        <v>2.6545872959425658</v>
      </c>
      <c r="BK23" s="245">
        <f t="shared" si="8"/>
        <v>1.7199161714093836</v>
      </c>
      <c r="BL23" s="245">
        <f t="shared" si="8"/>
        <v>1.2023081601863854</v>
      </c>
      <c r="BM23" s="245">
        <f t="shared" si="8"/>
        <v>4.7929995194308983</v>
      </c>
      <c r="BN23" s="245">
        <f t="shared" si="8"/>
        <v>3.3242808640739998</v>
      </c>
      <c r="BO23" s="245">
        <f t="shared" si="8"/>
        <v>1.7052986685927847</v>
      </c>
      <c r="BP23" s="245">
        <f t="shared" si="8"/>
        <v>0.5621490673860311</v>
      </c>
      <c r="BQ23" s="245">
        <f t="shared" si="8"/>
        <v>2.6619280479725171</v>
      </c>
      <c r="BR23" s="245">
        <f t="shared" ref="BR23:CK23" si="9">BR19/BR22</f>
        <v>1.2833948968362543</v>
      </c>
      <c r="BS23" s="245">
        <f t="shared" si="9"/>
        <v>2.1914059133558847</v>
      </c>
      <c r="BT23" s="245">
        <f t="shared" si="9"/>
        <v>0.70531553574634609</v>
      </c>
      <c r="BU23" s="245">
        <f t="shared" si="9"/>
        <v>1.1064499861980859</v>
      </c>
      <c r="BV23" s="245">
        <f t="shared" si="9"/>
        <v>0.54587852069816634</v>
      </c>
      <c r="BW23" s="245">
        <f t="shared" si="9"/>
        <v>1.0065657940534536</v>
      </c>
      <c r="BX23" s="245">
        <f t="shared" si="9"/>
        <v>0.46853646269966076</v>
      </c>
      <c r="BY23" s="245">
        <f t="shared" si="9"/>
        <v>1.2622026419730277</v>
      </c>
      <c r="BZ23" s="245">
        <f t="shared" si="9"/>
        <v>0.98294566913293024</v>
      </c>
      <c r="CA23" s="245">
        <f t="shared" si="9"/>
        <v>3.4467557778647224</v>
      </c>
      <c r="CB23" s="245">
        <f t="shared" si="9"/>
        <v>3.5345441971313867</v>
      </c>
      <c r="CC23" s="245">
        <f t="shared" si="9"/>
        <v>2.3761994002577871</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693</v>
      </c>
      <c r="E24" s="160">
        <f>E21*E23</f>
        <v>0.27044637422042689</v>
      </c>
      <c r="F24" s="160">
        <f t="shared" ref="F24:BQ24" si="10">F21*F23</f>
        <v>0.17382528128651784</v>
      </c>
      <c r="G24" s="160">
        <f t="shared" si="10"/>
        <v>7.3781721159007108E-2</v>
      </c>
      <c r="H24" s="160">
        <f t="shared" si="10"/>
        <v>3.6933218716684132E-2</v>
      </c>
      <c r="I24" s="160">
        <f t="shared" si="10"/>
        <v>0.65684910733801327</v>
      </c>
      <c r="J24" s="160">
        <f t="shared" si="10"/>
        <v>0.32453626757567616</v>
      </c>
      <c r="K24" s="160">
        <f t="shared" si="10"/>
        <v>0.2004915064757144</v>
      </c>
      <c r="L24" s="160">
        <f t="shared" si="10"/>
        <v>7.450011893412517E-2</v>
      </c>
      <c r="M24" s="160">
        <f t="shared" si="10"/>
        <v>0.77777190229064308</v>
      </c>
      <c r="N24" s="160">
        <f t="shared" si="10"/>
        <v>0.46127767063771535</v>
      </c>
      <c r="O24" s="160">
        <f t="shared" si="10"/>
        <v>0.21844267278663312</v>
      </c>
      <c r="P24" s="160">
        <f t="shared" si="10"/>
        <v>5.8997415704953801E-2</v>
      </c>
      <c r="Q24" s="160">
        <f t="shared" si="10"/>
        <v>0.57937373218933097</v>
      </c>
      <c r="R24" s="160">
        <f t="shared" si="10"/>
        <v>0.25526203113148083</v>
      </c>
      <c r="S24" s="160">
        <f t="shared" si="10"/>
        <v>0.15992746523062093</v>
      </c>
      <c r="T24" s="160">
        <f t="shared" si="10"/>
        <v>5.1223904395547998E-2</v>
      </c>
      <c r="U24" s="160">
        <f t="shared" si="10"/>
        <v>0.40389412317099954</v>
      </c>
      <c r="V24" s="160">
        <f t="shared" si="10"/>
        <v>0.2762847981869766</v>
      </c>
      <c r="W24" s="160">
        <f t="shared" si="10"/>
        <v>0.16375729289835994</v>
      </c>
      <c r="X24" s="160">
        <f t="shared" si="10"/>
        <v>5.3381933061804401E-2</v>
      </c>
      <c r="Y24" s="160">
        <f t="shared" si="10"/>
        <v>0.33398866622853396</v>
      </c>
      <c r="Z24" s="160">
        <f t="shared" si="10"/>
        <v>0.37327256117365171</v>
      </c>
      <c r="AA24" s="160">
        <f t="shared" si="10"/>
        <v>0.29702054777543463</v>
      </c>
      <c r="AB24" s="160">
        <f t="shared" si="10"/>
        <v>0.1413194300610339</v>
      </c>
      <c r="AC24" s="160">
        <f t="shared" si="10"/>
        <v>0.63465566666814188</v>
      </c>
      <c r="AD24" s="160">
        <f t="shared" si="10"/>
        <v>0.45121959855912175</v>
      </c>
      <c r="AE24" s="160">
        <f t="shared" si="10"/>
        <v>0.25562125708528066</v>
      </c>
      <c r="AF24" s="160">
        <f t="shared" si="10"/>
        <v>0.13724680488765681</v>
      </c>
      <c r="AG24" s="160">
        <f t="shared" si="10"/>
        <v>0.80258758295692068</v>
      </c>
      <c r="AH24" s="160">
        <f t="shared" si="10"/>
        <v>-3.5604373723601768</v>
      </c>
      <c r="AI24" s="160">
        <f t="shared" si="10"/>
        <v>0.58418732279023944</v>
      </c>
      <c r="AJ24" s="160">
        <f t="shared" si="10"/>
        <v>0.29374299106344481</v>
      </c>
      <c r="AK24" s="160">
        <f t="shared" si="10"/>
        <v>0.85917341165600503</v>
      </c>
      <c r="AL24" s="160">
        <f t="shared" si="10"/>
        <v>-1.1384391057254766</v>
      </c>
      <c r="AM24" s="160">
        <f t="shared" si="10"/>
        <v>3.0648076183598443</v>
      </c>
      <c r="AN24" s="160">
        <f t="shared" si="10"/>
        <v>0.21689350882461828</v>
      </c>
      <c r="AO24" s="160">
        <f t="shared" si="10"/>
        <v>-17.74200535312205</v>
      </c>
      <c r="AP24" s="160">
        <f t="shared" si="10"/>
        <v>4.5509684554930923</v>
      </c>
      <c r="AQ24" s="160">
        <f t="shared" si="10"/>
        <v>-2.412724344195635</v>
      </c>
      <c r="AR24" s="160">
        <f t="shared" si="10"/>
        <v>-0.60217504642147068</v>
      </c>
      <c r="AS24" s="160">
        <f t="shared" si="10"/>
        <v>-3.2568021635257778</v>
      </c>
      <c r="AT24" s="160">
        <f t="shared" si="10"/>
        <v>-0.910614049108042</v>
      </c>
      <c r="AU24" s="160">
        <f t="shared" si="10"/>
        <v>2.4250995238829502</v>
      </c>
      <c r="AV24" s="160">
        <f t="shared" si="10"/>
        <v>-5.0997455404073015</v>
      </c>
      <c r="AW24" s="160">
        <f t="shared" si="10"/>
        <v>-4.1882140266543342</v>
      </c>
      <c r="AX24" s="160">
        <f t="shared" si="10"/>
        <v>0.76460038474849867</v>
      </c>
      <c r="AY24" s="160">
        <f t="shared" si="10"/>
        <v>0.50508850086430457</v>
      </c>
      <c r="AZ24" s="160">
        <f t="shared" si="10"/>
        <v>0.10832314327972058</v>
      </c>
      <c r="BA24" s="160">
        <f t="shared" si="10"/>
        <v>0.52467188420053534</v>
      </c>
      <c r="BB24" s="160">
        <f t="shared" si="10"/>
        <v>0.31701920439904913</v>
      </c>
      <c r="BC24" s="160">
        <f t="shared" si="10"/>
        <v>0.12742279241723423</v>
      </c>
      <c r="BD24" s="160">
        <f t="shared" si="10"/>
        <v>4.7145578655144141E-2</v>
      </c>
      <c r="BE24" s="160">
        <f t="shared" si="10"/>
        <v>0.24855468469776343</v>
      </c>
      <c r="BF24" s="160">
        <f t="shared" si="10"/>
        <v>0.159493373780944</v>
      </c>
      <c r="BG24" s="160">
        <f t="shared" si="10"/>
        <v>6.9515888007406046E-2</v>
      </c>
      <c r="BH24" s="160">
        <f t="shared" si="10"/>
        <v>3.7321824288466476E-2</v>
      </c>
      <c r="BI24" s="160">
        <f t="shared" si="10"/>
        <v>0.23623524288041275</v>
      </c>
      <c r="BJ24" s="160">
        <f t="shared" si="10"/>
        <v>0.13707082758315875</v>
      </c>
      <c r="BK24" s="160">
        <f t="shared" si="10"/>
        <v>6.730502162422286E-2</v>
      </c>
      <c r="BL24" s="160">
        <f t="shared" si="10"/>
        <v>5.3499338314460541E-2</v>
      </c>
      <c r="BM24" s="160">
        <f t="shared" si="10"/>
        <v>0.28875365623126775</v>
      </c>
      <c r="BN24" s="160">
        <f t="shared" si="10"/>
        <v>0.1759365522128315</v>
      </c>
      <c r="BO24" s="160">
        <f t="shared" si="10"/>
        <v>8.716163549978849E-2</v>
      </c>
      <c r="BP24" s="160">
        <f t="shared" si="10"/>
        <v>2.5056067491441333E-2</v>
      </c>
      <c r="BQ24" s="160">
        <f t="shared" si="10"/>
        <v>0.19105695499196276</v>
      </c>
      <c r="BR24" s="160">
        <f t="shared" ref="BR24:CK24" si="11">BR21*BR23</f>
        <v>6.093043811662268E-2</v>
      </c>
      <c r="BS24" s="160">
        <f t="shared" si="11"/>
        <v>0.17890663708405077</v>
      </c>
      <c r="BT24" s="160">
        <f t="shared" si="11"/>
        <v>4.9048683127737018E-2</v>
      </c>
      <c r="BU24" s="160">
        <f t="shared" si="11"/>
        <v>0.12481030475571991</v>
      </c>
      <c r="BV24" s="160">
        <f t="shared" si="11"/>
        <v>4.489815759309447E-2</v>
      </c>
      <c r="BW24" s="160">
        <f t="shared" si="11"/>
        <v>0.12686464077693352</v>
      </c>
      <c r="BX24" s="160">
        <f t="shared" si="11"/>
        <v>5.5370244715186603E-2</v>
      </c>
      <c r="BY24" s="160">
        <f t="shared" si="11"/>
        <v>0.14996096669967651</v>
      </c>
      <c r="BZ24" s="160">
        <f t="shared" si="11"/>
        <v>0.98294566913293024</v>
      </c>
      <c r="CA24" s="160">
        <f t="shared" si="11"/>
        <v>0.30328855191176185</v>
      </c>
      <c r="CB24" s="160">
        <f t="shared" si="11"/>
        <v>0.36348664939067032</v>
      </c>
      <c r="CC24" s="160">
        <f t="shared" si="11"/>
        <v>0.13406442364310633</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35064</v>
      </c>
      <c r="CC25" s="1">
        <v>34699</v>
      </c>
      <c r="CD25" s="1">
        <v>25569</v>
      </c>
      <c r="CE25" s="1"/>
      <c r="CF25" s="1"/>
      <c r="CG25" s="1"/>
      <c r="CH25" s="1"/>
      <c r="CI25" s="1"/>
      <c r="CJ25" s="1"/>
      <c r="CK25" s="1"/>
    </row>
    <row r="26" spans="1:89" s="76" customFormat="1" x14ac:dyDescent="0.25">
      <c r="A26" s="146" t="s">
        <v>442</v>
      </c>
      <c r="E26" s="76">
        <f>利润表!E14</f>
        <v>32853540.620000001</v>
      </c>
      <c r="F26" s="76">
        <f>利润表!F14</f>
        <v>39298991.979999997</v>
      </c>
      <c r="G26" s="76">
        <f>利润表!G14</f>
        <v>31041593.670000002</v>
      </c>
      <c r="H26" s="76">
        <f>利润表!H14</f>
        <v>13815692.869999999</v>
      </c>
      <c r="I26" s="76">
        <f>利润表!I14</f>
        <v>28640929.300000001</v>
      </c>
      <c r="J26" s="76">
        <f>利润表!J14</f>
        <v>11416697.560000001</v>
      </c>
      <c r="K26" s="76">
        <f>利润表!K14</f>
        <v>6272506.4699999997</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3666330</v>
      </c>
      <c r="AG26" s="76">
        <f>利润表!AG14</f>
        <v>0</v>
      </c>
      <c r="AH26" s="76">
        <f>利润表!AH14</f>
        <v>0</v>
      </c>
      <c r="AI26" s="76">
        <f>利润表!AI14</f>
        <v>0</v>
      </c>
      <c r="AJ26" s="76">
        <f>利润表!AJ14</f>
        <v>0</v>
      </c>
      <c r="AK26" s="76">
        <f>利润表!AK14</f>
        <v>-1328374.43</v>
      </c>
      <c r="AL26" s="76">
        <f>利润表!AL14</f>
        <v>5277574.4800000004</v>
      </c>
      <c r="AM26" s="76">
        <f>利润表!AM14</f>
        <v>5277574.4800000004</v>
      </c>
      <c r="AN26" s="76">
        <f>利润表!AN14</f>
        <v>-1338498.1499999999</v>
      </c>
      <c r="AO26" s="76">
        <f>利润表!AO14</f>
        <v>-3638378.98</v>
      </c>
      <c r="AP26" s="76">
        <f>利润表!AP14</f>
        <v>-2473518.4700000002</v>
      </c>
      <c r="AQ26" s="76">
        <f>利润表!AQ14</f>
        <v>-1793591.05</v>
      </c>
      <c r="AR26" s="76">
        <f>利润表!AR14</f>
        <v>-837793.33</v>
      </c>
      <c r="AS26" s="76">
        <f>利润表!AS14</f>
        <v>-1330461.3600000001</v>
      </c>
      <c r="AT26" s="76">
        <f>利润表!AT14</f>
        <v>-247631.13</v>
      </c>
      <c r="AU26" s="76">
        <f>利润表!AU14</f>
        <v>146578.22</v>
      </c>
      <c r="AV26" s="76">
        <f>利润表!AV14</f>
        <v>-72900.740000000005</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443</v>
      </c>
      <c r="E27" s="76">
        <f>资产资本表!E19</f>
        <v>664494468.41999996</v>
      </c>
      <c r="F27" s="76">
        <f>资产资本表!F19</f>
        <v>670939921.27999997</v>
      </c>
      <c r="G27" s="76">
        <f>资产资本表!G19</f>
        <v>372682522.97000003</v>
      </c>
      <c r="H27" s="76">
        <f>资产资本表!H19</f>
        <v>335456622.17000002</v>
      </c>
      <c r="I27" s="76">
        <f>资产资本表!I19</f>
        <v>321640929.30000001</v>
      </c>
      <c r="J27" s="76">
        <f>资产资本表!J19</f>
        <v>304416697.56</v>
      </c>
      <c r="K27" s="76">
        <f>资产资本表!K19</f>
        <v>296272506.47000003</v>
      </c>
      <c r="L27" s="76">
        <f>资产资本表!L19</f>
        <v>290000000</v>
      </c>
      <c r="M27" s="76">
        <f>资产资本表!M19</f>
        <v>0</v>
      </c>
      <c r="N27" s="76">
        <f>资产资本表!N19</f>
        <v>0</v>
      </c>
      <c r="O27" s="76">
        <f>资产资本表!O19</f>
        <v>0</v>
      </c>
      <c r="P27" s="76">
        <f>资产资本表!P19</f>
        <v>0</v>
      </c>
      <c r="Q27" s="76">
        <f>资产资本表!Q19</f>
        <v>0</v>
      </c>
      <c r="R27" s="76">
        <f>资产资本表!R19</f>
        <v>0</v>
      </c>
      <c r="S27" s="76">
        <f>资产资本表!S19</f>
        <v>149047800</v>
      </c>
      <c r="T27" s="76">
        <f>资产资本表!T19</f>
        <v>142377800</v>
      </c>
      <c r="U27" s="76">
        <f>资产资本表!U19</f>
        <v>142377800</v>
      </c>
      <c r="V27" s="76">
        <f>资产资本表!V19</f>
        <v>142377800</v>
      </c>
      <c r="W27" s="76">
        <f>资产资本表!W19</f>
        <v>142377800</v>
      </c>
      <c r="X27" s="76">
        <f>资产资本表!X19</f>
        <v>142377800</v>
      </c>
      <c r="Y27" s="76">
        <f>资产资本表!Y19</f>
        <v>142377800</v>
      </c>
      <c r="Z27" s="76">
        <f>资产资本表!Z19</f>
        <v>160308500</v>
      </c>
      <c r="AA27" s="76">
        <f>资产资本表!AA19</f>
        <v>160308500</v>
      </c>
      <c r="AB27" s="76">
        <f>资产资本表!AB19</f>
        <v>160308500</v>
      </c>
      <c r="AC27" s="76">
        <f>资产资本表!AC19</f>
        <v>85308500</v>
      </c>
      <c r="AD27" s="76">
        <f>资产资本表!AD19</f>
        <v>85308500</v>
      </c>
      <c r="AE27" s="76">
        <f>资产资本表!AE19</f>
        <v>85308500</v>
      </c>
      <c r="AF27" s="76">
        <f>资产资本表!AF19</f>
        <v>83094500</v>
      </c>
      <c r="AG27" s="76">
        <f>资产资本表!AG19</f>
        <v>83094500</v>
      </c>
      <c r="AH27" s="76">
        <f>资产资本表!AH19</f>
        <v>83194500</v>
      </c>
      <c r="AI27" s="76">
        <f>资产资本表!AI19</f>
        <v>83194500</v>
      </c>
      <c r="AJ27" s="76">
        <f>资产资本表!AJ19</f>
        <v>83194500</v>
      </c>
      <c r="AK27" s="76">
        <f>资产资本表!AK19</f>
        <v>83194500</v>
      </c>
      <c r="AL27" s="76">
        <f>资产资本表!AL19</f>
        <v>99054500</v>
      </c>
      <c r="AM27" s="76">
        <f>资产资本表!AM19</f>
        <v>99929500</v>
      </c>
      <c r="AN27" s="76">
        <f>资产资本表!AN19</f>
        <v>132489814.95</v>
      </c>
      <c r="AO27" s="76">
        <f>资产资本表!AO19</f>
        <v>132823313.09999999</v>
      </c>
      <c r="AP27" s="76">
        <f>资产资本表!AP19</f>
        <v>138518173.62</v>
      </c>
      <c r="AQ27" s="76">
        <f>资产资本表!AQ19</f>
        <v>48918601.030000001</v>
      </c>
      <c r="AR27" s="76">
        <f>资产资本表!AR19</f>
        <v>50351070.5</v>
      </c>
      <c r="AS27" s="76">
        <f>资产资本表!AS19</f>
        <v>68628986.680000007</v>
      </c>
      <c r="AT27" s="76">
        <f>资产资本表!AT19</f>
        <v>88769682.420000002</v>
      </c>
      <c r="AU27" s="76">
        <f>资产资本表!AU19</f>
        <v>89213891.769999996</v>
      </c>
      <c r="AV27" s="76">
        <f>资产资本表!AV19</f>
        <v>86994412.819999993</v>
      </c>
      <c r="AW27" s="76">
        <f>资产资本表!AW19</f>
        <v>57454828.520000003</v>
      </c>
      <c r="AX27" s="76">
        <f>资产资本表!AX19</f>
        <v>54962097.950000003</v>
      </c>
      <c r="AY27" s="76">
        <f>资产资本表!AY19</f>
        <v>51940081.740000002</v>
      </c>
      <c r="AZ27" s="76">
        <f>资产资本表!AZ19</f>
        <v>66109941.840000004</v>
      </c>
      <c r="BA27" s="76">
        <f>资产资本表!BA19</f>
        <v>65088181.200000003</v>
      </c>
      <c r="BB27" s="76">
        <f>资产资本表!BB19</f>
        <v>63987870.460000001</v>
      </c>
      <c r="BC27" s="76">
        <f>资产资本表!BC19</f>
        <v>62445047.329999998</v>
      </c>
      <c r="BD27" s="76">
        <f>资产资本表!BD19</f>
        <v>61431052.68</v>
      </c>
      <c r="BE27" s="76">
        <f>资产资本表!BE19</f>
        <v>60780691.920000002</v>
      </c>
      <c r="BF27" s="76">
        <f>资产资本表!BF19</f>
        <v>79279399.219999999</v>
      </c>
      <c r="BG27" s="76">
        <f>资产资本表!BG19</f>
        <v>34200848.210000001</v>
      </c>
      <c r="BH27" s="76">
        <f>资产资本表!BH19</f>
        <v>39831930.219999999</v>
      </c>
      <c r="BI27" s="76">
        <f>资产资本表!BI19</f>
        <v>29631930.219999999</v>
      </c>
      <c r="BJ27" s="76">
        <f>资产资本表!BJ19</f>
        <v>35680428.380000003</v>
      </c>
      <c r="BK27" s="76">
        <f>资产资本表!BK19</f>
        <v>23680428.379999999</v>
      </c>
      <c r="BL27" s="76">
        <f>资产资本表!BL19</f>
        <v>15675534.42</v>
      </c>
      <c r="BM27" s="76">
        <f>资产资本表!BM19</f>
        <v>10171425.68</v>
      </c>
      <c r="BN27" s="76">
        <f>资产资本表!BN19</f>
        <v>0</v>
      </c>
      <c r="BO27" s="76">
        <f>资产资本表!BO19</f>
        <v>4000000</v>
      </c>
      <c r="BP27" s="76">
        <f>资产资本表!BP19</f>
        <v>0</v>
      </c>
      <c r="BQ27" s="76">
        <f>资产资本表!BQ19</f>
        <v>0</v>
      </c>
      <c r="BR27" s="76">
        <f>资产资本表!BR19</f>
        <v>0</v>
      </c>
      <c r="BS27" s="76">
        <f>资产资本表!BS19</f>
        <v>1270</v>
      </c>
      <c r="BT27" s="76">
        <f>资产资本表!BT19</f>
        <v>22540</v>
      </c>
      <c r="BU27" s="76">
        <f>资产资本表!BU19</f>
        <v>0</v>
      </c>
      <c r="BV27" s="76">
        <f>资产资本表!BV19</f>
        <v>21605958</v>
      </c>
      <c r="BW27" s="76">
        <f>资产资本表!BW19</f>
        <v>21605958</v>
      </c>
      <c r="BX27" s="76">
        <f>资产资本表!BX19</f>
        <v>31600000</v>
      </c>
      <c r="BY27" s="76">
        <f>资产资本表!BY19</f>
        <v>31600000</v>
      </c>
      <c r="BZ27" s="76">
        <f>资产资本表!BZ19</f>
        <v>0</v>
      </c>
      <c r="CA27" s="76">
        <f>资产资本表!CA19</f>
        <v>118047</v>
      </c>
      <c r="CB27" s="76">
        <f>资产资本表!CB19</f>
        <v>223487</v>
      </c>
      <c r="CC27" s="76">
        <f>资产资本表!CC19</f>
        <v>250511</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4" t="s">
        <v>444</v>
      </c>
      <c r="E28" s="110">
        <f>E26/E27</f>
        <v>4.9441405732266554E-2</v>
      </c>
      <c r="F28" s="110">
        <f t="shared" ref="F28:BQ28" si="12">F26/F27</f>
        <v>5.8573041689077773E-2</v>
      </c>
      <c r="G28" s="110">
        <f t="shared" si="12"/>
        <v>8.3292324583996574E-2</v>
      </c>
      <c r="H28" s="110">
        <f t="shared" si="12"/>
        <v>4.1184737330952417E-2</v>
      </c>
      <c r="I28" s="110">
        <f t="shared" si="12"/>
        <v>8.9046283264795925E-2</v>
      </c>
      <c r="J28" s="110">
        <f t="shared" si="12"/>
        <v>3.7503519522774496E-2</v>
      </c>
      <c r="K28" s="110">
        <f t="shared" si="12"/>
        <v>2.1171409202747408E-2</v>
      </c>
      <c r="L28" s="110">
        <f t="shared" si="12"/>
        <v>0</v>
      </c>
      <c r="M28" s="110" t="e">
        <f t="shared" si="12"/>
        <v>#DIV/0!</v>
      </c>
      <c r="N28" s="110" t="e">
        <f t="shared" si="12"/>
        <v>#DIV/0!</v>
      </c>
      <c r="O28" s="110" t="e">
        <f t="shared" si="12"/>
        <v>#DIV/0!</v>
      </c>
      <c r="P28" s="110" t="e">
        <f t="shared" si="12"/>
        <v>#DIV/0!</v>
      </c>
      <c r="Q28" s="110" t="e">
        <f t="shared" si="12"/>
        <v>#DIV/0!</v>
      </c>
      <c r="R28" s="110" t="e">
        <f t="shared" si="12"/>
        <v>#DIV/0!</v>
      </c>
      <c r="S28" s="110">
        <f t="shared" si="12"/>
        <v>0</v>
      </c>
      <c r="T28" s="110">
        <f t="shared" si="12"/>
        <v>0</v>
      </c>
      <c r="U28" s="110">
        <f t="shared" si="12"/>
        <v>0</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0</v>
      </c>
      <c r="AF28" s="110">
        <f t="shared" si="12"/>
        <v>4.412241484093412E-2</v>
      </c>
      <c r="AG28" s="110">
        <f t="shared" si="12"/>
        <v>0</v>
      </c>
      <c r="AH28" s="110">
        <f t="shared" si="12"/>
        <v>0</v>
      </c>
      <c r="AI28" s="110">
        <f t="shared" si="12"/>
        <v>0</v>
      </c>
      <c r="AJ28" s="110">
        <f t="shared" si="12"/>
        <v>0</v>
      </c>
      <c r="AK28" s="110">
        <f t="shared" si="12"/>
        <v>-1.5967094339169055E-2</v>
      </c>
      <c r="AL28" s="110">
        <f t="shared" si="12"/>
        <v>5.3279502496100639E-2</v>
      </c>
      <c r="AM28" s="110">
        <f t="shared" si="12"/>
        <v>5.2812977949454366E-2</v>
      </c>
      <c r="AN28" s="110">
        <f t="shared" si="12"/>
        <v>-1.0102649403692899E-2</v>
      </c>
      <c r="AO28" s="110">
        <f t="shared" si="12"/>
        <v>-2.739262329091835E-2</v>
      </c>
      <c r="AP28" s="110">
        <f t="shared" si="12"/>
        <v>-1.7856995983687011E-2</v>
      </c>
      <c r="AQ28" s="110">
        <f t="shared" si="12"/>
        <v>-3.6664806683659165E-2</v>
      </c>
      <c r="AR28" s="110">
        <f t="shared" si="12"/>
        <v>-1.6639037098526037E-2</v>
      </c>
      <c r="AS28" s="110">
        <f t="shared" si="12"/>
        <v>-1.9386288860763927E-2</v>
      </c>
      <c r="AT28" s="110">
        <f t="shared" si="12"/>
        <v>-2.7895912573886622E-3</v>
      </c>
      <c r="AU28" s="110">
        <f t="shared" si="12"/>
        <v>1.6429977113641616E-3</v>
      </c>
      <c r="AV28" s="110">
        <f t="shared" si="12"/>
        <v>-8.3799335654852702E-4</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t="e">
        <f t="shared" si="12"/>
        <v>#DIV/0!</v>
      </c>
      <c r="BO28" s="110">
        <f t="shared" si="12"/>
        <v>0</v>
      </c>
      <c r="BP28" s="110" t="e">
        <f t="shared" si="12"/>
        <v>#DIV/0!</v>
      </c>
      <c r="BQ28" s="110" t="e">
        <f t="shared" si="12"/>
        <v>#DIV/0!</v>
      </c>
      <c r="BR28" s="110" t="e">
        <f t="shared" ref="BR28:CJ28" si="13">BR26/BR27</f>
        <v>#DIV/0!</v>
      </c>
      <c r="BS28" s="110">
        <f t="shared" si="13"/>
        <v>0</v>
      </c>
      <c r="BT28" s="110">
        <f t="shared" si="13"/>
        <v>0</v>
      </c>
      <c r="BU28" s="110" t="e">
        <f t="shared" si="13"/>
        <v>#DIV/0!</v>
      </c>
      <c r="BV28" s="110">
        <f t="shared" si="13"/>
        <v>0</v>
      </c>
      <c r="BW28" s="110">
        <f t="shared" si="13"/>
        <v>0</v>
      </c>
      <c r="BX28" s="110">
        <f t="shared" si="13"/>
        <v>0</v>
      </c>
      <c r="BY28" s="110">
        <f t="shared" si="13"/>
        <v>0</v>
      </c>
      <c r="BZ28" s="110" t="e">
        <f t="shared" si="13"/>
        <v>#DIV/0!</v>
      </c>
      <c r="CA28" s="110">
        <f t="shared" si="13"/>
        <v>0</v>
      </c>
      <c r="CB28" s="110">
        <f t="shared" si="13"/>
        <v>0</v>
      </c>
      <c r="CC28" s="110">
        <f t="shared" si="13"/>
        <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9" t="s">
        <v>695</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35064</v>
      </c>
      <c r="CC31" s="1">
        <v>34699</v>
      </c>
      <c r="CD31" s="1">
        <v>25569</v>
      </c>
      <c r="CE31" s="1"/>
      <c r="CF31" s="1"/>
      <c r="CG31" s="1"/>
      <c r="CH31" s="1"/>
      <c r="CI31" s="1"/>
      <c r="CJ31" s="1"/>
      <c r="CK31" s="1"/>
    </row>
    <row r="32" spans="1:89" s="76" customFormat="1" x14ac:dyDescent="0.25">
      <c r="A32" s="146" t="s">
        <v>449</v>
      </c>
      <c r="E32" s="76">
        <f>股权价值增加表!E29</f>
        <v>138617595.27676132</v>
      </c>
      <c r="F32" s="76">
        <f>股权价值增加表!F29</f>
        <v>115329459.65195258</v>
      </c>
      <c r="G32" s="76">
        <f>股权价值增加表!G29</f>
        <v>72923933.916982666</v>
      </c>
      <c r="H32" s="76">
        <f>股权价值增加表!H29</f>
        <v>48271909.33997643</v>
      </c>
      <c r="I32" s="76">
        <f>股权价值增加表!I29</f>
        <v>-41539962.538969755</v>
      </c>
      <c r="J32" s="76">
        <f>股权价值增加表!J29</f>
        <v>-24575680.861079086</v>
      </c>
      <c r="K32" s="76">
        <f>股权价值增加表!K29</f>
        <v>-19852770.568960764</v>
      </c>
      <c r="L32" s="76">
        <f>股权价值增加表!L29</f>
        <v>-75097447.069700524</v>
      </c>
      <c r="M32" s="76">
        <f>股权价值增加表!M29</f>
        <v>238479994.8323102</v>
      </c>
      <c r="N32" s="76">
        <f>股权价值增加表!N29</f>
        <v>-85283034.03183879</v>
      </c>
      <c r="O32" s="76">
        <f>股权价值增加表!O29</f>
        <v>-23891744.405669294</v>
      </c>
      <c r="P32" s="76">
        <f>股权价值增加表!P29</f>
        <v>8382967.0206400175</v>
      </c>
      <c r="Q32" s="76">
        <f>股权价值增加表!Q29</f>
        <v>188642875.37283987</v>
      </c>
      <c r="R32" s="76">
        <f>股权价值增加表!R29</f>
        <v>58067379.697611079</v>
      </c>
      <c r="S32" s="76">
        <f>股权价值增加表!S29</f>
        <v>37418385.16304376</v>
      </c>
      <c r="T32" s="76">
        <f>股权价值增加表!T29</f>
        <v>8269001.6993351048</v>
      </c>
      <c r="U32" s="76">
        <f>股权价值增加表!U29</f>
        <v>89818784.252933934</v>
      </c>
      <c r="V32" s="76">
        <f>股权价值增加表!V29</f>
        <v>21320081.252733909</v>
      </c>
      <c r="W32" s="76">
        <f>股权价值增加表!W29</f>
        <v>14731708.901501818</v>
      </c>
      <c r="X32" s="76">
        <f>股权价值增加表!X29</f>
        <v>8125248.2645204458</v>
      </c>
      <c r="Y32" s="76">
        <f>股权价值增加表!Y29</f>
        <v>104974209.68568201</v>
      </c>
      <c r="Z32" s="76">
        <f>股权价值增加表!Z29</f>
        <v>56497884.257258296</v>
      </c>
      <c r="AA32" s="76">
        <f>股权价值增加表!AA29</f>
        <v>54166419.542391233</v>
      </c>
      <c r="AB32" s="76">
        <f>股权价值增加表!AB29</f>
        <v>23502840.856054023</v>
      </c>
      <c r="AC32" s="76">
        <f>股权价值增加表!AC29</f>
        <v>-147877257.15050614</v>
      </c>
      <c r="AD32" s="76">
        <f>股权价值增加表!AD29</f>
        <v>-166314842.11872992</v>
      </c>
      <c r="AE32" s="76">
        <f>股权价值增加表!AE29</f>
        <v>-58145042.23239819</v>
      </c>
      <c r="AF32" s="76">
        <f>股权价值增加表!AF29</f>
        <v>-46927238.229000315</v>
      </c>
      <c r="AG32" s="76">
        <f>股权价值增加表!AG29</f>
        <v>-19966326.404355291</v>
      </c>
      <c r="AH32" s="76">
        <f>股权价值增加表!AH29</f>
        <v>-43467336.238841206</v>
      </c>
      <c r="AI32" s="76">
        <f>股权价值增加表!AI29</f>
        <v>-79025382.77952829</v>
      </c>
      <c r="AJ32" s="76">
        <f>股权价值增加表!AJ29</f>
        <v>-362806.00005317107</v>
      </c>
      <c r="AK32" s="76">
        <f>股权价值增加表!AK29</f>
        <v>271274958.53140187</v>
      </c>
      <c r="AL32" s="76">
        <f>股权价值增加表!AL29</f>
        <v>16839873.765535332</v>
      </c>
      <c r="AM32" s="76">
        <f>股权价值增加表!AM29</f>
        <v>9439575.9854633156</v>
      </c>
      <c r="AN32" s="76">
        <f>股权价值增加表!AN29</f>
        <v>1152750.6380807357</v>
      </c>
      <c r="AO32" s="76">
        <f>股权价值增加表!AO29</f>
        <v>282755285.79916251</v>
      </c>
      <c r="AP32" s="76">
        <f>股权价值增加表!AP29</f>
        <v>295047330.65722585</v>
      </c>
      <c r="AQ32" s="76">
        <f>股权价值增加表!AQ29</f>
        <v>221777880.26240832</v>
      </c>
      <c r="AR32" s="76">
        <f>股权价值增加表!AR29</f>
        <v>198819668.13944715</v>
      </c>
      <c r="AS32" s="76">
        <f>股权价值增加表!AS29</f>
        <v>48120795.398693442</v>
      </c>
      <c r="AT32" s="76">
        <f>股权价值增加表!AT29</f>
        <v>18732125.86292547</v>
      </c>
      <c r="AU32" s="76">
        <f>股权价值增加表!AU29</f>
        <v>9025402.8194129579</v>
      </c>
      <c r="AV32" s="76">
        <f>股权价值增加表!AV29</f>
        <v>5036404.1837006295</v>
      </c>
      <c r="AW32" s="76">
        <f>股权价值增加表!AW29</f>
        <v>8492220.8516103961</v>
      </c>
      <c r="AX32" s="76">
        <f>股权价值增加表!AX29</f>
        <v>1017272.2802162694</v>
      </c>
      <c r="AY32" s="76">
        <f>股权价值增加表!AY29</f>
        <v>-3200631.5824423912</v>
      </c>
      <c r="AZ32" s="76">
        <f>股权价值增加表!AZ29</f>
        <v>688103.64690500428</v>
      </c>
      <c r="BA32" s="76">
        <f>股权价值增加表!BA29</f>
        <v>5829402.9998250939</v>
      </c>
      <c r="BB32" s="76">
        <f>股权价值增加表!BB29</f>
        <v>4657078.3756130338</v>
      </c>
      <c r="BC32" s="76">
        <f>股权价值增加表!BC29</f>
        <v>3135478.2369945263</v>
      </c>
      <c r="BD32" s="76">
        <f>股权价值增加表!BD29</f>
        <v>2010345.2725870446</v>
      </c>
      <c r="BE32" s="76">
        <f>股权价值增加表!BE29</f>
        <v>1516886.7396159829</v>
      </c>
      <c r="BF32" s="76">
        <f>股权价值增加表!BF29</f>
        <v>960811.22030507762</v>
      </c>
      <c r="BG32" s="76">
        <f>股权价值增加表!BG29</f>
        <v>709974.18128450459</v>
      </c>
      <c r="BH32" s="76">
        <f>股权价值增加表!BH29</f>
        <v>518266.74845171737</v>
      </c>
      <c r="BI32" s="76">
        <f>股权价值增加表!BI29</f>
        <v>-332449.08911886904</v>
      </c>
      <c r="BJ32" s="76">
        <f>股权价值增加表!BJ29</f>
        <v>99092.291323686601</v>
      </c>
      <c r="BK32" s="76">
        <f>股权价值增加表!BK29</f>
        <v>88097.579996677683</v>
      </c>
      <c r="BL32" s="76">
        <f>股权价值增加表!BL29</f>
        <v>76421.254235759683</v>
      </c>
      <c r="BM32" s="76">
        <f>股权价值增加表!BM29</f>
        <v>485323.37469651829</v>
      </c>
      <c r="BN32" s="76">
        <f>股权价值增加表!BN29</f>
        <v>580201.81677628588</v>
      </c>
      <c r="BO32" s="76">
        <f>股权价值增加表!BO29</f>
        <v>580751.25276267342</v>
      </c>
      <c r="BP32" s="76">
        <f>股权价值增加表!BP29</f>
        <v>0</v>
      </c>
      <c r="BQ32" s="76">
        <f>股权价值增加表!BQ29</f>
        <v>4341984.4244617848</v>
      </c>
      <c r="BR32" s="76">
        <f>股权价值增加表!BR29</f>
        <v>5066473.3718267223</v>
      </c>
      <c r="BS32" s="76">
        <f>股权价值增加表!BS29</f>
        <v>0</v>
      </c>
      <c r="BT32" s="76">
        <f>股权价值增加表!BT29</f>
        <v>0</v>
      </c>
      <c r="BU32" s="76">
        <f>股权价值增加表!BU29</f>
        <v>7567193.405454373</v>
      </c>
      <c r="BV32" s="76">
        <f>股权价值增加表!BV29</f>
        <v>2985974.0488693845</v>
      </c>
      <c r="BW32" s="76">
        <f>股权价值增加表!BW29</f>
        <v>4740914.4404927325</v>
      </c>
      <c r="BX32" s="76">
        <f>股权价值增加表!BX29</f>
        <v>0</v>
      </c>
      <c r="BY32" s="76">
        <f>股权价值增加表!BY29</f>
        <v>5967821.0410851575</v>
      </c>
      <c r="BZ32" s="76">
        <f>股权价值增加表!BZ29</f>
        <v>3341174.6008403497</v>
      </c>
      <c r="CA32" s="76">
        <f>股权价值增加表!CA29</f>
        <v>7507.5426860621046</v>
      </c>
      <c r="CB32" s="76">
        <f>股权价值增加表!CB29</f>
        <v>12975.777932412584</v>
      </c>
      <c r="CC32" s="76">
        <f>股权价值增加表!CC29</f>
        <v>11285.7929565675</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7" t="s">
        <v>450</v>
      </c>
    </row>
    <row r="34" spans="1:89" s="76" customFormat="1" x14ac:dyDescent="0.25">
      <c r="A34" s="146" t="s">
        <v>451</v>
      </c>
      <c r="E34" s="76">
        <f>资产资本表!E4</f>
        <v>2487707386.2199998</v>
      </c>
      <c r="F34" s="76">
        <f>资产资本表!F4</f>
        <v>2763742805.79</v>
      </c>
      <c r="G34" s="76">
        <f>资产资本表!G4</f>
        <v>3739294094.23</v>
      </c>
      <c r="H34" s="76">
        <f>资产资本表!H4</f>
        <v>4117949970.4400001</v>
      </c>
      <c r="I34" s="76">
        <f>资产资本表!I4</f>
        <v>5616350259.6499996</v>
      </c>
      <c r="J34" s="76">
        <f>资产资本表!J4</f>
        <v>2313321464.3499999</v>
      </c>
      <c r="K34" s="76">
        <f>资产资本表!K4</f>
        <v>2144391255.24</v>
      </c>
      <c r="L34" s="76">
        <f>资产资本表!L4</f>
        <v>4303812916.6499996</v>
      </c>
      <c r="M34" s="76">
        <f>资产资本表!M4</f>
        <v>6699164486.5900002</v>
      </c>
      <c r="N34" s="76">
        <f>资产资本表!N4</f>
        <v>5431371480.8900003</v>
      </c>
      <c r="O34" s="76">
        <f>资产资本表!O4</f>
        <v>4435142494.1000004</v>
      </c>
      <c r="P34" s="76">
        <f>资产资本表!P4</f>
        <v>5028999635.5</v>
      </c>
      <c r="Q34" s="76">
        <f>资产资本表!Q4</f>
        <v>6016338311.6099997</v>
      </c>
      <c r="R34" s="76">
        <f>资产资本表!R4</f>
        <v>4883057147.6000004</v>
      </c>
      <c r="S34" s="76">
        <f>资产资本表!S4</f>
        <v>4651546310.7600002</v>
      </c>
      <c r="T34" s="76">
        <f>资产资本表!T4</f>
        <v>3903240352.9699998</v>
      </c>
      <c r="U34" s="76">
        <f>资产资本表!U4</f>
        <v>4206741261.71</v>
      </c>
      <c r="V34" s="76">
        <f>资产资本表!V4</f>
        <v>4830086674.6899996</v>
      </c>
      <c r="W34" s="76">
        <f>资产资本表!W4</f>
        <v>4101909329</v>
      </c>
      <c r="X34" s="76">
        <f>资产资本表!X4</f>
        <v>3024395178.2399998</v>
      </c>
      <c r="Y34" s="76">
        <f>资产资本表!Y4</f>
        <v>3054544210.8400002</v>
      </c>
      <c r="Z34" s="76">
        <f>资产资本表!Z4</f>
        <v>3917408555.52</v>
      </c>
      <c r="AA34" s="76">
        <f>资产资本表!AA4</f>
        <v>4528961474.6000004</v>
      </c>
      <c r="AB34" s="76">
        <f>资产资本表!AB4</f>
        <v>3846648191.3800001</v>
      </c>
      <c r="AC34" s="76">
        <f>资产资本表!AC4</f>
        <v>1171003114.97</v>
      </c>
      <c r="AD34" s="76">
        <f>资产资本表!AD4</f>
        <v>965167686.61000001</v>
      </c>
      <c r="AE34" s="76">
        <f>资产资本表!AE4</f>
        <v>618603649.95000005</v>
      </c>
      <c r="AF34" s="76">
        <f>资产资本表!AF4</f>
        <v>899943468.90999997</v>
      </c>
      <c r="AG34" s="76">
        <f>资产资本表!AG4</f>
        <v>917788361.10000002</v>
      </c>
      <c r="AH34" s="76">
        <f>资产资本表!AH4</f>
        <v>1338827031.3</v>
      </c>
      <c r="AI34" s="76">
        <f>资产资本表!AI4</f>
        <v>842207100.29999995</v>
      </c>
      <c r="AJ34" s="76">
        <f>资产资本表!AJ4</f>
        <v>1031660948.47</v>
      </c>
      <c r="AK34" s="76">
        <f>资产资本表!AK4</f>
        <v>716744445.38</v>
      </c>
      <c r="AL34" s="76">
        <f>资产资本表!AL4</f>
        <v>1201179997.1400001</v>
      </c>
      <c r="AM34" s="76">
        <f>资产资本表!AM4</f>
        <v>1170286536.1900001</v>
      </c>
      <c r="AN34" s="76">
        <f>资产资本表!AN4</f>
        <v>1133112087.3499999</v>
      </c>
      <c r="AO34" s="76">
        <f>资产资本表!AO4</f>
        <v>1360474147.8599999</v>
      </c>
      <c r="AP34" s="76">
        <f>资产资本表!AP4</f>
        <v>1048809169.37</v>
      </c>
      <c r="AQ34" s="76">
        <f>资产资本表!AQ4</f>
        <v>574247844.89999998</v>
      </c>
      <c r="AR34" s="76">
        <f>资产资本表!AR4</f>
        <v>1744406218.8900001</v>
      </c>
      <c r="AS34" s="76">
        <f>资产资本表!AS4</f>
        <v>1263427951.0999999</v>
      </c>
      <c r="AT34" s="76">
        <f>资产资本表!AT4</f>
        <v>1356549737.4400001</v>
      </c>
      <c r="AU34" s="76">
        <f>资产资本表!AU4</f>
        <v>850993039.25999999</v>
      </c>
      <c r="AV34" s="76">
        <f>资产资本表!AV4</f>
        <v>913962988.17999995</v>
      </c>
      <c r="AW34" s="76">
        <f>资产资本表!AW4</f>
        <v>902205633.40999997</v>
      </c>
      <c r="AX34" s="76">
        <f>资产资本表!AX4</f>
        <v>805493119.38999999</v>
      </c>
      <c r="AY34" s="76">
        <f>资产资本表!AY4</f>
        <v>887766164.00999999</v>
      </c>
      <c r="AZ34" s="76">
        <f>资产资本表!AZ4</f>
        <v>887985280.38</v>
      </c>
      <c r="BA34" s="76">
        <f>资产资本表!BA4</f>
        <v>798569143.07000005</v>
      </c>
      <c r="BB34" s="76">
        <f>资产资本表!BB4</f>
        <v>745623336.34000003</v>
      </c>
      <c r="BC34" s="76">
        <f>资产资本表!BC4</f>
        <v>495148887.16000003</v>
      </c>
      <c r="BD34" s="76">
        <f>资产资本表!BD4</f>
        <v>435767658.93000001</v>
      </c>
      <c r="BE34" s="76">
        <f>资产资本表!BE4</f>
        <v>554133671.28999996</v>
      </c>
      <c r="BF34" s="76">
        <f>资产资本表!BF4</f>
        <v>458162640.56</v>
      </c>
      <c r="BG34" s="76">
        <f>资产资本表!BG4</f>
        <v>287328958.17000002</v>
      </c>
      <c r="BH34" s="76">
        <f>资产资本表!BH4</f>
        <v>359617436.23000002</v>
      </c>
      <c r="BI34" s="76">
        <f>资产资本表!BI4</f>
        <v>516861673.04000002</v>
      </c>
      <c r="BJ34" s="76">
        <f>资产资本表!BJ4</f>
        <v>376608342.91000003</v>
      </c>
      <c r="BK34" s="76">
        <f>资产资本表!BK4</f>
        <v>359749413.24000001</v>
      </c>
      <c r="BL34" s="76">
        <f>资产资本表!BL4</f>
        <v>433044126.39999998</v>
      </c>
      <c r="BM34" s="76">
        <f>资产资本表!BM4</f>
        <v>415568093.60000002</v>
      </c>
      <c r="BN34" s="76">
        <f>资产资本表!BN4</f>
        <v>536574453.91000003</v>
      </c>
      <c r="BO34" s="76">
        <f>资产资本表!BO4</f>
        <v>425485112.55000001</v>
      </c>
      <c r="BP34" s="76">
        <f>资产资本表!BP4</f>
        <v>323445234.97000003</v>
      </c>
      <c r="BQ34" s="76">
        <f>资产资本表!BQ4</f>
        <v>387694695.11000001</v>
      </c>
      <c r="BR34" s="76">
        <f>资产资本表!BR4</f>
        <v>454004172.37</v>
      </c>
      <c r="BS34" s="76">
        <f>资产资本表!BS4</f>
        <v>412934408.61000001</v>
      </c>
      <c r="BT34" s="76">
        <f>资产资本表!BT4</f>
        <v>84615938.140000001</v>
      </c>
      <c r="BU34" s="76">
        <f>资产资本表!BU4</f>
        <v>68530489.799999997</v>
      </c>
      <c r="BV34" s="76">
        <f>资产资本表!BV4</f>
        <v>112400599.03</v>
      </c>
      <c r="BW34" s="76">
        <f>资产资本表!BW4</f>
        <v>93194039.200000003</v>
      </c>
      <c r="BX34" s="76">
        <f>资产资本表!BX4</f>
        <v>53300418.030000001</v>
      </c>
      <c r="BY34" s="76">
        <f>资产资本表!BY4</f>
        <v>143600869.80000001</v>
      </c>
      <c r="BZ34" s="76">
        <f>资产资本表!BZ4</f>
        <v>0</v>
      </c>
      <c r="CA34" s="76">
        <f>资产资本表!CA4</f>
        <v>32520083</v>
      </c>
      <c r="CB34" s="76">
        <f>资产资本表!CB4</f>
        <v>12605622</v>
      </c>
      <c r="CC34" s="76">
        <f>资产资本表!CC4</f>
        <v>8695672</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6" t="s">
        <v>452</v>
      </c>
      <c r="E35" s="76">
        <f>利润表!E12</f>
        <v>121323856.59</v>
      </c>
      <c r="F35" s="76">
        <f>利润表!F12</f>
        <v>81763649.390000001</v>
      </c>
      <c r="G35" s="76">
        <f>利润表!G12</f>
        <v>39498591.380000003</v>
      </c>
      <c r="H35" s="76">
        <f>利润表!H12</f>
        <v>28156085.809999999</v>
      </c>
      <c r="I35" s="76">
        <f>利润表!I12</f>
        <v>58012445.780000001</v>
      </c>
      <c r="J35" s="76">
        <f>利润表!J12</f>
        <v>17573983.75</v>
      </c>
      <c r="K35" s="76">
        <f>利润表!K12</f>
        <v>-44823636.020000003</v>
      </c>
      <c r="L35" s="76">
        <f>利润表!L12</f>
        <v>-103517515.90000001</v>
      </c>
      <c r="M35" s="76">
        <f>利润表!M12</f>
        <v>-41039008.729999997</v>
      </c>
      <c r="N35" s="76">
        <f>利润表!N12</f>
        <v>-119717657.77</v>
      </c>
      <c r="O35" s="76">
        <f>利润表!O12</f>
        <v>-39287252.329999998</v>
      </c>
      <c r="P35" s="76">
        <f>利润表!P12</f>
        <v>3902544.35</v>
      </c>
      <c r="Q35" s="76">
        <f>利润表!Q12</f>
        <v>14531529.98</v>
      </c>
      <c r="R35" s="76">
        <f>利润表!R12</f>
        <v>1794705.27</v>
      </c>
      <c r="S35" s="76">
        <f>利润表!S12</f>
        <v>-2855220.13</v>
      </c>
      <c r="T35" s="76">
        <f>利润表!T12</f>
        <v>-5159187.51</v>
      </c>
      <c r="U35" s="76">
        <f>利润表!U12</f>
        <v>8155741.7699999996</v>
      </c>
      <c r="V35" s="76">
        <f>利润表!V12</f>
        <v>6067412.2699999996</v>
      </c>
      <c r="W35" s="76">
        <f>利润表!W12</f>
        <v>4344103.1500000004</v>
      </c>
      <c r="X35" s="76">
        <f>利润表!X12</f>
        <v>-441892.23</v>
      </c>
      <c r="Y35" s="76">
        <f>利润表!Y12</f>
        <v>-1860661.04</v>
      </c>
      <c r="Z35" s="76">
        <f>利润表!Z12</f>
        <v>0</v>
      </c>
      <c r="AA35" s="76">
        <f>利润表!AA12</f>
        <v>0</v>
      </c>
      <c r="AB35" s="76">
        <f>利润表!AB12</f>
        <v>0</v>
      </c>
      <c r="AC35" s="76">
        <f>利润表!AC12</f>
        <v>0</v>
      </c>
      <c r="AD35" s="76">
        <f>利润表!AD12</f>
        <v>0</v>
      </c>
      <c r="AE35" s="76">
        <f>利润表!AE12</f>
        <v>0</v>
      </c>
      <c r="AF35" s="76">
        <f>利润表!AF12</f>
        <v>0</v>
      </c>
      <c r="AG35" s="76">
        <f>利润表!AG12</f>
        <v>-5116889.53</v>
      </c>
      <c r="AH35" s="76">
        <f>利润表!AH12</f>
        <v>-5116889.53</v>
      </c>
      <c r="AI35" s="76">
        <f>利润表!AI12</f>
        <v>-5141049.53</v>
      </c>
      <c r="AJ35" s="76">
        <f>利润表!AJ12</f>
        <v>-2947279.96</v>
      </c>
      <c r="AK35" s="76">
        <f>利润表!AK12</f>
        <v>5096306.03</v>
      </c>
      <c r="AL35" s="76">
        <f>利润表!AL12</f>
        <v>3256016.03</v>
      </c>
      <c r="AM35" s="76">
        <f>利润表!AM12</f>
        <v>-20583.5</v>
      </c>
      <c r="AN35" s="76">
        <f>利润表!AN12</f>
        <v>0</v>
      </c>
      <c r="AO35" s="76">
        <f>利润表!AO12</f>
        <v>-16843696.16</v>
      </c>
      <c r="AP35" s="76">
        <f>利润表!AP12</f>
        <v>-16864279.66</v>
      </c>
      <c r="AQ35" s="76">
        <f>利润表!AQ12</f>
        <v>-15564331.15</v>
      </c>
      <c r="AR35" s="76">
        <f>利润表!AR12</f>
        <v>-16217321.300000001</v>
      </c>
      <c r="AS35" s="76">
        <f>利润表!AS12</f>
        <v>15378029.99</v>
      </c>
      <c r="AT35" s="76">
        <f>利润表!AT12</f>
        <v>4210275.7300000004</v>
      </c>
      <c r="AU35" s="76">
        <f>利润表!AU12</f>
        <v>41666.75</v>
      </c>
      <c r="AV35" s="76">
        <f>利润表!AV12</f>
        <v>3984261.07</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1608098.4</v>
      </c>
      <c r="M36" s="76">
        <f>资产资本表!M13</f>
        <v>875538.36</v>
      </c>
      <c r="N36" s="76">
        <f>资产资本表!N13</f>
        <v>0</v>
      </c>
      <c r="O36" s="76">
        <f>资产资本表!O13</f>
        <v>224876.71</v>
      </c>
      <c r="P36" s="76">
        <f>资产资本表!P13</f>
        <v>561549.16</v>
      </c>
      <c r="Q36" s="76">
        <f>资产资本表!Q13</f>
        <v>2892285.86</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17805</v>
      </c>
      <c r="BU36" s="76">
        <f>资产资本表!BU13</f>
        <v>17805</v>
      </c>
      <c r="BV36" s="76">
        <f>资产资本表!BV13</f>
        <v>17805</v>
      </c>
      <c r="BW36" s="76">
        <f>资产资本表!BW13</f>
        <v>17805</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454</v>
      </c>
      <c r="E37" s="76">
        <f>资产资本表!E11</f>
        <v>200400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55004400</v>
      </c>
      <c r="AR37" s="76">
        <f>资产资本表!AR11</f>
        <v>55004400</v>
      </c>
      <c r="AS37" s="76">
        <f>资产资本表!AS11</f>
        <v>0</v>
      </c>
      <c r="AT37" s="76">
        <f>资产资本表!AT11</f>
        <v>1661420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455</v>
      </c>
      <c r="E38" s="76">
        <f>资产资本表!E8</f>
        <v>1329965605.02</v>
      </c>
      <c r="F38" s="76">
        <f>资产资本表!F8</f>
        <v>1077143493.02</v>
      </c>
      <c r="G38" s="76">
        <f>资产资本表!G8</f>
        <v>1078795032.52</v>
      </c>
      <c r="H38" s="76">
        <f>资产资本表!H8</f>
        <v>1008581782</v>
      </c>
      <c r="I38" s="76">
        <f>资产资本表!I8</f>
        <v>1008581782</v>
      </c>
      <c r="J38" s="76">
        <f>资产资本表!J8</f>
        <v>858581782</v>
      </c>
      <c r="K38" s="76">
        <f>资产资本表!K8</f>
        <v>578660200</v>
      </c>
      <c r="L38" s="76">
        <f>资产资本表!L8</f>
        <v>578660200</v>
      </c>
      <c r="M38" s="76">
        <f>资产资本表!M8</f>
        <v>378660200</v>
      </c>
      <c r="N38" s="76">
        <f>资产资本表!N8</f>
        <v>348867800</v>
      </c>
      <c r="O38" s="76">
        <f>资产资本表!O8</f>
        <v>349047800</v>
      </c>
      <c r="P38" s="76">
        <f>资产资本表!P8</f>
        <v>149047800</v>
      </c>
      <c r="Q38" s="76">
        <f>资产资本表!Q8</f>
        <v>149047800</v>
      </c>
      <c r="R38" s="76">
        <f>资产资本表!R8</f>
        <v>149047800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244484614.13999999</v>
      </c>
      <c r="AC38" s="76">
        <f>资产资本表!AC8</f>
        <v>317074128</v>
      </c>
      <c r="AD38" s="76">
        <f>资产资本表!AD8</f>
        <v>329812000</v>
      </c>
      <c r="AE38" s="76">
        <f>资产资本表!AE8</f>
        <v>465189000</v>
      </c>
      <c r="AF38" s="76">
        <f>资产资本表!AF8</f>
        <v>483235000</v>
      </c>
      <c r="AG38" s="76">
        <f>资产资本表!AG8</f>
        <v>539322000</v>
      </c>
      <c r="AH38" s="76">
        <f>资产资本表!AH8</f>
        <v>513359000</v>
      </c>
      <c r="AI38" s="76">
        <f>资产资本表!AI8</f>
        <v>475232000</v>
      </c>
      <c r="AJ38" s="76">
        <f>资产资本表!AJ8</f>
        <v>518656000</v>
      </c>
      <c r="AK38" s="76">
        <f>资产资本表!AK8</f>
        <v>568991000</v>
      </c>
      <c r="AL38" s="76">
        <f>资产资本表!AL8</f>
        <v>518156000</v>
      </c>
      <c r="AM38" s="76">
        <f>资产资本表!AM8</f>
        <v>510825766</v>
      </c>
      <c r="AN38" s="76">
        <f>资产资本表!AN8</f>
        <v>428390581</v>
      </c>
      <c r="AO38" s="76">
        <f>资产资本表!AO8</f>
        <v>305052689</v>
      </c>
      <c r="AP38" s="76">
        <f>资产资本表!AP8</f>
        <v>524166717</v>
      </c>
      <c r="AQ38" s="76">
        <f>资产资本表!AQ8</f>
        <v>1086651646</v>
      </c>
      <c r="AR38" s="76">
        <f>资产资本表!AR8</f>
        <v>1283057361</v>
      </c>
      <c r="AS38" s="76">
        <f>资产资本表!AS8</f>
        <v>2546490710</v>
      </c>
      <c r="AT38" s="76">
        <f>资产资本表!AT8</f>
        <v>2122309621.5</v>
      </c>
      <c r="AU38" s="76">
        <f>资产资本表!AU8</f>
        <v>987027807.14999998</v>
      </c>
      <c r="AV38" s="76">
        <f>资产资本表!AV8</f>
        <v>766814338.5</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4505400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8000000</v>
      </c>
      <c r="BD39" s="76">
        <f>资产资本表!BD9</f>
        <v>8000000</v>
      </c>
      <c r="BE39" s="76">
        <f>资产资本表!BE9</f>
        <v>8000000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1270</v>
      </c>
      <c r="BS39" s="76">
        <f>资产资本表!BS9</f>
        <v>1270</v>
      </c>
      <c r="BT39" s="76">
        <f>资产资本表!BT9</f>
        <v>0</v>
      </c>
      <c r="BU39" s="76">
        <f>资产资本表!BU9</f>
        <v>22540</v>
      </c>
      <c r="BV39" s="76">
        <f>资产资本表!BV9</f>
        <v>29350</v>
      </c>
      <c r="BW39" s="76">
        <f>资产资本表!BW9</f>
        <v>29350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460</v>
      </c>
      <c r="E43" s="76">
        <f>SUM(E34:E42)</f>
        <v>3939197247.8299999</v>
      </c>
      <c r="F43" s="76">
        <f t="shared" ref="F43:BQ43" si="14">SUM(F34:F42)</f>
        <v>3922649948.1999998</v>
      </c>
      <c r="G43" s="76">
        <f t="shared" si="14"/>
        <v>4857587718.1300001</v>
      </c>
      <c r="H43" s="76">
        <f t="shared" si="14"/>
        <v>5154687838.25</v>
      </c>
      <c r="I43" s="76">
        <f t="shared" si="14"/>
        <v>6682944487.4299994</v>
      </c>
      <c r="J43" s="76">
        <f t="shared" si="14"/>
        <v>3189477230.0999999</v>
      </c>
      <c r="K43" s="76">
        <f t="shared" si="14"/>
        <v>2678227819.2200003</v>
      </c>
      <c r="L43" s="76">
        <f t="shared" si="14"/>
        <v>4780563699.1499996</v>
      </c>
      <c r="M43" s="76">
        <f t="shared" si="14"/>
        <v>7037661216.2200003</v>
      </c>
      <c r="N43" s="76">
        <f t="shared" si="14"/>
        <v>5660521623.1199999</v>
      </c>
      <c r="O43" s="76">
        <f t="shared" si="14"/>
        <v>4745127918.4800005</v>
      </c>
      <c r="P43" s="76">
        <f t="shared" si="14"/>
        <v>5182511529.0100002</v>
      </c>
      <c r="Q43" s="76">
        <f t="shared" si="14"/>
        <v>6182809927.4499989</v>
      </c>
      <c r="R43" s="76">
        <f t="shared" si="14"/>
        <v>5033899652.8700008</v>
      </c>
      <c r="S43" s="76">
        <f t="shared" si="14"/>
        <v>4648691090.6300001</v>
      </c>
      <c r="T43" s="76">
        <f t="shared" si="14"/>
        <v>3898081165.4599996</v>
      </c>
      <c r="U43" s="76">
        <f t="shared" si="14"/>
        <v>4214897003.48</v>
      </c>
      <c r="V43" s="76">
        <f t="shared" si="14"/>
        <v>4836154086.96</v>
      </c>
      <c r="W43" s="76">
        <f t="shared" si="14"/>
        <v>4106253432.1500001</v>
      </c>
      <c r="X43" s="76">
        <f t="shared" si="14"/>
        <v>3023953286.0099998</v>
      </c>
      <c r="Y43" s="76">
        <f t="shared" si="14"/>
        <v>3052683549.8000002</v>
      </c>
      <c r="Z43" s="76">
        <f t="shared" si="14"/>
        <v>3917408555.52</v>
      </c>
      <c r="AA43" s="76">
        <f t="shared" si="14"/>
        <v>4528961474.6000004</v>
      </c>
      <c r="AB43" s="76">
        <f t="shared" si="14"/>
        <v>4091132805.52</v>
      </c>
      <c r="AC43" s="76">
        <f t="shared" si="14"/>
        <v>1488077242.97</v>
      </c>
      <c r="AD43" s="76">
        <f t="shared" si="14"/>
        <v>1294979686.6100001</v>
      </c>
      <c r="AE43" s="76">
        <f t="shared" si="14"/>
        <v>1083792649.95</v>
      </c>
      <c r="AF43" s="76">
        <f t="shared" si="14"/>
        <v>1383178468.9099998</v>
      </c>
      <c r="AG43" s="76">
        <f t="shared" si="14"/>
        <v>1451993471.5700002</v>
      </c>
      <c r="AH43" s="76">
        <f t="shared" si="14"/>
        <v>1847069141.77</v>
      </c>
      <c r="AI43" s="76">
        <f t="shared" si="14"/>
        <v>1312298050.77</v>
      </c>
      <c r="AJ43" s="76">
        <f t="shared" si="14"/>
        <v>1547369668.51</v>
      </c>
      <c r="AK43" s="76">
        <f t="shared" si="14"/>
        <v>1290831751.4099998</v>
      </c>
      <c r="AL43" s="76">
        <f t="shared" si="14"/>
        <v>1722592013.1700001</v>
      </c>
      <c r="AM43" s="76">
        <f t="shared" si="14"/>
        <v>1681091718.6900001</v>
      </c>
      <c r="AN43" s="76">
        <f t="shared" si="14"/>
        <v>1561502668.3499999</v>
      </c>
      <c r="AO43" s="76">
        <f t="shared" si="14"/>
        <v>1648683140.6999998</v>
      </c>
      <c r="AP43" s="76">
        <f t="shared" si="14"/>
        <v>1560617006.71</v>
      </c>
      <c r="AQ43" s="76">
        <f t="shared" si="14"/>
        <v>1700339559.75</v>
      </c>
      <c r="AR43" s="76">
        <f t="shared" si="14"/>
        <v>3066250658.5900002</v>
      </c>
      <c r="AS43" s="76">
        <f t="shared" si="14"/>
        <v>3825296691.0900002</v>
      </c>
      <c r="AT43" s="76">
        <f t="shared" si="14"/>
        <v>3484731054.6700001</v>
      </c>
      <c r="AU43" s="76">
        <f t="shared" si="14"/>
        <v>1838062513.1599998</v>
      </c>
      <c r="AV43" s="76">
        <f t="shared" si="14"/>
        <v>1684761587.75</v>
      </c>
      <c r="AW43" s="76">
        <f t="shared" si="14"/>
        <v>902205633.40999997</v>
      </c>
      <c r="AX43" s="76">
        <f t="shared" si="14"/>
        <v>805493119.38999999</v>
      </c>
      <c r="AY43" s="76">
        <f t="shared" si="14"/>
        <v>887766164.00999999</v>
      </c>
      <c r="AZ43" s="76">
        <f t="shared" si="14"/>
        <v>887985280.38</v>
      </c>
      <c r="BA43" s="76">
        <f t="shared" si="14"/>
        <v>798569143.07000005</v>
      </c>
      <c r="BB43" s="76">
        <f t="shared" si="14"/>
        <v>745623336.34000003</v>
      </c>
      <c r="BC43" s="76">
        <f t="shared" si="14"/>
        <v>503148887.16000003</v>
      </c>
      <c r="BD43" s="76">
        <f t="shared" si="14"/>
        <v>443767658.93000001</v>
      </c>
      <c r="BE43" s="76">
        <f t="shared" si="14"/>
        <v>562133671.28999996</v>
      </c>
      <c r="BF43" s="76">
        <f t="shared" si="14"/>
        <v>458162640.56</v>
      </c>
      <c r="BG43" s="76">
        <f t="shared" si="14"/>
        <v>287328958.17000002</v>
      </c>
      <c r="BH43" s="76">
        <f t="shared" si="14"/>
        <v>359617436.23000002</v>
      </c>
      <c r="BI43" s="76">
        <f t="shared" si="14"/>
        <v>516861673.04000002</v>
      </c>
      <c r="BJ43" s="76">
        <f t="shared" si="14"/>
        <v>376608342.91000003</v>
      </c>
      <c r="BK43" s="76">
        <f t="shared" si="14"/>
        <v>359749413.24000001</v>
      </c>
      <c r="BL43" s="76">
        <f t="shared" si="14"/>
        <v>433044126.39999998</v>
      </c>
      <c r="BM43" s="76">
        <f t="shared" si="14"/>
        <v>415568093.60000002</v>
      </c>
      <c r="BN43" s="76">
        <f t="shared" si="14"/>
        <v>536574453.91000003</v>
      </c>
      <c r="BO43" s="76">
        <f t="shared" si="14"/>
        <v>425485112.55000001</v>
      </c>
      <c r="BP43" s="76">
        <f t="shared" si="14"/>
        <v>323445234.97000003</v>
      </c>
      <c r="BQ43" s="76">
        <f t="shared" si="14"/>
        <v>387694695.11000001</v>
      </c>
      <c r="BR43" s="76">
        <f t="shared" ref="BR43:CJ43" si="15">SUM(BR34:BR42)</f>
        <v>454005442.37</v>
      </c>
      <c r="BS43" s="76">
        <f t="shared" si="15"/>
        <v>412935678.61000001</v>
      </c>
      <c r="BT43" s="76">
        <f t="shared" si="15"/>
        <v>84633743.140000001</v>
      </c>
      <c r="BU43" s="76">
        <f t="shared" si="15"/>
        <v>68570834.799999997</v>
      </c>
      <c r="BV43" s="76">
        <f t="shared" si="15"/>
        <v>112447754.03</v>
      </c>
      <c r="BW43" s="76">
        <f t="shared" si="15"/>
        <v>93241194.200000003</v>
      </c>
      <c r="BX43" s="76">
        <f t="shared" si="15"/>
        <v>53300418.030000001</v>
      </c>
      <c r="BY43" s="76">
        <f t="shared" si="15"/>
        <v>143600869.80000001</v>
      </c>
      <c r="BZ43" s="76">
        <f t="shared" si="15"/>
        <v>0</v>
      </c>
      <c r="CA43" s="76">
        <f t="shared" si="15"/>
        <v>32520083</v>
      </c>
      <c r="CB43" s="76">
        <f t="shared" si="15"/>
        <v>12605622</v>
      </c>
      <c r="CC43" s="76">
        <f t="shared" si="15"/>
        <v>8695672</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4" t="s">
        <v>461</v>
      </c>
      <c r="E44" s="110">
        <f>E32/E43</f>
        <v>3.5189300396958313E-2</v>
      </c>
      <c r="F44" s="110">
        <f t="shared" ref="F44:BQ44" si="16">F32/F43</f>
        <v>2.9400905299968E-2</v>
      </c>
      <c r="G44" s="110">
        <f t="shared" si="16"/>
        <v>1.5012376131635932E-2</v>
      </c>
      <c r="H44" s="110">
        <f t="shared" si="16"/>
        <v>9.3646620037353395E-3</v>
      </c>
      <c r="I44" s="110">
        <f t="shared" si="16"/>
        <v>-6.2158173866478442E-3</v>
      </c>
      <c r="J44" s="110">
        <f t="shared" si="16"/>
        <v>-7.705237908316581E-3</v>
      </c>
      <c r="K44" s="110">
        <f t="shared" si="16"/>
        <v>-7.4126519135114611E-3</v>
      </c>
      <c r="L44" s="110">
        <f t="shared" si="16"/>
        <v>-1.5708910454023048E-2</v>
      </c>
      <c r="M44" s="110">
        <f t="shared" si="16"/>
        <v>3.3886256741469042E-2</v>
      </c>
      <c r="N44" s="110">
        <f t="shared" si="16"/>
        <v>-1.5066285354958502E-2</v>
      </c>
      <c r="O44" s="110">
        <f t="shared" si="16"/>
        <v>-5.0350053393971514E-3</v>
      </c>
      <c r="P44" s="110">
        <f t="shared" si="16"/>
        <v>1.6175491310950138E-3</v>
      </c>
      <c r="Q44" s="110">
        <f t="shared" si="16"/>
        <v>3.0510864410584041E-2</v>
      </c>
      <c r="R44" s="110">
        <f t="shared" si="16"/>
        <v>1.1535267625866331E-2</v>
      </c>
      <c r="S44" s="110">
        <f t="shared" si="16"/>
        <v>8.049230295913843E-3</v>
      </c>
      <c r="T44" s="110">
        <f t="shared" si="16"/>
        <v>2.1213005446384303E-3</v>
      </c>
      <c r="U44" s="110">
        <f t="shared" si="16"/>
        <v>2.1309840828560151E-2</v>
      </c>
      <c r="V44" s="110">
        <f t="shared" si="16"/>
        <v>4.4084784871144759E-3</v>
      </c>
      <c r="W44" s="110">
        <f t="shared" si="16"/>
        <v>3.5876277840426467E-3</v>
      </c>
      <c r="X44" s="110">
        <f t="shared" si="16"/>
        <v>2.6869622299097833E-3</v>
      </c>
      <c r="Y44" s="110">
        <f t="shared" si="16"/>
        <v>3.4387517727659495E-2</v>
      </c>
      <c r="Z44" s="110">
        <f t="shared" si="16"/>
        <v>1.4422259883424061E-2</v>
      </c>
      <c r="AA44" s="110">
        <f t="shared" si="16"/>
        <v>1.1960008899650716E-2</v>
      </c>
      <c r="AB44" s="110">
        <f t="shared" si="16"/>
        <v>5.7448247156246289E-3</v>
      </c>
      <c r="AC44" s="110">
        <f t="shared" si="16"/>
        <v>-9.9374718516199612E-2</v>
      </c>
      <c r="AD44" s="110">
        <f t="shared" si="16"/>
        <v>-0.12843046407477571</v>
      </c>
      <c r="AE44" s="110">
        <f t="shared" si="16"/>
        <v>-5.3649600073483308E-2</v>
      </c>
      <c r="AF44" s="110">
        <f t="shared" si="16"/>
        <v>-3.3927102889319022E-2</v>
      </c>
      <c r="AG44" s="110">
        <f t="shared" si="16"/>
        <v>-1.3750975328261123E-2</v>
      </c>
      <c r="AH44" s="110">
        <f t="shared" si="16"/>
        <v>-2.3533139748730548E-2</v>
      </c>
      <c r="AI44" s="110">
        <f t="shared" si="16"/>
        <v>-6.0219081125023083E-2</v>
      </c>
      <c r="AJ44" s="110">
        <f t="shared" si="16"/>
        <v>-2.3446627359739177E-4</v>
      </c>
      <c r="AK44" s="110">
        <f t="shared" si="16"/>
        <v>0.21015516409096935</v>
      </c>
      <c r="AL44" s="110">
        <f t="shared" si="16"/>
        <v>9.7758921652874465E-3</v>
      </c>
      <c r="AM44" s="110">
        <f t="shared" si="16"/>
        <v>5.6151463245676788E-3</v>
      </c>
      <c r="AN44" s="110">
        <f t="shared" si="16"/>
        <v>7.3823161589523119E-4</v>
      </c>
      <c r="AO44" s="110">
        <f t="shared" si="16"/>
        <v>0.17150371640187329</v>
      </c>
      <c r="AP44" s="110">
        <f t="shared" si="16"/>
        <v>0.18905812854060017</v>
      </c>
      <c r="AQ44" s="110">
        <f t="shared" si="16"/>
        <v>0.13043152409805497</v>
      </c>
      <c r="AR44" s="110">
        <f t="shared" si="16"/>
        <v>6.4841296513858185E-2</v>
      </c>
      <c r="AS44" s="110">
        <f t="shared" si="16"/>
        <v>1.2579624349342077E-2</v>
      </c>
      <c r="AT44" s="110">
        <f t="shared" si="16"/>
        <v>5.3754868220954799E-3</v>
      </c>
      <c r="AU44" s="110">
        <f t="shared" si="16"/>
        <v>4.9102806649902629E-3</v>
      </c>
      <c r="AV44" s="110">
        <f t="shared" si="16"/>
        <v>2.9893868784287457E-3</v>
      </c>
      <c r="AW44" s="110">
        <f t="shared" si="16"/>
        <v>9.4127331254993118E-3</v>
      </c>
      <c r="AX44" s="110">
        <f t="shared" si="16"/>
        <v>1.2629186466380368E-3</v>
      </c>
      <c r="AY44" s="110">
        <f t="shared" si="16"/>
        <v>-3.6052642150555523E-3</v>
      </c>
      <c r="AZ44" s="110">
        <f t="shared" si="16"/>
        <v>7.7490433919190718E-4</v>
      </c>
      <c r="BA44" s="110">
        <f t="shared" si="16"/>
        <v>7.2998099794022555E-3</v>
      </c>
      <c r="BB44" s="110">
        <f t="shared" si="16"/>
        <v>6.2458860239983588E-3</v>
      </c>
      <c r="BC44" s="110">
        <f t="shared" si="16"/>
        <v>6.2317105672092098E-3</v>
      </c>
      <c r="BD44" s="110">
        <f t="shared" si="16"/>
        <v>4.530175266567041E-3</v>
      </c>
      <c r="BE44" s="110">
        <f t="shared" si="16"/>
        <v>2.6984449021439849E-3</v>
      </c>
      <c r="BF44" s="110">
        <f t="shared" si="16"/>
        <v>2.0970963916453417E-3</v>
      </c>
      <c r="BG44" s="110">
        <f t="shared" si="16"/>
        <v>2.4709454480548523E-3</v>
      </c>
      <c r="BH44" s="110">
        <f t="shared" si="16"/>
        <v>1.4411613460261984E-3</v>
      </c>
      <c r="BI44" s="110">
        <f t="shared" si="16"/>
        <v>-6.4320708317085976E-4</v>
      </c>
      <c r="BJ44" s="110">
        <f t="shared" si="16"/>
        <v>2.6311762123487311E-4</v>
      </c>
      <c r="BK44" s="110">
        <f t="shared" si="16"/>
        <v>2.4488595882130059E-4</v>
      </c>
      <c r="BL44" s="110">
        <f t="shared" si="16"/>
        <v>1.7647451974713975E-4</v>
      </c>
      <c r="BM44" s="110">
        <f t="shared" si="16"/>
        <v>1.1678552376151871E-3</v>
      </c>
      <c r="BN44" s="110">
        <f t="shared" si="16"/>
        <v>1.0813071933417156E-3</v>
      </c>
      <c r="BO44" s="110">
        <f t="shared" si="16"/>
        <v>1.3649155649233852E-3</v>
      </c>
      <c r="BP44" s="110">
        <f t="shared" si="16"/>
        <v>0</v>
      </c>
      <c r="BQ44" s="110">
        <f t="shared" si="16"/>
        <v>1.1199494032875122E-2</v>
      </c>
      <c r="BR44" s="110">
        <f t="shared" ref="BR44:CK44" si="17">BR32/BR43</f>
        <v>1.1159499201989097E-2</v>
      </c>
      <c r="BS44" s="110">
        <f t="shared" si="17"/>
        <v>0</v>
      </c>
      <c r="BT44" s="110">
        <f t="shared" si="17"/>
        <v>0</v>
      </c>
      <c r="BU44" s="110">
        <f t="shared" si="17"/>
        <v>0.1103558594193223</v>
      </c>
      <c r="BV44" s="110">
        <f t="shared" si="17"/>
        <v>2.6554323602343846E-2</v>
      </c>
      <c r="BW44" s="110">
        <f t="shared" si="17"/>
        <v>5.0845706998599687E-2</v>
      </c>
      <c r="BX44" s="110">
        <f t="shared" si="17"/>
        <v>0</v>
      </c>
      <c r="BY44" s="110">
        <f t="shared" si="17"/>
        <v>4.1558390623934488E-2</v>
      </c>
      <c r="BZ44" s="110" t="e">
        <f t="shared" si="17"/>
        <v>#DIV/0!</v>
      </c>
      <c r="CA44" s="110">
        <f t="shared" si="17"/>
        <v>2.308586569739722E-4</v>
      </c>
      <c r="CB44" s="110">
        <f t="shared" si="17"/>
        <v>1.0293643528587945E-3</v>
      </c>
      <c r="CC44" s="110">
        <f t="shared" si="17"/>
        <v>1.2978632308770961E-3</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8" t="s">
        <v>696</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697</v>
      </c>
      <c r="E46" s="57">
        <f>E43/资产资本表!E70</f>
        <v>0.21891099961968485</v>
      </c>
      <c r="F46" s="57">
        <f>F43/资产资本表!F70</f>
        <v>0.23156491726693865</v>
      </c>
      <c r="G46" s="57">
        <f>G43/资产资本表!G70</f>
        <v>0.2870375823946395</v>
      </c>
      <c r="H46" s="57">
        <f>H43/资产资本表!H70</f>
        <v>0.33976664789468858</v>
      </c>
      <c r="I46" s="57">
        <f>I43/资产资本表!I70</f>
        <v>0.44810554183682111</v>
      </c>
      <c r="J46" s="57">
        <f>J43/资产资本表!J70</f>
        <v>0.25379332124379494</v>
      </c>
      <c r="K46" s="57">
        <f>K43/资产资本表!K70</f>
        <v>0.23426406742867831</v>
      </c>
      <c r="L46" s="57">
        <f>L43/资产资本表!L70</f>
        <v>0.34551678288163046</v>
      </c>
      <c r="M46" s="57">
        <f>M43/资产资本表!M70</f>
        <v>0.52356380962564941</v>
      </c>
      <c r="N46" s="57">
        <f>N43/资产资本表!N70</f>
        <v>0.48823822930557437</v>
      </c>
      <c r="O46" s="57">
        <f>O43/资产资本表!O70</f>
        <v>0.44645570175721283</v>
      </c>
      <c r="P46" s="57">
        <f>P43/资产资本表!P70</f>
        <v>0.44836389531899251</v>
      </c>
      <c r="Q46" s="57">
        <f>Q43/资产资本表!Q70</f>
        <v>0.55212938381933052</v>
      </c>
      <c r="R46" s="57">
        <f>R43/资产资本表!R70</f>
        <v>0.52165585306174678</v>
      </c>
      <c r="S46" s="57">
        <f>S43/资产资本表!S70</f>
        <v>0.50065085623202366</v>
      </c>
      <c r="T46" s="57">
        <f>T43/资产资本表!T70</f>
        <v>0.40390017413583945</v>
      </c>
      <c r="U46" s="57">
        <f>U43/资产资本表!U70</f>
        <v>0.44848835522205271</v>
      </c>
      <c r="V46" s="57">
        <f>V43/资产资本表!V70</f>
        <v>0.56371841170078119</v>
      </c>
      <c r="W46" s="57">
        <f>W43/资产资本表!W70</f>
        <v>0.48002067865828452</v>
      </c>
      <c r="X46" s="57">
        <f>X43/资产资本表!X70</f>
        <v>0.36027995716918815</v>
      </c>
      <c r="Y46" s="57">
        <f>Y43/资产资本表!Y70</f>
        <v>0.37323127061022154</v>
      </c>
      <c r="Z46" s="57">
        <f>Z43/资产资本表!Z70</f>
        <v>0.52568870153257419</v>
      </c>
      <c r="AA46" s="57">
        <f>AA43/资产资本表!AA70</f>
        <v>0.67853119047622512</v>
      </c>
      <c r="AB46" s="57">
        <f>AB43/资产资本表!AB70</f>
        <v>0.64759912985123169</v>
      </c>
      <c r="AC46" s="57">
        <f>AC43/资产资本表!AC70</f>
        <v>0.4024445661650517</v>
      </c>
      <c r="AD46" s="57">
        <f>AD43/资产资本表!AD70</f>
        <v>0.40649628315807801</v>
      </c>
      <c r="AE46" s="57">
        <f>AE43/资产资本表!AE70</f>
        <v>0.35949464661607983</v>
      </c>
      <c r="AF46" s="57">
        <f>AF43/资产资本表!AF70</f>
        <v>0.4790235531341584</v>
      </c>
      <c r="AG46" s="57">
        <f>AG43/资产资本表!AG70</f>
        <v>0.52696379848721153</v>
      </c>
      <c r="AH46" s="57">
        <f>AH43/资产资本表!AH70</f>
        <v>0.76443028885160913</v>
      </c>
      <c r="AI46" s="57">
        <f>AI43/资产资本表!AI70</f>
        <v>0.60508916080351116</v>
      </c>
      <c r="AJ46" s="57">
        <f>AJ43/资产资本表!AJ70</f>
        <v>0.61922757411417273</v>
      </c>
      <c r="AK46" s="57">
        <f>AK43/资产资本表!AK70</f>
        <v>0.53654848140018108</v>
      </c>
      <c r="AL46" s="57">
        <f>AL43/资产资本表!AL70</f>
        <v>0.73071871322976834</v>
      </c>
      <c r="AM46" s="57">
        <f>AM43/资产资本表!AM70</f>
        <v>0.76651255624681036</v>
      </c>
      <c r="AN46" s="57">
        <f>AN43/资产资本表!AN70</f>
        <v>0.71357126312446084</v>
      </c>
      <c r="AO46" s="57">
        <f>AO43/资产资本表!AO70</f>
        <v>0.90059891762055999</v>
      </c>
      <c r="AP46" s="57">
        <f>AP43/资产资本表!AP70</f>
        <v>0.89694371313937826</v>
      </c>
      <c r="AQ46" s="57">
        <f>AQ43/资产资本表!AQ70</f>
        <v>0.93864902808819795</v>
      </c>
      <c r="AR46" s="57">
        <f>AR43/资产资本表!AR70</f>
        <v>1.0056397477513239</v>
      </c>
      <c r="AS46" s="57">
        <f>AS43/资产资本表!AS70</f>
        <v>1.0079468024314358</v>
      </c>
      <c r="AT46" s="57">
        <f>AT43/资产资本表!AT70</f>
        <v>1.0417103832212153</v>
      </c>
      <c r="AU46" s="57">
        <f>AU43/资产资本表!AU70</f>
        <v>0.90211184807814093</v>
      </c>
      <c r="AV46" s="57">
        <f>AV43/资产资本表!AV70</f>
        <v>0.9218168283639866</v>
      </c>
      <c r="AW46" s="57">
        <f>AW43/资产资本表!AW70</f>
        <v>0.65891881920234963</v>
      </c>
      <c r="AX46" s="57">
        <f>AX43/资产资本表!AX70</f>
        <v>0.64897845376644647</v>
      </c>
      <c r="AY46" s="57">
        <f>AY43/资产资本表!AY70</f>
        <v>0.75013943235859992</v>
      </c>
      <c r="AZ46" s="57">
        <f>AZ43/资产资本表!AZ70</f>
        <v>0.63149382858636161</v>
      </c>
      <c r="BA46" s="57">
        <f>BA43/资产资本表!BA70</f>
        <v>0.58103749970478802</v>
      </c>
      <c r="BB46" s="57">
        <f>BB43/资产资本表!BB70</f>
        <v>0.56204637868531793</v>
      </c>
      <c r="BC46" s="57">
        <f>BC43/资产资本表!BC70</f>
        <v>0.39955080891036665</v>
      </c>
      <c r="BD46" s="57">
        <f>BD43/资产资本表!BD70</f>
        <v>0.33603770124410626</v>
      </c>
      <c r="BE46" s="57">
        <f>BE43/资产资本表!BE70</f>
        <v>0.41871097765177145</v>
      </c>
      <c r="BF46" s="57">
        <f>BF43/资产资本表!BF70</f>
        <v>0.34035255510895451</v>
      </c>
      <c r="BG46" s="57">
        <f>BG43/资产资本表!BG70</f>
        <v>0.23262849753524892</v>
      </c>
      <c r="BH46" s="57">
        <f>BH43/资产资本表!BH70</f>
        <v>0.28553083731555257</v>
      </c>
      <c r="BI46" s="57">
        <f>BI43/资产资本表!BI70</f>
        <v>0.396236156098902</v>
      </c>
      <c r="BJ46" s="57">
        <f>BJ43/资产资本表!BJ70</f>
        <v>0.32312700208623479</v>
      </c>
      <c r="BK46" s="57">
        <f>BK43/资产资本表!BK70</f>
        <v>0.33239602313320621</v>
      </c>
      <c r="BL46" s="57">
        <f>BL43/资产资本表!BL70</f>
        <v>0.40451750477999315</v>
      </c>
      <c r="BM46" s="57">
        <f>BM43/资产资本表!BM70</f>
        <v>0.42149352172177512</v>
      </c>
      <c r="BN46" s="57">
        <f>BN43/资产资本表!BN70</f>
        <v>0.49172023220484368</v>
      </c>
      <c r="BO46" s="57">
        <f>BO43/资产资本表!BO70</f>
        <v>0.41910160548123615</v>
      </c>
      <c r="BP46" s="57">
        <f>BP43/资产资本表!BP70</f>
        <v>0.3040301599004207</v>
      </c>
      <c r="BQ46" s="57">
        <f>BQ43/资产资本表!BQ70</f>
        <v>0.37176427832674636</v>
      </c>
      <c r="BR46" s="57">
        <f>BR43/资产资本表!BR70</f>
        <v>0.42663263850638616</v>
      </c>
      <c r="BS46" s="57">
        <f>BS43/资产资本表!BS70</f>
        <v>0.40350977007424521</v>
      </c>
      <c r="BT46" s="57">
        <f>BT43/资产资本表!BT70</f>
        <v>0.1117981499924264</v>
      </c>
      <c r="BU46" s="57">
        <f>BU43/资产资本表!BU70</f>
        <v>9.7773452701589686E-2</v>
      </c>
      <c r="BV46" s="57">
        <f>BV43/资产资本表!BV70</f>
        <v>0.14822883947200755</v>
      </c>
      <c r="BW46" s="57">
        <f>BW43/资产资本表!BW70</f>
        <v>0.12832972860127942</v>
      </c>
      <c r="BX46" s="57">
        <f>BX43/资产资本表!BX70</f>
        <v>9.3770095310951179E-2</v>
      </c>
      <c r="BY46" s="57">
        <f>BY43/资产资本表!BY70</f>
        <v>0.27554033782811044</v>
      </c>
      <c r="BZ46" s="57">
        <f>BZ43/资产资本表!BZ70</f>
        <v>0</v>
      </c>
      <c r="CA46" s="57">
        <f>CA43/资产资本表!CA70</f>
        <v>0.20321966746423309</v>
      </c>
      <c r="CB46" s="57">
        <f>CB43/资产资本表!CB70</f>
        <v>0.13941663305569946</v>
      </c>
      <c r="CC46" s="57">
        <f>CC43/资产资本表!CC70</f>
        <v>0.13004610948560635</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35064</v>
      </c>
      <c r="CC48" s="1">
        <v>34699</v>
      </c>
      <c r="CD48" s="1">
        <v>25569</v>
      </c>
      <c r="CE48" s="1"/>
      <c r="CF48" s="1"/>
      <c r="CG48" s="1"/>
      <c r="CH48" s="1"/>
      <c r="CI48" s="1"/>
      <c r="CJ48" s="1"/>
      <c r="CK48" s="1"/>
    </row>
    <row r="49" spans="1:89" s="76" customFormat="1" x14ac:dyDescent="0.25">
      <c r="A49" s="146" t="s">
        <v>463</v>
      </c>
      <c r="E49" s="76">
        <f>利润表!E4</f>
        <v>33221948766.650002</v>
      </c>
      <c r="F49" s="76">
        <f>利润表!F4</f>
        <v>18994965921.450001</v>
      </c>
      <c r="G49" s="76">
        <f>利润表!G4</f>
        <v>9313067493.1000004</v>
      </c>
      <c r="H49" s="76">
        <f>利润表!H4</f>
        <v>3868458647.1999998</v>
      </c>
      <c r="I49" s="76">
        <f>利润表!I4</f>
        <v>35850442042.720001</v>
      </c>
      <c r="J49" s="76">
        <f>利润表!J4</f>
        <v>21659158276.32</v>
      </c>
      <c r="K49" s="76">
        <f>利润表!K4</f>
        <v>13268121440.85</v>
      </c>
      <c r="L49" s="76">
        <f>利润表!L4</f>
        <v>5126788582.8999996</v>
      </c>
      <c r="M49" s="76">
        <f>利润表!M4</f>
        <v>31210873852.540001</v>
      </c>
      <c r="N49" s="76">
        <f>利润表!N4</f>
        <v>18929067308.060001</v>
      </c>
      <c r="O49" s="76">
        <f>利润表!O4</f>
        <v>10387239701.25</v>
      </c>
      <c r="P49" s="76">
        <f>利润表!P4</f>
        <v>4273324043.52</v>
      </c>
      <c r="Q49" s="76">
        <f>利润表!Q4</f>
        <v>25728299513.16</v>
      </c>
      <c r="R49" s="76">
        <f>利润表!R4</f>
        <v>15002502291.76</v>
      </c>
      <c r="S49" s="76">
        <f>利润表!S4</f>
        <v>9341476892.9099998</v>
      </c>
      <c r="T49" s="76">
        <f>利润表!T4</f>
        <v>4395955446.3000002</v>
      </c>
      <c r="U49" s="76">
        <f>利润表!U4</f>
        <v>22093826571.040001</v>
      </c>
      <c r="V49" s="76">
        <f>利润表!V4</f>
        <v>13669406746.49</v>
      </c>
      <c r="W49" s="76">
        <f>利润表!W4</f>
        <v>9663747340.3899994</v>
      </c>
      <c r="X49" s="76">
        <f>利润表!X4</f>
        <v>4337342804.8900003</v>
      </c>
      <c r="Y49" s="76">
        <f>利润表!Y4</f>
        <v>19763459199.02</v>
      </c>
      <c r="Z49" s="76">
        <f>利润表!Z4</f>
        <v>13309007254.129999</v>
      </c>
      <c r="AA49" s="76">
        <f>利润表!AA4</f>
        <v>8296243064.9300003</v>
      </c>
      <c r="AB49" s="76">
        <f>利润表!AB4</f>
        <v>3969350239.1399999</v>
      </c>
      <c r="AC49" s="76">
        <f>利润表!AC4</f>
        <v>16931925945.07</v>
      </c>
      <c r="AD49" s="76">
        <f>利润表!AD4</f>
        <v>11009538186.57</v>
      </c>
      <c r="AE49" s="76">
        <f>利润表!AE4</f>
        <v>6405766461.7399998</v>
      </c>
      <c r="AF49" s="76">
        <f>利润表!AF4</f>
        <v>2947959956.1799998</v>
      </c>
      <c r="AG49" s="76">
        <f>利润表!AG4</f>
        <v>13478500120.48</v>
      </c>
      <c r="AH49" s="76">
        <f>利润表!AH4</f>
        <v>9132486590.3700008</v>
      </c>
      <c r="AI49" s="76">
        <f>利润表!AI4</f>
        <v>5525360311.0500002</v>
      </c>
      <c r="AJ49" s="76">
        <f>利润表!AJ4</f>
        <v>2357318390.8600001</v>
      </c>
      <c r="AK49" s="76">
        <f>利润表!AK4</f>
        <v>8781731234.4200001</v>
      </c>
      <c r="AL49" s="76">
        <f>利润表!AL4</f>
        <v>5832802762.3699999</v>
      </c>
      <c r="AM49" s="76">
        <f>利润表!AM4</f>
        <v>3547502321.2199998</v>
      </c>
      <c r="AN49" s="76">
        <f>利润表!AN4</f>
        <v>1322183548.28</v>
      </c>
      <c r="AO49" s="76">
        <f>利润表!AO4</f>
        <v>8335671865.1199999</v>
      </c>
      <c r="AP49" s="76">
        <f>利润表!AP4</f>
        <v>5909075990.5799999</v>
      </c>
      <c r="AQ49" s="76">
        <f>利润表!AQ4</f>
        <v>4269358208.9099998</v>
      </c>
      <c r="AR49" s="76">
        <f>利润表!AR4</f>
        <v>1728783903.51</v>
      </c>
      <c r="AS49" s="76">
        <f>利润表!AS4</f>
        <v>7880772643.7399998</v>
      </c>
      <c r="AT49" s="76">
        <f>利润表!AT4</f>
        <v>4791323219.5799999</v>
      </c>
      <c r="AU49" s="76">
        <f>利润表!AU4</f>
        <v>2824669536.7399998</v>
      </c>
      <c r="AV49" s="76">
        <f>利润表!AV4</f>
        <v>1218986397.53</v>
      </c>
      <c r="AW49" s="76">
        <f>利润表!AW4</f>
        <v>4954506733.5100002</v>
      </c>
      <c r="AX49" s="76">
        <f>利润表!AX4</f>
        <v>3211706920.0700002</v>
      </c>
      <c r="AY49" s="76">
        <f>利润表!AY4</f>
        <v>2039212675.8900001</v>
      </c>
      <c r="AZ49" s="76">
        <f>利润表!AZ4</f>
        <v>887602608.97000003</v>
      </c>
      <c r="BA49" s="76">
        <f>利润表!BA4</f>
        <v>4576435573.4799995</v>
      </c>
      <c r="BB49" s="76">
        <f>利润表!BB4</f>
        <v>2944163022.0500002</v>
      </c>
      <c r="BC49" s="76">
        <f>利润表!BC4</f>
        <v>1699337866.3199999</v>
      </c>
      <c r="BD49" s="76">
        <f>利润表!BD4</f>
        <v>739399700.55999994</v>
      </c>
      <c r="BE49" s="76">
        <f>利润表!BE4</f>
        <v>3949088707.25</v>
      </c>
      <c r="BF49" s="76">
        <f>利润表!BF4</f>
        <v>2762182434.1100001</v>
      </c>
      <c r="BG49" s="76">
        <f>利润表!BG4</f>
        <v>1486749846.54</v>
      </c>
      <c r="BH49" s="76">
        <f>利润表!BH4</f>
        <v>572856842.5</v>
      </c>
      <c r="BI49" s="76">
        <f>利润表!BI4</f>
        <v>3253649665.4099998</v>
      </c>
      <c r="BJ49" s="76">
        <f>利润表!BJ4</f>
        <v>1946404611.7</v>
      </c>
      <c r="BK49" s="76">
        <f>利润表!BK4</f>
        <v>1201983585.6400001</v>
      </c>
      <c r="BL49" s="76">
        <f>利润表!BL4</f>
        <v>747595762.03999996</v>
      </c>
      <c r="BM49" s="76">
        <f>利润表!BM4</f>
        <v>2685049399.9299998</v>
      </c>
      <c r="BN49" s="76">
        <f>利润表!BN4</f>
        <v>1843794209.3099999</v>
      </c>
      <c r="BO49" s="76">
        <f>利润表!BO4</f>
        <v>998872375.82000005</v>
      </c>
      <c r="BP49" s="76">
        <f>利润表!BP4</f>
        <v>364636034.19</v>
      </c>
      <c r="BQ49" s="76">
        <f>利润表!BQ4</f>
        <v>1579515325.0899999</v>
      </c>
      <c r="BR49" s="76">
        <f>利润表!BR4</f>
        <v>701830564.21000004</v>
      </c>
      <c r="BS49" s="76">
        <f>利润表!BS4</f>
        <v>1198968349.3199999</v>
      </c>
      <c r="BT49" s="76">
        <f>利润表!BT4</f>
        <v>469805804.99000001</v>
      </c>
      <c r="BU49" s="76">
        <f>利润表!BU4</f>
        <v>700109344.52999997</v>
      </c>
      <c r="BV49" s="76">
        <f>利润表!BV4</f>
        <v>319096258.16000003</v>
      </c>
      <c r="BW49" s="76">
        <f>利润表!BW4</f>
        <v>565416206.90999997</v>
      </c>
      <c r="BX49" s="76">
        <f>利润表!BX4</f>
        <v>226544658.12</v>
      </c>
      <c r="BY49" s="76">
        <f>利润表!BY4</f>
        <v>436671752.77999997</v>
      </c>
      <c r="BZ49" s="76">
        <f>利润表!BZ4</f>
        <v>157092838.58000001</v>
      </c>
      <c r="CA49" s="76">
        <f>利润表!CA4</f>
        <v>439068983</v>
      </c>
      <c r="CB49" s="76">
        <f>利润表!CB4</f>
        <v>274237533</v>
      </c>
      <c r="CC49" s="76">
        <f>利润表!CC4</f>
        <v>137629196</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6" t="s">
        <v>464</v>
      </c>
      <c r="E50" s="76">
        <f>资产资本表!E50</f>
        <v>6632211689.5199966</v>
      </c>
      <c r="F50" s="76">
        <f>资产资本表!F50</f>
        <v>5749744331.0400047</v>
      </c>
      <c r="G50" s="76">
        <f>资产资本表!G50</f>
        <v>5086373034.7200031</v>
      </c>
      <c r="H50" s="76">
        <f>资产资本表!H50</f>
        <v>2952369490.7999973</v>
      </c>
      <c r="I50" s="76">
        <f>资产资本表!I50</f>
        <v>697252411.12000275</v>
      </c>
      <c r="J50" s="76">
        <f>资产资本表!J50</f>
        <v>1760523344.3500004</v>
      </c>
      <c r="K50" s="76">
        <f>资产资本表!K50</f>
        <v>887543380.50999451</v>
      </c>
      <c r="L50" s="76">
        <f>资产资本表!L50</f>
        <v>994055257.38999939</v>
      </c>
      <c r="M50" s="76">
        <f>资产资本表!M50</f>
        <v>-1722122269.4799995</v>
      </c>
      <c r="N50" s="76">
        <f>资产资本表!N50</f>
        <v>-2037684009.4699993</v>
      </c>
      <c r="O50" s="76">
        <f>资产资本表!O50</f>
        <v>-2166976629.5999985</v>
      </c>
      <c r="P50" s="76">
        <f>资产资本表!P50</f>
        <v>-378482594.11000061</v>
      </c>
      <c r="Q50" s="76">
        <f>资产资本表!Q50</f>
        <v>-1438826134.7099972</v>
      </c>
      <c r="R50" s="76">
        <f>资产资本表!R50</f>
        <v>268114678.13999939</v>
      </c>
      <c r="S50" s="76">
        <f>资产资本表!S50</f>
        <v>212578710.98000145</v>
      </c>
      <c r="T50" s="76">
        <f>资产资本表!T50</f>
        <v>1297238980.2699995</v>
      </c>
      <c r="U50" s="76">
        <f>资产资本表!U50</f>
        <v>741248249.61999989</v>
      </c>
      <c r="V50" s="76">
        <f>资产资本表!V50</f>
        <v>-571464350.88999939</v>
      </c>
      <c r="W50" s="76">
        <f>资产资本表!W50</f>
        <v>138345929.42999935</v>
      </c>
      <c r="X50" s="76">
        <f>资产资本表!X50</f>
        <v>1053618141.2699995</v>
      </c>
      <c r="Y50" s="76">
        <f>资产资本表!Y50</f>
        <v>861840675.18000126</v>
      </c>
      <c r="Z50" s="76">
        <f>资产资本表!Z50</f>
        <v>-619008164.57000065</v>
      </c>
      <c r="AA50" s="76">
        <f>资产资本表!AA50</f>
        <v>-856929092.79999828</v>
      </c>
      <c r="AB50" s="76">
        <f>资产资本表!AB50</f>
        <v>-415944058.1600008</v>
      </c>
      <c r="AC50" s="76">
        <f>资产资本表!AC50</f>
        <v>145214588.19000053</v>
      </c>
      <c r="AD50" s="76">
        <f>资产资本表!AD50</f>
        <v>-159471271.15999985</v>
      </c>
      <c r="AE50" s="76">
        <f>资产资本表!AE50</f>
        <v>-29912859.669999599</v>
      </c>
      <c r="AF50" s="76">
        <f>资产资本表!AF50</f>
        <v>-77508675.539999962</v>
      </c>
      <c r="AG50" s="76">
        <f>资产资本表!AG50</f>
        <v>-303547016.09000063</v>
      </c>
      <c r="AH50" s="76">
        <f>资产资本表!AH50</f>
        <v>-1674892775.420001</v>
      </c>
      <c r="AI50" s="76">
        <f>资产资本表!AI50</f>
        <v>-731253925.83999968</v>
      </c>
      <c r="AJ50" s="76">
        <f>资产资本表!AJ50</f>
        <v>-847117085.12999964</v>
      </c>
      <c r="AK50" s="76">
        <f>资产资本表!AK50</f>
        <v>-698513693.6500001</v>
      </c>
      <c r="AL50" s="76">
        <f>资产资本表!AL50</f>
        <v>-1734662526.0399997</v>
      </c>
      <c r="AM50" s="76">
        <f>资产资本表!AM50</f>
        <v>-1348904034.8300004</v>
      </c>
      <c r="AN50" s="76">
        <f>资产资本表!AN50</f>
        <v>-1066354487.5900002</v>
      </c>
      <c r="AO50" s="76">
        <f>资产资本表!AO50</f>
        <v>-1369028842.8400006</v>
      </c>
      <c r="AP50" s="76">
        <f>资产资本表!AP50</f>
        <v>-1236713907.6500001</v>
      </c>
      <c r="AQ50" s="76">
        <f>资产资本表!AQ50</f>
        <v>-1180527212.0999999</v>
      </c>
      <c r="AR50" s="76">
        <f>资产资本表!AR50</f>
        <v>-1127582282.3400002</v>
      </c>
      <c r="AS50" s="76">
        <f>资产资本表!AS50</f>
        <v>-697498167.19000006</v>
      </c>
      <c r="AT50" s="76">
        <f>资产资本表!AT50</f>
        <v>-762146856.90999985</v>
      </c>
      <c r="AU50" s="76">
        <f>资产资本表!AU50</f>
        <v>-667775009.25</v>
      </c>
      <c r="AV50" s="76">
        <f>资产资本表!AV50</f>
        <v>-785586976.41999984</v>
      </c>
      <c r="AW50" s="76">
        <f>资产资本表!AW50</f>
        <v>-809885138.36999989</v>
      </c>
      <c r="AX50" s="76">
        <f>资产资本表!AX50</f>
        <v>-494187772.15000033</v>
      </c>
      <c r="AY50" s="76">
        <f>资产资本表!AY50</f>
        <v>-429036715.30999994</v>
      </c>
      <c r="AZ50" s="76">
        <f>资产资本表!AZ50</f>
        <v>-231007772.54999995</v>
      </c>
      <c r="BA50" s="76">
        <f>资产资本表!BA50</f>
        <v>-191857929.44999981</v>
      </c>
      <c r="BB50" s="76">
        <f>资产资本表!BB50</f>
        <v>-163027740.62999988</v>
      </c>
      <c r="BC50" s="76">
        <f>资产资本表!BC50</f>
        <v>10982383.540000081</v>
      </c>
      <c r="BD50" s="76">
        <f>资产资本表!BD50</f>
        <v>140586376.89000022</v>
      </c>
      <c r="BE50" s="76">
        <f>资产资本表!BE50</f>
        <v>54465647</v>
      </c>
      <c r="BF50" s="76">
        <f>资产资本表!BF50</f>
        <v>-59948238.980000019</v>
      </c>
      <c r="BG50" s="76">
        <f>资产资本表!BG50</f>
        <v>281077808.69999993</v>
      </c>
      <c r="BH50" s="76">
        <f>资产资本表!BH50</f>
        <v>231038469.12999976</v>
      </c>
      <c r="BI50" s="76">
        <f>资产资本表!BI50</f>
        <v>138632610.71999991</v>
      </c>
      <c r="BJ50" s="76">
        <f>资产资本表!BJ50</f>
        <v>190162353.26999998</v>
      </c>
      <c r="BK50" s="76">
        <f>资产资本表!BK50</f>
        <v>199467175.28000009</v>
      </c>
      <c r="BL50" s="76">
        <f>资产资本表!BL50</f>
        <v>146405302.16999996</v>
      </c>
      <c r="BM50" s="76">
        <f>资产资本表!BM50</f>
        <v>89763886.290000081</v>
      </c>
      <c r="BN50" s="76">
        <f>资产资本表!BN50</f>
        <v>73110805.059999943</v>
      </c>
      <c r="BO50" s="76">
        <f>资产资本表!BO50</f>
        <v>143717062.28999984</v>
      </c>
      <c r="BP50" s="76">
        <f>资产资本表!BP50</f>
        <v>195592001.18999994</v>
      </c>
      <c r="BQ50" s="76">
        <f>资产资本表!BQ50</f>
        <v>138273991.82999998</v>
      </c>
      <c r="BR50" s="76">
        <f>资产资本表!BR50</f>
        <v>82145921.070000052</v>
      </c>
      <c r="BS50" s="76">
        <f>资产资本表!BS50</f>
        <v>87966551.810000002</v>
      </c>
      <c r="BT50" s="76">
        <f>资产资本表!BT50</f>
        <v>170177642.30000001</v>
      </c>
      <c r="BU50" s="76">
        <f>资产资本表!BU50</f>
        <v>143471144.71000004</v>
      </c>
      <c r="BV50" s="76">
        <f>资产资本表!BV50</f>
        <v>94868676.709999979</v>
      </c>
      <c r="BW50" s="76">
        <f>资产资本表!BW50</f>
        <v>99069598.270000011</v>
      </c>
      <c r="BX50" s="76">
        <f>资产资本表!BX50</f>
        <v>105629248.48000002</v>
      </c>
      <c r="BY50" s="76">
        <f>资产资本表!BY50</f>
        <v>71024635.000000015</v>
      </c>
      <c r="BZ50" s="76">
        <f>资产资本表!BZ50</f>
        <v>0</v>
      </c>
      <c r="CA50" s="76">
        <f>资产资本表!CA50</f>
        <v>35686532</v>
      </c>
      <c r="CB50" s="76">
        <f>资产资本表!CB50</f>
        <v>25249001</v>
      </c>
      <c r="CC50" s="76">
        <f>资产资本表!CC50</f>
        <v>13082090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2" t="s">
        <v>465</v>
      </c>
      <c r="E51" s="44">
        <f>E49/E50</f>
        <v>5.0091809975164443</v>
      </c>
      <c r="F51" s="44">
        <f t="shared" ref="F51:BQ51" si="18">F49/F50</f>
        <v>3.3036192268420779</v>
      </c>
      <c r="G51" s="44">
        <f t="shared" si="18"/>
        <v>1.8309839702137911</v>
      </c>
      <c r="H51" s="44">
        <f t="shared" si="18"/>
        <v>1.3102894672413687</v>
      </c>
      <c r="I51" s="44">
        <f t="shared" si="18"/>
        <v>51.416734414920299</v>
      </c>
      <c r="J51" s="44">
        <f t="shared" si="18"/>
        <v>12.302681668965167</v>
      </c>
      <c r="K51" s="44">
        <f t="shared" si="18"/>
        <v>14.949265277857132</v>
      </c>
      <c r="L51" s="44">
        <f t="shared" si="18"/>
        <v>5.1574482854815766</v>
      </c>
      <c r="M51" s="44">
        <f t="shared" si="18"/>
        <v>-18.123494716762607</v>
      </c>
      <c r="N51" s="44">
        <f t="shared" si="18"/>
        <v>-9.2895008353053932</v>
      </c>
      <c r="O51" s="44">
        <f t="shared" si="18"/>
        <v>-4.7934248848670684</v>
      </c>
      <c r="P51" s="44">
        <f t="shared" si="18"/>
        <v>-11.290675212075985</v>
      </c>
      <c r="Q51" s="44">
        <f t="shared" si="18"/>
        <v>-17.881451339042901</v>
      </c>
      <c r="R51" s="44">
        <f t="shared" si="18"/>
        <v>55.955542590347321</v>
      </c>
      <c r="S51" s="44">
        <f t="shared" si="18"/>
        <v>43.943614343342254</v>
      </c>
      <c r="T51" s="44">
        <f t="shared" si="18"/>
        <v>3.3887013211590764</v>
      </c>
      <c r="U51" s="44">
        <f t="shared" si="18"/>
        <v>29.806244510346403</v>
      </c>
      <c r="V51" s="44">
        <f t="shared" si="18"/>
        <v>-23.9199640803512</v>
      </c>
      <c r="W51" s="44">
        <f t="shared" si="18"/>
        <v>69.852054051794042</v>
      </c>
      <c r="X51" s="44">
        <f t="shared" si="18"/>
        <v>4.1166174299750553</v>
      </c>
      <c r="Y51" s="44">
        <f t="shared" si="18"/>
        <v>22.931685366198653</v>
      </c>
      <c r="Z51" s="44">
        <f t="shared" si="18"/>
        <v>-21.500535882875173</v>
      </c>
      <c r="AA51" s="44">
        <f t="shared" si="18"/>
        <v>-9.6813646947406067</v>
      </c>
      <c r="AB51" s="44">
        <f t="shared" si="18"/>
        <v>-9.5429906047921325</v>
      </c>
      <c r="AC51" s="44">
        <f t="shared" si="18"/>
        <v>116.5993455348719</v>
      </c>
      <c r="AD51" s="44">
        <f t="shared" si="18"/>
        <v>-69.037752734308924</v>
      </c>
      <c r="AE51" s="44">
        <f t="shared" si="18"/>
        <v>-214.14757841305666</v>
      </c>
      <c r="AF51" s="44">
        <f t="shared" si="18"/>
        <v>-38.033935370997845</v>
      </c>
      <c r="AG51" s="44">
        <f t="shared" si="18"/>
        <v>-44.403335911836706</v>
      </c>
      <c r="AH51" s="44">
        <f t="shared" si="18"/>
        <v>-5.4525798453455696</v>
      </c>
      <c r="AI51" s="44">
        <f t="shared" si="18"/>
        <v>-7.5560077229027609</v>
      </c>
      <c r="AJ51" s="44">
        <f t="shared" si="18"/>
        <v>-2.7827539217890322</v>
      </c>
      <c r="AK51" s="44">
        <f t="shared" si="18"/>
        <v>-12.572024448843814</v>
      </c>
      <c r="AL51" s="44">
        <f t="shared" si="18"/>
        <v>-3.362500010699776</v>
      </c>
      <c r="AM51" s="44">
        <f t="shared" si="18"/>
        <v>-2.6299145303298648</v>
      </c>
      <c r="AN51" s="44">
        <f t="shared" si="18"/>
        <v>-1.2399099583368218</v>
      </c>
      <c r="AO51" s="44">
        <f t="shared" si="18"/>
        <v>-6.0887481726301331</v>
      </c>
      <c r="AP51" s="44">
        <f t="shared" si="18"/>
        <v>-4.7780460412290564</v>
      </c>
      <c r="AQ51" s="44">
        <f t="shared" si="18"/>
        <v>-3.6164843682979431</v>
      </c>
      <c r="AR51" s="44">
        <f t="shared" si="18"/>
        <v>-1.5331776053826991</v>
      </c>
      <c r="AS51" s="44">
        <f t="shared" si="18"/>
        <v>-11.298628461618968</v>
      </c>
      <c r="AT51" s="44">
        <f t="shared" si="18"/>
        <v>-6.2866141559720372</v>
      </c>
      <c r="AU51" s="44">
        <f t="shared" si="18"/>
        <v>-4.2299719181052895</v>
      </c>
      <c r="AV51" s="44">
        <f t="shared" si="18"/>
        <v>-1.5516886533494301</v>
      </c>
      <c r="AW51" s="44">
        <f t="shared" si="18"/>
        <v>-6.1175424745805254</v>
      </c>
      <c r="AX51" s="44">
        <f t="shared" si="18"/>
        <v>-6.4989607211389151</v>
      </c>
      <c r="AY51" s="44">
        <f t="shared" si="18"/>
        <v>-4.7530027224280085</v>
      </c>
      <c r="AZ51" s="44">
        <f t="shared" si="18"/>
        <v>-3.842306253041269</v>
      </c>
      <c r="BA51" s="44">
        <f t="shared" si="18"/>
        <v>-23.853252177792665</v>
      </c>
      <c r="BB51" s="44">
        <f t="shared" si="18"/>
        <v>-18.05927635795392</v>
      </c>
      <c r="BC51" s="44">
        <f t="shared" si="18"/>
        <v>154.73306501550096</v>
      </c>
      <c r="BD51" s="44">
        <f t="shared" si="18"/>
        <v>5.2593979368181065</v>
      </c>
      <c r="BE51" s="44">
        <f t="shared" si="18"/>
        <v>72.506046008229731</v>
      </c>
      <c r="BF51" s="44">
        <f t="shared" si="18"/>
        <v>-46.076123020586508</v>
      </c>
      <c r="BG51" s="44">
        <f t="shared" si="18"/>
        <v>5.2894600730534309</v>
      </c>
      <c r="BH51" s="44">
        <f t="shared" si="18"/>
        <v>2.479486834626087</v>
      </c>
      <c r="BI51" s="44">
        <f t="shared" si="18"/>
        <v>23.469583732946393</v>
      </c>
      <c r="BJ51" s="44">
        <f t="shared" si="18"/>
        <v>10.235488666552303</v>
      </c>
      <c r="BK51" s="44">
        <f t="shared" si="18"/>
        <v>6.0259718620506231</v>
      </c>
      <c r="BL51" s="44">
        <f t="shared" si="18"/>
        <v>5.1063434927508418</v>
      </c>
      <c r="BM51" s="44">
        <f t="shared" si="18"/>
        <v>29.912356860925271</v>
      </c>
      <c r="BN51" s="44">
        <f t="shared" si="18"/>
        <v>25.219175302431026</v>
      </c>
      <c r="BO51" s="44">
        <f t="shared" si="18"/>
        <v>6.9502699255320355</v>
      </c>
      <c r="BP51" s="44">
        <f t="shared" si="18"/>
        <v>1.8642686406985993</v>
      </c>
      <c r="BQ51" s="44">
        <f t="shared" si="18"/>
        <v>11.423083286927337</v>
      </c>
      <c r="BR51" s="44">
        <f t="shared" ref="BR51:CJ51" si="19">BR49/BR50</f>
        <v>8.5437055798782779</v>
      </c>
      <c r="BS51" s="44">
        <f t="shared" si="19"/>
        <v>13.629820933639254</v>
      </c>
      <c r="BT51" s="44">
        <f t="shared" si="19"/>
        <v>2.7606787744878751</v>
      </c>
      <c r="BU51" s="44">
        <f t="shared" si="19"/>
        <v>4.8797920023928123</v>
      </c>
      <c r="BV51" s="44">
        <f t="shared" si="19"/>
        <v>3.363557595890494</v>
      </c>
      <c r="BW51" s="44">
        <f t="shared" si="19"/>
        <v>5.7072625384937874</v>
      </c>
      <c r="BX51" s="44">
        <f t="shared" si="19"/>
        <v>2.144715231623505</v>
      </c>
      <c r="BY51" s="44">
        <f t="shared" si="19"/>
        <v>6.1481731342934731</v>
      </c>
      <c r="BZ51" s="44" t="e">
        <f t="shared" si="19"/>
        <v>#DIV/0!</v>
      </c>
      <c r="CA51" s="44">
        <f t="shared" si="19"/>
        <v>12.303492617326896</v>
      </c>
      <c r="CB51" s="44">
        <f t="shared" si="19"/>
        <v>10.861322117259213</v>
      </c>
      <c r="CC51" s="44">
        <f t="shared" si="19"/>
        <v>10.52042876940917</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6" t="s">
        <v>466</v>
      </c>
      <c r="E52" s="76">
        <f>资产资本表!E68</f>
        <v>6720811462</v>
      </c>
      <c r="F52" s="76">
        <f>资产资本表!F68</f>
        <v>6558607723.4200001</v>
      </c>
      <c r="G52" s="76">
        <f>资产资本表!G68</f>
        <v>6556236020.5600004</v>
      </c>
      <c r="H52" s="76">
        <f>资产资本表!H68</f>
        <v>6689807741.6199999</v>
      </c>
      <c r="I52" s="76">
        <f>资产资本表!I68</f>
        <v>6911453634.4500017</v>
      </c>
      <c r="J52" s="76">
        <f>资产资本表!J68</f>
        <v>6813657957.0699987</v>
      </c>
      <c r="K52" s="76">
        <f>资产资本表!K68</f>
        <v>6677653880.8200006</v>
      </c>
      <c r="L52" s="76">
        <f>资产资本表!L68</f>
        <v>6680017453.3600006</v>
      </c>
      <c r="M52" s="76">
        <f>资产资本表!M68</f>
        <v>6777366841.5199995</v>
      </c>
      <c r="N52" s="76">
        <f>资产资本表!N68</f>
        <v>6652793534.2099991</v>
      </c>
      <c r="O52" s="76">
        <f>资产资本表!O68</f>
        <v>6759424947.4700003</v>
      </c>
      <c r="P52" s="76">
        <f>资产资本表!P68</f>
        <v>6733861788.9399996</v>
      </c>
      <c r="Q52" s="76">
        <f>资产资本表!Q68</f>
        <v>6447839010.9300013</v>
      </c>
      <c r="R52" s="76">
        <f>资产资本表!R68</f>
        <v>4341538516.4000006</v>
      </c>
      <c r="S52" s="76">
        <f>资产资本表!S68</f>
        <v>4268682714.1700001</v>
      </c>
      <c r="T52" s="76">
        <f>资产资本表!T68</f>
        <v>4307107455.9800005</v>
      </c>
      <c r="U52" s="76">
        <f>资产资本表!U68</f>
        <v>4301345280.6099997</v>
      </c>
      <c r="V52" s="76">
        <f>资产资本表!V68</f>
        <v>4173817663.7800007</v>
      </c>
      <c r="W52" s="76">
        <f>资产资本表!W68</f>
        <v>4169209624.8000002</v>
      </c>
      <c r="X52" s="76">
        <f>资产资本表!X68</f>
        <v>4172951962.2700005</v>
      </c>
      <c r="Y52" s="76">
        <f>资产资本表!Y68</f>
        <v>4120304263.0300002</v>
      </c>
      <c r="Z52" s="76">
        <f>资产资本表!Z68</f>
        <v>3323246123.6800003</v>
      </c>
      <c r="AA52" s="76">
        <f>资产资本表!AA68</f>
        <v>2842313928.7200003</v>
      </c>
      <c r="AB52" s="76">
        <f>资产资本表!AB68</f>
        <v>2181887407.6500001</v>
      </c>
      <c r="AC52" s="76">
        <f>资产资本表!AC68</f>
        <v>1978995233.7400002</v>
      </c>
      <c r="AD52" s="76">
        <f>资产资本表!AD68</f>
        <v>1964894099.0500002</v>
      </c>
      <c r="AE52" s="76">
        <f>资产资本表!AE68</f>
        <v>1875578856.1899998</v>
      </c>
      <c r="AF52" s="76">
        <f>资产资本表!AF68</f>
        <v>1498731446.3699996</v>
      </c>
      <c r="AG52" s="76">
        <f>资产资本表!AG68</f>
        <v>1518737261.3299999</v>
      </c>
      <c r="AH52" s="76">
        <f>资产资本表!AH68</f>
        <v>1495781155.3699999</v>
      </c>
      <c r="AI52" s="76">
        <f>资产资本表!AI68</f>
        <v>1464203744.4100001</v>
      </c>
      <c r="AJ52" s="76">
        <f>资产资本表!AJ68</f>
        <v>1415257910.5700002</v>
      </c>
      <c r="AK52" s="76">
        <f>资产资本表!AK68</f>
        <v>1426750241.3500001</v>
      </c>
      <c r="AL52" s="76">
        <f>资产资本表!AL68</f>
        <v>1405391034.5700002</v>
      </c>
      <c r="AM52" s="76">
        <f>资产资本表!AM68</f>
        <v>1417031418.1799998</v>
      </c>
      <c r="AN52" s="76">
        <f>资产资本表!AN68</f>
        <v>1360654539.3800001</v>
      </c>
      <c r="AO52" s="76">
        <f>资产资本表!AO68</f>
        <v>1351310032.7200003</v>
      </c>
      <c r="AP52" s="76">
        <f>资产资本表!AP68</f>
        <v>1260641918.9699998</v>
      </c>
      <c r="AQ52" s="76">
        <f>资产资本表!AQ68</f>
        <v>1083769743.3400002</v>
      </c>
      <c r="AR52" s="76">
        <f>资产资本表!AR68</f>
        <v>995201949.13999999</v>
      </c>
      <c r="AS52" s="76">
        <f>资产资本表!AS68</f>
        <v>528260758.65999997</v>
      </c>
      <c r="AT52" s="76">
        <f>资产资本表!AT68</f>
        <v>516405002.84000015</v>
      </c>
      <c r="AU52" s="76">
        <f>资产资本表!AU68</f>
        <v>723560950.62999988</v>
      </c>
      <c r="AV52" s="76">
        <f>资产资本表!AV68</f>
        <v>774319647.22000003</v>
      </c>
      <c r="AW52" s="76">
        <f>资产资本表!AW68</f>
        <v>747845902.36000001</v>
      </c>
      <c r="AX52" s="76">
        <f>资产资本表!AX68</f>
        <v>655444854.45000005</v>
      </c>
      <c r="AY52" s="76">
        <f>资产资本表!AY68</f>
        <v>595829629.88999999</v>
      </c>
      <c r="AZ52" s="76">
        <f>资产资本表!AZ68</f>
        <v>609078755.25999987</v>
      </c>
      <c r="BA52" s="76">
        <f>资产资本表!BA68</f>
        <v>628585465.84000003</v>
      </c>
      <c r="BB52" s="76">
        <f>资产资本表!BB68</f>
        <v>626038970.37</v>
      </c>
      <c r="BC52" s="76">
        <f>资产资本表!BC68</f>
        <v>623710050.40999997</v>
      </c>
      <c r="BD52" s="76">
        <f>资产资本表!BD68</f>
        <v>635803813.54000008</v>
      </c>
      <c r="BE52" s="76">
        <f>资产资本表!BE68</f>
        <v>650153864.68999994</v>
      </c>
      <c r="BF52" s="76">
        <f>资产资本表!BF68</f>
        <v>868647527.31000006</v>
      </c>
      <c r="BG52" s="76">
        <f>资产资本表!BG68</f>
        <v>632533226.27999997</v>
      </c>
      <c r="BH52" s="76">
        <f>资产资本表!BH68</f>
        <v>628981858.16999996</v>
      </c>
      <c r="BI52" s="76">
        <f>资产资本表!BI68</f>
        <v>619302130.28999996</v>
      </c>
      <c r="BJ52" s="76">
        <f>资产资本表!BJ68</f>
        <v>543060703.53999996</v>
      </c>
      <c r="BK52" s="76">
        <f>资产资本表!BK68</f>
        <v>499394551.59999996</v>
      </c>
      <c r="BL52" s="76">
        <f>资产资本表!BL68</f>
        <v>475395153.64999992</v>
      </c>
      <c r="BM52" s="76">
        <f>资产资本表!BM68</f>
        <v>470438423.14999998</v>
      </c>
      <c r="BN52" s="76">
        <f>资产资本表!BN68</f>
        <v>481533728.50999999</v>
      </c>
      <c r="BO52" s="76">
        <f>资产资本表!BO68</f>
        <v>442029232.01999998</v>
      </c>
      <c r="BP52" s="76">
        <f>资产资本表!BP68</f>
        <v>453054515.08999997</v>
      </c>
      <c r="BQ52" s="76">
        <f>资产资本表!BQ68</f>
        <v>455098667.62</v>
      </c>
      <c r="BR52" s="76">
        <f>资产资本表!BR68</f>
        <v>464708804.57999998</v>
      </c>
      <c r="BS52" s="76">
        <f>资产资本表!BS68</f>
        <v>459156344.05000001</v>
      </c>
      <c r="BT52" s="76">
        <f>资产资本表!BT68</f>
        <v>495915448.21000004</v>
      </c>
      <c r="BU52" s="76">
        <f>资产资本表!BU68</f>
        <v>489281671.29000002</v>
      </c>
      <c r="BV52" s="76">
        <f>资产资本表!BV68</f>
        <v>489686762.01999998</v>
      </c>
      <c r="BW52" s="76">
        <f>资产资本表!BW68</f>
        <v>462658418.16999996</v>
      </c>
      <c r="BX52" s="76">
        <f>资产资本表!BX68</f>
        <v>377886285.86000007</v>
      </c>
      <c r="BY52" s="76">
        <f>资产资本表!BY68</f>
        <v>274935465.43000001</v>
      </c>
      <c r="BZ52" s="76">
        <f>资产资本表!BZ68</f>
        <v>159818435.05000001</v>
      </c>
      <c r="CA52" s="76">
        <f>资产资本表!CA68</f>
        <v>91699628</v>
      </c>
      <c r="CB52" s="76">
        <f>资产资本表!CB68</f>
        <v>52338806</v>
      </c>
      <c r="CC52" s="76">
        <f>资产资本表!CC68</f>
        <v>44837795</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2" t="s">
        <v>467</v>
      </c>
      <c r="E53" s="44">
        <f>E49/E52</f>
        <v>4.9431454749905619</v>
      </c>
      <c r="F53" s="44">
        <f t="shared" ref="F53:BQ53" si="20">F49/F52</f>
        <v>2.8961887526252346</v>
      </c>
      <c r="G53" s="44">
        <f t="shared" si="20"/>
        <v>1.4204899677032257</v>
      </c>
      <c r="H53" s="44">
        <f t="shared" si="20"/>
        <v>0.57826155797165202</v>
      </c>
      <c r="I53" s="44">
        <f t="shared" si="20"/>
        <v>5.1871059170568969</v>
      </c>
      <c r="J53" s="44">
        <f t="shared" si="20"/>
        <v>3.178785670308852</v>
      </c>
      <c r="K53" s="44">
        <f t="shared" si="20"/>
        <v>1.9869435699504547</v>
      </c>
      <c r="L53" s="44">
        <f t="shared" si="20"/>
        <v>0.76748131553477628</v>
      </c>
      <c r="M53" s="44">
        <f t="shared" si="20"/>
        <v>4.6051622381326132</v>
      </c>
      <c r="N53" s="44">
        <f t="shared" si="20"/>
        <v>2.8452810403213236</v>
      </c>
      <c r="O53" s="44">
        <f t="shared" si="20"/>
        <v>1.5367046430684703</v>
      </c>
      <c r="P53" s="44">
        <f t="shared" si="20"/>
        <v>0.63460227985948592</v>
      </c>
      <c r="Q53" s="44">
        <f t="shared" si="20"/>
        <v>3.990220517222419</v>
      </c>
      <c r="R53" s="44">
        <f t="shared" si="20"/>
        <v>3.4555727733587078</v>
      </c>
      <c r="S53" s="44">
        <f t="shared" si="20"/>
        <v>2.1883746154055279</v>
      </c>
      <c r="T53" s="44">
        <f t="shared" si="20"/>
        <v>1.02062822700108</v>
      </c>
      <c r="U53" s="44">
        <f t="shared" si="20"/>
        <v>5.1364922203843033</v>
      </c>
      <c r="V53" s="44">
        <f t="shared" si="20"/>
        <v>3.2750368721450949</v>
      </c>
      <c r="W53" s="44">
        <f t="shared" si="20"/>
        <v>2.3178847335731114</v>
      </c>
      <c r="X53" s="44">
        <f t="shared" si="20"/>
        <v>1.0393943769557736</v>
      </c>
      <c r="Y53" s="44">
        <f t="shared" si="20"/>
        <v>4.7966018860185571</v>
      </c>
      <c r="Z53" s="44">
        <f t="shared" si="20"/>
        <v>4.0048214182199224</v>
      </c>
      <c r="AA53" s="44">
        <f t="shared" si="20"/>
        <v>2.9188341868577856</v>
      </c>
      <c r="AB53" s="44">
        <f t="shared" si="20"/>
        <v>1.8192278048917221</v>
      </c>
      <c r="AC53" s="44">
        <f t="shared" si="20"/>
        <v>8.5558194665639657</v>
      </c>
      <c r="AD53" s="44">
        <f t="shared" si="20"/>
        <v>5.6031203879603302</v>
      </c>
      <c r="AE53" s="44">
        <f t="shared" si="20"/>
        <v>3.4153543801152146</v>
      </c>
      <c r="AF53" s="44">
        <f t="shared" si="20"/>
        <v>1.9669701088344427</v>
      </c>
      <c r="AG53" s="44">
        <f t="shared" si="20"/>
        <v>8.8748070279624969</v>
      </c>
      <c r="AH53" s="44">
        <f t="shared" si="20"/>
        <v>6.1054964876268736</v>
      </c>
      <c r="AI53" s="44">
        <f t="shared" si="20"/>
        <v>3.7736280433270171</v>
      </c>
      <c r="AJ53" s="44">
        <f t="shared" si="20"/>
        <v>1.6656457973166048</v>
      </c>
      <c r="AK53" s="44">
        <f t="shared" si="20"/>
        <v>6.1550585238455398</v>
      </c>
      <c r="AL53" s="44">
        <f t="shared" si="20"/>
        <v>4.1503059425412019</v>
      </c>
      <c r="AM53" s="44">
        <f t="shared" si="20"/>
        <v>2.5034747117860832</v>
      </c>
      <c r="AN53" s="44">
        <f t="shared" si="20"/>
        <v>0.97172611417036836</v>
      </c>
      <c r="AO53" s="44">
        <f t="shared" si="20"/>
        <v>6.168585789555225</v>
      </c>
      <c r="AP53" s="44">
        <f t="shared" si="20"/>
        <v>4.6873548322175234</v>
      </c>
      <c r="AQ53" s="44">
        <f t="shared" si="20"/>
        <v>3.9393591075467191</v>
      </c>
      <c r="AR53" s="44">
        <f t="shared" si="20"/>
        <v>1.7371186873216256</v>
      </c>
      <c r="AS53" s="44">
        <f t="shared" si="20"/>
        <v>14.918338177779045</v>
      </c>
      <c r="AT53" s="44">
        <f t="shared" si="20"/>
        <v>9.2782277344910131</v>
      </c>
      <c r="AU53" s="44">
        <f t="shared" si="20"/>
        <v>3.9038446371111903</v>
      </c>
      <c r="AV53" s="44">
        <f t="shared" si="20"/>
        <v>1.5742676837743483</v>
      </c>
      <c r="AW53" s="44">
        <f t="shared" si="20"/>
        <v>6.6250369466154897</v>
      </c>
      <c r="AX53" s="44">
        <f t="shared" si="20"/>
        <v>4.9000413967167731</v>
      </c>
      <c r="AY53" s="44">
        <f t="shared" si="20"/>
        <v>3.4224761132917685</v>
      </c>
      <c r="AZ53" s="44">
        <f t="shared" si="20"/>
        <v>1.4572870935074818</v>
      </c>
      <c r="BA53" s="44">
        <f t="shared" si="20"/>
        <v>7.2805303688725189</v>
      </c>
      <c r="BB53" s="44">
        <f t="shared" si="20"/>
        <v>4.7028430519428337</v>
      </c>
      <c r="BC53" s="44">
        <f t="shared" si="20"/>
        <v>2.7245638661793712</v>
      </c>
      <c r="BD53" s="44">
        <f t="shared" si="20"/>
        <v>1.1629368758315608</v>
      </c>
      <c r="BE53" s="44">
        <f t="shared" si="20"/>
        <v>6.0740832620182399</v>
      </c>
      <c r="BF53" s="44">
        <f t="shared" si="20"/>
        <v>3.1798656500684905</v>
      </c>
      <c r="BG53" s="44">
        <f t="shared" si="20"/>
        <v>2.3504691686850117</v>
      </c>
      <c r="BH53" s="44">
        <f t="shared" si="20"/>
        <v>0.91076846662430988</v>
      </c>
      <c r="BI53" s="44">
        <f t="shared" si="20"/>
        <v>5.2537356264000206</v>
      </c>
      <c r="BJ53" s="44">
        <f t="shared" si="20"/>
        <v>3.5841381985699776</v>
      </c>
      <c r="BK53" s="44">
        <f t="shared" si="20"/>
        <v>2.4068816565759268</v>
      </c>
      <c r="BL53" s="44">
        <f t="shared" si="20"/>
        <v>1.5725775837218614</v>
      </c>
      <c r="BM53" s="44">
        <f t="shared" si="20"/>
        <v>5.7075469770330978</v>
      </c>
      <c r="BN53" s="44">
        <f t="shared" si="20"/>
        <v>3.829003245557097</v>
      </c>
      <c r="BO53" s="44">
        <f t="shared" si="20"/>
        <v>2.2597428031067528</v>
      </c>
      <c r="BP53" s="44">
        <f t="shared" si="20"/>
        <v>0.80483920156399835</v>
      </c>
      <c r="BQ53" s="44">
        <f t="shared" si="20"/>
        <v>3.4707096229270209</v>
      </c>
      <c r="BR53" s="44">
        <f t="shared" ref="BR53:CK53" si="21">BR49/BR52</f>
        <v>1.5102588057144921</v>
      </c>
      <c r="BS53" s="44">
        <f t="shared" si="21"/>
        <v>2.6112420417508981</v>
      </c>
      <c r="BT53" s="44">
        <f t="shared" si="21"/>
        <v>0.94735061528282205</v>
      </c>
      <c r="BU53" s="44">
        <f t="shared" si="21"/>
        <v>1.4308922357221128</v>
      </c>
      <c r="BV53" s="44">
        <f t="shared" si="21"/>
        <v>0.65163341733744351</v>
      </c>
      <c r="BW53" s="44">
        <f t="shared" si="21"/>
        <v>1.2221029267044321</v>
      </c>
      <c r="BX53" s="44">
        <f t="shared" si="21"/>
        <v>0.59950484205698495</v>
      </c>
      <c r="BY53" s="44">
        <f t="shared" si="21"/>
        <v>1.5882700040063724</v>
      </c>
      <c r="BZ53" s="44">
        <f t="shared" si="21"/>
        <v>0.98294566913293024</v>
      </c>
      <c r="CA53" s="44">
        <f t="shared" si="21"/>
        <v>4.7881217467970538</v>
      </c>
      <c r="CB53" s="44">
        <f t="shared" si="21"/>
        <v>5.2396597087063848</v>
      </c>
      <c r="CC53" s="44">
        <f t="shared" si="21"/>
        <v>3.0694907276327927</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6" t="s">
        <v>468</v>
      </c>
      <c r="E54" s="76">
        <f>资产资本表!E17</f>
        <v>3976997295.5899997</v>
      </c>
      <c r="F54" s="76">
        <f>资产资本表!F17</f>
        <v>3960449995.96</v>
      </c>
      <c r="G54" s="76">
        <f>资产资本表!G17</f>
        <v>4907885092.9200001</v>
      </c>
      <c r="H54" s="76">
        <f>资产资本表!H17</f>
        <v>5193625214.5100002</v>
      </c>
      <c r="I54" s="76">
        <f>资产资本表!I17</f>
        <v>6983426374.2299995</v>
      </c>
      <c r="J54" s="76">
        <f>资产资本表!J17</f>
        <v>3688624867.52</v>
      </c>
      <c r="K54" s="76">
        <f>资产资本表!K17</f>
        <v>3571046744.9400001</v>
      </c>
      <c r="L54" s="76">
        <f>资产资本表!L17</f>
        <v>5871908451.3799992</v>
      </c>
      <c r="M54" s="76">
        <f>资产资本表!M17</f>
        <v>8386595919.6700001</v>
      </c>
      <c r="N54" s="76">
        <f>资产资本表!N17</f>
        <v>6978660244.5200005</v>
      </c>
      <c r="O54" s="76">
        <f>资产资本表!O17</f>
        <v>6035992308.6100006</v>
      </c>
      <c r="P54" s="76">
        <f>资产资本表!P17</f>
        <v>5203338139.7200003</v>
      </c>
      <c r="Q54" s="76">
        <f>资产资本表!Q17</f>
        <v>6189105008.1799994</v>
      </c>
      <c r="R54" s="76">
        <f>资产资本表!R17</f>
        <v>5040194733.6000004</v>
      </c>
      <c r="S54" s="76">
        <f>资产资本表!S17</f>
        <v>4654986171.3600006</v>
      </c>
      <c r="T54" s="76">
        <f>资产资本表!T17</f>
        <v>3904376246.1899996</v>
      </c>
      <c r="U54" s="76">
        <f>资产资本表!U17</f>
        <v>4213036342.4400001</v>
      </c>
      <c r="V54" s="76">
        <f>资产资本表!V17</f>
        <v>4834293425.9199991</v>
      </c>
      <c r="W54" s="76">
        <f>资产资本表!W17</f>
        <v>4104392771.1100001</v>
      </c>
      <c r="X54" s="76">
        <f>资产资本表!X17</f>
        <v>3024395178.2399998</v>
      </c>
      <c r="Y54" s="76">
        <f>资产资本表!Y17</f>
        <v>3054544210.8400002</v>
      </c>
      <c r="Z54" s="76">
        <f>资产资本表!Z17</f>
        <v>4587408555.5200005</v>
      </c>
      <c r="AA54" s="76">
        <f>资产资本表!AA17</f>
        <v>4528961474.6000004</v>
      </c>
      <c r="AB54" s="76">
        <f>资产资本表!AB17</f>
        <v>4391132805.5200005</v>
      </c>
      <c r="AC54" s="76">
        <f>资产资本表!AC17</f>
        <v>1488077242.97</v>
      </c>
      <c r="AD54" s="76">
        <f>资产资本表!AD17</f>
        <v>1294979686.6100001</v>
      </c>
      <c r="AE54" s="76">
        <f>资产资本表!AE17</f>
        <v>1083792649.95</v>
      </c>
      <c r="AF54" s="76">
        <f>资产资本表!AF17</f>
        <v>1383178468.9099998</v>
      </c>
      <c r="AG54" s="76">
        <f>资产资本表!AG17</f>
        <v>1457110361.0999999</v>
      </c>
      <c r="AH54" s="76">
        <f>资产资本表!AH17</f>
        <v>2512186031.3000002</v>
      </c>
      <c r="AI54" s="76">
        <f>资产资本表!AI17</f>
        <v>1352623750.3</v>
      </c>
      <c r="AJ54" s="76">
        <f>资产资本表!AJ17</f>
        <v>1847535418.04</v>
      </c>
      <c r="AK54" s="76">
        <f>资产资本表!AK17</f>
        <v>1594375316.79</v>
      </c>
      <c r="AL54" s="76">
        <f>资产资本表!AL17</f>
        <v>2587611132.3099999</v>
      </c>
      <c r="AM54" s="76">
        <f>资产资本表!AM17</f>
        <v>2025112302.1900001</v>
      </c>
      <c r="AN54" s="76">
        <f>资产资本表!AN17</f>
        <v>1761502668.3499999</v>
      </c>
      <c r="AO54" s="76">
        <f>资产资本表!AO17</f>
        <v>1715547420.3599999</v>
      </c>
      <c r="AP54" s="76">
        <f>资产资本表!AP17</f>
        <v>1577481286.3699999</v>
      </c>
      <c r="AQ54" s="76">
        <f>资产资本表!AQ17</f>
        <v>1859314199.6900001</v>
      </c>
      <c r="AR54" s="76">
        <f>资产资本表!AR17</f>
        <v>3131084021.5700002</v>
      </c>
      <c r="AS54" s="76">
        <f>资产资本表!AS17</f>
        <v>3895745905.1599998</v>
      </c>
      <c r="AT54" s="76">
        <f>资产资本表!AT17</f>
        <v>3502173593.0799999</v>
      </c>
      <c r="AU54" s="76">
        <f>资产资本表!AU17</f>
        <v>1892510833.71</v>
      </c>
      <c r="AV54" s="76">
        <f>资产资本表!AV17</f>
        <v>1751926237.4200001</v>
      </c>
      <c r="AW54" s="76">
        <f>资产资本表!AW17</f>
        <v>1373805633.4099998</v>
      </c>
      <c r="AX54" s="76">
        <f>资产资本表!AX17</f>
        <v>1024951639.39</v>
      </c>
      <c r="AY54" s="76">
        <f>资产资本表!AY17</f>
        <v>964735204.00999999</v>
      </c>
      <c r="AZ54" s="76">
        <f>资产资本表!AZ17</f>
        <v>961985280.38</v>
      </c>
      <c r="BA54" s="76">
        <f>资产资本表!BA17</f>
        <v>872569143.07000005</v>
      </c>
      <c r="BB54" s="76">
        <f>资产资本表!BB17</f>
        <v>799623336.34000003</v>
      </c>
      <c r="BC54" s="76">
        <f>资产资本表!BC17</f>
        <v>562148887.16000009</v>
      </c>
      <c r="BD54" s="76">
        <f>资产资本表!BD17</f>
        <v>482767658.93000001</v>
      </c>
      <c r="BE54" s="76">
        <f>资产资本表!BE17</f>
        <v>577133671.28999996</v>
      </c>
      <c r="BF54" s="76">
        <f>资产资本表!BF17</f>
        <v>458162640.56</v>
      </c>
      <c r="BG54" s="76">
        <f>资产资本表!BG17</f>
        <v>287328958.17000002</v>
      </c>
      <c r="BH54" s="76">
        <f>资产资本表!BH17</f>
        <v>359617436.23000002</v>
      </c>
      <c r="BI54" s="76">
        <f>资产资本表!BI17</f>
        <v>516861673.04000002</v>
      </c>
      <c r="BJ54" s="76">
        <f>资产资本表!BJ17</f>
        <v>396608342.91000003</v>
      </c>
      <c r="BK54" s="76">
        <f>资产资本表!BK17</f>
        <v>359749413.24000001</v>
      </c>
      <c r="BL54" s="76">
        <f>资产资本表!BL17</f>
        <v>433044126.39999998</v>
      </c>
      <c r="BM54" s="76">
        <f>资产资本表!BM17</f>
        <v>415568093.60000002</v>
      </c>
      <c r="BN54" s="76">
        <f>资产资本表!BN17</f>
        <v>536574453.91000003</v>
      </c>
      <c r="BO54" s="76">
        <f>资产资本表!BO17</f>
        <v>425485112.55000001</v>
      </c>
      <c r="BP54" s="76">
        <f>资产资本表!BP17</f>
        <v>415212526.77000004</v>
      </c>
      <c r="BQ54" s="76">
        <f>资产资本表!BQ17</f>
        <v>449478194.47000003</v>
      </c>
      <c r="BR54" s="76">
        <f>资产资本表!BR17</f>
        <v>517305400.39999998</v>
      </c>
      <c r="BS54" s="76">
        <f>资产资本表!BS17</f>
        <v>476235636.63999999</v>
      </c>
      <c r="BT54" s="76">
        <f>资产资本表!BT17</f>
        <v>90907121.170000002</v>
      </c>
      <c r="BU54" s="76">
        <f>资产资本表!BU17</f>
        <v>68570834.799999997</v>
      </c>
      <c r="BV54" s="76">
        <f>资产资本表!BV17</f>
        <v>152447754.03</v>
      </c>
      <c r="BW54" s="76">
        <f>资产资本表!BW17</f>
        <v>143241194.19999999</v>
      </c>
      <c r="BX54" s="76">
        <f>资产资本表!BX17</f>
        <v>53300418.030000001</v>
      </c>
      <c r="BY54" s="76">
        <f>资产资本表!BY17</f>
        <v>143600869.80000001</v>
      </c>
      <c r="BZ54" s="76">
        <f>资产资本表!BZ17</f>
        <v>0</v>
      </c>
      <c r="CA54" s="76">
        <f>资产资本表!CA17</f>
        <v>32520083</v>
      </c>
      <c r="CB54" s="76">
        <f>资产资本表!CB17</f>
        <v>12605622</v>
      </c>
      <c r="CC54" s="76">
        <f>资产资本表!CC17</f>
        <v>8695672</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2" t="s">
        <v>469</v>
      </c>
      <c r="E55" s="44">
        <f>E49/E54</f>
        <v>8.3535256117697276</v>
      </c>
      <c r="F55" s="44">
        <f t="shared" ref="F55:BQ55" si="22">F49/F54</f>
        <v>4.7961635523302908</v>
      </c>
      <c r="G55" s="44">
        <f t="shared" si="22"/>
        <v>1.8975724404254724</v>
      </c>
      <c r="H55" s="44">
        <f t="shared" si="22"/>
        <v>0.74484747886548741</v>
      </c>
      <c r="I55" s="44">
        <f t="shared" si="22"/>
        <v>5.1336464539834017</v>
      </c>
      <c r="J55" s="44">
        <f t="shared" si="22"/>
        <v>5.8718788313332224</v>
      </c>
      <c r="K55" s="44">
        <f t="shared" si="22"/>
        <v>3.7154712297312504</v>
      </c>
      <c r="L55" s="44">
        <f t="shared" si="22"/>
        <v>0.87310431103453534</v>
      </c>
      <c r="M55" s="44">
        <f t="shared" si="22"/>
        <v>3.7215187367424876</v>
      </c>
      <c r="N55" s="44">
        <f t="shared" si="22"/>
        <v>2.7124213881774901</v>
      </c>
      <c r="O55" s="44">
        <f t="shared" si="22"/>
        <v>1.7208835217422647</v>
      </c>
      <c r="P55" s="44">
        <f t="shared" si="22"/>
        <v>0.82126587370890225</v>
      </c>
      <c r="Q55" s="44">
        <f t="shared" si="22"/>
        <v>4.1570306981632221</v>
      </c>
      <c r="R55" s="44">
        <f t="shared" si="22"/>
        <v>2.9765719549975285</v>
      </c>
      <c r="S55" s="44">
        <f t="shared" si="22"/>
        <v>2.0067679148831488</v>
      </c>
      <c r="T55" s="44">
        <f t="shared" si="22"/>
        <v>1.1259046693027337</v>
      </c>
      <c r="U55" s="44">
        <f t="shared" si="22"/>
        <v>5.2441576039774338</v>
      </c>
      <c r="V55" s="44">
        <f t="shared" si="22"/>
        <v>2.8275914476351045</v>
      </c>
      <c r="W55" s="44">
        <f t="shared" si="22"/>
        <v>2.35448892913251</v>
      </c>
      <c r="X55" s="44">
        <f t="shared" si="22"/>
        <v>1.4341190715077288</v>
      </c>
      <c r="Y55" s="44">
        <f t="shared" si="22"/>
        <v>6.4701827293522935</v>
      </c>
      <c r="Z55" s="44">
        <f t="shared" si="22"/>
        <v>2.9012038263117752</v>
      </c>
      <c r="AA55" s="44">
        <f t="shared" si="22"/>
        <v>1.8318201891224362</v>
      </c>
      <c r="AB55" s="44">
        <f t="shared" si="22"/>
        <v>0.90394675245308309</v>
      </c>
      <c r="AC55" s="44">
        <f t="shared" si="22"/>
        <v>11.378391830840835</v>
      </c>
      <c r="AD55" s="44">
        <f t="shared" si="22"/>
        <v>8.5017072471544211</v>
      </c>
      <c r="AE55" s="44">
        <f t="shared" si="22"/>
        <v>5.9105092307421767</v>
      </c>
      <c r="AF55" s="44">
        <f t="shared" si="22"/>
        <v>2.1312939887671258</v>
      </c>
      <c r="AG55" s="44">
        <f t="shared" si="22"/>
        <v>9.2501573527380785</v>
      </c>
      <c r="AH55" s="44">
        <f t="shared" si="22"/>
        <v>3.6352748071145604</v>
      </c>
      <c r="AI55" s="44">
        <f t="shared" si="22"/>
        <v>4.0849203703724148</v>
      </c>
      <c r="AJ55" s="44">
        <f t="shared" si="22"/>
        <v>1.2759259540262644</v>
      </c>
      <c r="AK55" s="44">
        <f t="shared" si="22"/>
        <v>5.5079447994092776</v>
      </c>
      <c r="AL55" s="44">
        <f t="shared" si="22"/>
        <v>2.2541264757826913</v>
      </c>
      <c r="AM55" s="44">
        <f t="shared" si="22"/>
        <v>1.7517558494823493</v>
      </c>
      <c r="AN55" s="44">
        <f t="shared" si="22"/>
        <v>0.75059979870396087</v>
      </c>
      <c r="AO55" s="44">
        <f t="shared" si="22"/>
        <v>4.8588991281691278</v>
      </c>
      <c r="AP55" s="44">
        <f t="shared" si="22"/>
        <v>3.7458929254099691</v>
      </c>
      <c r="AQ55" s="44">
        <f t="shared" si="22"/>
        <v>2.2962005074891709</v>
      </c>
      <c r="AR55" s="44">
        <f t="shared" si="22"/>
        <v>0.55213590296537185</v>
      </c>
      <c r="AS55" s="44">
        <f t="shared" si="22"/>
        <v>2.022917519672355</v>
      </c>
      <c r="AT55" s="44">
        <f t="shared" si="22"/>
        <v>1.3680998649088243</v>
      </c>
      <c r="AU55" s="44">
        <f t="shared" si="22"/>
        <v>1.4925513167090485</v>
      </c>
      <c r="AV55" s="44">
        <f t="shared" si="22"/>
        <v>0.69579778617001486</v>
      </c>
      <c r="AW55" s="44">
        <f t="shared" si="22"/>
        <v>3.6064102614080435</v>
      </c>
      <c r="AX55" s="44">
        <f t="shared" si="22"/>
        <v>3.1335204478344441</v>
      </c>
      <c r="AY55" s="44">
        <f t="shared" si="22"/>
        <v>2.1137537714119352</v>
      </c>
      <c r="AZ55" s="44">
        <f t="shared" si="22"/>
        <v>0.92267795263913233</v>
      </c>
      <c r="BA55" s="44">
        <f t="shared" si="22"/>
        <v>5.2447827313472448</v>
      </c>
      <c r="BB55" s="44">
        <f t="shared" si="22"/>
        <v>3.6819373425566728</v>
      </c>
      <c r="BC55" s="44">
        <f t="shared" si="22"/>
        <v>3.0229320116688774</v>
      </c>
      <c r="BD55" s="44">
        <f t="shared" si="22"/>
        <v>1.5315849910053956</v>
      </c>
      <c r="BE55" s="44">
        <f t="shared" si="22"/>
        <v>6.8425893405648299</v>
      </c>
      <c r="BF55" s="44">
        <f t="shared" si="22"/>
        <v>6.0288251148846577</v>
      </c>
      <c r="BG55" s="44">
        <f t="shared" si="22"/>
        <v>5.1743821994452608</v>
      </c>
      <c r="BH55" s="44">
        <f t="shared" si="22"/>
        <v>1.5929618110441641</v>
      </c>
      <c r="BI55" s="44">
        <f t="shared" si="22"/>
        <v>6.2950105127222296</v>
      </c>
      <c r="BJ55" s="44">
        <f t="shared" si="22"/>
        <v>4.9076239733607574</v>
      </c>
      <c r="BK55" s="44">
        <f t="shared" si="22"/>
        <v>3.3411689954254893</v>
      </c>
      <c r="BL55" s="44">
        <f t="shared" si="22"/>
        <v>1.7263731718403468</v>
      </c>
      <c r="BM55" s="44">
        <f t="shared" si="22"/>
        <v>6.4611538789463978</v>
      </c>
      <c r="BN55" s="44">
        <f t="shared" si="22"/>
        <v>3.4362318143816455</v>
      </c>
      <c r="BO55" s="44">
        <f t="shared" si="22"/>
        <v>2.3476082860657543</v>
      </c>
      <c r="BP55" s="44">
        <f t="shared" si="22"/>
        <v>0.87819131331744227</v>
      </c>
      <c r="BQ55" s="44">
        <f t="shared" si="22"/>
        <v>3.5141089034418624</v>
      </c>
      <c r="BR55" s="44">
        <f t="shared" ref="BR55:CK55" si="23">BR49/BR54</f>
        <v>1.3567044992519279</v>
      </c>
      <c r="BS55" s="44">
        <f t="shared" si="23"/>
        <v>2.5175947725775383</v>
      </c>
      <c r="BT55" s="44">
        <f t="shared" si="23"/>
        <v>5.1679758300941474</v>
      </c>
      <c r="BU55" s="44">
        <f t="shared" si="23"/>
        <v>10.210016351295755</v>
      </c>
      <c r="BV55" s="44">
        <f t="shared" si="23"/>
        <v>2.0931515861965764</v>
      </c>
      <c r="BW55" s="44">
        <f t="shared" si="23"/>
        <v>3.9473016827864456</v>
      </c>
      <c r="BX55" s="44">
        <f t="shared" si="23"/>
        <v>4.2503354850329682</v>
      </c>
      <c r="BY55" s="44">
        <f t="shared" si="23"/>
        <v>3.0408712244443517</v>
      </c>
      <c r="BZ55" s="44" t="e">
        <f t="shared" si="23"/>
        <v>#DIV/0!</v>
      </c>
      <c r="CA55" s="44">
        <f t="shared" si="23"/>
        <v>13.50147178283647</v>
      </c>
      <c r="CB55" s="44">
        <f t="shared" si="23"/>
        <v>21.755176618813415</v>
      </c>
      <c r="CC55" s="44">
        <f t="shared" si="23"/>
        <v>15.827321453707086</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6" t="s">
        <v>443</v>
      </c>
      <c r="E56" s="76">
        <f>资产资本表!E19</f>
        <v>664494468.41999996</v>
      </c>
      <c r="F56" s="76">
        <f>资产资本表!F19</f>
        <v>670939921.27999997</v>
      </c>
      <c r="G56" s="76">
        <f>资产资本表!G19</f>
        <v>372682522.97000003</v>
      </c>
      <c r="H56" s="76">
        <f>资产资本表!H19</f>
        <v>335456622.17000002</v>
      </c>
      <c r="I56" s="76">
        <f>资产资本表!I19</f>
        <v>321640929.30000001</v>
      </c>
      <c r="J56" s="76">
        <f>资产资本表!J19</f>
        <v>304416697.56</v>
      </c>
      <c r="K56" s="76">
        <f>资产资本表!K19</f>
        <v>296272506.47000003</v>
      </c>
      <c r="L56" s="76">
        <f>资产资本表!L19</f>
        <v>290000000</v>
      </c>
      <c r="M56" s="76">
        <f>资产资本表!M19</f>
        <v>0</v>
      </c>
      <c r="N56" s="76">
        <f>资产资本表!N19</f>
        <v>0</v>
      </c>
      <c r="O56" s="76">
        <f>资产资本表!O19</f>
        <v>0</v>
      </c>
      <c r="P56" s="76">
        <f>资产资本表!P19</f>
        <v>0</v>
      </c>
      <c r="Q56" s="76">
        <f>资产资本表!Q19</f>
        <v>0</v>
      </c>
      <c r="R56" s="76">
        <f>资产资本表!R19</f>
        <v>0</v>
      </c>
      <c r="S56" s="76">
        <f>资产资本表!S19</f>
        <v>149047800</v>
      </c>
      <c r="T56" s="76">
        <f>资产资本表!T19</f>
        <v>142377800</v>
      </c>
      <c r="U56" s="76">
        <f>资产资本表!U19</f>
        <v>142377800</v>
      </c>
      <c r="V56" s="76">
        <f>资产资本表!V19</f>
        <v>142377800</v>
      </c>
      <c r="W56" s="76">
        <f>资产资本表!W19</f>
        <v>142377800</v>
      </c>
      <c r="X56" s="76">
        <f>资产资本表!X19</f>
        <v>142377800</v>
      </c>
      <c r="Y56" s="76">
        <f>资产资本表!Y19</f>
        <v>142377800</v>
      </c>
      <c r="Z56" s="76">
        <f>资产资本表!Z19</f>
        <v>160308500</v>
      </c>
      <c r="AA56" s="76">
        <f>资产资本表!AA19</f>
        <v>160308500</v>
      </c>
      <c r="AB56" s="76">
        <f>资产资本表!AB19</f>
        <v>160308500</v>
      </c>
      <c r="AC56" s="76">
        <f>资产资本表!AC19</f>
        <v>85308500</v>
      </c>
      <c r="AD56" s="76">
        <f>资产资本表!AD19</f>
        <v>85308500</v>
      </c>
      <c r="AE56" s="76">
        <f>资产资本表!AE19</f>
        <v>85308500</v>
      </c>
      <c r="AF56" s="76">
        <f>资产资本表!AF19</f>
        <v>83094500</v>
      </c>
      <c r="AG56" s="76">
        <f>资产资本表!AG19</f>
        <v>83094500</v>
      </c>
      <c r="AH56" s="76">
        <f>资产资本表!AH19</f>
        <v>83194500</v>
      </c>
      <c r="AI56" s="76">
        <f>资产资本表!AI19</f>
        <v>83194500</v>
      </c>
      <c r="AJ56" s="76">
        <f>资产资本表!AJ19</f>
        <v>83194500</v>
      </c>
      <c r="AK56" s="76">
        <f>资产资本表!AK19</f>
        <v>83194500</v>
      </c>
      <c r="AL56" s="76">
        <f>资产资本表!AL19</f>
        <v>99054500</v>
      </c>
      <c r="AM56" s="76">
        <f>资产资本表!AM19</f>
        <v>99929500</v>
      </c>
      <c r="AN56" s="76">
        <f>资产资本表!AN19</f>
        <v>132489814.95</v>
      </c>
      <c r="AO56" s="76">
        <f>资产资本表!AO19</f>
        <v>132823313.09999999</v>
      </c>
      <c r="AP56" s="76">
        <f>资产资本表!AP19</f>
        <v>138518173.62</v>
      </c>
      <c r="AQ56" s="76">
        <f>资产资本表!AQ19</f>
        <v>48918601.030000001</v>
      </c>
      <c r="AR56" s="76">
        <f>资产资本表!AR19</f>
        <v>50351070.5</v>
      </c>
      <c r="AS56" s="76">
        <f>资产资本表!AS19</f>
        <v>68628986.680000007</v>
      </c>
      <c r="AT56" s="76">
        <f>资产资本表!AT19</f>
        <v>88769682.420000002</v>
      </c>
      <c r="AU56" s="76">
        <f>资产资本表!AU19</f>
        <v>89213891.769999996</v>
      </c>
      <c r="AV56" s="76">
        <f>资产资本表!AV19</f>
        <v>86994412.819999993</v>
      </c>
      <c r="AW56" s="76">
        <f>资产资本表!AW19</f>
        <v>57454828.520000003</v>
      </c>
      <c r="AX56" s="76">
        <f>资产资本表!AX19</f>
        <v>54962097.950000003</v>
      </c>
      <c r="AY56" s="76">
        <f>资产资本表!AY19</f>
        <v>51940081.740000002</v>
      </c>
      <c r="AZ56" s="76">
        <f>资产资本表!AZ19</f>
        <v>66109941.840000004</v>
      </c>
      <c r="BA56" s="76">
        <f>资产资本表!BA19</f>
        <v>65088181.200000003</v>
      </c>
      <c r="BB56" s="76">
        <f>资产资本表!BB19</f>
        <v>63987870.460000001</v>
      </c>
      <c r="BC56" s="76">
        <f>资产资本表!BC19</f>
        <v>62445047.329999998</v>
      </c>
      <c r="BD56" s="76">
        <f>资产资本表!BD19</f>
        <v>61431052.68</v>
      </c>
      <c r="BE56" s="76">
        <f>资产资本表!BE19</f>
        <v>60780691.920000002</v>
      </c>
      <c r="BF56" s="76">
        <f>资产资本表!BF19</f>
        <v>79279399.219999999</v>
      </c>
      <c r="BG56" s="76">
        <f>资产资本表!BG19</f>
        <v>34200848.210000001</v>
      </c>
      <c r="BH56" s="76">
        <f>资产资本表!BH19</f>
        <v>39831930.219999999</v>
      </c>
      <c r="BI56" s="76">
        <f>资产资本表!BI19</f>
        <v>29631930.219999999</v>
      </c>
      <c r="BJ56" s="76">
        <f>资产资本表!BJ19</f>
        <v>35680428.380000003</v>
      </c>
      <c r="BK56" s="76">
        <f>资产资本表!BK19</f>
        <v>23680428.379999999</v>
      </c>
      <c r="BL56" s="76">
        <f>资产资本表!BL19</f>
        <v>15675534.42</v>
      </c>
      <c r="BM56" s="76">
        <f>资产资本表!BM19</f>
        <v>10171425.68</v>
      </c>
      <c r="BN56" s="76">
        <f>资产资本表!BN19</f>
        <v>0</v>
      </c>
      <c r="BO56" s="76">
        <f>资产资本表!BO19</f>
        <v>4000000</v>
      </c>
      <c r="BP56" s="76">
        <f>资产资本表!BP19</f>
        <v>0</v>
      </c>
      <c r="BQ56" s="76">
        <f>资产资本表!BQ19</f>
        <v>0</v>
      </c>
      <c r="BR56" s="76">
        <f>资产资本表!BR19</f>
        <v>0</v>
      </c>
      <c r="BS56" s="76">
        <f>资产资本表!BS19</f>
        <v>1270</v>
      </c>
      <c r="BT56" s="76">
        <f>资产资本表!BT19</f>
        <v>22540</v>
      </c>
      <c r="BU56" s="76">
        <f>资产资本表!BU19</f>
        <v>0</v>
      </c>
      <c r="BV56" s="76">
        <f>资产资本表!BV19</f>
        <v>21605958</v>
      </c>
      <c r="BW56" s="76">
        <f>资产资本表!BW19</f>
        <v>21605958</v>
      </c>
      <c r="BX56" s="76">
        <f>资产资本表!BX19</f>
        <v>31600000</v>
      </c>
      <c r="BY56" s="76">
        <f>资产资本表!BY19</f>
        <v>31600000</v>
      </c>
      <c r="BZ56" s="76">
        <f>资产资本表!BZ19</f>
        <v>0</v>
      </c>
      <c r="CA56" s="76">
        <f>资产资本表!CA19</f>
        <v>118047</v>
      </c>
      <c r="CB56" s="76">
        <f>资产资本表!CB19</f>
        <v>223487</v>
      </c>
      <c r="CC56" s="76">
        <f>资产资本表!CC19</f>
        <v>250511</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4" t="s">
        <v>470</v>
      </c>
      <c r="E57" s="117">
        <f>E49/E56</f>
        <v>49.995824413171427</v>
      </c>
      <c r="F57" s="117">
        <f t="shared" ref="F57:BQ57" si="24">F49/F56</f>
        <v>28.310978850702384</v>
      </c>
      <c r="G57" s="117">
        <f t="shared" si="24"/>
        <v>24.989278860950712</v>
      </c>
      <c r="H57" s="117">
        <f t="shared" si="24"/>
        <v>11.531919155972343</v>
      </c>
      <c r="I57" s="117">
        <f t="shared" si="24"/>
        <v>111.46106971131674</v>
      </c>
      <c r="J57" s="117">
        <f t="shared" si="24"/>
        <v>71.149705157191704</v>
      </c>
      <c r="K57" s="117">
        <f t="shared" si="24"/>
        <v>44.783505560255229</v>
      </c>
      <c r="L57" s="117">
        <f t="shared" si="24"/>
        <v>17.678581320344826</v>
      </c>
      <c r="M57" s="117" t="e">
        <f t="shared" si="24"/>
        <v>#DIV/0!</v>
      </c>
      <c r="N57" s="117" t="e">
        <f t="shared" si="24"/>
        <v>#DIV/0!</v>
      </c>
      <c r="O57" s="117" t="e">
        <f t="shared" si="24"/>
        <v>#DIV/0!</v>
      </c>
      <c r="P57" s="117" t="e">
        <f t="shared" si="24"/>
        <v>#DIV/0!</v>
      </c>
      <c r="Q57" s="117" t="e">
        <f t="shared" si="24"/>
        <v>#DIV/0!</v>
      </c>
      <c r="R57" s="117" t="e">
        <f t="shared" si="24"/>
        <v>#DIV/0!</v>
      </c>
      <c r="S57" s="117">
        <f t="shared" si="24"/>
        <v>62.674369517094512</v>
      </c>
      <c r="T57" s="117">
        <f t="shared" si="24"/>
        <v>30.875287062308871</v>
      </c>
      <c r="U57" s="117">
        <f t="shared" si="24"/>
        <v>155.17746847500104</v>
      </c>
      <c r="V57" s="117">
        <f t="shared" si="24"/>
        <v>96.007992443274162</v>
      </c>
      <c r="W57" s="117">
        <f t="shared" si="24"/>
        <v>67.873975720863783</v>
      </c>
      <c r="X57" s="117">
        <f t="shared" si="24"/>
        <v>30.463617255569339</v>
      </c>
      <c r="Y57" s="117">
        <f t="shared" si="24"/>
        <v>138.80997739127869</v>
      </c>
      <c r="Z57" s="117">
        <f t="shared" si="24"/>
        <v>83.021220048406661</v>
      </c>
      <c r="AA57" s="117">
        <f t="shared" si="24"/>
        <v>51.751735341107931</v>
      </c>
      <c r="AB57" s="117">
        <f t="shared" si="24"/>
        <v>24.760697275191269</v>
      </c>
      <c r="AC57" s="117">
        <f t="shared" si="24"/>
        <v>198.4787675913889</v>
      </c>
      <c r="AD57" s="117">
        <f t="shared" si="24"/>
        <v>129.05558281495982</v>
      </c>
      <c r="AE57" s="117">
        <f t="shared" si="24"/>
        <v>75.089427920312744</v>
      </c>
      <c r="AF57" s="117">
        <f t="shared" si="24"/>
        <v>35.4771971211091</v>
      </c>
      <c r="AG57" s="117">
        <f t="shared" si="24"/>
        <v>162.20688638213119</v>
      </c>
      <c r="AH57" s="117">
        <f t="shared" si="24"/>
        <v>109.77272043668754</v>
      </c>
      <c r="AI57" s="117">
        <f t="shared" si="24"/>
        <v>66.414971074409976</v>
      </c>
      <c r="AJ57" s="117">
        <f t="shared" si="24"/>
        <v>28.335026845043846</v>
      </c>
      <c r="AK57" s="117">
        <f t="shared" si="24"/>
        <v>105.55663216222226</v>
      </c>
      <c r="AL57" s="117">
        <f t="shared" si="24"/>
        <v>58.884783249322339</v>
      </c>
      <c r="AM57" s="117">
        <f t="shared" si="24"/>
        <v>35.500050747977319</v>
      </c>
      <c r="AN57" s="117">
        <f t="shared" si="24"/>
        <v>9.9795108686579077</v>
      </c>
      <c r="AO57" s="117">
        <f t="shared" si="24"/>
        <v>62.757596317780752</v>
      </c>
      <c r="AP57" s="117">
        <f t="shared" si="24"/>
        <v>42.659210962386062</v>
      </c>
      <c r="AQ57" s="117">
        <f t="shared" si="24"/>
        <v>87.274740467164165</v>
      </c>
      <c r="AR57" s="117">
        <f t="shared" si="24"/>
        <v>34.334600761070213</v>
      </c>
      <c r="AS57" s="117">
        <f t="shared" si="24"/>
        <v>114.83154604170529</v>
      </c>
      <c r="AT57" s="117">
        <f t="shared" si="24"/>
        <v>53.974770315281702</v>
      </c>
      <c r="AU57" s="117">
        <f t="shared" si="24"/>
        <v>31.661767923119044</v>
      </c>
      <c r="AV57" s="117">
        <f t="shared" si="24"/>
        <v>14.012237774995997</v>
      </c>
      <c r="AW57" s="117">
        <f t="shared" si="24"/>
        <v>86.233078422387749</v>
      </c>
      <c r="AX57" s="117">
        <f t="shared" si="24"/>
        <v>58.43494043825887</v>
      </c>
      <c r="AY57" s="117">
        <f t="shared" si="24"/>
        <v>39.260867668592162</v>
      </c>
      <c r="AZ57" s="117">
        <f t="shared" si="24"/>
        <v>13.426159277498465</v>
      </c>
      <c r="BA57" s="117">
        <f t="shared" si="24"/>
        <v>70.311314421549696</v>
      </c>
      <c r="BB57" s="117">
        <f t="shared" si="24"/>
        <v>46.011267461861401</v>
      </c>
      <c r="BC57" s="117">
        <f t="shared" si="24"/>
        <v>27.213332986034906</v>
      </c>
      <c r="BD57" s="117">
        <f t="shared" si="24"/>
        <v>12.036253137506872</v>
      </c>
      <c r="BE57" s="117">
        <f t="shared" si="24"/>
        <v>64.972750103730633</v>
      </c>
      <c r="BF57" s="117">
        <f t="shared" si="24"/>
        <v>34.841112083164951</v>
      </c>
      <c r="BG57" s="117">
        <f t="shared" si="24"/>
        <v>43.471139587271658</v>
      </c>
      <c r="BH57" s="117">
        <f t="shared" si="24"/>
        <v>14.381849921306676</v>
      </c>
      <c r="BI57" s="117">
        <f t="shared" si="24"/>
        <v>109.80215062783716</v>
      </c>
      <c r="BJ57" s="117">
        <f t="shared" si="24"/>
        <v>54.551043809525019</v>
      </c>
      <c r="BK57" s="117">
        <f t="shared" si="24"/>
        <v>50.758523720591583</v>
      </c>
      <c r="BL57" s="117">
        <f t="shared" si="24"/>
        <v>47.691883543451141</v>
      </c>
      <c r="BM57" s="117">
        <f t="shared" si="24"/>
        <v>263.97965087722099</v>
      </c>
      <c r="BN57" s="117" t="e">
        <f t="shared" si="24"/>
        <v>#DIV/0!</v>
      </c>
      <c r="BO57" s="117">
        <f t="shared" si="24"/>
        <v>249.718093955</v>
      </c>
      <c r="BP57" s="117" t="e">
        <f t="shared" si="24"/>
        <v>#DIV/0!</v>
      </c>
      <c r="BQ57" s="117" t="e">
        <f t="shared" si="24"/>
        <v>#DIV/0!</v>
      </c>
      <c r="BR57" s="117" t="e">
        <f t="shared" ref="BR57:CK57" si="25">BR49/BR56</f>
        <v>#DIV/0!</v>
      </c>
      <c r="BS57" s="117">
        <f t="shared" si="25"/>
        <v>944069.56639370078</v>
      </c>
      <c r="BT57" s="117">
        <f t="shared" si="25"/>
        <v>20843.203415705411</v>
      </c>
      <c r="BU57" s="117" t="e">
        <f t="shared" si="25"/>
        <v>#DIV/0!</v>
      </c>
      <c r="BV57" s="117">
        <f t="shared" si="25"/>
        <v>14.768901159578299</v>
      </c>
      <c r="BW57" s="117">
        <f t="shared" si="25"/>
        <v>26.169457837046615</v>
      </c>
      <c r="BX57" s="117">
        <f t="shared" si="25"/>
        <v>7.1691347506329119</v>
      </c>
      <c r="BY57" s="117">
        <f t="shared" si="25"/>
        <v>13.818726353797468</v>
      </c>
      <c r="BZ57" s="117" t="e">
        <f t="shared" si="25"/>
        <v>#DIV/0!</v>
      </c>
      <c r="CA57" s="117">
        <f t="shared" si="25"/>
        <v>3719.4421120401198</v>
      </c>
      <c r="CB57" s="117">
        <f t="shared" si="25"/>
        <v>1227.0849445381612</v>
      </c>
      <c r="CC57" s="117">
        <f t="shared" si="25"/>
        <v>549.3938230257354</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8" t="s">
        <v>694</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35064</v>
      </c>
      <c r="CC61" s="1">
        <v>34699</v>
      </c>
      <c r="CD61" s="1">
        <v>25569</v>
      </c>
      <c r="CE61" s="1"/>
      <c r="CF61" s="1"/>
      <c r="CG61" s="1"/>
      <c r="CH61" s="1"/>
      <c r="CI61" s="1"/>
      <c r="CJ61" s="1"/>
      <c r="CK61" s="1"/>
    </row>
    <row r="62" spans="1:89" s="76" customFormat="1" x14ac:dyDescent="0.25">
      <c r="A62" s="146"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463</v>
      </c>
      <c r="E63" s="76">
        <f>E49</f>
        <v>33221948766.650002</v>
      </c>
      <c r="F63" s="76">
        <f t="shared" ref="F63:BQ63" si="26">F49</f>
        <v>18994965921.450001</v>
      </c>
      <c r="G63" s="76">
        <f t="shared" si="26"/>
        <v>9313067493.1000004</v>
      </c>
      <c r="H63" s="76">
        <f t="shared" si="26"/>
        <v>3868458647.1999998</v>
      </c>
      <c r="I63" s="76">
        <f t="shared" si="26"/>
        <v>35850442042.720001</v>
      </c>
      <c r="J63" s="76">
        <f t="shared" si="26"/>
        <v>21659158276.32</v>
      </c>
      <c r="K63" s="76">
        <f t="shared" si="26"/>
        <v>13268121440.85</v>
      </c>
      <c r="L63" s="76">
        <f t="shared" si="26"/>
        <v>5126788582.8999996</v>
      </c>
      <c r="M63" s="76">
        <f t="shared" si="26"/>
        <v>31210873852.540001</v>
      </c>
      <c r="N63" s="76">
        <f t="shared" si="26"/>
        <v>18929067308.060001</v>
      </c>
      <c r="O63" s="76">
        <f t="shared" si="26"/>
        <v>10387239701.25</v>
      </c>
      <c r="P63" s="76">
        <f t="shared" si="26"/>
        <v>4273324043.52</v>
      </c>
      <c r="Q63" s="76">
        <f t="shared" si="26"/>
        <v>25728299513.16</v>
      </c>
      <c r="R63" s="76">
        <f t="shared" si="26"/>
        <v>15002502291.76</v>
      </c>
      <c r="S63" s="76">
        <f t="shared" si="26"/>
        <v>9341476892.9099998</v>
      </c>
      <c r="T63" s="76">
        <f t="shared" si="26"/>
        <v>4395955446.3000002</v>
      </c>
      <c r="U63" s="76">
        <f t="shared" si="26"/>
        <v>22093826571.040001</v>
      </c>
      <c r="V63" s="76">
        <f t="shared" si="26"/>
        <v>13669406746.49</v>
      </c>
      <c r="W63" s="76">
        <f t="shared" si="26"/>
        <v>9663747340.3899994</v>
      </c>
      <c r="X63" s="76">
        <f t="shared" si="26"/>
        <v>4337342804.8900003</v>
      </c>
      <c r="Y63" s="76">
        <f t="shared" si="26"/>
        <v>19763459199.02</v>
      </c>
      <c r="Z63" s="76">
        <f t="shared" si="26"/>
        <v>13309007254.129999</v>
      </c>
      <c r="AA63" s="76">
        <f t="shared" si="26"/>
        <v>8296243064.9300003</v>
      </c>
      <c r="AB63" s="76">
        <f t="shared" si="26"/>
        <v>3969350239.1399999</v>
      </c>
      <c r="AC63" s="76">
        <f t="shared" si="26"/>
        <v>16931925945.07</v>
      </c>
      <c r="AD63" s="76">
        <f t="shared" si="26"/>
        <v>11009538186.57</v>
      </c>
      <c r="AE63" s="76">
        <f t="shared" si="26"/>
        <v>6405766461.7399998</v>
      </c>
      <c r="AF63" s="76">
        <f t="shared" si="26"/>
        <v>2947959956.1799998</v>
      </c>
      <c r="AG63" s="76">
        <f t="shared" si="26"/>
        <v>13478500120.48</v>
      </c>
      <c r="AH63" s="76">
        <f t="shared" si="26"/>
        <v>9132486590.3700008</v>
      </c>
      <c r="AI63" s="76">
        <f t="shared" si="26"/>
        <v>5525360311.0500002</v>
      </c>
      <c r="AJ63" s="76">
        <f t="shared" si="26"/>
        <v>2357318390.8600001</v>
      </c>
      <c r="AK63" s="76">
        <f t="shared" si="26"/>
        <v>8781731234.4200001</v>
      </c>
      <c r="AL63" s="76">
        <f t="shared" si="26"/>
        <v>5832802762.3699999</v>
      </c>
      <c r="AM63" s="76">
        <f t="shared" si="26"/>
        <v>3547502321.2199998</v>
      </c>
      <c r="AN63" s="76">
        <f t="shared" si="26"/>
        <v>1322183548.28</v>
      </c>
      <c r="AO63" s="76">
        <f t="shared" si="26"/>
        <v>8335671865.1199999</v>
      </c>
      <c r="AP63" s="76">
        <f t="shared" si="26"/>
        <v>5909075990.5799999</v>
      </c>
      <c r="AQ63" s="76">
        <f t="shared" si="26"/>
        <v>4269358208.9099998</v>
      </c>
      <c r="AR63" s="76">
        <f t="shared" si="26"/>
        <v>1728783903.51</v>
      </c>
      <c r="AS63" s="76">
        <f t="shared" si="26"/>
        <v>7880772643.7399998</v>
      </c>
      <c r="AT63" s="76">
        <f t="shared" si="26"/>
        <v>4791323219.5799999</v>
      </c>
      <c r="AU63" s="76">
        <f t="shared" si="26"/>
        <v>2824669536.7399998</v>
      </c>
      <c r="AV63" s="76">
        <f t="shared" si="26"/>
        <v>1218986397.53</v>
      </c>
      <c r="AW63" s="76">
        <f t="shared" si="26"/>
        <v>4954506733.5100002</v>
      </c>
      <c r="AX63" s="76">
        <f t="shared" si="26"/>
        <v>3211706920.0700002</v>
      </c>
      <c r="AY63" s="76">
        <f t="shared" si="26"/>
        <v>2039212675.8900001</v>
      </c>
      <c r="AZ63" s="76">
        <f t="shared" si="26"/>
        <v>887602608.97000003</v>
      </c>
      <c r="BA63" s="76">
        <f t="shared" si="26"/>
        <v>4576435573.4799995</v>
      </c>
      <c r="BB63" s="76">
        <f t="shared" si="26"/>
        <v>2944163022.0500002</v>
      </c>
      <c r="BC63" s="76">
        <f t="shared" si="26"/>
        <v>1699337866.3199999</v>
      </c>
      <c r="BD63" s="76">
        <f t="shared" si="26"/>
        <v>739399700.55999994</v>
      </c>
      <c r="BE63" s="76">
        <f t="shared" si="26"/>
        <v>3949088707.25</v>
      </c>
      <c r="BF63" s="76">
        <f t="shared" si="26"/>
        <v>2762182434.1100001</v>
      </c>
      <c r="BG63" s="76">
        <f t="shared" si="26"/>
        <v>1486749846.54</v>
      </c>
      <c r="BH63" s="76">
        <f t="shared" si="26"/>
        <v>572856842.5</v>
      </c>
      <c r="BI63" s="76">
        <f t="shared" si="26"/>
        <v>3253649665.4099998</v>
      </c>
      <c r="BJ63" s="76">
        <f t="shared" si="26"/>
        <v>1946404611.7</v>
      </c>
      <c r="BK63" s="76">
        <f t="shared" si="26"/>
        <v>1201983585.6400001</v>
      </c>
      <c r="BL63" s="76">
        <f t="shared" si="26"/>
        <v>747595762.03999996</v>
      </c>
      <c r="BM63" s="76">
        <f t="shared" si="26"/>
        <v>2685049399.9299998</v>
      </c>
      <c r="BN63" s="76">
        <f t="shared" si="26"/>
        <v>1843794209.3099999</v>
      </c>
      <c r="BO63" s="76">
        <f t="shared" si="26"/>
        <v>998872375.82000005</v>
      </c>
      <c r="BP63" s="76">
        <f t="shared" si="26"/>
        <v>364636034.19</v>
      </c>
      <c r="BQ63" s="76">
        <f t="shared" si="26"/>
        <v>1579515325.0899999</v>
      </c>
      <c r="BR63" s="76">
        <f t="shared" ref="BR63:CJ63" si="27">BR49</f>
        <v>701830564.21000004</v>
      </c>
      <c r="BS63" s="76">
        <f t="shared" si="27"/>
        <v>1198968349.3199999</v>
      </c>
      <c r="BT63" s="76">
        <f t="shared" si="27"/>
        <v>469805804.99000001</v>
      </c>
      <c r="BU63" s="76">
        <f t="shared" si="27"/>
        <v>700109344.52999997</v>
      </c>
      <c r="BV63" s="76">
        <f t="shared" si="27"/>
        <v>319096258.16000003</v>
      </c>
      <c r="BW63" s="76">
        <f t="shared" si="27"/>
        <v>565416206.90999997</v>
      </c>
      <c r="BX63" s="76">
        <f t="shared" si="27"/>
        <v>226544658.12</v>
      </c>
      <c r="BY63" s="76">
        <f t="shared" si="27"/>
        <v>436671752.77999997</v>
      </c>
      <c r="BZ63" s="76">
        <f t="shared" si="27"/>
        <v>157092838.58000001</v>
      </c>
      <c r="CA63" s="76">
        <f t="shared" si="27"/>
        <v>439068983</v>
      </c>
      <c r="CB63" s="76">
        <f t="shared" si="27"/>
        <v>274237533</v>
      </c>
      <c r="CC63" s="76">
        <f t="shared" si="27"/>
        <v>137629196</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6" t="s">
        <v>473</v>
      </c>
      <c r="E64" s="76">
        <f>资产资本表!E22+资产资本表!E23-资产资本表!E37</f>
        <v>17845806905.100002</v>
      </c>
      <c r="F64" s="76">
        <f>资产资本表!F22+资产资本表!F23-资产资本表!F37</f>
        <v>15473128702.07</v>
      </c>
      <c r="G64" s="76">
        <f>资产资本表!G22+资产资本表!G23-资产资本表!G37</f>
        <v>13276423698.77</v>
      </c>
      <c r="H64" s="76">
        <f>资产资本表!H22+资产资本表!H23-资产资本表!H37</f>
        <v>13085276905.09</v>
      </c>
      <c r="I64" s="76">
        <f>资产资本表!I22+资产资本表!I23-资产资本表!I37</f>
        <v>15001816498.49</v>
      </c>
      <c r="J64" s="76">
        <f>资产资本表!J22+资产资本表!J23-资产资本表!J37</f>
        <v>12683967088.08</v>
      </c>
      <c r="K64" s="76">
        <f>资产资本表!K22+资产资本表!K23-资产资本表!K37</f>
        <v>11232684293.239998</v>
      </c>
      <c r="L64" s="76">
        <f>资产资本表!L22+资产资本表!L23-资产资本表!L37</f>
        <v>9289433384.4400005</v>
      </c>
      <c r="M64" s="76">
        <f>资产资本表!M22+资产资本表!M23-资产资本表!M37</f>
        <v>9429807477.6499996</v>
      </c>
      <c r="N64" s="76">
        <f>资产资本表!N22+资产资本表!N23-资产资本表!N37</f>
        <v>6155931406.1900005</v>
      </c>
      <c r="O64" s="76">
        <f>资产资本表!O22+资产资本表!O23-资产资本表!O37</f>
        <v>6324105646.3199997</v>
      </c>
      <c r="P64" s="76">
        <f>资产资本表!P22+资产资本表!P23-资产资本表!P37</f>
        <v>6406747044.0500002</v>
      </c>
      <c r="Q64" s="76">
        <f>资产资本表!Q22+资产资本表!Q23-资产资本表!Q37</f>
        <v>8098415000.8099995</v>
      </c>
      <c r="R64" s="76">
        <f>资产资本表!R22+资产资本表!R23-资产资本表!R37</f>
        <v>5285233660.3400002</v>
      </c>
      <c r="S64" s="76">
        <f>资产资本表!S22+资产资本表!S23-资产资本表!S37</f>
        <v>5038975572.8100004</v>
      </c>
      <c r="T64" s="76">
        <f>资产资本表!T22+资产资本表!T23-资产资本表!T37</f>
        <v>5020611046.7599993</v>
      </c>
      <c r="U64" s="76">
        <f>资产资本表!U22+资产资本表!U23-资产资本表!U37</f>
        <v>4165573210.8299999</v>
      </c>
      <c r="V64" s="76">
        <f>资产资本表!V22+资产资本表!V23-资产资本表!V37</f>
        <v>3118269591.1700001</v>
      </c>
      <c r="W64" s="76">
        <f>资产资本表!W22+资产资本表!W23-资产资本表!W37</f>
        <v>4594635044.9199991</v>
      </c>
      <c r="X64" s="76">
        <f>资产资本表!X22+资产资本表!X23-资产资本表!X37</f>
        <v>4499666144.8199997</v>
      </c>
      <c r="Y64" s="76">
        <f>资产资本表!Y22+资产资本表!Y23-资产资本表!Y37</f>
        <v>3558824445.4299998</v>
      </c>
      <c r="Z64" s="76">
        <f>资产资本表!Z22+资产资本表!Z23-资产资本表!Z37</f>
        <v>2400436242.1800003</v>
      </c>
      <c r="AA64" s="76">
        <f>资产资本表!AA22+资产资本表!AA23-资产资本表!AA37</f>
        <v>2149986068.3099999</v>
      </c>
      <c r="AB64" s="76">
        <f>资产资本表!AB22+资产资本表!AB23-资产资本表!AB37</f>
        <v>1549477541.7800002</v>
      </c>
      <c r="AC64" s="76">
        <f>资产资本表!AC22+资产资本表!AC23-资产资本表!AC37</f>
        <v>1093802945.0799999</v>
      </c>
      <c r="AD64" s="76">
        <f>资产资本表!AD22+资产资本表!AD23-资产资本表!AD37</f>
        <v>1939025223.97</v>
      </c>
      <c r="AE64" s="76">
        <f>资产资本表!AE22+资产资本表!AE23-资产资本表!AE37</f>
        <v>1471231684.9100001</v>
      </c>
      <c r="AF64" s="76">
        <f>资产资本表!AF22+资产资本表!AF23-资产资本表!AF37</f>
        <v>1338743628.6500001</v>
      </c>
      <c r="AG64" s="76">
        <f>资产资本表!AG22+资产资本表!AG23-资产资本表!AG37</f>
        <v>1357932838.6000001</v>
      </c>
      <c r="AH64" s="76">
        <f>资产资本表!AH22+资产资本表!AH23-资产资本表!AH37</f>
        <v>1812190531.5999999</v>
      </c>
      <c r="AI64" s="76">
        <f>资产资本表!AI22+资产资本表!AI23-资产资本表!AI37</f>
        <v>1504398374.0800002</v>
      </c>
      <c r="AJ64" s="76">
        <f>资产资本表!AJ22+资产资本表!AJ23-资产资本表!AJ37</f>
        <v>1043748744.7100002</v>
      </c>
      <c r="AK64" s="76">
        <f>资产资本表!AK22+资产资本表!AK23-资产资本表!AK37</f>
        <v>1361630315.99</v>
      </c>
      <c r="AL64" s="76">
        <f>资产资本表!AL22+资产资本表!AL23-资产资本表!AL37</f>
        <v>948463432.03999996</v>
      </c>
      <c r="AM64" s="76">
        <f>资产资本表!AM22+资产资本表!AM23-资产资本表!AM37</f>
        <v>804866315.32000005</v>
      </c>
      <c r="AN64" s="76">
        <f>资产资本表!AN22+资产资本表!AN23-资产资本表!AN37</f>
        <v>609954315.41000009</v>
      </c>
      <c r="AO64" s="76">
        <f>资产资本表!AO22+资产资本表!AO23-资产资本表!AO37</f>
        <v>663799341.57000005</v>
      </c>
      <c r="AP64" s="76">
        <f>资产资本表!AP22+资产资本表!AP23-资产资本表!AP37</f>
        <v>509135686.75999999</v>
      </c>
      <c r="AQ64" s="76">
        <f>资产资本表!AQ22+资产资本表!AQ23-资产资本表!AQ37</f>
        <v>669515602.0999999</v>
      </c>
      <c r="AR64" s="76">
        <f>资产资本表!AR22+资产资本表!AR23-资产资本表!AR37</f>
        <v>565961118.10000014</v>
      </c>
      <c r="AS64" s="76">
        <f>资产资本表!AS22+资产资本表!AS23-资产资本表!AS37</f>
        <v>749266975.80999994</v>
      </c>
      <c r="AT64" s="76">
        <f>资产资本表!AT22+资产资本表!AT23-资产资本表!AT37</f>
        <v>159506994.84000003</v>
      </c>
      <c r="AU64" s="76">
        <f>资产资本表!AU22+资产资本表!AU23-资产资本表!AU37</f>
        <v>102112872.86000001</v>
      </c>
      <c r="AV64" s="76">
        <f>资产资本表!AV22+资产资本表!AV23-资产资本表!AV37</f>
        <v>206650664.11000001</v>
      </c>
      <c r="AW64" s="76">
        <f>资产资本表!AW22+资产资本表!AW23-资产资本表!AW37</f>
        <v>271971125.97000003</v>
      </c>
      <c r="AX64" s="76">
        <f>资产资本表!AX22+资产资本表!AX23-资产资本表!AX37</f>
        <v>432269091.45999998</v>
      </c>
      <c r="AY64" s="76">
        <f>资产资本表!AY22+资产资本表!AY23-资产资本表!AY37</f>
        <v>322535258.25</v>
      </c>
      <c r="AZ64" s="76">
        <f>资产资本表!AZ22+资产资本表!AZ23-资产资本表!AZ37</f>
        <v>200463724.59</v>
      </c>
      <c r="BA64" s="76">
        <f>资产资本表!BA22+资产资本表!BA23-资产资本表!BA37</f>
        <v>268167518.81999999</v>
      </c>
      <c r="BB64" s="76">
        <f>资产资本表!BB22+资产资本表!BB23-资产资本表!BB37</f>
        <v>277586443.97000003</v>
      </c>
      <c r="BC64" s="76">
        <f>资产资本表!BC22+资产资本表!BC23-资产资本表!BC37</f>
        <v>196370727.17000002</v>
      </c>
      <c r="BD64" s="76">
        <f>资产资本表!BD22+资产资本表!BD23-资产资本表!BD37</f>
        <v>238319443.25</v>
      </c>
      <c r="BE64" s="76">
        <f>资产资本表!BE22+资产资本表!BE23-资产资本表!BE37</f>
        <v>279368336.90999997</v>
      </c>
      <c r="BF64" s="76">
        <f>资产资本表!BF22+资产资本表!BF23-资产资本表!BF37</f>
        <v>285877586.26999998</v>
      </c>
      <c r="BG64" s="76">
        <f>资产资本表!BG22+资产资本表!BG23-资产资本表!BG37</f>
        <v>278806762.19999999</v>
      </c>
      <c r="BH64" s="76">
        <f>资产资本表!BH22+资产资本表!BH23-资产资本表!BH37</f>
        <v>215797606.06999999</v>
      </c>
      <c r="BI64" s="76">
        <f>资产资本表!BI22+资产资本表!BI23-资产资本表!BI37</f>
        <v>427447150.80000001</v>
      </c>
      <c r="BJ64" s="76">
        <f>资产资本表!BJ22+资产资本表!BJ23-资产资本表!BJ37</f>
        <v>177219343.65000001</v>
      </c>
      <c r="BK64" s="76">
        <f>资产资本表!BK22+资产资本表!BK23-资产资本表!BK37</f>
        <v>97584372.700000003</v>
      </c>
      <c r="BL64" s="76">
        <f>资产资本表!BL22+资产资本表!BL23-资产资本表!BL37</f>
        <v>83518532.269999996</v>
      </c>
      <c r="BM64" s="76">
        <f>资产资本表!BM22+资产资本表!BM23-资产资本表!BM37</f>
        <v>-94786548.51000002</v>
      </c>
      <c r="BN64" s="76">
        <f>资产资本表!BN22+资产资本表!BN23-资产资本表!BN37</f>
        <v>104018837.36</v>
      </c>
      <c r="BO64" s="76">
        <f>资产资本表!BO22+资产资本表!BO23-资产资本表!BO37</f>
        <v>182163388.18000001</v>
      </c>
      <c r="BP64" s="76">
        <f>资产资本表!BP22+资产资本表!BP23-资产资本表!BP37</f>
        <v>103672449.75</v>
      </c>
      <c r="BQ64" s="76">
        <f>资产资本表!BQ22+资产资本表!BQ23-资产资本表!BQ37</f>
        <v>92756314.449999988</v>
      </c>
      <c r="BR64" s="76">
        <f>资产资本表!BR22+资产资本表!BR23-资产资本表!BR37</f>
        <v>99457381.849999994</v>
      </c>
      <c r="BS64" s="76">
        <f>资产资本表!BS22+资产资本表!BS23-资产资本表!BS37</f>
        <v>-42776690.299999997</v>
      </c>
      <c r="BT64" s="76">
        <f>资产资本表!BT22+资产资本表!BT23-资产资本表!BT37</f>
        <v>60689320.270000011</v>
      </c>
      <c r="BU64" s="76">
        <f>资产资本表!BU22+资产资本表!BU23-资产资本表!BU37</f>
        <v>-26454762.699999996</v>
      </c>
      <c r="BV64" s="76">
        <f>资产资本表!BV22+资产资本表!BV23-资产资本表!BV37</f>
        <v>34631357.129999995</v>
      </c>
      <c r="BW64" s="76">
        <f>资产资本表!BW22+资产资本表!BW23-资产资本表!BW37</f>
        <v>31345109.450000003</v>
      </c>
      <c r="BX64" s="76">
        <f>资产资本表!BX22+资产资本表!BX23-资产资本表!BX37</f>
        <v>47906673.299999997</v>
      </c>
      <c r="BY64" s="76">
        <f>资产资本表!BY22+资产资本表!BY23-资产资本表!BY37</f>
        <v>25818973.119999997</v>
      </c>
      <c r="BZ64" s="76">
        <f>资产资本表!BZ22+资产资本表!BZ23-资产资本表!BZ37</f>
        <v>0</v>
      </c>
      <c r="CA64" s="76">
        <f>资产资本表!CA22+资产资本表!CA23-资产资本表!CA37</f>
        <v>-1614261</v>
      </c>
      <c r="CB64" s="76">
        <f>资产资本表!CB22+资产资本表!CB23-资产资本表!CB37</f>
        <v>-6560182</v>
      </c>
      <c r="CC64" s="76">
        <f>资产资本表!CC22+资产资本表!CC23-资产资本表!CC37</f>
        <v>-4882750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692</v>
      </c>
      <c r="E65" s="154">
        <f>E63/(E64+I64)*2</f>
        <v>2.0227916253459655</v>
      </c>
      <c r="F65" s="154">
        <f t="shared" ref="F65:BQ65" si="28">F63/(F64+J64)*2</f>
        <v>1.3492134318834741</v>
      </c>
      <c r="G65" s="154">
        <f t="shared" si="28"/>
        <v>0.75996788590886888</v>
      </c>
      <c r="H65" s="154">
        <f t="shared" si="28"/>
        <v>0.34578849041099791</v>
      </c>
      <c r="I65" s="154">
        <f t="shared" si="28"/>
        <v>2.9347571882844674</v>
      </c>
      <c r="J65" s="154">
        <f t="shared" si="28"/>
        <v>2.2992860904115227</v>
      </c>
      <c r="K65" s="154">
        <f t="shared" si="28"/>
        <v>1.5114518640965777</v>
      </c>
      <c r="L65" s="154">
        <f t="shared" si="28"/>
        <v>0.65325301352861742</v>
      </c>
      <c r="M65" s="154">
        <f t="shared" si="28"/>
        <v>3.5612137957393313</v>
      </c>
      <c r="N65" s="154">
        <f t="shared" si="28"/>
        <v>3.3089405140102595</v>
      </c>
      <c r="O65" s="154">
        <f t="shared" si="28"/>
        <v>1.8282435020816097</v>
      </c>
      <c r="P65" s="154">
        <f t="shared" si="28"/>
        <v>0.74791111113541664</v>
      </c>
      <c r="Q65" s="154">
        <f t="shared" si="28"/>
        <v>4.1957475935504815</v>
      </c>
      <c r="R65" s="154">
        <f t="shared" si="28"/>
        <v>3.5705352500611567</v>
      </c>
      <c r="S65" s="154">
        <f t="shared" si="28"/>
        <v>1.9393511453987258</v>
      </c>
      <c r="T65" s="154">
        <f t="shared" si="28"/>
        <v>0.92349316261251457</v>
      </c>
      <c r="U65" s="154">
        <f t="shared" si="28"/>
        <v>5.7205305977831786</v>
      </c>
      <c r="V65" s="154">
        <f t="shared" si="28"/>
        <v>4.9538450351474195</v>
      </c>
      <c r="W65" s="154">
        <f t="shared" si="28"/>
        <v>2.8656160748404234</v>
      </c>
      <c r="X65" s="154">
        <f t="shared" si="28"/>
        <v>1.4340353046987582</v>
      </c>
      <c r="Y65" s="154">
        <f t="shared" si="28"/>
        <v>8.4956122810658243</v>
      </c>
      <c r="Z65" s="154">
        <f t="shared" si="28"/>
        <v>6.1339442038819811</v>
      </c>
      <c r="AA65" s="154">
        <f t="shared" si="28"/>
        <v>4.5820183321220878</v>
      </c>
      <c r="AB65" s="154">
        <f t="shared" si="28"/>
        <v>2.7486470079083594</v>
      </c>
      <c r="AC65" s="154">
        <f t="shared" si="28"/>
        <v>13.81219465635531</v>
      </c>
      <c r="AD65" s="154">
        <f t="shared" si="28"/>
        <v>5.8698506851931755</v>
      </c>
      <c r="AE65" s="154">
        <f t="shared" si="28"/>
        <v>4.305485786035022</v>
      </c>
      <c r="AF65" s="154">
        <f t="shared" si="28"/>
        <v>2.4746857443430366</v>
      </c>
      <c r="AG65" s="154">
        <f t="shared" si="28"/>
        <v>9.9122538101248914</v>
      </c>
      <c r="AH65" s="154">
        <f t="shared" si="28"/>
        <v>6.6161762471154191</v>
      </c>
      <c r="AI65" s="154">
        <f t="shared" si="28"/>
        <v>4.7853850071085748</v>
      </c>
      <c r="AJ65" s="154">
        <f t="shared" si="28"/>
        <v>2.8509572821240861</v>
      </c>
      <c r="AK65" s="154">
        <f t="shared" si="28"/>
        <v>8.6714749155981057</v>
      </c>
      <c r="AL65" s="154">
        <f t="shared" si="28"/>
        <v>8.0033017132611626</v>
      </c>
      <c r="AM65" s="154">
        <f t="shared" si="28"/>
        <v>4.8121891340443508</v>
      </c>
      <c r="AN65" s="154">
        <f t="shared" si="28"/>
        <v>2.2487731865775462</v>
      </c>
      <c r="AO65" s="154">
        <f t="shared" si="28"/>
        <v>11.797991025043139</v>
      </c>
      <c r="AP65" s="154">
        <f t="shared" si="28"/>
        <v>17.674839351984318</v>
      </c>
      <c r="AQ65" s="154">
        <f t="shared" si="28"/>
        <v>11.065838930143984</v>
      </c>
      <c r="AR65" s="154">
        <f t="shared" si="28"/>
        <v>4.4751683660969768</v>
      </c>
      <c r="AS65" s="154">
        <f t="shared" si="28"/>
        <v>15.433761490104908</v>
      </c>
      <c r="AT65" s="154">
        <f t="shared" si="28"/>
        <v>16.193027499766345</v>
      </c>
      <c r="AU65" s="154">
        <f t="shared" si="28"/>
        <v>13.303576913698004</v>
      </c>
      <c r="AV65" s="154">
        <f t="shared" si="28"/>
        <v>5.9884220816781948</v>
      </c>
      <c r="AW65" s="154">
        <f t="shared" si="28"/>
        <v>18.345314786488785</v>
      </c>
      <c r="AX65" s="154">
        <f t="shared" si="28"/>
        <v>9.0489029380449519</v>
      </c>
      <c r="AY65" s="154">
        <f t="shared" si="28"/>
        <v>7.8596614153119519</v>
      </c>
      <c r="AZ65" s="154">
        <f t="shared" si="28"/>
        <v>4.0457459356948702</v>
      </c>
      <c r="BA65" s="154">
        <f t="shared" si="28"/>
        <v>16.716478110382322</v>
      </c>
      <c r="BB65" s="154">
        <f t="shared" si="28"/>
        <v>10.450225263876996</v>
      </c>
      <c r="BC65" s="154">
        <f t="shared" si="28"/>
        <v>7.1524342138892845</v>
      </c>
      <c r="BD65" s="154">
        <f t="shared" si="28"/>
        <v>3.2564278380086606</v>
      </c>
      <c r="BE65" s="154">
        <f t="shared" si="28"/>
        <v>11.174312889052809</v>
      </c>
      <c r="BF65" s="154">
        <f t="shared" si="28"/>
        <v>11.929176186018626</v>
      </c>
      <c r="BG65" s="154">
        <f t="shared" si="28"/>
        <v>7.9000258437808393</v>
      </c>
      <c r="BH65" s="154">
        <f t="shared" si="28"/>
        <v>3.8277711698209802</v>
      </c>
      <c r="BI65" s="154">
        <f t="shared" si="28"/>
        <v>19.56137662838475</v>
      </c>
      <c r="BJ65" s="154">
        <f t="shared" si="28"/>
        <v>13.841681130989762</v>
      </c>
      <c r="BK65" s="154">
        <f t="shared" si="28"/>
        <v>8.593338383541882</v>
      </c>
      <c r="BL65" s="154">
        <f t="shared" si="28"/>
        <v>7.9875189923425358</v>
      </c>
      <c r="BM65" s="154">
        <f t="shared" si="28"/>
        <v>-2645.06388975659</v>
      </c>
      <c r="BN65" s="154">
        <f t="shared" si="28"/>
        <v>18.122945437737773</v>
      </c>
      <c r="BO65" s="154">
        <f t="shared" si="28"/>
        <v>14.332391698954567</v>
      </c>
      <c r="BP65" s="154">
        <f t="shared" si="28"/>
        <v>4.4369932758162687</v>
      </c>
      <c r="BQ65" s="154">
        <f t="shared" si="28"/>
        <v>47.646405955800276</v>
      </c>
      <c r="BR65" s="154">
        <f t="shared" ref="BR65:CK65" si="29">BR63/(BR64+BV64)*2</f>
        <v>10.46815071196518</v>
      </c>
      <c r="BS65" s="154">
        <f t="shared" si="29"/>
        <v>-209.76422509752894</v>
      </c>
      <c r="BT65" s="154">
        <f t="shared" si="29"/>
        <v>8.6523598071261691</v>
      </c>
      <c r="BU65" s="154">
        <f t="shared" si="29"/>
        <v>-2202.3303512775469</v>
      </c>
      <c r="BV65" s="154">
        <f t="shared" si="29"/>
        <v>18.428169416645677</v>
      </c>
      <c r="BW65" s="154">
        <f t="shared" si="29"/>
        <v>38.035659013289944</v>
      </c>
      <c r="BX65" s="154">
        <f t="shared" si="29"/>
        <v>10.958349838018783</v>
      </c>
      <c r="BY65" s="154">
        <f t="shared" si="29"/>
        <v>41.714472593947022</v>
      </c>
      <c r="BZ65" s="154" t="e">
        <f t="shared" si="29"/>
        <v>#DIV/0!</v>
      </c>
      <c r="CA65" s="154">
        <f t="shared" si="29"/>
        <v>-543.98759927917479</v>
      </c>
      <c r="CB65" s="154">
        <f t="shared" si="29"/>
        <v>-83.606684387719724</v>
      </c>
      <c r="CC65" s="154">
        <f t="shared" si="29"/>
        <v>-56.37364026419538</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x14ac:dyDescent="0.25">
      <c r="A66" s="147" t="s">
        <v>474</v>
      </c>
      <c r="E66" s="83">
        <f>E62/E65</f>
        <v>180.44369742611167</v>
      </c>
      <c r="F66" s="83">
        <f t="shared" ref="F66:BQ66" si="30">F62/F65</f>
        <v>270.52799162432552</v>
      </c>
      <c r="G66" s="83">
        <f t="shared" si="30"/>
        <v>480.28345245600121</v>
      </c>
      <c r="H66" s="83">
        <f t="shared" si="30"/>
        <v>1055.5585570999417</v>
      </c>
      <c r="I66" s="83">
        <f t="shared" si="30"/>
        <v>124.37144764721175</v>
      </c>
      <c r="J66" s="83">
        <f t="shared" si="30"/>
        <v>158.74492588030785</v>
      </c>
      <c r="K66" s="83">
        <f t="shared" si="30"/>
        <v>241.48966213897069</v>
      </c>
      <c r="L66" s="83">
        <f t="shared" si="30"/>
        <v>558.74216029775766</v>
      </c>
      <c r="M66" s="83">
        <f t="shared" si="30"/>
        <v>102.49314445448047</v>
      </c>
      <c r="N66" s="83">
        <f t="shared" si="30"/>
        <v>110.30721116156889</v>
      </c>
      <c r="O66" s="83">
        <f t="shared" si="30"/>
        <v>199.64517832795067</v>
      </c>
      <c r="P66" s="83">
        <f t="shared" si="30"/>
        <v>488.02590918309431</v>
      </c>
      <c r="Q66" s="83">
        <f t="shared" si="30"/>
        <v>86.99284021781051</v>
      </c>
      <c r="R66" s="83">
        <f t="shared" si="30"/>
        <v>102.22556967999355</v>
      </c>
      <c r="S66" s="83">
        <f t="shared" si="30"/>
        <v>188.20727791663376</v>
      </c>
      <c r="T66" s="83">
        <f t="shared" si="30"/>
        <v>395.2384433117337</v>
      </c>
      <c r="U66" s="83">
        <f t="shared" si="30"/>
        <v>63.805270116279928</v>
      </c>
      <c r="V66" s="83">
        <f t="shared" si="30"/>
        <v>73.680140862367153</v>
      </c>
      <c r="W66" s="83">
        <f t="shared" si="30"/>
        <v>127.37226148493239</v>
      </c>
      <c r="X66" s="83">
        <f t="shared" si="30"/>
        <v>254.52650907829221</v>
      </c>
      <c r="Y66" s="83">
        <f t="shared" si="30"/>
        <v>42.963354249754985</v>
      </c>
      <c r="Z66" s="83">
        <f t="shared" si="30"/>
        <v>59.504942964594122</v>
      </c>
      <c r="AA66" s="83">
        <f t="shared" si="30"/>
        <v>79.659218611409642</v>
      </c>
      <c r="AB66" s="83">
        <f t="shared" si="30"/>
        <v>132.79260630769551</v>
      </c>
      <c r="AC66" s="83">
        <f t="shared" si="30"/>
        <v>26.425923546628781</v>
      </c>
      <c r="AD66" s="83">
        <f t="shared" si="30"/>
        <v>62.182160939923115</v>
      </c>
      <c r="AE66" s="83">
        <f t="shared" si="30"/>
        <v>84.775567296932891</v>
      </c>
      <c r="AF66" s="83">
        <f t="shared" si="30"/>
        <v>147.49347501369223</v>
      </c>
      <c r="AG66" s="83">
        <f t="shared" si="30"/>
        <v>36.823108749209993</v>
      </c>
      <c r="AH66" s="83">
        <f t="shared" si="30"/>
        <v>55.167816933404097</v>
      </c>
      <c r="AI66" s="83">
        <f t="shared" si="30"/>
        <v>76.273904703132814</v>
      </c>
      <c r="AJ66" s="83">
        <f t="shared" si="30"/>
        <v>128.02717258816986</v>
      </c>
      <c r="AK66" s="83">
        <f t="shared" si="30"/>
        <v>42.092032042143607</v>
      </c>
      <c r="AL66" s="83">
        <f t="shared" si="30"/>
        <v>45.606177684793394</v>
      </c>
      <c r="AM66" s="83">
        <f t="shared" si="30"/>
        <v>75.849055353574556</v>
      </c>
      <c r="AN66" s="83">
        <f t="shared" si="30"/>
        <v>162.31072221005132</v>
      </c>
      <c r="AO66" s="83">
        <f t="shared" si="30"/>
        <v>30.93747055962567</v>
      </c>
      <c r="AP66" s="83">
        <f t="shared" si="30"/>
        <v>20.650824187492386</v>
      </c>
      <c r="AQ66" s="83">
        <f t="shared" si="30"/>
        <v>32.984394794118948</v>
      </c>
      <c r="AR66" s="83">
        <f t="shared" si="30"/>
        <v>81.561177176074651</v>
      </c>
      <c r="AS66" s="83">
        <f t="shared" si="30"/>
        <v>23.649451900239193</v>
      </c>
      <c r="AT66" s="83">
        <f t="shared" si="30"/>
        <v>22.540565685154721</v>
      </c>
      <c r="AU66" s="83">
        <f t="shared" si="30"/>
        <v>27.436230298648358</v>
      </c>
      <c r="AV66" s="83">
        <f t="shared" si="30"/>
        <v>60.950947515328181</v>
      </c>
      <c r="AW66" s="83">
        <f t="shared" si="30"/>
        <v>19.896088142833086</v>
      </c>
      <c r="AX66" s="83">
        <f t="shared" si="30"/>
        <v>40.336381382256221</v>
      </c>
      <c r="AY66" s="83">
        <f t="shared" si="30"/>
        <v>46.439659511148683</v>
      </c>
      <c r="AZ66" s="83">
        <f t="shared" si="30"/>
        <v>90.218220768554033</v>
      </c>
      <c r="BA66" s="83">
        <f t="shared" si="30"/>
        <v>21.834742796289408</v>
      </c>
      <c r="BB66" s="83">
        <f t="shared" si="30"/>
        <v>34.927476756093036</v>
      </c>
      <c r="BC66" s="83">
        <f t="shared" si="30"/>
        <v>51.031577374204701</v>
      </c>
      <c r="BD66" s="83">
        <f t="shared" si="30"/>
        <v>112.08600901262449</v>
      </c>
      <c r="BE66" s="83">
        <f t="shared" si="30"/>
        <v>32.664200799100698</v>
      </c>
      <c r="BF66" s="83">
        <f t="shared" si="30"/>
        <v>30.597251168759801</v>
      </c>
      <c r="BG66" s="83">
        <f t="shared" si="30"/>
        <v>46.202380500734698</v>
      </c>
      <c r="BH66" s="83">
        <f t="shared" si="30"/>
        <v>95.355752422648237</v>
      </c>
      <c r="BI66" s="83">
        <f t="shared" si="30"/>
        <v>18.65921846575781</v>
      </c>
      <c r="BJ66" s="83">
        <f t="shared" si="30"/>
        <v>26.369629277386796</v>
      </c>
      <c r="BK66" s="83">
        <f t="shared" si="30"/>
        <v>42.474761694367189</v>
      </c>
      <c r="BL66" s="83">
        <f t="shared" si="30"/>
        <v>45.696291971251362</v>
      </c>
      <c r="BM66" s="83">
        <f t="shared" si="30"/>
        <v>-0.1379928860748951</v>
      </c>
      <c r="BN66" s="83">
        <f t="shared" si="30"/>
        <v>20.140214031652558</v>
      </c>
      <c r="BO66" s="83">
        <f t="shared" si="30"/>
        <v>25.466789330536077</v>
      </c>
      <c r="BP66" s="83">
        <f t="shared" si="30"/>
        <v>82.262914841323791</v>
      </c>
      <c r="BQ66" s="83">
        <f t="shared" si="30"/>
        <v>7.6605987939278428</v>
      </c>
      <c r="BR66" s="83">
        <f t="shared" ref="BR66:CJ66" si="31">BR62/BR65</f>
        <v>34.867667656217641</v>
      </c>
      <c r="BS66" s="83">
        <f t="shared" si="31"/>
        <v>-1.7400488564258032</v>
      </c>
      <c r="BT66" s="83">
        <f t="shared" si="31"/>
        <v>42.185023292649291</v>
      </c>
      <c r="BU66" s="83">
        <f t="shared" si="31"/>
        <v>-0.16573353756318512</v>
      </c>
      <c r="BV66" s="83">
        <f t="shared" si="31"/>
        <v>19.806633624189779</v>
      </c>
      <c r="BW66" s="83">
        <f t="shared" si="31"/>
        <v>9.5962580764662508</v>
      </c>
      <c r="BX66" s="83">
        <f t="shared" si="31"/>
        <v>33.30793462476192</v>
      </c>
      <c r="BY66" s="83">
        <f t="shared" si="31"/>
        <v>8.749960800246658</v>
      </c>
      <c r="BZ66" s="83" t="e">
        <f t="shared" si="31"/>
        <v>#DIV/0!</v>
      </c>
      <c r="CA66" s="83">
        <f t="shared" si="31"/>
        <v>-0.67097117743796542</v>
      </c>
      <c r="CB66" s="83">
        <f t="shared" si="31"/>
        <v>-4.365679642399642</v>
      </c>
      <c r="CC66" s="83">
        <f t="shared" si="31"/>
        <v>-6.4746572740278161</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6" t="s">
        <v>475</v>
      </c>
      <c r="E67" s="76">
        <f>股权价值增加表!E5</f>
        <v>24478638345.450001</v>
      </c>
      <c r="F67" s="76">
        <f>股权价值增加表!F5</f>
        <v>14121403654.690001</v>
      </c>
      <c r="G67" s="76">
        <f>股权价值增加表!G5</f>
        <v>6990825699.3400002</v>
      </c>
      <c r="H67" s="76">
        <f>股权价值增加表!H5</f>
        <v>2939134421.02</v>
      </c>
      <c r="I67" s="76">
        <f>股权价值增加表!I5</f>
        <v>25876318999.369999</v>
      </c>
      <c r="J67" s="76">
        <f>股权价值增加表!J5</f>
        <v>16093040683.639999</v>
      </c>
      <c r="K67" s="76">
        <f>股权价值增加表!K5</f>
        <v>9971215461.4500008</v>
      </c>
      <c r="L67" s="76">
        <f>股权价值增加表!L5</f>
        <v>3888650143.8800001</v>
      </c>
      <c r="M67" s="76">
        <f>股权价值增加表!M5</f>
        <v>23305898509.150002</v>
      </c>
      <c r="N67" s="76">
        <f>股权价值增加表!N5</f>
        <v>14407927241.440001</v>
      </c>
      <c r="O67" s="76">
        <f>股权价值增加表!O5</f>
        <v>7958746567.7299995</v>
      </c>
      <c r="P67" s="76">
        <f>股权价值增加表!P5</f>
        <v>3293056646.0599999</v>
      </c>
      <c r="Q67" s="76">
        <f>股权价值增加表!Q5</f>
        <v>19481360598.02</v>
      </c>
      <c r="R67" s="76">
        <f>股权价值增加表!R5</f>
        <v>12084870421.18</v>
      </c>
      <c r="S67" s="76">
        <f>股权价值增加表!S5</f>
        <v>7507615942.46</v>
      </c>
      <c r="T67" s="76">
        <f>股权价值增加表!T5</f>
        <v>3549148936.71</v>
      </c>
      <c r="U67" s="76">
        <f>股权价值增加表!U5</f>
        <v>17794266439</v>
      </c>
      <c r="V67" s="76">
        <f>股权价值增加表!V5</f>
        <v>11179258927.299999</v>
      </c>
      <c r="W67" s="76">
        <f>股权价值增加表!W5</f>
        <v>7894081245.0500002</v>
      </c>
      <c r="X67" s="76">
        <f>股权价值增加表!X5</f>
        <v>3549456898.02</v>
      </c>
      <c r="Y67" s="76">
        <f>股权价值增加表!Y5</f>
        <v>15817656983.84</v>
      </c>
      <c r="Z67" s="76">
        <f>股权价值增加表!Z5</f>
        <v>10791637167.530001</v>
      </c>
      <c r="AA67" s="76">
        <f>股权价值增加表!AA5</f>
        <v>6740653410.54</v>
      </c>
      <c r="AB67" s="76">
        <f>股权价值增加表!AB5</f>
        <v>3240050083.3099999</v>
      </c>
      <c r="AC67" s="76">
        <f>股权价值增加表!AC5</f>
        <v>13850380881.74</v>
      </c>
      <c r="AD67" s="76">
        <f>股权价值增加表!AD5</f>
        <v>9101798182.5499992</v>
      </c>
      <c r="AE67" s="76">
        <f>股权价值增加表!AE5</f>
        <v>5305856182.1300001</v>
      </c>
      <c r="AF67" s="76">
        <f>股权价值增加表!AF5</f>
        <v>2442077334.04</v>
      </c>
      <c r="AG67" s="76">
        <f>股权价值增加表!AG5</f>
        <v>11142433611.040001</v>
      </c>
      <c r="AH67" s="76">
        <f>股权价值增加表!AH5</f>
        <v>7564867694.8900003</v>
      </c>
      <c r="AI67" s="76">
        <f>股权价值增加表!AI5</f>
        <v>4584544816.6199999</v>
      </c>
      <c r="AJ67" s="76">
        <f>股权价值增加表!AJ5</f>
        <v>1947669634.8099999</v>
      </c>
      <c r="AK67" s="76">
        <f>股权价值增加表!AK5</f>
        <v>7259352892.6700001</v>
      </c>
      <c r="AL67" s="76">
        <f>股权价值增加表!AL5</f>
        <v>4858571714.3999996</v>
      </c>
      <c r="AM67" s="76">
        <f>股权价值增加表!AM5</f>
        <v>2963452423.54</v>
      </c>
      <c r="AN67" s="76">
        <f>股权价值增加表!AN5</f>
        <v>1083319467.78</v>
      </c>
      <c r="AO67" s="76">
        <f>股权价值增加表!AO5</f>
        <v>7024011472.3500004</v>
      </c>
      <c r="AP67" s="76">
        <f>股权价值增加表!AP5</f>
        <v>5071120898.0299997</v>
      </c>
      <c r="AQ67" s="76">
        <f>股权价值增加表!AQ5</f>
        <v>3645150174.6799998</v>
      </c>
      <c r="AR67" s="76">
        <f>股权价值增加表!AR5</f>
        <v>1444690742.1300001</v>
      </c>
      <c r="AS67" s="76">
        <f>股权价值增加表!AS5</f>
        <v>6422600909.8599997</v>
      </c>
      <c r="AT67" s="76">
        <f>股权价值增加表!AT5</f>
        <v>4036392929.8899999</v>
      </c>
      <c r="AU67" s="76">
        <f>股权价值增加表!AU5</f>
        <v>2360176309.1399999</v>
      </c>
      <c r="AV67" s="76">
        <f>股权价值增加表!AV5</f>
        <v>1010554712.9</v>
      </c>
      <c r="AW67" s="76">
        <f>股权价值增加表!AW5</f>
        <v>4044004119.1300001</v>
      </c>
      <c r="AX67" s="76">
        <f>股权价值增加表!AX5</f>
        <v>2660021369.1700001</v>
      </c>
      <c r="AY67" s="76">
        <f>股权价值增加表!AY5</f>
        <v>1683552954.5899999</v>
      </c>
      <c r="AZ67" s="76">
        <f>股权价值增加表!AZ5</f>
        <v>732160459.53999996</v>
      </c>
      <c r="BA67" s="76">
        <f>股权价值增加表!BA5</f>
        <v>3730373976.7600002</v>
      </c>
      <c r="BB67" s="76">
        <f>股权价值增加表!BB5</f>
        <v>2427721005.29</v>
      </c>
      <c r="BC67" s="76">
        <f>股权价值增加表!BC5</f>
        <v>1410254715.55</v>
      </c>
      <c r="BD67" s="76">
        <f>股权价值增加表!BD5</f>
        <v>611087749.47000003</v>
      </c>
      <c r="BE67" s="76">
        <f>股权价值增加表!BE5</f>
        <v>3276574385.25</v>
      </c>
      <c r="BF67" s="76">
        <f>股权价值增加表!BF5</f>
        <v>2272572167.96</v>
      </c>
      <c r="BG67" s="76">
        <f>股权价值增加表!BG5</f>
        <v>1231601629.0599999</v>
      </c>
      <c r="BH67" s="76">
        <f>股权价值增加表!BH5</f>
        <v>450122432.81999999</v>
      </c>
      <c r="BI67" s="76">
        <f>股权价值增加表!BI5</f>
        <v>2658677990.2399998</v>
      </c>
      <c r="BJ67" s="76">
        <f>股权价值增加表!BJ5</f>
        <v>1542116118.54</v>
      </c>
      <c r="BK67" s="76">
        <f>股权价值增加表!BK5</f>
        <v>949358638.54999995</v>
      </c>
      <c r="BL67" s="76">
        <f>股权价值增加表!BL5</f>
        <v>583912373.85000002</v>
      </c>
      <c r="BM67" s="76">
        <f>股权价值增加表!BM5</f>
        <v>2185394749.9699998</v>
      </c>
      <c r="BN67" s="76">
        <f>股权价值增加表!BN5</f>
        <v>1477664672.4200001</v>
      </c>
      <c r="BO67" s="76">
        <f>股权价值增加表!BO5</f>
        <v>798471850.73000002</v>
      </c>
      <c r="BP67" s="76">
        <f>股权价值增加表!BP5</f>
        <v>285998870.98000002</v>
      </c>
      <c r="BQ67" s="76">
        <f>股权价值增加表!BQ5</f>
        <v>1251281550.24</v>
      </c>
      <c r="BR67" s="76">
        <f>股权价值增加表!BR5</f>
        <v>555472289.60000002</v>
      </c>
      <c r="BS67" s="76">
        <f>股权价值增加表!BS5</f>
        <v>954991664.87</v>
      </c>
      <c r="BT67" s="76">
        <f>股权价值增加表!BT5</f>
        <v>383723432.27999997</v>
      </c>
      <c r="BU67" s="76">
        <f>股权价值增加表!BU5</f>
        <v>550899618.62</v>
      </c>
      <c r="BV67" s="76">
        <f>股权价值增加表!BV5</f>
        <v>267579038.37</v>
      </c>
      <c r="BW67" s="76">
        <f>股权价值增加表!BW5</f>
        <v>454870147.83999997</v>
      </c>
      <c r="BX67" s="76">
        <f>股权价值增加表!BX5</f>
        <v>188374809.66999999</v>
      </c>
      <c r="BY67" s="76">
        <f>股权价值增加表!BY5</f>
        <v>350700596.99000001</v>
      </c>
      <c r="BZ67" s="76">
        <f>股权价值增加表!BZ5</f>
        <v>0</v>
      </c>
      <c r="CA67" s="76">
        <f>股权价值增加表!CA5</f>
        <v>369063910</v>
      </c>
      <c r="CB67" s="76">
        <f>股权价值增加表!CB5</f>
        <v>225141238</v>
      </c>
      <c r="CC67" s="76">
        <f>股权价值增加表!CC5</f>
        <v>121860020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6" t="s">
        <v>476</v>
      </c>
      <c r="E68" s="76">
        <f>资产资本表!E26</f>
        <v>3074444528.9099998</v>
      </c>
      <c r="F68" s="76">
        <f>资产资本表!F26</f>
        <v>2363761966.52</v>
      </c>
      <c r="G68" s="76">
        <f>资产资本表!G26</f>
        <v>2372539201.9000001</v>
      </c>
      <c r="H68" s="76">
        <f>资产资本表!H26</f>
        <v>1876877155.6400001</v>
      </c>
      <c r="I68" s="76">
        <f>资产资本表!I26</f>
        <v>1923469063.3699999</v>
      </c>
      <c r="J68" s="76">
        <f>资产资本表!J26</f>
        <v>1758389561.5999999</v>
      </c>
      <c r="K68" s="76">
        <f>资产资本表!K26</f>
        <v>1716388628.8800001</v>
      </c>
      <c r="L68" s="76">
        <f>资产资本表!L26</f>
        <v>1144504460.0799999</v>
      </c>
      <c r="M68" s="76">
        <f>资产资本表!M26</f>
        <v>1547379434.1900001</v>
      </c>
      <c r="N68" s="76">
        <f>资产资本表!N26</f>
        <v>1475152540.21</v>
      </c>
      <c r="O68" s="76">
        <f>资产资本表!O26</f>
        <v>1631937651.47</v>
      </c>
      <c r="P68" s="76">
        <f>资产资本表!P26</f>
        <v>1523971890.0599999</v>
      </c>
      <c r="Q68" s="76">
        <f>资产资本表!Q26</f>
        <v>1159509750</v>
      </c>
      <c r="R68" s="76">
        <f>资产资本表!R26</f>
        <v>1570278613.4400001</v>
      </c>
      <c r="S68" s="76">
        <f>资产资本表!S26</f>
        <v>647439129.96000004</v>
      </c>
      <c r="T68" s="76">
        <f>资产资本表!T26</f>
        <v>893444861.89999998</v>
      </c>
      <c r="U68" s="76">
        <f>资产资本表!U26</f>
        <v>1400658822.5999999</v>
      </c>
      <c r="V68" s="76">
        <f>资产资本表!V26</f>
        <v>1416184085.7</v>
      </c>
      <c r="W68" s="76">
        <f>资产资本表!W26</f>
        <v>815221480.40999997</v>
      </c>
      <c r="X68" s="76">
        <f>资产资本表!X26</f>
        <v>974584127.44000006</v>
      </c>
      <c r="Y68" s="76">
        <f>资产资本表!Y26</f>
        <v>1258328500.9300001</v>
      </c>
      <c r="Z68" s="76">
        <f>资产资本表!Z26</f>
        <v>861798139</v>
      </c>
      <c r="AA68" s="76">
        <f>资产资本表!AA26</f>
        <v>665055821.59000003</v>
      </c>
      <c r="AB68" s="76">
        <f>资产资本表!AB26</f>
        <v>868651948.33000004</v>
      </c>
      <c r="AC68" s="76">
        <f>资产资本表!AC26</f>
        <v>1121597023.29</v>
      </c>
      <c r="AD68" s="76">
        <f>资产资本表!AD26</f>
        <v>1086626833.76</v>
      </c>
      <c r="AE68" s="76">
        <f>资产资本表!AE26</f>
        <v>1027634959.7</v>
      </c>
      <c r="AF68" s="76">
        <f>资产资本表!AF26</f>
        <v>889982099.25</v>
      </c>
      <c r="AG68" s="76">
        <f>资产资本表!AG26</f>
        <v>1225345932.3900001</v>
      </c>
      <c r="AH68" s="76">
        <f>资产资本表!AH26</f>
        <v>833765792.40999997</v>
      </c>
      <c r="AI68" s="76">
        <f>资产资本表!AI26</f>
        <v>636334629.60000002</v>
      </c>
      <c r="AJ68" s="76">
        <f>资产资本表!AJ26</f>
        <v>738532870</v>
      </c>
      <c r="AK68" s="76">
        <f>资产资本表!AK26</f>
        <v>758357442.92999995</v>
      </c>
      <c r="AL68" s="76">
        <f>资产资本表!AL26</f>
        <v>485240048.95999998</v>
      </c>
      <c r="AM68" s="76">
        <f>资产资本表!AM26</f>
        <v>433634682</v>
      </c>
      <c r="AN68" s="76">
        <f>资产资本表!AN26</f>
        <v>496425719.56</v>
      </c>
      <c r="AO68" s="76">
        <f>资产资本表!AO26</f>
        <v>635986090.29999995</v>
      </c>
      <c r="AP68" s="76">
        <f>资产资本表!AP26</f>
        <v>720039935.87</v>
      </c>
      <c r="AQ68" s="76">
        <f>资产资本表!AQ26</f>
        <v>694547109.04999995</v>
      </c>
      <c r="AR68" s="76">
        <f>资产资本表!AR26</f>
        <v>714614180.78999996</v>
      </c>
      <c r="AS68" s="76">
        <f>资产资本表!AS26</f>
        <v>1504114983.8900001</v>
      </c>
      <c r="AT68" s="76">
        <f>资产资本表!AT26</f>
        <v>1326797790.5599999</v>
      </c>
      <c r="AU68" s="76">
        <f>资产资本表!AU26</f>
        <v>1282806019.99</v>
      </c>
      <c r="AV68" s="76">
        <f>资产资本表!AV26</f>
        <v>907488160.35000002</v>
      </c>
      <c r="AW68" s="76">
        <f>资产资本表!AW26</f>
        <v>837471188.09000003</v>
      </c>
      <c r="AX68" s="76">
        <f>资产资本表!AX26</f>
        <v>698878048.46000004</v>
      </c>
      <c r="AY68" s="76">
        <f>资产资本表!AY26</f>
        <v>603563628.30999994</v>
      </c>
      <c r="AZ68" s="76">
        <f>资产资本表!AZ26</f>
        <v>651231571.61000001</v>
      </c>
      <c r="BA68" s="76">
        <f>资产资本表!BA26</f>
        <v>724260947.13</v>
      </c>
      <c r="BB68" s="76">
        <f>资产资本表!BB26</f>
        <v>632366968.04999995</v>
      </c>
      <c r="BC68" s="76">
        <f>资产资本表!BC26</f>
        <v>577921348.40999997</v>
      </c>
      <c r="BD68" s="76">
        <f>资产资本表!BD26</f>
        <v>653834472.66999996</v>
      </c>
      <c r="BE68" s="76">
        <f>资产资本表!BE26</f>
        <v>837121705.61000001</v>
      </c>
      <c r="BF68" s="76">
        <f>资产资本表!BF26</f>
        <v>557004251.38999999</v>
      </c>
      <c r="BG68" s="76">
        <f>资产资本表!BG26</f>
        <v>540842595.70000005</v>
      </c>
      <c r="BH68" s="76">
        <f>资产资本表!BH26</f>
        <v>594814396.70000005</v>
      </c>
      <c r="BI68" s="76">
        <f>资产资本表!BI26</f>
        <v>557605124.83000004</v>
      </c>
      <c r="BJ68" s="76">
        <f>资产资本表!BJ26</f>
        <v>503208377.49000001</v>
      </c>
      <c r="BK68" s="76">
        <f>资产资本表!BK26</f>
        <v>477434114.23000002</v>
      </c>
      <c r="BL68" s="76">
        <f>资产资本表!BL26</f>
        <v>476757459.77999997</v>
      </c>
      <c r="BM68" s="76">
        <f>资产资本表!BM26</f>
        <v>557318428.97000003</v>
      </c>
      <c r="BN68" s="76">
        <f>资产资本表!BN26</f>
        <v>391813561.82999998</v>
      </c>
      <c r="BO68" s="76">
        <f>资产资本表!BO26</f>
        <v>362143508.83999997</v>
      </c>
      <c r="BP68" s="76">
        <f>资产资本表!BP26</f>
        <v>327415063.32999998</v>
      </c>
      <c r="BQ68" s="76">
        <f>资产资本表!BQ26</f>
        <v>288527974.61000001</v>
      </c>
      <c r="BR68" s="76">
        <f>资产资本表!BR26</f>
        <v>267289933.68000001</v>
      </c>
      <c r="BS68" s="76">
        <f>资产资本表!BS26</f>
        <v>283333563.60000002</v>
      </c>
      <c r="BT68" s="76">
        <f>资产资本表!BT26</f>
        <v>219428652.97</v>
      </c>
      <c r="BU68" s="76">
        <f>资产资本表!BU26</f>
        <v>260443455.27000001</v>
      </c>
      <c r="BV68" s="76">
        <f>资产资本表!BV26</f>
        <v>201265328.84999999</v>
      </c>
      <c r="BW68" s="76">
        <f>资产资本表!BW26</f>
        <v>204716769.96000001</v>
      </c>
      <c r="BX68" s="76">
        <f>资产资本表!BX26</f>
        <v>151396972.00999999</v>
      </c>
      <c r="BY68" s="76">
        <f>资产资本表!BY26</f>
        <v>129445405.86</v>
      </c>
      <c r="BZ68" s="76">
        <f>资产资本表!BZ26</f>
        <v>0</v>
      </c>
      <c r="CA68" s="76">
        <f>资产资本表!CA26</f>
        <v>101902709</v>
      </c>
      <c r="CB68" s="76">
        <f>资产资本表!CB26</f>
        <v>65258394</v>
      </c>
      <c r="CC68" s="76">
        <f>资产资本表!CC26</f>
        <v>38655425</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x14ac:dyDescent="0.25">
      <c r="A69" s="153" t="s">
        <v>477</v>
      </c>
      <c r="E69" s="154">
        <f>E67/(E68+I68)*2</f>
        <v>9.7955428374195179</v>
      </c>
      <c r="F69" s="154">
        <f t="shared" ref="F69:BQ69" si="32">F67/(F68+J68)*2</f>
        <v>6.8514723723076649</v>
      </c>
      <c r="G69" s="154">
        <f t="shared" si="32"/>
        <v>3.4193930480824535</v>
      </c>
      <c r="H69" s="154">
        <f t="shared" si="32"/>
        <v>1.9455565663919614</v>
      </c>
      <c r="I69" s="154">
        <f t="shared" si="32"/>
        <v>14.91065888791228</v>
      </c>
      <c r="J69" s="154">
        <f t="shared" si="32"/>
        <v>9.9538154611512848</v>
      </c>
      <c r="K69" s="154">
        <f t="shared" si="32"/>
        <v>5.9559401483464214</v>
      </c>
      <c r="L69" s="154">
        <f t="shared" si="32"/>
        <v>2.9145097303755265</v>
      </c>
      <c r="M69" s="154">
        <f t="shared" si="32"/>
        <v>17.219691626293137</v>
      </c>
      <c r="N69" s="154">
        <f t="shared" si="32"/>
        <v>9.4619950440658354</v>
      </c>
      <c r="O69" s="154">
        <f t="shared" si="32"/>
        <v>6.9832654544607262</v>
      </c>
      <c r="P69" s="154">
        <f t="shared" si="32"/>
        <v>2.7244426459691291</v>
      </c>
      <c r="Q69" s="154">
        <f t="shared" si="32"/>
        <v>15.218810828722537</v>
      </c>
      <c r="R69" s="154">
        <f t="shared" si="32"/>
        <v>8.0930998566699213</v>
      </c>
      <c r="S69" s="154">
        <f t="shared" si="32"/>
        <v>10.265697851206708</v>
      </c>
      <c r="T69" s="154">
        <f t="shared" si="32"/>
        <v>3.799886358256102</v>
      </c>
      <c r="U69" s="154">
        <f t="shared" si="32"/>
        <v>13.384243152672735</v>
      </c>
      <c r="V69" s="154">
        <f t="shared" si="32"/>
        <v>9.815053696279179</v>
      </c>
      <c r="W69" s="154">
        <f t="shared" si="32"/>
        <v>10.665678970263642</v>
      </c>
      <c r="X69" s="154">
        <f t="shared" si="32"/>
        <v>3.8513318447689748</v>
      </c>
      <c r="Y69" s="154">
        <f t="shared" si="32"/>
        <v>13.292564681429768</v>
      </c>
      <c r="Z69" s="154">
        <f t="shared" si="32"/>
        <v>11.077293011948349</v>
      </c>
      <c r="AA69" s="154">
        <f t="shared" si="32"/>
        <v>7.9644238452140055</v>
      </c>
      <c r="AB69" s="154">
        <f t="shared" si="32"/>
        <v>3.6847348517658114</v>
      </c>
      <c r="AC69" s="154">
        <f t="shared" si="32"/>
        <v>11.802912250781151</v>
      </c>
      <c r="AD69" s="154">
        <f t="shared" si="32"/>
        <v>9.4791013655394813</v>
      </c>
      <c r="AE69" s="154">
        <f t="shared" si="32"/>
        <v>6.3773475383790768</v>
      </c>
      <c r="AF69" s="154">
        <f t="shared" si="32"/>
        <v>2.999146314466707</v>
      </c>
      <c r="AG69" s="154">
        <f t="shared" si="32"/>
        <v>11.233971519802012</v>
      </c>
      <c r="AH69" s="154">
        <f t="shared" si="32"/>
        <v>11.470559807426884</v>
      </c>
      <c r="AI69" s="154">
        <f t="shared" si="32"/>
        <v>8.5694884272230372</v>
      </c>
      <c r="AJ69" s="154">
        <f t="shared" si="32"/>
        <v>3.154226629581045</v>
      </c>
      <c r="AK69" s="154">
        <f t="shared" si="32"/>
        <v>10.412574404607009</v>
      </c>
      <c r="AL69" s="154">
        <f t="shared" si="32"/>
        <v>8.0621461827150185</v>
      </c>
      <c r="AM69" s="154">
        <f t="shared" si="32"/>
        <v>5.2535016024002861</v>
      </c>
      <c r="AN69" s="154">
        <f t="shared" si="32"/>
        <v>1.7890731221438902</v>
      </c>
      <c r="AO69" s="154">
        <f t="shared" si="32"/>
        <v>6.5641866704903142</v>
      </c>
      <c r="AP69" s="154">
        <f t="shared" si="32"/>
        <v>4.9550785903040939</v>
      </c>
      <c r="AQ69" s="154">
        <f t="shared" si="32"/>
        <v>3.6868985323321701</v>
      </c>
      <c r="AR69" s="154">
        <f t="shared" si="32"/>
        <v>1.7812572061448153</v>
      </c>
      <c r="AS69" s="154">
        <f t="shared" si="32"/>
        <v>5.485684009168172</v>
      </c>
      <c r="AT69" s="154">
        <f t="shared" si="32"/>
        <v>3.9852308569200914</v>
      </c>
      <c r="AU69" s="154">
        <f t="shared" si="32"/>
        <v>2.5023476297628044</v>
      </c>
      <c r="AV69" s="154">
        <f t="shared" si="32"/>
        <v>1.2966471036191809</v>
      </c>
      <c r="AW69" s="154">
        <f t="shared" si="32"/>
        <v>5.1788703426536387</v>
      </c>
      <c r="AX69" s="154">
        <f t="shared" si="32"/>
        <v>3.9962911953556501</v>
      </c>
      <c r="AY69" s="154">
        <f t="shared" si="32"/>
        <v>2.8498931222364332</v>
      </c>
      <c r="AZ69" s="154">
        <f t="shared" si="32"/>
        <v>1.1220282111376672</v>
      </c>
      <c r="BA69" s="154">
        <f t="shared" si="32"/>
        <v>4.7782956602133826</v>
      </c>
      <c r="BB69" s="154">
        <f t="shared" si="32"/>
        <v>4.0823604365221833</v>
      </c>
      <c r="BC69" s="154">
        <f t="shared" si="32"/>
        <v>2.521094325527065</v>
      </c>
      <c r="BD69" s="154">
        <f t="shared" si="32"/>
        <v>0.97879838673673181</v>
      </c>
      <c r="BE69" s="154">
        <f t="shared" si="32"/>
        <v>4.6985177509151752</v>
      </c>
      <c r="BF69" s="154">
        <f t="shared" si="32"/>
        <v>4.2870120691935671</v>
      </c>
      <c r="BG69" s="154">
        <f t="shared" si="32"/>
        <v>2.418992042240983</v>
      </c>
      <c r="BH69" s="154">
        <f t="shared" si="32"/>
        <v>0.84011619024524309</v>
      </c>
      <c r="BI69" s="154">
        <f t="shared" si="32"/>
        <v>4.7692561183740585</v>
      </c>
      <c r="BJ69" s="154">
        <f t="shared" si="32"/>
        <v>3.4459850664926384</v>
      </c>
      <c r="BK69" s="154">
        <f t="shared" si="32"/>
        <v>2.2615148676273069</v>
      </c>
      <c r="BL69" s="154">
        <f t="shared" si="32"/>
        <v>1.4522067269640566</v>
      </c>
      <c r="BM69" s="154">
        <f t="shared" si="32"/>
        <v>5.1673560133859588</v>
      </c>
      <c r="BN69" s="154">
        <f t="shared" si="32"/>
        <v>4.4838623447949253</v>
      </c>
      <c r="BO69" s="154">
        <f t="shared" si="32"/>
        <v>2.4740517822318826</v>
      </c>
      <c r="BP69" s="154">
        <f t="shared" si="32"/>
        <v>1.0459985639593607</v>
      </c>
      <c r="BQ69" s="154">
        <f t="shared" si="32"/>
        <v>4.5586399660671537</v>
      </c>
      <c r="BR69" s="154">
        <f t="shared" ref="BR69:CJ69" si="33">BR67/(BR68+BV68)*2</f>
        <v>2.3710001104274654</v>
      </c>
      <c r="BS69" s="154">
        <f t="shared" si="33"/>
        <v>3.913496617875357</v>
      </c>
      <c r="BT69" s="154">
        <f t="shared" si="33"/>
        <v>2.069562653879141</v>
      </c>
      <c r="BU69" s="154">
        <f t="shared" si="33"/>
        <v>2.8259315591799608</v>
      </c>
      <c r="BV69" s="154">
        <f t="shared" si="33"/>
        <v>2.6589680388461008</v>
      </c>
      <c r="BW69" s="154">
        <f t="shared" si="33"/>
        <v>2.967000983648139</v>
      </c>
      <c r="BX69" s="154">
        <f t="shared" si="33"/>
        <v>1.7389350943775408</v>
      </c>
      <c r="BY69" s="154">
        <f t="shared" si="33"/>
        <v>4.1725028388714529</v>
      </c>
      <c r="BZ69" s="154" t="e">
        <f t="shared" si="33"/>
        <v>#DIV/0!</v>
      </c>
      <c r="CA69" s="154">
        <f t="shared" si="33"/>
        <v>7.2434563049741882</v>
      </c>
      <c r="CB69" s="154">
        <f t="shared" si="33"/>
        <v>6.8999932177307333</v>
      </c>
      <c r="CC69" s="154">
        <f t="shared" si="33"/>
        <v>6.3049375346409979</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x14ac:dyDescent="0.25">
      <c r="A70" s="147" t="s">
        <v>478</v>
      </c>
      <c r="E70" s="83">
        <f>E62/E69</f>
        <v>37.261845112419877</v>
      </c>
      <c r="F70" s="83">
        <f t="shared" ref="F70:BQ70" si="34">F62/F69</f>
        <v>53.273220727746036</v>
      </c>
      <c r="G70" s="83">
        <f t="shared" si="34"/>
        <v>106.74409021352101</v>
      </c>
      <c r="H70" s="83">
        <f t="shared" si="34"/>
        <v>187.60698419419037</v>
      </c>
      <c r="I70" s="83">
        <f t="shared" si="34"/>
        <v>24.479132863531397</v>
      </c>
      <c r="J70" s="83">
        <f t="shared" si="34"/>
        <v>36.669355728419653</v>
      </c>
      <c r="K70" s="83">
        <f t="shared" si="34"/>
        <v>61.283355928507248</v>
      </c>
      <c r="L70" s="83">
        <f t="shared" si="34"/>
        <v>125.23547140567301</v>
      </c>
      <c r="M70" s="83">
        <f t="shared" si="34"/>
        <v>21.196662978718692</v>
      </c>
      <c r="N70" s="83">
        <f t="shared" si="34"/>
        <v>38.575374252485226</v>
      </c>
      <c r="O70" s="83">
        <f t="shared" si="34"/>
        <v>52.267811152280856</v>
      </c>
      <c r="P70" s="83">
        <f t="shared" si="34"/>
        <v>133.97235597527637</v>
      </c>
      <c r="Q70" s="83">
        <f t="shared" si="34"/>
        <v>23.983477034298481</v>
      </c>
      <c r="R70" s="83">
        <f t="shared" si="34"/>
        <v>45.10014783756629</v>
      </c>
      <c r="S70" s="83">
        <f t="shared" si="34"/>
        <v>35.555303233193747</v>
      </c>
      <c r="T70" s="83">
        <f t="shared" si="34"/>
        <v>96.055504188159716</v>
      </c>
      <c r="U70" s="83">
        <f t="shared" si="34"/>
        <v>27.27087335731137</v>
      </c>
      <c r="V70" s="83">
        <f t="shared" si="34"/>
        <v>37.187774137024746</v>
      </c>
      <c r="W70" s="83">
        <f t="shared" si="34"/>
        <v>34.221918831200078</v>
      </c>
      <c r="X70" s="83">
        <f t="shared" si="34"/>
        <v>94.772409834212766</v>
      </c>
      <c r="Y70" s="83">
        <f t="shared" si="34"/>
        <v>27.458959858206992</v>
      </c>
      <c r="Z70" s="83">
        <f t="shared" si="34"/>
        <v>32.950288451004994</v>
      </c>
      <c r="AA70" s="83">
        <f t="shared" si="34"/>
        <v>45.828801567276756</v>
      </c>
      <c r="AB70" s="83">
        <f t="shared" si="34"/>
        <v>99.057331038374016</v>
      </c>
      <c r="AC70" s="83">
        <f t="shared" si="34"/>
        <v>30.924571177409476</v>
      </c>
      <c r="AD70" s="83">
        <f t="shared" si="34"/>
        <v>38.505759768212677</v>
      </c>
      <c r="AE70" s="83">
        <f t="shared" si="34"/>
        <v>57.233826101434587</v>
      </c>
      <c r="AF70" s="83">
        <f t="shared" si="34"/>
        <v>121.70129821255568</v>
      </c>
      <c r="AG70" s="83">
        <f t="shared" si="34"/>
        <v>32.490735743509596</v>
      </c>
      <c r="AH70" s="83">
        <f t="shared" si="34"/>
        <v>31.820591682340748</v>
      </c>
      <c r="AI70" s="83">
        <f t="shared" si="34"/>
        <v>42.592974259757426</v>
      </c>
      <c r="AJ70" s="83">
        <f t="shared" si="34"/>
        <v>115.71774728453184</v>
      </c>
      <c r="AK70" s="83">
        <f t="shared" si="34"/>
        <v>35.053771124891746</v>
      </c>
      <c r="AL70" s="83">
        <f t="shared" si="34"/>
        <v>45.273304617391858</v>
      </c>
      <c r="AM70" s="83">
        <f t="shared" si="34"/>
        <v>69.477470004622091</v>
      </c>
      <c r="AN70" s="83">
        <f t="shared" si="34"/>
        <v>204.01625594967942</v>
      </c>
      <c r="AO70" s="83">
        <f t="shared" si="34"/>
        <v>55.604756281669879</v>
      </c>
      <c r="AP70" s="83">
        <f t="shared" si="34"/>
        <v>73.661798364655183</v>
      </c>
      <c r="AQ70" s="83">
        <f t="shared" si="34"/>
        <v>98.99919859446662</v>
      </c>
      <c r="AR70" s="83">
        <f t="shared" si="34"/>
        <v>204.9114517212096</v>
      </c>
      <c r="AS70" s="83">
        <f t="shared" si="34"/>
        <v>66.53682556085603</v>
      </c>
      <c r="AT70" s="83">
        <f t="shared" si="34"/>
        <v>91.588169695665556</v>
      </c>
      <c r="AU70" s="83">
        <f t="shared" si="34"/>
        <v>145.86302704656509</v>
      </c>
      <c r="AV70" s="83">
        <f t="shared" si="34"/>
        <v>281.49524954108006</v>
      </c>
      <c r="AW70" s="83">
        <f t="shared" si="34"/>
        <v>70.478690496231849</v>
      </c>
      <c r="AX70" s="83">
        <f t="shared" si="34"/>
        <v>91.3346856265605</v>
      </c>
      <c r="AY70" s="83">
        <f t="shared" si="34"/>
        <v>128.07497837447633</v>
      </c>
      <c r="AZ70" s="83">
        <f t="shared" si="34"/>
        <v>325.30376364593593</v>
      </c>
      <c r="BA70" s="83">
        <f t="shared" si="34"/>
        <v>76.38706893740023</v>
      </c>
      <c r="BB70" s="83">
        <f t="shared" si="34"/>
        <v>89.409057743795969</v>
      </c>
      <c r="BC70" s="83">
        <f t="shared" si="34"/>
        <v>144.77839892947773</v>
      </c>
      <c r="BD70" s="83">
        <f t="shared" si="34"/>
        <v>372.9062133182432</v>
      </c>
      <c r="BE70" s="83">
        <f t="shared" si="34"/>
        <v>77.68407386114599</v>
      </c>
      <c r="BF70" s="83">
        <f t="shared" si="34"/>
        <v>85.140884632186356</v>
      </c>
      <c r="BG70" s="83">
        <f t="shared" si="34"/>
        <v>150.8892934024949</v>
      </c>
      <c r="BH70" s="83">
        <f t="shared" si="34"/>
        <v>434.46371375541611</v>
      </c>
      <c r="BI70" s="83">
        <f t="shared" si="34"/>
        <v>76.531851286786477</v>
      </c>
      <c r="BJ70" s="83">
        <f t="shared" si="34"/>
        <v>105.92036615280549</v>
      </c>
      <c r="BK70" s="83">
        <f t="shared" si="34"/>
        <v>161.39624161876228</v>
      </c>
      <c r="BL70" s="83">
        <f t="shared" si="34"/>
        <v>251.34162597019431</v>
      </c>
      <c r="BM70" s="83">
        <f t="shared" si="34"/>
        <v>70.635736932867204</v>
      </c>
      <c r="BN70" s="83">
        <f t="shared" si="34"/>
        <v>81.403034244284697</v>
      </c>
      <c r="BO70" s="83">
        <f t="shared" si="34"/>
        <v>147.53126940242436</v>
      </c>
      <c r="BP70" s="83">
        <f t="shared" si="34"/>
        <v>348.94885382861867</v>
      </c>
      <c r="BQ70" s="83">
        <f t="shared" si="34"/>
        <v>80.067740097249683</v>
      </c>
      <c r="BR70" s="83">
        <f t="shared" ref="BR70:CJ70" si="35">BR62/BR69</f>
        <v>153.94347659232901</v>
      </c>
      <c r="BS70" s="83">
        <f t="shared" si="35"/>
        <v>93.266977243015745</v>
      </c>
      <c r="BT70" s="83">
        <f t="shared" si="35"/>
        <v>176.36576467779429</v>
      </c>
      <c r="BU70" s="83">
        <f t="shared" si="35"/>
        <v>129.16094829484018</v>
      </c>
      <c r="BV70" s="83">
        <f t="shared" si="35"/>
        <v>137.27130024413427</v>
      </c>
      <c r="BW70" s="83">
        <f t="shared" si="35"/>
        <v>123.0198446214219</v>
      </c>
      <c r="BX70" s="83">
        <f t="shared" si="35"/>
        <v>209.89857596188966</v>
      </c>
      <c r="BY70" s="83">
        <f t="shared" si="35"/>
        <v>87.477471938334844</v>
      </c>
      <c r="BZ70" s="83" t="e">
        <f t="shared" si="35"/>
        <v>#DIV/0!</v>
      </c>
      <c r="CA70" s="83">
        <f t="shared" si="35"/>
        <v>50.390308801800757</v>
      </c>
      <c r="CB70" s="83">
        <f t="shared" si="35"/>
        <v>52.898602720661955</v>
      </c>
      <c r="CC70" s="83">
        <f t="shared" si="35"/>
        <v>57.891136588521817</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6" t="s">
        <v>479</v>
      </c>
      <c r="E71" s="76">
        <f>资产资本表!E35+资产资本表!E36-资产资本表!E24</f>
        <v>13762911892.74</v>
      </c>
      <c r="F71" s="76">
        <f>资产资本表!F35+资产资本表!F36-资产资本表!F24</f>
        <v>10785736337.66</v>
      </c>
      <c r="G71" s="76">
        <f>资产资本表!G35+资产资本表!G36-资产资本表!G24</f>
        <v>9778796169.4500008</v>
      </c>
      <c r="H71" s="76">
        <f>资产资本表!H35+资产资本表!H36-资产资本表!H24</f>
        <v>10476242668.910002</v>
      </c>
      <c r="I71" s="76">
        <f>资产资本表!I35+资产资本表!I36-资产资本表!I24</f>
        <v>15534408643.219999</v>
      </c>
      <c r="J71" s="76">
        <f>资产资本表!J35+资产资本表!J36-资产资本表!J24</f>
        <v>11156828856.900002</v>
      </c>
      <c r="K71" s="76">
        <f>资产资本表!K35+资产资本表!K36-资产资本表!K24</f>
        <v>10471113774.43</v>
      </c>
      <c r="L71" s="76">
        <f>资产资本表!L35+资产资本表!L36-资产资本表!L24</f>
        <v>9739477919.5699997</v>
      </c>
      <c r="M71" s="76">
        <f>资产资本表!M35+资产资本表!M36-资产资本表!M24</f>
        <v>11763533114.700001</v>
      </c>
      <c r="N71" s="76">
        <f>资产资本表!N35+资产资本表!N36-资产资本表!N24</f>
        <v>10104759603.419998</v>
      </c>
      <c r="O71" s="76">
        <f>资产资本表!O35+资产资本表!O36-资产资本表!O24</f>
        <v>8641720423.0199986</v>
      </c>
      <c r="P71" s="76">
        <f>资产资本表!P35+资产资本表!P36-资产资本表!P24</f>
        <v>7581511070.2700005</v>
      </c>
      <c r="Q71" s="76">
        <f>资产资本表!Q35+资产资本表!Q36-资产资本表!Q24</f>
        <v>8844504556.8500004</v>
      </c>
      <c r="R71" s="76">
        <f>资产资本表!R35+资产资本表!R36-资产资本表!R24</f>
        <v>6509846204.5300007</v>
      </c>
      <c r="S71" s="76">
        <f>资产资本表!S35+资产资本表!S36-资产资本表!S24</f>
        <v>5194249580.3099995</v>
      </c>
      <c r="T71" s="76">
        <f>资产资本表!T35+资产资本表!T36-资产资本表!T24</f>
        <v>5148217086.1000004</v>
      </c>
      <c r="U71" s="76">
        <f>资产资本表!U35+资产资本表!U36-资产资本表!U24</f>
        <v>4509083294.8199997</v>
      </c>
      <c r="V71" s="76">
        <f>资产资本表!V35+资产资本表!V36-资产资本表!V24</f>
        <v>5740568979.9200001</v>
      </c>
      <c r="W71" s="76">
        <f>资产资本表!W35+资产资本表!W36-资产资本表!W24</f>
        <v>5317243754.6399994</v>
      </c>
      <c r="X71" s="76">
        <f>资产资本表!X35+资产资本表!X36-资产资本表!X24</f>
        <v>4243108165.4499998</v>
      </c>
      <c r="Y71" s="76">
        <f>资产资本表!Y35+资产资本表!Y36-资产资本表!Y24</f>
        <v>4127439379.9899998</v>
      </c>
      <c r="Z71" s="76">
        <f>资产资本表!Z35+资产资本表!Z36-资产资本表!Z24</f>
        <v>3799206716.2299995</v>
      </c>
      <c r="AA71" s="76">
        <f>资产资本表!AA35+资产资本表!AA36-资产资本表!AA24</f>
        <v>3337045959.4199996</v>
      </c>
      <c r="AB71" s="76">
        <f>资产资本表!AB35+资产资本表!AB36-资产资本表!AB24</f>
        <v>2860769453.6900001</v>
      </c>
      <c r="AC71" s="76">
        <f>资产资本表!AC35+资产资本表!AC36-资产资本表!AC24</f>
        <v>1208925435.6299999</v>
      </c>
      <c r="AD71" s="76">
        <f>资产资本表!AD35+资产资本表!AD36-资产资本表!AD24</f>
        <v>2830236005.46</v>
      </c>
      <c r="AE71" s="76">
        <f>资产资本表!AE35+资产资本表!AE36-资产资本表!AE24</f>
        <v>2088121222.27</v>
      </c>
      <c r="AF71" s="76">
        <f>资产资本表!AF35+资产资本表!AF36-资产资本表!AF24</f>
        <v>1995988615.28</v>
      </c>
      <c r="AG71" s="76">
        <f>资产资本表!AG35+资产资本表!AG36-资产资本表!AG24</f>
        <v>2310391768.79</v>
      </c>
      <c r="AH71" s="76">
        <f>资产资本表!AH35+资产资本表!AH36-资产资本表!AH24</f>
        <v>3858872125.9600005</v>
      </c>
      <c r="AI71" s="76">
        <f>资产资本表!AI35+资产资本表!AI36-资产资本表!AI24</f>
        <v>2483358435.6399999</v>
      </c>
      <c r="AJ71" s="76">
        <f>资产资本表!AJ35+资产资本表!AJ36-资产资本表!AJ24</f>
        <v>2251258120.4799995</v>
      </c>
      <c r="AK71" s="76">
        <f>资产资本表!AK35+资产资本表!AK36-资产资本表!AK24</f>
        <v>2357447752.0700002</v>
      </c>
      <c r="AL71" s="76">
        <f>资产资本表!AL35+资产资本表!AL36-资产资本表!AL24</f>
        <v>2767848201.5799999</v>
      </c>
      <c r="AM71" s="76">
        <f>资产资本表!AM35+资产资本表!AM36-资产资本表!AM24</f>
        <v>2247983907.0500002</v>
      </c>
      <c r="AN71" s="76">
        <f>资产资本表!AN35+资产资本表!AN36-资产资本表!AN24</f>
        <v>1902057970.8000002</v>
      </c>
      <c r="AO71" s="76">
        <f>资产资本表!AO35+资产资本表!AO36-资产资本表!AO24</f>
        <v>2362564386.5799999</v>
      </c>
      <c r="AP71" s="76">
        <f>资产资本表!AP35+资产资本表!AP36-资产资本表!AP24</f>
        <v>2283866927.8000002</v>
      </c>
      <c r="AQ71" s="76">
        <f>资产资本表!AQ35+资产资本表!AQ36-资产资本表!AQ24</f>
        <v>2232490394.3000002</v>
      </c>
      <c r="AR71" s="76">
        <f>资产资本表!AR35+资产资本表!AR36-资产资本表!AR24</f>
        <v>2065662728.6800001</v>
      </c>
      <c r="AS71" s="76">
        <f>资产资本表!AS35+资产资本表!AS36-资产资本表!AS24</f>
        <v>2502333995.8399997</v>
      </c>
      <c r="AT71" s="76">
        <f>资产资本表!AT35+资产资本表!AT36-资产资本表!AT24</f>
        <v>2027341483.71</v>
      </c>
      <c r="AU71" s="76">
        <f>资产资本表!AU35+资产资本表!AU36-资产资本表!AU24</f>
        <v>1847235544.2299998</v>
      </c>
      <c r="AV71" s="76">
        <f>资产资本表!AV35+资产资本表!AV36-资产资本表!AV24</f>
        <v>1492919326.4399998</v>
      </c>
      <c r="AW71" s="76">
        <f>资产资本表!AW35+资产资本表!AW36-资产资本表!AW24</f>
        <v>1555557361.8999999</v>
      </c>
      <c r="AX71" s="76">
        <f>资产资本表!AX35+资产资本表!AX36-资产资本表!AX24</f>
        <v>1351165320.1400001</v>
      </c>
      <c r="AY71" s="76">
        <f>资产资本表!AY35+资产资本表!AY36-资产资本表!AY24</f>
        <v>1104205686.5899999</v>
      </c>
      <c r="AZ71" s="76">
        <f>资产资本表!AZ35+资产资本表!AZ36-资产资本表!AZ24</f>
        <v>856821641.46999991</v>
      </c>
      <c r="BA71" s="76">
        <f>资产资本表!BA35+资产资本表!BA36-资产资本表!BA24</f>
        <v>886864928.05999994</v>
      </c>
      <c r="BB71" s="76">
        <f>资产资本表!BB35+资产资本表!BB36-资产资本表!BB24</f>
        <v>900439438.63000011</v>
      </c>
      <c r="BC71" s="76">
        <f>资产资本表!BC35+资产资本表!BC36-资产资本表!BC24</f>
        <v>648499638.54999995</v>
      </c>
      <c r="BD71" s="76">
        <f>资产资本表!BD35+资产资本表!BD36-资产资本表!BD24</f>
        <v>685833318.20000005</v>
      </c>
      <c r="BE71" s="76">
        <f>资产资本表!BE35+资产资本表!BE36-资产资本表!BE24</f>
        <v>937906229.6099999</v>
      </c>
      <c r="BF71" s="76">
        <f>资产资本表!BF35+资产资本表!BF36-资产资本表!BF24</f>
        <v>732806122.77999997</v>
      </c>
      <c r="BG71" s="76">
        <f>资产资本表!BG35+资产资本表!BG36-资产资本表!BG24</f>
        <v>467949085.59000003</v>
      </c>
      <c r="BH71" s="76">
        <f>资产资本表!BH35+资产资本表!BH36-资产资本表!BH24</f>
        <v>521540990.14000005</v>
      </c>
      <c r="BI71" s="76">
        <f>资产资本表!BI35+资产资本表!BI36-资产资本表!BI24</f>
        <v>755244475.63000011</v>
      </c>
      <c r="BJ71" s="76">
        <f>资产资本表!BJ35+资产资本表!BJ36-资产资本表!BJ24</f>
        <v>488844726.88</v>
      </c>
      <c r="BK71" s="76">
        <f>资产资本表!BK35+资产资本表!BK36-资产资本表!BK24</f>
        <v>346143062.80000001</v>
      </c>
      <c r="BL71" s="76">
        <f>资产资本表!BL35+资产资本表!BL36-资产资本表!BL24</f>
        <v>380323062.79000002</v>
      </c>
      <c r="BM71" s="76">
        <f>资产资本表!BM35+资产资本表!BM36-资产资本表!BM24</f>
        <v>326762360.24000001</v>
      </c>
      <c r="BN71" s="76">
        <f>资产资本表!BN35+资产资本表!BN36-资产资本表!BN24</f>
        <v>341643081.19000006</v>
      </c>
      <c r="BO71" s="76">
        <f>资产资本表!BO35+资产资本表!BO36-资产资本表!BO24</f>
        <v>346028294.58000004</v>
      </c>
      <c r="BP71" s="76">
        <f>资产资本表!BP35+资产资本表!BP36-资产资本表!BP24</f>
        <v>196249092.63</v>
      </c>
      <c r="BQ71" s="76">
        <f>资产资本表!BQ35+资产资本表!BQ36-资产资本表!BQ24</f>
        <v>180741746.5</v>
      </c>
      <c r="BR71" s="76">
        <f>资产资本表!BR35+资产资本表!BR36-资产资本表!BR24</f>
        <v>208632259.34999999</v>
      </c>
      <c r="BS71" s="76">
        <f>资产资本表!BS35+资产资本表!BS36-资产资本表!BS24</f>
        <v>105556901.40000001</v>
      </c>
      <c r="BT71" s="76">
        <f>资产资本表!BT35+资产资本表!BT36-资产资本表!BT24</f>
        <v>97532505.189999998</v>
      </c>
      <c r="BU71" s="76">
        <f>资产资本表!BU35+资产资本表!BU36-资产资本表!BU24</f>
        <v>64174628.980000004</v>
      </c>
      <c r="BV71" s="76">
        <f>资产资本表!BV35+资产资本表!BV36-资产资本表!BV24</f>
        <v>116591569.15000001</v>
      </c>
      <c r="BW71" s="76">
        <f>资产资本表!BW35+资产资本表!BW36-资产资本表!BW24</f>
        <v>111515783.96000001</v>
      </c>
      <c r="BX71" s="76">
        <f>资产资本表!BX35+资产资本表!BX36-资产资本表!BX24</f>
        <v>71419814.819999993</v>
      </c>
      <c r="BY71" s="76">
        <f>资产资本表!BY35+资产资本表!BY36-资产资本表!BY24</f>
        <v>60537505.469999991</v>
      </c>
      <c r="BZ71" s="76">
        <f>资产资本表!BZ35+资产资本表!BZ36-资产资本表!BZ24</f>
        <v>0</v>
      </c>
      <c r="CA71" s="76">
        <f>资产资本表!CA35+资产资本表!CA36-资产资本表!CA24</f>
        <v>47392333</v>
      </c>
      <c r="CB71" s="76">
        <f>资产资本表!CB35+资产资本表!CB36-资产资本表!CB24</f>
        <v>23801308</v>
      </c>
      <c r="CC71" s="76">
        <f>资产资本表!CC35+资产资本表!CC36-资产资本表!CC24</f>
        <v>14993493</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480</v>
      </c>
      <c r="E72" s="154">
        <f>E67/(E71+I71)*2</f>
        <v>1.6710496316824965</v>
      </c>
      <c r="F72" s="154">
        <f t="shared" ref="F72:BQ72" si="36">F67/(F71+J71)*2</f>
        <v>1.2871242290478397</v>
      </c>
      <c r="G72" s="154">
        <f t="shared" si="36"/>
        <v>0.69045499152481826</v>
      </c>
      <c r="H72" s="154">
        <f t="shared" si="36"/>
        <v>0.29077711162023834</v>
      </c>
      <c r="I72" s="154">
        <f t="shared" si="36"/>
        <v>1.8958439598738215</v>
      </c>
      <c r="J72" s="154">
        <f t="shared" si="36"/>
        <v>1.5138135811135711</v>
      </c>
      <c r="K72" s="154">
        <f t="shared" si="36"/>
        <v>1.0434052175035708</v>
      </c>
      <c r="L72" s="154">
        <f t="shared" si="36"/>
        <v>0.44901017443761115</v>
      </c>
      <c r="M72" s="154">
        <f t="shared" si="36"/>
        <v>2.2618260778244279</v>
      </c>
      <c r="N72" s="154">
        <f t="shared" si="36"/>
        <v>1.7343688328188787</v>
      </c>
      <c r="O72" s="154">
        <f t="shared" si="36"/>
        <v>1.1504428769091741</v>
      </c>
      <c r="P72" s="154">
        <f t="shared" si="36"/>
        <v>0.51738051364626236</v>
      </c>
      <c r="Q72" s="154">
        <f t="shared" si="36"/>
        <v>2.9177717351196608</v>
      </c>
      <c r="R72" s="154">
        <f t="shared" si="36"/>
        <v>1.9729731995565123</v>
      </c>
      <c r="S72" s="154">
        <f t="shared" si="36"/>
        <v>1.4284584888614615</v>
      </c>
      <c r="T72" s="154">
        <f t="shared" si="36"/>
        <v>0.75583559117478716</v>
      </c>
      <c r="U72" s="154">
        <f t="shared" si="36"/>
        <v>4.1207016085073773</v>
      </c>
      <c r="V72" s="154">
        <f t="shared" si="36"/>
        <v>2.3437152577521609</v>
      </c>
      <c r="W72" s="154">
        <f t="shared" si="36"/>
        <v>1.8243163808637135</v>
      </c>
      <c r="X72" s="154">
        <f t="shared" si="36"/>
        <v>0.99930125160283934</v>
      </c>
      <c r="Y72" s="154">
        <f t="shared" si="36"/>
        <v>5.9282517332924298</v>
      </c>
      <c r="Z72" s="154">
        <f t="shared" si="36"/>
        <v>3.2556694794940353</v>
      </c>
      <c r="AA72" s="154">
        <f t="shared" si="36"/>
        <v>2.4849569367335929</v>
      </c>
      <c r="AB72" s="154">
        <f t="shared" si="36"/>
        <v>1.3342439698657402</v>
      </c>
      <c r="AC72" s="154">
        <f t="shared" si="36"/>
        <v>7.8710613890358925</v>
      </c>
      <c r="AD72" s="154">
        <f t="shared" si="36"/>
        <v>2.7213786961514765</v>
      </c>
      <c r="AE72" s="154">
        <f t="shared" si="36"/>
        <v>2.3212861389197319</v>
      </c>
      <c r="AF72" s="154">
        <f t="shared" si="36"/>
        <v>1.149957836675112</v>
      </c>
      <c r="AG72" s="154">
        <f t="shared" si="36"/>
        <v>4.7741288282280641</v>
      </c>
      <c r="AH72" s="154">
        <f t="shared" si="36"/>
        <v>2.2831407758227402</v>
      </c>
      <c r="AI72" s="154">
        <f t="shared" si="36"/>
        <v>1.9379467747469996</v>
      </c>
      <c r="AJ72" s="154">
        <f t="shared" si="36"/>
        <v>0.93788654270701211</v>
      </c>
      <c r="AK72" s="154">
        <f t="shared" si="36"/>
        <v>3.0759890777510979</v>
      </c>
      <c r="AL72" s="154">
        <f t="shared" si="36"/>
        <v>1.9235335286993092</v>
      </c>
      <c r="AM72" s="154">
        <f t="shared" si="36"/>
        <v>1.3228297828411111</v>
      </c>
      <c r="AN72" s="154">
        <f t="shared" si="36"/>
        <v>0.54606639420056813</v>
      </c>
      <c r="AO72" s="154">
        <f t="shared" si="36"/>
        <v>2.8876292658988567</v>
      </c>
      <c r="AP72" s="154">
        <f t="shared" si="36"/>
        <v>2.3525287640890644</v>
      </c>
      <c r="AQ72" s="154">
        <f t="shared" si="36"/>
        <v>1.7869583543611336</v>
      </c>
      <c r="AR72" s="154">
        <f t="shared" si="36"/>
        <v>0.81194741037454221</v>
      </c>
      <c r="AS72" s="154">
        <f t="shared" si="36"/>
        <v>3.1654868717022531</v>
      </c>
      <c r="AT72" s="154">
        <f t="shared" si="36"/>
        <v>2.3894537819431361</v>
      </c>
      <c r="AU72" s="154">
        <f t="shared" si="36"/>
        <v>1.5993381704464917</v>
      </c>
      <c r="AV72" s="154">
        <f t="shared" si="36"/>
        <v>0.86014137447571315</v>
      </c>
      <c r="AW72" s="154">
        <f t="shared" si="36"/>
        <v>3.311470040011983</v>
      </c>
      <c r="AX72" s="154">
        <f t="shared" si="36"/>
        <v>2.3627782441027598</v>
      </c>
      <c r="AY72" s="154">
        <f t="shared" si="36"/>
        <v>1.9210907052564854</v>
      </c>
      <c r="AZ72" s="154">
        <f t="shared" si="36"/>
        <v>0.94922128237492776</v>
      </c>
      <c r="BA72" s="154">
        <f t="shared" si="36"/>
        <v>4.088593751693459</v>
      </c>
      <c r="BB72" s="154">
        <f t="shared" si="36"/>
        <v>2.9728793546441601</v>
      </c>
      <c r="BC72" s="154">
        <f t="shared" si="36"/>
        <v>2.5263224097216264</v>
      </c>
      <c r="BD72" s="154">
        <f t="shared" si="36"/>
        <v>1.0122589908512711</v>
      </c>
      <c r="BE72" s="154">
        <f t="shared" si="36"/>
        <v>3.8703871723994627</v>
      </c>
      <c r="BF72" s="154">
        <f t="shared" si="36"/>
        <v>3.7204937377852016</v>
      </c>
      <c r="BG72" s="154">
        <f t="shared" si="36"/>
        <v>3.0257057054184662</v>
      </c>
      <c r="BH72" s="154">
        <f t="shared" si="36"/>
        <v>0.99820462154496614</v>
      </c>
      <c r="BI72" s="154">
        <f t="shared" si="36"/>
        <v>4.9143460135392933</v>
      </c>
      <c r="BJ72" s="154">
        <f t="shared" si="36"/>
        <v>3.7137598012998603</v>
      </c>
      <c r="BK72" s="154">
        <f t="shared" si="36"/>
        <v>2.7431318225692043</v>
      </c>
      <c r="BL72" s="154">
        <f t="shared" si="36"/>
        <v>2.0254615779170018</v>
      </c>
      <c r="BM72" s="154">
        <f t="shared" si="36"/>
        <v>8.6123234115604976</v>
      </c>
      <c r="BN72" s="154">
        <f t="shared" si="36"/>
        <v>5.3706374375051142</v>
      </c>
      <c r="BO72" s="154">
        <f t="shared" si="36"/>
        <v>3.5363065832891611</v>
      </c>
      <c r="BP72" s="154">
        <f t="shared" si="36"/>
        <v>1.9470169207482597</v>
      </c>
      <c r="BQ72" s="154">
        <f t="shared" si="36"/>
        <v>10.218030932294115</v>
      </c>
      <c r="BR72" s="154">
        <f t="shared" ref="BR72:CJ72" si="37">BR67/(BR71+BV71)*2</f>
        <v>3.415938445605009</v>
      </c>
      <c r="BS72" s="154">
        <f t="shared" si="37"/>
        <v>8.798819282916341</v>
      </c>
      <c r="BT72" s="154">
        <f t="shared" si="37"/>
        <v>4.5423872517085062</v>
      </c>
      <c r="BU72" s="154">
        <f t="shared" si="37"/>
        <v>8.834739635393996</v>
      </c>
      <c r="BV72" s="154">
        <f t="shared" si="37"/>
        <v>4.5900237953869238</v>
      </c>
      <c r="BW72" s="154">
        <f t="shared" si="37"/>
        <v>5.7249454155258643</v>
      </c>
      <c r="BX72" s="154">
        <f t="shared" si="37"/>
        <v>3.9565761060409224</v>
      </c>
      <c r="BY72" s="154">
        <f t="shared" si="37"/>
        <v>9.2862693223708419</v>
      </c>
      <c r="BZ72" s="154" t="e">
        <f t="shared" si="37"/>
        <v>#DIV/0!</v>
      </c>
      <c r="CA72" s="154">
        <f t="shared" si="37"/>
        <v>15.574836123809309</v>
      </c>
      <c r="CB72" s="154">
        <f t="shared" si="37"/>
        <v>18.918392048033663</v>
      </c>
      <c r="CC72" s="154">
        <f t="shared" si="37"/>
        <v>16.255054109139213</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x14ac:dyDescent="0.25">
      <c r="A73" s="147" t="s">
        <v>481</v>
      </c>
      <c r="E73" s="83">
        <f>E62/E72</f>
        <v>218.42558897098687</v>
      </c>
      <c r="F73" s="83">
        <f t="shared" ref="F73:BQ73" si="38">F62/F72</f>
        <v>283.5779109449378</v>
      </c>
      <c r="G73" s="83">
        <f t="shared" si="38"/>
        <v>528.63691982865498</v>
      </c>
      <c r="H73" s="83">
        <f t="shared" si="38"/>
        <v>1255.2569834887777</v>
      </c>
      <c r="I73" s="83">
        <f t="shared" si="38"/>
        <v>192.5263933769595</v>
      </c>
      <c r="J73" s="83">
        <f t="shared" si="38"/>
        <v>241.11291149304105</v>
      </c>
      <c r="K73" s="83">
        <f t="shared" si="38"/>
        <v>349.81615375979356</v>
      </c>
      <c r="L73" s="83">
        <f t="shared" si="38"/>
        <v>812.8991741827798</v>
      </c>
      <c r="M73" s="83">
        <f t="shared" si="38"/>
        <v>161.37403471405761</v>
      </c>
      <c r="N73" s="83">
        <f t="shared" si="38"/>
        <v>210.45119878380402</v>
      </c>
      <c r="O73" s="83">
        <f t="shared" si="38"/>
        <v>317.26912072385863</v>
      </c>
      <c r="P73" s="83">
        <f t="shared" si="38"/>
        <v>705.47689828448722</v>
      </c>
      <c r="Q73" s="83">
        <f t="shared" si="38"/>
        <v>125.09546089801674</v>
      </c>
      <c r="R73" s="83">
        <f t="shared" si="38"/>
        <v>184.99997875391577</v>
      </c>
      <c r="S73" s="83">
        <f t="shared" si="38"/>
        <v>255.52020086416343</v>
      </c>
      <c r="T73" s="83">
        <f t="shared" si="38"/>
        <v>482.90925204075717</v>
      </c>
      <c r="U73" s="83">
        <f t="shared" si="38"/>
        <v>88.577148912321334</v>
      </c>
      <c r="V73" s="83">
        <f t="shared" si="38"/>
        <v>155.73564185867386</v>
      </c>
      <c r="W73" s="83">
        <f t="shared" si="38"/>
        <v>200.07494523904487</v>
      </c>
      <c r="X73" s="83">
        <f t="shared" si="38"/>
        <v>365.2552215005781</v>
      </c>
      <c r="Y73" s="83">
        <f t="shared" si="38"/>
        <v>61.569585169637605</v>
      </c>
      <c r="Z73" s="83">
        <f t="shared" si="38"/>
        <v>112.11211773767796</v>
      </c>
      <c r="AA73" s="83">
        <f t="shared" si="38"/>
        <v>146.88383311776116</v>
      </c>
      <c r="AB73" s="83">
        <f t="shared" si="38"/>
        <v>273.56316254270087</v>
      </c>
      <c r="AC73" s="83">
        <f t="shared" si="38"/>
        <v>46.372399090728983</v>
      </c>
      <c r="AD73" s="83">
        <f t="shared" si="38"/>
        <v>134.1231929669238</v>
      </c>
      <c r="AE73" s="83">
        <f t="shared" si="38"/>
        <v>157.24041680180875</v>
      </c>
      <c r="AF73" s="83">
        <f t="shared" si="38"/>
        <v>317.40294153334287</v>
      </c>
      <c r="AG73" s="83">
        <f t="shared" si="38"/>
        <v>76.453739128667607</v>
      </c>
      <c r="AH73" s="83">
        <f t="shared" si="38"/>
        <v>159.86749650532195</v>
      </c>
      <c r="AI73" s="83">
        <f t="shared" si="38"/>
        <v>188.34366596453663</v>
      </c>
      <c r="AJ73" s="83">
        <f t="shared" si="38"/>
        <v>389.1728726019507</v>
      </c>
      <c r="AK73" s="83">
        <f t="shared" si="38"/>
        <v>118.66101952054298</v>
      </c>
      <c r="AL73" s="83">
        <f t="shared" si="38"/>
        <v>189.75494554899311</v>
      </c>
      <c r="AM73" s="83">
        <f t="shared" si="38"/>
        <v>275.92363336125555</v>
      </c>
      <c r="AN73" s="83">
        <f t="shared" si="38"/>
        <v>668.41688826933535</v>
      </c>
      <c r="AO73" s="83">
        <f t="shared" si="38"/>
        <v>126.40126774943991</v>
      </c>
      <c r="AP73" s="83">
        <f t="shared" si="38"/>
        <v>155.15219434153599</v>
      </c>
      <c r="AQ73" s="83">
        <f t="shared" si="38"/>
        <v>204.25769806509754</v>
      </c>
      <c r="AR73" s="83">
        <f t="shared" si="38"/>
        <v>449.53650364083262</v>
      </c>
      <c r="AS73" s="83">
        <f t="shared" si="38"/>
        <v>115.30611712937537</v>
      </c>
      <c r="AT73" s="83">
        <f t="shared" si="38"/>
        <v>152.75457627942779</v>
      </c>
      <c r="AU73" s="83">
        <f t="shared" si="38"/>
        <v>228.2194014653586</v>
      </c>
      <c r="AV73" s="83">
        <f t="shared" si="38"/>
        <v>424.34884640037285</v>
      </c>
      <c r="AW73" s="83">
        <f t="shared" si="38"/>
        <v>110.22295101262013</v>
      </c>
      <c r="AX73" s="83">
        <f t="shared" si="38"/>
        <v>154.47916067070651</v>
      </c>
      <c r="AY73" s="83">
        <f t="shared" si="38"/>
        <v>189.99623443145478</v>
      </c>
      <c r="AZ73" s="83">
        <f t="shared" si="38"/>
        <v>384.52572311356016</v>
      </c>
      <c r="BA73" s="83">
        <f t="shared" si="38"/>
        <v>89.272748080882394</v>
      </c>
      <c r="BB73" s="83">
        <f t="shared" si="38"/>
        <v>122.77659348328611</v>
      </c>
      <c r="BC73" s="83">
        <f t="shared" si="38"/>
        <v>144.47878805786277</v>
      </c>
      <c r="BD73" s="83">
        <f t="shared" si="38"/>
        <v>360.57965728024698</v>
      </c>
      <c r="BE73" s="83">
        <f t="shared" si="38"/>
        <v>94.305810695862945</v>
      </c>
      <c r="BF73" s="83">
        <f t="shared" si="38"/>
        <v>98.105258528746603</v>
      </c>
      <c r="BG73" s="83">
        <f t="shared" si="38"/>
        <v>120.6330144225045</v>
      </c>
      <c r="BH73" s="83">
        <f t="shared" si="38"/>
        <v>365.65649178729819</v>
      </c>
      <c r="BI73" s="83">
        <f t="shared" si="38"/>
        <v>74.272344477658862</v>
      </c>
      <c r="BJ73" s="83">
        <f t="shared" si="38"/>
        <v>98.283146872408295</v>
      </c>
      <c r="BK73" s="83">
        <f t="shared" si="38"/>
        <v>133.05959159415923</v>
      </c>
      <c r="BL73" s="83">
        <f t="shared" si="38"/>
        <v>180.20583751352541</v>
      </c>
      <c r="BM73" s="83">
        <f t="shared" si="38"/>
        <v>42.381130219756152</v>
      </c>
      <c r="BN73" s="83">
        <f t="shared" si="38"/>
        <v>67.962137501793038</v>
      </c>
      <c r="BO73" s="83">
        <f t="shared" si="38"/>
        <v>103.21503280422851</v>
      </c>
      <c r="BP73" s="83">
        <f t="shared" si="38"/>
        <v>187.46627012349052</v>
      </c>
      <c r="BQ73" s="83">
        <f t="shared" si="38"/>
        <v>35.72116804289724</v>
      </c>
      <c r="BR73" s="83">
        <f t="shared" ref="BR73:CJ73" si="39">BR62/BR72</f>
        <v>106.85204250961073</v>
      </c>
      <c r="BS73" s="83">
        <f t="shared" si="39"/>
        <v>41.482838579112389</v>
      </c>
      <c r="BT73" s="83">
        <f t="shared" si="39"/>
        <v>80.354223401519604</v>
      </c>
      <c r="BU73" s="83">
        <f t="shared" si="39"/>
        <v>41.314177334409059</v>
      </c>
      <c r="BV73" s="83">
        <f t="shared" si="39"/>
        <v>79.520284920272772</v>
      </c>
      <c r="BW73" s="83">
        <f t="shared" si="39"/>
        <v>63.756066391503396</v>
      </c>
      <c r="BX73" s="83">
        <f t="shared" si="39"/>
        <v>92.251479617115407</v>
      </c>
      <c r="BY73" s="83">
        <f t="shared" si="39"/>
        <v>39.305342902418992</v>
      </c>
      <c r="BZ73" s="83" t="e">
        <f t="shared" si="39"/>
        <v>#DIV/0!</v>
      </c>
      <c r="CA73" s="83">
        <f t="shared" si="39"/>
        <v>23.435238553940426</v>
      </c>
      <c r="CB73" s="83">
        <f t="shared" si="39"/>
        <v>19.293394442469932</v>
      </c>
      <c r="CC73" s="83">
        <f t="shared" si="39"/>
        <v>22.454554598792942</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5" customFormat="1" x14ac:dyDescent="0.25">
      <c r="A74" s="254" t="s">
        <v>482</v>
      </c>
      <c r="E74" s="255">
        <f>E66+E70</f>
        <v>217.70554253853155</v>
      </c>
      <c r="F74" s="255">
        <f t="shared" ref="F74:BQ74" si="40">F66+F70</f>
        <v>323.80121235207156</v>
      </c>
      <c r="G74" s="255">
        <f t="shared" si="40"/>
        <v>587.02754266952218</v>
      </c>
      <c r="H74" s="255">
        <f t="shared" si="40"/>
        <v>1243.165541294132</v>
      </c>
      <c r="I74" s="255">
        <f t="shared" si="40"/>
        <v>148.85058051074316</v>
      </c>
      <c r="J74" s="255">
        <f t="shared" si="40"/>
        <v>195.41428160872749</v>
      </c>
      <c r="K74" s="255">
        <f t="shared" si="40"/>
        <v>302.77301806747795</v>
      </c>
      <c r="L74" s="255">
        <f t="shared" si="40"/>
        <v>683.97763170343069</v>
      </c>
      <c r="M74" s="255">
        <f t="shared" si="40"/>
        <v>123.68980743319916</v>
      </c>
      <c r="N74" s="255">
        <f t="shared" si="40"/>
        <v>148.88258541405412</v>
      </c>
      <c r="O74" s="255">
        <f t="shared" si="40"/>
        <v>251.91298948023154</v>
      </c>
      <c r="P74" s="255">
        <f t="shared" si="40"/>
        <v>621.99826515837071</v>
      </c>
      <c r="Q74" s="255">
        <f t="shared" si="40"/>
        <v>110.976317252109</v>
      </c>
      <c r="R74" s="255">
        <f t="shared" si="40"/>
        <v>147.32571751755984</v>
      </c>
      <c r="S74" s="255">
        <f t="shared" si="40"/>
        <v>223.7625811498275</v>
      </c>
      <c r="T74" s="255">
        <f t="shared" si="40"/>
        <v>491.29394749989342</v>
      </c>
      <c r="U74" s="255">
        <f t="shared" si="40"/>
        <v>91.076143473591301</v>
      </c>
      <c r="V74" s="255">
        <f t="shared" si="40"/>
        <v>110.8679149993919</v>
      </c>
      <c r="W74" s="255">
        <f t="shared" si="40"/>
        <v>161.59418031613248</v>
      </c>
      <c r="X74" s="255">
        <f t="shared" si="40"/>
        <v>349.29891891250497</v>
      </c>
      <c r="Y74" s="255">
        <f t="shared" si="40"/>
        <v>70.422314107961981</v>
      </c>
      <c r="Z74" s="255">
        <f t="shared" si="40"/>
        <v>92.455231415599116</v>
      </c>
      <c r="AA74" s="255">
        <f t="shared" si="40"/>
        <v>125.4880201786864</v>
      </c>
      <c r="AB74" s="255">
        <f t="shared" si="40"/>
        <v>231.84993734606951</v>
      </c>
      <c r="AC74" s="255">
        <f t="shared" si="40"/>
        <v>57.350494724038256</v>
      </c>
      <c r="AD74" s="255">
        <f t="shared" si="40"/>
        <v>100.68792070813579</v>
      </c>
      <c r="AE74" s="255">
        <f t="shared" si="40"/>
        <v>142.00939339836748</v>
      </c>
      <c r="AF74" s="255">
        <f t="shared" si="40"/>
        <v>269.19477322624789</v>
      </c>
      <c r="AG74" s="255">
        <f t="shared" si="40"/>
        <v>69.313844492719596</v>
      </c>
      <c r="AH74" s="255">
        <f t="shared" si="40"/>
        <v>86.988408615744845</v>
      </c>
      <c r="AI74" s="255">
        <f t="shared" si="40"/>
        <v>118.86687896289024</v>
      </c>
      <c r="AJ74" s="255">
        <f t="shared" si="40"/>
        <v>243.7449198727017</v>
      </c>
      <c r="AK74" s="255">
        <f t="shared" si="40"/>
        <v>77.145803167035353</v>
      </c>
      <c r="AL74" s="255">
        <f t="shared" si="40"/>
        <v>90.879482302185252</v>
      </c>
      <c r="AM74" s="255">
        <f t="shared" si="40"/>
        <v>145.32652535819665</v>
      </c>
      <c r="AN74" s="255">
        <f t="shared" si="40"/>
        <v>366.32697815973074</v>
      </c>
      <c r="AO74" s="255">
        <f t="shared" si="40"/>
        <v>86.542226841295545</v>
      </c>
      <c r="AP74" s="255">
        <f t="shared" si="40"/>
        <v>94.312622552147573</v>
      </c>
      <c r="AQ74" s="255">
        <f t="shared" si="40"/>
        <v>131.98359338858558</v>
      </c>
      <c r="AR74" s="255">
        <f t="shared" si="40"/>
        <v>286.47262889728427</v>
      </c>
      <c r="AS74" s="255">
        <f t="shared" si="40"/>
        <v>90.186277461095216</v>
      </c>
      <c r="AT74" s="255">
        <f t="shared" si="40"/>
        <v>114.12873538082027</v>
      </c>
      <c r="AU74" s="255">
        <f t="shared" si="40"/>
        <v>173.29925734521345</v>
      </c>
      <c r="AV74" s="255">
        <f t="shared" si="40"/>
        <v>342.44619705640821</v>
      </c>
      <c r="AW74" s="255">
        <f t="shared" si="40"/>
        <v>90.374778639064942</v>
      </c>
      <c r="AX74" s="255">
        <f t="shared" si="40"/>
        <v>131.67106700881672</v>
      </c>
      <c r="AY74" s="255">
        <f t="shared" si="40"/>
        <v>174.51463788562501</v>
      </c>
      <c r="AZ74" s="255">
        <f t="shared" si="40"/>
        <v>415.52198441448996</v>
      </c>
      <c r="BA74" s="255">
        <f t="shared" si="40"/>
        <v>98.221811733689634</v>
      </c>
      <c r="BB74" s="255">
        <f t="shared" si="40"/>
        <v>124.33653449988901</v>
      </c>
      <c r="BC74" s="255">
        <f t="shared" si="40"/>
        <v>195.80997630368245</v>
      </c>
      <c r="BD74" s="255">
        <f t="shared" si="40"/>
        <v>484.99222233086766</v>
      </c>
      <c r="BE74" s="255">
        <f t="shared" si="40"/>
        <v>110.34827466024669</v>
      </c>
      <c r="BF74" s="255">
        <f t="shared" si="40"/>
        <v>115.73813580094615</v>
      </c>
      <c r="BG74" s="255">
        <f t="shared" si="40"/>
        <v>197.09167390322961</v>
      </c>
      <c r="BH74" s="255">
        <f t="shared" si="40"/>
        <v>529.81946617806432</v>
      </c>
      <c r="BI74" s="255">
        <f t="shared" si="40"/>
        <v>95.19106975254428</v>
      </c>
      <c r="BJ74" s="255">
        <f t="shared" si="40"/>
        <v>132.28999543019228</v>
      </c>
      <c r="BK74" s="255">
        <f t="shared" si="40"/>
        <v>203.87100331312945</v>
      </c>
      <c r="BL74" s="255">
        <f t="shared" si="40"/>
        <v>297.0379179414457</v>
      </c>
      <c r="BM74" s="255">
        <f t="shared" si="40"/>
        <v>70.497744046792306</v>
      </c>
      <c r="BN74" s="255">
        <f t="shared" si="40"/>
        <v>101.54324827593726</v>
      </c>
      <c r="BO74" s="255">
        <f t="shared" si="40"/>
        <v>172.99805873296043</v>
      </c>
      <c r="BP74" s="255">
        <f t="shared" si="40"/>
        <v>431.21176866994244</v>
      </c>
      <c r="BQ74" s="255">
        <f t="shared" si="40"/>
        <v>87.728338891177529</v>
      </c>
      <c r="BR74" s="255">
        <f t="shared" ref="BR74:CK74" si="41">BR66+BR70</f>
        <v>188.81114424854664</v>
      </c>
      <c r="BS74" s="255">
        <f t="shared" si="41"/>
        <v>91.526928386589944</v>
      </c>
      <c r="BT74" s="255">
        <f t="shared" si="41"/>
        <v>218.55078797044359</v>
      </c>
      <c r="BU74" s="255">
        <f t="shared" si="41"/>
        <v>128.99521475727698</v>
      </c>
      <c r="BV74" s="255">
        <f t="shared" si="41"/>
        <v>157.07793386832404</v>
      </c>
      <c r="BW74" s="255">
        <f t="shared" si="41"/>
        <v>132.61610269788815</v>
      </c>
      <c r="BX74" s="255">
        <f t="shared" si="41"/>
        <v>243.20651058665158</v>
      </c>
      <c r="BY74" s="255">
        <f t="shared" si="41"/>
        <v>96.227432738581498</v>
      </c>
      <c r="BZ74" s="255" t="e">
        <f t="shared" si="41"/>
        <v>#DIV/0!</v>
      </c>
      <c r="CA74" s="255">
        <f t="shared" si="41"/>
        <v>49.719337624362794</v>
      </c>
      <c r="CB74" s="255">
        <f t="shared" si="41"/>
        <v>48.532923078262314</v>
      </c>
      <c r="CC74" s="255">
        <f t="shared" si="41"/>
        <v>51.416479314493998</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483</v>
      </c>
      <c r="E75" s="255">
        <f>E74-E73</f>
        <v>-0.72004643245531952</v>
      </c>
      <c r="F75" s="255">
        <f t="shared" ref="F75:BQ75" si="42">F74-F73</f>
        <v>40.223301407133761</v>
      </c>
      <c r="G75" s="255">
        <f t="shared" si="42"/>
        <v>58.390622840867195</v>
      </c>
      <c r="H75" s="255">
        <f t="shared" si="42"/>
        <v>-12.091442194645651</v>
      </c>
      <c r="I75" s="255">
        <f t="shared" si="42"/>
        <v>-43.675812866216347</v>
      </c>
      <c r="J75" s="255">
        <f t="shared" si="42"/>
        <v>-45.698629884313561</v>
      </c>
      <c r="K75" s="255">
        <f t="shared" si="42"/>
        <v>-47.043135692315616</v>
      </c>
      <c r="L75" s="255">
        <f t="shared" si="42"/>
        <v>-128.92154247934911</v>
      </c>
      <c r="M75" s="255">
        <f t="shared" si="42"/>
        <v>-37.684227280858451</v>
      </c>
      <c r="N75" s="255">
        <f t="shared" si="42"/>
        <v>-61.568613369749897</v>
      </c>
      <c r="O75" s="255">
        <f t="shared" si="42"/>
        <v>-65.35613124362709</v>
      </c>
      <c r="P75" s="255">
        <f t="shared" si="42"/>
        <v>-83.478633126116506</v>
      </c>
      <c r="Q75" s="255">
        <f t="shared" si="42"/>
        <v>-14.119143645907741</v>
      </c>
      <c r="R75" s="255">
        <f t="shared" si="42"/>
        <v>-37.674261236355932</v>
      </c>
      <c r="S75" s="255">
        <f t="shared" si="42"/>
        <v>-31.757619714335931</v>
      </c>
      <c r="T75" s="255">
        <f t="shared" si="42"/>
        <v>8.3846954591362532</v>
      </c>
      <c r="U75" s="255">
        <f t="shared" si="42"/>
        <v>2.4989945612699671</v>
      </c>
      <c r="V75" s="255">
        <f t="shared" si="42"/>
        <v>-44.867726859281959</v>
      </c>
      <c r="W75" s="255">
        <f t="shared" si="42"/>
        <v>-38.480764922912385</v>
      </c>
      <c r="X75" s="255">
        <f t="shared" si="42"/>
        <v>-15.956302588073129</v>
      </c>
      <c r="Y75" s="255">
        <f t="shared" si="42"/>
        <v>8.8527289383243755</v>
      </c>
      <c r="Z75" s="255">
        <f t="shared" si="42"/>
        <v>-19.656886322078847</v>
      </c>
      <c r="AA75" s="255">
        <f t="shared" si="42"/>
        <v>-21.395812939074759</v>
      </c>
      <c r="AB75" s="255">
        <f t="shared" si="42"/>
        <v>-41.713225196631356</v>
      </c>
      <c r="AC75" s="255">
        <f t="shared" si="42"/>
        <v>10.978095633309273</v>
      </c>
      <c r="AD75" s="255">
        <f t="shared" si="42"/>
        <v>-33.435272258788004</v>
      </c>
      <c r="AE75" s="255">
        <f t="shared" si="42"/>
        <v>-15.23102340344127</v>
      </c>
      <c r="AF75" s="255">
        <f t="shared" si="42"/>
        <v>-48.208168307094979</v>
      </c>
      <c r="AG75" s="255">
        <f t="shared" si="42"/>
        <v>-7.1398946359480107</v>
      </c>
      <c r="AH75" s="255">
        <f t="shared" si="42"/>
        <v>-72.879087889577107</v>
      </c>
      <c r="AI75" s="255">
        <f t="shared" si="42"/>
        <v>-69.476787001646386</v>
      </c>
      <c r="AJ75" s="255">
        <f t="shared" si="42"/>
        <v>-145.427952729249</v>
      </c>
      <c r="AK75" s="255">
        <f t="shared" si="42"/>
        <v>-41.515216353507626</v>
      </c>
      <c r="AL75" s="255">
        <f t="shared" si="42"/>
        <v>-98.875463246807854</v>
      </c>
      <c r="AM75" s="255">
        <f t="shared" si="42"/>
        <v>-130.59710800305891</v>
      </c>
      <c r="AN75" s="255">
        <f t="shared" si="42"/>
        <v>-302.0899101096046</v>
      </c>
      <c r="AO75" s="255">
        <f t="shared" si="42"/>
        <v>-39.859040908144365</v>
      </c>
      <c r="AP75" s="255">
        <f t="shared" si="42"/>
        <v>-60.839571789388415</v>
      </c>
      <c r="AQ75" s="255">
        <f t="shared" si="42"/>
        <v>-72.274104676511968</v>
      </c>
      <c r="AR75" s="255">
        <f t="shared" si="42"/>
        <v>-163.06387474354835</v>
      </c>
      <c r="AS75" s="255">
        <f t="shared" si="42"/>
        <v>-25.11983966828015</v>
      </c>
      <c r="AT75" s="255">
        <f t="shared" si="42"/>
        <v>-38.625840898607521</v>
      </c>
      <c r="AU75" s="255">
        <f t="shared" si="42"/>
        <v>-54.920144120145153</v>
      </c>
      <c r="AV75" s="255">
        <f t="shared" si="42"/>
        <v>-81.90264934396464</v>
      </c>
      <c r="AW75" s="255">
        <f t="shared" si="42"/>
        <v>-19.848172373555187</v>
      </c>
      <c r="AX75" s="255">
        <f t="shared" si="42"/>
        <v>-22.808093661889785</v>
      </c>
      <c r="AY75" s="255">
        <f t="shared" si="42"/>
        <v>-15.481596545829774</v>
      </c>
      <c r="AZ75" s="255">
        <f t="shared" si="42"/>
        <v>30.996261300929802</v>
      </c>
      <c r="BA75" s="255">
        <f t="shared" si="42"/>
        <v>8.94906365280724</v>
      </c>
      <c r="BB75" s="255">
        <f t="shared" si="42"/>
        <v>1.559941016602906</v>
      </c>
      <c r="BC75" s="255">
        <f t="shared" si="42"/>
        <v>51.331188245819675</v>
      </c>
      <c r="BD75" s="255">
        <f t="shared" si="42"/>
        <v>124.41256505062069</v>
      </c>
      <c r="BE75" s="255">
        <f t="shared" si="42"/>
        <v>16.042463964383742</v>
      </c>
      <c r="BF75" s="255">
        <f t="shared" si="42"/>
        <v>17.632877272199551</v>
      </c>
      <c r="BG75" s="255">
        <f t="shared" si="42"/>
        <v>76.458659480725103</v>
      </c>
      <c r="BH75" s="255">
        <f t="shared" si="42"/>
        <v>164.16297439076612</v>
      </c>
      <c r="BI75" s="255">
        <f t="shared" si="42"/>
        <v>20.918725274885418</v>
      </c>
      <c r="BJ75" s="255">
        <f t="shared" si="42"/>
        <v>34.006848557783982</v>
      </c>
      <c r="BK75" s="255">
        <f t="shared" si="42"/>
        <v>70.81141171897022</v>
      </c>
      <c r="BL75" s="255">
        <f t="shared" si="42"/>
        <v>116.83208042792029</v>
      </c>
      <c r="BM75" s="255">
        <f t="shared" si="42"/>
        <v>28.116613827036154</v>
      </c>
      <c r="BN75" s="255">
        <f t="shared" si="42"/>
        <v>33.581110774144221</v>
      </c>
      <c r="BO75" s="255">
        <f t="shared" si="42"/>
        <v>69.783025928731917</v>
      </c>
      <c r="BP75" s="255">
        <f t="shared" si="42"/>
        <v>243.74549854645193</v>
      </c>
      <c r="BQ75" s="255">
        <f t="shared" si="42"/>
        <v>52.007170848280289</v>
      </c>
      <c r="BR75" s="255">
        <f t="shared" ref="BR75:CJ75" si="43">BR74-BR73</f>
        <v>81.959101738935914</v>
      </c>
      <c r="BS75" s="255">
        <f t="shared" si="43"/>
        <v>50.044089807477555</v>
      </c>
      <c r="BT75" s="255">
        <f t="shared" si="43"/>
        <v>138.19656456892398</v>
      </c>
      <c r="BU75" s="255">
        <f t="shared" si="43"/>
        <v>87.681037422867917</v>
      </c>
      <c r="BV75" s="255">
        <f t="shared" si="43"/>
        <v>77.557648948051266</v>
      </c>
      <c r="BW75" s="255">
        <f t="shared" si="43"/>
        <v>68.860036306384757</v>
      </c>
      <c r="BX75" s="255">
        <f t="shared" si="43"/>
        <v>150.95503096953615</v>
      </c>
      <c r="BY75" s="255">
        <f t="shared" si="43"/>
        <v>56.922089836162506</v>
      </c>
      <c r="BZ75" s="255" t="e">
        <f t="shared" si="43"/>
        <v>#DIV/0!</v>
      </c>
      <c r="CA75" s="255">
        <f t="shared" si="43"/>
        <v>26.284099070422368</v>
      </c>
      <c r="CB75" s="255">
        <f t="shared" si="43"/>
        <v>29.239528635792382</v>
      </c>
      <c r="CC75" s="255">
        <f t="shared" si="43"/>
        <v>28.961924715701056</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x14ac:dyDescent="0.25">
      <c r="A76" s="148" t="s">
        <v>484</v>
      </c>
      <c r="E76" s="120">
        <f>E71-E64-E68</f>
        <v>-7157339541.2700024</v>
      </c>
      <c r="F76" s="120">
        <f t="shared" ref="F76:BQ76" si="44">F71-F64-F68</f>
        <v>-7051154330.9300003</v>
      </c>
      <c r="G76" s="120">
        <f t="shared" si="44"/>
        <v>-5870166731.2199993</v>
      </c>
      <c r="H76" s="120">
        <f t="shared" si="44"/>
        <v>-4485911391.8199987</v>
      </c>
      <c r="I76" s="120">
        <f t="shared" si="44"/>
        <v>-1390876918.6400003</v>
      </c>
      <c r="J76" s="120">
        <f t="shared" si="44"/>
        <v>-3285527792.7799983</v>
      </c>
      <c r="K76" s="120">
        <f t="shared" si="44"/>
        <v>-2477959147.6899977</v>
      </c>
      <c r="L76" s="120">
        <f t="shared" si="44"/>
        <v>-694459924.95000076</v>
      </c>
      <c r="M76" s="120">
        <f t="shared" si="44"/>
        <v>786346202.86000109</v>
      </c>
      <c r="N76" s="120">
        <f t="shared" si="44"/>
        <v>2473675657.0199976</v>
      </c>
      <c r="O76" s="120">
        <f t="shared" si="44"/>
        <v>685677125.22999883</v>
      </c>
      <c r="P76" s="120">
        <f t="shared" si="44"/>
        <v>-349207863.83999968</v>
      </c>
      <c r="Q76" s="120">
        <f t="shared" si="44"/>
        <v>-413420193.95999908</v>
      </c>
      <c r="R76" s="120">
        <f t="shared" si="44"/>
        <v>-345666069.24999952</v>
      </c>
      <c r="S76" s="120">
        <f t="shared" si="44"/>
        <v>-492165122.46000099</v>
      </c>
      <c r="T76" s="120">
        <f t="shared" si="44"/>
        <v>-765838822.55999887</v>
      </c>
      <c r="U76" s="120">
        <f t="shared" si="44"/>
        <v>-1057148738.6100001</v>
      </c>
      <c r="V76" s="120">
        <f t="shared" si="44"/>
        <v>1206115303.05</v>
      </c>
      <c r="W76" s="120">
        <f t="shared" si="44"/>
        <v>-92612770.6899997</v>
      </c>
      <c r="X76" s="120">
        <f t="shared" si="44"/>
        <v>-1231142106.8099999</v>
      </c>
      <c r="Y76" s="120">
        <f t="shared" si="44"/>
        <v>-689713566.37000012</v>
      </c>
      <c r="Z76" s="120">
        <f t="shared" si="44"/>
        <v>536972335.04999924</v>
      </c>
      <c r="AA76" s="120">
        <f t="shared" si="44"/>
        <v>522004069.51999962</v>
      </c>
      <c r="AB76" s="120">
        <f t="shared" si="44"/>
        <v>442639963.5799998</v>
      </c>
      <c r="AC76" s="120">
        <f t="shared" si="44"/>
        <v>-1006474532.74</v>
      </c>
      <c r="AD76" s="120">
        <f t="shared" si="44"/>
        <v>-195416052.26999998</v>
      </c>
      <c r="AE76" s="120">
        <f t="shared" si="44"/>
        <v>-410745422.34000015</v>
      </c>
      <c r="AF76" s="120">
        <f t="shared" si="44"/>
        <v>-232737112.62000012</v>
      </c>
      <c r="AG76" s="120">
        <f t="shared" si="44"/>
        <v>-272887002.20000029</v>
      </c>
      <c r="AH76" s="120">
        <f t="shared" si="44"/>
        <v>1212915801.9500008</v>
      </c>
      <c r="AI76" s="120">
        <f t="shared" si="44"/>
        <v>342625431.95999968</v>
      </c>
      <c r="AJ76" s="120">
        <f t="shared" si="44"/>
        <v>468976505.7699995</v>
      </c>
      <c r="AK76" s="120">
        <f t="shared" si="44"/>
        <v>237459993.15000021</v>
      </c>
      <c r="AL76" s="120">
        <f t="shared" si="44"/>
        <v>1334144720.5799999</v>
      </c>
      <c r="AM76" s="120">
        <f t="shared" si="44"/>
        <v>1009482909.73</v>
      </c>
      <c r="AN76" s="120">
        <f t="shared" si="44"/>
        <v>795677935.83000016</v>
      </c>
      <c r="AO76" s="120">
        <f t="shared" si="44"/>
        <v>1062778954.7099998</v>
      </c>
      <c r="AP76" s="120">
        <f t="shared" si="44"/>
        <v>1054691305.1700002</v>
      </c>
      <c r="AQ76" s="120">
        <f t="shared" si="44"/>
        <v>868427683.15000033</v>
      </c>
      <c r="AR76" s="120">
        <f t="shared" si="44"/>
        <v>785087429.78999996</v>
      </c>
      <c r="AS76" s="120">
        <f t="shared" si="44"/>
        <v>248952036.13999963</v>
      </c>
      <c r="AT76" s="120">
        <f t="shared" si="44"/>
        <v>541036698.30999994</v>
      </c>
      <c r="AU76" s="120">
        <f t="shared" si="44"/>
        <v>462316651.37999988</v>
      </c>
      <c r="AV76" s="120">
        <f t="shared" si="44"/>
        <v>378780501.9799999</v>
      </c>
      <c r="AW76" s="120">
        <f t="shared" si="44"/>
        <v>446115047.83999979</v>
      </c>
      <c r="AX76" s="120">
        <f t="shared" si="44"/>
        <v>220018180.22000003</v>
      </c>
      <c r="AY76" s="120">
        <f t="shared" si="44"/>
        <v>178106800.02999997</v>
      </c>
      <c r="AZ76" s="120">
        <f t="shared" si="44"/>
        <v>5126345.2699998617</v>
      </c>
      <c r="BA76" s="120">
        <f t="shared" si="44"/>
        <v>-105563537.88999999</v>
      </c>
      <c r="BB76" s="120">
        <f t="shared" si="44"/>
        <v>-9513973.3899998665</v>
      </c>
      <c r="BC76" s="120">
        <f t="shared" si="44"/>
        <v>-125792437.03000003</v>
      </c>
      <c r="BD76" s="120">
        <f t="shared" si="44"/>
        <v>-206320597.71999991</v>
      </c>
      <c r="BE76" s="120">
        <f t="shared" si="44"/>
        <v>-178583812.91000009</v>
      </c>
      <c r="BF76" s="120">
        <f t="shared" si="44"/>
        <v>-110075714.88</v>
      </c>
      <c r="BG76" s="120">
        <f t="shared" si="44"/>
        <v>-351700272.31</v>
      </c>
      <c r="BH76" s="120">
        <f t="shared" si="44"/>
        <v>-289071012.63</v>
      </c>
      <c r="BI76" s="120">
        <f t="shared" si="44"/>
        <v>-229807799.99999994</v>
      </c>
      <c r="BJ76" s="120">
        <f t="shared" si="44"/>
        <v>-191582994.25999999</v>
      </c>
      <c r="BK76" s="120">
        <f t="shared" si="44"/>
        <v>-228875424.13</v>
      </c>
      <c r="BL76" s="120">
        <f t="shared" si="44"/>
        <v>-179952929.25999993</v>
      </c>
      <c r="BM76" s="120">
        <f t="shared" si="44"/>
        <v>-135769520.22000003</v>
      </c>
      <c r="BN76" s="120">
        <f t="shared" si="44"/>
        <v>-154189317.99999994</v>
      </c>
      <c r="BO76" s="120">
        <f t="shared" si="44"/>
        <v>-198278602.43999994</v>
      </c>
      <c r="BP76" s="120">
        <f t="shared" si="44"/>
        <v>-234838420.44999999</v>
      </c>
      <c r="BQ76" s="120">
        <f t="shared" si="44"/>
        <v>-200542542.56</v>
      </c>
      <c r="BR76" s="120">
        <f t="shared" ref="BR76:CJ76" si="45">BR71-BR64-BR68</f>
        <v>-158115056.18000001</v>
      </c>
      <c r="BS76" s="120">
        <f t="shared" si="45"/>
        <v>-134999971.90000004</v>
      </c>
      <c r="BT76" s="120">
        <f t="shared" si="45"/>
        <v>-182585468.05000001</v>
      </c>
      <c r="BU76" s="120">
        <f t="shared" si="45"/>
        <v>-169814063.59</v>
      </c>
      <c r="BV76" s="120">
        <f t="shared" si="45"/>
        <v>-119305116.82999998</v>
      </c>
      <c r="BW76" s="120">
        <f t="shared" si="45"/>
        <v>-124546095.45</v>
      </c>
      <c r="BX76" s="120">
        <f t="shared" si="45"/>
        <v>-127883830.48999999</v>
      </c>
      <c r="BY76" s="120">
        <f t="shared" si="45"/>
        <v>-94726873.510000005</v>
      </c>
      <c r="BZ76" s="120">
        <f t="shared" si="45"/>
        <v>0</v>
      </c>
      <c r="CA76" s="120">
        <f t="shared" si="45"/>
        <v>-52896115</v>
      </c>
      <c r="CB76" s="120">
        <f t="shared" si="45"/>
        <v>-34896904</v>
      </c>
      <c r="CC76" s="120">
        <f t="shared" si="45"/>
        <v>-18779182</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8" t="s">
        <v>691</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35064</v>
      </c>
      <c r="CC80" s="1">
        <v>34699</v>
      </c>
      <c r="CD80" s="1">
        <v>25569</v>
      </c>
      <c r="CE80" s="1"/>
      <c r="CF80" s="1"/>
      <c r="CG80" s="1"/>
      <c r="CH80" s="1"/>
      <c r="CI80" s="1"/>
      <c r="CJ80" s="1"/>
      <c r="CK80" s="1"/>
    </row>
    <row r="81" spans="1:89" s="76" customFormat="1" x14ac:dyDescent="0.25">
      <c r="A81" s="70" t="s">
        <v>580</v>
      </c>
      <c r="E81" s="76">
        <f>股权价值增加表!E4</f>
        <v>33221948766.650002</v>
      </c>
      <c r="F81" s="76">
        <f>股权价值增加表!F4</f>
        <v>18994965921.450001</v>
      </c>
      <c r="G81" s="76">
        <f>股权价值增加表!G4</f>
        <v>9313067493.1000004</v>
      </c>
      <c r="H81" s="76">
        <f>股权价值增加表!H4</f>
        <v>3868458647.1999998</v>
      </c>
      <c r="I81" s="76">
        <f>股权价值增加表!I4</f>
        <v>35850442042.720001</v>
      </c>
      <c r="J81" s="76">
        <f>股权价值增加表!J4</f>
        <v>21659158276.32</v>
      </c>
      <c r="K81" s="76">
        <f>股权价值增加表!K4</f>
        <v>13268121440.85</v>
      </c>
      <c r="L81" s="76">
        <f>股权价值增加表!L4</f>
        <v>5126788582.8999996</v>
      </c>
      <c r="M81" s="76">
        <f>股权价值增加表!M4</f>
        <v>31210873852.540001</v>
      </c>
      <c r="N81" s="76">
        <f>股权价值增加表!N4</f>
        <v>18929067308.060001</v>
      </c>
      <c r="O81" s="76">
        <f>股权价值增加表!O4</f>
        <v>10387239701.25</v>
      </c>
      <c r="P81" s="76">
        <f>股权价值增加表!P4</f>
        <v>4273324043.52</v>
      </c>
      <c r="Q81" s="76">
        <f>股权价值增加表!Q4</f>
        <v>25728299513.16</v>
      </c>
      <c r="R81" s="76">
        <f>股权价值增加表!R4</f>
        <v>15002502291.76</v>
      </c>
      <c r="S81" s="76">
        <f>股权价值增加表!S4</f>
        <v>9341476892.9099998</v>
      </c>
      <c r="T81" s="76">
        <f>股权价值增加表!T4</f>
        <v>4395955446.3000002</v>
      </c>
      <c r="U81" s="76">
        <f>股权价值增加表!U4</f>
        <v>22093826571.040001</v>
      </c>
      <c r="V81" s="76">
        <f>股权价值增加表!V4</f>
        <v>13669406746.49</v>
      </c>
      <c r="W81" s="76">
        <f>股权价值增加表!W4</f>
        <v>9663747340.3899994</v>
      </c>
      <c r="X81" s="76">
        <f>股权价值增加表!X4</f>
        <v>4337342804.8900003</v>
      </c>
      <c r="Y81" s="76">
        <f>股权价值增加表!Y4</f>
        <v>19763459199.02</v>
      </c>
      <c r="Z81" s="76">
        <f>股权价值增加表!Z4</f>
        <v>13309007254.129999</v>
      </c>
      <c r="AA81" s="76">
        <f>股权价值增加表!AA4</f>
        <v>8296243064.9300003</v>
      </c>
      <c r="AB81" s="76">
        <f>股权价值增加表!AB4</f>
        <v>3969350239.1399999</v>
      </c>
      <c r="AC81" s="76">
        <f>股权价值增加表!AC4</f>
        <v>16931925945.07</v>
      </c>
      <c r="AD81" s="76">
        <f>股权价值增加表!AD4</f>
        <v>11009538186.57</v>
      </c>
      <c r="AE81" s="76">
        <f>股权价值增加表!AE4</f>
        <v>6405766461.7399998</v>
      </c>
      <c r="AF81" s="76">
        <f>股权价值增加表!AF4</f>
        <v>2947959956.1799998</v>
      </c>
      <c r="AG81" s="76">
        <f>股权价值增加表!AG4</f>
        <v>13478500120.48</v>
      </c>
      <c r="AH81" s="76">
        <f>股权价值增加表!AH4</f>
        <v>9132486590.3700008</v>
      </c>
      <c r="AI81" s="76">
        <f>股权价值增加表!AI4</f>
        <v>5525360311.0500002</v>
      </c>
      <c r="AJ81" s="76">
        <f>股权价值增加表!AJ4</f>
        <v>2357318390.8600001</v>
      </c>
      <c r="AK81" s="76">
        <f>股权价值增加表!AK4</f>
        <v>8781731234.4200001</v>
      </c>
      <c r="AL81" s="76">
        <f>股权价值增加表!AL4</f>
        <v>5832802762.3699999</v>
      </c>
      <c r="AM81" s="76">
        <f>股权价值增加表!AM4</f>
        <v>3547502321.2199998</v>
      </c>
      <c r="AN81" s="76">
        <f>股权价值增加表!AN4</f>
        <v>1322183548.28</v>
      </c>
      <c r="AO81" s="76">
        <f>股权价值增加表!AO4</f>
        <v>8335671865.1199999</v>
      </c>
      <c r="AP81" s="76">
        <f>股权价值增加表!AP4</f>
        <v>5909075990.5799999</v>
      </c>
      <c r="AQ81" s="76">
        <f>股权价值增加表!AQ4</f>
        <v>4269358208.9099998</v>
      </c>
      <c r="AR81" s="76">
        <f>股权价值增加表!AR4</f>
        <v>1728783903.51</v>
      </c>
      <c r="AS81" s="76">
        <f>股权价值增加表!AS4</f>
        <v>7880772643.7399998</v>
      </c>
      <c r="AT81" s="76">
        <f>股权价值增加表!AT4</f>
        <v>4791323219.5799999</v>
      </c>
      <c r="AU81" s="76">
        <f>股权价值增加表!AU4</f>
        <v>2824669536.7399998</v>
      </c>
      <c r="AV81" s="76">
        <f>股权价值增加表!AV4</f>
        <v>1218986397.53</v>
      </c>
      <c r="AW81" s="76">
        <f>股权价值增加表!AW4</f>
        <v>4954506733.5100002</v>
      </c>
      <c r="AX81" s="76">
        <f>股权价值增加表!AX4</f>
        <v>3211706920.0700002</v>
      </c>
      <c r="AY81" s="76">
        <f>股权价值增加表!AY4</f>
        <v>2039212675.8900001</v>
      </c>
      <c r="AZ81" s="76">
        <f>股权价值增加表!AZ4</f>
        <v>887602608.97000003</v>
      </c>
      <c r="BA81" s="76">
        <f>股权价值增加表!BA4</f>
        <v>4576435573.4799995</v>
      </c>
      <c r="BB81" s="76">
        <f>股权价值增加表!BB4</f>
        <v>2944163022.0500002</v>
      </c>
      <c r="BC81" s="76">
        <f>股权价值增加表!BC4</f>
        <v>1699337866.3199999</v>
      </c>
      <c r="BD81" s="76">
        <f>股权价值增加表!BD4</f>
        <v>739399700.55999994</v>
      </c>
      <c r="BE81" s="76">
        <f>股权价值增加表!BE4</f>
        <v>3949088707.25</v>
      </c>
      <c r="BF81" s="76">
        <f>股权价值增加表!BF4</f>
        <v>2762182434.1100001</v>
      </c>
      <c r="BG81" s="76">
        <f>股权价值增加表!BG4</f>
        <v>1486749846.54</v>
      </c>
      <c r="BH81" s="76">
        <f>股权价值增加表!BH4</f>
        <v>572856842.5</v>
      </c>
      <c r="BI81" s="76">
        <f>股权价值增加表!BI4</f>
        <v>3253649665.4099998</v>
      </c>
      <c r="BJ81" s="76">
        <f>股权价值增加表!BJ4</f>
        <v>1946404611.7</v>
      </c>
      <c r="BK81" s="76">
        <f>股权价值增加表!BK4</f>
        <v>1201983585.6400001</v>
      </c>
      <c r="BL81" s="76">
        <f>股权价值增加表!BL4</f>
        <v>747595762.03999996</v>
      </c>
      <c r="BM81" s="76">
        <f>股权价值增加表!BM4</f>
        <v>2685049399.9299998</v>
      </c>
      <c r="BN81" s="76">
        <f>股权价值增加表!BN4</f>
        <v>1843794209.3099999</v>
      </c>
      <c r="BO81" s="76">
        <f>股权价值增加表!BO4</f>
        <v>998872375.82000005</v>
      </c>
      <c r="BP81" s="76">
        <f>股权价值增加表!BP4</f>
        <v>364636034.19</v>
      </c>
      <c r="BQ81" s="76">
        <f>股权价值增加表!BQ4</f>
        <v>1579515325.0899999</v>
      </c>
      <c r="BR81" s="76">
        <f>股权价值增加表!BR4</f>
        <v>701830564.21000004</v>
      </c>
      <c r="BS81" s="76">
        <f>股权价值增加表!BS4</f>
        <v>1198968349.3199999</v>
      </c>
      <c r="BT81" s="76">
        <f>股权价值增加表!BT4</f>
        <v>469805804.99000001</v>
      </c>
      <c r="BU81" s="76">
        <f>股权价值增加表!BU4</f>
        <v>700109344.52999997</v>
      </c>
      <c r="BV81" s="76">
        <f>股权价值增加表!BV4</f>
        <v>319096258.16000003</v>
      </c>
      <c r="BW81" s="76">
        <f>股权价值增加表!BW4</f>
        <v>565416206.90999997</v>
      </c>
      <c r="BX81" s="76">
        <f>股权价值增加表!BX4</f>
        <v>226544658.12</v>
      </c>
      <c r="BY81" s="76">
        <f>股权价值增加表!BY4</f>
        <v>436671752.77999997</v>
      </c>
      <c r="BZ81" s="76">
        <f>股权价值增加表!BZ4</f>
        <v>157092838.58000001</v>
      </c>
      <c r="CA81" s="76">
        <f>股权价值增加表!CA4</f>
        <v>439068983</v>
      </c>
      <c r="CB81" s="76">
        <f>股权价值增加表!CB4</f>
        <v>274237533</v>
      </c>
      <c r="CC81" s="76">
        <f>股权价值增加表!CC4</f>
        <v>137629196</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7403704208.9899998</v>
      </c>
      <c r="F82" s="76">
        <f>投资和筹资活动现金流表!F34</f>
        <v>7241441487.6399994</v>
      </c>
      <c r="G82" s="76">
        <f>投资和筹资活动现金流表!G34</f>
        <v>6933252016.75</v>
      </c>
      <c r="H82" s="76">
        <f>投资和筹资活动现金流表!H34</f>
        <v>7026265474.1499996</v>
      </c>
      <c r="I82" s="76">
        <f>投资和筹资活动现金流表!I34</f>
        <v>7233676429.6300001</v>
      </c>
      <c r="J82" s="76">
        <f>投资和筹资活动现金流表!J34</f>
        <v>7117582638.6199999</v>
      </c>
      <c r="K82" s="76">
        <f>投资和筹资活动现金流表!K34</f>
        <v>6973434371.2799997</v>
      </c>
      <c r="L82" s="76">
        <f>投资和筹资活动现金流表!L34</f>
        <v>6969525437.3499994</v>
      </c>
      <c r="M82" s="76">
        <f>投资和筹资活动现金流表!M34</f>
        <v>6776874825.5100002</v>
      </c>
      <c r="N82" s="76">
        <f>投资和筹资活动现金流表!N34</f>
        <v>6656007448.8899994</v>
      </c>
      <c r="O82" s="76">
        <f>投资和筹资活动现金流表!O34</f>
        <v>6760870447.54</v>
      </c>
      <c r="P82" s="76">
        <f>投资和筹资活动现金流表!P34</f>
        <v>6737079146.1899996</v>
      </c>
      <c r="Q82" s="76">
        <f>投资和筹资活动现金流表!Q34</f>
        <v>6450470986.5299997</v>
      </c>
      <c r="R82" s="76">
        <f>投资和筹资活动现金流表!R34</f>
        <v>4342240294.9799995</v>
      </c>
      <c r="S82" s="76">
        <f>投资和筹资活动现金流表!S34</f>
        <v>4417767237.1399994</v>
      </c>
      <c r="T82" s="76">
        <f>投资和筹资活动现金流表!T34</f>
        <v>4449171452.3899994</v>
      </c>
      <c r="U82" s="76">
        <f>投资和筹资活动现金流表!U34</f>
        <v>4444063428.1599998</v>
      </c>
      <c r="V82" s="76">
        <f>投资和筹资活动现金流表!V34</f>
        <v>4316116633.7799997</v>
      </c>
      <c r="W82" s="76">
        <f>投资和筹资活动现金流表!W34</f>
        <v>4311358081.3899994</v>
      </c>
      <c r="X82" s="76">
        <f>投资和筹资活动现金流表!X34</f>
        <v>4314837746.2600002</v>
      </c>
      <c r="Y82" s="76">
        <f>投资和筹资活动现金流表!AZ34</f>
        <v>675188697.10000002</v>
      </c>
      <c r="Z82" s="76">
        <f>投资和筹资活动现金流表!BA34</f>
        <v>693673647.03999996</v>
      </c>
      <c r="AA82" s="76">
        <f>投资和筹资活动现金流表!BB34</f>
        <v>690073634.83000004</v>
      </c>
      <c r="AB82" s="76">
        <f>投资和筹资活动现金流表!BC34</f>
        <v>694155097.74000001</v>
      </c>
      <c r="AC82" s="76">
        <f>投资和筹资活动现金流表!BD34</f>
        <v>705234866.22000003</v>
      </c>
      <c r="AD82" s="76">
        <f>投资和筹资活动现金流表!BE34</f>
        <v>718934556.61000001</v>
      </c>
      <c r="AE82" s="76">
        <f>投资和筹资活动现金流表!BF34</f>
        <v>947999790.52999997</v>
      </c>
      <c r="AF82" s="76">
        <f>投资和筹资活动现金流表!BG34</f>
        <v>666734074.49000001</v>
      </c>
      <c r="AG82" s="76">
        <f>投资和筹资活动现金流表!BH34</f>
        <v>668886652.38</v>
      </c>
      <c r="AH82" s="76">
        <f>投资和筹资活动现金流表!BI34</f>
        <v>648934060.50999999</v>
      </c>
      <c r="AI82" s="76">
        <f>投资和筹资活动现金流表!BJ34</f>
        <v>586788583.52999997</v>
      </c>
      <c r="AJ82" s="76">
        <f>投资和筹资活动现金流表!BK34</f>
        <v>527162431.58999997</v>
      </c>
      <c r="AK82" s="76">
        <f>投资和筹资活动现金流表!BL34</f>
        <v>491198139.67000002</v>
      </c>
      <c r="AL82" s="76">
        <f>投资和筹资活动现金流表!BM34</f>
        <v>480690968.44</v>
      </c>
      <c r="AM82" s="76">
        <f>投资和筹资活动现金流表!BN34</f>
        <v>481614848.12</v>
      </c>
      <c r="AN82" s="76">
        <f>投资和筹资活动现金流表!BO34</f>
        <v>446110351.63</v>
      </c>
      <c r="AO82" s="76">
        <f>投资和筹资活动现金流表!BP34</f>
        <v>453054515.08999997</v>
      </c>
      <c r="AP82" s="76">
        <f>投资和筹资活动现金流表!BQ34</f>
        <v>1408090847.5599999</v>
      </c>
      <c r="AQ82" s="76">
        <f>投资和筹资活动现金流表!BR34</f>
        <v>1165523380.75</v>
      </c>
      <c r="AR82" s="76">
        <f>投资和筹资活动现金流表!BS34</f>
        <v>1132670418.7999997</v>
      </c>
      <c r="AS82" s="76">
        <f>投资和筹资活动现金流表!AS34</f>
        <v>987307981.75</v>
      </c>
      <c r="AT82" s="76">
        <f>投资和筹资活动现金流表!AT34</f>
        <v>966440577.98000002</v>
      </c>
      <c r="AU82" s="76">
        <f>投资和筹资活动现金流表!AU34</f>
        <v>921737837.78000009</v>
      </c>
      <c r="AV82" s="76">
        <f>投资和筹资活动现金流表!AV34</f>
        <v>898902666.8900001</v>
      </c>
      <c r="AW82" s="76">
        <f>投资和筹资活动现金流表!AW34</f>
        <v>805300730.88</v>
      </c>
      <c r="AX82" s="76">
        <f>投资和筹资活动现金流表!AX34</f>
        <v>710406952.39999998</v>
      </c>
      <c r="AY82" s="76">
        <f>投资和筹资活动现金流表!AY34</f>
        <v>647769711.63</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582</v>
      </c>
      <c r="E83" s="154">
        <f>E81/E82</f>
        <v>4.4872063805993241</v>
      </c>
      <c r="F83" s="154">
        <f t="shared" ref="F83:BQ83" si="46">F81/F82</f>
        <v>2.623091818648458</v>
      </c>
      <c r="G83" s="154">
        <f t="shared" si="46"/>
        <v>1.3432466424991647</v>
      </c>
      <c r="H83" s="154">
        <f t="shared" si="46"/>
        <v>0.55057109092052714</v>
      </c>
      <c r="I83" s="154">
        <f t="shared" si="46"/>
        <v>4.9560472315118105</v>
      </c>
      <c r="J83" s="154">
        <f t="shared" si="46"/>
        <v>3.0430497791198681</v>
      </c>
      <c r="K83" s="154">
        <f t="shared" si="46"/>
        <v>1.902666711182454</v>
      </c>
      <c r="L83" s="154">
        <f t="shared" si="46"/>
        <v>0.73560081371183605</v>
      </c>
      <c r="M83" s="154">
        <f t="shared" si="46"/>
        <v>4.6054965830346726</v>
      </c>
      <c r="N83" s="154">
        <f t="shared" si="46"/>
        <v>2.8439071700883898</v>
      </c>
      <c r="O83" s="154">
        <f t="shared" si="46"/>
        <v>1.5363760897133423</v>
      </c>
      <c r="P83" s="154">
        <f t="shared" si="46"/>
        <v>0.63429921940826239</v>
      </c>
      <c r="Q83" s="154">
        <f t="shared" si="46"/>
        <v>3.9885923937781196</v>
      </c>
      <c r="R83" s="154">
        <f t="shared" si="46"/>
        <v>3.4550142950642719</v>
      </c>
      <c r="S83" s="154">
        <f t="shared" si="46"/>
        <v>2.1145244625784181</v>
      </c>
      <c r="T83" s="154">
        <f t="shared" si="46"/>
        <v>0.98803911994413862</v>
      </c>
      <c r="U83" s="154">
        <f t="shared" si="46"/>
        <v>4.9715371817246163</v>
      </c>
      <c r="V83" s="154">
        <f t="shared" si="46"/>
        <v>3.167061482886413</v>
      </c>
      <c r="W83" s="154">
        <f t="shared" si="46"/>
        <v>2.2414624714434224</v>
      </c>
      <c r="X83" s="154">
        <f t="shared" si="46"/>
        <v>1.0052157369415586</v>
      </c>
      <c r="Y83" s="154">
        <f t="shared" si="46"/>
        <v>29.271016063962485</v>
      </c>
      <c r="Z83" s="154">
        <f t="shared" si="46"/>
        <v>19.186266208787586</v>
      </c>
      <c r="AA83" s="154">
        <f t="shared" si="46"/>
        <v>12.022257692795035</v>
      </c>
      <c r="AB83" s="154">
        <f t="shared" si="46"/>
        <v>5.7182469048534514</v>
      </c>
      <c r="AC83" s="154">
        <f t="shared" si="46"/>
        <v>24.008917817441031</v>
      </c>
      <c r="AD83" s="154">
        <f t="shared" si="46"/>
        <v>15.313686183737495</v>
      </c>
      <c r="AE83" s="154">
        <f t="shared" si="46"/>
        <v>6.7571391109260857</v>
      </c>
      <c r="AF83" s="154">
        <f t="shared" si="46"/>
        <v>4.4214928694546787</v>
      </c>
      <c r="AG83" s="154">
        <f t="shared" si="46"/>
        <v>20.150648951539779</v>
      </c>
      <c r="AH83" s="154">
        <f t="shared" si="46"/>
        <v>14.073057874620947</v>
      </c>
      <c r="AI83" s="154">
        <f t="shared" si="46"/>
        <v>9.4162709809563161</v>
      </c>
      <c r="AJ83" s="154">
        <f t="shared" si="46"/>
        <v>4.4717116577332314</v>
      </c>
      <c r="AK83" s="154">
        <f t="shared" si="46"/>
        <v>17.878185044267067</v>
      </c>
      <c r="AL83" s="154">
        <f t="shared" si="46"/>
        <v>12.134205020117935</v>
      </c>
      <c r="AM83" s="154">
        <f t="shared" si="46"/>
        <v>7.365849153255545</v>
      </c>
      <c r="AN83" s="154">
        <f t="shared" si="46"/>
        <v>2.9638037840839151</v>
      </c>
      <c r="AO83" s="154">
        <f t="shared" si="46"/>
        <v>18.398827486498188</v>
      </c>
      <c r="AP83" s="154">
        <f t="shared" si="46"/>
        <v>4.196516155771838</v>
      </c>
      <c r="AQ83" s="154">
        <f t="shared" si="46"/>
        <v>3.6630395232077801</v>
      </c>
      <c r="AR83" s="154">
        <f t="shared" si="46"/>
        <v>1.5262903266614385</v>
      </c>
      <c r="AS83" s="154">
        <f t="shared" si="46"/>
        <v>7.9820813661116743</v>
      </c>
      <c r="AT83" s="154">
        <f t="shared" si="46"/>
        <v>4.9577007927321874</v>
      </c>
      <c r="AU83" s="154">
        <f t="shared" si="46"/>
        <v>3.0645042667915194</v>
      </c>
      <c r="AV83" s="154">
        <f t="shared" si="46"/>
        <v>1.356082746697612</v>
      </c>
      <c r="AW83" s="154">
        <f t="shared" si="46"/>
        <v>6.152368355727079</v>
      </c>
      <c r="AX83" s="154">
        <f t="shared" si="46"/>
        <v>4.5209395955652534</v>
      </c>
      <c r="AY83" s="154">
        <f t="shared" si="46"/>
        <v>3.1480519068399717</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583</v>
      </c>
      <c r="E84" s="76">
        <f>资产资本表!E52</f>
        <v>3982767010.3299999</v>
      </c>
      <c r="F84" s="76">
        <f>资产资本表!F52</f>
        <v>4095441705.8299999</v>
      </c>
      <c r="G84" s="76">
        <f>资产资本表!G52</f>
        <v>4235449777.0300002</v>
      </c>
      <c r="H84" s="76">
        <f>资产资本表!H52</f>
        <v>4358378334.1499996</v>
      </c>
      <c r="I84" s="76">
        <f>资产资本表!I52</f>
        <v>4537663835.8500004</v>
      </c>
      <c r="J84" s="76">
        <f>资产资本表!J52</f>
        <v>4443352373.1300001</v>
      </c>
      <c r="K84" s="76">
        <f>资产资本表!K52</f>
        <v>3863364637.71</v>
      </c>
      <c r="L84" s="76">
        <f>资产资本表!L52</f>
        <v>3963721622.1799998</v>
      </c>
      <c r="M84" s="76">
        <f>资产资本表!M52</f>
        <v>4071835776.9000001</v>
      </c>
      <c r="N84" s="76">
        <f>资产资本表!N52</f>
        <v>3443954195.4899998</v>
      </c>
      <c r="O84" s="76">
        <f>资产资本表!O52</f>
        <v>3621428117.5799999</v>
      </c>
      <c r="P84" s="76">
        <f>资产资本表!P52</f>
        <v>3698392170.6399999</v>
      </c>
      <c r="Q84" s="76">
        <f>资产资本表!Q52</f>
        <v>3630320013.9400001</v>
      </c>
      <c r="R84" s="76">
        <f>资产资本表!R52</f>
        <v>2845124055.0300002</v>
      </c>
      <c r="S84" s="76">
        <f>资产资本表!S52</f>
        <v>2927557160.25</v>
      </c>
      <c r="T84" s="76">
        <f>资产资本表!T52</f>
        <v>2912807755.2600002</v>
      </c>
      <c r="U84" s="76">
        <f>资产资本表!U52</f>
        <v>2979858868.46</v>
      </c>
      <c r="V84" s="76">
        <f>资产资本表!V52</f>
        <v>2894214357.6300001</v>
      </c>
      <c r="W84" s="76">
        <f>资产资本表!W52</f>
        <v>2988196081</v>
      </c>
      <c r="X84" s="76">
        <f>资产资本表!X52</f>
        <v>3082661256.52</v>
      </c>
      <c r="Y84" s="76">
        <f>资产资本表!Y52</f>
        <v>3146517801.1399999</v>
      </c>
      <c r="Z84" s="76">
        <f>资产资本表!Z52</f>
        <v>1283023930.03</v>
      </c>
      <c r="AA84" s="76">
        <f>资产资本表!AA52</f>
        <v>1188923979.6500001</v>
      </c>
      <c r="AB84" s="76">
        <f>资产资本表!AB52</f>
        <v>1139863574.3499999</v>
      </c>
      <c r="AC84" s="76">
        <f>资产资本表!AC52</f>
        <v>1010615512.64</v>
      </c>
      <c r="AD84" s="76">
        <f>资产资本表!AD52</f>
        <v>1025505056.45</v>
      </c>
      <c r="AE84" s="76">
        <f>资产资本表!AE52</f>
        <v>1055009693.29</v>
      </c>
      <c r="AF84" s="76">
        <f>资产资本表!AF52</f>
        <v>1079861795.3099999</v>
      </c>
      <c r="AG84" s="76">
        <f>资产资本表!AG52</f>
        <v>1104114516.98</v>
      </c>
      <c r="AH84" s="76">
        <f>资产资本表!AH52</f>
        <v>981054589.71000004</v>
      </c>
      <c r="AI84" s="76">
        <f>资产资本表!AI52</f>
        <v>996941595.33000004</v>
      </c>
      <c r="AJ84" s="76">
        <f>资产资本表!AJ52</f>
        <v>1028437015.22</v>
      </c>
      <c r="AK84" s="76">
        <f>资产资本表!AK52</f>
        <v>1053247011.39</v>
      </c>
      <c r="AL84" s="76">
        <f>资产资本表!AL52</f>
        <v>1028696636.89</v>
      </c>
      <c r="AM84" s="76">
        <f>资产资本表!AM52</f>
        <v>750281619.63999999</v>
      </c>
      <c r="AN84" s="76">
        <f>资产资本表!AN52</f>
        <v>733379135.08000004</v>
      </c>
      <c r="AO84" s="76">
        <f>资产资本表!AO52</f>
        <v>751492270.57000005</v>
      </c>
      <c r="AP84" s="76">
        <f>资产资本表!AP52</f>
        <v>598116555.05999994</v>
      </c>
      <c r="AQ84" s="76">
        <f>资产资本表!AQ52</f>
        <v>596912842.48000002</v>
      </c>
      <c r="AR84" s="76">
        <f>资产资本表!AR52</f>
        <v>597388851.12</v>
      </c>
      <c r="AS84" s="76">
        <f>资产资本表!AS52</f>
        <v>507128068.42000002</v>
      </c>
      <c r="AT84" s="76">
        <f>资产资本表!AT52</f>
        <v>477480672.80000001</v>
      </c>
      <c r="AU84" s="76">
        <f>资产资本表!AU52</f>
        <v>475508405.08999997</v>
      </c>
      <c r="AV84" s="76">
        <f>资产资本表!AV52</f>
        <v>491770951.13</v>
      </c>
      <c r="AW84" s="76">
        <f>资产资本表!AW52</f>
        <v>512384978.29000002</v>
      </c>
      <c r="AX84" s="76">
        <f>资产资本表!AX52</f>
        <v>452729110.33999997</v>
      </c>
      <c r="AY84" s="76">
        <f>资产资本表!AY52</f>
        <v>465234771.00999999</v>
      </c>
      <c r="AZ84" s="76">
        <f>资产资本表!AZ52</f>
        <v>485803911.95999998</v>
      </c>
      <c r="BA84" s="76">
        <f>资产资本表!BA52</f>
        <v>507338829.87</v>
      </c>
      <c r="BB84" s="76">
        <f>资产资本表!BB52</f>
        <v>447484323.25999999</v>
      </c>
      <c r="BC84" s="76">
        <f>资产资本表!BC52</f>
        <v>461011354.66000003</v>
      </c>
      <c r="BD84" s="76">
        <f>资产资本表!BD52</f>
        <v>477143035.86000001</v>
      </c>
      <c r="BE84" s="76">
        <f>资产资本表!BE52</f>
        <v>495945258.48000002</v>
      </c>
      <c r="BF84" s="76">
        <f>资产资本表!BF52</f>
        <v>463469401.5</v>
      </c>
      <c r="BG84" s="76">
        <f>资产资本表!BG52</f>
        <v>469052801</v>
      </c>
      <c r="BH84" s="76">
        <f>资产资本表!BH52</f>
        <v>469071033.86000001</v>
      </c>
      <c r="BI84" s="76">
        <f>资产资本表!BI52</f>
        <v>464880526.54000002</v>
      </c>
      <c r="BJ84" s="76">
        <f>资产资本表!BJ52</f>
        <v>366031374.63999999</v>
      </c>
      <c r="BK84" s="76">
        <f>资产资本表!BK52</f>
        <v>372012573.81</v>
      </c>
      <c r="BL84" s="76">
        <f>资产资本表!BL52</f>
        <v>382277026.64999998</v>
      </c>
      <c r="BM84" s="76">
        <f>资产资本表!BM52</f>
        <v>392616827.49000001</v>
      </c>
      <c r="BN84" s="76">
        <f>资产资本表!BN52</f>
        <v>397195145.38</v>
      </c>
      <c r="BO84" s="76">
        <f>资产资本表!BO52</f>
        <v>402845065.31</v>
      </c>
      <c r="BP84" s="76">
        <f>资产资本表!BP52</f>
        <v>429674374.89999998</v>
      </c>
      <c r="BQ84" s="76">
        <f>资产资本表!BQ52</f>
        <v>434791432.91000003</v>
      </c>
      <c r="BR84" s="76">
        <f>资产资本表!BR52</f>
        <v>423952295.44</v>
      </c>
      <c r="BS84" s="76">
        <f>资产资本表!BS52</f>
        <v>434855338.73000002</v>
      </c>
      <c r="BT84" s="76">
        <f>资产资本表!BT52</f>
        <v>437436248.17000002</v>
      </c>
      <c r="BU84" s="76">
        <f>资产资本表!BU52</f>
        <v>448175392.82999998</v>
      </c>
      <c r="BV84" s="76">
        <f>资产资本表!BV52</f>
        <v>423846603.76999998</v>
      </c>
      <c r="BW84" s="76">
        <f>资产资本表!BW52</f>
        <v>414365909.83999997</v>
      </c>
      <c r="BX84" s="76">
        <f>资产资本表!BX52</f>
        <v>60156348.25</v>
      </c>
      <c r="BY84" s="76">
        <f>资产资本表!BY52</f>
        <v>57243239.469999999</v>
      </c>
      <c r="BZ84" s="76">
        <f>资产资本表!BZ52</f>
        <v>55497864.740000002</v>
      </c>
      <c r="CA84" s="76">
        <f>资产资本表!CA52</f>
        <v>54541567</v>
      </c>
      <c r="CB84" s="76">
        <f>资产资本表!CB52</f>
        <v>46131480</v>
      </c>
      <c r="CC84" s="76">
        <f>资产资本表!CC52</f>
        <v>9808901</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x14ac:dyDescent="0.25">
      <c r="A85" s="250" t="s">
        <v>584</v>
      </c>
      <c r="E85" s="154">
        <f>E81/E84</f>
        <v>8.3414241105450291</v>
      </c>
      <c r="F85" s="154">
        <f t="shared" ref="F85:BQ85" si="48">F81/F84</f>
        <v>4.6380750321534361</v>
      </c>
      <c r="G85" s="154">
        <f t="shared" si="48"/>
        <v>2.1988378999574749</v>
      </c>
      <c r="H85" s="154">
        <f t="shared" si="48"/>
        <v>0.88759128983566149</v>
      </c>
      <c r="I85" s="154">
        <f t="shared" si="48"/>
        <v>7.9006385972187063</v>
      </c>
      <c r="J85" s="154">
        <f t="shared" si="48"/>
        <v>4.8745083570904795</v>
      </c>
      <c r="K85" s="154">
        <f t="shared" si="48"/>
        <v>3.4343435541498994</v>
      </c>
      <c r="L85" s="154">
        <f t="shared" si="48"/>
        <v>1.2934280132620228</v>
      </c>
      <c r="M85" s="154">
        <f t="shared" si="48"/>
        <v>7.6650620414514092</v>
      </c>
      <c r="N85" s="154">
        <f t="shared" si="48"/>
        <v>5.4963179628952084</v>
      </c>
      <c r="O85" s="154">
        <f t="shared" si="48"/>
        <v>2.8682716773600405</v>
      </c>
      <c r="P85" s="154">
        <f t="shared" si="48"/>
        <v>1.1554545452059264</v>
      </c>
      <c r="Q85" s="154">
        <f t="shared" si="48"/>
        <v>7.0870610343899072</v>
      </c>
      <c r="R85" s="154">
        <f t="shared" si="48"/>
        <v>5.2730573435757648</v>
      </c>
      <c r="S85" s="154">
        <f t="shared" si="48"/>
        <v>3.1908777118846352</v>
      </c>
      <c r="T85" s="154">
        <f t="shared" si="48"/>
        <v>1.5091814550279556</v>
      </c>
      <c r="U85" s="154">
        <f t="shared" si="48"/>
        <v>7.4143869043228063</v>
      </c>
      <c r="V85" s="154">
        <f t="shared" si="48"/>
        <v>4.7230111724286852</v>
      </c>
      <c r="W85" s="154">
        <f t="shared" si="48"/>
        <v>3.233973634406222</v>
      </c>
      <c r="X85" s="154">
        <f t="shared" si="48"/>
        <v>1.4070124622730698</v>
      </c>
      <c r="Y85" s="154">
        <f t="shared" si="48"/>
        <v>6.2810574889675168</v>
      </c>
      <c r="Z85" s="154">
        <f t="shared" si="48"/>
        <v>10.373155903505872</v>
      </c>
      <c r="AA85" s="154">
        <f t="shared" si="48"/>
        <v>6.9779424142595552</v>
      </c>
      <c r="AB85" s="154">
        <f t="shared" si="48"/>
        <v>3.4823029075242595</v>
      </c>
      <c r="AC85" s="154">
        <f t="shared" si="48"/>
        <v>16.754072872718179</v>
      </c>
      <c r="AD85" s="154">
        <f t="shared" si="48"/>
        <v>10.73572296628338</v>
      </c>
      <c r="AE85" s="154">
        <f t="shared" si="48"/>
        <v>6.0717607643621809</v>
      </c>
      <c r="AF85" s="154">
        <f t="shared" si="48"/>
        <v>2.7299418953271868</v>
      </c>
      <c r="AG85" s="154">
        <f t="shared" si="48"/>
        <v>12.207520065352197</v>
      </c>
      <c r="AH85" s="154">
        <f t="shared" si="48"/>
        <v>9.3088465067673418</v>
      </c>
      <c r="AI85" s="154">
        <f t="shared" si="48"/>
        <v>5.542310940713671</v>
      </c>
      <c r="AJ85" s="154">
        <f t="shared" si="48"/>
        <v>2.2921368600834828</v>
      </c>
      <c r="AK85" s="154">
        <f t="shared" si="48"/>
        <v>8.3377699053050236</v>
      </c>
      <c r="AL85" s="154">
        <f t="shared" si="48"/>
        <v>5.6700902415740178</v>
      </c>
      <c r="AM85" s="154">
        <f t="shared" si="48"/>
        <v>4.7282276792575058</v>
      </c>
      <c r="AN85" s="154">
        <f t="shared" si="48"/>
        <v>1.8028649644303976</v>
      </c>
      <c r="AO85" s="154">
        <f t="shared" si="48"/>
        <v>11.092159149950362</v>
      </c>
      <c r="AP85" s="154">
        <f t="shared" si="48"/>
        <v>9.8794723880987245</v>
      </c>
      <c r="AQ85" s="154">
        <f t="shared" si="48"/>
        <v>7.1523979802010169</v>
      </c>
      <c r="AR85" s="154">
        <f t="shared" si="48"/>
        <v>2.8939005143280316</v>
      </c>
      <c r="AS85" s="154">
        <f t="shared" si="48"/>
        <v>15.540004851818214</v>
      </c>
      <c r="AT85" s="154">
        <f t="shared" si="48"/>
        <v>10.034590911257508</v>
      </c>
      <c r="AU85" s="154">
        <f t="shared" si="48"/>
        <v>5.9403146327253076</v>
      </c>
      <c r="AV85" s="154">
        <f t="shared" si="48"/>
        <v>2.4787686111369358</v>
      </c>
      <c r="AW85" s="154">
        <f t="shared" si="48"/>
        <v>9.6695003628811396</v>
      </c>
      <c r="AX85" s="154">
        <f t="shared" si="48"/>
        <v>7.0941029563086975</v>
      </c>
      <c r="AY85" s="154">
        <f t="shared" si="48"/>
        <v>4.3831906017320623</v>
      </c>
      <c r="AZ85" s="154">
        <f t="shared" si="48"/>
        <v>1.8270799948664951</v>
      </c>
      <c r="BA85" s="154">
        <f t="shared" si="48"/>
        <v>9.020471732180761</v>
      </c>
      <c r="BB85" s="154">
        <f t="shared" si="48"/>
        <v>6.5793657319685925</v>
      </c>
      <c r="BC85" s="154">
        <f t="shared" si="48"/>
        <v>3.6861084854911583</v>
      </c>
      <c r="BD85" s="154">
        <f t="shared" si="48"/>
        <v>1.549639510565862</v>
      </c>
      <c r="BE85" s="154">
        <f t="shared" si="48"/>
        <v>7.9627512103924163</v>
      </c>
      <c r="BF85" s="154">
        <f t="shared" si="48"/>
        <v>5.9597945952209752</v>
      </c>
      <c r="BG85" s="154">
        <f t="shared" si="48"/>
        <v>3.1696854669033305</v>
      </c>
      <c r="BH85" s="154">
        <f t="shared" si="48"/>
        <v>1.2212581915066112</v>
      </c>
      <c r="BI85" s="154">
        <f t="shared" si="48"/>
        <v>6.9988942957584692</v>
      </c>
      <c r="BJ85" s="154">
        <f t="shared" si="48"/>
        <v>5.3175895471100869</v>
      </c>
      <c r="BK85" s="154">
        <f t="shared" si="48"/>
        <v>3.2310294604555376</v>
      </c>
      <c r="BL85" s="154">
        <f t="shared" si="48"/>
        <v>1.9556387381982898</v>
      </c>
      <c r="BM85" s="154">
        <f t="shared" si="48"/>
        <v>6.8388546081825501</v>
      </c>
      <c r="BN85" s="154">
        <f t="shared" si="48"/>
        <v>4.6420361143790574</v>
      </c>
      <c r="BO85" s="154">
        <f t="shared" si="48"/>
        <v>2.479544772507865</v>
      </c>
      <c r="BP85" s="154">
        <f t="shared" si="48"/>
        <v>0.84863341984232443</v>
      </c>
      <c r="BQ85" s="154">
        <f t="shared" si="48"/>
        <v>3.632811517279718</v>
      </c>
      <c r="BR85" s="154">
        <f t="shared" ref="BR85:CK85" si="49">BR81/BR84</f>
        <v>1.6554470202398677</v>
      </c>
      <c r="BS85" s="154">
        <f t="shared" si="49"/>
        <v>2.7571659872490026</v>
      </c>
      <c r="BT85" s="154">
        <f t="shared" si="49"/>
        <v>1.0739983413706957</v>
      </c>
      <c r="BU85" s="154">
        <f t="shared" si="49"/>
        <v>1.5621324948457456</v>
      </c>
      <c r="BV85" s="154">
        <f t="shared" si="49"/>
        <v>0.75285788613551652</v>
      </c>
      <c r="BW85" s="154">
        <f t="shared" si="49"/>
        <v>1.3645336005761801</v>
      </c>
      <c r="BX85" s="154">
        <f t="shared" si="49"/>
        <v>3.7659310232482404</v>
      </c>
      <c r="BY85" s="154">
        <f t="shared" si="49"/>
        <v>7.6283550131513893</v>
      </c>
      <c r="BZ85" s="154">
        <f t="shared" si="49"/>
        <v>2.8306104985472635</v>
      </c>
      <c r="CA85" s="154">
        <f t="shared" si="49"/>
        <v>8.0501717708257257</v>
      </c>
      <c r="CB85" s="154">
        <f t="shared" si="49"/>
        <v>5.9446940137190483</v>
      </c>
      <c r="CC85" s="154">
        <f t="shared" si="49"/>
        <v>14.031051592833897</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x14ac:dyDescent="0.25">
      <c r="A86" s="70" t="s">
        <v>585</v>
      </c>
      <c r="E86" s="76">
        <f>资产资本表!E53</f>
        <v>297253674.33999997</v>
      </c>
      <c r="F86" s="76">
        <f>资产资本表!F53</f>
        <v>235770936.78</v>
      </c>
      <c r="G86" s="76">
        <f>资产资本表!G53</f>
        <v>140258943.81999999</v>
      </c>
      <c r="H86" s="76">
        <f>资产资本表!H53</f>
        <v>106831215.66</v>
      </c>
      <c r="I86" s="76">
        <f>资产资本表!I53</f>
        <v>90849899.430000007</v>
      </c>
      <c r="J86" s="76">
        <f>资产资本表!J53</f>
        <v>238157472.56999999</v>
      </c>
      <c r="K86" s="76">
        <f>资产资本表!K53</f>
        <v>714061355.13999999</v>
      </c>
      <c r="L86" s="76">
        <f>资产资本表!L53</f>
        <v>659600030</v>
      </c>
      <c r="M86" s="76">
        <f>资产资本表!M53</f>
        <v>584839095.75999999</v>
      </c>
      <c r="N86" s="76">
        <f>资产资本表!N53</f>
        <v>1605514788.0899999</v>
      </c>
      <c r="O86" s="76">
        <f>资产资本表!O53</f>
        <v>1568406081.47</v>
      </c>
      <c r="P86" s="76">
        <f>资产资本表!P53</f>
        <v>1453284846.0899999</v>
      </c>
      <c r="Q86" s="76">
        <f>资产资本表!Q53</f>
        <v>955967947</v>
      </c>
      <c r="R86" s="76">
        <f>资产资本表!R53</f>
        <v>569124013.22000003</v>
      </c>
      <c r="S86" s="76">
        <f>资产资本表!S53</f>
        <v>463090851.30000001</v>
      </c>
      <c r="T86" s="76">
        <f>资产资本表!T53</f>
        <v>539624059.63999999</v>
      </c>
      <c r="U86" s="76">
        <f>资产资本表!U53</f>
        <v>444189429.57999998</v>
      </c>
      <c r="V86" s="76">
        <f>资产资本表!V53</f>
        <v>408588126.5</v>
      </c>
      <c r="W86" s="76">
        <f>资产资本表!W53</f>
        <v>296829524.36000001</v>
      </c>
      <c r="X86" s="76">
        <f>资产资本表!X53</f>
        <v>244939341.52000001</v>
      </c>
      <c r="Y86" s="76">
        <f>资产资本表!Y53</f>
        <v>126008930.90000001</v>
      </c>
      <c r="Z86" s="76">
        <f>资产资本表!Z53</f>
        <v>1142018898.4200001</v>
      </c>
      <c r="AA86" s="76">
        <f>资产资本表!AA53</f>
        <v>744681401.53999996</v>
      </c>
      <c r="AB86" s="76">
        <f>资产资本表!AB53</f>
        <v>385209683.62</v>
      </c>
      <c r="AC86" s="76">
        <f>资产资本表!AC53</f>
        <v>300920290.50999999</v>
      </c>
      <c r="AD86" s="76">
        <f>资产资本表!AD53</f>
        <v>572770781.01999998</v>
      </c>
      <c r="AE86" s="76">
        <f>资产资本表!AE53</f>
        <v>435827681.50999999</v>
      </c>
      <c r="AF86" s="76">
        <f>资产资本表!AF53</f>
        <v>44045330.560000002</v>
      </c>
      <c r="AG86" s="76">
        <f>资产资本表!AG53</f>
        <v>41610514.240000002</v>
      </c>
      <c r="AH86" s="76">
        <f>资产资本表!AH53</f>
        <v>142440861.63999999</v>
      </c>
      <c r="AI86" s="76">
        <f>资产资本表!AI53</f>
        <v>92120318.370000005</v>
      </c>
      <c r="AJ86" s="76">
        <f>资产资本表!AJ53</f>
        <v>24735504.699999999</v>
      </c>
      <c r="AK86" s="76">
        <f>资产资本表!AK53</f>
        <v>20216673.68</v>
      </c>
      <c r="AL86" s="76">
        <f>资产资本表!AL53</f>
        <v>80902155.890000001</v>
      </c>
      <c r="AM86" s="76">
        <f>资产资本表!AM53</f>
        <v>366368816.51999998</v>
      </c>
      <c r="AN86" s="76">
        <f>资产资本表!AN53</f>
        <v>316814185.66000003</v>
      </c>
      <c r="AO86" s="76">
        <f>资产资本表!AO53</f>
        <v>267409277.63</v>
      </c>
      <c r="AP86" s="76">
        <f>资产资本表!AP53</f>
        <v>302837977.95999998</v>
      </c>
      <c r="AQ86" s="76">
        <f>资产资本表!AQ53</f>
        <v>184309815.58000001</v>
      </c>
      <c r="AR86" s="76">
        <f>资产资本表!AR53</f>
        <v>301967835.37</v>
      </c>
      <c r="AS86" s="76">
        <f>资产资本表!AS53</f>
        <v>226723970.94</v>
      </c>
      <c r="AT86" s="76">
        <f>资产资本表!AT53</f>
        <v>216895803.81</v>
      </c>
      <c r="AU86" s="76">
        <f>资产资本表!AU53</f>
        <v>164716283.09999999</v>
      </c>
      <c r="AV86" s="76">
        <f>资产资本表!AV53</f>
        <v>141559687.90000001</v>
      </c>
      <c r="AW86" s="76">
        <f>资产资本表!AW53</f>
        <v>126356320.56999999</v>
      </c>
      <c r="AX86" s="76">
        <f>资产资本表!AX53</f>
        <v>93169241.370000005</v>
      </c>
      <c r="AY86" s="76">
        <f>资产资本表!AY53</f>
        <v>20149098.010000002</v>
      </c>
      <c r="AZ86" s="76">
        <f>资产资本表!AZ53</f>
        <v>11406641.279999999</v>
      </c>
      <c r="BA86" s="76">
        <f>资产资本表!BA53</f>
        <v>7785116.7999999998</v>
      </c>
      <c r="BB86" s="76">
        <f>资产资本表!BB53</f>
        <v>64185650.469999999</v>
      </c>
      <c r="BC86" s="76">
        <f>资产资本表!BC53</f>
        <v>46593525.299999997</v>
      </c>
      <c r="BD86" s="76">
        <f>资产资本表!BD53</f>
        <v>51262001.57</v>
      </c>
      <c r="BE86" s="76">
        <f>资产资本表!BE53</f>
        <v>45223830.549999997</v>
      </c>
      <c r="BF86" s="76">
        <f>资产资本表!BF53</f>
        <v>101751320.70999999</v>
      </c>
      <c r="BG86" s="76">
        <f>资产资本表!BG53</f>
        <v>82314745.150000006</v>
      </c>
      <c r="BH86" s="76">
        <f>资产资本表!BH53</f>
        <v>76558293.189999998</v>
      </c>
      <c r="BI86" s="76">
        <f>资产资本表!BI53</f>
        <v>71025585.219999999</v>
      </c>
      <c r="BJ86" s="76">
        <f>资产资本表!BJ53</f>
        <v>138853452.69999999</v>
      </c>
      <c r="BK86" s="76">
        <f>资产资本表!BK53</f>
        <v>87644125.579999998</v>
      </c>
      <c r="BL86" s="76">
        <f>资产资本表!BL53</f>
        <v>51944520.649999999</v>
      </c>
      <c r="BM86" s="76">
        <f>资产资本表!BM53</f>
        <v>41106828.130000003</v>
      </c>
      <c r="BN86" s="76">
        <f>资产资本表!BN53</f>
        <v>42538081.630000003</v>
      </c>
      <c r="BO86" s="76">
        <f>资产资本表!BO53</f>
        <v>20323487.219999999</v>
      </c>
      <c r="BP86" s="76">
        <f>资产资本表!BP53</f>
        <v>4386711.92</v>
      </c>
      <c r="BQ86" s="76">
        <f>资产资本表!BQ53</f>
        <v>1368812.27</v>
      </c>
      <c r="BR86" s="76">
        <f>资产资本表!BR53</f>
        <v>21490359.190000001</v>
      </c>
      <c r="BS86" s="76">
        <f>资产资本表!BS53</f>
        <v>4810348.4000000004</v>
      </c>
      <c r="BT86" s="76">
        <f>资产资本表!BT53</f>
        <v>38860425.880000003</v>
      </c>
      <c r="BU86" s="76">
        <f>资产资本表!BU53</f>
        <v>21970269.859999999</v>
      </c>
      <c r="BV86" s="76">
        <f>资产资本表!BV53</f>
        <v>42541101.68</v>
      </c>
      <c r="BW86" s="76">
        <f>资产资本表!BW53</f>
        <v>24846569.920000002</v>
      </c>
      <c r="BX86" s="76">
        <f>资产资本表!BX53</f>
        <v>297963576.10000002</v>
      </c>
      <c r="BY86" s="76">
        <f>资产资本表!BY53</f>
        <v>197695782.27000001</v>
      </c>
      <c r="BZ86" s="76">
        <f>资产资本表!BZ53</f>
        <v>104320570.31</v>
      </c>
      <c r="CA86" s="76">
        <f>资产资本表!CA53</f>
        <v>17252394</v>
      </c>
      <c r="CB86" s="76">
        <f>资产资本表!CB53</f>
        <v>6200879</v>
      </c>
      <c r="CC86" s="76">
        <f>资产资本表!CC53</f>
        <v>35026648</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3" t="s">
        <v>586</v>
      </c>
      <c r="E87" s="54">
        <f>E81/E86</f>
        <v>111.76295411793834</v>
      </c>
      <c r="F87" s="54">
        <f t="shared" ref="F87:BQ87" si="50">F81/F86</f>
        <v>80.565341007973245</v>
      </c>
      <c r="G87" s="54">
        <f t="shared" si="50"/>
        <v>66.399098976902593</v>
      </c>
      <c r="H87" s="54">
        <f t="shared" si="50"/>
        <v>36.210939127677058</v>
      </c>
      <c r="I87" s="54">
        <f t="shared" si="50"/>
        <v>394.61179668495754</v>
      </c>
      <c r="J87" s="54">
        <f t="shared" si="50"/>
        <v>90.944693200646356</v>
      </c>
      <c r="K87" s="54">
        <f t="shared" si="50"/>
        <v>18.581206426230182</v>
      </c>
      <c r="L87" s="54">
        <f t="shared" si="50"/>
        <v>7.7725717855106824</v>
      </c>
      <c r="M87" s="54">
        <f t="shared" si="50"/>
        <v>53.366599597760107</v>
      </c>
      <c r="N87" s="54">
        <f t="shared" si="50"/>
        <v>11.790029869845647</v>
      </c>
      <c r="O87" s="54">
        <f t="shared" si="50"/>
        <v>6.6227999393591253</v>
      </c>
      <c r="P87" s="54">
        <f t="shared" si="50"/>
        <v>2.9404586822859908</v>
      </c>
      <c r="Q87" s="54">
        <f t="shared" si="50"/>
        <v>26.913349546812785</v>
      </c>
      <c r="R87" s="54">
        <f t="shared" si="50"/>
        <v>26.360691067801856</v>
      </c>
      <c r="S87" s="54">
        <f t="shared" si="50"/>
        <v>20.172017794535083</v>
      </c>
      <c r="T87" s="54">
        <f t="shared" si="50"/>
        <v>8.1463295932962652</v>
      </c>
      <c r="U87" s="54">
        <f t="shared" si="50"/>
        <v>49.739649572324709</v>
      </c>
      <c r="V87" s="54">
        <f t="shared" si="50"/>
        <v>33.455222655595207</v>
      </c>
      <c r="W87" s="54">
        <f t="shared" si="50"/>
        <v>32.556557038004208</v>
      </c>
      <c r="X87" s="54">
        <f t="shared" si="50"/>
        <v>17.7078242228223</v>
      </c>
      <c r="Y87" s="54">
        <f t="shared" si="50"/>
        <v>156.84173381888442</v>
      </c>
      <c r="Z87" s="54">
        <f t="shared" si="50"/>
        <v>11.653929083435665</v>
      </c>
      <c r="AA87" s="54">
        <f t="shared" si="50"/>
        <v>11.140661023322702</v>
      </c>
      <c r="AB87" s="54">
        <f t="shared" si="50"/>
        <v>10.304388513388639</v>
      </c>
      <c r="AC87" s="54">
        <f t="shared" si="50"/>
        <v>56.267146081687464</v>
      </c>
      <c r="AD87" s="54">
        <f t="shared" si="50"/>
        <v>19.221542982629153</v>
      </c>
      <c r="AE87" s="54">
        <f t="shared" si="50"/>
        <v>14.69793391632702</v>
      </c>
      <c r="AF87" s="54">
        <f t="shared" si="50"/>
        <v>66.930135810064854</v>
      </c>
      <c r="AG87" s="54">
        <f t="shared" si="50"/>
        <v>323.92053707241081</v>
      </c>
      <c r="AH87" s="54">
        <f t="shared" si="50"/>
        <v>64.114232989204496</v>
      </c>
      <c r="AI87" s="54">
        <f t="shared" si="50"/>
        <v>59.97982213714748</v>
      </c>
      <c r="AJ87" s="54">
        <f t="shared" si="50"/>
        <v>95.301002322382374</v>
      </c>
      <c r="AK87" s="54">
        <f t="shared" si="50"/>
        <v>434.38061935518169</v>
      </c>
      <c r="AL87" s="54">
        <f t="shared" si="50"/>
        <v>72.097000360542552</v>
      </c>
      <c r="AM87" s="54">
        <f t="shared" si="50"/>
        <v>9.682871907375727</v>
      </c>
      <c r="AN87" s="54">
        <f t="shared" si="50"/>
        <v>4.1733723050486962</v>
      </c>
      <c r="AO87" s="54">
        <f t="shared" si="50"/>
        <v>31.171962091209213</v>
      </c>
      <c r="AP87" s="54">
        <f t="shared" si="50"/>
        <v>19.512334715695712</v>
      </c>
      <c r="AQ87" s="54">
        <f t="shared" si="50"/>
        <v>23.164030605070391</v>
      </c>
      <c r="AR87" s="54">
        <f t="shared" si="50"/>
        <v>5.7250597613872616</v>
      </c>
      <c r="AS87" s="54">
        <f t="shared" si="50"/>
        <v>34.759326996021784</v>
      </c>
      <c r="AT87" s="54">
        <f t="shared" si="50"/>
        <v>22.090437599139459</v>
      </c>
      <c r="AU87" s="54">
        <f t="shared" si="50"/>
        <v>17.14869643473639</v>
      </c>
      <c r="AV87" s="54">
        <f t="shared" si="50"/>
        <v>8.6111124968791337</v>
      </c>
      <c r="AW87" s="54">
        <f t="shared" si="50"/>
        <v>39.210596756537072</v>
      </c>
      <c r="AX87" s="54">
        <f t="shared" si="50"/>
        <v>34.471751329555772</v>
      </c>
      <c r="AY87" s="54">
        <f t="shared" si="50"/>
        <v>101.20615200134212</v>
      </c>
      <c r="AZ87" s="54">
        <f t="shared" si="50"/>
        <v>77.8145456828112</v>
      </c>
      <c r="BA87" s="54">
        <f t="shared" si="50"/>
        <v>587.84417640079585</v>
      </c>
      <c r="BB87" s="54">
        <f t="shared" si="50"/>
        <v>45.869489527508719</v>
      </c>
      <c r="BC87" s="54">
        <f t="shared" si="50"/>
        <v>36.471545249657254</v>
      </c>
      <c r="BD87" s="54">
        <f t="shared" si="50"/>
        <v>14.423933477320908</v>
      </c>
      <c r="BE87" s="54">
        <f t="shared" si="50"/>
        <v>87.323180261871912</v>
      </c>
      <c r="BF87" s="54">
        <f t="shared" si="50"/>
        <v>27.146403750202492</v>
      </c>
      <c r="BG87" s="54">
        <f t="shared" si="50"/>
        <v>18.061768202413003</v>
      </c>
      <c r="BH87" s="54">
        <f t="shared" si="50"/>
        <v>7.4826229612813027</v>
      </c>
      <c r="BI87" s="54">
        <f t="shared" si="50"/>
        <v>45.809543917616452</v>
      </c>
      <c r="BJ87" s="54">
        <f t="shared" si="50"/>
        <v>14.017689685436251</v>
      </c>
      <c r="BK87" s="54">
        <f t="shared" si="50"/>
        <v>13.714365654123059</v>
      </c>
      <c r="BL87" s="54">
        <f t="shared" si="50"/>
        <v>14.392196764645666</v>
      </c>
      <c r="BM87" s="54">
        <f t="shared" si="50"/>
        <v>65.318817385728551</v>
      </c>
      <c r="BN87" s="54">
        <f t="shared" si="50"/>
        <v>43.344554776764149</v>
      </c>
      <c r="BO87" s="54">
        <f t="shared" si="50"/>
        <v>49.148670452432334</v>
      </c>
      <c r="BP87" s="54">
        <f t="shared" si="50"/>
        <v>83.122858496256129</v>
      </c>
      <c r="BQ87" s="54">
        <f t="shared" si="50"/>
        <v>1153.931302128085</v>
      </c>
      <c r="BR87" s="54">
        <f t="shared" ref="BR87:CK87" si="51">BR81/BR86</f>
        <v>32.657926189366776</v>
      </c>
      <c r="BS87" s="54">
        <f t="shared" si="51"/>
        <v>249.24771547108725</v>
      </c>
      <c r="BT87" s="54">
        <f t="shared" si="51"/>
        <v>12.089569127233661</v>
      </c>
      <c r="BU87" s="54">
        <f t="shared" si="51"/>
        <v>31.866215071151611</v>
      </c>
      <c r="BV87" s="54">
        <f t="shared" si="51"/>
        <v>7.5008931494131446</v>
      </c>
      <c r="BW87" s="54">
        <f t="shared" si="51"/>
        <v>22.756308364917356</v>
      </c>
      <c r="BX87" s="54">
        <f t="shared" si="51"/>
        <v>0.76030990460380632</v>
      </c>
      <c r="BY87" s="54">
        <f t="shared" si="51"/>
        <v>2.2088066207888146</v>
      </c>
      <c r="BZ87" s="54">
        <f t="shared" si="51"/>
        <v>1.5058663704884034</v>
      </c>
      <c r="CA87" s="54">
        <f t="shared" si="51"/>
        <v>25.449742395171359</v>
      </c>
      <c r="CB87" s="54">
        <f t="shared" si="51"/>
        <v>44.225590113917718</v>
      </c>
      <c r="CC87" s="54">
        <f t="shared" si="51"/>
        <v>3.9292711081003242</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2461403.7599999998</v>
      </c>
      <c r="F89" s="76">
        <f>资产资本表!F55</f>
        <v>12314466.9</v>
      </c>
      <c r="G89" s="76">
        <f>资产资本表!G55</f>
        <v>354612.42</v>
      </c>
      <c r="H89" s="76">
        <f>资产资本表!H55</f>
        <v>327031.73</v>
      </c>
      <c r="I89" s="76">
        <f>资产资本表!I55</f>
        <v>0</v>
      </c>
      <c r="J89" s="76">
        <f>资产资本表!J55</f>
        <v>3164096.98</v>
      </c>
      <c r="K89" s="76">
        <f>资产资本表!K55</f>
        <v>3091290.26</v>
      </c>
      <c r="L89" s="76">
        <f>资产资本表!L55</f>
        <v>209719</v>
      </c>
      <c r="M89" s="76">
        <f>资产资本表!M55</f>
        <v>0</v>
      </c>
      <c r="N89" s="76">
        <f>资产资本表!N55</f>
        <v>63441.65</v>
      </c>
      <c r="O89" s="76">
        <f>资产资本表!O55</f>
        <v>95777.94</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226327.24</v>
      </c>
      <c r="BP89" s="76">
        <f>资产资本表!BP55</f>
        <v>193064.45</v>
      </c>
      <c r="BQ89" s="76">
        <f>资产资本表!BQ55</f>
        <v>0</v>
      </c>
      <c r="BR89" s="76">
        <f>资产资本表!BR55</f>
        <v>0</v>
      </c>
      <c r="BS89" s="76">
        <f>资产资本表!BS55</f>
        <v>0</v>
      </c>
      <c r="BT89" s="76">
        <f>资产资本表!BT55</f>
        <v>-148000</v>
      </c>
      <c r="BU89" s="76">
        <f>资产资本表!BU55</f>
        <v>0</v>
      </c>
      <c r="BV89" s="76">
        <f>资产资本表!BV55</f>
        <v>89995.58</v>
      </c>
      <c r="BW89" s="76">
        <f>资产资本表!BW55</f>
        <v>7265.52</v>
      </c>
      <c r="BX89" s="76">
        <f>资产资本表!BX55</f>
        <v>-470.28</v>
      </c>
      <c r="BY89" s="76">
        <f>资产资本表!BY55</f>
        <v>0</v>
      </c>
      <c r="BZ89" s="76">
        <f>资产资本表!BZ55</f>
        <v>0</v>
      </c>
      <c r="CA89" s="76">
        <f>资产资本表!CA55</f>
        <v>0</v>
      </c>
      <c r="CB89" s="76">
        <f>资产资本表!CB55</f>
        <v>6447</v>
      </c>
      <c r="CC89" s="76">
        <f>资产资本表!CC55</f>
        <v>2246</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1426619439.9100001</v>
      </c>
      <c r="F92" s="76">
        <f>资产资本表!F58</f>
        <v>1436423992.25</v>
      </c>
      <c r="G92" s="76">
        <f>资产资本表!G58</f>
        <v>1444717417.5</v>
      </c>
      <c r="H92" s="76">
        <f>资产资本表!H58</f>
        <v>1453641733.9300001</v>
      </c>
      <c r="I92" s="76">
        <f>资产资本表!I58</f>
        <v>1457537900.1400001</v>
      </c>
      <c r="J92" s="76">
        <f>资产资本表!J58</f>
        <v>1446257261.27</v>
      </c>
      <c r="K92" s="76">
        <f>资产资本表!K58</f>
        <v>1452646404.26</v>
      </c>
      <c r="L92" s="76">
        <f>资产资本表!L58</f>
        <v>1459093632.4000001</v>
      </c>
      <c r="M92" s="76">
        <f>资产资本表!M58</f>
        <v>1463507513.8099999</v>
      </c>
      <c r="N92" s="76">
        <f>资产资本表!N58</f>
        <v>978106618.20000005</v>
      </c>
      <c r="O92" s="76">
        <f>资产资本表!O58</f>
        <v>982716902.02999997</v>
      </c>
      <c r="P92" s="76">
        <f>资产资本表!P58</f>
        <v>933264614.46000004</v>
      </c>
      <c r="Q92" s="76">
        <f>资产资本表!Q58</f>
        <v>939429685.03999996</v>
      </c>
      <c r="R92" s="76">
        <f>资产资本表!R58</f>
        <v>600745429.10000002</v>
      </c>
      <c r="S92" s="76">
        <f>资产资本表!S58</f>
        <v>605092644.51999998</v>
      </c>
      <c r="T92" s="76">
        <f>资产资本表!T58</f>
        <v>588107028.23000002</v>
      </c>
      <c r="U92" s="76">
        <f>资产资本表!U58</f>
        <v>592362905.75</v>
      </c>
      <c r="V92" s="76">
        <f>资产资本表!V58</f>
        <v>596742184.01999998</v>
      </c>
      <c r="W92" s="76">
        <f>资产资本表!W58</f>
        <v>599654675.40999997</v>
      </c>
      <c r="X92" s="76">
        <f>资产资本表!X58</f>
        <v>601808579.82000005</v>
      </c>
      <c r="Y92" s="76">
        <f>资产资本表!Y58</f>
        <v>601869887.13</v>
      </c>
      <c r="Z92" s="76">
        <f>资产资本表!Z58</f>
        <v>605594554.72000003</v>
      </c>
      <c r="AA92" s="76">
        <f>资产资本表!AA58</f>
        <v>609314133.92999995</v>
      </c>
      <c r="AB92" s="76">
        <f>资产资本表!AB58</f>
        <v>491162457.67000002</v>
      </c>
      <c r="AC92" s="76">
        <f>资产资本表!AC58</f>
        <v>492652528.75999999</v>
      </c>
      <c r="AD92" s="76">
        <f>资产资本表!AD58</f>
        <v>216681538.90000001</v>
      </c>
      <c r="AE92" s="76">
        <f>资产资本表!AE58</f>
        <v>218332367.28999999</v>
      </c>
      <c r="AF92" s="76">
        <f>资产资本表!AF58</f>
        <v>220527293.55000001</v>
      </c>
      <c r="AG92" s="76">
        <f>资产资本表!AG58</f>
        <v>220691549.88999999</v>
      </c>
      <c r="AH92" s="76">
        <f>资产资本表!AH58</f>
        <v>221835019.72999999</v>
      </c>
      <c r="AI92" s="76">
        <f>资产资本表!AI58</f>
        <v>221775635.47999999</v>
      </c>
      <c r="AJ92" s="76">
        <f>资产资本表!AJ58</f>
        <v>221506929.28</v>
      </c>
      <c r="AK92" s="76">
        <f>资产资本表!AK58</f>
        <v>221061656.47</v>
      </c>
      <c r="AL92" s="76">
        <f>资产资本表!AL58</f>
        <v>232077174.47</v>
      </c>
      <c r="AM92" s="76">
        <f>资产资本表!AM58</f>
        <v>234162898.03999999</v>
      </c>
      <c r="AN92" s="76">
        <f>资产资本表!AN58</f>
        <v>234759679.25</v>
      </c>
      <c r="AO92" s="76">
        <f>资产资本表!AO58</f>
        <v>234717847.37</v>
      </c>
      <c r="AP92" s="76">
        <f>资产资本表!AP58</f>
        <v>245065738.31999999</v>
      </c>
      <c r="AQ92" s="76">
        <f>资产资本表!AQ58</f>
        <v>246790489.30000001</v>
      </c>
      <c r="AR92" s="76">
        <f>资产资本表!AR58</f>
        <v>97099333.290000007</v>
      </c>
      <c r="AS92" s="76">
        <f>资产资本表!AS58</f>
        <v>86788247.439999998</v>
      </c>
      <c r="AT92" s="76">
        <f>资产资本表!AT58</f>
        <v>90725022.099999994</v>
      </c>
      <c r="AU92" s="76">
        <f>资产资本表!AU58</f>
        <v>91861265.019999996</v>
      </c>
      <c r="AV92" s="76">
        <f>资产资本表!AV58</f>
        <v>93092489.939999998</v>
      </c>
      <c r="AW92" s="76">
        <f>资产资本表!AW58</f>
        <v>109104603.5</v>
      </c>
      <c r="AX92" s="76">
        <f>资产资本表!AX58</f>
        <v>109546502.73999999</v>
      </c>
      <c r="AY92" s="76">
        <f>资产资本表!AY58</f>
        <v>110445760.87</v>
      </c>
      <c r="AZ92" s="76">
        <f>资产资本表!AZ58</f>
        <v>111861535.34999999</v>
      </c>
      <c r="BA92" s="76">
        <f>资产资本表!BA58</f>
        <v>113434852.5</v>
      </c>
      <c r="BB92" s="76">
        <f>资产资本表!BB58</f>
        <v>114369123.97</v>
      </c>
      <c r="BC92" s="76">
        <f>资产资本表!BC58</f>
        <v>116038503.78</v>
      </c>
      <c r="BD92" s="76">
        <f>资产资本表!BD58</f>
        <v>107266398.15000001</v>
      </c>
      <c r="BE92" s="76">
        <f>资产资本表!BE58</f>
        <v>108878108.98999999</v>
      </c>
      <c r="BF92" s="76">
        <f>资产资本表!BF58</f>
        <v>303111768.14999998</v>
      </c>
      <c r="BG92" s="76">
        <f>资产资本表!BG58</f>
        <v>81019013.459999993</v>
      </c>
      <c r="BH92" s="76">
        <f>资产资本表!BH58</f>
        <v>83060288.870000005</v>
      </c>
      <c r="BI92" s="76">
        <f>资产资本表!BI58</f>
        <v>83209351.859999999</v>
      </c>
      <c r="BJ92" s="76">
        <f>资产资本表!BJ58</f>
        <v>46223327.810000002</v>
      </c>
      <c r="BK92" s="76">
        <f>资产资本表!BK58</f>
        <v>43825303.82</v>
      </c>
      <c r="BL92" s="76">
        <f>资产资本表!BL58</f>
        <v>41301057.960000001</v>
      </c>
      <c r="BM92" s="76">
        <f>资产资本表!BM58</f>
        <v>36795887.140000001</v>
      </c>
      <c r="BN92" s="76">
        <f>资产资本表!BN58</f>
        <v>41881621.109999999</v>
      </c>
      <c r="BO92" s="76">
        <f>资产资本表!BO58</f>
        <v>18715471.859999999</v>
      </c>
      <c r="BP92" s="76">
        <f>资产资本表!BP58</f>
        <v>18800363.82</v>
      </c>
      <c r="BQ92" s="76">
        <f>资产资本表!BQ58</f>
        <v>18938422.440000001</v>
      </c>
      <c r="BR92" s="76">
        <f>资产资本表!BR58</f>
        <v>19266149.949999999</v>
      </c>
      <c r="BS92" s="76">
        <f>资产资本表!BS58</f>
        <v>19490656.920000002</v>
      </c>
      <c r="BT92" s="76">
        <f>资产资本表!BT58</f>
        <v>19766774.16</v>
      </c>
      <c r="BU92" s="76">
        <f>资产资本表!BU58</f>
        <v>19136008.600000001</v>
      </c>
      <c r="BV92" s="76">
        <f>资产资本表!BV58</f>
        <v>23209060.989999998</v>
      </c>
      <c r="BW92" s="76">
        <f>资产资本表!BW58</f>
        <v>23438672.890000001</v>
      </c>
      <c r="BX92" s="76">
        <f>资产资本表!BX58</f>
        <v>19766831.789999999</v>
      </c>
      <c r="BY92" s="76">
        <f>资产资本表!BY58</f>
        <v>19996443.690000001</v>
      </c>
      <c r="BZ92" s="76">
        <f>资产资本表!BZ58</f>
        <v>0</v>
      </c>
      <c r="CA92" s="76">
        <f>资产资本表!CA58</f>
        <v>19905667</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x14ac:dyDescent="0.25">
      <c r="A93" s="250" t="s">
        <v>690</v>
      </c>
      <c r="E93" s="154">
        <f>E81/E92</f>
        <v>23.287183559440244</v>
      </c>
      <c r="F93" s="154">
        <f t="shared" ref="F93:BQ93" si="52">F81/F92</f>
        <v>13.22378770052182</v>
      </c>
      <c r="G93" s="154">
        <f t="shared" si="52"/>
        <v>6.4462900358851671</v>
      </c>
      <c r="H93" s="154">
        <f t="shared" si="52"/>
        <v>2.661218756248426</v>
      </c>
      <c r="I93" s="154">
        <f t="shared" si="52"/>
        <v>24.596576212032961</v>
      </c>
      <c r="J93" s="154">
        <f t="shared" si="52"/>
        <v>14.976006590487554</v>
      </c>
      <c r="K93" s="154">
        <f t="shared" si="52"/>
        <v>9.1337584989300833</v>
      </c>
      <c r="L93" s="154">
        <f t="shared" si="52"/>
        <v>3.513680321164288</v>
      </c>
      <c r="M93" s="154">
        <f t="shared" si="52"/>
        <v>21.326076947352085</v>
      </c>
      <c r="N93" s="154">
        <f t="shared" si="52"/>
        <v>19.352764776190735</v>
      </c>
      <c r="O93" s="154">
        <f t="shared" si="52"/>
        <v>10.56992067582542</v>
      </c>
      <c r="P93" s="154">
        <f t="shared" si="52"/>
        <v>4.5788986074357965</v>
      </c>
      <c r="Q93" s="154">
        <f t="shared" si="52"/>
        <v>27.387147673606371</v>
      </c>
      <c r="R93" s="154">
        <f t="shared" si="52"/>
        <v>24.973144305460352</v>
      </c>
      <c r="S93" s="154">
        <f t="shared" si="52"/>
        <v>15.438093616755637</v>
      </c>
      <c r="T93" s="154">
        <f t="shared" si="52"/>
        <v>7.4747541438678518</v>
      </c>
      <c r="U93" s="154">
        <f t="shared" si="52"/>
        <v>37.29778883278766</v>
      </c>
      <c r="V93" s="154">
        <f t="shared" si="52"/>
        <v>22.906721047278712</v>
      </c>
      <c r="W93" s="154">
        <f t="shared" si="52"/>
        <v>16.115520709953003</v>
      </c>
      <c r="X93" s="154">
        <f t="shared" si="52"/>
        <v>7.2071800740815171</v>
      </c>
      <c r="Y93" s="154">
        <f t="shared" si="52"/>
        <v>32.836763595636114</v>
      </c>
      <c r="Z93" s="154">
        <f t="shared" si="52"/>
        <v>21.976761763129609</v>
      </c>
      <c r="AA93" s="154">
        <f t="shared" si="52"/>
        <v>13.615707568475838</v>
      </c>
      <c r="AB93" s="154">
        <f t="shared" si="52"/>
        <v>8.0815424248221124</v>
      </c>
      <c r="AC93" s="154">
        <f t="shared" si="52"/>
        <v>34.368900912144788</v>
      </c>
      <c r="AD93" s="154">
        <f t="shared" si="52"/>
        <v>50.809765531760306</v>
      </c>
      <c r="AE93" s="154">
        <f t="shared" si="52"/>
        <v>29.339518190775351</v>
      </c>
      <c r="AF93" s="154">
        <f t="shared" si="52"/>
        <v>13.367778240617689</v>
      </c>
      <c r="AG93" s="154">
        <f t="shared" si="52"/>
        <v>61.07392932442648</v>
      </c>
      <c r="AH93" s="154">
        <f t="shared" si="52"/>
        <v>41.167921104095015</v>
      </c>
      <c r="AI93" s="154">
        <f t="shared" si="52"/>
        <v>24.914189960908868</v>
      </c>
      <c r="AJ93" s="154">
        <f t="shared" si="52"/>
        <v>10.642188027807416</v>
      </c>
      <c r="AK93" s="154">
        <f t="shared" si="52"/>
        <v>39.725257535160821</v>
      </c>
      <c r="AL93" s="154">
        <f t="shared" si="52"/>
        <v>25.133030750182591</v>
      </c>
      <c r="AM93" s="154">
        <f t="shared" si="52"/>
        <v>15.149719921103859</v>
      </c>
      <c r="AN93" s="154">
        <f t="shared" si="52"/>
        <v>5.6320725624777408</v>
      </c>
      <c r="AO93" s="154">
        <f t="shared" si="52"/>
        <v>35.513583472755585</v>
      </c>
      <c r="AP93" s="154">
        <f t="shared" si="52"/>
        <v>24.112207732865919</v>
      </c>
      <c r="AQ93" s="154">
        <f t="shared" si="52"/>
        <v>17.299524876423185</v>
      </c>
      <c r="AR93" s="154">
        <f t="shared" si="52"/>
        <v>17.804281913520025</v>
      </c>
      <c r="AS93" s="154">
        <f t="shared" si="52"/>
        <v>90.804606340141575</v>
      </c>
      <c r="AT93" s="154">
        <f t="shared" si="52"/>
        <v>52.811485835725136</v>
      </c>
      <c r="AU93" s="154">
        <f t="shared" si="52"/>
        <v>30.749299349677081</v>
      </c>
      <c r="AV93" s="154">
        <f t="shared" si="52"/>
        <v>13.094358076743479</v>
      </c>
      <c r="AW93" s="154">
        <f t="shared" si="52"/>
        <v>45.410611235207874</v>
      </c>
      <c r="AX93" s="154">
        <f t="shared" si="52"/>
        <v>29.318205873652889</v>
      </c>
      <c r="AY93" s="154">
        <f t="shared" si="52"/>
        <v>18.463476188010983</v>
      </c>
      <c r="AZ93" s="154">
        <f t="shared" si="52"/>
        <v>7.9348330611841549</v>
      </c>
      <c r="BA93" s="154">
        <f t="shared" si="52"/>
        <v>40.344175291980918</v>
      </c>
      <c r="BB93" s="154">
        <f t="shared" si="52"/>
        <v>25.742638571073424</v>
      </c>
      <c r="BC93" s="154">
        <f t="shared" si="52"/>
        <v>14.644603394247591</v>
      </c>
      <c r="BD93" s="154">
        <f t="shared" si="52"/>
        <v>6.8931157688918807</v>
      </c>
      <c r="BE93" s="154">
        <f t="shared" si="52"/>
        <v>36.270731957814469</v>
      </c>
      <c r="BF93" s="154">
        <f t="shared" si="52"/>
        <v>9.1127522067803302</v>
      </c>
      <c r="BG93" s="154">
        <f t="shared" si="52"/>
        <v>18.350628859163105</v>
      </c>
      <c r="BH93" s="154">
        <f t="shared" si="52"/>
        <v>6.8968799686766609</v>
      </c>
      <c r="BI93" s="154">
        <f t="shared" si="52"/>
        <v>39.101971024654489</v>
      </c>
      <c r="BJ93" s="154">
        <f t="shared" si="52"/>
        <v>42.108707960202572</v>
      </c>
      <c r="BK93" s="154">
        <f t="shared" si="52"/>
        <v>27.426702860448078</v>
      </c>
      <c r="BL93" s="154">
        <f t="shared" si="52"/>
        <v>18.101128614285017</v>
      </c>
      <c r="BM93" s="154">
        <f t="shared" si="52"/>
        <v>72.971454383311809</v>
      </c>
      <c r="BN93" s="154">
        <f t="shared" si="52"/>
        <v>44.023945598174578</v>
      </c>
      <c r="BO93" s="154">
        <f t="shared" si="52"/>
        <v>53.371476994649498</v>
      </c>
      <c r="BP93" s="154">
        <f t="shared" si="52"/>
        <v>19.395158395929382</v>
      </c>
      <c r="BQ93" s="154">
        <f t="shared" si="52"/>
        <v>83.402687319609697</v>
      </c>
      <c r="BR93" s="154">
        <f t="shared" ref="BR93:CK93" si="53">BR81/BR92</f>
        <v>36.428168888512161</v>
      </c>
      <c r="BS93" s="154">
        <f t="shared" si="53"/>
        <v>61.515030213768689</v>
      </c>
      <c r="BT93" s="154">
        <f t="shared" si="53"/>
        <v>23.767449417249779</v>
      </c>
      <c r="BU93" s="154">
        <f t="shared" si="53"/>
        <v>36.585965190776506</v>
      </c>
      <c r="BV93" s="154">
        <f t="shared" si="53"/>
        <v>13.74877933654825</v>
      </c>
      <c r="BW93" s="154">
        <f t="shared" si="53"/>
        <v>24.123217622582725</v>
      </c>
      <c r="BX93" s="154">
        <f t="shared" si="53"/>
        <v>11.460848178746</v>
      </c>
      <c r="BY93" s="154">
        <f t="shared" si="53"/>
        <v>21.837470679767655</v>
      </c>
      <c r="BZ93" s="154" t="e">
        <f t="shared" si="53"/>
        <v>#DIV/0!</v>
      </c>
      <c r="CA93" s="154">
        <f t="shared" si="53"/>
        <v>22.057486594144269</v>
      </c>
      <c r="CB93" s="154" t="e">
        <f t="shared" si="53"/>
        <v>#DIV/0!</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492016.01</v>
      </c>
      <c r="F95" s="76">
        <f>资产资本表!F60</f>
        <v>492016.01</v>
      </c>
      <c r="G95" s="76">
        <f>资产资本表!G60</f>
        <v>492016.01</v>
      </c>
      <c r="H95" s="76">
        <f>资产资本表!H60</f>
        <v>492016.01</v>
      </c>
      <c r="I95" s="76">
        <f>资产资本表!I60</f>
        <v>492016.01</v>
      </c>
      <c r="J95" s="76">
        <f>资产资本表!J60</f>
        <v>492016.01</v>
      </c>
      <c r="K95" s="76">
        <f>资产资本表!K60</f>
        <v>492016.01</v>
      </c>
      <c r="L95" s="76">
        <f>资产资本表!L60</f>
        <v>492016.01</v>
      </c>
      <c r="M95" s="76">
        <f>资产资本表!M60</f>
        <v>492016.01</v>
      </c>
      <c r="N95" s="76">
        <f>资产资本表!N60</f>
        <v>492016.01</v>
      </c>
      <c r="O95" s="76">
        <f>资产资本表!O60</f>
        <v>492016.01</v>
      </c>
      <c r="P95" s="76">
        <f>资产资本表!P60</f>
        <v>492016.01</v>
      </c>
      <c r="Q95" s="76">
        <f>资产资本表!Q60</f>
        <v>492016.01</v>
      </c>
      <c r="R95" s="76">
        <f>资产资本表!R60</f>
        <v>492016.01</v>
      </c>
      <c r="S95" s="76">
        <f>资产资本表!S60</f>
        <v>492016.01</v>
      </c>
      <c r="T95" s="76">
        <f>资产资本表!T60</f>
        <v>492016.01</v>
      </c>
      <c r="U95" s="76">
        <f>资产资本表!U60</f>
        <v>492016.01</v>
      </c>
      <c r="V95" s="76">
        <f>资产资本表!V60</f>
        <v>492016.01</v>
      </c>
      <c r="W95" s="76">
        <f>资产资本表!W60</f>
        <v>492016.01</v>
      </c>
      <c r="X95" s="76">
        <f>资产资本表!X60</f>
        <v>492016.01</v>
      </c>
      <c r="Y95" s="76">
        <f>资产资本表!Y60</f>
        <v>492016.01</v>
      </c>
      <c r="Z95" s="76">
        <f>资产资本表!Z60</f>
        <v>492016.01</v>
      </c>
      <c r="AA95" s="76">
        <f>资产资本表!AA60</f>
        <v>492016.01</v>
      </c>
      <c r="AB95" s="76">
        <f>资产资本表!AB60</f>
        <v>492016.01</v>
      </c>
      <c r="AC95" s="76">
        <f>资产资本表!AC60</f>
        <v>492016.01</v>
      </c>
      <c r="AD95" s="76">
        <f>资产资本表!AD60</f>
        <v>492016.01</v>
      </c>
      <c r="AE95" s="76">
        <f>资产资本表!AE60</f>
        <v>492016.01</v>
      </c>
      <c r="AF95" s="76">
        <f>资产资本表!AF60</f>
        <v>492016.01</v>
      </c>
      <c r="AG95" s="76">
        <f>资产资本表!AG60</f>
        <v>492016.01</v>
      </c>
      <c r="AH95" s="76">
        <f>资产资本表!AH60</f>
        <v>492016.01</v>
      </c>
      <c r="AI95" s="76">
        <f>资产资本表!AI60</f>
        <v>5138272.1900000004</v>
      </c>
      <c r="AJ95" s="76">
        <f>资产资本表!AJ60</f>
        <v>5138272.1900000004</v>
      </c>
      <c r="AK95" s="76">
        <f>资产资本表!AK60</f>
        <v>5138272.1900000004</v>
      </c>
      <c r="AL95" s="76">
        <f>资产资本表!AL60</f>
        <v>5138272.1900000004</v>
      </c>
      <c r="AM95" s="76">
        <f>资产资本表!AM60</f>
        <v>5138272.1900000004</v>
      </c>
      <c r="AN95" s="76">
        <f>资产资本表!AN60</f>
        <v>5138272.1900000004</v>
      </c>
      <c r="AO95" s="76">
        <f>资产资本表!AO60</f>
        <v>5138272.1900000004</v>
      </c>
      <c r="AP95" s="76">
        <f>资产资本表!AP60</f>
        <v>492016.01</v>
      </c>
      <c r="AQ95" s="76">
        <f>资产资本表!AQ60</f>
        <v>492016.01</v>
      </c>
      <c r="AR95" s="76">
        <f>资产资本表!AR60</f>
        <v>492016.01</v>
      </c>
      <c r="AS95" s="76">
        <f>资产资本表!AS60</f>
        <v>492016.01</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11330733.939999999</v>
      </c>
      <c r="F96" s="76">
        <f>资产资本表!F61</f>
        <v>4887896.2</v>
      </c>
      <c r="G96" s="76">
        <f>资产资本表!G61</f>
        <v>5743141</v>
      </c>
      <c r="H96" s="76">
        <f>资产资本表!H61</f>
        <v>6866551.5899999999</v>
      </c>
      <c r="I96" s="76">
        <f>资产资本表!I61</f>
        <v>10813365.119999999</v>
      </c>
      <c r="J96" s="76">
        <f>资产资本表!J61</f>
        <v>16833070.829999998</v>
      </c>
      <c r="K96" s="76">
        <f>资产资本表!K61</f>
        <v>3867616.41</v>
      </c>
      <c r="L96" s="76">
        <f>资产资本表!L61</f>
        <v>6139147.54</v>
      </c>
      <c r="M96" s="76">
        <f>资产资本表!M61</f>
        <v>10293211.25</v>
      </c>
      <c r="N96" s="76">
        <f>资产资本表!N61</f>
        <v>14591787.17</v>
      </c>
      <c r="O96" s="76">
        <f>资产资本表!O61</f>
        <v>6414616.1500000004</v>
      </c>
      <c r="P96" s="76">
        <f>资产资本表!P61</f>
        <v>7459348.5700000003</v>
      </c>
      <c r="Q96" s="76">
        <f>资产资本表!Q61</f>
        <v>11619596.970000001</v>
      </c>
      <c r="R96" s="76">
        <f>资产资本表!R61</f>
        <v>16327737.82</v>
      </c>
      <c r="S96" s="76">
        <f>资产资本表!S61</f>
        <v>0</v>
      </c>
      <c r="T96" s="76">
        <f>资产资本表!T61</f>
        <v>0</v>
      </c>
      <c r="U96" s="76">
        <f>资产资本表!U61</f>
        <v>0</v>
      </c>
      <c r="V96" s="76">
        <f>资产资本表!V61</f>
        <v>0</v>
      </c>
      <c r="W96" s="76">
        <f>资产资本表!W61</f>
        <v>0</v>
      </c>
      <c r="X96" s="76">
        <f>资产资本表!X61</f>
        <v>0</v>
      </c>
      <c r="Y96" s="76">
        <f>资产资本表!Y61</f>
        <v>15272.29</v>
      </c>
      <c r="Z96" s="76">
        <f>资产资本表!Z61</f>
        <v>99642599.930000007</v>
      </c>
      <c r="AA96" s="76">
        <f>资产资本表!AA61</f>
        <v>118065052.09999999</v>
      </c>
      <c r="AB96" s="76">
        <f>资产资本表!AB61</f>
        <v>61088.95</v>
      </c>
      <c r="AC96" s="76">
        <f>资产资本表!AC61</f>
        <v>76361.17</v>
      </c>
      <c r="AD96" s="76">
        <f>资产资本表!AD61</f>
        <v>91633.39</v>
      </c>
      <c r="AE96" s="76">
        <f>资产资本表!AE61</f>
        <v>106905.61</v>
      </c>
      <c r="AF96" s="76">
        <f>资产资本表!AF61</f>
        <v>122177.83</v>
      </c>
      <c r="AG96" s="76">
        <f>资产资本表!AG61</f>
        <v>137450.04999999999</v>
      </c>
      <c r="AH96" s="76">
        <f>资产资本表!AH61</f>
        <v>186055.59</v>
      </c>
      <c r="AI96" s="76">
        <f>资产资本表!AI61</f>
        <v>167994.49</v>
      </c>
      <c r="AJ96" s="76">
        <f>资产资本表!AJ61</f>
        <v>183266.71</v>
      </c>
      <c r="AK96" s="76">
        <f>资产资本表!AK61</f>
        <v>198538.93</v>
      </c>
      <c r="AL96" s="76">
        <f>资产资本表!AL61</f>
        <v>1256294.93</v>
      </c>
      <c r="AM96" s="76">
        <f>资产资本表!AM61</f>
        <v>2314050.83</v>
      </c>
      <c r="AN96" s="76">
        <f>资产资本表!AN61</f>
        <v>3371806.73</v>
      </c>
      <c r="AO96" s="76">
        <f>资产资本表!AO61</f>
        <v>4429562.63</v>
      </c>
      <c r="AP96" s="76">
        <f>资产资本表!AP61</f>
        <v>5487318.5300000003</v>
      </c>
      <c r="AQ96" s="76">
        <f>资产资本表!AQ61</f>
        <v>6545074.4299999997</v>
      </c>
      <c r="AR96" s="76">
        <f>资产资本表!AR61</f>
        <v>7297385.8600000003</v>
      </c>
      <c r="AS96" s="76">
        <f>资产资本表!AS61</f>
        <v>8339869.54</v>
      </c>
      <c r="AT96" s="76">
        <f>资产资本表!AT61</f>
        <v>0</v>
      </c>
      <c r="AU96" s="76">
        <f>资产资本表!AU61</f>
        <v>0</v>
      </c>
      <c r="AV96" s="76">
        <f>资产资本表!AV61</f>
        <v>0</v>
      </c>
      <c r="AW96" s="76">
        <f>资产资本表!AW61</f>
        <v>0</v>
      </c>
      <c r="AX96" s="76">
        <f>资产资本表!AX61</f>
        <v>0</v>
      </c>
      <c r="AY96" s="76">
        <f>资产资本表!AY61</f>
        <v>0</v>
      </c>
      <c r="AZ96" s="76">
        <f>资产资本表!AZ61</f>
        <v>6666.67</v>
      </c>
      <c r="BA96" s="76">
        <f>资产资本表!BA61</f>
        <v>26666.67</v>
      </c>
      <c r="BB96" s="76">
        <f>资产资本表!BB61</f>
        <v>46666.67</v>
      </c>
      <c r="BC96" s="76">
        <f>资产资本表!BC61</f>
        <v>66666.67</v>
      </c>
      <c r="BD96" s="76">
        <f>资产资本表!BD61</f>
        <v>132377.96</v>
      </c>
      <c r="BE96" s="76">
        <f>资产资本表!BE61</f>
        <v>106666.67</v>
      </c>
      <c r="BF96" s="76">
        <f>资产资本表!BF61</f>
        <v>387900.95</v>
      </c>
      <c r="BG96" s="76">
        <f>资产资本表!BG61</f>
        <v>146666.67000000001</v>
      </c>
      <c r="BH96" s="76">
        <f>资产资本表!BH61</f>
        <v>365106.25</v>
      </c>
      <c r="BI96" s="76">
        <f>资产资本表!BI61</f>
        <v>186666.67</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881373579.84000003</v>
      </c>
      <c r="F97" s="76">
        <f>资产资本表!F62</f>
        <v>742769653.92999995</v>
      </c>
      <c r="G97" s="76">
        <f>资产资本表!G62</f>
        <v>693975073.40999997</v>
      </c>
      <c r="H97" s="76">
        <f>资产资本表!H62</f>
        <v>702163381.97000003</v>
      </c>
      <c r="I97" s="76">
        <f>资产资本表!I62</f>
        <v>774873740.40999997</v>
      </c>
      <c r="J97" s="76">
        <f>资产资本表!J62</f>
        <v>600360961.71000004</v>
      </c>
      <c r="K97" s="76">
        <f>资产资本表!K62</f>
        <v>558304581.62</v>
      </c>
      <c r="L97" s="76">
        <f>资产资本表!L62</f>
        <v>516924867.88999999</v>
      </c>
      <c r="M97" s="76">
        <f>资产资本表!M62</f>
        <v>561211940.52999997</v>
      </c>
      <c r="N97" s="76">
        <f>资产资本表!N62</f>
        <v>446370315.63</v>
      </c>
      <c r="O97" s="76">
        <f>资产资本表!O62</f>
        <v>409840455.85000002</v>
      </c>
      <c r="P97" s="76">
        <f>资产资本表!P62</f>
        <v>369332515.29000002</v>
      </c>
      <c r="Q97" s="76">
        <f>资产资本表!Q62</f>
        <v>407317878.10000002</v>
      </c>
      <c r="R97" s="76">
        <f>资产资本表!R62</f>
        <v>283383870.60000002</v>
      </c>
      <c r="S97" s="76">
        <f>资产资本表!S62</f>
        <v>265515639.91</v>
      </c>
      <c r="T97" s="76">
        <f>资产资本表!T62</f>
        <v>257617999.03999999</v>
      </c>
      <c r="U97" s="76">
        <f>资产资本表!U62</f>
        <v>275474424.37</v>
      </c>
      <c r="V97" s="76">
        <f>资产资本表!V62</f>
        <v>274194165.63</v>
      </c>
      <c r="W97" s="76">
        <f>资产资本表!W62</f>
        <v>284300000.62</v>
      </c>
      <c r="X97" s="76">
        <f>资产资本表!X62</f>
        <v>243050768.40000001</v>
      </c>
      <c r="Y97" s="76">
        <f>资产资本表!Y62</f>
        <v>245400355.56</v>
      </c>
      <c r="Z97" s="76">
        <f>资产资本表!Z62</f>
        <v>192474124.56999999</v>
      </c>
      <c r="AA97" s="76">
        <f>资产资本表!AA62</f>
        <v>180837345.49000001</v>
      </c>
      <c r="AB97" s="76">
        <f>资产资本表!AB62</f>
        <v>166258830.34</v>
      </c>
      <c r="AC97" s="76">
        <f>资产资本表!AC62</f>
        <v>174238524.65000001</v>
      </c>
      <c r="AD97" s="76">
        <f>资产资本表!AD62</f>
        <v>149353073.28</v>
      </c>
      <c r="AE97" s="76">
        <f>资产资本表!AE62</f>
        <v>136617694.15000001</v>
      </c>
      <c r="AF97" s="76">
        <f>资产资本表!AF62</f>
        <v>127197234.78</v>
      </c>
      <c r="AG97" s="76">
        <f>资产资本表!AG62</f>
        <v>133618665.83</v>
      </c>
      <c r="AH97" s="76">
        <f>资产资本表!AH62</f>
        <v>116761948.73999999</v>
      </c>
      <c r="AI97" s="76">
        <f>资产资本表!AI62</f>
        <v>109330214.59999999</v>
      </c>
      <c r="AJ97" s="76">
        <f>资产资本表!AJ62</f>
        <v>103366249.95999999</v>
      </c>
      <c r="AK97" s="76">
        <f>资产资本表!AK62</f>
        <v>102989758.17</v>
      </c>
      <c r="AL97" s="76">
        <f>资产资本表!AL62</f>
        <v>82247314.739999995</v>
      </c>
      <c r="AM97" s="76">
        <f>资产资本表!AM62</f>
        <v>82247314.739999995</v>
      </c>
      <c r="AN97" s="76">
        <f>资产资本表!AN62</f>
        <v>75827777.659999996</v>
      </c>
      <c r="AO97" s="76">
        <f>资产资本表!AO62</f>
        <v>88125889.859999999</v>
      </c>
      <c r="AP97" s="76">
        <f>资产资本表!AP62</f>
        <v>113559684.06999999</v>
      </c>
      <c r="AQ97" s="76">
        <f>资产资本表!AQ62</f>
        <v>82046557.930000007</v>
      </c>
      <c r="AR97" s="76">
        <f>资产资本表!AR62</f>
        <v>78565942.659999996</v>
      </c>
      <c r="AS97" s="76">
        <f>资产资本表!AS62</f>
        <v>89698838.730000004</v>
      </c>
      <c r="AT97" s="76">
        <f>资产资本表!AT62</f>
        <v>92569396.849999994</v>
      </c>
      <c r="AU97" s="76">
        <f>资产资本表!AU62</f>
        <v>100437992.8</v>
      </c>
      <c r="AV97" s="76">
        <f>资产资本表!AV62</f>
        <v>85485125.099999994</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18890294.579999998</v>
      </c>
      <c r="F98" s="76">
        <f>资产资本表!F63</f>
        <v>12385858.949999999</v>
      </c>
      <c r="G98" s="76">
        <f>资产资本表!G63</f>
        <v>4825489.2300000004</v>
      </c>
      <c r="H98" s="76">
        <f>资产资本表!H63</f>
        <v>1493126.37</v>
      </c>
      <c r="I98" s="76">
        <f>资产资本表!I63</f>
        <v>1073881.8899999999</v>
      </c>
      <c r="J98" s="76">
        <f>资产资本表!J63</f>
        <v>0</v>
      </c>
      <c r="K98" s="76">
        <f>资产资本表!K63</f>
        <v>0</v>
      </c>
      <c r="L98" s="76">
        <f>资产资本表!L63</f>
        <v>0</v>
      </c>
      <c r="M98" s="76">
        <f>资产资本表!M63</f>
        <v>0</v>
      </c>
      <c r="N98" s="76">
        <f>资产资本表!N63</f>
        <v>3705930.69</v>
      </c>
      <c r="O98" s="76">
        <f>资产资本表!O63</f>
        <v>1937516.08</v>
      </c>
      <c r="P98" s="76">
        <f>资产资本表!P63</f>
        <v>3709373.26</v>
      </c>
      <c r="Q98" s="76">
        <f>资产资本表!Q63</f>
        <v>3123991.61</v>
      </c>
      <c r="R98" s="76">
        <f>资产资本表!R63</f>
        <v>1193794.5900000001</v>
      </c>
      <c r="S98" s="76">
        <f>资产资本表!S63</f>
        <v>528738.98</v>
      </c>
      <c r="T98" s="76">
        <f>资产资本表!T63</f>
        <v>178212.42</v>
      </c>
      <c r="U98" s="76">
        <f>资产资本表!U63</f>
        <v>832363.56</v>
      </c>
      <c r="V98" s="76">
        <f>资产资本表!V63</f>
        <v>413186.01</v>
      </c>
      <c r="W98" s="76">
        <f>资产资本表!W63</f>
        <v>262672.59999999998</v>
      </c>
      <c r="X98" s="76">
        <f>资产资本表!X63</f>
        <v>0</v>
      </c>
      <c r="Y98" s="76">
        <f>资产资本表!Y63</f>
        <v>0</v>
      </c>
      <c r="Z98" s="76">
        <f>资产资本表!Z63</f>
        <v>0</v>
      </c>
      <c r="AA98" s="76">
        <f>资产资本表!AA63</f>
        <v>0</v>
      </c>
      <c r="AB98" s="76">
        <f>资产资本表!AB63</f>
        <v>1160243.29</v>
      </c>
      <c r="AC98" s="76">
        <f>资产资本表!AC63</f>
        <v>0</v>
      </c>
      <c r="AD98" s="76">
        <f>资产资本表!AD63</f>
        <v>0</v>
      </c>
      <c r="AE98" s="76">
        <f>资产资本表!AE63</f>
        <v>16981764.539999999</v>
      </c>
      <c r="AF98" s="76">
        <f>资产资本表!AF63</f>
        <v>19688664.539999999</v>
      </c>
      <c r="AG98" s="76">
        <f>资产资本表!AG63</f>
        <v>28101714.539999999</v>
      </c>
      <c r="AH98" s="76">
        <f>资产资本表!AH63</f>
        <v>24207264.539999999</v>
      </c>
      <c r="AI98" s="76">
        <f>资产资本表!AI63</f>
        <v>18488214.539999999</v>
      </c>
      <c r="AJ98" s="76">
        <f>资产资本表!AJ63</f>
        <v>25327255.98</v>
      </c>
      <c r="AK98" s="76">
        <f>资产资本表!AK63</f>
        <v>33319597.969999999</v>
      </c>
      <c r="AL98" s="76">
        <f>资产资本表!AL63</f>
        <v>24926814.539999999</v>
      </c>
      <c r="AM98" s="76">
        <f>资产资本表!AM63</f>
        <v>23481553.780000001</v>
      </c>
      <c r="AN98" s="76">
        <f>资产资本表!AN63</f>
        <v>8636317.1899999995</v>
      </c>
      <c r="AO98" s="76">
        <f>资产资本表!AO63</f>
        <v>3087.53</v>
      </c>
      <c r="AP98" s="76">
        <f>资产资本表!AP63</f>
        <v>4917370.9800000004</v>
      </c>
      <c r="AQ98" s="76">
        <f>资产资本表!AQ63</f>
        <v>33327052.390000001</v>
      </c>
      <c r="AR98" s="76">
        <f>资产资本表!AR63</f>
        <v>87609415.170000002</v>
      </c>
      <c r="AS98" s="76">
        <f>资产资本表!AS63</f>
        <v>390910252.42000002</v>
      </c>
      <c r="AT98" s="76">
        <f>资产资本表!AT63</f>
        <v>361265892.72000003</v>
      </c>
      <c r="AU98" s="76">
        <f>资产资本表!AU63</f>
        <v>108962995.38</v>
      </c>
      <c r="AV98" s="76">
        <f>资产资本表!AV63</f>
        <v>37588606.850000001</v>
      </c>
      <c r="AW98" s="76">
        <f>资产资本表!AW63</f>
        <v>0</v>
      </c>
      <c r="AX98" s="76">
        <f>资产资本表!AX63</f>
        <v>0</v>
      </c>
      <c r="AY98" s="76">
        <f>资产资本表!AY63</f>
        <v>0</v>
      </c>
      <c r="AZ98" s="76">
        <f>资产资本表!AZ63</f>
        <v>0</v>
      </c>
      <c r="BA98" s="76">
        <f>资产资本表!BA63</f>
        <v>0</v>
      </c>
      <c r="BB98" s="76">
        <f>资产资本表!BB63</f>
        <v>46794</v>
      </c>
      <c r="BC98" s="76">
        <f>资产资本表!BC63</f>
        <v>0</v>
      </c>
      <c r="BD98" s="76">
        <f>资产资本表!BD63</f>
        <v>0</v>
      </c>
      <c r="BE98" s="76">
        <f>资产资本表!BE63</f>
        <v>0</v>
      </c>
      <c r="BF98" s="76">
        <f>资产资本表!BF63</f>
        <v>72864</v>
      </c>
      <c r="BG98" s="76">
        <f>资产资本表!BG63</f>
        <v>0</v>
      </c>
      <c r="BH98" s="76">
        <f>资产资本表!BH63</f>
        <v>72864</v>
      </c>
      <c r="BI98" s="76">
        <f>资产资本表!BI63</f>
        <v>0</v>
      </c>
      <c r="BJ98" s="76">
        <f>资产资本表!BJ63</f>
        <v>8047451.6100000003</v>
      </c>
      <c r="BK98" s="76">
        <f>资产资本表!BK63</f>
        <v>4087451.61</v>
      </c>
      <c r="BL98" s="76">
        <f>资产资本表!BL63</f>
        <v>127451.61</v>
      </c>
      <c r="BM98" s="76">
        <f>资产资本表!BM63</f>
        <v>81119.61</v>
      </c>
      <c r="BN98" s="76">
        <f>资产资本表!BN63</f>
        <v>81119.61</v>
      </c>
      <c r="BO98" s="76">
        <f>资产资本表!BO63</f>
        <v>81119.61</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137403898.44999999</v>
      </c>
      <c r="F99" s="93">
        <f>资产资本表!F64</f>
        <v>42892914.469999999</v>
      </c>
      <c r="G99" s="93">
        <f>资产资本表!G64</f>
        <v>40070528.600000001</v>
      </c>
      <c r="H99" s="93">
        <f>资产资本表!H64</f>
        <v>62600602.950000003</v>
      </c>
      <c r="I99" s="93">
        <f>资产资本表!I64</f>
        <v>40296759.380000003</v>
      </c>
      <c r="J99" s="93">
        <f>资产资本表!J64</f>
        <v>65040704.57</v>
      </c>
      <c r="K99" s="93">
        <f>资产资本表!K64</f>
        <v>81825979.409999996</v>
      </c>
      <c r="L99" s="93">
        <f>资产资本表!L64</f>
        <v>73836418.340000004</v>
      </c>
      <c r="M99" s="93">
        <f>资产资本表!M64</f>
        <v>85187287.260000005</v>
      </c>
      <c r="N99" s="93">
        <f>资产资本表!N64</f>
        <v>167406302.66</v>
      </c>
      <c r="O99" s="93">
        <f>资产资本表!O64</f>
        <v>171968496.52000001</v>
      </c>
      <c r="P99" s="93">
        <f>资产资本表!P64</f>
        <v>275345651.13999999</v>
      </c>
      <c r="Q99" s="93">
        <f>资产资本表!Q64</f>
        <v>505815865.48000002</v>
      </c>
      <c r="R99" s="93">
        <f>资产资本表!R64</f>
        <v>27535189.210000001</v>
      </c>
      <c r="S99" s="93">
        <f>资产资本表!S64</f>
        <v>7463141.1600000001</v>
      </c>
      <c r="T99" s="93">
        <f>资产资本表!T64</f>
        <v>8636810.2200000007</v>
      </c>
      <c r="U99" s="93">
        <f>资产资本表!U64</f>
        <v>9800000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46174262.869999997</v>
      </c>
      <c r="AF99" s="93">
        <f>资产资本表!AF64</f>
        <v>46174262.869999997</v>
      </c>
      <c r="AG99" s="93">
        <f>资产资本表!AG64</f>
        <v>46174262.869999997</v>
      </c>
      <c r="AH99" s="93">
        <f>资产资本表!AH64</f>
        <v>57217928.490000002</v>
      </c>
      <c r="AI99" s="93">
        <f>资产资本表!AI64</f>
        <v>57217928.490000002</v>
      </c>
      <c r="AJ99" s="93">
        <f>资产资本表!AJ64</f>
        <v>57217928.490000002</v>
      </c>
      <c r="AK99" s="93">
        <f>资产资本表!AK64</f>
        <v>57217928.490000002</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x14ac:dyDescent="0.25">
      <c r="A100" s="88" t="s">
        <v>687</v>
      </c>
      <c r="E100" s="196">
        <f>(E84+I84)/2</f>
        <v>4260215423.0900002</v>
      </c>
      <c r="F100" s="196">
        <f t="shared" ref="F100:BQ100" si="54">(F84+J84)/2</f>
        <v>4269397039.48</v>
      </c>
      <c r="G100" s="196">
        <f t="shared" si="54"/>
        <v>4049407207.3699999</v>
      </c>
      <c r="H100" s="196">
        <f t="shared" si="54"/>
        <v>4161049978.165</v>
      </c>
      <c r="I100" s="196">
        <f t="shared" si="54"/>
        <v>4304749806.375</v>
      </c>
      <c r="J100" s="196">
        <f t="shared" si="54"/>
        <v>3943653284.3099999</v>
      </c>
      <c r="K100" s="196">
        <f t="shared" si="54"/>
        <v>3742396377.645</v>
      </c>
      <c r="L100" s="196">
        <f t="shared" si="54"/>
        <v>3831056896.4099998</v>
      </c>
      <c r="M100" s="196">
        <f t="shared" si="54"/>
        <v>3851077895.4200001</v>
      </c>
      <c r="N100" s="196">
        <f t="shared" si="54"/>
        <v>3144539125.2600002</v>
      </c>
      <c r="O100" s="196">
        <f t="shared" si="54"/>
        <v>3274492638.915</v>
      </c>
      <c r="P100" s="196">
        <f t="shared" si="54"/>
        <v>3305599962.9499998</v>
      </c>
      <c r="Q100" s="196">
        <f t="shared" si="54"/>
        <v>3305089441.1999998</v>
      </c>
      <c r="R100" s="196">
        <f t="shared" si="54"/>
        <v>2869669206.3299999</v>
      </c>
      <c r="S100" s="196">
        <f t="shared" si="54"/>
        <v>2957876620.625</v>
      </c>
      <c r="T100" s="196">
        <f t="shared" si="54"/>
        <v>2997734505.8900003</v>
      </c>
      <c r="U100" s="196">
        <f t="shared" si="54"/>
        <v>3063188334.8000002</v>
      </c>
      <c r="V100" s="196">
        <f t="shared" si="54"/>
        <v>2088619143.8299999</v>
      </c>
      <c r="W100" s="196">
        <f t="shared" si="54"/>
        <v>2088560030.325</v>
      </c>
      <c r="X100" s="196">
        <f t="shared" si="54"/>
        <v>2111262415.4349999</v>
      </c>
      <c r="Y100" s="196">
        <f t="shared" si="54"/>
        <v>2078566656.8899999</v>
      </c>
      <c r="Z100" s="196">
        <f t="shared" si="54"/>
        <v>1154264493.24</v>
      </c>
      <c r="AA100" s="196">
        <f t="shared" si="54"/>
        <v>1121966836.47</v>
      </c>
      <c r="AB100" s="196">
        <f t="shared" si="54"/>
        <v>1109862684.8299999</v>
      </c>
      <c r="AC100" s="196">
        <f t="shared" si="54"/>
        <v>1057365014.8099999</v>
      </c>
      <c r="AD100" s="196">
        <f t="shared" si="54"/>
        <v>1003279823.08</v>
      </c>
      <c r="AE100" s="196">
        <f t="shared" si="54"/>
        <v>1025975644.3099999</v>
      </c>
      <c r="AF100" s="196">
        <f t="shared" si="54"/>
        <v>1054149405.265</v>
      </c>
      <c r="AG100" s="196">
        <f t="shared" si="54"/>
        <v>1078680764.1849999</v>
      </c>
      <c r="AH100" s="196">
        <f t="shared" si="54"/>
        <v>1004875613.3</v>
      </c>
      <c r="AI100" s="196">
        <f t="shared" si="54"/>
        <v>873611607.48500001</v>
      </c>
      <c r="AJ100" s="196">
        <f t="shared" si="54"/>
        <v>880908075.1500001</v>
      </c>
      <c r="AK100" s="196">
        <f t="shared" si="54"/>
        <v>902369640.98000002</v>
      </c>
      <c r="AL100" s="196">
        <f t="shared" si="54"/>
        <v>813406595.9749999</v>
      </c>
      <c r="AM100" s="196">
        <f t="shared" si="54"/>
        <v>673597231.05999994</v>
      </c>
      <c r="AN100" s="196">
        <f t="shared" si="54"/>
        <v>665383993.10000002</v>
      </c>
      <c r="AO100" s="196">
        <f t="shared" si="54"/>
        <v>629310169.495</v>
      </c>
      <c r="AP100" s="196">
        <f t="shared" si="54"/>
        <v>537798613.92999995</v>
      </c>
      <c r="AQ100" s="196">
        <f t="shared" si="54"/>
        <v>536210623.78499997</v>
      </c>
      <c r="AR100" s="196">
        <f t="shared" si="54"/>
        <v>544579901.125</v>
      </c>
      <c r="AS100" s="196">
        <f t="shared" si="54"/>
        <v>509756523.35500002</v>
      </c>
      <c r="AT100" s="196">
        <f t="shared" si="54"/>
        <v>465104891.56999999</v>
      </c>
      <c r="AU100" s="196">
        <f t="shared" si="54"/>
        <v>470371588.04999995</v>
      </c>
      <c r="AV100" s="196">
        <f t="shared" si="54"/>
        <v>488787431.54499996</v>
      </c>
      <c r="AW100" s="196">
        <f t="shared" si="54"/>
        <v>509861904.08000004</v>
      </c>
      <c r="AX100" s="196">
        <f t="shared" si="54"/>
        <v>450106716.79999995</v>
      </c>
      <c r="AY100" s="196">
        <f t="shared" si="54"/>
        <v>463123062.83500004</v>
      </c>
      <c r="AZ100" s="196">
        <f t="shared" si="54"/>
        <v>481473473.90999997</v>
      </c>
      <c r="BA100" s="196">
        <f t="shared" si="54"/>
        <v>501642044.17500001</v>
      </c>
      <c r="BB100" s="196">
        <f t="shared" si="54"/>
        <v>455476862.38</v>
      </c>
      <c r="BC100" s="196">
        <f t="shared" si="54"/>
        <v>465032077.83000004</v>
      </c>
      <c r="BD100" s="196">
        <f t="shared" si="54"/>
        <v>473107034.86000001</v>
      </c>
      <c r="BE100" s="196">
        <f t="shared" si="54"/>
        <v>480412892.50999999</v>
      </c>
      <c r="BF100" s="196">
        <f t="shared" si="54"/>
        <v>414750388.06999999</v>
      </c>
      <c r="BG100" s="196">
        <f t="shared" si="54"/>
        <v>420532687.40499997</v>
      </c>
      <c r="BH100" s="196">
        <f t="shared" si="54"/>
        <v>425674030.255</v>
      </c>
      <c r="BI100" s="196">
        <f t="shared" si="54"/>
        <v>428748677.01499999</v>
      </c>
      <c r="BJ100" s="196">
        <f t="shared" si="54"/>
        <v>381613260.00999999</v>
      </c>
      <c r="BK100" s="196">
        <f t="shared" si="54"/>
        <v>387428819.56</v>
      </c>
      <c r="BL100" s="196">
        <f t="shared" si="54"/>
        <v>405975700.77499998</v>
      </c>
      <c r="BM100" s="196">
        <f t="shared" si="54"/>
        <v>413704130.20000005</v>
      </c>
      <c r="BN100" s="196">
        <f t="shared" si="54"/>
        <v>410573720.40999997</v>
      </c>
      <c r="BO100" s="196">
        <f t="shared" si="54"/>
        <v>418850202.01999998</v>
      </c>
      <c r="BP100" s="196">
        <f t="shared" si="54"/>
        <v>433555311.53499997</v>
      </c>
      <c r="BQ100" s="196">
        <f t="shared" si="54"/>
        <v>441483412.87</v>
      </c>
      <c r="BR100" s="196">
        <f t="shared" ref="BR100:CK100" si="55">(BR84+BV84)/2</f>
        <v>423899449.60500002</v>
      </c>
      <c r="BS100" s="196">
        <f t="shared" si="55"/>
        <v>424610624.28499997</v>
      </c>
      <c r="BT100" s="196">
        <f t="shared" si="55"/>
        <v>248796298.21000001</v>
      </c>
      <c r="BU100" s="196">
        <f t="shared" si="55"/>
        <v>252709316.14999998</v>
      </c>
      <c r="BV100" s="196">
        <f t="shared" si="55"/>
        <v>239672234.255</v>
      </c>
      <c r="BW100" s="196">
        <f t="shared" si="55"/>
        <v>234453738.41999999</v>
      </c>
      <c r="BX100" s="196">
        <f t="shared" si="55"/>
        <v>53143914.125</v>
      </c>
      <c r="BY100" s="196">
        <f t="shared" si="55"/>
        <v>33526070.234999999</v>
      </c>
      <c r="BZ100" s="196">
        <f t="shared" si="55"/>
        <v>27748932.370000001</v>
      </c>
      <c r="CA100" s="196">
        <f t="shared" si="55"/>
        <v>27270783.5</v>
      </c>
      <c r="CB100" s="196">
        <f t="shared" si="55"/>
        <v>23065740</v>
      </c>
      <c r="CC100" s="196">
        <f t="shared" si="55"/>
        <v>4904450.5</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688</v>
      </c>
      <c r="E101" s="251">
        <f>E100/E84</f>
        <v>1.0696622252922126</v>
      </c>
      <c r="F101" s="251">
        <f t="shared" ref="F101:BQ101" si="56">F100/F84</f>
        <v>1.0424753533672251</v>
      </c>
      <c r="G101" s="251">
        <f t="shared" si="56"/>
        <v>0.95607489653897915</v>
      </c>
      <c r="H101" s="251">
        <f t="shared" si="56"/>
        <v>0.95472436285789219</v>
      </c>
      <c r="I101" s="251">
        <f t="shared" si="56"/>
        <v>0.94867093775549138</v>
      </c>
      <c r="J101" s="251">
        <f t="shared" si="56"/>
        <v>0.88754007180663896</v>
      </c>
      <c r="K101" s="251">
        <f t="shared" si="56"/>
        <v>0.96868836586527751</v>
      </c>
      <c r="L101" s="251">
        <f t="shared" si="56"/>
        <v>0.9665302616037309</v>
      </c>
      <c r="M101" s="251">
        <f t="shared" si="56"/>
        <v>0.94578418836722611</v>
      </c>
      <c r="N101" s="251">
        <f t="shared" si="56"/>
        <v>0.91306067002223901</v>
      </c>
      <c r="O101" s="251">
        <f t="shared" si="56"/>
        <v>0.90419926410224105</v>
      </c>
      <c r="P101" s="251">
        <f t="shared" si="56"/>
        <v>0.89379379212182675</v>
      </c>
      <c r="Q101" s="251">
        <f t="shared" si="56"/>
        <v>0.91041269874524744</v>
      </c>
      <c r="R101" s="251">
        <f t="shared" si="56"/>
        <v>1.0086270935204409</v>
      </c>
      <c r="S101" s="251">
        <f t="shared" si="56"/>
        <v>1.0103565733187634</v>
      </c>
      <c r="T101" s="251">
        <f t="shared" si="56"/>
        <v>1.0291563184960071</v>
      </c>
      <c r="U101" s="251">
        <f t="shared" si="56"/>
        <v>1.0279642325420146</v>
      </c>
      <c r="V101" s="251">
        <f t="shared" si="56"/>
        <v>0.72165323149744787</v>
      </c>
      <c r="W101" s="251">
        <f t="shared" si="56"/>
        <v>0.69893674100063186</v>
      </c>
      <c r="X101" s="251">
        <f t="shared" si="56"/>
        <v>0.68488304090161145</v>
      </c>
      <c r="Y101" s="251">
        <f t="shared" si="56"/>
        <v>0.66059268952393158</v>
      </c>
      <c r="Z101" s="251">
        <f t="shared" si="56"/>
        <v>0.8996437761008953</v>
      </c>
      <c r="AA101" s="251">
        <f t="shared" si="56"/>
        <v>0.94368256984798038</v>
      </c>
      <c r="AB101" s="251">
        <f t="shared" si="56"/>
        <v>0.97368028052207234</v>
      </c>
      <c r="AC101" s="251">
        <f t="shared" si="56"/>
        <v>1.0462584450617403</v>
      </c>
      <c r="AD101" s="251">
        <f t="shared" si="56"/>
        <v>0.97832752434499226</v>
      </c>
      <c r="AE101" s="251">
        <f t="shared" si="56"/>
        <v>0.97247982728058291</v>
      </c>
      <c r="AF101" s="251">
        <f t="shared" si="56"/>
        <v>0.97618918443390379</v>
      </c>
      <c r="AG101" s="251">
        <f t="shared" si="56"/>
        <v>0.97696456988486391</v>
      </c>
      <c r="AH101" s="251">
        <f t="shared" si="56"/>
        <v>1.0242810378136464</v>
      </c>
      <c r="AI101" s="251">
        <f t="shared" si="56"/>
        <v>0.87629166199633157</v>
      </c>
      <c r="AJ101" s="251">
        <f t="shared" si="56"/>
        <v>0.85655034009210473</v>
      </c>
      <c r="AK101" s="251">
        <f t="shared" si="56"/>
        <v>0.85675025062650512</v>
      </c>
      <c r="AL101" s="251">
        <f t="shared" si="56"/>
        <v>0.79071571424023102</v>
      </c>
      <c r="AM101" s="251">
        <f t="shared" si="56"/>
        <v>0.89779252673576793</v>
      </c>
      <c r="AN101" s="251">
        <f t="shared" si="56"/>
        <v>0.90728514253056458</v>
      </c>
      <c r="AO101" s="251">
        <f t="shared" si="56"/>
        <v>0.83741402824765443</v>
      </c>
      <c r="AP101" s="251">
        <f t="shared" si="56"/>
        <v>0.89915353350493832</v>
      </c>
      <c r="AQ101" s="251">
        <f t="shared" si="56"/>
        <v>0.89830639521374689</v>
      </c>
      <c r="AR101" s="251">
        <f t="shared" si="56"/>
        <v>0.91160037570839758</v>
      </c>
      <c r="AS101" s="251">
        <f t="shared" si="56"/>
        <v>1.0051830200272471</v>
      </c>
      <c r="AT101" s="251">
        <f t="shared" si="56"/>
        <v>0.97408108446059805</v>
      </c>
      <c r="AU101" s="251">
        <f t="shared" si="56"/>
        <v>0.98919721084840173</v>
      </c>
      <c r="AV101" s="251">
        <f t="shared" si="56"/>
        <v>0.99393311138418317</v>
      </c>
      <c r="AW101" s="251">
        <f t="shared" si="56"/>
        <v>0.99507582322491128</v>
      </c>
      <c r="AX101" s="251">
        <f t="shared" si="56"/>
        <v>0.9942075879811868</v>
      </c>
      <c r="AY101" s="251">
        <f t="shared" si="56"/>
        <v>0.995460983772955</v>
      </c>
      <c r="AZ101" s="251">
        <f t="shared" si="56"/>
        <v>0.99108603709564902</v>
      </c>
      <c r="BA101" s="251">
        <f t="shared" si="56"/>
        <v>0.98877124052093601</v>
      </c>
      <c r="BB101" s="251">
        <f t="shared" si="56"/>
        <v>1.0178610483195769</v>
      </c>
      <c r="BC101" s="251">
        <f t="shared" si="56"/>
        <v>1.0087215274187018</v>
      </c>
      <c r="BD101" s="251">
        <f t="shared" si="56"/>
        <v>0.99154131843771853</v>
      </c>
      <c r="BE101" s="251">
        <f t="shared" si="56"/>
        <v>0.96868128950843391</v>
      </c>
      <c r="BF101" s="251">
        <f t="shared" si="56"/>
        <v>0.89488192041950798</v>
      </c>
      <c r="BG101" s="251">
        <f t="shared" si="56"/>
        <v>0.89655724581207641</v>
      </c>
      <c r="BH101" s="251">
        <f t="shared" si="56"/>
        <v>0.90748308790699628</v>
      </c>
      <c r="BI101" s="251">
        <f t="shared" si="56"/>
        <v>0.92227712828945285</v>
      </c>
      <c r="BJ101" s="251">
        <f t="shared" si="56"/>
        <v>1.042569808080865</v>
      </c>
      <c r="BK101" s="251">
        <f t="shared" si="56"/>
        <v>1.0414401201338792</v>
      </c>
      <c r="BL101" s="251">
        <f t="shared" si="56"/>
        <v>1.0619934562447502</v>
      </c>
      <c r="BM101" s="251">
        <f t="shared" si="56"/>
        <v>1.0537096253484886</v>
      </c>
      <c r="BN101" s="251">
        <f t="shared" si="56"/>
        <v>1.0336826247390325</v>
      </c>
      <c r="BO101" s="251">
        <f t="shared" si="56"/>
        <v>1.0397302538574813</v>
      </c>
      <c r="BP101" s="251">
        <f t="shared" si="56"/>
        <v>1.0090322738839226</v>
      </c>
      <c r="BQ101" s="251">
        <f t="shared" si="56"/>
        <v>1.0153912415320869</v>
      </c>
      <c r="BR101" s="251">
        <f t="shared" ref="BR101:CK101" si="57">BR100/BR84</f>
        <v>0.99987534957218449</v>
      </c>
      <c r="BS101" s="251">
        <f t="shared" si="57"/>
        <v>0.97644109768798093</v>
      </c>
      <c r="BT101" s="251">
        <f t="shared" si="57"/>
        <v>0.5687601319068345</v>
      </c>
      <c r="BU101" s="251">
        <f t="shared" si="57"/>
        <v>0.56386254174792816</v>
      </c>
      <c r="BV101" s="251">
        <f t="shared" si="57"/>
        <v>0.56546928092187321</v>
      </c>
      <c r="BW101" s="251">
        <f t="shared" si="57"/>
        <v>0.56581328929913688</v>
      </c>
      <c r="BX101" s="251">
        <f t="shared" si="57"/>
        <v>0.88342985688131426</v>
      </c>
      <c r="BY101" s="251">
        <f t="shared" si="57"/>
        <v>0.58567737509981976</v>
      </c>
      <c r="BZ101" s="251">
        <f t="shared" si="57"/>
        <v>0.5</v>
      </c>
      <c r="CA101" s="251">
        <f t="shared" si="57"/>
        <v>0.5</v>
      </c>
      <c r="CB101" s="251">
        <f t="shared" si="57"/>
        <v>0.5</v>
      </c>
      <c r="CC101" s="251">
        <f t="shared" si="57"/>
        <v>0.5</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7" t="s">
        <v>689</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7" workbookViewId="0">
      <selection activeCell="A29" sqref="A29:AC29"/>
    </sheetView>
  </sheetViews>
  <sheetFormatPr defaultRowHeight="14.4" x14ac:dyDescent="0.25"/>
  <cols>
    <col min="1" max="1" width="63.21875" style="17" bestFit="1" customWidth="1"/>
    <col min="2" max="4" width="9.5546875" hidden="1" customWidth="1"/>
    <col min="5" max="5" width="22.6640625" bestFit="1" customWidth="1"/>
    <col min="6" max="8" width="22.6640625" hidden="1" customWidth="1"/>
    <col min="9" max="9" width="21.44140625" bestFit="1" customWidth="1"/>
    <col min="10" max="12" width="22.6640625" hidden="1" customWidth="1"/>
    <col min="13" max="13" width="21.44140625" bestFit="1" customWidth="1"/>
    <col min="14" max="15" width="21.44140625" hidden="1" customWidth="1"/>
    <col min="16" max="16" width="20.21875" hidden="1" customWidth="1"/>
    <col min="17" max="17" width="21.44140625" bestFit="1" customWidth="1"/>
    <col min="18" max="19" width="21.44140625" hidden="1" customWidth="1"/>
    <col min="20" max="20" width="19.33203125" hidden="1" customWidth="1"/>
    <col min="21" max="21" width="21.44140625" bestFit="1" customWidth="1"/>
    <col min="22" max="22" width="21.44140625" hidden="1" customWidth="1"/>
    <col min="23" max="23" width="19.33203125" hidden="1" customWidth="1"/>
    <col min="24" max="24" width="20.21875" hidden="1" customWidth="1"/>
    <col min="25" max="25" width="20.44140625" bestFit="1" customWidth="1"/>
    <col min="26" max="27" width="21.44140625" hidden="1" customWidth="1"/>
    <col min="28" max="28" width="19.33203125" hidden="1" customWidth="1"/>
    <col min="29" max="29" width="21.44140625" bestFit="1" customWidth="1"/>
    <col min="30" max="30" width="20.44140625" hidden="1" customWidth="1"/>
    <col min="31" max="32" width="19.33203125" hidden="1" customWidth="1"/>
    <col min="33" max="33" width="21.44140625" bestFit="1" customWidth="1"/>
    <col min="34" max="34" width="21.44140625" hidden="1" customWidth="1"/>
    <col min="35" max="36" width="19.33203125" hidden="1" customWidth="1"/>
    <col min="37" max="37" width="20.21875" bestFit="1" customWidth="1"/>
    <col min="38" max="39" width="19.33203125" hidden="1" customWidth="1"/>
    <col min="40" max="40" width="20.21875" hidden="1" customWidth="1"/>
    <col min="41" max="41" width="20.441406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5" width="19.33203125" hidden="1" customWidth="1"/>
    <col min="56" max="56" width="19" hidden="1" customWidth="1"/>
    <col min="57" max="57" width="19.33203125" bestFit="1" customWidth="1"/>
    <col min="58" max="59" width="19.33203125" hidden="1" customWidth="1"/>
    <col min="60" max="60" width="19" hidden="1" customWidth="1"/>
    <col min="61" max="61" width="19.33203125" bestFit="1" customWidth="1"/>
    <col min="62" max="63" width="19.33203125" hidden="1" customWidth="1"/>
    <col min="64" max="64" width="17.77734375" hidden="1" customWidth="1"/>
    <col min="65" max="65" width="19.33203125" bestFit="1" customWidth="1"/>
    <col min="66" max="66" width="19.33203125" hidden="1" customWidth="1"/>
    <col min="67" max="67" width="19.33203125" bestFit="1" customWidth="1"/>
    <col min="68" max="68" width="17.77734375" hidden="1" customWidth="1"/>
    <col min="69" max="69" width="19.33203125" bestFit="1" customWidth="1"/>
    <col min="70" max="70" width="17.77734375" hidden="1" customWidth="1"/>
    <col min="71" max="71" width="19.33203125" bestFit="1" customWidth="1"/>
    <col min="72" max="72" width="17.21875" bestFit="1" customWidth="1"/>
    <col min="73" max="73" width="19" hidden="1" customWidth="1"/>
    <col min="74" max="74" width="17.21875" hidden="1" customWidth="1"/>
    <col min="75" max="81" width="17.2187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29017559075.490002</v>
      </c>
      <c r="F2" s="26">
        <f>现金流量表!F4</f>
        <v>18476249243.220001</v>
      </c>
      <c r="G2" s="26">
        <f>现金流量表!G4</f>
        <v>10869755862.27</v>
      </c>
      <c r="H2" s="26">
        <f>现金流量表!H4</f>
        <v>5463223784.1700001</v>
      </c>
      <c r="I2" s="26">
        <f>现金流量表!I4</f>
        <v>29825398493.130001</v>
      </c>
      <c r="J2" s="26">
        <f>现金流量表!J4</f>
        <v>17704140972.529999</v>
      </c>
      <c r="K2" s="26">
        <f>现金流量表!K4</f>
        <v>11243093504.530001</v>
      </c>
      <c r="L2" s="26">
        <f>现金流量表!L4</f>
        <v>5739672957.04</v>
      </c>
      <c r="M2" s="26">
        <f>现金流量表!M4</f>
        <v>31848557533.529999</v>
      </c>
      <c r="N2" s="26">
        <f>现金流量表!N4</f>
        <v>20548394272.939999</v>
      </c>
      <c r="O2" s="26">
        <f>现金流量表!O4</f>
        <v>10992299095.620001</v>
      </c>
      <c r="P2" s="26">
        <f>现金流量表!P4</f>
        <v>4766682654.8299999</v>
      </c>
      <c r="Q2" s="26">
        <f>现金流量表!Q4</f>
        <v>20412007010.75</v>
      </c>
      <c r="R2" s="26">
        <f>现金流量表!R4</f>
        <v>13642476528.18</v>
      </c>
      <c r="S2" s="26">
        <f>现金流量表!S4</f>
        <v>8337010534.8500004</v>
      </c>
      <c r="T2" s="26">
        <f>现金流量表!T4</f>
        <v>3935380165.6799998</v>
      </c>
      <c r="U2" s="26">
        <f>现金流量表!U4</f>
        <v>20813935648.990002</v>
      </c>
      <c r="V2" s="26">
        <f>现金流量表!V4</f>
        <v>12906965397.9</v>
      </c>
      <c r="W2" s="26">
        <f>现金流量表!W4</f>
        <v>7911012499.5799999</v>
      </c>
      <c r="X2" s="26">
        <f>现金流量表!X4</f>
        <v>3196977115.8800001</v>
      </c>
      <c r="Y2" s="26">
        <f>现金流量表!Y4</f>
        <v>15617948232.389999</v>
      </c>
      <c r="Z2" s="26">
        <f>现金流量表!Z4</f>
        <v>11132049225.68</v>
      </c>
      <c r="AA2" s="26">
        <f>现金流量表!AA4</f>
        <v>7211460295.3400002</v>
      </c>
      <c r="AB2" s="26">
        <f>现金流量表!AB4</f>
        <v>3606000601.46</v>
      </c>
      <c r="AC2" s="26">
        <f>现金流量表!AC4</f>
        <v>16108618454.73</v>
      </c>
      <c r="AD2" s="26">
        <f>现金流量表!AD4</f>
        <v>9863178652.5200005</v>
      </c>
      <c r="AE2" s="26">
        <f>现金流量表!AE4</f>
        <v>6180674009.2799997</v>
      </c>
      <c r="AF2" s="26">
        <f>现金流量表!AF4</f>
        <v>3100414395.21</v>
      </c>
      <c r="AG2" s="26">
        <f>现金流量表!AG4</f>
        <v>14211916938.9</v>
      </c>
      <c r="AH2" s="26">
        <f>现金流量表!AH4</f>
        <v>9219700280.0400009</v>
      </c>
      <c r="AI2" s="26">
        <f>现金流量表!AI4</f>
        <v>5595666389.2700005</v>
      </c>
      <c r="AJ2" s="26">
        <f>现金流量表!AJ4</f>
        <v>2664584966.5799999</v>
      </c>
      <c r="AK2" s="26">
        <f>现金流量表!AK4</f>
        <v>9492444180.5400009</v>
      </c>
      <c r="AL2" s="26">
        <f>现金流量表!AL4</f>
        <v>5778595374.25</v>
      </c>
      <c r="AM2" s="26">
        <f>现金流量表!AM4</f>
        <v>3447071212.5100002</v>
      </c>
      <c r="AN2" s="26">
        <f>现金流量表!AN4</f>
        <v>1276829128.5</v>
      </c>
      <c r="AO2" s="26">
        <f>现金流量表!AO4</f>
        <v>10183090687.26</v>
      </c>
      <c r="AP2" s="26">
        <f>现金流量表!AP4</f>
        <v>6263935565.9899998</v>
      </c>
      <c r="AQ2" s="26">
        <f>现金流量表!AQ4</f>
        <v>4446352643.5</v>
      </c>
      <c r="AR2" s="26">
        <f>现金流量表!AR4</f>
        <v>2036389955</v>
      </c>
      <c r="AS2" s="26">
        <f>现金流量表!AS4</f>
        <v>8589409046</v>
      </c>
      <c r="AT2" s="26">
        <f>现金流量表!AT4</f>
        <v>4956099752.6000004</v>
      </c>
      <c r="AU2" s="26">
        <f>现金流量表!AU4</f>
        <v>3010339739.2399998</v>
      </c>
      <c r="AV2" s="26">
        <f>现金流量表!AV4</f>
        <v>1309084373.4300001</v>
      </c>
      <c r="AW2" s="26">
        <f>现金流量表!AW4</f>
        <v>6073487673.2700005</v>
      </c>
      <c r="AX2" s="26">
        <f>现金流量表!AX4</f>
        <v>3445984327.3600001</v>
      </c>
      <c r="AY2" s="26">
        <f>现金流量表!AY4</f>
        <v>2253719918.4899998</v>
      </c>
      <c r="AZ2" s="26">
        <f>现金流量表!AZ4</f>
        <v>1001717469.46</v>
      </c>
      <c r="BA2" s="26">
        <f>现金流量表!BA4</f>
        <v>5611036038.3400002</v>
      </c>
      <c r="BB2" s="26">
        <f>现金流量表!BB4</f>
        <v>3057984770.5500002</v>
      </c>
      <c r="BC2" s="26">
        <f>现金流量表!BC4</f>
        <v>1804907419.78</v>
      </c>
      <c r="BD2" s="26">
        <f>现金流量表!BD4</f>
        <v>739478006.95000005</v>
      </c>
      <c r="BE2" s="26">
        <f>现金流量表!BE4</f>
        <v>5169653085.0500002</v>
      </c>
      <c r="BF2" s="26">
        <f>现金流量表!BF4</f>
        <v>2628526545.2199998</v>
      </c>
      <c r="BG2" s="26">
        <f>现金流量表!BG4</f>
        <v>1484332572.52</v>
      </c>
      <c r="BH2" s="26">
        <f>现金流量表!BH4</f>
        <v>697601022.32000005</v>
      </c>
      <c r="BI2" s="26">
        <f>现金流量表!BI4</f>
        <v>3498632723.8499999</v>
      </c>
      <c r="BJ2" s="26">
        <f>现金流量表!BJ4</f>
        <v>1586823776.79</v>
      </c>
      <c r="BK2" s="26">
        <f>现金流量表!BK4</f>
        <v>908532965.87</v>
      </c>
      <c r="BL2" s="26">
        <f>现金流量表!BL4</f>
        <v>510448749.42000002</v>
      </c>
      <c r="BM2" s="26">
        <f>现金流量表!BM4</f>
        <v>3394502436.5300002</v>
      </c>
      <c r="BN2" s="26">
        <f>现金流量表!BN4</f>
        <v>1055297789.96</v>
      </c>
      <c r="BO2" s="26">
        <f>现金流量表!BO4</f>
        <v>1741743559.3</v>
      </c>
      <c r="BP2" s="26">
        <f>现金流量表!BP4</f>
        <v>675593535.20000005</v>
      </c>
      <c r="BQ2" s="26">
        <f>现金流量表!BQ4</f>
        <v>1459057727.6600001</v>
      </c>
      <c r="BR2" s="26">
        <f>现金流量表!BR4</f>
        <v>495362750.58999997</v>
      </c>
      <c r="BS2" s="26">
        <f>现金流量表!BS4</f>
        <v>846791888.38</v>
      </c>
      <c r="BT2" s="26">
        <f>现金流量表!BT4</f>
        <v>642687212.08000004</v>
      </c>
      <c r="BU2" s="26">
        <f>现金流量表!BU4</f>
        <v>210511163.96000001</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33221948766.650002</v>
      </c>
      <c r="F3" s="26">
        <f>利润表!F3</f>
        <v>18994965921.450001</v>
      </c>
      <c r="G3" s="26">
        <f>利润表!G3</f>
        <v>9313067493.1000004</v>
      </c>
      <c r="H3" s="26">
        <f>利润表!H3</f>
        <v>3868458647.1999998</v>
      </c>
      <c r="I3" s="26">
        <f>利润表!I3</f>
        <v>35850442042.720001</v>
      </c>
      <c r="J3" s="26">
        <f>利润表!J3</f>
        <v>21659158276.32</v>
      </c>
      <c r="K3" s="26">
        <f>利润表!K3</f>
        <v>13268121440.85</v>
      </c>
      <c r="L3" s="26">
        <f>利润表!L3</f>
        <v>5126788582.8999996</v>
      </c>
      <c r="M3" s="26">
        <f>利润表!M3</f>
        <v>31210873852.540001</v>
      </c>
      <c r="N3" s="26">
        <f>利润表!N3</f>
        <v>18929067308.060001</v>
      </c>
      <c r="O3" s="26">
        <f>利润表!O3</f>
        <v>10387239701.25</v>
      </c>
      <c r="P3" s="26">
        <f>利润表!P3</f>
        <v>4273324043.52</v>
      </c>
      <c r="Q3" s="26">
        <f>利润表!Q3</f>
        <v>25728299513.16</v>
      </c>
      <c r="R3" s="26">
        <f>利润表!R3</f>
        <v>15002502291.76</v>
      </c>
      <c r="S3" s="26">
        <f>利润表!S3</f>
        <v>9341476892.9099998</v>
      </c>
      <c r="T3" s="26">
        <f>利润表!T3</f>
        <v>4395955446.3000002</v>
      </c>
      <c r="U3" s="26">
        <f>利润表!U3</f>
        <v>22093826571.040001</v>
      </c>
      <c r="V3" s="26">
        <f>利润表!V3</f>
        <v>13669406746.49</v>
      </c>
      <c r="W3" s="26">
        <f>利润表!W3</f>
        <v>9663747340.3899994</v>
      </c>
      <c r="X3" s="26">
        <f>利润表!X3</f>
        <v>4337342804.8900003</v>
      </c>
      <c r="Y3" s="26">
        <f>利润表!Y3</f>
        <v>19763459199.02</v>
      </c>
      <c r="Z3" s="26">
        <f>利润表!Z3</f>
        <v>13309007254.129999</v>
      </c>
      <c r="AA3" s="26">
        <f>利润表!AA3</f>
        <v>8296243064.9300003</v>
      </c>
      <c r="AB3" s="26">
        <f>利润表!AB3</f>
        <v>3969350239.1399999</v>
      </c>
      <c r="AC3" s="26">
        <f>利润表!AC3</f>
        <v>16931925945.07</v>
      </c>
      <c r="AD3" s="26">
        <f>利润表!AD3</f>
        <v>11009538186.57</v>
      </c>
      <c r="AE3" s="26">
        <f>利润表!AE3</f>
        <v>6405766461.7399998</v>
      </c>
      <c r="AF3" s="26">
        <f>利润表!AF3</f>
        <v>2947959956.1799998</v>
      </c>
      <c r="AG3" s="26">
        <f>利润表!AG3</f>
        <v>13478500120.48</v>
      </c>
      <c r="AH3" s="26">
        <f>利润表!AH3</f>
        <v>9132486590.3700008</v>
      </c>
      <c r="AI3" s="26">
        <f>利润表!AI3</f>
        <v>5525360311.0500002</v>
      </c>
      <c r="AJ3" s="26">
        <f>利润表!AJ3</f>
        <v>2357318390.8600001</v>
      </c>
      <c r="AK3" s="26">
        <f>利润表!AK3</f>
        <v>8781731234.4200001</v>
      </c>
      <c r="AL3" s="26">
        <f>利润表!AL3</f>
        <v>5832802762.3699999</v>
      </c>
      <c r="AM3" s="26">
        <f>利润表!AM3</f>
        <v>3547502321.2199998</v>
      </c>
      <c r="AN3" s="26">
        <f>利润表!AN3</f>
        <v>1322183548.28</v>
      </c>
      <c r="AO3" s="26">
        <f>利润表!AO3</f>
        <v>8335671865.1199999</v>
      </c>
      <c r="AP3" s="26">
        <f>利润表!AP3</f>
        <v>5909075990.5799999</v>
      </c>
      <c r="AQ3" s="26">
        <f>利润表!AQ3</f>
        <v>4269358208.9099998</v>
      </c>
      <c r="AR3" s="26">
        <f>利润表!AR3</f>
        <v>1728783903.51</v>
      </c>
      <c r="AS3" s="26">
        <f>利润表!AS3</f>
        <v>7880772643.7399998</v>
      </c>
      <c r="AT3" s="26">
        <f>利润表!AT3</f>
        <v>4791323219.5799999</v>
      </c>
      <c r="AU3" s="26">
        <f>利润表!AU3</f>
        <v>2824669536.7399998</v>
      </c>
      <c r="AV3" s="26">
        <f>利润表!AV3</f>
        <v>1218986397.53</v>
      </c>
      <c r="AW3" s="26">
        <f>利润表!AW3</f>
        <v>4996462114.3400002</v>
      </c>
      <c r="AX3" s="26">
        <f>利润表!AX3</f>
        <v>3277444099.6599998</v>
      </c>
      <c r="AY3" s="26">
        <f>利润表!AY3</f>
        <v>2074245557.3399999</v>
      </c>
      <c r="AZ3" s="26">
        <f>利润表!AZ3</f>
        <v>895838779.45000005</v>
      </c>
      <c r="BA3" s="26">
        <f>利润表!BA3</f>
        <v>4603275181.6099997</v>
      </c>
      <c r="BB3" s="26">
        <f>利润表!BB3</f>
        <v>2957016951.3899999</v>
      </c>
      <c r="BC3" s="26">
        <f>利润表!BC3</f>
        <v>1709566513.23</v>
      </c>
      <c r="BD3" s="26">
        <f>利润表!BD3</f>
        <v>739500499.45000005</v>
      </c>
      <c r="BE3" s="26">
        <f>利润表!BE3</f>
        <v>3972942737.54</v>
      </c>
      <c r="BF3" s="26">
        <f>利润表!BF3</f>
        <v>2776446920.7600002</v>
      </c>
      <c r="BG3" s="26">
        <f>利润表!BG3</f>
        <v>1492795611.01</v>
      </c>
      <c r="BH3" s="26">
        <f>利润表!BH3</f>
        <v>575127426.25999999</v>
      </c>
      <c r="BI3" s="26">
        <f>利润表!BI3</f>
        <v>3260122367.1999998</v>
      </c>
      <c r="BJ3" s="26">
        <f>利润表!BJ3</f>
        <v>1954845481.9100001</v>
      </c>
      <c r="BK3" s="26">
        <f>利润表!BK3</f>
        <v>1202580809.54</v>
      </c>
      <c r="BL3" s="26">
        <f>利润表!BL3</f>
        <v>750329773.38999999</v>
      </c>
      <c r="BM3" s="26">
        <f>利润表!BM3</f>
        <v>2696805139.5300002</v>
      </c>
      <c r="BN3" s="26">
        <f>利润表!BN3</f>
        <v>1852758568.3099999</v>
      </c>
      <c r="BO3" s="26">
        <f>利润表!BO3</f>
        <v>1004534747.23</v>
      </c>
      <c r="BP3" s="26">
        <f>利润表!BP3</f>
        <v>366859431.5</v>
      </c>
      <c r="BQ3" s="26">
        <f>利润表!BQ3</f>
        <v>1586447732.49</v>
      </c>
      <c r="BR3" s="26">
        <f>利润表!BR3</f>
        <v>704867375.38999999</v>
      </c>
      <c r="BS3" s="26">
        <f>利润表!BS3</f>
        <v>1201009861.4400001</v>
      </c>
      <c r="BT3" s="26">
        <f>利润表!BT3</f>
        <v>470958091.51999998</v>
      </c>
      <c r="BU3" s="26">
        <f>利润表!BU3</f>
        <v>700903626.13</v>
      </c>
      <c r="BV3" s="26">
        <f>利润表!BV3</f>
        <v>319595208.69999999</v>
      </c>
      <c r="BW3" s="26">
        <f>利润表!BW3</f>
        <v>566429005.27999997</v>
      </c>
      <c r="BX3" s="26">
        <f>利润表!BX3</f>
        <v>226965540.93000001</v>
      </c>
      <c r="BY3" s="26">
        <f>利润表!BY3</f>
        <v>437507599.04000002</v>
      </c>
      <c r="BZ3" s="26">
        <f>利润表!BZ3</f>
        <v>157423618.13999999</v>
      </c>
      <c r="CA3" s="26">
        <f>利润表!CA3</f>
        <v>439784624</v>
      </c>
      <c r="CB3" s="26">
        <f>利润表!CB3</f>
        <v>274948713</v>
      </c>
      <c r="CC3" s="26">
        <f>利润表!CC3</f>
        <v>138034512</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0.74653454911262696</v>
      </c>
      <c r="F5" s="28">
        <f t="shared" ref="F5:BQ5" si="2">(F2/(1+F4))/F3</f>
        <v>0.8313605870707812</v>
      </c>
      <c r="G5" s="28">
        <f t="shared" si="2"/>
        <v>0.99756494117056416</v>
      </c>
      <c r="H5" s="28">
        <f t="shared" si="2"/>
        <v>1.2070497486464995</v>
      </c>
      <c r="I5" s="28">
        <f t="shared" si="2"/>
        <v>0.7110593937306362</v>
      </c>
      <c r="J5" s="28">
        <f t="shared" si="2"/>
        <v>0.69863030815511329</v>
      </c>
      <c r="K5" s="28">
        <f t="shared" si="2"/>
        <v>0.72425336703790399</v>
      </c>
      <c r="L5" s="28">
        <f t="shared" si="2"/>
        <v>0.95687647398764564</v>
      </c>
      <c r="M5" s="28">
        <f t="shared" si="2"/>
        <v>0.87216363993865365</v>
      </c>
      <c r="N5" s="28">
        <f t="shared" si="2"/>
        <v>0.92781804100478582</v>
      </c>
      <c r="O5" s="28">
        <f t="shared" si="2"/>
        <v>0.90448740015340534</v>
      </c>
      <c r="P5" s="28">
        <f t="shared" si="2"/>
        <v>0.95337673850145332</v>
      </c>
      <c r="Q5" s="28">
        <f t="shared" si="2"/>
        <v>0.67809222406339642</v>
      </c>
      <c r="R5" s="28">
        <f t="shared" si="2"/>
        <v>0.77721943460565801</v>
      </c>
      <c r="S5" s="28">
        <f t="shared" si="2"/>
        <v>0.76279694436696144</v>
      </c>
      <c r="T5" s="28">
        <f t="shared" si="2"/>
        <v>0.76515170189237214</v>
      </c>
      <c r="U5" s="28">
        <f t="shared" si="2"/>
        <v>0.80518820638334299</v>
      </c>
      <c r="V5" s="28">
        <f t="shared" si="2"/>
        <v>0.80702802702188636</v>
      </c>
      <c r="W5" s="28">
        <f t="shared" si="2"/>
        <v>0.69968190462513646</v>
      </c>
      <c r="X5" s="28">
        <f t="shared" si="2"/>
        <v>0.62998457726723489</v>
      </c>
      <c r="Y5" s="28">
        <f t="shared" si="2"/>
        <v>0.67542192732936901</v>
      </c>
      <c r="Z5" s="28">
        <f t="shared" si="2"/>
        <v>0.71489719752073622</v>
      </c>
      <c r="AA5" s="28">
        <f t="shared" si="2"/>
        <v>0.7429436709880658</v>
      </c>
      <c r="AB5" s="28">
        <f t="shared" si="2"/>
        <v>0.77646254687452732</v>
      </c>
      <c r="AC5" s="28">
        <f t="shared" si="2"/>
        <v>0.81314139962420995</v>
      </c>
      <c r="AD5" s="28">
        <f t="shared" si="2"/>
        <v>0.76570579814687401</v>
      </c>
      <c r="AE5" s="28">
        <f t="shared" si="2"/>
        <v>0.82466749137839368</v>
      </c>
      <c r="AF5" s="28">
        <f t="shared" si="2"/>
        <v>0.89890190942302561</v>
      </c>
      <c r="AG5" s="28">
        <f t="shared" si="2"/>
        <v>0.90120840197631769</v>
      </c>
      <c r="AH5" s="28">
        <f t="shared" si="2"/>
        <v>0.86286310211999317</v>
      </c>
      <c r="AI5" s="28">
        <f t="shared" si="2"/>
        <v>0.86557628395116548</v>
      </c>
      <c r="AJ5" s="28">
        <f t="shared" si="2"/>
        <v>0.96610753014492956</v>
      </c>
      <c r="AK5" s="28">
        <f t="shared" si="2"/>
        <v>0.92387251872478193</v>
      </c>
      <c r="AL5" s="28">
        <f t="shared" si="2"/>
        <v>0.84675765777738476</v>
      </c>
      <c r="AM5" s="28">
        <f t="shared" si="2"/>
        <v>0.83050395595901805</v>
      </c>
      <c r="AN5" s="28">
        <f t="shared" si="2"/>
        <v>0.82538233731281507</v>
      </c>
      <c r="AO5" s="28">
        <f t="shared" si="2"/>
        <v>1.0441265508922646</v>
      </c>
      <c r="AP5" s="28">
        <f t="shared" si="2"/>
        <v>0.90602847053879887</v>
      </c>
      <c r="AQ5" s="28">
        <f t="shared" si="2"/>
        <v>0.89013411823111022</v>
      </c>
      <c r="AR5" s="28">
        <f t="shared" si="2"/>
        <v>1.0067795237501569</v>
      </c>
      <c r="AS5" s="28">
        <f t="shared" si="2"/>
        <v>0.93155526556434654</v>
      </c>
      <c r="AT5" s="28">
        <f t="shared" si="2"/>
        <v>0.88409453931626747</v>
      </c>
      <c r="AU5" s="28">
        <f t="shared" si="2"/>
        <v>0.91088175611432787</v>
      </c>
      <c r="AV5" s="28">
        <f t="shared" si="2"/>
        <v>0.9178736818665918</v>
      </c>
      <c r="AW5" s="28">
        <f t="shared" si="2"/>
        <v>1.0389381499482608</v>
      </c>
      <c r="AX5" s="28">
        <f t="shared" si="2"/>
        <v>0.89865323719354484</v>
      </c>
      <c r="AY5" s="28">
        <f t="shared" si="2"/>
        <v>0.92865395506015369</v>
      </c>
      <c r="AZ5" s="28">
        <f t="shared" si="2"/>
        <v>0.95571747613101088</v>
      </c>
      <c r="BA5" s="28">
        <f t="shared" si="2"/>
        <v>1.0418141667666228</v>
      </c>
      <c r="BB5" s="28">
        <f t="shared" si="2"/>
        <v>0.88388475278191514</v>
      </c>
      <c r="BC5" s="28">
        <f t="shared" si="2"/>
        <v>0.90236671249908595</v>
      </c>
      <c r="BD5" s="28">
        <f t="shared" si="2"/>
        <v>0.85467485828977907</v>
      </c>
      <c r="BE5" s="28">
        <f t="shared" si="2"/>
        <v>1.1121496588785555</v>
      </c>
      <c r="BF5" s="28">
        <f t="shared" si="2"/>
        <v>0.80916507641660695</v>
      </c>
      <c r="BG5" s="28">
        <f t="shared" si="2"/>
        <v>0.84985533788835876</v>
      </c>
      <c r="BH5" s="28">
        <f t="shared" si="2"/>
        <v>1.0367097147398943</v>
      </c>
      <c r="BI5" s="28">
        <f t="shared" si="2"/>
        <v>0.91723071791541999</v>
      </c>
      <c r="BJ5" s="28">
        <f t="shared" si="2"/>
        <v>0.69379378105982326</v>
      </c>
      <c r="BK5" s="28">
        <f t="shared" si="2"/>
        <v>0.64571453019445757</v>
      </c>
      <c r="BL5" s="28">
        <f t="shared" si="2"/>
        <v>0.58145231321307311</v>
      </c>
      <c r="BM5" s="28">
        <f t="shared" si="2"/>
        <v>1.0758226804224948</v>
      </c>
      <c r="BN5" s="28">
        <f t="shared" si="2"/>
        <v>0.4868221572255173</v>
      </c>
      <c r="BO5" s="28">
        <f t="shared" si="2"/>
        <v>1.4819494426732562</v>
      </c>
      <c r="BP5" s="28">
        <f t="shared" si="2"/>
        <v>1.5739826276370712</v>
      </c>
      <c r="BQ5" s="28">
        <f t="shared" si="2"/>
        <v>0.78606931785365308</v>
      </c>
      <c r="BR5" s="28">
        <f t="shared" ref="BR5:CL5" si="3">(BR2/(1+BR4))/BR3</f>
        <v>0.60066188491413885</v>
      </c>
      <c r="BS5" s="28">
        <f t="shared" si="3"/>
        <v>0.6026209892101656</v>
      </c>
      <c r="BT5" s="28">
        <f t="shared" si="3"/>
        <v>1.166357090706782</v>
      </c>
      <c r="BU5" s="28">
        <f t="shared" si="3"/>
        <v>0.25670301173090576</v>
      </c>
      <c r="BV5" s="28">
        <f t="shared" si="3"/>
        <v>0</v>
      </c>
      <c r="BW5" s="28">
        <f t="shared" si="3"/>
        <v>0</v>
      </c>
      <c r="BX5" s="28">
        <f t="shared" si="3"/>
        <v>0</v>
      </c>
      <c r="BY5" s="28">
        <f t="shared" si="3"/>
        <v>0</v>
      </c>
      <c r="BZ5" s="28">
        <f t="shared" si="3"/>
        <v>0</v>
      </c>
      <c r="CA5" s="28">
        <f t="shared" si="3"/>
        <v>0</v>
      </c>
      <c r="CB5" s="28">
        <f t="shared" si="3"/>
        <v>0</v>
      </c>
      <c r="CC5" s="28">
        <f t="shared" si="3"/>
        <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24879737312.700001</v>
      </c>
      <c r="F6" s="26">
        <f>现金流量表!F8</f>
        <v>18037631579.869999</v>
      </c>
      <c r="G6" s="26">
        <f>现金流量表!G8</f>
        <v>12394971891.379999</v>
      </c>
      <c r="H6" s="26">
        <f>现金流量表!H8</f>
        <v>7239302763.2399998</v>
      </c>
      <c r="I6" s="26">
        <f>现金流量表!I8</f>
        <v>21332971423.259998</v>
      </c>
      <c r="J6" s="26">
        <f>现金流量表!J8</f>
        <v>15310354181.85</v>
      </c>
      <c r="K6" s="26">
        <f>现金流量表!K8</f>
        <v>10648734895.17</v>
      </c>
      <c r="L6" s="26">
        <f>现金流量表!L8</f>
        <v>6285603747.0699997</v>
      </c>
      <c r="M6" s="26">
        <f>现金流量表!M8</f>
        <v>21071605399.639999</v>
      </c>
      <c r="N6" s="26">
        <f>现金流量表!N8</f>
        <v>11993403249.49</v>
      </c>
      <c r="O6" s="26">
        <f>现金流量表!O8</f>
        <v>6903212275.0100002</v>
      </c>
      <c r="P6" s="26">
        <f>现金流量表!P8</f>
        <v>3840175029.8099999</v>
      </c>
      <c r="Q6" s="26">
        <f>现金流量表!Q8</f>
        <v>13228146241.16</v>
      </c>
      <c r="R6" s="26">
        <f>现金流量表!R8</f>
        <v>8954411668.5400009</v>
      </c>
      <c r="S6" s="26">
        <f>现金流量表!S8</f>
        <v>5308686296.3800001</v>
      </c>
      <c r="T6" s="26">
        <f>现金流量表!T8</f>
        <v>2487522537.3299999</v>
      </c>
      <c r="U6" s="26">
        <f>现金流量表!U8</f>
        <v>15582170206.25</v>
      </c>
      <c r="V6" s="26">
        <f>现金流量表!V8</f>
        <v>7747188393.9300003</v>
      </c>
      <c r="W6" s="26">
        <f>现金流量表!W8</f>
        <v>4944843689.5600004</v>
      </c>
      <c r="X6" s="26">
        <f>现金流量表!X8</f>
        <v>2784297155.6500001</v>
      </c>
      <c r="Y6" s="26">
        <f>现金流量表!Y8</f>
        <v>11784097339.209999</v>
      </c>
      <c r="Z6" s="26">
        <f>现金流量表!Z8</f>
        <v>7186047089.2200003</v>
      </c>
      <c r="AA6" s="26">
        <f>现金流量表!AA8</f>
        <v>4518082033.3100004</v>
      </c>
      <c r="AB6" s="26">
        <f>现金流量表!AB8</f>
        <v>1889341184.8</v>
      </c>
      <c r="AC6" s="26">
        <f>现金流量表!AC8</f>
        <v>12256607102.5</v>
      </c>
      <c r="AD6" s="26">
        <f>现金流量表!AD8</f>
        <v>7143672790.6000004</v>
      </c>
      <c r="AE6" s="26">
        <f>现金流量表!AE8</f>
        <v>4631927553.9499998</v>
      </c>
      <c r="AF6" s="26">
        <f>现金流量表!AF8</f>
        <v>2043123788.1500001</v>
      </c>
      <c r="AG6" s="26">
        <f>现金流量表!AG8</f>
        <v>10909832737.540001</v>
      </c>
      <c r="AH6" s="26">
        <f>现金流量表!AH8</f>
        <v>5478616986.8199997</v>
      </c>
      <c r="AI6" s="26">
        <f>现金流量表!AI8</f>
        <v>3663475663.4400001</v>
      </c>
      <c r="AJ6" s="26">
        <f>现金流量表!AJ8</f>
        <v>1829715181.54</v>
      </c>
      <c r="AK6" s="26">
        <f>现金流量表!AK8</f>
        <v>8044282244.7700005</v>
      </c>
      <c r="AL6" s="26">
        <f>现金流量表!AL8</f>
        <v>4076879214.3800001</v>
      </c>
      <c r="AM6" s="26">
        <f>现金流量表!AM8</f>
        <v>2614500747.4699998</v>
      </c>
      <c r="AN6" s="26">
        <f>现金流量表!AN8</f>
        <v>1196193835.49</v>
      </c>
      <c r="AO6" s="26">
        <f>现金流量表!AO8</f>
        <v>7985865765.5699997</v>
      </c>
      <c r="AP6" s="26">
        <f>现金流量表!AP8</f>
        <v>4818789192.6499996</v>
      </c>
      <c r="AQ6" s="26">
        <f>现金流量表!AQ8</f>
        <v>3377265188.46</v>
      </c>
      <c r="AR6" s="26">
        <f>现金流量表!AR8</f>
        <v>1485126561.6800001</v>
      </c>
      <c r="AS6" s="26">
        <f>现金流量表!AS8</f>
        <v>6837848966.7299995</v>
      </c>
      <c r="AT6" s="26">
        <f>现金流量表!AT8</f>
        <v>3755314668.9099998</v>
      </c>
      <c r="AU6" s="26">
        <f>现金流量表!AU8</f>
        <v>2299090807.5300002</v>
      </c>
      <c r="AV6" s="26">
        <f>现金流量表!AV8</f>
        <v>968047396.83000004</v>
      </c>
      <c r="AW6" s="26">
        <f>现金流量表!AW8</f>
        <v>4167401215.0599999</v>
      </c>
      <c r="AX6" s="26">
        <f>现金流量表!AX8</f>
        <v>2216109665.5799999</v>
      </c>
      <c r="AY6" s="26">
        <f>现金流量表!AY8</f>
        <v>1407138620.52</v>
      </c>
      <c r="AZ6" s="26">
        <f>现金流量表!AZ8</f>
        <v>627531350.44000006</v>
      </c>
      <c r="BA6" s="26">
        <f>现金流量表!BA8</f>
        <v>4326483377.9700003</v>
      </c>
      <c r="BB6" s="26">
        <f>现金流量表!BB8</f>
        <v>2037391837.54</v>
      </c>
      <c r="BC6" s="26">
        <f>现金流量表!BC8</f>
        <v>1289941533.3199999</v>
      </c>
      <c r="BD6" s="26">
        <f>现金流量表!BD8</f>
        <v>563062562.73000002</v>
      </c>
      <c r="BE6" s="26">
        <f>现金流量表!BE8</f>
        <v>4025540385.8000002</v>
      </c>
      <c r="BF6" s="26">
        <f>现金流量表!BF8</f>
        <v>1967715797.53</v>
      </c>
      <c r="BG6" s="26">
        <f>现金流量表!BG8</f>
        <v>1274272743.9300001</v>
      </c>
      <c r="BH6" s="26">
        <f>现金流量表!BH8</f>
        <v>607463156.39999998</v>
      </c>
      <c r="BI6" s="26">
        <f>现金流量表!BI8</f>
        <v>2722937856.8000002</v>
      </c>
      <c r="BJ6" s="26">
        <f>现金流量表!BJ8</f>
        <v>1165286157.6700001</v>
      </c>
      <c r="BK6" s="26">
        <f>现金流量表!BK8</f>
        <v>714807112.65999997</v>
      </c>
      <c r="BL6" s="26">
        <f>现金流量表!BL8</f>
        <v>358911948.73000002</v>
      </c>
      <c r="BM6" s="26">
        <f>现金流量表!BM8</f>
        <v>2600470981.4099998</v>
      </c>
      <c r="BN6" s="26">
        <f>现金流量表!BN8</f>
        <v>790098927.19000006</v>
      </c>
      <c r="BO6" s="26">
        <f>现金流量表!BO8</f>
        <v>1355543696.98</v>
      </c>
      <c r="BP6" s="26">
        <f>现金流量表!BP8</f>
        <v>542073313.75999999</v>
      </c>
      <c r="BQ6" s="26">
        <f>现金流量表!BQ8</f>
        <v>1043500080.21</v>
      </c>
      <c r="BR6" s="26">
        <f>现金流量表!BR8</f>
        <v>363723432.27999997</v>
      </c>
      <c r="BS6" s="26">
        <f>现金流量表!BS8</f>
        <v>678664210.58000004</v>
      </c>
      <c r="BT6" s="26">
        <f>现金流量表!BT8</f>
        <v>529409848.98000002</v>
      </c>
      <c r="BU6" s="26">
        <f>现金流量表!BU8</f>
        <v>195615521.28</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2692949193.4099998</v>
      </c>
      <c r="F7" s="26">
        <f>现金流量表!F9</f>
        <v>1993372878.29</v>
      </c>
      <c r="G7" s="26">
        <f>现金流量表!G9</f>
        <v>1333335034.4300001</v>
      </c>
      <c r="H7" s="26">
        <f>现金流量表!H9</f>
        <v>739173788.10000002</v>
      </c>
      <c r="I7" s="26">
        <f>现金流量表!I9</f>
        <v>2478454684.2800002</v>
      </c>
      <c r="J7" s="26">
        <f>现金流量表!J9</f>
        <v>1676421089.27</v>
      </c>
      <c r="K7" s="26">
        <f>现金流量表!K9</f>
        <v>1143364721.95</v>
      </c>
      <c r="L7" s="26">
        <f>现金流量表!L9</f>
        <v>641966190.70000005</v>
      </c>
      <c r="M7" s="26">
        <f>现金流量表!M9</f>
        <v>2221585833.8000002</v>
      </c>
      <c r="N7" s="26">
        <f>现金流量表!N9</f>
        <v>1586652999.8399999</v>
      </c>
      <c r="O7" s="26">
        <f>现金流量表!O9</f>
        <v>1071418570.13</v>
      </c>
      <c r="P7" s="26">
        <f>现金流量表!P9</f>
        <v>483822116.75</v>
      </c>
      <c r="Q7" s="26">
        <f>现金流量表!Q9</f>
        <v>1616474021.46</v>
      </c>
      <c r="R7" s="26">
        <f>现金流量表!R9</f>
        <v>1048197402.8099999</v>
      </c>
      <c r="S7" s="26">
        <f>现金流量表!S9</f>
        <v>702452391.13999999</v>
      </c>
      <c r="T7" s="26">
        <f>现金流量表!T9</f>
        <v>335082571.35000002</v>
      </c>
      <c r="U7" s="26">
        <f>现金流量表!U9</f>
        <v>1204304588</v>
      </c>
      <c r="V7" s="26">
        <f>现金流量表!V9</f>
        <v>857014268.19000006</v>
      </c>
      <c r="W7" s="26">
        <f>现金流量表!W9</f>
        <v>605830699.42999995</v>
      </c>
      <c r="X7" s="26">
        <f>现金流量表!X9</f>
        <v>288491065.56</v>
      </c>
      <c r="Y7" s="26">
        <f>现金流量表!Y9</f>
        <v>945728017.10000002</v>
      </c>
      <c r="Z7" s="26">
        <f>现金流量表!Z9</f>
        <v>671186080.90999997</v>
      </c>
      <c r="AA7" s="26">
        <f>现金流量表!AA9</f>
        <v>471678758.20999998</v>
      </c>
      <c r="AB7" s="26">
        <f>现金流量表!AB9</f>
        <v>227231774.86000001</v>
      </c>
      <c r="AC7" s="26">
        <f>现金流量表!AC9</f>
        <v>752591851.88999999</v>
      </c>
      <c r="AD7" s="26">
        <f>现金流量表!AD9</f>
        <v>483629238.5</v>
      </c>
      <c r="AE7" s="26">
        <f>现金流量表!AE9</f>
        <v>319019233.99000001</v>
      </c>
      <c r="AF7" s="26">
        <f>现金流量表!AF9</f>
        <v>171036030.41999999</v>
      </c>
      <c r="AG7" s="26">
        <f>现金流量表!AG9</f>
        <v>688630939.09000003</v>
      </c>
      <c r="AH7" s="26">
        <f>现金流量表!AH9</f>
        <v>541148107.97000003</v>
      </c>
      <c r="AI7" s="26">
        <f>现金流量表!AI9</f>
        <v>349786613.80000001</v>
      </c>
      <c r="AJ7" s="26">
        <f>现金流量表!AJ9</f>
        <v>187825430.59999999</v>
      </c>
      <c r="AK7" s="26">
        <f>现金流量表!AK9</f>
        <v>557886421.37</v>
      </c>
      <c r="AL7" s="26">
        <f>现金流量表!AL9</f>
        <v>357196534.43000001</v>
      </c>
      <c r="AM7" s="26">
        <f>现金流量表!AM9</f>
        <v>237341432.49000001</v>
      </c>
      <c r="AN7" s="26">
        <f>现金流量表!AN9</f>
        <v>118915832.59</v>
      </c>
      <c r="AO7" s="26">
        <f>现金流量表!AO9</f>
        <v>380088388.23000002</v>
      </c>
      <c r="AP7" s="26">
        <f>现金流量表!AP9</f>
        <v>276440272.19999999</v>
      </c>
      <c r="AQ7" s="26">
        <f>现金流量表!AQ9</f>
        <v>192042059.09</v>
      </c>
      <c r="AR7" s="26">
        <f>现金流量表!AR9</f>
        <v>119817881.34</v>
      </c>
      <c r="AS7" s="26">
        <f>现金流量表!AS9</f>
        <v>359719149.83999997</v>
      </c>
      <c r="AT7" s="26">
        <f>现金流量表!AT9</f>
        <v>276564356.66000003</v>
      </c>
      <c r="AU7" s="26">
        <f>现金流量表!AU9</f>
        <v>178365987</v>
      </c>
      <c r="AV7" s="26">
        <f>现金流量表!AV9</f>
        <v>109716084.56</v>
      </c>
      <c r="AW7" s="26">
        <f>现金流量表!AW9</f>
        <v>291308584.66000003</v>
      </c>
      <c r="AX7" s="26">
        <f>现金流量表!AX9</f>
        <v>198450036.72999999</v>
      </c>
      <c r="AY7" s="26">
        <f>现金流量表!AY9</f>
        <v>141042923.87</v>
      </c>
      <c r="AZ7" s="26">
        <f>现金流量表!AZ9</f>
        <v>89506205</v>
      </c>
      <c r="BA7" s="26">
        <f>现金流量表!BA9</f>
        <v>230308378.09999999</v>
      </c>
      <c r="BB7" s="26">
        <f>现金流量表!BB9</f>
        <v>143378848.05000001</v>
      </c>
      <c r="BC7" s="26">
        <f>现金流量表!BC9</f>
        <v>96335977.5</v>
      </c>
      <c r="BD7" s="26">
        <f>现金流量表!BD9</f>
        <v>35010482.579999998</v>
      </c>
      <c r="BE7" s="26">
        <f>现金流量表!BE9</f>
        <v>204829289.78</v>
      </c>
      <c r="BF7" s="26">
        <f>现金流量表!BF9</f>
        <v>123722822.84</v>
      </c>
      <c r="BG7" s="26">
        <f>现金流量表!BG9</f>
        <v>79191182.010000005</v>
      </c>
      <c r="BH7" s="26">
        <f>现金流量表!BH9</f>
        <v>40264409.18</v>
      </c>
      <c r="BI7" s="26">
        <f>现金流量表!BI9</f>
        <v>171362919.16999999</v>
      </c>
      <c r="BJ7" s="26">
        <f>现金流量表!BJ9</f>
        <v>91309434.549999997</v>
      </c>
      <c r="BK7" s="26">
        <f>现金流量表!BK9</f>
        <v>58734685.369999997</v>
      </c>
      <c r="BL7" s="26">
        <f>现金流量表!BL9</f>
        <v>30579322.02</v>
      </c>
      <c r="BM7" s="26">
        <f>现金流量表!BM9</f>
        <v>146949906.75</v>
      </c>
      <c r="BN7" s="26">
        <f>现金流量表!BN9</f>
        <v>41979440.479999997</v>
      </c>
      <c r="BO7" s="26">
        <f>现金流量表!BO9</f>
        <v>80359417.290000007</v>
      </c>
      <c r="BP7" s="26">
        <f>现金流量表!BP9</f>
        <v>0</v>
      </c>
      <c r="BQ7" s="26">
        <f>现金流量表!BQ9</f>
        <v>67794489.140000001</v>
      </c>
      <c r="BR7" s="26">
        <f>现金流量表!BR9</f>
        <v>32190823.5</v>
      </c>
      <c r="BS7" s="26">
        <f>现金流量表!BS9</f>
        <v>54487232.759999998</v>
      </c>
      <c r="BT7" s="26">
        <f>现金流量表!BT9</f>
        <v>33209246.420000002</v>
      </c>
      <c r="BU7" s="26">
        <f>现金流量表!BU9</f>
        <v>13125468.890000001</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490</v>
      </c>
      <c r="E8" s="58">
        <f>利润表!E6</f>
        <v>24478638345.450001</v>
      </c>
      <c r="F8" s="58">
        <f>利润表!F6</f>
        <v>14121403654.690001</v>
      </c>
      <c r="G8" s="58">
        <f>利润表!G6</f>
        <v>6990825699.3400002</v>
      </c>
      <c r="H8" s="58">
        <f>利润表!H6</f>
        <v>2939134421.02</v>
      </c>
      <c r="I8" s="58">
        <f>利润表!I6</f>
        <v>25876318999.369999</v>
      </c>
      <c r="J8" s="58">
        <f>利润表!J6</f>
        <v>16093040683.639999</v>
      </c>
      <c r="K8" s="58">
        <f>利润表!K6</f>
        <v>9971215461.4500008</v>
      </c>
      <c r="L8" s="58">
        <f>利润表!L6</f>
        <v>3888650143.8800001</v>
      </c>
      <c r="M8" s="58">
        <f>利润表!M6</f>
        <v>23305898509.150002</v>
      </c>
      <c r="N8" s="58">
        <f>利润表!N6</f>
        <v>14407927241.440001</v>
      </c>
      <c r="O8" s="58">
        <f>利润表!O6</f>
        <v>7958746567.7299995</v>
      </c>
      <c r="P8" s="58">
        <f>利润表!P6</f>
        <v>3293056646.0599999</v>
      </c>
      <c r="Q8" s="58">
        <f>利润表!Q6</f>
        <v>19481360598.02</v>
      </c>
      <c r="R8" s="58">
        <f>利润表!R6</f>
        <v>12084870421.18</v>
      </c>
      <c r="S8" s="58">
        <f>利润表!S6</f>
        <v>7507615942.46</v>
      </c>
      <c r="T8" s="58">
        <f>利润表!T6</f>
        <v>3549148936.71</v>
      </c>
      <c r="U8" s="58">
        <f>利润表!U6</f>
        <v>17794266439</v>
      </c>
      <c r="V8" s="58">
        <f>利润表!V6</f>
        <v>11179258927.299999</v>
      </c>
      <c r="W8" s="58">
        <f>利润表!W6</f>
        <v>7894081245.0500002</v>
      </c>
      <c r="X8" s="58">
        <f>利润表!X6</f>
        <v>3549456898.02</v>
      </c>
      <c r="Y8" s="58">
        <f>利润表!Y6</f>
        <v>15817656983.84</v>
      </c>
      <c r="Z8" s="58">
        <f>利润表!Z6</f>
        <v>10791637167.530001</v>
      </c>
      <c r="AA8" s="58">
        <f>利润表!AA6</f>
        <v>6740653410.54</v>
      </c>
      <c r="AB8" s="58">
        <f>利润表!AB6</f>
        <v>3240050083.3099999</v>
      </c>
      <c r="AC8" s="58">
        <f>利润表!AC6</f>
        <v>13850380881.74</v>
      </c>
      <c r="AD8" s="58">
        <f>利润表!AD6</f>
        <v>9101798182.5499992</v>
      </c>
      <c r="AE8" s="58">
        <f>利润表!AE6</f>
        <v>5305856182.1300001</v>
      </c>
      <c r="AF8" s="58">
        <f>利润表!AF6</f>
        <v>2442077334.04</v>
      </c>
      <c r="AG8" s="58">
        <f>利润表!AG6</f>
        <v>11142433611.040001</v>
      </c>
      <c r="AH8" s="58">
        <f>利润表!AH6</f>
        <v>7564867694.8900003</v>
      </c>
      <c r="AI8" s="58">
        <f>利润表!AI6</f>
        <v>4584544816.6199999</v>
      </c>
      <c r="AJ8" s="58">
        <f>利润表!AJ6</f>
        <v>1947669634.8099999</v>
      </c>
      <c r="AK8" s="58">
        <f>利润表!AK6</f>
        <v>7259352892.6700001</v>
      </c>
      <c r="AL8" s="58">
        <f>利润表!AL6</f>
        <v>4858571714.3999996</v>
      </c>
      <c r="AM8" s="58">
        <f>利润表!AM6</f>
        <v>2963452423.54</v>
      </c>
      <c r="AN8" s="58">
        <f>利润表!AN6</f>
        <v>1083319467.78</v>
      </c>
      <c r="AO8" s="58">
        <f>利润表!AO6</f>
        <v>7024011472.3500004</v>
      </c>
      <c r="AP8" s="58">
        <f>利润表!AP6</f>
        <v>5071120898.0299997</v>
      </c>
      <c r="AQ8" s="58">
        <f>利润表!AQ6</f>
        <v>3645150174.6799998</v>
      </c>
      <c r="AR8" s="58">
        <f>利润表!AR6</f>
        <v>1444690742.1300001</v>
      </c>
      <c r="AS8" s="58">
        <f>利润表!AS6</f>
        <v>6422600909.8599997</v>
      </c>
      <c r="AT8" s="58">
        <f>利润表!AT6</f>
        <v>4036392929.8899999</v>
      </c>
      <c r="AU8" s="58">
        <f>利润表!AU6</f>
        <v>2360176309.1399999</v>
      </c>
      <c r="AV8" s="58">
        <f>利润表!AV6</f>
        <v>1010554712.9</v>
      </c>
      <c r="AW8" s="58">
        <f>利润表!AW6</f>
        <v>4044004119.1300001</v>
      </c>
      <c r="AX8" s="58">
        <f>利润表!AX6</f>
        <v>2660021369.1700001</v>
      </c>
      <c r="AY8" s="58">
        <f>利润表!AY6</f>
        <v>1683552954.5899999</v>
      </c>
      <c r="AZ8" s="58">
        <f>利润表!AZ6</f>
        <v>732160459.53999996</v>
      </c>
      <c r="BA8" s="58">
        <f>利润表!BA6</f>
        <v>3730373976.7600002</v>
      </c>
      <c r="BB8" s="58">
        <f>利润表!BB6</f>
        <v>2427721005.29</v>
      </c>
      <c r="BC8" s="58">
        <f>利润表!BC6</f>
        <v>1410254715.55</v>
      </c>
      <c r="BD8" s="58">
        <f>利润表!BD6</f>
        <v>611087749.47000003</v>
      </c>
      <c r="BE8" s="58">
        <f>利润表!BE6</f>
        <v>3276574385.25</v>
      </c>
      <c r="BF8" s="58">
        <f>利润表!BF6</f>
        <v>2272572167.96</v>
      </c>
      <c r="BG8" s="58">
        <f>利润表!BG6</f>
        <v>1231601629.0599999</v>
      </c>
      <c r="BH8" s="58">
        <f>利润表!BH6</f>
        <v>450122432.81999999</v>
      </c>
      <c r="BI8" s="58">
        <f>利润表!BI6</f>
        <v>2658677990.2399998</v>
      </c>
      <c r="BJ8" s="58">
        <f>利润表!BJ6</f>
        <v>1542116118.54</v>
      </c>
      <c r="BK8" s="58">
        <f>利润表!BK6</f>
        <v>949358638.54999995</v>
      </c>
      <c r="BL8" s="58">
        <f>利润表!BL6</f>
        <v>583912373.85000002</v>
      </c>
      <c r="BM8" s="58">
        <f>利润表!BM6</f>
        <v>2185394749.9699998</v>
      </c>
      <c r="BN8" s="58">
        <f>利润表!BN6</f>
        <v>1477664672.4200001</v>
      </c>
      <c r="BO8" s="58">
        <f>利润表!BO6</f>
        <v>798471850.73000002</v>
      </c>
      <c r="BP8" s="58">
        <f>利润表!BP6</f>
        <v>285998870.98000002</v>
      </c>
      <c r="BQ8" s="58">
        <f>利润表!BQ6</f>
        <v>1251281550.24</v>
      </c>
      <c r="BR8" s="58">
        <f>利润表!BR6</f>
        <v>555472289.60000002</v>
      </c>
      <c r="BS8" s="58">
        <f>利润表!BS6</f>
        <v>954991664.87</v>
      </c>
      <c r="BT8" s="58">
        <f>利润表!BT6</f>
        <v>383723432.27999997</v>
      </c>
      <c r="BU8" s="58">
        <f>利润表!BU6</f>
        <v>550899618.62</v>
      </c>
      <c r="BV8" s="58">
        <f>利润表!BV6</f>
        <v>267579038.37</v>
      </c>
      <c r="BW8" s="58">
        <f>利润表!BW6</f>
        <v>454870147.83999997</v>
      </c>
      <c r="BX8" s="58">
        <f>利润表!BX6</f>
        <v>188374809.66999999</v>
      </c>
      <c r="BY8" s="58">
        <f>利润表!BY6</f>
        <v>350700596.99000001</v>
      </c>
      <c r="BZ8" s="58">
        <f>利润表!BZ6</f>
        <v>0</v>
      </c>
      <c r="CA8" s="58">
        <f>利润表!CA6</f>
        <v>369063910</v>
      </c>
      <c r="CB8" s="58">
        <f>利润表!CB6</f>
        <v>225141238</v>
      </c>
      <c r="CC8" s="58">
        <f>利润表!CC6</f>
        <v>121860020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491</v>
      </c>
      <c r="E9" s="58">
        <f>利润表!E7</f>
        <v>185639614.84</v>
      </c>
      <c r="F9" s="58">
        <f>利润表!F7</f>
        <v>128297438.25</v>
      </c>
      <c r="G9" s="58">
        <f>利润表!G7</f>
        <v>70517957.469999999</v>
      </c>
      <c r="H9" s="58">
        <f>利润表!H7</f>
        <v>29725850.300000001</v>
      </c>
      <c r="I9" s="58">
        <f>利润表!I7</f>
        <v>161368125.83000001</v>
      </c>
      <c r="J9" s="58">
        <f>利润表!J7</f>
        <v>80764424.370000005</v>
      </c>
      <c r="K9" s="58">
        <f>利润表!K7</f>
        <v>54553327.200000003</v>
      </c>
      <c r="L9" s="58">
        <f>利润表!L7</f>
        <v>18124933.739999998</v>
      </c>
      <c r="M9" s="58">
        <f>利润表!M7</f>
        <v>151755768.25</v>
      </c>
      <c r="N9" s="58">
        <f>利润表!N7</f>
        <v>121363808.81999999</v>
      </c>
      <c r="O9" s="58">
        <f>利润表!O7</f>
        <v>75151913.010000005</v>
      </c>
      <c r="P9" s="58">
        <f>利润表!P7</f>
        <v>14607386.41</v>
      </c>
      <c r="Q9" s="58">
        <f>利润表!Q7</f>
        <v>154579150.66999999</v>
      </c>
      <c r="R9" s="58">
        <f>利润表!R7</f>
        <v>93818123.319999993</v>
      </c>
      <c r="S9" s="58">
        <f>利润表!S7</f>
        <v>48617816</v>
      </c>
      <c r="T9" s="58">
        <f>利润表!T7</f>
        <v>14489892.67</v>
      </c>
      <c r="U9" s="58">
        <f>利润表!U7</f>
        <v>123587552.8</v>
      </c>
      <c r="V9" s="58">
        <f>利润表!V7</f>
        <v>65469458.539999999</v>
      </c>
      <c r="W9" s="58">
        <f>利润表!W7</f>
        <v>50885609.140000001</v>
      </c>
      <c r="X9" s="58">
        <f>利润表!X7</f>
        <v>10555770.99</v>
      </c>
      <c r="Y9" s="58">
        <f>利润表!Y7</f>
        <v>116779946.92</v>
      </c>
      <c r="Z9" s="58">
        <f>利润表!Z7</f>
        <v>75162927.530000001</v>
      </c>
      <c r="AA9" s="58">
        <f>利润表!AA7</f>
        <v>48269298.560000002</v>
      </c>
      <c r="AB9" s="58">
        <f>利润表!AB7</f>
        <v>16641759.460000001</v>
      </c>
      <c r="AC9" s="58">
        <f>利润表!AC7</f>
        <v>82419950.219999999</v>
      </c>
      <c r="AD9" s="58">
        <f>利润表!AD7</f>
        <v>51691894.829999998</v>
      </c>
      <c r="AE9" s="58">
        <f>利润表!AE7</f>
        <v>30965916.890000001</v>
      </c>
      <c r="AF9" s="58">
        <f>利润表!AF7</f>
        <v>18141306.559999999</v>
      </c>
      <c r="AG9" s="58">
        <f>利润表!AG7</f>
        <v>42289142.390000001</v>
      </c>
      <c r="AH9" s="58">
        <f>利润表!AH7</f>
        <v>29641626.420000002</v>
      </c>
      <c r="AI9" s="58">
        <f>利润表!AI7</f>
        <v>17449730.859999999</v>
      </c>
      <c r="AJ9" s="58">
        <f>利润表!AJ7</f>
        <v>8984216.3499999996</v>
      </c>
      <c r="AK9" s="58">
        <f>利润表!AK7</f>
        <v>38916368.479999997</v>
      </c>
      <c r="AL9" s="58">
        <f>利润表!AL7</f>
        <v>27959493</v>
      </c>
      <c r="AM9" s="58">
        <f>利润表!AM7</f>
        <v>17998343.210000001</v>
      </c>
      <c r="AN9" s="58">
        <f>利润表!AN7</f>
        <v>9292339.5299999993</v>
      </c>
      <c r="AO9" s="58">
        <f>利润表!AO7</f>
        <v>29973907.100000001</v>
      </c>
      <c r="AP9" s="58">
        <f>利润表!AP7</f>
        <v>18158860.969999999</v>
      </c>
      <c r="AQ9" s="58">
        <f>利润表!AQ7</f>
        <v>16801117.719999999</v>
      </c>
      <c r="AR9" s="58">
        <f>利润表!AR7</f>
        <v>7243207.25</v>
      </c>
      <c r="AS9" s="58">
        <f>利润表!AS7</f>
        <v>79172020.239999995</v>
      </c>
      <c r="AT9" s="58">
        <f>利润表!AT7</f>
        <v>17198553.170000002</v>
      </c>
      <c r="AU9" s="58">
        <f>利润表!AU7</f>
        <v>11824130.48</v>
      </c>
      <c r="AV9" s="58">
        <f>利润表!AV7</f>
        <v>6513616.3399999999</v>
      </c>
      <c r="AW9" s="58">
        <f>利润表!AW7</f>
        <v>37625834.859999999</v>
      </c>
      <c r="AX9" s="58">
        <f>利润表!AX7</f>
        <v>16027684.460000001</v>
      </c>
      <c r="AY9" s="58">
        <f>利润表!AY7</f>
        <v>10436146.32</v>
      </c>
      <c r="AZ9" s="58">
        <f>利润表!AZ7</f>
        <v>3713359.4</v>
      </c>
      <c r="BA9" s="58">
        <f>利润表!BA7</f>
        <v>20823501.93</v>
      </c>
      <c r="BB9" s="58">
        <f>利润表!BB7</f>
        <v>12541004.550000001</v>
      </c>
      <c r="BC9" s="58">
        <f>利润表!BC7</f>
        <v>8667088.5800000001</v>
      </c>
      <c r="BD9" s="58">
        <f>利润表!BD7</f>
        <v>5334592.7699999996</v>
      </c>
      <c r="BE9" s="58">
        <f>利润表!BE7</f>
        <v>13688847.07</v>
      </c>
      <c r="BF9" s="58">
        <f>利润表!BF7</f>
        <v>10872380.720000001</v>
      </c>
      <c r="BG9" s="58">
        <f>利润表!BG7</f>
        <v>5218882.84</v>
      </c>
      <c r="BH9" s="58">
        <f>利润表!BH7</f>
        <v>2867333.97</v>
      </c>
      <c r="BI9" s="58">
        <f>利润表!BI7</f>
        <v>12766571.560000001</v>
      </c>
      <c r="BJ9" s="58">
        <f>利润表!BJ7</f>
        <v>7756698.7800000003</v>
      </c>
      <c r="BK9" s="58">
        <f>利润表!BK7</f>
        <v>5220937.96</v>
      </c>
      <c r="BL9" s="58">
        <f>利润表!BL7</f>
        <v>5216740.7699999996</v>
      </c>
      <c r="BM9" s="58">
        <f>利润表!BM7</f>
        <v>8231378.9400000004</v>
      </c>
      <c r="BN9" s="58">
        <f>利润表!BN7</f>
        <v>6717289.6699999999</v>
      </c>
      <c r="BO9" s="58">
        <f>利润表!BO7</f>
        <v>3001526.26</v>
      </c>
      <c r="BP9" s="58">
        <f>利润表!BP7</f>
        <v>2352525.83</v>
      </c>
      <c r="BQ9" s="58">
        <f>利润表!BQ7</f>
        <v>7826994.4699999997</v>
      </c>
      <c r="BR9" s="58">
        <f>利润表!BR7</f>
        <v>3883780.13</v>
      </c>
      <c r="BS9" s="58">
        <f>利润表!BS7</f>
        <v>6746639.4900000002</v>
      </c>
      <c r="BT9" s="58">
        <f>利润表!BT7</f>
        <v>3543698.72</v>
      </c>
      <c r="BU9" s="58">
        <f>利润表!BU7</f>
        <v>2694070.68</v>
      </c>
      <c r="BV9" s="58">
        <f>利润表!BV7</f>
        <v>1625630.23</v>
      </c>
      <c r="BW9" s="58">
        <f>利润表!BW7</f>
        <v>1242815.3899999999</v>
      </c>
      <c r="BX9" s="58">
        <f>利润表!BX7</f>
        <v>1062317.1599999999</v>
      </c>
      <c r="BY9" s="58">
        <f>利润表!BY7</f>
        <v>971693.92</v>
      </c>
      <c r="BZ9" s="58">
        <f>利润表!BZ7</f>
        <v>0</v>
      </c>
      <c r="CA9" s="58">
        <f>利润表!CA7</f>
        <v>1224034</v>
      </c>
      <c r="CB9" s="58">
        <f>利润表!CB7</f>
        <v>734461</v>
      </c>
      <c r="CC9" s="58">
        <f>利润表!CC7</f>
        <v>430700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492</v>
      </c>
      <c r="E10" s="58">
        <f>利润表!E8</f>
        <v>2353432561.25</v>
      </c>
      <c r="F10" s="58">
        <f>利润表!F8</f>
        <v>1328312996.5699999</v>
      </c>
      <c r="G10" s="58">
        <f>利润表!G8</f>
        <v>706513406.10000002</v>
      </c>
      <c r="H10" s="58">
        <f>利润表!H8</f>
        <v>236390665.97</v>
      </c>
      <c r="I10" s="58">
        <f>利润表!I8</f>
        <v>2926673958.9200001</v>
      </c>
      <c r="J10" s="58">
        <f>利润表!J8</f>
        <v>1502320466.1800001</v>
      </c>
      <c r="K10" s="58">
        <f>利润表!K8</f>
        <v>968054175.01999998</v>
      </c>
      <c r="L10" s="58">
        <f>利润表!L8</f>
        <v>349205247.36000001</v>
      </c>
      <c r="M10" s="58">
        <f>利润表!M8</f>
        <v>2034365059.76</v>
      </c>
      <c r="N10" s="58">
        <f>利润表!N8</f>
        <v>1185418868</v>
      </c>
      <c r="O10" s="58">
        <f>利润表!O8</f>
        <v>671568493.53999996</v>
      </c>
      <c r="P10" s="58">
        <f>利润表!P8</f>
        <v>281531935.98000002</v>
      </c>
      <c r="Q10" s="58">
        <f>利润表!Q8</f>
        <v>1518055430.49</v>
      </c>
      <c r="R10" s="58">
        <f>利润表!R8</f>
        <v>834689212.35000002</v>
      </c>
      <c r="S10" s="58">
        <f>利润表!S8</f>
        <v>524951624.47000003</v>
      </c>
      <c r="T10" s="58">
        <f>利润表!T8</f>
        <v>224688189.40000001</v>
      </c>
      <c r="U10" s="58">
        <f>利润表!U8</f>
        <v>1241389817.24</v>
      </c>
      <c r="V10" s="58">
        <f>利润表!V8</f>
        <v>730132314.66999996</v>
      </c>
      <c r="W10" s="58">
        <f>利润表!W8</f>
        <v>520987767.81999999</v>
      </c>
      <c r="X10" s="58">
        <f>利润表!X8</f>
        <v>239085592.90000001</v>
      </c>
      <c r="Y10" s="58">
        <f>利润表!Y8</f>
        <v>1149954983.3900001</v>
      </c>
      <c r="Z10" s="58">
        <f>利润表!Z8</f>
        <v>767392718.36000001</v>
      </c>
      <c r="AA10" s="58">
        <f>利润表!AA8</f>
        <v>510109959.39999998</v>
      </c>
      <c r="AB10" s="58">
        <f>利润表!AB8</f>
        <v>238871637.58000001</v>
      </c>
      <c r="AC10" s="58">
        <f>利润表!AC8</f>
        <v>927571001.59000003</v>
      </c>
      <c r="AD10" s="58">
        <f>利润表!AD8</f>
        <v>541675821.89999998</v>
      </c>
      <c r="AE10" s="58">
        <f>利润表!AE8</f>
        <v>320176213.88</v>
      </c>
      <c r="AF10" s="58">
        <f>利润表!AF8</f>
        <v>159218674.22999999</v>
      </c>
      <c r="AG10" s="58">
        <f>利润表!AG8</f>
        <v>720775641.63999999</v>
      </c>
      <c r="AH10" s="58">
        <f>利润表!AH8</f>
        <v>447289241.69999999</v>
      </c>
      <c r="AI10" s="58">
        <f>利润表!AI8</f>
        <v>258986451.05000001</v>
      </c>
      <c r="AJ10" s="58">
        <f>利润表!AJ8</f>
        <v>143674381.62</v>
      </c>
      <c r="AK10" s="58">
        <f>利润表!AK8</f>
        <v>470415363.69999999</v>
      </c>
      <c r="AL10" s="58">
        <f>利润表!AL8</f>
        <v>282404551.30000001</v>
      </c>
      <c r="AM10" s="58">
        <f>利润表!AM8</f>
        <v>170096735.83000001</v>
      </c>
      <c r="AN10" s="58">
        <f>利润表!AN8</f>
        <v>70892092.219999999</v>
      </c>
      <c r="AO10" s="58">
        <f>利润表!AO8</f>
        <v>405353055.02999997</v>
      </c>
      <c r="AP10" s="58">
        <f>利润表!AP8</f>
        <v>255641174.88999999</v>
      </c>
      <c r="AQ10" s="58">
        <f>利润表!AQ8</f>
        <v>171286300.63</v>
      </c>
      <c r="AR10" s="58">
        <f>利润表!AR8</f>
        <v>86046021.439999998</v>
      </c>
      <c r="AS10" s="58">
        <f>利润表!AS8</f>
        <v>410999664.69</v>
      </c>
      <c r="AT10" s="58">
        <f>利润表!AT8</f>
        <v>250382271.30000001</v>
      </c>
      <c r="AU10" s="58">
        <f>利润表!AU8</f>
        <v>160542836.91</v>
      </c>
      <c r="AV10" s="58">
        <f>利润表!AV8</f>
        <v>76433822.829999998</v>
      </c>
      <c r="AW10" s="58">
        <f>利润表!AW8</f>
        <v>334663982.06999999</v>
      </c>
      <c r="AX10" s="58">
        <f>利润表!AX8</f>
        <v>235133700.47999999</v>
      </c>
      <c r="AY10" s="58">
        <f>利润表!AY8</f>
        <v>151285312.56</v>
      </c>
      <c r="AZ10" s="58">
        <f>利润表!AZ8</f>
        <v>54471960.229999997</v>
      </c>
      <c r="BA10" s="58">
        <f>利润表!BA8</f>
        <v>305756609.54000002</v>
      </c>
      <c r="BB10" s="58">
        <f>利润表!BB8</f>
        <v>181225555.91</v>
      </c>
      <c r="BC10" s="58">
        <f>利润表!BC8</f>
        <v>94180585.439999998</v>
      </c>
      <c r="BD10" s="58">
        <f>利润表!BD8</f>
        <v>35197472.590000004</v>
      </c>
      <c r="BE10" s="58">
        <f>利润表!BE8</f>
        <v>241528132.36000001</v>
      </c>
      <c r="BF10" s="58">
        <f>利润表!BF8</f>
        <v>162478232.75999999</v>
      </c>
      <c r="BG10" s="58">
        <f>利润表!BG8</f>
        <v>79362335.939999998</v>
      </c>
      <c r="BH10" s="58">
        <f>利润表!BH8</f>
        <v>35416428.619999997</v>
      </c>
      <c r="BI10" s="58">
        <f>利润表!BI8</f>
        <v>193566859.59</v>
      </c>
      <c r="BJ10" s="58">
        <f>利润表!BJ8</f>
        <v>116783462.20999999</v>
      </c>
      <c r="BK10" s="58">
        <f>利润表!BK8</f>
        <v>80727007.510000005</v>
      </c>
      <c r="BL10" s="58">
        <f>利润表!BL8</f>
        <v>40066641.75</v>
      </c>
      <c r="BM10" s="58">
        <f>利润表!BM8</f>
        <v>154938525.41999999</v>
      </c>
      <c r="BN10" s="58">
        <f>利润表!BN8</f>
        <v>96274222.920000002</v>
      </c>
      <c r="BO10" s="58">
        <f>利润表!BO8</f>
        <v>58895417.530000001</v>
      </c>
      <c r="BP10" s="58">
        <f>利润表!BP8</f>
        <v>26507627.449999999</v>
      </c>
      <c r="BQ10" s="58">
        <f>利润表!BQ8</f>
        <v>64709098.049999997</v>
      </c>
      <c r="BR10" s="58">
        <f>利润表!BR8</f>
        <v>34037263.399999999</v>
      </c>
      <c r="BS10" s="58">
        <f>利润表!BS8</f>
        <v>31769993.309999999</v>
      </c>
      <c r="BT10" s="58">
        <f>利润表!BT8</f>
        <v>9285876.6099999994</v>
      </c>
      <c r="BU10" s="58">
        <f>利润表!BU8</f>
        <v>16375695.550000001</v>
      </c>
      <c r="BV10" s="58">
        <f>利润表!BV8</f>
        <v>7252156.5800000001</v>
      </c>
      <c r="BW10" s="58">
        <f>利润表!BW8</f>
        <v>11269225.09</v>
      </c>
      <c r="BX10" s="58">
        <f>利润表!BX8</f>
        <v>3916037.15</v>
      </c>
      <c r="BY10" s="58">
        <f>利润表!BY8</f>
        <v>11101935.949999999</v>
      </c>
      <c r="BZ10" s="58">
        <f>利润表!BZ8</f>
        <v>0</v>
      </c>
      <c r="CA10" s="58">
        <f>利润表!CA8</f>
        <v>7030640</v>
      </c>
      <c r="CB10" s="58">
        <f>利润表!CB8</f>
        <v>4451221</v>
      </c>
      <c r="CC10" s="58">
        <f>利润表!CC8</f>
        <v>2763600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493</v>
      </c>
      <c r="E11" s="58">
        <f>利润表!E9</f>
        <v>2051275833.0599999</v>
      </c>
      <c r="F11" s="58">
        <f>利润表!F9</f>
        <v>1102439012.6400001</v>
      </c>
      <c r="G11" s="58">
        <f>利润表!G9</f>
        <v>681167145.64999998</v>
      </c>
      <c r="H11" s="58">
        <f>利润表!H9</f>
        <v>394099300.13999999</v>
      </c>
      <c r="I11" s="58">
        <f>利润表!I9</f>
        <v>1825537916.75</v>
      </c>
      <c r="J11" s="58">
        <f>利润表!J9</f>
        <v>1179240233.48</v>
      </c>
      <c r="K11" s="58">
        <f>利润表!K9</f>
        <v>762850423.29999995</v>
      </c>
      <c r="L11" s="58">
        <f>利润表!L9</f>
        <v>383664873.14999998</v>
      </c>
      <c r="M11" s="58">
        <f>利润表!M9</f>
        <v>1812930608.9200001</v>
      </c>
      <c r="N11" s="58">
        <f>利润表!N9</f>
        <v>1196003215.73</v>
      </c>
      <c r="O11" s="58">
        <f>利润表!O9</f>
        <v>782642166.84000003</v>
      </c>
      <c r="P11" s="58">
        <f>利润表!P9</f>
        <v>366029342.07999998</v>
      </c>
      <c r="Q11" s="58">
        <f>利润表!Q9</f>
        <v>1452376480.1600001</v>
      </c>
      <c r="R11" s="58">
        <f>利润表!R9</f>
        <v>813320411.19000006</v>
      </c>
      <c r="S11" s="58">
        <f>利润表!S9</f>
        <v>549893109.62</v>
      </c>
      <c r="T11" s="58">
        <f>利润表!T9</f>
        <v>296527579.26999998</v>
      </c>
      <c r="U11" s="58">
        <f>利润表!U9</f>
        <v>1071030306.22</v>
      </c>
      <c r="V11" s="58">
        <f>利润表!V9</f>
        <v>723793176.41999996</v>
      </c>
      <c r="W11" s="58">
        <f>利润表!W9</f>
        <v>480316564.81999999</v>
      </c>
      <c r="X11" s="58">
        <f>利润表!X9</f>
        <v>239543726.65000001</v>
      </c>
      <c r="Y11" s="58">
        <f>利润表!Y9</f>
        <v>880513246.49000001</v>
      </c>
      <c r="Z11" s="58">
        <f>利润表!Z9</f>
        <v>588699251.63</v>
      </c>
      <c r="AA11" s="58">
        <f>利润表!AA9</f>
        <v>359948868.73000002</v>
      </c>
      <c r="AB11" s="58">
        <f>利润表!AB9</f>
        <v>179197381.71000001</v>
      </c>
      <c r="AC11" s="58">
        <f>利润表!AC9</f>
        <v>698998678.25999999</v>
      </c>
      <c r="AD11" s="58">
        <f>利润表!AD9</f>
        <v>462580285.74000001</v>
      </c>
      <c r="AE11" s="58">
        <f>利润表!AE9</f>
        <v>275696964.37</v>
      </c>
      <c r="AF11" s="58">
        <f>利润表!AF9</f>
        <v>133452455.86</v>
      </c>
      <c r="AG11" s="58">
        <f>利润表!AG9</f>
        <v>523426742.54000002</v>
      </c>
      <c r="AH11" s="58">
        <f>利润表!AH9</f>
        <v>374846325.30000001</v>
      </c>
      <c r="AI11" s="58">
        <f>利润表!AI9</f>
        <v>224473640.03999999</v>
      </c>
      <c r="AJ11" s="58">
        <f>利润表!AJ9</f>
        <v>100851848.41</v>
      </c>
      <c r="AK11" s="58">
        <f>利润表!AK9</f>
        <v>358150786.63</v>
      </c>
      <c r="AL11" s="58">
        <f>利润表!AL9</f>
        <v>280716465.63</v>
      </c>
      <c r="AM11" s="58">
        <f>利润表!AM9</f>
        <v>183887667.75999999</v>
      </c>
      <c r="AN11" s="58">
        <f>利润表!AN9</f>
        <v>94098554.109999999</v>
      </c>
      <c r="AO11" s="58">
        <f>利润表!AO9</f>
        <v>410060735.70999998</v>
      </c>
      <c r="AP11" s="58">
        <f>利润表!AP9</f>
        <v>313364207.63</v>
      </c>
      <c r="AQ11" s="58">
        <f>利润表!AQ9</f>
        <v>221626498.81</v>
      </c>
      <c r="AR11" s="58">
        <f>利润表!AR9</f>
        <v>126883062.36</v>
      </c>
      <c r="AS11" s="58">
        <f>利润表!AS9</f>
        <v>369681844.36000001</v>
      </c>
      <c r="AT11" s="58">
        <f>利润表!AT9</f>
        <v>250554601.13999999</v>
      </c>
      <c r="AU11" s="58">
        <f>利润表!AU9</f>
        <v>155761236</v>
      </c>
      <c r="AV11" s="58">
        <f>利润表!AV9</f>
        <v>68630785.109999999</v>
      </c>
      <c r="AW11" s="58">
        <f>利润表!AW9</f>
        <v>281010186.29000002</v>
      </c>
      <c r="AX11" s="58">
        <f>利润表!AX9</f>
        <v>177974375.25999999</v>
      </c>
      <c r="AY11" s="58">
        <f>利润表!AY9</f>
        <v>109110684.33</v>
      </c>
      <c r="AZ11" s="58">
        <f>利润表!AZ9</f>
        <v>55182171.57</v>
      </c>
      <c r="BA11" s="58">
        <f>利润表!BA9</f>
        <v>291412597.25999999</v>
      </c>
      <c r="BB11" s="58">
        <f>利润表!BB9</f>
        <v>176286507.25999999</v>
      </c>
      <c r="BC11" s="58">
        <f>利润表!BC9</f>
        <v>105140169.63</v>
      </c>
      <c r="BD11" s="58">
        <f>利润表!BD9</f>
        <v>49172531.189999998</v>
      </c>
      <c r="BE11" s="58">
        <f>利润表!BE9</f>
        <v>240598845.02000001</v>
      </c>
      <c r="BF11" s="58">
        <f>利润表!BF9</f>
        <v>185177144.90000001</v>
      </c>
      <c r="BG11" s="58">
        <f>利润表!BG9</f>
        <v>104756543.64</v>
      </c>
      <c r="BH11" s="58">
        <f>利润表!BH9</f>
        <v>51311269.859999999</v>
      </c>
      <c r="BI11" s="58">
        <f>利润表!BI9</f>
        <v>207612352.59</v>
      </c>
      <c r="BJ11" s="58">
        <f>利润表!BJ9</f>
        <v>178422651.16</v>
      </c>
      <c r="BK11" s="58">
        <f>利润表!BK9</f>
        <v>118867271.18000001</v>
      </c>
      <c r="BL11" s="58">
        <f>利润表!BL9</f>
        <v>85282478.069999993</v>
      </c>
      <c r="BM11" s="58">
        <f>利润表!BM9</f>
        <v>157493020.16999999</v>
      </c>
      <c r="BN11" s="58">
        <f>利润表!BN9</f>
        <v>165111587.21000001</v>
      </c>
      <c r="BO11" s="58">
        <f>利润表!BO9</f>
        <v>87847561.030000001</v>
      </c>
      <c r="BP11" s="58">
        <f>利润表!BP9</f>
        <v>33555535.149999999</v>
      </c>
      <c r="BQ11" s="58">
        <f>利润表!BQ9</f>
        <v>128357653.31999999</v>
      </c>
      <c r="BR11" s="58">
        <f>利润表!BR9</f>
        <v>74118774.290000007</v>
      </c>
      <c r="BS11" s="58">
        <f>利润表!BS9</f>
        <v>94748656.430000007</v>
      </c>
      <c r="BT11" s="58">
        <f>利润表!BT9</f>
        <v>40470603.82</v>
      </c>
      <c r="BU11" s="58">
        <f>利润表!BU9</f>
        <v>48361994.43</v>
      </c>
      <c r="BV11" s="58">
        <f>利润表!BV9</f>
        <v>16586491.119999999</v>
      </c>
      <c r="BW11" s="58">
        <f>利润表!BW9</f>
        <v>31127259.690000001</v>
      </c>
      <c r="BX11" s="58">
        <f>利润表!BX9</f>
        <v>6316654.54</v>
      </c>
      <c r="BY11" s="58">
        <f>利润表!BY9</f>
        <v>22011099.829999998</v>
      </c>
      <c r="BZ11" s="58">
        <f>利润表!BZ9</f>
        <v>0</v>
      </c>
      <c r="CA11" s="58">
        <f>利润表!CA9</f>
        <v>23754785</v>
      </c>
      <c r="CB11" s="58">
        <f>利润表!CB9</f>
        <v>16103087</v>
      </c>
      <c r="CC11" s="58">
        <f>利润表!CC9</f>
        <v>5569596</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494</v>
      </c>
      <c r="E12" s="58">
        <f>SUM(E8:E11)</f>
        <v>29068986354.600002</v>
      </c>
      <c r="F12" s="58">
        <f t="shared" ref="F12:BQ12" si="4">SUM(F8:F11)</f>
        <v>16680453102.15</v>
      </c>
      <c r="G12" s="58">
        <f t="shared" si="4"/>
        <v>8449024208.5600004</v>
      </c>
      <c r="H12" s="58">
        <f t="shared" si="4"/>
        <v>3599350237.4299998</v>
      </c>
      <c r="I12" s="58">
        <f t="shared" si="4"/>
        <v>30789899000.870003</v>
      </c>
      <c r="J12" s="58">
        <f t="shared" si="4"/>
        <v>18855365807.669998</v>
      </c>
      <c r="K12" s="58">
        <f t="shared" si="4"/>
        <v>11756673386.970001</v>
      </c>
      <c r="L12" s="58">
        <f t="shared" si="4"/>
        <v>4639645198.1300001</v>
      </c>
      <c r="M12" s="58">
        <f t="shared" si="4"/>
        <v>27304949946.080002</v>
      </c>
      <c r="N12" s="58">
        <f t="shared" si="4"/>
        <v>16910713133.99</v>
      </c>
      <c r="O12" s="58">
        <f t="shared" si="4"/>
        <v>9488109141.1199989</v>
      </c>
      <c r="P12" s="58">
        <f t="shared" si="4"/>
        <v>3955225310.5299997</v>
      </c>
      <c r="Q12" s="58">
        <f t="shared" si="4"/>
        <v>22606371659.34</v>
      </c>
      <c r="R12" s="58">
        <f t="shared" si="4"/>
        <v>13826698168.040001</v>
      </c>
      <c r="S12" s="58">
        <f t="shared" si="4"/>
        <v>8631078492.5500011</v>
      </c>
      <c r="T12" s="58">
        <f t="shared" si="4"/>
        <v>4084854598.0500002</v>
      </c>
      <c r="U12" s="58">
        <f t="shared" si="4"/>
        <v>20230274115.260002</v>
      </c>
      <c r="V12" s="58">
        <f t="shared" si="4"/>
        <v>12698653876.93</v>
      </c>
      <c r="W12" s="58">
        <f t="shared" si="4"/>
        <v>8946271186.8299999</v>
      </c>
      <c r="X12" s="58">
        <f t="shared" si="4"/>
        <v>4038641988.5599999</v>
      </c>
      <c r="Y12" s="58">
        <f t="shared" si="4"/>
        <v>17964905160.639999</v>
      </c>
      <c r="Z12" s="58">
        <f t="shared" si="4"/>
        <v>12222892065.050001</v>
      </c>
      <c r="AA12" s="58">
        <f t="shared" si="4"/>
        <v>7658981537.2299995</v>
      </c>
      <c r="AB12" s="58">
        <f t="shared" si="4"/>
        <v>3674760862.0599999</v>
      </c>
      <c r="AC12" s="58">
        <f t="shared" si="4"/>
        <v>15559370511.809999</v>
      </c>
      <c r="AD12" s="58">
        <f t="shared" si="4"/>
        <v>10157746185.019999</v>
      </c>
      <c r="AE12" s="58">
        <f t="shared" si="4"/>
        <v>5932695277.2700005</v>
      </c>
      <c r="AF12" s="58">
        <f t="shared" si="4"/>
        <v>2752889770.6900001</v>
      </c>
      <c r="AG12" s="58">
        <f t="shared" si="4"/>
        <v>12428925137.610001</v>
      </c>
      <c r="AH12" s="58">
        <f t="shared" si="4"/>
        <v>8416644888.3100004</v>
      </c>
      <c r="AI12" s="58">
        <f t="shared" si="4"/>
        <v>5085454638.5699997</v>
      </c>
      <c r="AJ12" s="58">
        <f t="shared" si="4"/>
        <v>2201180081.1899996</v>
      </c>
      <c r="AK12" s="58">
        <f t="shared" si="4"/>
        <v>8126835411.4799995</v>
      </c>
      <c r="AL12" s="58">
        <f t="shared" si="4"/>
        <v>5449652224.3299999</v>
      </c>
      <c r="AM12" s="58">
        <f t="shared" si="4"/>
        <v>3335435170.3400002</v>
      </c>
      <c r="AN12" s="58">
        <f t="shared" si="4"/>
        <v>1257602453.6399999</v>
      </c>
      <c r="AO12" s="58">
        <f t="shared" si="4"/>
        <v>7869399170.1900005</v>
      </c>
      <c r="AP12" s="58">
        <f t="shared" si="4"/>
        <v>5658285141.5200005</v>
      </c>
      <c r="AQ12" s="58">
        <f t="shared" si="4"/>
        <v>4054864091.8399997</v>
      </c>
      <c r="AR12" s="58">
        <f t="shared" si="4"/>
        <v>1664863033.1800001</v>
      </c>
      <c r="AS12" s="58">
        <f t="shared" si="4"/>
        <v>7282454439.1499987</v>
      </c>
      <c r="AT12" s="58">
        <f t="shared" si="4"/>
        <v>4554528355.5</v>
      </c>
      <c r="AU12" s="58">
        <f t="shared" si="4"/>
        <v>2688304512.5299997</v>
      </c>
      <c r="AV12" s="58">
        <f t="shared" si="4"/>
        <v>1162132937.1799998</v>
      </c>
      <c r="AW12" s="58">
        <f t="shared" si="4"/>
        <v>4697304122.3500004</v>
      </c>
      <c r="AX12" s="58">
        <f t="shared" si="4"/>
        <v>3089157129.3699999</v>
      </c>
      <c r="AY12" s="58">
        <f t="shared" si="4"/>
        <v>1954385097.7999997</v>
      </c>
      <c r="AZ12" s="58">
        <f t="shared" si="4"/>
        <v>845527950.74000001</v>
      </c>
      <c r="BA12" s="58">
        <f t="shared" si="4"/>
        <v>4348366685.4899998</v>
      </c>
      <c r="BB12" s="58">
        <f t="shared" si="4"/>
        <v>2797774073.0100002</v>
      </c>
      <c r="BC12" s="58">
        <f t="shared" si="4"/>
        <v>1618242559.1999998</v>
      </c>
      <c r="BD12" s="58">
        <f t="shared" si="4"/>
        <v>700792346.01999998</v>
      </c>
      <c r="BE12" s="58">
        <f t="shared" si="4"/>
        <v>3772390209.7000003</v>
      </c>
      <c r="BF12" s="58">
        <f t="shared" si="4"/>
        <v>2631099926.3399997</v>
      </c>
      <c r="BG12" s="58">
        <f t="shared" si="4"/>
        <v>1420939391.48</v>
      </c>
      <c r="BH12" s="58">
        <f t="shared" si="4"/>
        <v>539717465.26999998</v>
      </c>
      <c r="BI12" s="58">
        <f t="shared" si="4"/>
        <v>3072623773.98</v>
      </c>
      <c r="BJ12" s="58">
        <f t="shared" si="4"/>
        <v>1845078930.6900001</v>
      </c>
      <c r="BK12" s="58">
        <f t="shared" si="4"/>
        <v>1154173855.2</v>
      </c>
      <c r="BL12" s="58">
        <f t="shared" si="4"/>
        <v>714478234.44000006</v>
      </c>
      <c r="BM12" s="58">
        <f t="shared" si="4"/>
        <v>2506057674.5</v>
      </c>
      <c r="BN12" s="58">
        <f t="shared" si="4"/>
        <v>1745767772.2200003</v>
      </c>
      <c r="BO12" s="58">
        <f t="shared" si="4"/>
        <v>948216355.54999995</v>
      </c>
      <c r="BP12" s="58">
        <f t="shared" si="4"/>
        <v>348414559.40999997</v>
      </c>
      <c r="BQ12" s="58">
        <f t="shared" si="4"/>
        <v>1452175296.0799999</v>
      </c>
      <c r="BR12" s="58">
        <f t="shared" ref="BR12:CL12" si="5">SUM(BR8:BR11)</f>
        <v>667512107.41999996</v>
      </c>
      <c r="BS12" s="58">
        <f t="shared" si="5"/>
        <v>1088256954.0999999</v>
      </c>
      <c r="BT12" s="58">
        <f t="shared" si="5"/>
        <v>437023611.43000001</v>
      </c>
      <c r="BU12" s="58">
        <f t="shared" si="5"/>
        <v>618331379.27999985</v>
      </c>
      <c r="BV12" s="58">
        <f t="shared" si="5"/>
        <v>293043316.30000001</v>
      </c>
      <c r="BW12" s="58">
        <f t="shared" si="5"/>
        <v>498509448.00999993</v>
      </c>
      <c r="BX12" s="58">
        <f t="shared" si="5"/>
        <v>199669818.51999998</v>
      </c>
      <c r="BY12" s="58">
        <f t="shared" si="5"/>
        <v>384785326.69</v>
      </c>
      <c r="BZ12" s="58">
        <f t="shared" si="5"/>
        <v>0</v>
      </c>
      <c r="CA12" s="58">
        <f t="shared" si="5"/>
        <v>401073369</v>
      </c>
      <c r="CB12" s="58">
        <f t="shared" si="5"/>
        <v>246430007</v>
      </c>
      <c r="CC12" s="58">
        <f t="shared" si="5"/>
        <v>130623916</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0.82416640357039039</v>
      </c>
      <c r="F13" s="28">
        <f t="shared" ref="F13:BQ13" si="6">(F6/(1+F4)+F7)/F12</f>
        <v>1.0437457483777803</v>
      </c>
      <c r="G13" s="28">
        <f t="shared" si="6"/>
        <v>1.4116811373201612</v>
      </c>
      <c r="H13" s="28">
        <f t="shared" si="6"/>
        <v>1.9244062373394404</v>
      </c>
      <c r="I13" s="28">
        <f t="shared" si="6"/>
        <v>0.67268046551448557</v>
      </c>
      <c r="J13" s="28">
        <f t="shared" si="6"/>
        <v>0.78291739576142449</v>
      </c>
      <c r="K13" s="28">
        <f t="shared" si="6"/>
        <v>0.87140700444132857</v>
      </c>
      <c r="L13" s="28">
        <f t="shared" si="6"/>
        <v>1.2962795275931156</v>
      </c>
      <c r="M13" s="28">
        <f t="shared" si="6"/>
        <v>0.74094642248908293</v>
      </c>
      <c r="N13" s="28">
        <f t="shared" si="6"/>
        <v>0.69999561308613656</v>
      </c>
      <c r="O13" s="28">
        <f t="shared" si="6"/>
        <v>0.73477232376561119</v>
      </c>
      <c r="P13" s="28">
        <f t="shared" si="6"/>
        <v>0.95216396064800679</v>
      </c>
      <c r="Q13" s="28">
        <f t="shared" si="6"/>
        <v>0.57163449821228984</v>
      </c>
      <c r="R13" s="28">
        <f t="shared" si="6"/>
        <v>0.62932889714536455</v>
      </c>
      <c r="S13" s="28">
        <f t="shared" si="6"/>
        <v>0.60708416804660947</v>
      </c>
      <c r="T13" s="28">
        <f t="shared" si="6"/>
        <v>0.60251109336143482</v>
      </c>
      <c r="U13" s="28">
        <f t="shared" si="6"/>
        <v>0.71785477046114787</v>
      </c>
      <c r="V13" s="28">
        <f t="shared" si="6"/>
        <v>0.58892406096657157</v>
      </c>
      <c r="W13" s="28">
        <f t="shared" si="6"/>
        <v>0.5401348479546022</v>
      </c>
      <c r="X13" s="28">
        <f t="shared" si="6"/>
        <v>0.66067560130195813</v>
      </c>
      <c r="Y13" s="28">
        <f t="shared" si="6"/>
        <v>0.61328495676892036</v>
      </c>
      <c r="Z13" s="28">
        <f t="shared" si="6"/>
        <v>0.55740545148625198</v>
      </c>
      <c r="AA13" s="28">
        <f t="shared" si="6"/>
        <v>0.56577853238380305</v>
      </c>
      <c r="AB13" s="28">
        <f t="shared" si="6"/>
        <v>0.50127161180699698</v>
      </c>
      <c r="AC13" s="28">
        <f t="shared" si="6"/>
        <v>0.72164387432041044</v>
      </c>
      <c r="AD13" s="28">
        <f t="shared" si="6"/>
        <v>0.6487002488845991</v>
      </c>
      <c r="AE13" s="28">
        <f t="shared" si="6"/>
        <v>0.7210772630870812</v>
      </c>
      <c r="AF13" s="28">
        <f t="shared" si="6"/>
        <v>0.69646656354529268</v>
      </c>
      <c r="AG13" s="28">
        <f t="shared" si="6"/>
        <v>0.8056428205693007</v>
      </c>
      <c r="AH13" s="28">
        <f t="shared" si="6"/>
        <v>0.62064240543627847</v>
      </c>
      <c r="AI13" s="28">
        <f t="shared" si="6"/>
        <v>0.68449384409350966</v>
      </c>
      <c r="AJ13" s="28">
        <f t="shared" si="6"/>
        <v>0.7957933905954544</v>
      </c>
      <c r="AK13" s="28">
        <f t="shared" si="6"/>
        <v>0.91466615909674542</v>
      </c>
      <c r="AL13" s="28">
        <f t="shared" si="6"/>
        <v>0.70494565989392999</v>
      </c>
      <c r="AM13" s="28">
        <f t="shared" si="6"/>
        <v>0.74111992280654992</v>
      </c>
      <c r="AN13" s="28">
        <f t="shared" si="6"/>
        <v>0.90752345693013836</v>
      </c>
      <c r="AO13" s="28">
        <f t="shared" si="6"/>
        <v>0.91564991529270712</v>
      </c>
      <c r="AP13" s="28">
        <f t="shared" si="6"/>
        <v>0.77674832636669466</v>
      </c>
      <c r="AQ13" s="28">
        <f t="shared" si="6"/>
        <v>0.75923469504528174</v>
      </c>
      <c r="AR13" s="28">
        <f t="shared" si="6"/>
        <v>0.83439706165705108</v>
      </c>
      <c r="AS13" s="28">
        <f t="shared" si="6"/>
        <v>0.85191532028913275</v>
      </c>
      <c r="AT13" s="28">
        <f t="shared" si="6"/>
        <v>0.76544369509481558</v>
      </c>
      <c r="AU13" s="28">
        <f t="shared" si="6"/>
        <v>0.79730583170192504</v>
      </c>
      <c r="AV13" s="28">
        <f t="shared" si="6"/>
        <v>0.80636818047296455</v>
      </c>
      <c r="AW13" s="28">
        <f t="shared" si="6"/>
        <v>0.82029816777659725</v>
      </c>
      <c r="AX13" s="28">
        <f t="shared" si="6"/>
        <v>0.67738893632736852</v>
      </c>
      <c r="AY13" s="28">
        <f t="shared" si="6"/>
        <v>0.68754387608850609</v>
      </c>
      <c r="AZ13" s="28">
        <f t="shared" si="6"/>
        <v>0.74019763158024932</v>
      </c>
      <c r="BA13" s="28">
        <f t="shared" si="6"/>
        <v>0.90336388423906622</v>
      </c>
      <c r="BB13" s="28">
        <f t="shared" si="6"/>
        <v>0.67365675132169478</v>
      </c>
      <c r="BC13" s="28">
        <f t="shared" si="6"/>
        <v>0.74083461822645602</v>
      </c>
      <c r="BD13" s="28">
        <f t="shared" si="6"/>
        <v>0.7366811854144466</v>
      </c>
      <c r="BE13" s="28">
        <f t="shared" si="6"/>
        <v>0.96635339811412946</v>
      </c>
      <c r="BF13" s="28">
        <f t="shared" si="6"/>
        <v>0.68622676726263876</v>
      </c>
      <c r="BG13" s="28">
        <f t="shared" si="6"/>
        <v>0.82221183561678934</v>
      </c>
      <c r="BH13" s="28">
        <f t="shared" si="6"/>
        <v>1.0365862217826891</v>
      </c>
      <c r="BI13" s="28">
        <f t="shared" si="6"/>
        <v>0.81320083956706957</v>
      </c>
      <c r="BJ13" s="28">
        <f t="shared" si="6"/>
        <v>0.58928671906465069</v>
      </c>
      <c r="BK13" s="28">
        <f t="shared" si="6"/>
        <v>0.58022535555590715</v>
      </c>
      <c r="BL13" s="28">
        <f t="shared" si="6"/>
        <v>0.47215108186785415</v>
      </c>
      <c r="BM13" s="28">
        <f t="shared" si="6"/>
        <v>0.94553876444949203</v>
      </c>
      <c r="BN13" s="28">
        <f t="shared" si="6"/>
        <v>0.4108665999346508</v>
      </c>
      <c r="BO13" s="28">
        <f t="shared" si="6"/>
        <v>1.3066045174516421</v>
      </c>
      <c r="BP13" s="28">
        <f t="shared" si="6"/>
        <v>1.3297679791733152</v>
      </c>
      <c r="BQ13" s="28">
        <f t="shared" si="6"/>
        <v>0.66085334337145285</v>
      </c>
      <c r="BR13" s="28">
        <f t="shared" ref="BR13:CK13" si="7">(BR6/(1+BR4)+BR7)/BR12</f>
        <v>0.51394656086528012</v>
      </c>
      <c r="BS13" s="28">
        <f t="shared" si="7"/>
        <v>0.58308114752400553</v>
      </c>
      <c r="BT13" s="28">
        <f t="shared" si="7"/>
        <v>1.1113731252208385</v>
      </c>
      <c r="BU13" s="28">
        <f t="shared" si="7"/>
        <v>0.29162068781101841</v>
      </c>
      <c r="BV13" s="28">
        <f t="shared" si="7"/>
        <v>0</v>
      </c>
      <c r="BW13" s="28">
        <f t="shared" si="7"/>
        <v>0</v>
      </c>
      <c r="BX13" s="28">
        <f t="shared" si="7"/>
        <v>0</v>
      </c>
      <c r="BY13" s="28">
        <f t="shared" si="7"/>
        <v>0</v>
      </c>
      <c r="BZ13" s="28" t="e">
        <f t="shared" si="7"/>
        <v>#DIV/0!</v>
      </c>
      <c r="CA13" s="28">
        <f t="shared" si="7"/>
        <v>0</v>
      </c>
      <c r="CB13" s="28">
        <f t="shared" si="7"/>
        <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-1748962140.49</v>
      </c>
      <c r="F14" s="26">
        <f>现金流量表!F13</f>
        <v>-4018790100.96</v>
      </c>
      <c r="G14" s="26">
        <f>现金流量表!G13</f>
        <v>-4493028590.3199997</v>
      </c>
      <c r="H14" s="26">
        <f>现金流量表!H13</f>
        <v>-3333736415.5799999</v>
      </c>
      <c r="I14" s="26">
        <f>现金流量表!I13</f>
        <v>3532331689.8000002</v>
      </c>
      <c r="J14" s="26">
        <f>现金流量表!J13</f>
        <v>-1372759082.9400001</v>
      </c>
      <c r="K14" s="26">
        <f>现金流量表!K13</f>
        <v>-1864769333.72</v>
      </c>
      <c r="L14" s="26">
        <f>现金流量表!L13</f>
        <v>-1956386396.3199999</v>
      </c>
      <c r="M14" s="26">
        <f>现金流量表!M13</f>
        <v>6009740480.1000004</v>
      </c>
      <c r="N14" s="26">
        <f>现金流量表!N13</f>
        <v>5016798560.6400003</v>
      </c>
      <c r="O14" s="26">
        <f>现金流量表!O13</f>
        <v>1861427620.1600001</v>
      </c>
      <c r="P14" s="26">
        <f>现金流量表!P13</f>
        <v>-308709675.41000003</v>
      </c>
      <c r="Q14" s="26">
        <f>现金流量表!Q13</f>
        <v>3205260757.9299998</v>
      </c>
      <c r="R14" s="26">
        <f>现金流量表!R13</f>
        <v>2323847789.0999999</v>
      </c>
      <c r="S14" s="26">
        <f>现金流量表!S13</f>
        <v>1529550905.22</v>
      </c>
      <c r="T14" s="26">
        <f>现金流量表!T13</f>
        <v>590472314.78999996</v>
      </c>
      <c r="U14" s="26">
        <f>现金流量表!U13</f>
        <v>1936967616.95</v>
      </c>
      <c r="V14" s="26">
        <f>现金流量表!V13</f>
        <v>2758002518.5100002</v>
      </c>
      <c r="W14" s="26">
        <f>现金流量表!W13</f>
        <v>1336851537.0599999</v>
      </c>
      <c r="X14" s="26">
        <f>现金流量表!X13</f>
        <v>-414216429.92000002</v>
      </c>
      <c r="Y14" s="26">
        <f>现金流量表!Y13</f>
        <v>1372155761.8199999</v>
      </c>
      <c r="Z14" s="26">
        <f>现金流量表!Z13</f>
        <v>1916400102.73</v>
      </c>
      <c r="AA14" s="26">
        <f>现金流量表!AA13</f>
        <v>1332079213.3099999</v>
      </c>
      <c r="AB14" s="26">
        <f>现金流量表!AB13</f>
        <v>811439629.33000004</v>
      </c>
      <c r="AC14" s="26">
        <f>现金流量表!AC13</f>
        <v>1446257945.8299999</v>
      </c>
      <c r="AD14" s="26">
        <f>现金流量表!AD13</f>
        <v>994639463.90999997</v>
      </c>
      <c r="AE14" s="26">
        <f>现金流量表!AE13</f>
        <v>533961400.69999999</v>
      </c>
      <c r="AF14" s="26">
        <f>现金流量表!AF13</f>
        <v>379924617.75999999</v>
      </c>
      <c r="AG14" s="26">
        <f>现金流量表!AG13</f>
        <v>1317701489.8900001</v>
      </c>
      <c r="AH14" s="26">
        <f>现金流量表!AH13</f>
        <v>2171253524.3299999</v>
      </c>
      <c r="AI14" s="26">
        <f>现金流量表!AI13</f>
        <v>1015484466.1799999</v>
      </c>
      <c r="AJ14" s="26">
        <f>现金流量表!AJ13</f>
        <v>344399893.80000001</v>
      </c>
      <c r="AK14" s="26">
        <f>现金流量表!AK13</f>
        <v>72946056.640000001</v>
      </c>
      <c r="AL14" s="26">
        <f>现金流量表!AL13</f>
        <v>840764580.45000005</v>
      </c>
      <c r="AM14" s="26">
        <f>现金流量表!AM13</f>
        <v>245393006.91</v>
      </c>
      <c r="AN14" s="26">
        <f>现金流量表!AN13</f>
        <v>-196925535.59</v>
      </c>
      <c r="AO14" s="26">
        <f>现金流量表!AO13</f>
        <v>964232710.99000001</v>
      </c>
      <c r="AP14" s="26">
        <f>现金流量表!AP13</f>
        <v>480875519.33999997</v>
      </c>
      <c r="AQ14" s="26">
        <f>现金流量表!AQ13</f>
        <v>329889963.55000001</v>
      </c>
      <c r="AR14" s="26">
        <f>现金流量表!AR13</f>
        <v>95270754.269999996</v>
      </c>
      <c r="AS14" s="26">
        <f>现金流量表!AS13</f>
        <v>589503959.94000006</v>
      </c>
      <c r="AT14" s="26">
        <f>现金流量表!AT13</f>
        <v>355676867.05000001</v>
      </c>
      <c r="AU14" s="26">
        <f>现金流量表!AU13</f>
        <v>13124558.050000001</v>
      </c>
      <c r="AV14" s="26">
        <f>现金流量表!AV13</f>
        <v>19293015.57</v>
      </c>
      <c r="AW14" s="26">
        <f>现金流量表!AW13</f>
        <v>942252876.02999997</v>
      </c>
      <c r="AX14" s="26">
        <f>现金流量表!AX13</f>
        <v>581104757.72000003</v>
      </c>
      <c r="AY14" s="26">
        <f>现金流量表!AY13</f>
        <v>376180666.48000002</v>
      </c>
      <c r="AZ14" s="26">
        <f>现金流量表!AZ13</f>
        <v>97681337.989999995</v>
      </c>
      <c r="BA14" s="26">
        <f>现金流量表!BA13</f>
        <v>506167455.94</v>
      </c>
      <c r="BB14" s="26">
        <f>现金流量表!BB13</f>
        <v>422438764.75</v>
      </c>
      <c r="BC14" s="26">
        <f>现金流量表!BC13</f>
        <v>161645392.78999999</v>
      </c>
      <c r="BD14" s="26">
        <f>现金流量表!BD13</f>
        <v>-39250504.810000002</v>
      </c>
      <c r="BE14" s="26">
        <f>现金流量表!BE13</f>
        <v>436747598.63999999</v>
      </c>
      <c r="BF14" s="26">
        <f>现金流量表!BF13</f>
        <v>217851203.97</v>
      </c>
      <c r="BG14" s="26">
        <f>现金流量表!BG13</f>
        <v>-39278311.390000001</v>
      </c>
      <c r="BH14" s="26">
        <f>现金流量表!BH13</f>
        <v>-65525450.590000004</v>
      </c>
      <c r="BI14" s="26">
        <f>现金流量表!BI13</f>
        <v>131076566.94</v>
      </c>
      <c r="BJ14" s="26">
        <f>现金流量表!BJ13</f>
        <v>83283483.200000003</v>
      </c>
      <c r="BK14" s="26">
        <f>现金流量表!BK13</f>
        <v>-32028227.379999999</v>
      </c>
      <c r="BL14" s="26">
        <f>现金流量表!BL13</f>
        <v>3757509.42</v>
      </c>
      <c r="BM14" s="26">
        <f>现金流量表!BM13</f>
        <v>273627892.05000001</v>
      </c>
      <c r="BN14" s="26">
        <f>现金流量表!BN13</f>
        <v>92638784.040000007</v>
      </c>
      <c r="BO14" s="26">
        <f>现金流量表!BO13</f>
        <v>97798745.280000001</v>
      </c>
      <c r="BP14" s="26">
        <f>现金流量表!BP13</f>
        <v>55599297.850000001</v>
      </c>
      <c r="BQ14" s="26">
        <f>现金流量表!BQ13</f>
        <v>219082456.00999999</v>
      </c>
      <c r="BR14" s="26">
        <f>现金流量表!BR13</f>
        <v>41660870.359999999</v>
      </c>
      <c r="BS14" s="26">
        <f>现金流量表!BS13</f>
        <v>22365969.879999999</v>
      </c>
      <c r="BT14" s="26">
        <f>现金流量表!BT13</f>
        <v>17378872.219999999</v>
      </c>
      <c r="BU14" s="26">
        <f>现金流量表!BU13</f>
        <v>-23452349.030000001</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3095384625.9483867</v>
      </c>
      <c r="F15" s="26">
        <f>股权价值增加表!F17</f>
        <v>1856598104.8921204</v>
      </c>
      <c r="G15" s="26">
        <f>股权价值增加表!G17</f>
        <v>750500333.84514523</v>
      </c>
      <c r="H15" s="26">
        <f>股权价值增加表!H17</f>
        <v>284819934.01386189</v>
      </c>
      <c r="I15" s="26">
        <f>股权价值增加表!I17</f>
        <v>4267600376.5592198</v>
      </c>
      <c r="J15" s="26">
        <f>股权价值增加表!J17</f>
        <v>2419550366.9987845</v>
      </c>
      <c r="K15" s="26">
        <f>股权价值增加表!K17</f>
        <v>1319111579.7266903</v>
      </c>
      <c r="L15" s="26">
        <f>股权价值增加表!L17</f>
        <v>495462584.27277845</v>
      </c>
      <c r="M15" s="26">
        <f>股权价值增加表!M17</f>
        <v>3453581379.3923969</v>
      </c>
      <c r="N15" s="26">
        <f>股权价值增加表!N17</f>
        <v>1870608763.1307969</v>
      </c>
      <c r="O15" s="26">
        <f>股权价值增加表!O17</f>
        <v>889641223.41347229</v>
      </c>
      <c r="P15" s="26">
        <f>股权价值增加表!P17</f>
        <v>326143464.65726501</v>
      </c>
      <c r="Q15" s="26">
        <f>股权价值增加表!Q17</f>
        <v>2523554654.1348829</v>
      </c>
      <c r="R15" s="26">
        <f>股权价值增加表!R17</f>
        <v>1033441001.9126641</v>
      </c>
      <c r="S15" s="26">
        <f>股权价值增加表!S17</f>
        <v>629711754.66873181</v>
      </c>
      <c r="T15" s="26">
        <f>股权价值增加表!T17</f>
        <v>253710060.01093599</v>
      </c>
      <c r="U15" s="26">
        <f>股权价值增加表!U17</f>
        <v>1773680541.4003735</v>
      </c>
      <c r="V15" s="26">
        <f>股权价值增加表!V17</f>
        <v>874809722.1404326</v>
      </c>
      <c r="W15" s="26">
        <f>股权价值增加表!W17</f>
        <v>619294209.39212155</v>
      </c>
      <c r="X15" s="26">
        <f>股权价值增加表!X17</f>
        <v>245506060.41715002</v>
      </c>
      <c r="Y15" s="26">
        <f>股权价值增加表!Y17</f>
        <v>1461406891.5593734</v>
      </c>
      <c r="Z15" s="26">
        <f>股权价值增加表!Z17</f>
        <v>886331722.13141119</v>
      </c>
      <c r="AA15" s="26">
        <f>股权价值增加表!AA17</f>
        <v>518674631.90894401</v>
      </c>
      <c r="AB15" s="26">
        <f>股权价值增加表!AB17</f>
        <v>217423792.4087764</v>
      </c>
      <c r="AC15" s="26">
        <f>股权价值增加表!AC17</f>
        <v>1152642099.3689842</v>
      </c>
      <c r="AD15" s="26">
        <f>股权价值增加表!AD17</f>
        <v>688618100.28682411</v>
      </c>
      <c r="AE15" s="26">
        <f>股权价值增加表!AE17</f>
        <v>406565555.74809575</v>
      </c>
      <c r="AF15" s="26">
        <f>股权价值增加表!AF17</f>
        <v>165844437.79608873</v>
      </c>
      <c r="AG15" s="26">
        <f>股权价值增加表!AG17</f>
        <v>852515463.03624678</v>
      </c>
      <c r="AH15" s="26">
        <f>股权价值增加表!AH17</f>
        <v>544439988.11063159</v>
      </c>
      <c r="AI15" s="26">
        <f>股权价值增加表!AI17</f>
        <v>359021602.1454249</v>
      </c>
      <c r="AJ15" s="26">
        <f>股权价值增加表!AJ17</f>
        <v>148501715.80425435</v>
      </c>
      <c r="AK15" s="26">
        <f>股权价值增加表!AK17</f>
        <v>565060863.92979777</v>
      </c>
      <c r="AL15" s="26">
        <f>股权价值增加表!AL17</f>
        <v>324087120.1839996</v>
      </c>
      <c r="AM15" s="26">
        <f>股权价值增加表!AM17</f>
        <v>181307046.41304189</v>
      </c>
      <c r="AN15" s="26">
        <f>股权价值增加表!AN17</f>
        <v>56171966.818133965</v>
      </c>
      <c r="AO15" s="26">
        <f>股权价值增加表!AO17</f>
        <v>261595377.17470032</v>
      </c>
      <c r="AP15" s="26">
        <f>股权价值增加表!AP17</f>
        <v>88201042.073253393</v>
      </c>
      <c r="AQ15" s="26">
        <f>股权价值增加表!AQ17</f>
        <v>184124308.77610385</v>
      </c>
      <c r="AR15" s="26">
        <f>股权价值增加表!AR17</f>
        <v>60342509.199521653</v>
      </c>
      <c r="AS15" s="26">
        <f>股权价值增加表!AS17</f>
        <v>401836476.17868435</v>
      </c>
      <c r="AT15" s="26">
        <f>股权价值增加表!AT17</f>
        <v>147867323.19410557</v>
      </c>
      <c r="AU15" s="26">
        <f>股权价值增加表!AU17</f>
        <v>90314673.243622646</v>
      </c>
      <c r="AV15" s="26">
        <f>股权价值增加表!AV17</f>
        <v>36871983.305569068</v>
      </c>
      <c r="AW15" s="26">
        <f>股权价值增加表!AW17</f>
        <v>167350900.51504111</v>
      </c>
      <c r="AX15" s="26">
        <f>股权价值增加表!AX17</f>
        <v>60267965.041016489</v>
      </c>
      <c r="AY15" s="26">
        <f>股权价值增加表!AY17</f>
        <v>41165398.477783687</v>
      </c>
      <c r="AZ15" s="26">
        <f>股权价值增加表!AZ17</f>
        <v>24034003.00288273</v>
      </c>
      <c r="BA15" s="26">
        <f>股权价值增加表!BA17</f>
        <v>145636106.75642031</v>
      </c>
      <c r="BB15" s="26">
        <f>股权价值增加表!BB17</f>
        <v>92426431.122305095</v>
      </c>
      <c r="BC15" s="26">
        <f>股权价值增加表!BC17</f>
        <v>50872771.903626308</v>
      </c>
      <c r="BD15" s="26">
        <f>股权价值增加表!BD17</f>
        <v>24123507.727772966</v>
      </c>
      <c r="BE15" s="26">
        <f>股权价值增加表!BE17</f>
        <v>121498577.79538681</v>
      </c>
      <c r="BF15" s="26">
        <f>股权价值增加表!BF17</f>
        <v>78734666.702965945</v>
      </c>
      <c r="BG15" s="26">
        <f>股权价值增加表!BG17</f>
        <v>38100241.003878444</v>
      </c>
      <c r="BH15" s="26">
        <f>股权价值增加表!BH17</f>
        <v>19803668.132732451</v>
      </c>
      <c r="BI15" s="26">
        <f>股权价值增加表!BI17</f>
        <v>122389775.90195173</v>
      </c>
      <c r="BJ15" s="26">
        <f>股权价值增加表!BJ17</f>
        <v>63498742.786346152</v>
      </c>
      <c r="BK15" s="26">
        <f>股权价值增加表!BK17</f>
        <v>26420851.595960688</v>
      </c>
      <c r="BL15" s="26">
        <f>股权价值增加表!BL17</f>
        <v>21397607.540797055</v>
      </c>
      <c r="BM15" s="26">
        <f>股权价值增加表!BM17</f>
        <v>93432710.045941308</v>
      </c>
      <c r="BN15" s="26">
        <f>股权价值增加表!BN17</f>
        <v>52972029.790829621</v>
      </c>
      <c r="BO15" s="26">
        <f>股权价值增加表!BO17</f>
        <v>27740979.540014792</v>
      </c>
      <c r="BP15" s="26">
        <f>股权价值增加表!BP17</f>
        <v>10112245.639373686</v>
      </c>
      <c r="BQ15" s="26">
        <f>股权价值增加表!BQ17</f>
        <v>89864325.499530107</v>
      </c>
      <c r="BR15" s="26">
        <f>股权价值增加表!BR17</f>
        <v>24116484.194998045</v>
      </c>
      <c r="BS15" s="26">
        <f>股权价值增加表!BS17</f>
        <v>77921846.500596225</v>
      </c>
      <c r="BT15" s="26">
        <f>股权价值增加表!BT17</f>
        <v>21436149.692562066</v>
      </c>
      <c r="BU15" s="26">
        <f>股权价值增加表!BU17</f>
        <v>53101994.405817918</v>
      </c>
      <c r="BV15" s="26">
        <f>股权价值增加表!BV17</f>
        <v>17415170.902142704</v>
      </c>
      <c r="BW15" s="26">
        <f>股权价值增加表!BW17</f>
        <v>48223781.99733144</v>
      </c>
      <c r="BX15" s="26">
        <f>股权价值增加表!BX17</f>
        <v>23104125.654620718</v>
      </c>
      <c r="BY15" s="26">
        <f>股权价值增加表!BY17</f>
        <v>43728772.053297594</v>
      </c>
      <c r="BZ15" s="26">
        <f>股权价值增加表!BZ17</f>
        <v>153922774.69915965</v>
      </c>
      <c r="CA15" s="26">
        <f>股权价值增加表!CA17</f>
        <v>26737844.754418835</v>
      </c>
      <c r="CB15" s="26">
        <f>股权价值增加表!CB17</f>
        <v>18587190.270854674</v>
      </c>
      <c r="CC15" s="26">
        <f>股权价值增加表!CC17</f>
        <v>4896856.1222940776</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-0.56502255836918491</v>
      </c>
      <c r="F16" s="28">
        <f t="shared" ref="F16:BQ16" si="8">F14/F15</f>
        <v>-2.1645988382571986</v>
      </c>
      <c r="G16" s="28">
        <f t="shared" si="8"/>
        <v>-5.9867109815930748</v>
      </c>
      <c r="H16" s="28">
        <f t="shared" si="8"/>
        <v>-11.704715918576648</v>
      </c>
      <c r="I16" s="28">
        <f t="shared" si="8"/>
        <v>0.82770910537972286</v>
      </c>
      <c r="J16" s="28">
        <f t="shared" si="8"/>
        <v>-0.5673612344109924</v>
      </c>
      <c r="K16" s="28">
        <f t="shared" si="8"/>
        <v>-1.4136554953951399</v>
      </c>
      <c r="L16" s="28">
        <f t="shared" si="8"/>
        <v>-3.9486057240659478</v>
      </c>
      <c r="M16" s="28">
        <f t="shared" si="8"/>
        <v>1.7401473484772261</v>
      </c>
      <c r="N16" s="28">
        <f t="shared" si="8"/>
        <v>2.6819069062006822</v>
      </c>
      <c r="O16" s="28">
        <f t="shared" si="8"/>
        <v>2.0923351696966916</v>
      </c>
      <c r="P16" s="28">
        <f t="shared" si="8"/>
        <v>-0.94654564283363563</v>
      </c>
      <c r="Q16" s="28">
        <f t="shared" si="8"/>
        <v>1.2701372457609075</v>
      </c>
      <c r="R16" s="28">
        <f t="shared" si="8"/>
        <v>2.2486506581402197</v>
      </c>
      <c r="S16" s="28">
        <f t="shared" si="8"/>
        <v>2.4289699118363139</v>
      </c>
      <c r="T16" s="28">
        <f t="shared" si="8"/>
        <v>2.3273508144081796</v>
      </c>
      <c r="U16" s="28">
        <f t="shared" si="8"/>
        <v>1.0920611529180484</v>
      </c>
      <c r="V16" s="28">
        <f t="shared" si="8"/>
        <v>3.1526884632259038</v>
      </c>
      <c r="W16" s="28">
        <f t="shared" si="8"/>
        <v>2.1586695253814963</v>
      </c>
      <c r="X16" s="28">
        <f t="shared" si="8"/>
        <v>-1.6871943169801464</v>
      </c>
      <c r="Y16" s="28">
        <f t="shared" si="8"/>
        <v>0.93892793974432454</v>
      </c>
      <c r="Z16" s="28">
        <f t="shared" si="8"/>
        <v>2.1621702742642745</v>
      </c>
      <c r="AA16" s="28">
        <f t="shared" si="8"/>
        <v>2.5682366774086867</v>
      </c>
      <c r="AB16" s="28">
        <f t="shared" si="8"/>
        <v>3.7320645562304429</v>
      </c>
      <c r="AC16" s="28">
        <f t="shared" si="8"/>
        <v>1.2547328842333245</v>
      </c>
      <c r="AD16" s="28">
        <f t="shared" si="8"/>
        <v>1.4443992446549276</v>
      </c>
      <c r="AE16" s="28">
        <f t="shared" si="8"/>
        <v>1.3133463795709186</v>
      </c>
      <c r="AF16" s="28">
        <f t="shared" si="8"/>
        <v>2.2908493212605054</v>
      </c>
      <c r="AG16" s="28">
        <f t="shared" si="8"/>
        <v>1.5456628612893264</v>
      </c>
      <c r="AH16" s="28">
        <f t="shared" si="8"/>
        <v>3.988049319934956</v>
      </c>
      <c r="AI16" s="28">
        <f t="shared" si="8"/>
        <v>2.8284773398361387</v>
      </c>
      <c r="AJ16" s="28">
        <f t="shared" si="8"/>
        <v>2.319164407864259</v>
      </c>
      <c r="AK16" s="28">
        <f t="shared" si="8"/>
        <v>0.12909415834019378</v>
      </c>
      <c r="AL16" s="28">
        <f t="shared" si="8"/>
        <v>2.5942548410213222</v>
      </c>
      <c r="AM16" s="28">
        <f t="shared" si="8"/>
        <v>1.3534664634653066</v>
      </c>
      <c r="AN16" s="28">
        <f t="shared" si="8"/>
        <v>-3.5057618015687257</v>
      </c>
      <c r="AO16" s="28">
        <f t="shared" si="8"/>
        <v>3.685969994592297</v>
      </c>
      <c r="AP16" s="28">
        <f t="shared" si="8"/>
        <v>5.4520389786395</v>
      </c>
      <c r="AQ16" s="28">
        <f t="shared" si="8"/>
        <v>1.7916698003800682</v>
      </c>
      <c r="AR16" s="28">
        <f t="shared" si="8"/>
        <v>1.5788331564898734</v>
      </c>
      <c r="AS16" s="28">
        <f t="shared" si="8"/>
        <v>1.4670245109303262</v>
      </c>
      <c r="AT16" s="28">
        <f t="shared" si="8"/>
        <v>2.4053784119910162</v>
      </c>
      <c r="AU16" s="28">
        <f t="shared" si="8"/>
        <v>0.14532032922930119</v>
      </c>
      <c r="AV16" s="28">
        <f t="shared" si="8"/>
        <v>0.52324322806595602</v>
      </c>
      <c r="AW16" s="28">
        <f t="shared" si="8"/>
        <v>5.6304021856477098</v>
      </c>
      <c r="AX16" s="28">
        <f t="shared" si="8"/>
        <v>9.6420172362633831</v>
      </c>
      <c r="AY16" s="28">
        <f t="shared" si="8"/>
        <v>9.1382734138482533</v>
      </c>
      <c r="AZ16" s="28">
        <f t="shared" si="8"/>
        <v>4.0642974862857315</v>
      </c>
      <c r="BA16" s="28">
        <f t="shared" si="8"/>
        <v>3.4755629439241775</v>
      </c>
      <c r="BB16" s="28">
        <f t="shared" si="8"/>
        <v>4.5705406951286429</v>
      </c>
      <c r="BC16" s="28">
        <f t="shared" si="8"/>
        <v>3.1774441757610932</v>
      </c>
      <c r="BD16" s="28">
        <f t="shared" si="8"/>
        <v>-1.6270645733999785</v>
      </c>
      <c r="BE16" s="28">
        <f t="shared" si="8"/>
        <v>3.5946725185171915</v>
      </c>
      <c r="BF16" s="28">
        <f t="shared" si="8"/>
        <v>2.7669032345290097</v>
      </c>
      <c r="BG16" s="28">
        <f t="shared" si="8"/>
        <v>-1.0309202869872038</v>
      </c>
      <c r="BH16" s="28">
        <f t="shared" si="8"/>
        <v>-3.3087532143449931</v>
      </c>
      <c r="BI16" s="28">
        <f t="shared" si="8"/>
        <v>1.0709764436941807</v>
      </c>
      <c r="BJ16" s="28">
        <f t="shared" si="8"/>
        <v>1.3115768839742772</v>
      </c>
      <c r="BK16" s="28">
        <f t="shared" si="8"/>
        <v>-1.212232969239212</v>
      </c>
      <c r="BL16" s="28">
        <f t="shared" si="8"/>
        <v>0.17560418438537423</v>
      </c>
      <c r="BM16" s="28">
        <f t="shared" si="8"/>
        <v>2.9286091767589304</v>
      </c>
      <c r="BN16" s="28">
        <f t="shared" si="8"/>
        <v>1.7488245099499169</v>
      </c>
      <c r="BO16" s="28">
        <f t="shared" si="8"/>
        <v>3.5254250895838357</v>
      </c>
      <c r="BP16" s="28">
        <f t="shared" si="8"/>
        <v>5.498214722308072</v>
      </c>
      <c r="BQ16" s="28">
        <f t="shared" si="8"/>
        <v>2.4379246691296377</v>
      </c>
      <c r="BR16" s="28">
        <f t="shared" ref="BR16:CL16" si="9">BR14/BR15</f>
        <v>1.7274852347109868</v>
      </c>
      <c r="BS16" s="28">
        <f t="shared" si="9"/>
        <v>0.28703079924869163</v>
      </c>
      <c r="BT16" s="28">
        <f t="shared" si="9"/>
        <v>0.81072732133560976</v>
      </c>
      <c r="BU16" s="28">
        <f t="shared" si="9"/>
        <v>-0.4416472355213561</v>
      </c>
      <c r="BV16" s="28">
        <f t="shared" si="9"/>
        <v>0</v>
      </c>
      <c r="BW16" s="28">
        <f t="shared" si="9"/>
        <v>0</v>
      </c>
      <c r="BX16" s="28">
        <f t="shared" si="9"/>
        <v>0</v>
      </c>
      <c r="BY16" s="28">
        <f t="shared" si="9"/>
        <v>0</v>
      </c>
      <c r="BZ16" s="28">
        <f t="shared" si="9"/>
        <v>0</v>
      </c>
      <c r="CA16" s="28">
        <f t="shared" si="9"/>
        <v>0</v>
      </c>
      <c r="CB16" s="28">
        <f t="shared" si="9"/>
        <v>0</v>
      </c>
      <c r="CC16" s="28">
        <f t="shared" si="9"/>
        <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2808624824.7300005</v>
      </c>
      <c r="F17" s="26">
        <f>股权价值增加表!F42</f>
        <v>1831658197.2399998</v>
      </c>
      <c r="G17" s="26">
        <f>股权价值增加表!G42</f>
        <v>802286614.76000011</v>
      </c>
      <c r="H17" s="26">
        <f>股权价值增加表!H42</f>
        <v>327367084.90999991</v>
      </c>
      <c r="I17" s="26">
        <f>股权价值增加表!I42</f>
        <v>3974078620.1500034</v>
      </c>
      <c r="J17" s="26">
        <f>股权价值增加表!J42</f>
        <v>2337714500.7700005</v>
      </c>
      <c r="K17" s="26">
        <f>股权价值增加表!K42</f>
        <v>1267633937.5299997</v>
      </c>
      <c r="L17" s="26">
        <f>股权价值增加表!L42</f>
        <v>395066413.33999938</v>
      </c>
      <c r="M17" s="26">
        <f>股权价值增加表!M42</f>
        <v>3730953181.5299983</v>
      </c>
      <c r="N17" s="26">
        <f>股权价值增加表!N42</f>
        <v>1907543838.9200003</v>
      </c>
      <c r="O17" s="26">
        <f>股权价值增加表!O42</f>
        <v>965983479.92000043</v>
      </c>
      <c r="P17" s="26">
        <f>股权价值增加表!P42</f>
        <v>384449481.80000001</v>
      </c>
      <c r="Q17" s="26">
        <f>股权价值增加表!Q42</f>
        <v>2654710015.8099995</v>
      </c>
      <c r="R17" s="26">
        <f>股权价值增加表!R42</f>
        <v>1125544568.1599994</v>
      </c>
      <c r="S17" s="26">
        <f>股权价值增加表!S42</f>
        <v>695556800.33999956</v>
      </c>
      <c r="T17" s="26">
        <f>股权价值增加表!T42</f>
        <v>283700176.38000017</v>
      </c>
      <c r="U17" s="26">
        <f>股权价值增加表!U42</f>
        <v>1789793190.8600008</v>
      </c>
      <c r="V17" s="26">
        <f>股权价值增加表!V42</f>
        <v>902939766.08000076</v>
      </c>
      <c r="W17" s="26">
        <f>股权价值增加表!W42</f>
        <v>631968468.64999926</v>
      </c>
      <c r="X17" s="26">
        <f>股权价值增加表!X42</f>
        <v>265953766.22000039</v>
      </c>
      <c r="Y17" s="26">
        <f>股权价值增加表!Y42</f>
        <v>1553930223.45</v>
      </c>
      <c r="Z17" s="26">
        <f>股权价值增加表!Z42</f>
        <v>974863446.81999862</v>
      </c>
      <c r="AA17" s="26">
        <f>股权价值增加表!AA42</f>
        <v>592045781.09000027</v>
      </c>
      <c r="AB17" s="26">
        <f>股权价值增加表!AB42</f>
        <v>250569696.86999992</v>
      </c>
      <c r="AC17" s="26">
        <f>股权价值增加表!AC42</f>
        <v>1007865422.8099997</v>
      </c>
      <c r="AD17" s="26">
        <f>股权价值增加表!AD42</f>
        <v>555892995.42000031</v>
      </c>
      <c r="AE17" s="26">
        <f>股权价值增加表!AE42</f>
        <v>360323053.57999969</v>
      </c>
      <c r="AF17" s="26">
        <f>股权价值增加表!AF42</f>
        <v>130440207.93999992</v>
      </c>
      <c r="AG17" s="26">
        <f>股权价值增加表!AG42</f>
        <v>810098077.5899986</v>
      </c>
      <c r="AH17" s="26">
        <f>股权价值增加表!AH42</f>
        <v>497578607.40000039</v>
      </c>
      <c r="AI17" s="26">
        <f>股权价值增加表!AI42</f>
        <v>282271847.97000027</v>
      </c>
      <c r="AJ17" s="26">
        <f>股权价值增加表!AJ42</f>
        <v>141560200.34000018</v>
      </c>
      <c r="AK17" s="26">
        <f>股权价值增加表!AK42</f>
        <v>804477693.34000003</v>
      </c>
      <c r="AL17" s="26">
        <f>股权价值增加表!AL42</f>
        <v>340682885.69000018</v>
      </c>
      <c r="AM17" s="26">
        <f>股权价值增加表!AM42</f>
        <v>193555596.27999982</v>
      </c>
      <c r="AN17" s="26">
        <f>股权价值增加表!AN42</f>
        <v>54414814.629999973</v>
      </c>
      <c r="AO17" s="26">
        <f>股权价值增加表!AO42</f>
        <v>524097901.30999959</v>
      </c>
      <c r="AP17" s="26">
        <f>股权价值增加表!AP42</f>
        <v>374981986.59000027</v>
      </c>
      <c r="AQ17" s="26">
        <f>股权价值增加表!AQ42</f>
        <v>396931234.61000001</v>
      </c>
      <c r="AR17" s="26">
        <f>股权价值增加表!AR42</f>
        <v>253482531.27999979</v>
      </c>
      <c r="AS17" s="26">
        <f>股权价值增加表!AS42</f>
        <v>435850673.97000015</v>
      </c>
      <c r="AT17" s="26">
        <f>股权价值增加表!AT42</f>
        <v>157542716.21000004</v>
      </c>
      <c r="AU17" s="26">
        <f>股权价值增加表!AU42</f>
        <v>95907935.899999872</v>
      </c>
      <c r="AV17" s="26">
        <f>股权价值增加表!AV42</f>
        <v>42127973.36999999</v>
      </c>
      <c r="AW17" s="26">
        <f>股权价值增加表!AW42</f>
        <v>182239739.05000007</v>
      </c>
      <c r="AX17" s="26">
        <f>股权价值增加表!AX42</f>
        <v>64055545.170000106</v>
      </c>
      <c r="AY17" s="26">
        <f>股权价值增加表!AY42</f>
        <v>39119456.260000229</v>
      </c>
      <c r="AZ17" s="26">
        <f>股权价值增加表!AZ42</f>
        <v>24484327.860000078</v>
      </c>
      <c r="BA17" s="26">
        <f>股权价值增加表!BA42</f>
        <v>154344116.46999928</v>
      </c>
      <c r="BB17" s="26">
        <f>股权价值增加表!BB42</f>
        <v>98906211.180000156</v>
      </c>
      <c r="BC17" s="26">
        <f>股权价值增加表!BC42</f>
        <v>55786760.649999991</v>
      </c>
      <c r="BD17" s="26">
        <f>股权价值增加表!BD42</f>
        <v>27686774.219999917</v>
      </c>
      <c r="BE17" s="26">
        <f>股权价值增加表!BE42</f>
        <v>119657422.89999995</v>
      </c>
      <c r="BF17" s="26">
        <f>股权价值增加表!BF42</f>
        <v>75593678.470000103</v>
      </c>
      <c r="BG17" s="26">
        <f>股权价值增加表!BG42</f>
        <v>35334477.870000005</v>
      </c>
      <c r="BH17" s="26">
        <f>股权价值增加表!BH42</f>
        <v>18350644.26000002</v>
      </c>
      <c r="BI17" s="26">
        <f>股权价值增加表!BI42</f>
        <v>121508430.73000005</v>
      </c>
      <c r="BJ17" s="26">
        <f>股权价值增加表!BJ42</f>
        <v>63121302.520000108</v>
      </c>
      <c r="BK17" s="26">
        <f>股权价值增加表!BK42</f>
        <v>26375125.550000139</v>
      </c>
      <c r="BL17" s="26">
        <f>股权价值增加表!BL42</f>
        <v>21677996.789999951</v>
      </c>
      <c r="BM17" s="26">
        <f>股权价值增加表!BM42</f>
        <v>92302270.660000071</v>
      </c>
      <c r="BN17" s="26">
        <f>股权价值增加表!BN42</f>
        <v>52063867.899999872</v>
      </c>
      <c r="BO17" s="26">
        <f>股权价值增加表!BO42</f>
        <v>27332322.740000039</v>
      </c>
      <c r="BP17" s="26">
        <f>股权价值增加表!BP42</f>
        <v>9549607.4899999779</v>
      </c>
      <c r="BQ17" s="26">
        <f>股权价值增加表!BQ42</f>
        <v>91492739.59999992</v>
      </c>
      <c r="BR17" s="26">
        <f>股权价值增加表!BR42</f>
        <v>27073468.670000009</v>
      </c>
      <c r="BS17" s="26">
        <f>股权价值增加表!BS42</f>
        <v>71731455.369999915</v>
      </c>
      <c r="BT17" s="26">
        <f>股权价值增加表!BT42</f>
        <v>17977418.990000039</v>
      </c>
      <c r="BU17" s="26">
        <f>股权价值增加表!BU42</f>
        <v>54839526.86999996</v>
      </c>
      <c r="BV17" s="26">
        <f>股权价值增加表!BV42</f>
        <v>16938347.720000021</v>
      </c>
      <c r="BW17" s="26">
        <f>股权价值增加表!BW42</f>
        <v>46865310.449999988</v>
      </c>
      <c r="BX17" s="26">
        <f>股权价值增加表!BX42</f>
        <v>19914886.830000021</v>
      </c>
      <c r="BY17" s="26">
        <f>股权价值增加表!BY42</f>
        <v>41796805.959999964</v>
      </c>
      <c r="BZ17" s="26">
        <f>股权价值增加表!BZ42</f>
        <v>157263949.30000001</v>
      </c>
      <c r="CA17" s="26">
        <f>股权价值增加表!CA42</f>
        <v>20489383</v>
      </c>
      <c r="CB17" s="26">
        <f>股权价值增加表!CB42</f>
        <v>14152096</v>
      </c>
      <c r="CC17" s="26">
        <f>股权价值增加表!CC42</f>
        <v>2142603</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-0.62271120196985785</v>
      </c>
      <c r="F18" s="28">
        <f t="shared" ref="F18:BQ18" si="10">F14/F17</f>
        <v>-2.1940720747002032</v>
      </c>
      <c r="G18" s="28">
        <f t="shared" si="10"/>
        <v>-5.6002786381573451</v>
      </c>
      <c r="H18" s="28">
        <f t="shared" si="10"/>
        <v>-10.183480775095378</v>
      </c>
      <c r="I18" s="28">
        <f t="shared" si="10"/>
        <v>0.88884293126205705</v>
      </c>
      <c r="J18" s="28">
        <f t="shared" si="10"/>
        <v>-0.58722272650823626</v>
      </c>
      <c r="K18" s="28">
        <f t="shared" si="10"/>
        <v>-1.4710629610891659</v>
      </c>
      <c r="L18" s="28">
        <f t="shared" si="10"/>
        <v>-4.9520443405456183</v>
      </c>
      <c r="M18" s="28">
        <f t="shared" si="10"/>
        <v>1.6107788513270787</v>
      </c>
      <c r="N18" s="28">
        <f t="shared" si="10"/>
        <v>2.6299781207022619</v>
      </c>
      <c r="O18" s="28">
        <f t="shared" si="10"/>
        <v>1.9269766604229686</v>
      </c>
      <c r="P18" s="28">
        <f t="shared" si="10"/>
        <v>-0.80299152430799303</v>
      </c>
      <c r="Q18" s="28">
        <f t="shared" si="10"/>
        <v>1.2073863958177058</v>
      </c>
      <c r="R18" s="28">
        <f t="shared" si="10"/>
        <v>2.0646430668657967</v>
      </c>
      <c r="S18" s="28">
        <f t="shared" si="10"/>
        <v>2.1990309123170539</v>
      </c>
      <c r="T18" s="28">
        <f t="shared" si="10"/>
        <v>2.0813251592734154</v>
      </c>
      <c r="U18" s="28">
        <f t="shared" si="10"/>
        <v>1.082229850265148</v>
      </c>
      <c r="V18" s="28">
        <f t="shared" si="10"/>
        <v>3.0544701010162845</v>
      </c>
      <c r="W18" s="28">
        <f t="shared" si="10"/>
        <v>2.1153769584671851</v>
      </c>
      <c r="X18" s="28">
        <f t="shared" si="10"/>
        <v>-1.5574753304202311</v>
      </c>
      <c r="Y18" s="28">
        <f t="shared" si="10"/>
        <v>0.88302276454445383</v>
      </c>
      <c r="Z18" s="28">
        <f t="shared" si="10"/>
        <v>1.9658138880694429</v>
      </c>
      <c r="AA18" s="28">
        <f t="shared" si="10"/>
        <v>2.2499598102997087</v>
      </c>
      <c r="AB18" s="28">
        <f t="shared" si="10"/>
        <v>3.2383789399361791</v>
      </c>
      <c r="AC18" s="28">
        <f t="shared" si="10"/>
        <v>1.4349712899146108</v>
      </c>
      <c r="AD18" s="28">
        <f t="shared" si="10"/>
        <v>1.7892642506828287</v>
      </c>
      <c r="AE18" s="28">
        <f t="shared" si="10"/>
        <v>1.4818963022066218</v>
      </c>
      <c r="AF18" s="28">
        <f t="shared" si="10"/>
        <v>2.9126342541155581</v>
      </c>
      <c r="AG18" s="28">
        <f t="shared" si="10"/>
        <v>1.6265950091007453</v>
      </c>
      <c r="AH18" s="28">
        <f t="shared" si="10"/>
        <v>4.3636392160737376</v>
      </c>
      <c r="AI18" s="28">
        <f t="shared" si="10"/>
        <v>3.5975407164512037</v>
      </c>
      <c r="AJ18" s="28">
        <f t="shared" si="10"/>
        <v>2.4328864537689139</v>
      </c>
      <c r="AK18" s="28">
        <f t="shared" si="10"/>
        <v>9.0675051954697869E-2</v>
      </c>
      <c r="AL18" s="28">
        <f t="shared" si="10"/>
        <v>2.4678802950349623</v>
      </c>
      <c r="AM18" s="28">
        <f t="shared" si="10"/>
        <v>1.2678166461020923</v>
      </c>
      <c r="AN18" s="28">
        <f t="shared" si="10"/>
        <v>-3.6189691525923351</v>
      </c>
      <c r="AO18" s="28">
        <f t="shared" si="10"/>
        <v>1.8397950241355085</v>
      </c>
      <c r="AP18" s="28">
        <f t="shared" si="10"/>
        <v>1.2823963191218093</v>
      </c>
      <c r="AQ18" s="28">
        <f t="shared" si="10"/>
        <v>0.83110104417489195</v>
      </c>
      <c r="AR18" s="28">
        <f t="shared" si="10"/>
        <v>0.3758474155552865</v>
      </c>
      <c r="AS18" s="28">
        <f t="shared" si="10"/>
        <v>1.3525365340620672</v>
      </c>
      <c r="AT18" s="28">
        <f t="shared" si="10"/>
        <v>2.2576535152275317</v>
      </c>
      <c r="AU18" s="28">
        <f t="shared" si="10"/>
        <v>0.13684538121730153</v>
      </c>
      <c r="AV18" s="28">
        <f t="shared" si="10"/>
        <v>0.45796210989201935</v>
      </c>
      <c r="AW18" s="28">
        <f t="shared" si="10"/>
        <v>5.1704029041189496</v>
      </c>
      <c r="AX18" s="28">
        <f t="shared" si="10"/>
        <v>9.0718884083771059</v>
      </c>
      <c r="AY18" s="28">
        <f t="shared" si="10"/>
        <v>9.6162038648948709</v>
      </c>
      <c r="AZ18" s="28">
        <f t="shared" si="10"/>
        <v>3.9895454165021822</v>
      </c>
      <c r="BA18" s="28">
        <f t="shared" si="10"/>
        <v>3.2794736042846604</v>
      </c>
      <c r="BB18" s="28">
        <f t="shared" si="10"/>
        <v>4.2711045111332853</v>
      </c>
      <c r="BC18" s="28">
        <f t="shared" si="10"/>
        <v>2.8975583257853135</v>
      </c>
      <c r="BD18" s="28">
        <f t="shared" si="10"/>
        <v>-1.417662617469061</v>
      </c>
      <c r="BE18" s="28">
        <f t="shared" si="10"/>
        <v>3.649983327862564</v>
      </c>
      <c r="BF18" s="28">
        <f t="shared" si="10"/>
        <v>2.8818706587543006</v>
      </c>
      <c r="BG18" s="28">
        <f t="shared" si="10"/>
        <v>-1.1116143143393786</v>
      </c>
      <c r="BH18" s="28">
        <f t="shared" si="10"/>
        <v>-3.5707438747984281</v>
      </c>
      <c r="BI18" s="28">
        <f t="shared" si="10"/>
        <v>1.0787446282740742</v>
      </c>
      <c r="BJ18" s="28">
        <f t="shared" si="10"/>
        <v>1.319419591723594</v>
      </c>
      <c r="BK18" s="28">
        <f t="shared" si="10"/>
        <v>-1.2143345941342762</v>
      </c>
      <c r="BL18" s="28">
        <f t="shared" si="10"/>
        <v>0.1733328709474363</v>
      </c>
      <c r="BM18" s="28">
        <f t="shared" si="10"/>
        <v>2.9644762809565295</v>
      </c>
      <c r="BN18" s="28">
        <f t="shared" si="10"/>
        <v>1.7793296536848395</v>
      </c>
      <c r="BO18" s="28">
        <f t="shared" si="10"/>
        <v>3.57813517022739</v>
      </c>
      <c r="BP18" s="28">
        <f t="shared" si="10"/>
        <v>5.8221552988666483</v>
      </c>
      <c r="BQ18" s="28">
        <f t="shared" si="10"/>
        <v>2.3945337845146368</v>
      </c>
      <c r="BR18" s="28">
        <f t="shared" ref="BR18:CK18" si="11">BR14/BR17</f>
        <v>1.5388080067540155</v>
      </c>
      <c r="BS18" s="28">
        <f t="shared" si="11"/>
        <v>0.31180142330353539</v>
      </c>
      <c r="BT18" s="28">
        <f t="shared" si="11"/>
        <v>0.96670563386585229</v>
      </c>
      <c r="BU18" s="28">
        <f t="shared" si="11"/>
        <v>-0.42765410951839633</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560350406.35000002</v>
      </c>
      <c r="F19" s="26">
        <f>现金流量表!F48</f>
        <v>0</v>
      </c>
      <c r="G19" s="26">
        <f>现金流量表!G48</f>
        <v>25803137.550000001</v>
      </c>
      <c r="H19" s="26">
        <f>现金流量表!H48</f>
        <v>0</v>
      </c>
      <c r="I19" s="26">
        <f>现金流量表!I48</f>
        <v>437965546.48000002</v>
      </c>
      <c r="J19" s="26">
        <f>现金流量表!J48</f>
        <v>0</v>
      </c>
      <c r="K19" s="26">
        <f>现金流量表!K48</f>
        <v>93790916.879999995</v>
      </c>
      <c r="L19" s="26">
        <f>现金流量表!L48</f>
        <v>0</v>
      </c>
      <c r="M19" s="26">
        <f>现金流量表!M48</f>
        <v>240740779.00999999</v>
      </c>
      <c r="N19" s="26">
        <f>现金流量表!N48</f>
        <v>0</v>
      </c>
      <c r="O19" s="26">
        <f>现金流量表!O48</f>
        <v>-50117286.490000002</v>
      </c>
      <c r="P19" s="26">
        <f>现金流量表!P48</f>
        <v>0</v>
      </c>
      <c r="Q19" s="26">
        <f>现金流量表!Q48</f>
        <v>356544590.82999998</v>
      </c>
      <c r="R19" s="26">
        <f>现金流量表!R48</f>
        <v>0</v>
      </c>
      <c r="S19" s="26">
        <f>现金流量表!S48</f>
        <v>52789038.43</v>
      </c>
      <c r="T19" s="26">
        <f>现金流量表!T48</f>
        <v>0</v>
      </c>
      <c r="U19" s="26">
        <f>现金流量表!U48</f>
        <v>10876314.699999999</v>
      </c>
      <c r="V19" s="26">
        <f>现金流量表!V48</f>
        <v>0</v>
      </c>
      <c r="W19" s="26">
        <f>现金流量表!W48</f>
        <v>176033326.75999999</v>
      </c>
      <c r="X19" s="26">
        <f>现金流量表!X48</f>
        <v>0</v>
      </c>
      <c r="Y19" s="26">
        <f>现金流量表!Y48</f>
        <v>258726975.11000001</v>
      </c>
      <c r="Z19" s="26">
        <f>现金流量表!Z48</f>
        <v>0</v>
      </c>
      <c r="AA19" s="26">
        <f>现金流量表!AA48</f>
        <v>57231779.520000003</v>
      </c>
      <c r="AB19" s="26">
        <f>现金流量表!AB48</f>
        <v>0</v>
      </c>
      <c r="AC19" s="26">
        <f>现金流量表!AC48</f>
        <v>39806258.420000002</v>
      </c>
      <c r="AD19" s="26">
        <f>现金流量表!AD48</f>
        <v>0</v>
      </c>
      <c r="AE19" s="26">
        <f>现金流量表!AE48</f>
        <v>9430681.3399999999</v>
      </c>
      <c r="AF19" s="26">
        <f>现金流量表!AF48</f>
        <v>0</v>
      </c>
      <c r="AG19" s="26">
        <f>现金流量表!AG48</f>
        <v>40379439.049999997</v>
      </c>
      <c r="AH19" s="26">
        <f>现金流量表!AH48</f>
        <v>0</v>
      </c>
      <c r="AI19" s="26">
        <f>现金流量表!AI48</f>
        <v>24495553.59</v>
      </c>
      <c r="AJ19" s="26">
        <f>现金流量表!AJ48</f>
        <v>0</v>
      </c>
      <c r="AK19" s="26">
        <f>现金流量表!AK48</f>
        <v>39616708.619999997</v>
      </c>
      <c r="AL19" s="26">
        <f>现金流量表!AL48</f>
        <v>0</v>
      </c>
      <c r="AM19" s="26">
        <f>现金流量表!AM48</f>
        <v>9914485.5299999993</v>
      </c>
      <c r="AN19" s="26">
        <f>现金流量表!AN48</f>
        <v>0</v>
      </c>
      <c r="AO19" s="26">
        <f>现金流量表!AO48</f>
        <v>136518656.44</v>
      </c>
      <c r="AP19" s="26">
        <f>现金流量表!AP48</f>
        <v>0</v>
      </c>
      <c r="AQ19" s="26">
        <f>现金流量表!AQ48</f>
        <v>-16013320.02</v>
      </c>
      <c r="AR19" s="26">
        <f>现金流量表!AR48</f>
        <v>0</v>
      </c>
      <c r="AS19" s="26">
        <f>现金流量表!AS48</f>
        <v>39052075.049999997</v>
      </c>
      <c r="AT19" s="26">
        <f>现金流量表!AT48</f>
        <v>0</v>
      </c>
      <c r="AU19" s="26">
        <f>现金流量表!AU48</f>
        <v>4425313.41</v>
      </c>
      <c r="AV19" s="26">
        <f>现金流量表!AV48</f>
        <v>0</v>
      </c>
      <c r="AW19" s="26">
        <f>现金流量表!AW48</f>
        <v>-17130701.940000001</v>
      </c>
      <c r="AX19" s="26">
        <f>现金流量表!AX48</f>
        <v>485750.09</v>
      </c>
      <c r="AY19" s="26">
        <f>现金流量表!AY48</f>
        <v>485750.09</v>
      </c>
      <c r="AZ19" s="26">
        <f>现金流量表!AZ48</f>
        <v>0</v>
      </c>
      <c r="BA19" s="26">
        <f>现金流量表!BA48</f>
        <v>35472912.789999999</v>
      </c>
      <c r="BB19" s="26">
        <f>现金流量表!BB48</f>
        <v>4171553.55</v>
      </c>
      <c r="BC19" s="26">
        <f>现金流量表!BC48</f>
        <v>4266864.62</v>
      </c>
      <c r="BD19" s="26">
        <f>现金流量表!BD48</f>
        <v>-131330.81</v>
      </c>
      <c r="BE19" s="26">
        <f>现金流量表!BE48</f>
        <v>-2182648.71</v>
      </c>
      <c r="BF19" s="26">
        <f>现金流量表!BF48</f>
        <v>-20116.669999999998</v>
      </c>
      <c r="BG19" s="26">
        <f>现金流量表!BG48</f>
        <v>-5892646.1799999997</v>
      </c>
      <c r="BH19" s="26">
        <f>现金流量表!BH48</f>
        <v>108882.97</v>
      </c>
      <c r="BI19" s="26">
        <f>现金流量表!BI48</f>
        <v>2073804.81</v>
      </c>
      <c r="BJ19" s="26">
        <f>现金流量表!BJ48</f>
        <v>-4523896.12</v>
      </c>
      <c r="BK19" s="26">
        <f>现金流量表!BK48</f>
        <v>-4479228.55</v>
      </c>
      <c r="BL19" s="26">
        <f>现金流量表!BL48</f>
        <v>-4479228.55</v>
      </c>
      <c r="BM19" s="26">
        <f>现金流量表!BM48</f>
        <v>21237271.25</v>
      </c>
      <c r="BN19" s="26">
        <f>现金流量表!BN48</f>
        <v>-56376.65</v>
      </c>
      <c r="BO19" s="26">
        <f>现金流量表!BO48</f>
        <v>35176997.810000002</v>
      </c>
      <c r="BP19" s="26">
        <f>现金流量表!BP48</f>
        <v>18607657.719999999</v>
      </c>
      <c r="BQ19" s="26">
        <f>现金流量表!BQ48</f>
        <v>5453546.79</v>
      </c>
      <c r="BR19" s="26">
        <f>现金流量表!BR48</f>
        <v>-68000</v>
      </c>
      <c r="BS19" s="26">
        <f>现金流量表!BS48</f>
        <v>-330591.13</v>
      </c>
      <c r="BT19" s="26">
        <f>现金流量表!BT48</f>
        <v>82601.350000000006</v>
      </c>
      <c r="BU19" s="26">
        <f>现金流量表!BU48</f>
        <v>41326.629999999997</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659489882.05999994</v>
      </c>
      <c r="F20" s="26">
        <f>现金流量表!F49</f>
        <v>0</v>
      </c>
      <c r="G20" s="26">
        <f>现金流量表!G49</f>
        <v>317422551.16000003</v>
      </c>
      <c r="H20" s="26">
        <f>现金流量表!H49</f>
        <v>0</v>
      </c>
      <c r="I20" s="26">
        <f>现金流量表!I49</f>
        <v>662175633.45000005</v>
      </c>
      <c r="J20" s="26">
        <f>现金流量表!J49</f>
        <v>0</v>
      </c>
      <c r="K20" s="26">
        <f>现金流量表!K49</f>
        <v>275037745.47000003</v>
      </c>
      <c r="L20" s="26">
        <f>现金流量表!L49</f>
        <v>0</v>
      </c>
      <c r="M20" s="26">
        <f>现金流量表!M49</f>
        <v>690796964.13999999</v>
      </c>
      <c r="N20" s="26">
        <f>现金流量表!N49</f>
        <v>0</v>
      </c>
      <c r="O20" s="26">
        <f>现金流量表!O49</f>
        <v>315168659.48000002</v>
      </c>
      <c r="P20" s="26">
        <f>现金流量表!P49</f>
        <v>0</v>
      </c>
      <c r="Q20" s="26">
        <f>现金流量表!Q49</f>
        <v>636749145.70000005</v>
      </c>
      <c r="R20" s="26">
        <f>现金流量表!R49</f>
        <v>0</v>
      </c>
      <c r="S20" s="26">
        <f>现金流量表!S49</f>
        <v>239331503.19</v>
      </c>
      <c r="T20" s="26">
        <f>现金流量表!T49</f>
        <v>0</v>
      </c>
      <c r="U20" s="26">
        <f>现金流量表!U49</f>
        <v>562054653.70000005</v>
      </c>
      <c r="V20" s="26">
        <f>现金流量表!V49</f>
        <v>0</v>
      </c>
      <c r="W20" s="26">
        <f>现金流量表!W49</f>
        <v>255320954.13</v>
      </c>
      <c r="X20" s="26">
        <f>现金流量表!X49</f>
        <v>0</v>
      </c>
      <c r="Y20" s="26">
        <f>现金流量表!Y49</f>
        <v>275413445.70999998</v>
      </c>
      <c r="Z20" s="26">
        <f>现金流量表!Z49</f>
        <v>0</v>
      </c>
      <c r="AA20" s="26">
        <f>现金流量表!AA49</f>
        <v>97112342.859999999</v>
      </c>
      <c r="AB20" s="26">
        <f>现金流量表!AB49</f>
        <v>0</v>
      </c>
      <c r="AC20" s="26">
        <f>现金流量表!AC49</f>
        <v>210966414.24000001</v>
      </c>
      <c r="AD20" s="26">
        <f>现金流量表!AD49</f>
        <v>0</v>
      </c>
      <c r="AE20" s="26">
        <f>现金流量表!AE49</f>
        <v>95153293.799999997</v>
      </c>
      <c r="AF20" s="26">
        <f>现金流量表!AF49</f>
        <v>0</v>
      </c>
      <c r="AG20" s="26">
        <f>现金流量表!AG49</f>
        <v>185747716.58000001</v>
      </c>
      <c r="AH20" s="26">
        <f>现金流量表!AH49</f>
        <v>0</v>
      </c>
      <c r="AI20" s="26">
        <f>现金流量表!AI49</f>
        <v>116553559.33</v>
      </c>
      <c r="AJ20" s="26">
        <f>现金流量表!AJ49</f>
        <v>0</v>
      </c>
      <c r="AK20" s="26">
        <f>现金流量表!AK49</f>
        <v>174730838.71000001</v>
      </c>
      <c r="AL20" s="26">
        <f>现金流量表!AL49</f>
        <v>0</v>
      </c>
      <c r="AM20" s="26">
        <f>现金流量表!AM49</f>
        <v>71671214.469999999</v>
      </c>
      <c r="AN20" s="26">
        <f>现金流量表!AN49</f>
        <v>0</v>
      </c>
      <c r="AO20" s="26">
        <f>现金流量表!AO49</f>
        <v>116454236.84999999</v>
      </c>
      <c r="AP20" s="26">
        <f>现金流量表!AP49</f>
        <v>0</v>
      </c>
      <c r="AQ20" s="26">
        <f>现金流量表!AQ49</f>
        <v>48928022.170000002</v>
      </c>
      <c r="AR20" s="26">
        <f>现金流量表!AR49</f>
        <v>0</v>
      </c>
      <c r="AS20" s="26">
        <f>现金流量表!AS49</f>
        <v>85798312.950000003</v>
      </c>
      <c r="AT20" s="26">
        <f>现金流量表!AT49</f>
        <v>0</v>
      </c>
      <c r="AU20" s="26">
        <f>现金流量表!AU49</f>
        <v>40527218.950000003</v>
      </c>
      <c r="AV20" s="26">
        <f>现金流量表!AV49</f>
        <v>0</v>
      </c>
      <c r="AW20" s="26">
        <f>现金流量表!AW49</f>
        <v>87866672.469999999</v>
      </c>
      <c r="AX20" s="26">
        <f>现金流量表!AX49</f>
        <v>63744891.5</v>
      </c>
      <c r="AY20" s="26">
        <f>现金流量表!AY49</f>
        <v>45865629.329999998</v>
      </c>
      <c r="AZ20" s="26">
        <f>现金流量表!AZ49</f>
        <v>21633801.859999999</v>
      </c>
      <c r="BA20" s="26">
        <f>现金流量表!BA49</f>
        <v>77853553.819999993</v>
      </c>
      <c r="BB20" s="26">
        <f>现金流量表!BB49</f>
        <v>52042802.289999999</v>
      </c>
      <c r="BC20" s="26">
        <f>现金流量表!BC49</f>
        <v>38162884.369999997</v>
      </c>
      <c r="BD20" s="26">
        <f>现金流量表!BD49</f>
        <v>18922487.41</v>
      </c>
      <c r="BE20" s="26">
        <f>现金流量表!BE49</f>
        <v>82569480.349999994</v>
      </c>
      <c r="BF20" s="26">
        <f>现金流量表!BF49</f>
        <v>60221696.560000002</v>
      </c>
      <c r="BG20" s="26">
        <f>现金流量表!BG49</f>
        <v>38694363.369999997</v>
      </c>
      <c r="BH20" s="26">
        <f>现金流量表!BH49</f>
        <v>19179087.300000001</v>
      </c>
      <c r="BI20" s="26">
        <f>现金流量表!BI49</f>
        <v>73142367.620000005</v>
      </c>
      <c r="BJ20" s="26">
        <f>现金流量表!BJ49</f>
        <v>51771110.539999999</v>
      </c>
      <c r="BK20" s="26">
        <f>现金流量表!BK49</f>
        <v>33792412.57</v>
      </c>
      <c r="BL20" s="26">
        <f>现金流量表!BL49</f>
        <v>16515649.85</v>
      </c>
      <c r="BM20" s="26">
        <f>现金流量表!BM49</f>
        <v>78900228.019999996</v>
      </c>
      <c r="BN20" s="26">
        <f>现金流量表!BN49</f>
        <v>35039037.140000001</v>
      </c>
      <c r="BO20" s="26">
        <f>现金流量表!BO49</f>
        <v>30675518.879999999</v>
      </c>
      <c r="BP20" s="26">
        <f>现金流量表!BP49</f>
        <v>16255720.300000001</v>
      </c>
      <c r="BQ20" s="26">
        <f>现金流量表!BQ49</f>
        <v>30419063.109999999</v>
      </c>
      <c r="BR20" s="26">
        <f>现金流量表!BR49</f>
        <v>15023217.310000001</v>
      </c>
      <c r="BS20" s="26">
        <f>现金流量表!BS49</f>
        <v>23509854.199999999</v>
      </c>
      <c r="BT20" s="26">
        <f>现金流量表!BT49</f>
        <v>7733782.7999999998</v>
      </c>
      <c r="BU20" s="26">
        <f>现金流量表!BU49</f>
        <v>2550620.25</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38899795.020000003</v>
      </c>
      <c r="F21" s="26">
        <f>现金流量表!F50</f>
        <v>0</v>
      </c>
      <c r="G21" s="26">
        <f>现金流量表!G50</f>
        <v>16410932.869999999</v>
      </c>
      <c r="H21" s="26">
        <f>现金流量表!H50</f>
        <v>0</v>
      </c>
      <c r="I21" s="26">
        <f>现金流量表!I50</f>
        <v>38193695.560000002</v>
      </c>
      <c r="J21" s="26">
        <f>现金流量表!J50</f>
        <v>0</v>
      </c>
      <c r="K21" s="26">
        <f>现金流量表!K50</f>
        <v>19105790.719999999</v>
      </c>
      <c r="L21" s="26">
        <f>现金流量表!L50</f>
        <v>0</v>
      </c>
      <c r="M21" s="26">
        <f>现金流量表!M50</f>
        <v>34277690.350000001</v>
      </c>
      <c r="N21" s="26">
        <f>现金流量表!N50</f>
        <v>0</v>
      </c>
      <c r="O21" s="26">
        <f>现金流量表!O50</f>
        <v>13638769.93</v>
      </c>
      <c r="P21" s="26">
        <f>现金流量表!P50</f>
        <v>0</v>
      </c>
      <c r="Q21" s="26">
        <f>现金流量表!Q50</f>
        <v>24762878.719999999</v>
      </c>
      <c r="R21" s="26">
        <f>现金流量表!R50</f>
        <v>0</v>
      </c>
      <c r="S21" s="26">
        <f>现金流量表!S50</f>
        <v>8807462.9199999999</v>
      </c>
      <c r="T21" s="26">
        <f>现金流量表!T50</f>
        <v>0</v>
      </c>
      <c r="U21" s="26">
        <f>现金流量表!U50</f>
        <v>18169642.59</v>
      </c>
      <c r="V21" s="26">
        <f>现金流量表!V50</f>
        <v>0</v>
      </c>
      <c r="W21" s="26">
        <f>现金流量表!W50</f>
        <v>9029217.4800000004</v>
      </c>
      <c r="X21" s="26">
        <f>现金流量表!X50</f>
        <v>0</v>
      </c>
      <c r="Y21" s="26">
        <f>现金流量表!Y50</f>
        <v>16431604.09</v>
      </c>
      <c r="Z21" s="26">
        <f>现金流量表!Z50</f>
        <v>0</v>
      </c>
      <c r="AA21" s="26">
        <f>现金流量表!AA50</f>
        <v>7838459.8200000003</v>
      </c>
      <c r="AB21" s="26">
        <f>现金流量表!AB50</f>
        <v>0</v>
      </c>
      <c r="AC21" s="26">
        <f>现金流量表!AC50</f>
        <v>13020872.41</v>
      </c>
      <c r="AD21" s="26">
        <f>现金流量表!AD50</f>
        <v>0</v>
      </c>
      <c r="AE21" s="26">
        <f>现金流量表!AE50</f>
        <v>5183818.55</v>
      </c>
      <c r="AF21" s="26">
        <f>现金流量表!AF50</f>
        <v>0</v>
      </c>
      <c r="AG21" s="26">
        <f>现金流量表!AG50</f>
        <v>9461305.3699999992</v>
      </c>
      <c r="AH21" s="26">
        <f>现金流量表!AH50</f>
        <v>0</v>
      </c>
      <c r="AI21" s="26">
        <f>现金流量表!AI50</f>
        <v>4488736.75</v>
      </c>
      <c r="AJ21" s="26">
        <f>现金流量表!AJ50</f>
        <v>0</v>
      </c>
      <c r="AK21" s="26">
        <f>现金流量表!AK50</f>
        <v>10144856.43</v>
      </c>
      <c r="AL21" s="26">
        <f>现金流量表!AL50</f>
        <v>0</v>
      </c>
      <c r="AM21" s="26">
        <f>现金流量表!AM50</f>
        <v>4917789.0599999996</v>
      </c>
      <c r="AN21" s="26">
        <f>现金流量表!AN50</f>
        <v>0</v>
      </c>
      <c r="AO21" s="26">
        <f>现金流量表!AO50</f>
        <v>7064789.0599999996</v>
      </c>
      <c r="AP21" s="26">
        <f>现金流量表!AP50</f>
        <v>0</v>
      </c>
      <c r="AQ21" s="26">
        <f>现金流量表!AQ50</f>
        <v>3019436.11</v>
      </c>
      <c r="AR21" s="26">
        <f>现金流量表!AR50</f>
        <v>0</v>
      </c>
      <c r="AS21" s="26">
        <f>现金流量表!AS50</f>
        <v>4669492.04</v>
      </c>
      <c r="AT21" s="26">
        <f>现金流量表!AT50</f>
        <v>0</v>
      </c>
      <c r="AU21" s="26">
        <f>现金流量表!AU50</f>
        <v>2483355.67</v>
      </c>
      <c r="AV21" s="26">
        <f>现金流量表!AV50</f>
        <v>0</v>
      </c>
      <c r="AW21" s="26">
        <f>现金流量表!AW50</f>
        <v>5815529</v>
      </c>
      <c r="AX21" s="26">
        <f>现金流量表!AX50</f>
        <v>5773794.8899999997</v>
      </c>
      <c r="AY21" s="26">
        <f>现金流量表!AY50</f>
        <v>2989091.63</v>
      </c>
      <c r="AZ21" s="26">
        <f>现金流量表!AZ50</f>
        <v>1573317.14</v>
      </c>
      <c r="BA21" s="26">
        <f>现金流量表!BA50</f>
        <v>6639618.4400000004</v>
      </c>
      <c r="BB21" s="26">
        <f>现金流量表!BB50</f>
        <v>4950257.96</v>
      </c>
      <c r="BC21" s="26">
        <f>现金流量表!BC50</f>
        <v>3280878.16</v>
      </c>
      <c r="BD21" s="26">
        <f>现金流量表!BD50</f>
        <v>1611710.84</v>
      </c>
      <c r="BE21" s="26">
        <f>现金流量表!BE50</f>
        <v>5623071.4400000004</v>
      </c>
      <c r="BF21" s="26">
        <f>现金流量表!BF50</f>
        <v>3826610.44</v>
      </c>
      <c r="BG21" s="26">
        <f>现金流量表!BG50</f>
        <v>2345347.66</v>
      </c>
      <c r="BH21" s="26">
        <f>现金流量表!BH50</f>
        <v>1169980.3700000001</v>
      </c>
      <c r="BI21" s="26">
        <f>现金流量表!BI50</f>
        <v>4111167.07</v>
      </c>
      <c r="BJ21" s="26">
        <f>现金流量表!BJ50</f>
        <v>2448572.8199999998</v>
      </c>
      <c r="BK21" s="26">
        <f>现金流量表!BK50</f>
        <v>1495816.79</v>
      </c>
      <c r="BL21" s="26">
        <f>现金流量表!BL50</f>
        <v>631052.81000000006</v>
      </c>
      <c r="BM21" s="26">
        <f>现金流量表!BM50</f>
        <v>1253777.0900000001</v>
      </c>
      <c r="BN21" s="26">
        <f>现金流量表!BN50</f>
        <v>271874.71000000002</v>
      </c>
      <c r="BO21" s="26">
        <f>现金流量表!BO50</f>
        <v>552234.48</v>
      </c>
      <c r="BP21" s="26">
        <f>现金流量表!BP50</f>
        <v>278230.05</v>
      </c>
      <c r="BQ21" s="26">
        <f>现金流量表!BQ50</f>
        <v>515959.18</v>
      </c>
      <c r="BR21" s="26">
        <f>现金流量表!BR50</f>
        <v>239841.94</v>
      </c>
      <c r="BS21" s="26">
        <f>现金流量表!BS50</f>
        <v>460711.29</v>
      </c>
      <c r="BT21" s="26">
        <f>现金流量表!BT50</f>
        <v>459223.8</v>
      </c>
      <c r="BU21" s="26">
        <f>现金流量表!BU50</f>
        <v>229611.9</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12987602.67</v>
      </c>
      <c r="F22" s="26">
        <f>现金流量表!F51</f>
        <v>0</v>
      </c>
      <c r="G22" s="26">
        <f>现金流量表!G51</f>
        <v>5382103.2300000004</v>
      </c>
      <c r="H22" s="26">
        <f>现金流量表!H51</f>
        <v>0</v>
      </c>
      <c r="I22" s="26">
        <f>现金流量表!I51</f>
        <v>13701761.630000001</v>
      </c>
      <c r="J22" s="26">
        <f>现金流量表!J51</f>
        <v>0</v>
      </c>
      <c r="K22" s="26">
        <f>现金流量表!K51</f>
        <v>6425594.8399999999</v>
      </c>
      <c r="L22" s="26">
        <f>现金流量表!L51</f>
        <v>0</v>
      </c>
      <c r="M22" s="26">
        <f>现金流量表!M51</f>
        <v>13150105.02</v>
      </c>
      <c r="N22" s="26">
        <f>现金流量表!N51</f>
        <v>0</v>
      </c>
      <c r="O22" s="26">
        <f>现金流量表!O51</f>
        <v>5204980.82</v>
      </c>
      <c r="P22" s="26">
        <f>现金流量表!P51</f>
        <v>0</v>
      </c>
      <c r="Q22" s="26">
        <f>现金流量表!Q51</f>
        <v>7624943.3399999999</v>
      </c>
      <c r="R22" s="26">
        <f>现金流量表!R51</f>
        <v>0</v>
      </c>
      <c r="S22" s="26">
        <f>现金流量表!S51</f>
        <v>0</v>
      </c>
      <c r="T22" s="26">
        <f>现金流量表!T51</f>
        <v>0</v>
      </c>
      <c r="U22" s="26">
        <f>现金流量表!U51</f>
        <v>15272.29</v>
      </c>
      <c r="V22" s="26">
        <f>现金流量表!V51</f>
        <v>0</v>
      </c>
      <c r="W22" s="26">
        <f>现金流量表!W51</f>
        <v>15272.29</v>
      </c>
      <c r="X22" s="26">
        <f>现金流量表!X51</f>
        <v>0</v>
      </c>
      <c r="Y22" s="26">
        <f>现金流量表!Y51</f>
        <v>61088.88</v>
      </c>
      <c r="Z22" s="26">
        <f>现金流量表!Z51</f>
        <v>0</v>
      </c>
      <c r="AA22" s="26">
        <f>现金流量表!AA51</f>
        <v>12301997.74</v>
      </c>
      <c r="AB22" s="26">
        <f>现金流量表!AB51</f>
        <v>0</v>
      </c>
      <c r="AC22" s="26">
        <f>现金流量表!AC51</f>
        <v>61088.88</v>
      </c>
      <c r="AD22" s="26">
        <f>现金流量表!AD51</f>
        <v>0</v>
      </c>
      <c r="AE22" s="26">
        <f>现金流量表!AE51</f>
        <v>30544.44</v>
      </c>
      <c r="AF22" s="26">
        <f>现金流量表!AF51</f>
        <v>0</v>
      </c>
      <c r="AG22" s="26">
        <f>现金流量表!AG51</f>
        <v>61088.88</v>
      </c>
      <c r="AH22" s="26">
        <f>现金流量表!AH51</f>
        <v>0</v>
      </c>
      <c r="AI22" s="26">
        <f>现金流量表!AI51</f>
        <v>363294.44</v>
      </c>
      <c r="AJ22" s="26">
        <f>现金流量表!AJ51</f>
        <v>0</v>
      </c>
      <c r="AK22" s="26">
        <f>现金流量表!AK51</f>
        <v>4231023.7</v>
      </c>
      <c r="AL22" s="26">
        <f>现金流量表!AL51</f>
        <v>0</v>
      </c>
      <c r="AM22" s="26">
        <f>现金流量表!AM51</f>
        <v>2115511.7999999998</v>
      </c>
      <c r="AN22" s="26">
        <f>现金流量表!AN51</f>
        <v>0</v>
      </c>
      <c r="AO22" s="26">
        <f>现金流量表!AO51</f>
        <v>4215751.38</v>
      </c>
      <c r="AP22" s="26">
        <f>现金流量表!AP51</f>
        <v>0</v>
      </c>
      <c r="AQ22" s="26">
        <f>现金流量表!AQ51</f>
        <v>1778443.91</v>
      </c>
      <c r="AR22" s="26">
        <f>现金流量表!AR51</f>
        <v>0</v>
      </c>
      <c r="AS22" s="26">
        <f>现金流量表!AS51</f>
        <v>265500</v>
      </c>
      <c r="AT22" s="26">
        <f>现金流量表!AT51</f>
        <v>0</v>
      </c>
      <c r="AU22" s="26">
        <f>现金流量表!AU51</f>
        <v>0</v>
      </c>
      <c r="AV22" s="26">
        <f>现金流量表!AV51</f>
        <v>0</v>
      </c>
      <c r="AW22" s="26">
        <f>现金流量表!AW51</f>
        <v>26666.67</v>
      </c>
      <c r="AX22" s="26">
        <f>现金流量表!AX51</f>
        <v>26666.67</v>
      </c>
      <c r="AY22" s="26">
        <f>现金流量表!AY51</f>
        <v>26666.67</v>
      </c>
      <c r="AZ22" s="26">
        <f>现金流量表!AZ51</f>
        <v>20000</v>
      </c>
      <c r="BA22" s="26">
        <f>现金流量表!BA51</f>
        <v>80000</v>
      </c>
      <c r="BB22" s="26">
        <f>现金流量表!BB51</f>
        <v>60000</v>
      </c>
      <c r="BC22" s="26">
        <f>现金流量表!BC51</f>
        <v>40000</v>
      </c>
      <c r="BD22" s="26">
        <f>现金流量表!BD51</f>
        <v>20000</v>
      </c>
      <c r="BE22" s="26">
        <f>现金流量表!BE51</f>
        <v>80000</v>
      </c>
      <c r="BF22" s="26">
        <f>现金流量表!BF51</f>
        <v>-24203.98</v>
      </c>
      <c r="BG22" s="26">
        <f>现金流量表!BG51</f>
        <v>40000</v>
      </c>
      <c r="BH22" s="26">
        <f>现金流量表!BH51</f>
        <v>29885</v>
      </c>
      <c r="BI22" s="26">
        <f>现金流量表!BI51</f>
        <v>13333.33</v>
      </c>
      <c r="BJ22" s="26">
        <f>现金流量表!BJ51</f>
        <v>0</v>
      </c>
      <c r="BK22" s="26">
        <f>现金流量表!BK51</f>
        <v>250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-1075601.71</v>
      </c>
      <c r="F23" s="26">
        <f>现金流量表!F54</f>
        <v>0</v>
      </c>
      <c r="G23" s="26">
        <f>现金流量表!G54</f>
        <v>-211013.99</v>
      </c>
      <c r="H23" s="26">
        <f>现金流量表!H54</f>
        <v>0</v>
      </c>
      <c r="I23" s="26">
        <f>现金流量表!I54</f>
        <v>-14407231.060000001</v>
      </c>
      <c r="J23" s="26">
        <f>现金流量表!J54</f>
        <v>0</v>
      </c>
      <c r="K23" s="26">
        <f>现金流量表!K54</f>
        <v>-102310.35</v>
      </c>
      <c r="L23" s="26">
        <f>现金流量表!L54</f>
        <v>0</v>
      </c>
      <c r="M23" s="26">
        <f>现金流量表!M54</f>
        <v>4992497.3899999997</v>
      </c>
      <c r="N23" s="26">
        <f>现金流量表!N54</f>
        <v>0</v>
      </c>
      <c r="O23" s="26">
        <f>现金流量表!O54</f>
        <v>1829112.15</v>
      </c>
      <c r="P23" s="26">
        <f>现金流量表!P54</f>
        <v>0</v>
      </c>
      <c r="Q23" s="26">
        <f>现金流量表!Q54</f>
        <v>-378183.18</v>
      </c>
      <c r="R23" s="26">
        <f>现金流量表!R54</f>
        <v>0</v>
      </c>
      <c r="S23" s="26">
        <f>现金流量表!S54</f>
        <v>0</v>
      </c>
      <c r="T23" s="26">
        <f>现金流量表!T54</f>
        <v>0</v>
      </c>
      <c r="U23" s="26">
        <f>现金流量表!U54</f>
        <v>-248789.14</v>
      </c>
      <c r="V23" s="26">
        <f>现金流量表!V54</f>
        <v>0</v>
      </c>
      <c r="W23" s="26">
        <f>现金流量表!W54</f>
        <v>0</v>
      </c>
      <c r="X23" s="26">
        <f>现金流量表!X54</f>
        <v>0</v>
      </c>
      <c r="Y23" s="26">
        <f>现金流量表!Y54</f>
        <v>-207196.19</v>
      </c>
      <c r="Z23" s="26">
        <f>现金流量表!Z54</f>
        <v>0</v>
      </c>
      <c r="AA23" s="26">
        <f>现金流量表!AA54</f>
        <v>0</v>
      </c>
      <c r="AB23" s="26">
        <f>现金流量表!AB54</f>
        <v>0</v>
      </c>
      <c r="AC23" s="26">
        <f>现金流量表!AC54</f>
        <v>-422047.67</v>
      </c>
      <c r="AD23" s="26">
        <f>现金流量表!AD54</f>
        <v>0</v>
      </c>
      <c r="AE23" s="26">
        <f>现金流量表!AE54</f>
        <v>0</v>
      </c>
      <c r="AF23" s="26">
        <f>现金流量表!AF54</f>
        <v>0</v>
      </c>
      <c r="AG23" s="26">
        <f>现金流量表!AG54</f>
        <v>1879109.56</v>
      </c>
      <c r="AH23" s="26">
        <f>现金流量表!AH54</f>
        <v>0</v>
      </c>
      <c r="AI23" s="26">
        <f>现金流量表!AI54</f>
        <v>-291750.96000000002</v>
      </c>
      <c r="AJ23" s="26">
        <f>现金流量表!AJ54</f>
        <v>0</v>
      </c>
      <c r="AK23" s="26">
        <f>现金流量表!AK54</f>
        <v>2388482.41</v>
      </c>
      <c r="AL23" s="26">
        <f>现金流量表!AL54</f>
        <v>0</v>
      </c>
      <c r="AM23" s="26">
        <f>现金流量表!AM54</f>
        <v>-400174.75</v>
      </c>
      <c r="AN23" s="26">
        <f>现金流量表!AN54</f>
        <v>0</v>
      </c>
      <c r="AO23" s="26">
        <f>现金流量表!AO54</f>
        <v>4432564.9800000004</v>
      </c>
      <c r="AP23" s="26">
        <f>现金流量表!AP54</f>
        <v>0</v>
      </c>
      <c r="AQ23" s="26">
        <f>现金流量表!AQ54</f>
        <v>-570440.99</v>
      </c>
      <c r="AR23" s="26">
        <f>现金流量表!AR54</f>
        <v>0</v>
      </c>
      <c r="AS23" s="26">
        <f>现金流量表!AS54</f>
        <v>171715.73</v>
      </c>
      <c r="AT23" s="26">
        <f>现金流量表!AT54</f>
        <v>0</v>
      </c>
      <c r="AU23" s="26">
        <f>现金流量表!AU54</f>
        <v>-782090.85</v>
      </c>
      <c r="AV23" s="26">
        <f>现金流量表!AV54</f>
        <v>0</v>
      </c>
      <c r="AW23" s="26">
        <f>现金流量表!AW54</f>
        <v>286829.36</v>
      </c>
      <c r="AX23" s="26">
        <f>现金流量表!AX54</f>
        <v>-109349.82</v>
      </c>
      <c r="AY23" s="26">
        <f>现金流量表!AY54</f>
        <v>-6742.04</v>
      </c>
      <c r="AZ23" s="26">
        <f>现金流量表!AZ54</f>
        <v>550593.46</v>
      </c>
      <c r="BA23" s="26">
        <f>现金流量表!BA54</f>
        <v>-758923.09</v>
      </c>
      <c r="BB23" s="26">
        <f>现金流量表!BB54</f>
        <v>-1778729.52</v>
      </c>
      <c r="BC23" s="26">
        <f>现金流量表!BC54</f>
        <v>-1428275.06</v>
      </c>
      <c r="BD23" s="26">
        <f>现金流量表!BD54</f>
        <v>-12000</v>
      </c>
      <c r="BE23" s="26">
        <f>现金流量表!BE54</f>
        <v>638404.5</v>
      </c>
      <c r="BF23" s="26">
        <f>现金流量表!BF54</f>
        <v>-63969.4</v>
      </c>
      <c r="BG23" s="26">
        <f>现金流量表!BG54</f>
        <v>-26469.4</v>
      </c>
      <c r="BH23" s="26">
        <f>现金流量表!BH54</f>
        <v>-26469.4</v>
      </c>
      <c r="BI23" s="26">
        <f>现金流量表!BI54</f>
        <v>1673708.42</v>
      </c>
      <c r="BJ23" s="26">
        <f>现金流量表!BJ54</f>
        <v>3780</v>
      </c>
      <c r="BK23" s="26">
        <f>现金流量表!BK54</f>
        <v>3780</v>
      </c>
      <c r="BL23" s="26">
        <f>现金流量表!BL54</f>
        <v>0</v>
      </c>
      <c r="BM23" s="26">
        <f>现金流量表!BM54</f>
        <v>15885571.27</v>
      </c>
      <c r="BN23" s="26">
        <f>现金流量表!BN54</f>
        <v>-2637.52</v>
      </c>
      <c r="BO23" s="26">
        <f>现金流量表!BO54</f>
        <v>17178233.09</v>
      </c>
      <c r="BP23" s="26">
        <f>现金流量表!BP54</f>
        <v>-18000</v>
      </c>
      <c r="BQ23" s="26">
        <f>现金流量表!BQ54</f>
        <v>2009504.5</v>
      </c>
      <c r="BR23" s="26">
        <f>现金流量表!BR54</f>
        <v>598672.47</v>
      </c>
      <c r="BS23" s="26">
        <f>现金流量表!BS54</f>
        <v>0</v>
      </c>
      <c r="BT23" s="26">
        <f>现金流量表!BT54</f>
        <v>153573.57999999999</v>
      </c>
      <c r="BU23" s="26">
        <f>现金流量表!BU54</f>
        <v>4594.6499999999996</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11030681.93</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-667979.77</v>
      </c>
      <c r="T24" s="26">
        <f>现金流量表!T55</f>
        <v>0</v>
      </c>
      <c r="U24" s="26">
        <f>现金流量表!U55</f>
        <v>0</v>
      </c>
      <c r="V24" s="26">
        <f>现金流量表!V55</f>
        <v>0</v>
      </c>
      <c r="W24" s="26">
        <f>现金流量表!W55</f>
        <v>-360893.64</v>
      </c>
      <c r="X24" s="26">
        <f>现金流量表!X55</f>
        <v>0</v>
      </c>
      <c r="Y24" s="26">
        <f>现金流量表!Y55</f>
        <v>0</v>
      </c>
      <c r="Z24" s="26">
        <f>现金流量表!Z55</f>
        <v>0</v>
      </c>
      <c r="AA24" s="26">
        <f>现金流量表!AA55</f>
        <v>-330849.37</v>
      </c>
      <c r="AB24" s="26">
        <f>现金流量表!AB55</f>
        <v>0</v>
      </c>
      <c r="AC24" s="26">
        <f>现金流量表!AC55</f>
        <v>0</v>
      </c>
      <c r="AD24" s="26">
        <f>现金流量表!AD55</f>
        <v>0</v>
      </c>
      <c r="AE24" s="26">
        <f>现金流量表!AE55</f>
        <v>-229445.36</v>
      </c>
      <c r="AF24" s="26">
        <f>现金流量表!AF55</f>
        <v>0</v>
      </c>
      <c r="AG24" s="26">
        <f>现金流量表!AG55</f>
        <v>0</v>
      </c>
      <c r="AH24" s="26">
        <f>现金流量表!AH55</f>
        <v>0</v>
      </c>
      <c r="AI24" s="26">
        <f>现金流量表!AI55</f>
        <v>856740.53</v>
      </c>
      <c r="AJ24" s="26">
        <f>现金流量表!AJ55</f>
        <v>0</v>
      </c>
      <c r="AK24" s="26">
        <f>现金流量表!AK55</f>
        <v>91759.75</v>
      </c>
      <c r="AL24" s="26">
        <f>现金流量表!AL55</f>
        <v>0</v>
      </c>
      <c r="AM24" s="26">
        <f>现金流量表!AM55</f>
        <v>1650916.64</v>
      </c>
      <c r="AN24" s="26">
        <f>现金流量表!AN55</f>
        <v>0</v>
      </c>
      <c r="AO24" s="26">
        <f>现金流量表!AO55</f>
        <v>0</v>
      </c>
      <c r="AP24" s="26">
        <f>现金流量表!AP55</f>
        <v>0</v>
      </c>
      <c r="AQ24" s="26">
        <f>现金流量表!AQ55</f>
        <v>252922.01</v>
      </c>
      <c r="AR24" s="26">
        <f>现金流量表!AR55</f>
        <v>0</v>
      </c>
      <c r="AS24" s="26">
        <f>现金流量表!AS55</f>
        <v>0</v>
      </c>
      <c r="AT24" s="26">
        <f>现金流量表!AT55</f>
        <v>0</v>
      </c>
      <c r="AU24" s="26">
        <f>现金流量表!AU55</f>
        <v>331431.44</v>
      </c>
      <c r="AV24" s="26">
        <f>现金流量表!AV55</f>
        <v>0</v>
      </c>
      <c r="AW24" s="26">
        <f>现金流量表!AW55</f>
        <v>0</v>
      </c>
      <c r="AX24" s="26">
        <f>现金流量表!AX55</f>
        <v>493499.05</v>
      </c>
      <c r="AY24" s="26">
        <f>现金流量表!AY55</f>
        <v>699614.17</v>
      </c>
      <c r="AZ24" s="26">
        <f>现金流量表!AZ55</f>
        <v>0</v>
      </c>
      <c r="BA24" s="26">
        <f>现金流量表!BA55</f>
        <v>0</v>
      </c>
      <c r="BB24" s="26">
        <f>现金流量表!BB55</f>
        <v>822204.74</v>
      </c>
      <c r="BC24" s="26">
        <f>现金流量表!BC55</f>
        <v>935091.66</v>
      </c>
      <c r="BD24" s="26">
        <f>现金流量表!BD55</f>
        <v>1101911.31</v>
      </c>
      <c r="BE24" s="26">
        <f>现金流量表!BE55</f>
        <v>0</v>
      </c>
      <c r="BF24" s="26">
        <f>现金流量表!BF55</f>
        <v>1057216.06</v>
      </c>
      <c r="BG24" s="26">
        <f>现金流量表!BG55</f>
        <v>1057216.06</v>
      </c>
      <c r="BH24" s="26">
        <f>现金流量表!BH55</f>
        <v>121360.29</v>
      </c>
      <c r="BI24" s="26">
        <f>现金流量表!BI55</f>
        <v>0</v>
      </c>
      <c r="BJ24" s="26">
        <f>现金流量表!BJ55</f>
        <v>241416.69</v>
      </c>
      <c r="BK24" s="26">
        <f>现金流量表!BK55</f>
        <v>201998.55</v>
      </c>
      <c r="BL24" s="26">
        <f>现金流量表!BL55</f>
        <v>0</v>
      </c>
      <c r="BM24" s="26">
        <f>现金流量表!BM55</f>
        <v>0</v>
      </c>
      <c r="BN24" s="26">
        <f>现金流量表!BN55</f>
        <v>2608.38</v>
      </c>
      <c r="BO24" s="26">
        <f>现金流量表!BO55</f>
        <v>0</v>
      </c>
      <c r="BP24" s="26">
        <f>现金流量表!BP55</f>
        <v>397123.75</v>
      </c>
      <c r="BQ24" s="26">
        <f>现金流量表!BQ55</f>
        <v>0</v>
      </c>
      <c r="BR24" s="26">
        <f>现金流量表!BR55</f>
        <v>0</v>
      </c>
      <c r="BS24" s="26">
        <f>现金流量表!BS55</f>
        <v>1934528.35</v>
      </c>
      <c r="BT24" s="26">
        <f>现金流量表!BT55</f>
        <v>0</v>
      </c>
      <c r="BU24" s="26">
        <f>现金流量表!BU55</f>
        <v>3695595.07</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1281682766.3199999</v>
      </c>
      <c r="F25" s="28">
        <f t="shared" ref="F25:BQ25" si="12">SUM(F19:F24)</f>
        <v>0</v>
      </c>
      <c r="G25" s="28">
        <f t="shared" si="12"/>
        <v>364807710.82000005</v>
      </c>
      <c r="H25" s="28">
        <f t="shared" si="12"/>
        <v>0</v>
      </c>
      <c r="I25" s="28">
        <f t="shared" si="12"/>
        <v>1137629406.0600002</v>
      </c>
      <c r="J25" s="28">
        <f t="shared" si="12"/>
        <v>0</v>
      </c>
      <c r="K25" s="28">
        <f t="shared" si="12"/>
        <v>394257737.56</v>
      </c>
      <c r="L25" s="28">
        <f t="shared" si="12"/>
        <v>0</v>
      </c>
      <c r="M25" s="28">
        <f t="shared" si="12"/>
        <v>983958035.90999997</v>
      </c>
      <c r="N25" s="28">
        <f t="shared" si="12"/>
        <v>0</v>
      </c>
      <c r="O25" s="28">
        <f t="shared" si="12"/>
        <v>285724235.88999999</v>
      </c>
      <c r="P25" s="28">
        <f t="shared" si="12"/>
        <v>0</v>
      </c>
      <c r="Q25" s="28">
        <f t="shared" si="12"/>
        <v>1025303375.4100001</v>
      </c>
      <c r="R25" s="28">
        <f t="shared" si="12"/>
        <v>0</v>
      </c>
      <c r="S25" s="28">
        <f t="shared" si="12"/>
        <v>300260024.77000004</v>
      </c>
      <c r="T25" s="28">
        <f t="shared" si="12"/>
        <v>0</v>
      </c>
      <c r="U25" s="28">
        <f t="shared" si="12"/>
        <v>590867094.1400001</v>
      </c>
      <c r="V25" s="28">
        <f t="shared" si="12"/>
        <v>0</v>
      </c>
      <c r="W25" s="28">
        <f t="shared" si="12"/>
        <v>440037877.02000004</v>
      </c>
      <c r="X25" s="28">
        <f t="shared" si="12"/>
        <v>0</v>
      </c>
      <c r="Y25" s="28">
        <f t="shared" si="12"/>
        <v>550425917.5999999</v>
      </c>
      <c r="Z25" s="28">
        <f t="shared" si="12"/>
        <v>0</v>
      </c>
      <c r="AA25" s="28">
        <f t="shared" si="12"/>
        <v>174153730.56999999</v>
      </c>
      <c r="AB25" s="28">
        <f t="shared" si="12"/>
        <v>0</v>
      </c>
      <c r="AC25" s="28">
        <f t="shared" si="12"/>
        <v>263432586.28000003</v>
      </c>
      <c r="AD25" s="28">
        <f t="shared" si="12"/>
        <v>0</v>
      </c>
      <c r="AE25" s="28">
        <f t="shared" si="12"/>
        <v>109568892.77</v>
      </c>
      <c r="AF25" s="28">
        <f t="shared" si="12"/>
        <v>0</v>
      </c>
      <c r="AG25" s="28">
        <f t="shared" si="12"/>
        <v>237528659.44</v>
      </c>
      <c r="AH25" s="28">
        <f t="shared" si="12"/>
        <v>0</v>
      </c>
      <c r="AI25" s="28">
        <f t="shared" si="12"/>
        <v>146466133.67999998</v>
      </c>
      <c r="AJ25" s="28">
        <f t="shared" si="12"/>
        <v>0</v>
      </c>
      <c r="AK25" s="28">
        <f t="shared" si="12"/>
        <v>231203669.62</v>
      </c>
      <c r="AL25" s="28">
        <f t="shared" si="12"/>
        <v>0</v>
      </c>
      <c r="AM25" s="28">
        <f t="shared" si="12"/>
        <v>89869742.75</v>
      </c>
      <c r="AN25" s="28">
        <f t="shared" si="12"/>
        <v>0</v>
      </c>
      <c r="AO25" s="28">
        <f t="shared" si="12"/>
        <v>268685998.70999998</v>
      </c>
      <c r="AP25" s="28">
        <f t="shared" si="12"/>
        <v>0</v>
      </c>
      <c r="AQ25" s="28">
        <f t="shared" si="12"/>
        <v>37395063.189999998</v>
      </c>
      <c r="AR25" s="28">
        <f t="shared" si="12"/>
        <v>0</v>
      </c>
      <c r="AS25" s="28">
        <f t="shared" si="12"/>
        <v>129957095.77000001</v>
      </c>
      <c r="AT25" s="28">
        <f t="shared" si="12"/>
        <v>0</v>
      </c>
      <c r="AU25" s="28">
        <f t="shared" si="12"/>
        <v>46985228.619999997</v>
      </c>
      <c r="AV25" s="28">
        <f t="shared" si="12"/>
        <v>0</v>
      </c>
      <c r="AW25" s="28">
        <f t="shared" si="12"/>
        <v>76864995.560000002</v>
      </c>
      <c r="AX25" s="28">
        <f t="shared" si="12"/>
        <v>70415252.38000001</v>
      </c>
      <c r="AY25" s="28">
        <f t="shared" si="12"/>
        <v>50060009.850000009</v>
      </c>
      <c r="AZ25" s="28">
        <f t="shared" si="12"/>
        <v>23777712.460000001</v>
      </c>
      <c r="BA25" s="28">
        <f t="shared" si="12"/>
        <v>119287161.95999998</v>
      </c>
      <c r="BB25" s="28">
        <f t="shared" si="12"/>
        <v>60268089.019999996</v>
      </c>
      <c r="BC25" s="28">
        <f t="shared" si="12"/>
        <v>45257443.749999985</v>
      </c>
      <c r="BD25" s="28">
        <f t="shared" si="12"/>
        <v>21512778.75</v>
      </c>
      <c r="BE25" s="28">
        <f t="shared" si="12"/>
        <v>86728307.579999998</v>
      </c>
      <c r="BF25" s="28">
        <f t="shared" si="12"/>
        <v>64997233.010000005</v>
      </c>
      <c r="BG25" s="28">
        <f t="shared" si="12"/>
        <v>36217811.509999998</v>
      </c>
      <c r="BH25" s="28">
        <f t="shared" si="12"/>
        <v>20582726.530000001</v>
      </c>
      <c r="BI25" s="28">
        <f t="shared" si="12"/>
        <v>81014381.25</v>
      </c>
      <c r="BJ25" s="28">
        <f t="shared" si="12"/>
        <v>49940983.93</v>
      </c>
      <c r="BK25" s="28">
        <f t="shared" si="12"/>
        <v>31015029.359999999</v>
      </c>
      <c r="BL25" s="28">
        <f t="shared" si="12"/>
        <v>12667474.110000001</v>
      </c>
      <c r="BM25" s="28">
        <f t="shared" si="12"/>
        <v>117276847.63</v>
      </c>
      <c r="BN25" s="28">
        <f t="shared" si="12"/>
        <v>35254506.060000002</v>
      </c>
      <c r="BO25" s="28">
        <f t="shared" si="12"/>
        <v>83582984.25999999</v>
      </c>
      <c r="BP25" s="28">
        <f t="shared" si="12"/>
        <v>35520731.819999993</v>
      </c>
      <c r="BQ25" s="28">
        <f t="shared" si="12"/>
        <v>38398073.579999998</v>
      </c>
      <c r="BR25" s="28">
        <f t="shared" ref="BR25:CK25" si="13">SUM(BR19:BR24)</f>
        <v>15793731.720000001</v>
      </c>
      <c r="BS25" s="28">
        <f t="shared" si="13"/>
        <v>25574502.710000001</v>
      </c>
      <c r="BT25" s="28">
        <f t="shared" si="13"/>
        <v>8429181.5299999993</v>
      </c>
      <c r="BU25" s="28">
        <f t="shared" si="13"/>
        <v>6521748.5</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-3030644906.8099999</v>
      </c>
      <c r="F26" s="28">
        <f t="shared" ref="F26:BQ26" si="14">F14-F25</f>
        <v>-4018790100.96</v>
      </c>
      <c r="G26" s="28">
        <f t="shared" si="14"/>
        <v>-4857836301.1399994</v>
      </c>
      <c r="H26" s="28">
        <f t="shared" si="14"/>
        <v>-3333736415.5799999</v>
      </c>
      <c r="I26" s="28">
        <f t="shared" si="14"/>
        <v>2394702283.7399998</v>
      </c>
      <c r="J26" s="28">
        <f t="shared" si="14"/>
        <v>-1372759082.9400001</v>
      </c>
      <c r="K26" s="28">
        <f t="shared" si="14"/>
        <v>-2259027071.2800002</v>
      </c>
      <c r="L26" s="28">
        <f t="shared" si="14"/>
        <v>-1956386396.3199999</v>
      </c>
      <c r="M26" s="28">
        <f t="shared" si="14"/>
        <v>5025782444.1900005</v>
      </c>
      <c r="N26" s="28">
        <f t="shared" si="14"/>
        <v>5016798560.6400003</v>
      </c>
      <c r="O26" s="28">
        <f t="shared" si="14"/>
        <v>1575703384.27</v>
      </c>
      <c r="P26" s="28">
        <f t="shared" si="14"/>
        <v>-308709675.41000003</v>
      </c>
      <c r="Q26" s="28">
        <f t="shared" si="14"/>
        <v>2179957382.5199995</v>
      </c>
      <c r="R26" s="28">
        <f t="shared" si="14"/>
        <v>2323847789.0999999</v>
      </c>
      <c r="S26" s="28">
        <f t="shared" si="14"/>
        <v>1229290880.45</v>
      </c>
      <c r="T26" s="28">
        <f t="shared" si="14"/>
        <v>590472314.78999996</v>
      </c>
      <c r="U26" s="28">
        <f t="shared" si="14"/>
        <v>1346100522.8099999</v>
      </c>
      <c r="V26" s="28">
        <f t="shared" si="14"/>
        <v>2758002518.5100002</v>
      </c>
      <c r="W26" s="28">
        <f t="shared" si="14"/>
        <v>896813660.03999996</v>
      </c>
      <c r="X26" s="28">
        <f t="shared" si="14"/>
        <v>-414216429.92000002</v>
      </c>
      <c r="Y26" s="28">
        <f t="shared" si="14"/>
        <v>821729844.22000003</v>
      </c>
      <c r="Z26" s="28">
        <f t="shared" si="14"/>
        <v>1916400102.73</v>
      </c>
      <c r="AA26" s="28">
        <f t="shared" si="14"/>
        <v>1157925482.74</v>
      </c>
      <c r="AB26" s="28">
        <f t="shared" si="14"/>
        <v>811439629.33000004</v>
      </c>
      <c r="AC26" s="28">
        <f t="shared" si="14"/>
        <v>1182825359.55</v>
      </c>
      <c r="AD26" s="28">
        <f t="shared" si="14"/>
        <v>994639463.90999997</v>
      </c>
      <c r="AE26" s="28">
        <f t="shared" si="14"/>
        <v>424392507.93000001</v>
      </c>
      <c r="AF26" s="28">
        <f t="shared" si="14"/>
        <v>379924617.75999999</v>
      </c>
      <c r="AG26" s="28">
        <f t="shared" si="14"/>
        <v>1080172830.45</v>
      </c>
      <c r="AH26" s="28">
        <f t="shared" si="14"/>
        <v>2171253524.3299999</v>
      </c>
      <c r="AI26" s="28">
        <f t="shared" si="14"/>
        <v>869018332.5</v>
      </c>
      <c r="AJ26" s="28">
        <f t="shared" si="14"/>
        <v>344399893.80000001</v>
      </c>
      <c r="AK26" s="28">
        <f t="shared" si="14"/>
        <v>-158257612.98000002</v>
      </c>
      <c r="AL26" s="28">
        <f t="shared" si="14"/>
        <v>840764580.45000005</v>
      </c>
      <c r="AM26" s="28">
        <f t="shared" si="14"/>
        <v>155523264.16</v>
      </c>
      <c r="AN26" s="28">
        <f t="shared" si="14"/>
        <v>-196925535.59</v>
      </c>
      <c r="AO26" s="28">
        <f t="shared" si="14"/>
        <v>695546712.27999997</v>
      </c>
      <c r="AP26" s="28">
        <f t="shared" si="14"/>
        <v>480875519.33999997</v>
      </c>
      <c r="AQ26" s="28">
        <f t="shared" si="14"/>
        <v>292494900.36000001</v>
      </c>
      <c r="AR26" s="28">
        <f t="shared" si="14"/>
        <v>95270754.269999996</v>
      </c>
      <c r="AS26" s="28">
        <f t="shared" si="14"/>
        <v>459546864.17000008</v>
      </c>
      <c r="AT26" s="28">
        <f t="shared" si="14"/>
        <v>355676867.05000001</v>
      </c>
      <c r="AU26" s="28">
        <f t="shared" si="14"/>
        <v>-33860670.569999993</v>
      </c>
      <c r="AV26" s="28">
        <f t="shared" si="14"/>
        <v>19293015.57</v>
      </c>
      <c r="AW26" s="28">
        <f t="shared" si="14"/>
        <v>865387880.47000003</v>
      </c>
      <c r="AX26" s="28">
        <f t="shared" si="14"/>
        <v>510689505.34000003</v>
      </c>
      <c r="AY26" s="28">
        <f t="shared" si="14"/>
        <v>326120656.63</v>
      </c>
      <c r="AZ26" s="28">
        <f t="shared" si="14"/>
        <v>73903625.530000001</v>
      </c>
      <c r="BA26" s="28">
        <f t="shared" si="14"/>
        <v>386880293.98000002</v>
      </c>
      <c r="BB26" s="28">
        <f t="shared" si="14"/>
        <v>362170675.73000002</v>
      </c>
      <c r="BC26" s="28">
        <f t="shared" si="14"/>
        <v>116387949.04000001</v>
      </c>
      <c r="BD26" s="28">
        <f t="shared" si="14"/>
        <v>-60763283.560000002</v>
      </c>
      <c r="BE26" s="28">
        <f t="shared" si="14"/>
        <v>350019291.06</v>
      </c>
      <c r="BF26" s="28">
        <f t="shared" si="14"/>
        <v>152853970.95999998</v>
      </c>
      <c r="BG26" s="28">
        <f t="shared" si="14"/>
        <v>-75496122.900000006</v>
      </c>
      <c r="BH26" s="28">
        <f t="shared" si="14"/>
        <v>-86108177.120000005</v>
      </c>
      <c r="BI26" s="28">
        <f t="shared" si="14"/>
        <v>50062185.689999998</v>
      </c>
      <c r="BJ26" s="28">
        <f t="shared" si="14"/>
        <v>33342499.270000003</v>
      </c>
      <c r="BK26" s="28">
        <f t="shared" si="14"/>
        <v>-63043256.739999995</v>
      </c>
      <c r="BL26" s="28">
        <f t="shared" si="14"/>
        <v>-8909964.6900000013</v>
      </c>
      <c r="BM26" s="28">
        <f t="shared" si="14"/>
        <v>156351044.42000002</v>
      </c>
      <c r="BN26" s="28">
        <f t="shared" si="14"/>
        <v>57384277.980000004</v>
      </c>
      <c r="BO26" s="28">
        <f t="shared" si="14"/>
        <v>14215761.020000011</v>
      </c>
      <c r="BP26" s="28">
        <f t="shared" si="14"/>
        <v>20078566.030000009</v>
      </c>
      <c r="BQ26" s="28">
        <f t="shared" si="14"/>
        <v>180684382.43000001</v>
      </c>
      <c r="BR26" s="28">
        <f t="shared" ref="BR26:CK26" si="15">BR14-BR25</f>
        <v>25867138.640000001</v>
      </c>
      <c r="BS26" s="28">
        <f t="shared" si="15"/>
        <v>-3208532.8300000019</v>
      </c>
      <c r="BT26" s="28">
        <f t="shared" si="15"/>
        <v>8949690.6899999995</v>
      </c>
      <c r="BU26" s="28">
        <f t="shared" si="15"/>
        <v>-29974097.530000001</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-3041675588.7399998</v>
      </c>
      <c r="F27" s="26">
        <f t="shared" ref="F27:BQ27" si="16">F26-F24</f>
        <v>-4018790100.96</v>
      </c>
      <c r="G27" s="26">
        <f t="shared" si="16"/>
        <v>-4857836301.1399994</v>
      </c>
      <c r="H27" s="26">
        <f t="shared" si="16"/>
        <v>-3333736415.5799999</v>
      </c>
      <c r="I27" s="26">
        <f t="shared" si="16"/>
        <v>2394702283.7399998</v>
      </c>
      <c r="J27" s="26">
        <f t="shared" si="16"/>
        <v>-1372759082.9400001</v>
      </c>
      <c r="K27" s="26">
        <f t="shared" si="16"/>
        <v>-2259027071.2800002</v>
      </c>
      <c r="L27" s="26">
        <f t="shared" si="16"/>
        <v>-1956386396.3199999</v>
      </c>
      <c r="M27" s="26">
        <f t="shared" si="16"/>
        <v>5025782444.1900005</v>
      </c>
      <c r="N27" s="26">
        <f t="shared" si="16"/>
        <v>5016798560.6400003</v>
      </c>
      <c r="O27" s="26">
        <f t="shared" si="16"/>
        <v>1575703384.27</v>
      </c>
      <c r="P27" s="26">
        <f t="shared" si="16"/>
        <v>-308709675.41000003</v>
      </c>
      <c r="Q27" s="26">
        <f t="shared" si="16"/>
        <v>2179957382.5199995</v>
      </c>
      <c r="R27" s="26">
        <f t="shared" si="16"/>
        <v>2323847789.0999999</v>
      </c>
      <c r="S27" s="26">
        <f t="shared" si="16"/>
        <v>1229958860.22</v>
      </c>
      <c r="T27" s="26">
        <f t="shared" si="16"/>
        <v>590472314.78999996</v>
      </c>
      <c r="U27" s="26">
        <f t="shared" si="16"/>
        <v>1346100522.8099999</v>
      </c>
      <c r="V27" s="26">
        <f t="shared" si="16"/>
        <v>2758002518.5100002</v>
      </c>
      <c r="W27" s="26">
        <f t="shared" si="16"/>
        <v>897174553.67999995</v>
      </c>
      <c r="X27" s="26">
        <f t="shared" si="16"/>
        <v>-414216429.92000002</v>
      </c>
      <c r="Y27" s="26">
        <f t="shared" si="16"/>
        <v>821729844.22000003</v>
      </c>
      <c r="Z27" s="26">
        <f t="shared" si="16"/>
        <v>1916400102.73</v>
      </c>
      <c r="AA27" s="26">
        <f t="shared" si="16"/>
        <v>1158256332.1099999</v>
      </c>
      <c r="AB27" s="26">
        <f t="shared" si="16"/>
        <v>811439629.33000004</v>
      </c>
      <c r="AC27" s="26">
        <f t="shared" si="16"/>
        <v>1182825359.55</v>
      </c>
      <c r="AD27" s="26">
        <f t="shared" si="16"/>
        <v>994639463.90999997</v>
      </c>
      <c r="AE27" s="26">
        <f t="shared" si="16"/>
        <v>424621953.29000002</v>
      </c>
      <c r="AF27" s="26">
        <f t="shared" si="16"/>
        <v>379924617.75999999</v>
      </c>
      <c r="AG27" s="26">
        <f t="shared" si="16"/>
        <v>1080172830.45</v>
      </c>
      <c r="AH27" s="26">
        <f t="shared" si="16"/>
        <v>2171253524.3299999</v>
      </c>
      <c r="AI27" s="26">
        <f t="shared" si="16"/>
        <v>868161591.97000003</v>
      </c>
      <c r="AJ27" s="26">
        <f t="shared" si="16"/>
        <v>344399893.80000001</v>
      </c>
      <c r="AK27" s="26">
        <f t="shared" si="16"/>
        <v>-158349372.73000002</v>
      </c>
      <c r="AL27" s="26">
        <f t="shared" si="16"/>
        <v>840764580.45000005</v>
      </c>
      <c r="AM27" s="26">
        <f t="shared" si="16"/>
        <v>153872347.52000001</v>
      </c>
      <c r="AN27" s="26">
        <f t="shared" si="16"/>
        <v>-196925535.59</v>
      </c>
      <c r="AO27" s="26">
        <f t="shared" si="16"/>
        <v>695546712.27999997</v>
      </c>
      <c r="AP27" s="26">
        <f t="shared" si="16"/>
        <v>480875519.33999997</v>
      </c>
      <c r="AQ27" s="26">
        <f t="shared" si="16"/>
        <v>292241978.35000002</v>
      </c>
      <c r="AR27" s="26">
        <f t="shared" si="16"/>
        <v>95270754.269999996</v>
      </c>
      <c r="AS27" s="26">
        <f t="shared" si="16"/>
        <v>459546864.17000008</v>
      </c>
      <c r="AT27" s="26">
        <f t="shared" si="16"/>
        <v>355676867.05000001</v>
      </c>
      <c r="AU27" s="26">
        <f t="shared" si="16"/>
        <v>-34192102.00999999</v>
      </c>
      <c r="AV27" s="26">
        <f t="shared" si="16"/>
        <v>19293015.57</v>
      </c>
      <c r="AW27" s="26">
        <f t="shared" si="16"/>
        <v>865387880.47000003</v>
      </c>
      <c r="AX27" s="26">
        <f t="shared" si="16"/>
        <v>510196006.29000002</v>
      </c>
      <c r="AY27" s="26">
        <f t="shared" si="16"/>
        <v>325421042.45999998</v>
      </c>
      <c r="AZ27" s="26">
        <f t="shared" si="16"/>
        <v>73903625.530000001</v>
      </c>
      <c r="BA27" s="26">
        <f t="shared" si="16"/>
        <v>386880293.98000002</v>
      </c>
      <c r="BB27" s="26">
        <f t="shared" si="16"/>
        <v>361348470.99000001</v>
      </c>
      <c r="BC27" s="26">
        <f t="shared" si="16"/>
        <v>115452857.38000001</v>
      </c>
      <c r="BD27" s="26">
        <f t="shared" si="16"/>
        <v>-61865194.870000005</v>
      </c>
      <c r="BE27" s="26">
        <f t="shared" si="16"/>
        <v>350019291.06</v>
      </c>
      <c r="BF27" s="26">
        <f t="shared" si="16"/>
        <v>151796754.89999998</v>
      </c>
      <c r="BG27" s="26">
        <f t="shared" si="16"/>
        <v>-76553338.960000008</v>
      </c>
      <c r="BH27" s="26">
        <f t="shared" si="16"/>
        <v>-86229537.410000011</v>
      </c>
      <c r="BI27" s="26">
        <f t="shared" si="16"/>
        <v>50062185.689999998</v>
      </c>
      <c r="BJ27" s="26">
        <f t="shared" si="16"/>
        <v>33101082.580000002</v>
      </c>
      <c r="BK27" s="26">
        <f t="shared" si="16"/>
        <v>-63245255.289999992</v>
      </c>
      <c r="BL27" s="26">
        <f t="shared" si="16"/>
        <v>-8909964.6900000013</v>
      </c>
      <c r="BM27" s="26">
        <f t="shared" si="16"/>
        <v>156351044.42000002</v>
      </c>
      <c r="BN27" s="26">
        <f t="shared" si="16"/>
        <v>57381669.600000001</v>
      </c>
      <c r="BO27" s="26">
        <f t="shared" si="16"/>
        <v>14215761.020000011</v>
      </c>
      <c r="BP27" s="26">
        <f t="shared" si="16"/>
        <v>19681442.280000009</v>
      </c>
      <c r="BQ27" s="26">
        <f t="shared" si="16"/>
        <v>180684382.43000001</v>
      </c>
      <c r="BR27" s="26">
        <f t="shared" ref="BR27:CL27" si="17">BR26-BR24</f>
        <v>25867138.640000001</v>
      </c>
      <c r="BS27" s="26">
        <f t="shared" si="17"/>
        <v>-5143061.1800000016</v>
      </c>
      <c r="BT27" s="26">
        <f t="shared" si="17"/>
        <v>8949690.6899999995</v>
      </c>
      <c r="BU27" s="26">
        <f t="shared" si="17"/>
        <v>-33669692.600000001</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-2.2701685756066383</v>
      </c>
      <c r="F28" s="63">
        <f t="shared" ref="F28:BQ28" si="18">(F27-J27)/J27</f>
        <v>1.9275275981806428</v>
      </c>
      <c r="G28" s="63">
        <f t="shared" si="18"/>
        <v>1.1504108396485364</v>
      </c>
      <c r="H28" s="63">
        <f t="shared" si="18"/>
        <v>0.70402759999293674</v>
      </c>
      <c r="I28" s="63">
        <f t="shared" si="18"/>
        <v>-0.52351652497247103</v>
      </c>
      <c r="J28" s="63">
        <f t="shared" si="18"/>
        <v>-1.2736324901920868</v>
      </c>
      <c r="K28" s="63">
        <f t="shared" si="18"/>
        <v>-2.4336626384327871</v>
      </c>
      <c r="L28" s="63">
        <f t="shared" si="18"/>
        <v>5.3373018475099814</v>
      </c>
      <c r="M28" s="63">
        <f t="shared" si="18"/>
        <v>1.3054498608501548</v>
      </c>
      <c r="N28" s="63">
        <f t="shared" si="18"/>
        <v>1.1588326843828916</v>
      </c>
      <c r="O28" s="63">
        <f t="shared" si="18"/>
        <v>0.28110251101256944</v>
      </c>
      <c r="P28" s="63">
        <f t="shared" si="18"/>
        <v>-1.5228182044738066</v>
      </c>
      <c r="Q28" s="63">
        <f t="shared" si="18"/>
        <v>0.6194610622164487</v>
      </c>
      <c r="R28" s="63">
        <f t="shared" si="18"/>
        <v>-0.15741636437828588</v>
      </c>
      <c r="S28" s="63">
        <f t="shared" si="18"/>
        <v>0.37092481633033036</v>
      </c>
      <c r="T28" s="63">
        <f t="shared" si="18"/>
        <v>-2.4255164019062239</v>
      </c>
      <c r="U28" s="63">
        <f t="shared" si="18"/>
        <v>0.63813025932840672</v>
      </c>
      <c r="V28" s="63">
        <f t="shared" si="18"/>
        <v>0.43915798928475264</v>
      </c>
      <c r="W28" s="63">
        <f t="shared" si="18"/>
        <v>-0.22540932537306857</v>
      </c>
      <c r="X28" s="63">
        <f t="shared" si="18"/>
        <v>-1.5104710380758892</v>
      </c>
      <c r="Y28" s="63">
        <f t="shared" si="18"/>
        <v>-0.30528218930593182</v>
      </c>
      <c r="Z28" s="63">
        <f t="shared" si="18"/>
        <v>0.92672839985304023</v>
      </c>
      <c r="AA28" s="63">
        <f t="shared" si="18"/>
        <v>1.7277353964762077</v>
      </c>
      <c r="AB28" s="63">
        <f t="shared" si="18"/>
        <v>1.1357911317096854</v>
      </c>
      <c r="AC28" s="63">
        <f t="shared" si="18"/>
        <v>9.503343002733633E-2</v>
      </c>
      <c r="AD28" s="63">
        <f t="shared" si="18"/>
        <v>-0.54190542340424142</v>
      </c>
      <c r="AE28" s="63">
        <f t="shared" si="18"/>
        <v>-0.51089525588610329</v>
      </c>
      <c r="AF28" s="63">
        <f t="shared" si="18"/>
        <v>0.10314963680165913</v>
      </c>
      <c r="AG28" s="63">
        <f t="shared" si="18"/>
        <v>-7.8214531692006908</v>
      </c>
      <c r="AH28" s="63">
        <f t="shared" si="18"/>
        <v>1.5824750171657873</v>
      </c>
      <c r="AI28" s="63">
        <f t="shared" si="18"/>
        <v>4.642089731926383</v>
      </c>
      <c r="AJ28" s="63">
        <f t="shared" si="18"/>
        <v>-2.7488838751569649</v>
      </c>
      <c r="AK28" s="63">
        <f t="shared" si="18"/>
        <v>-1.2276617370685734</v>
      </c>
      <c r="AL28" s="63">
        <f t="shared" si="18"/>
        <v>0.74840378982890743</v>
      </c>
      <c r="AM28" s="63">
        <f t="shared" si="18"/>
        <v>-0.4734762323032296</v>
      </c>
      <c r="AN28" s="63">
        <f t="shared" si="18"/>
        <v>-3.0670093052051159</v>
      </c>
      <c r="AO28" s="63">
        <f t="shared" si="18"/>
        <v>0.51354903386457773</v>
      </c>
      <c r="AP28" s="63">
        <f t="shared" si="18"/>
        <v>0.3520011108071302</v>
      </c>
      <c r="AQ28" s="63">
        <f t="shared" si="18"/>
        <v>-9.5470609050162949</v>
      </c>
      <c r="AR28" s="63">
        <f t="shared" si="18"/>
        <v>3.93809554677097</v>
      </c>
      <c r="AS28" s="63">
        <f t="shared" si="18"/>
        <v>-0.46897007163953347</v>
      </c>
      <c r="AT28" s="63">
        <f t="shared" si="18"/>
        <v>-0.30286230651552754</v>
      </c>
      <c r="AU28" s="63">
        <f t="shared" si="18"/>
        <v>-1.1050703474843757</v>
      </c>
      <c r="AV28" s="63">
        <f t="shared" si="18"/>
        <v>-0.73894358454487041</v>
      </c>
      <c r="AW28" s="63">
        <f t="shared" si="18"/>
        <v>1.2368362874402095</v>
      </c>
      <c r="AX28" s="63">
        <f t="shared" si="18"/>
        <v>0.41192241630965482</v>
      </c>
      <c r="AY28" s="63">
        <f t="shared" si="18"/>
        <v>1.8186486661730119</v>
      </c>
      <c r="AZ28" s="63">
        <f t="shared" si="18"/>
        <v>-2.1945913317705839</v>
      </c>
      <c r="BA28" s="63">
        <f t="shared" si="18"/>
        <v>0.10531134672140495</v>
      </c>
      <c r="BB28" s="63">
        <f t="shared" si="18"/>
        <v>1.3804755986255939</v>
      </c>
      <c r="BC28" s="63">
        <f t="shared" si="18"/>
        <v>-2.5081361433539229</v>
      </c>
      <c r="BD28" s="63">
        <f t="shared" si="18"/>
        <v>-0.28255216567095354</v>
      </c>
      <c r="BE28" s="63">
        <f t="shared" si="18"/>
        <v>5.9916901596631034</v>
      </c>
      <c r="BF28" s="63">
        <f t="shared" si="18"/>
        <v>3.5858546932152926</v>
      </c>
      <c r="BG28" s="63">
        <f t="shared" si="18"/>
        <v>0.21042026961513777</v>
      </c>
      <c r="BH28" s="63">
        <f t="shared" si="18"/>
        <v>8.6778764462196758</v>
      </c>
      <c r="BI28" s="63">
        <f t="shared" si="18"/>
        <v>-0.67980907402498825</v>
      </c>
      <c r="BJ28" s="63">
        <f t="shared" si="18"/>
        <v>-0.42314187072730275</v>
      </c>
      <c r="BK28" s="63">
        <f t="shared" si="18"/>
        <v>-5.4489531866089251</v>
      </c>
      <c r="BL28" s="63">
        <f t="shared" si="18"/>
        <v>-1.4527089307400087</v>
      </c>
      <c r="BM28" s="63">
        <f t="shared" si="18"/>
        <v>-0.13467316700394463</v>
      </c>
      <c r="BN28" s="63">
        <f t="shared" si="18"/>
        <v>1.2183230390727129</v>
      </c>
      <c r="BO28" s="63">
        <f t="shared" si="18"/>
        <v>-3.7640660926378491</v>
      </c>
      <c r="BP28" s="63">
        <f t="shared" si="18"/>
        <v>1.1991198312575437</v>
      </c>
      <c r="BQ28" s="63">
        <f t="shared" si="18"/>
        <v>-6.3663805184250473</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8" t="s">
        <v>737</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-2.1770829794554043</v>
      </c>
      <c r="F31" s="112"/>
      <c r="G31" s="112"/>
      <c r="H31" s="112"/>
      <c r="I31" s="112" t="e">
        <f>POWER(E27/Y27,1/6)-1</f>
        <v>#NUM!</v>
      </c>
      <c r="M31" s="112">
        <f>POWER(E27/AC27,1/7)-1</f>
        <v>-2.1444554589168483</v>
      </c>
      <c r="Q31" s="115" t="s">
        <v>603</v>
      </c>
      <c r="R31" s="115"/>
      <c r="S31" s="115"/>
      <c r="T31" s="115"/>
      <c r="U31" s="115">
        <f>POWER(E14/U14,1/5)-1</f>
        <v>-1.9797868574775355</v>
      </c>
      <c r="V31" s="115"/>
      <c r="W31" s="115"/>
      <c r="X31" s="115"/>
      <c r="Y31" s="115" t="e">
        <f>POWER(E14/Y14,1/6)-1</f>
        <v>#NUM!</v>
      </c>
      <c r="Z31" s="115"/>
      <c r="AA31" s="115"/>
      <c r="AB31" s="115"/>
      <c r="AC31" s="115">
        <f>POWER(E14/AC14,1/7)-1</f>
        <v>-2.0275209001654186</v>
      </c>
    </row>
    <row r="32" spans="1:90" s="66" customFormat="1" x14ac:dyDescent="0.25">
      <c r="A32" s="46" t="s">
        <v>512</v>
      </c>
      <c r="E32" s="66">
        <v>0.17</v>
      </c>
    </row>
    <row r="39" spans="1:13" ht="43.2" x14ac:dyDescent="0.25">
      <c r="A39" s="67" t="s">
        <v>513</v>
      </c>
    </row>
    <row r="41" spans="1:13" ht="111" customHeight="1" x14ac:dyDescent="0.25">
      <c r="A41" s="278" t="s">
        <v>736</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4" sqref="B4"/>
    </sheetView>
  </sheetViews>
  <sheetFormatPr defaultRowHeight="14.4" x14ac:dyDescent="0.25"/>
  <cols>
    <col min="1" max="1" width="43.5546875" style="17" bestFit="1" customWidth="1"/>
    <col min="2" max="2" width="22.6640625" style="26" bestFit="1" customWidth="1"/>
    <col min="3" max="3" width="38" bestFit="1" customWidth="1"/>
    <col min="4" max="4" width="22.6640625" bestFit="1" customWidth="1"/>
    <col min="5" max="8" width="19.33203125" bestFit="1" customWidth="1"/>
    <col min="9" max="9" width="20.44140625" bestFit="1" customWidth="1"/>
    <col min="10"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514</v>
      </c>
      <c r="B1" s="69">
        <f>自由现金流分析表!E1</f>
        <v>43100</v>
      </c>
      <c r="C1" s="190" t="s">
        <v>750</v>
      </c>
      <c r="D1" s="273">
        <v>0.08</v>
      </c>
      <c r="E1" s="261" t="s">
        <v>751</v>
      </c>
      <c r="F1" s="63">
        <f>平均资本成本表!E13</f>
        <v>0.10110477160874813</v>
      </c>
    </row>
    <row r="2" spans="1:10" x14ac:dyDescent="0.25">
      <c r="A2" s="70" t="s">
        <v>515</v>
      </c>
      <c r="B2" s="71">
        <f>(自由现金流分析表!E27+自由现金流分析表!I27+自由现金流分析表!M27)/3</f>
        <v>1459603046.3966668</v>
      </c>
      <c r="C2" t="s">
        <v>548</v>
      </c>
      <c r="D2" s="63"/>
      <c r="E2" s="63"/>
      <c r="F2" s="56"/>
    </row>
    <row r="3" spans="1:10" s="63" customFormat="1" x14ac:dyDescent="0.25">
      <c r="A3" s="72" t="s">
        <v>516</v>
      </c>
      <c r="B3" s="98">
        <v>0</v>
      </c>
      <c r="D3" s="189"/>
      <c r="E3" s="189"/>
      <c r="F3" s="259"/>
    </row>
    <row r="4" spans="1:10" s="63" customFormat="1" x14ac:dyDescent="0.25">
      <c r="A4" s="72" t="s">
        <v>517</v>
      </c>
      <c r="B4" s="98">
        <f>F1</f>
        <v>0.10110477160874813</v>
      </c>
      <c r="D4" s="189"/>
      <c r="E4" s="189"/>
      <c r="F4" s="260"/>
    </row>
    <row r="5" spans="1:10" x14ac:dyDescent="0.25">
      <c r="A5" s="70" t="s">
        <v>518</v>
      </c>
      <c r="B5" s="71">
        <f>B2*(1+B3)/(B4-B3)</f>
        <v>14436539672.380547</v>
      </c>
      <c r="D5" s="63"/>
      <c r="E5" s="63"/>
    </row>
    <row r="6" spans="1:10" x14ac:dyDescent="0.25">
      <c r="A6" s="70" t="s">
        <v>519</v>
      </c>
      <c r="B6" s="71">
        <f>资产资本表!E17</f>
        <v>3976997295.5899997</v>
      </c>
      <c r="D6" s="189"/>
      <c r="E6" s="189"/>
      <c r="F6" s="189"/>
      <c r="G6" s="189"/>
    </row>
    <row r="7" spans="1:10" x14ac:dyDescent="0.25">
      <c r="A7" s="70" t="s">
        <v>520</v>
      </c>
      <c r="B7" s="71">
        <f>资产资本表!E19</f>
        <v>664494468.41999996</v>
      </c>
      <c r="D7" s="189"/>
      <c r="E7" s="189"/>
      <c r="F7" s="189"/>
      <c r="G7" s="189"/>
    </row>
    <row r="8" spans="1:10" x14ac:dyDescent="0.25">
      <c r="A8" s="70" t="s">
        <v>521</v>
      </c>
      <c r="B8" s="196">
        <f>资产资本表!E89</f>
        <v>813924940</v>
      </c>
      <c r="C8" s="271" t="s">
        <v>748</v>
      </c>
      <c r="D8" s="272">
        <f>B2/B4</f>
        <v>14436539672.380547</v>
      </c>
      <c r="E8" s="63"/>
      <c r="F8" s="189"/>
      <c r="G8" s="189"/>
    </row>
    <row r="9" spans="1:10" x14ac:dyDescent="0.25">
      <c r="A9" s="70" t="s">
        <v>522</v>
      </c>
      <c r="B9" s="196">
        <f>B5+B6+B7-B8</f>
        <v>18264106496.390545</v>
      </c>
      <c r="C9" s="271" t="s">
        <v>749</v>
      </c>
      <c r="D9" s="272">
        <f>(D8+资产资本结构分析表!$E$2+资产资本结构分析表!$E$3)/B55</f>
        <v>8.6325934101314683</v>
      </c>
      <c r="E9" s="189"/>
      <c r="F9" s="189"/>
      <c r="G9" s="189"/>
    </row>
    <row r="10" spans="1:10" x14ac:dyDescent="0.25">
      <c r="A10" s="70" t="s">
        <v>523</v>
      </c>
      <c r="B10" s="73">
        <f>资产资本表!E103/资产资本表!E107</f>
        <v>6.8000389145492328E-3</v>
      </c>
      <c r="D10" s="189"/>
      <c r="E10" s="189"/>
      <c r="F10" s="189"/>
      <c r="G10" s="189"/>
    </row>
    <row r="11" spans="1:10" x14ac:dyDescent="0.25">
      <c r="A11" s="70" t="s">
        <v>549</v>
      </c>
      <c r="B11" s="196">
        <f>B9*(1-B10)</f>
        <v>18139909861.475616</v>
      </c>
      <c r="C11" s="268" t="s">
        <v>745</v>
      </c>
      <c r="D11" s="269">
        <f>资产资本结构分析表!E2</f>
        <v>3976997295.5899997</v>
      </c>
      <c r="E11" s="63"/>
      <c r="F11" s="189"/>
      <c r="G11" s="189"/>
    </row>
    <row r="12" spans="1:10" x14ac:dyDescent="0.25">
      <c r="A12" s="70" t="s">
        <v>524</v>
      </c>
      <c r="B12" s="267">
        <f>B55</f>
        <v>2210000000</v>
      </c>
      <c r="C12" s="268" t="s">
        <v>746</v>
      </c>
      <c r="D12" s="270">
        <f>D11/B55</f>
        <v>1.799546287597285</v>
      </c>
      <c r="E12" s="189"/>
      <c r="F12" s="189"/>
      <c r="G12" s="189"/>
    </row>
    <row r="13" spans="1:10" ht="15" thickBot="1" x14ac:dyDescent="0.3">
      <c r="A13" s="74" t="s">
        <v>525</v>
      </c>
      <c r="B13" s="75">
        <f>B11/B12</f>
        <v>8.2081040097174736</v>
      </c>
      <c r="D13" s="189"/>
      <c r="E13" s="189"/>
    </row>
    <row r="14" spans="1:10" s="16" customFormat="1" ht="53.25" customHeight="1" x14ac:dyDescent="0.25">
      <c r="A14" s="278" t="s">
        <v>738</v>
      </c>
      <c r="B14" s="277"/>
      <c r="C14" s="277"/>
      <c r="D14" s="277"/>
      <c r="E14" s="277"/>
      <c r="F14" s="277"/>
      <c r="G14" s="277"/>
      <c r="H14" s="277"/>
      <c r="I14" s="277"/>
    </row>
    <row r="16" spans="1:10" x14ac:dyDescent="0.25">
      <c r="A16" s="88"/>
      <c r="B16" s="76"/>
      <c r="C16" s="77"/>
      <c r="D16" s="77"/>
      <c r="E16" s="77"/>
      <c r="F16" s="77"/>
      <c r="G16" s="77"/>
      <c r="H16" s="77"/>
      <c r="I16" s="78"/>
      <c r="J16" s="77"/>
    </row>
    <row r="17" spans="1:10" s="63" customFormat="1" x14ac:dyDescent="0.25">
      <c r="A17" s="90"/>
      <c r="B17" s="90"/>
      <c r="C17" s="90" t="s">
        <v>541</v>
      </c>
      <c r="D17" s="90">
        <v>0.1</v>
      </c>
      <c r="E17" s="90"/>
      <c r="F17" s="90"/>
      <c r="G17" s="90"/>
      <c r="H17" s="90" t="s">
        <v>542</v>
      </c>
      <c r="I17" s="90">
        <v>0.04</v>
      </c>
      <c r="J17" s="78"/>
    </row>
    <row r="18" spans="1:10" s="2" customFormat="1" x14ac:dyDescent="0.25">
      <c r="A18" s="299" t="s">
        <v>526</v>
      </c>
      <c r="B18" s="299"/>
      <c r="C18" s="65" t="s">
        <v>540</v>
      </c>
      <c r="D18" s="97">
        <v>1</v>
      </c>
      <c r="E18" s="97">
        <v>2</v>
      </c>
      <c r="F18" s="97">
        <v>3</v>
      </c>
      <c r="G18" s="97">
        <v>4</v>
      </c>
      <c r="H18" s="97">
        <v>5</v>
      </c>
      <c r="I18" s="96">
        <v>6</v>
      </c>
      <c r="J18" s="80"/>
    </row>
    <row r="19" spans="1:10" s="26" customFormat="1" x14ac:dyDescent="0.25">
      <c r="A19" s="99" t="s">
        <v>527</v>
      </c>
      <c r="B19" s="94"/>
      <c r="C19" s="89">
        <f>B2</f>
        <v>1459603046.3966668</v>
      </c>
      <c r="D19" s="89">
        <f>C19*(1+$D$17)</f>
        <v>1605563351.0363336</v>
      </c>
      <c r="E19" s="89">
        <f>D19*(1+$D$17)</f>
        <v>1766119686.139967</v>
      </c>
      <c r="F19" s="89">
        <f>E19*(1+$D$17)</f>
        <v>1942731654.7539637</v>
      </c>
      <c r="G19" s="89">
        <f>F19*(1+$D$17)</f>
        <v>2137004820.2293603</v>
      </c>
      <c r="H19" s="89">
        <f>G19*(1+$D$17)</f>
        <v>2350705302.2522964</v>
      </c>
      <c r="I19" s="89">
        <f>H19*(1+I17)</f>
        <v>2444733514.3423882</v>
      </c>
      <c r="J19" s="76"/>
    </row>
    <row r="20" spans="1:10" s="26" customFormat="1" x14ac:dyDescent="0.25">
      <c r="A20" s="99" t="s">
        <v>528</v>
      </c>
      <c r="B20" s="95">
        <f>B4</f>
        <v>0.10110477160874813</v>
      </c>
      <c r="C20" s="89"/>
      <c r="D20" s="89">
        <f t="shared" ref="D20:I20" si="0">(1+$B$20)^D18</f>
        <v>1.1011047716087481</v>
      </c>
      <c r="E20" s="89">
        <f t="shared" si="0"/>
        <v>1.2124317180595532</v>
      </c>
      <c r="F20" s="89">
        <f t="shared" si="0"/>
        <v>1.3350143500051663</v>
      </c>
      <c r="G20" s="89">
        <f t="shared" si="0"/>
        <v>1.4699906709568398</v>
      </c>
      <c r="H20" s="89">
        <f t="shared" si="0"/>
        <v>1.6186137420109215</v>
      </c>
      <c r="I20" s="89">
        <f t="shared" si="0"/>
        <v>1.7822633147197167</v>
      </c>
      <c r="J20" s="76"/>
    </row>
    <row r="21" spans="1:10" s="26" customFormat="1" x14ac:dyDescent="0.25">
      <c r="A21" s="300" t="s">
        <v>529</v>
      </c>
      <c r="B21" s="300"/>
      <c r="C21" s="89"/>
      <c r="D21" s="89">
        <f>D19/D20</f>
        <v>1458138582.6623528</v>
      </c>
      <c r="E21" s="89">
        <f>E19/E20</f>
        <v>1456675588.2686479</v>
      </c>
      <c r="F21" s="89">
        <f>F19/F20</f>
        <v>1455214061.741318</v>
      </c>
      <c r="G21" s="89">
        <f>G19/G20</f>
        <v>1453754001.6076093</v>
      </c>
      <c r="H21" s="89">
        <f>H19/H20</f>
        <v>1452295406.396244</v>
      </c>
      <c r="I21" s="89">
        <f>I19/((B20-I17)*I20)</f>
        <v>22448355592.560619</v>
      </c>
      <c r="J21" s="76"/>
    </row>
    <row r="22" spans="1:10" s="26" customFormat="1" x14ac:dyDescent="0.25">
      <c r="A22" s="300" t="s">
        <v>547</v>
      </c>
      <c r="B22" s="300"/>
      <c r="C22" s="89"/>
      <c r="D22" s="296">
        <f>SUM(D21:H21)</f>
        <v>7276077640.6761723</v>
      </c>
      <c r="E22" s="297"/>
      <c r="F22" s="297"/>
      <c r="G22" s="297"/>
      <c r="H22" s="298"/>
      <c r="I22" s="89">
        <f>I21</f>
        <v>22448355592.560619</v>
      </c>
      <c r="J22" s="76"/>
    </row>
    <row r="23" spans="1:10" x14ac:dyDescent="0.25">
      <c r="A23" s="92" t="s">
        <v>530</v>
      </c>
      <c r="B23" s="76">
        <f>D22+I22</f>
        <v>29724433233.236794</v>
      </c>
      <c r="C23" s="77"/>
      <c r="D23" s="77"/>
      <c r="E23" s="77"/>
      <c r="F23" s="77"/>
      <c r="G23" s="77"/>
      <c r="H23" s="77"/>
      <c r="I23" s="79"/>
      <c r="J23" s="77"/>
    </row>
    <row r="24" spans="1:10" x14ac:dyDescent="0.25">
      <c r="A24" s="92" t="s">
        <v>531</v>
      </c>
      <c r="B24" s="76">
        <f>B23</f>
        <v>29724433233.236794</v>
      </c>
      <c r="C24" s="77"/>
      <c r="D24" s="77"/>
      <c r="E24" s="77"/>
      <c r="F24" s="77"/>
      <c r="G24" s="77"/>
      <c r="H24" s="77"/>
      <c r="I24" s="79"/>
      <c r="J24" s="77"/>
    </row>
    <row r="25" spans="1:10" x14ac:dyDescent="0.25">
      <c r="A25" s="70" t="s">
        <v>532</v>
      </c>
      <c r="B25" s="71">
        <f>资产资本表!E17</f>
        <v>3976997295.5899997</v>
      </c>
      <c r="C25" s="77"/>
      <c r="D25" s="77"/>
      <c r="E25" s="77"/>
      <c r="F25" s="77"/>
      <c r="G25" s="77"/>
      <c r="H25" s="77"/>
      <c r="I25" s="79"/>
      <c r="J25" s="77"/>
    </row>
    <row r="26" spans="1:10" x14ac:dyDescent="0.25">
      <c r="A26" s="70" t="s">
        <v>533</v>
      </c>
      <c r="B26" s="71">
        <f>资产资本表!E19</f>
        <v>664494468.41999996</v>
      </c>
      <c r="C26" s="77"/>
      <c r="D26" s="77"/>
      <c r="E26" s="77"/>
      <c r="F26" s="77"/>
      <c r="G26" s="77"/>
      <c r="H26" s="77"/>
      <c r="I26" s="79"/>
      <c r="J26" s="77"/>
    </row>
    <row r="27" spans="1:10" x14ac:dyDescent="0.25">
      <c r="A27" s="70" t="s">
        <v>534</v>
      </c>
      <c r="B27" s="71">
        <f>资产资本表!E89</f>
        <v>813924940</v>
      </c>
      <c r="C27" s="77"/>
      <c r="D27" s="77"/>
      <c r="E27" s="77"/>
      <c r="F27" s="77"/>
      <c r="G27" s="77"/>
      <c r="H27" s="77"/>
      <c r="I27" s="79"/>
      <c r="J27" s="77"/>
    </row>
    <row r="28" spans="1:10" s="2" customFormat="1" x14ac:dyDescent="0.25">
      <c r="A28" s="82" t="s">
        <v>535</v>
      </c>
      <c r="B28" s="83">
        <f>B24+B25+B26-B27</f>
        <v>33552000057.246796</v>
      </c>
      <c r="C28" s="80"/>
      <c r="D28" s="80"/>
      <c r="E28" s="80"/>
      <c r="F28" s="80"/>
      <c r="G28" s="80"/>
      <c r="H28" s="80"/>
      <c r="I28" s="81"/>
      <c r="J28" s="80"/>
    </row>
    <row r="29" spans="1:10" x14ac:dyDescent="0.25">
      <c r="A29" s="70" t="s">
        <v>536</v>
      </c>
      <c r="B29" s="78">
        <f>资产资本表!E103/资产资本表!E107</f>
        <v>6.8000389145492328E-3</v>
      </c>
      <c r="C29" s="301" t="s">
        <v>543</v>
      </c>
      <c r="D29" s="301"/>
      <c r="E29" s="301"/>
      <c r="F29" s="77"/>
      <c r="G29" s="77"/>
      <c r="H29" s="77"/>
      <c r="I29" s="79"/>
      <c r="J29" s="77"/>
    </row>
    <row r="30" spans="1:10" s="2" customFormat="1" x14ac:dyDescent="0.25">
      <c r="A30" s="82" t="s">
        <v>537</v>
      </c>
      <c r="B30" s="83">
        <f>B28*(1-B29)</f>
        <v>33323845151.196556</v>
      </c>
      <c r="C30" s="91">
        <v>0.4</v>
      </c>
      <c r="D30" s="91">
        <v>0.3</v>
      </c>
      <c r="E30" s="91">
        <v>0.2</v>
      </c>
      <c r="F30" s="80"/>
      <c r="G30" s="80"/>
      <c r="H30" s="80"/>
      <c r="I30" s="81"/>
      <c r="J30" s="80"/>
    </row>
    <row r="31" spans="1:10" x14ac:dyDescent="0.25">
      <c r="A31" s="70" t="s">
        <v>747</v>
      </c>
      <c r="B31" s="101">
        <f>B55</f>
        <v>2210000000</v>
      </c>
      <c r="C31" s="214">
        <f>$B$32*(1-C30)</f>
        <v>9.0471977786053994</v>
      </c>
      <c r="D31" s="214">
        <f>$B$32*(1-D30)</f>
        <v>10.555064075039633</v>
      </c>
      <c r="E31" s="214">
        <f>$B$32*(1-E30)</f>
        <v>12.062930371473868</v>
      </c>
      <c r="F31" s="77"/>
      <c r="G31" s="77"/>
      <c r="H31" s="77"/>
      <c r="I31" s="79"/>
      <c r="J31" s="77"/>
    </row>
    <row r="32" spans="1:10" s="2" customFormat="1" ht="15" thickBot="1" x14ac:dyDescent="0.3">
      <c r="A32" s="84" t="s">
        <v>538</v>
      </c>
      <c r="B32" s="85">
        <f>B30/B31</f>
        <v>15.078662964342334</v>
      </c>
      <c r="C32" s="86"/>
      <c r="D32" s="86"/>
      <c r="E32" s="86"/>
      <c r="F32" s="86"/>
      <c r="G32" s="86"/>
      <c r="H32" s="86"/>
      <c r="I32" s="87"/>
      <c r="J32" s="80"/>
    </row>
    <row r="33" spans="1:19" ht="63" customHeight="1" x14ac:dyDescent="0.25">
      <c r="A33" s="302" t="s">
        <v>739</v>
      </c>
      <c r="B33" s="303"/>
      <c r="C33" s="303"/>
      <c r="D33" s="303"/>
      <c r="E33" s="303"/>
      <c r="F33" s="303"/>
      <c r="G33" s="303"/>
      <c r="H33" s="303"/>
      <c r="I33" s="303"/>
    </row>
    <row r="37" spans="1:19" s="63" customFormat="1" x14ac:dyDescent="0.25">
      <c r="A37" s="203"/>
      <c r="B37" s="203"/>
      <c r="C37" s="213" t="s">
        <v>541</v>
      </c>
      <c r="D37" s="213">
        <v>0.15</v>
      </c>
      <c r="E37" s="213"/>
      <c r="F37" s="213"/>
      <c r="G37" s="213"/>
      <c r="H37" s="213" t="s">
        <v>636</v>
      </c>
      <c r="I37" s="213">
        <v>0.06</v>
      </c>
      <c r="J37" s="213"/>
      <c r="K37" s="213"/>
      <c r="L37" s="213"/>
      <c r="M37" s="213"/>
      <c r="N37" s="213"/>
      <c r="O37" s="213"/>
      <c r="P37" s="213"/>
      <c r="Q37" s="213"/>
      <c r="R37" s="213" t="s">
        <v>546</v>
      </c>
      <c r="S37" s="213">
        <v>0</v>
      </c>
    </row>
    <row r="38" spans="1:19" s="24" customFormat="1" x14ac:dyDescent="0.25">
      <c r="A38" s="310" t="s">
        <v>544</v>
      </c>
      <c r="B38" s="311"/>
      <c r="C38" s="215" t="s">
        <v>540</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527</v>
      </c>
      <c r="B39" s="94"/>
      <c r="C39" s="89">
        <f>B2</f>
        <v>1459603046.3966668</v>
      </c>
      <c r="D39" s="89">
        <f>$C$39*(1+$D$37)^D38</f>
        <v>1678543503.3561666</v>
      </c>
      <c r="E39" s="89">
        <f>$C$39*(1+$D$37)^E38</f>
        <v>1930325028.8595915</v>
      </c>
      <c r="F39" s="89">
        <f>$C$39*(1+$D$37)^F38</f>
        <v>2219873783.18853</v>
      </c>
      <c r="G39" s="89">
        <f>$C$39*(1+$D$37)^G38</f>
        <v>2552854850.6668091</v>
      </c>
      <c r="H39" s="89">
        <f>$C$39*(1+$D$37)^H38</f>
        <v>2935783078.2668309</v>
      </c>
      <c r="I39" s="89">
        <f>H39*(1+$I$37)</f>
        <v>3111930062.962841</v>
      </c>
      <c r="J39" s="89">
        <f t="shared" ref="J39:N39" si="1">I39*(1+$I$37)</f>
        <v>3298645866.7406116</v>
      </c>
      <c r="K39" s="89">
        <f t="shared" si="1"/>
        <v>3496564618.7450485</v>
      </c>
      <c r="L39" s="89">
        <f t="shared" si="1"/>
        <v>3706358495.8697515</v>
      </c>
      <c r="M39" s="89">
        <f t="shared" si="1"/>
        <v>3928740005.6219368</v>
      </c>
      <c r="N39" s="89">
        <f t="shared" si="1"/>
        <v>4164464405.9592533</v>
      </c>
      <c r="O39" s="89">
        <f t="shared" ref="O39" si="2">N39*(1+$I$37)</f>
        <v>4414332270.3168087</v>
      </c>
      <c r="P39" s="89">
        <f t="shared" ref="P39" si="3">O39*(1+$I$37)</f>
        <v>4679192206.5358171</v>
      </c>
      <c r="Q39" s="89">
        <f t="shared" ref="Q39" si="4">P39*(1+$I$37)</f>
        <v>4959943738.9279661</v>
      </c>
      <c r="R39" s="89">
        <f t="shared" ref="R39" si="5">Q39*(1+$I$37)</f>
        <v>5257540363.2636442</v>
      </c>
      <c r="S39" s="89">
        <f>R39*(1+S37)</f>
        <v>5257540363.2636442</v>
      </c>
    </row>
    <row r="40" spans="1:19" s="23" customFormat="1" x14ac:dyDescent="0.25">
      <c r="A40" s="209" t="s">
        <v>528</v>
      </c>
      <c r="B40" s="208">
        <f>B4</f>
        <v>0.10110477160874813</v>
      </c>
      <c r="C40" s="214"/>
      <c r="D40" s="214">
        <f>(1+$B$40)^D38</f>
        <v>1.1011047716087481</v>
      </c>
      <c r="E40" s="214">
        <f t="shared" ref="E40:R40" si="6">(1+$B$40)^E38</f>
        <v>1.2124317180595532</v>
      </c>
      <c r="F40" s="214">
        <f t="shared" si="6"/>
        <v>1.3350143500051663</v>
      </c>
      <c r="G40" s="214">
        <f t="shared" si="6"/>
        <v>1.4699906709568398</v>
      </c>
      <c r="H40" s="214">
        <f t="shared" si="6"/>
        <v>1.6186137420109215</v>
      </c>
      <c r="I40" s="214">
        <f t="shared" si="6"/>
        <v>1.7822633147197167</v>
      </c>
      <c r="J40" s="214">
        <f t="shared" si="6"/>
        <v>1.9624586401011037</v>
      </c>
      <c r="K40" s="214">
        <f t="shared" si="6"/>
        <v>2.1608725727001401</v>
      </c>
      <c r="L40" s="214">
        <f t="shared" si="6"/>
        <v>2.3793471006385958</v>
      </c>
      <c r="M40" s="214">
        <f t="shared" si="6"/>
        <v>2.6199104458265978</v>
      </c>
      <c r="N40" s="214">
        <f t="shared" si="6"/>
        <v>2.884795893087269</v>
      </c>
      <c r="O40" s="214">
        <f t="shared" si="6"/>
        <v>3.1764625229957115</v>
      </c>
      <c r="P40" s="214">
        <f t="shared" si="6"/>
        <v>3.4976180409069406</v>
      </c>
      <c r="Q40" s="214">
        <f t="shared" si="6"/>
        <v>3.8512439141074735</v>
      </c>
      <c r="R40" s="214">
        <f t="shared" si="6"/>
        <v>4.2406230504528901</v>
      </c>
      <c r="S40" s="182">
        <f>(1+$B$40)^S38</f>
        <v>4.6693702754477222</v>
      </c>
    </row>
    <row r="41" spans="1:19" s="192" customFormat="1" x14ac:dyDescent="0.25">
      <c r="A41" s="312" t="s">
        <v>529</v>
      </c>
      <c r="B41" s="313"/>
      <c r="C41" s="89"/>
      <c r="D41" s="89">
        <f t="shared" ref="D41:R41" si="7">D39/D40</f>
        <v>1524417609.1470048</v>
      </c>
      <c r="E41" s="89">
        <f t="shared" si="7"/>
        <v>1592110302.0539556</v>
      </c>
      <c r="F41" s="89">
        <f t="shared" si="7"/>
        <v>1662808930.2410414</v>
      </c>
      <c r="G41" s="89">
        <f t="shared" si="7"/>
        <v>1736646974.09618</v>
      </c>
      <c r="H41" s="89">
        <f t="shared" si="7"/>
        <v>1813763841.2852559</v>
      </c>
      <c r="I41" s="89">
        <f t="shared" si="7"/>
        <v>1746055163.2642627</v>
      </c>
      <c r="J41" s="89">
        <f t="shared" si="7"/>
        <v>1680874082.814132</v>
      </c>
      <c r="K41" s="89">
        <f t="shared" si="7"/>
        <v>1618126243.4998102</v>
      </c>
      <c r="L41" s="89">
        <f t="shared" si="7"/>
        <v>1557720811.2574234</v>
      </c>
      <c r="M41" s="89">
        <f t="shared" si="7"/>
        <v>1499570342.9024632</v>
      </c>
      <c r="N41" s="89">
        <f t="shared" si="7"/>
        <v>1443590659.5466275</v>
      </c>
      <c r="O41" s="89">
        <f t="shared" si="7"/>
        <v>1389700724.7400692</v>
      </c>
      <c r="P41" s="89">
        <f t="shared" si="7"/>
        <v>1337822527.1626549</v>
      </c>
      <c r="Q41" s="89">
        <f t="shared" si="7"/>
        <v>1287880967.6944168</v>
      </c>
      <c r="R41" s="89">
        <f t="shared" si="7"/>
        <v>1239803750.7017157</v>
      </c>
      <c r="S41" s="89">
        <f>S39/((B40-S37)*S40)</f>
        <v>11136600708.343134</v>
      </c>
    </row>
    <row r="42" spans="1:19" s="23" customFormat="1" x14ac:dyDescent="0.25">
      <c r="A42" s="314" t="s">
        <v>547</v>
      </c>
      <c r="B42" s="315"/>
      <c r="C42" s="214"/>
      <c r="D42" s="307">
        <f>SUM(D41:H41)</f>
        <v>8329747656.8234367</v>
      </c>
      <c r="E42" s="308"/>
      <c r="F42" s="308"/>
      <c r="G42" s="308"/>
      <c r="H42" s="309"/>
      <c r="I42" s="307">
        <f>SUM(I41:R41)</f>
        <v>14801145273.583574</v>
      </c>
      <c r="J42" s="308"/>
      <c r="K42" s="308"/>
      <c r="L42" s="308"/>
      <c r="M42" s="308"/>
      <c r="N42" s="308"/>
      <c r="O42" s="308"/>
      <c r="P42" s="308"/>
      <c r="Q42" s="308"/>
      <c r="R42" s="309"/>
      <c r="S42" s="214">
        <f>S41</f>
        <v>11136600708.343134</v>
      </c>
    </row>
    <row r="43" spans="1:19" x14ac:dyDescent="0.25">
      <c r="A43" s="205" t="s">
        <v>545</v>
      </c>
      <c r="B43" s="196">
        <f>D42+I42+S42</f>
        <v>34267493638.750145</v>
      </c>
      <c r="C43" s="197"/>
      <c r="D43" s="197"/>
      <c r="E43" s="197"/>
      <c r="F43" s="197"/>
      <c r="G43" s="197"/>
      <c r="H43" s="197"/>
      <c r="I43" s="197"/>
      <c r="J43" s="197"/>
      <c r="K43" s="197"/>
      <c r="L43" s="197"/>
      <c r="M43" s="197"/>
      <c r="N43" s="197"/>
      <c r="O43" s="197"/>
      <c r="P43" s="197"/>
      <c r="Q43" s="197"/>
      <c r="R43" s="197"/>
      <c r="S43" s="199"/>
    </row>
    <row r="44" spans="1:19" x14ac:dyDescent="0.25">
      <c r="A44" s="205" t="s">
        <v>531</v>
      </c>
      <c r="B44" s="196">
        <f>B43</f>
        <v>34267493638.750145</v>
      </c>
      <c r="C44" s="197"/>
      <c r="D44" s="197"/>
      <c r="E44" s="197"/>
      <c r="F44" s="197"/>
      <c r="G44" s="197"/>
      <c r="H44" s="197"/>
      <c r="I44" s="197"/>
      <c r="J44" s="197"/>
      <c r="K44" s="197"/>
      <c r="L44" s="197"/>
      <c r="M44" s="197"/>
      <c r="N44" s="197"/>
      <c r="O44" s="197"/>
      <c r="P44" s="197"/>
      <c r="Q44" s="197"/>
      <c r="R44" s="197"/>
      <c r="S44" s="199"/>
    </row>
    <row r="45" spans="1:19" x14ac:dyDescent="0.25">
      <c r="A45" s="195" t="s">
        <v>532</v>
      </c>
      <c r="B45" s="196">
        <f>资产资本表!E17</f>
        <v>3976997295.5899997</v>
      </c>
      <c r="C45" s="197"/>
      <c r="D45" s="197"/>
      <c r="E45" s="197"/>
      <c r="F45" s="197"/>
      <c r="G45" s="197"/>
      <c r="H45" s="197"/>
      <c r="I45" s="197"/>
      <c r="J45" s="197"/>
      <c r="K45" s="197"/>
      <c r="L45" s="197"/>
      <c r="M45" s="197"/>
      <c r="N45" s="197"/>
      <c r="O45" s="197"/>
      <c r="P45" s="197"/>
      <c r="Q45" s="197"/>
      <c r="R45" s="197"/>
      <c r="S45" s="199"/>
    </row>
    <row r="46" spans="1:19" x14ac:dyDescent="0.25">
      <c r="A46" s="195" t="s">
        <v>533</v>
      </c>
      <c r="B46" s="196">
        <f>资产资本表!E19</f>
        <v>664494468.41999996</v>
      </c>
      <c r="C46" s="197"/>
      <c r="D46" s="197"/>
      <c r="E46" s="197"/>
      <c r="F46" s="197"/>
      <c r="G46" s="197"/>
      <c r="H46" s="197"/>
      <c r="I46" s="197"/>
      <c r="J46" s="197"/>
      <c r="K46" s="197"/>
      <c r="L46" s="197"/>
      <c r="M46" s="197"/>
      <c r="N46" s="197"/>
      <c r="O46" s="197"/>
      <c r="P46" s="197"/>
      <c r="Q46" s="197"/>
      <c r="R46" s="197"/>
      <c r="S46" s="199"/>
    </row>
    <row r="47" spans="1:19" x14ac:dyDescent="0.25">
      <c r="A47" s="195" t="s">
        <v>534</v>
      </c>
      <c r="B47" s="196">
        <f>资产资本表!E89</f>
        <v>813924940</v>
      </c>
      <c r="C47" s="197"/>
      <c r="D47" s="197"/>
      <c r="E47" s="197"/>
      <c r="F47" s="197"/>
      <c r="G47" s="197"/>
      <c r="H47" s="197"/>
      <c r="I47" s="197"/>
      <c r="J47" s="197"/>
      <c r="K47" s="197"/>
      <c r="L47" s="197"/>
      <c r="M47" s="197"/>
      <c r="N47" s="197"/>
      <c r="O47" s="197"/>
      <c r="P47" s="197"/>
      <c r="Q47" s="197"/>
      <c r="R47" s="197"/>
      <c r="S47" s="199"/>
    </row>
    <row r="48" spans="1:19" x14ac:dyDescent="0.25">
      <c r="A48" s="200" t="s">
        <v>535</v>
      </c>
      <c r="B48" s="196">
        <f>B44+B45+B46-B47</f>
        <v>38095060462.760139</v>
      </c>
      <c r="C48" s="197"/>
      <c r="D48" s="197"/>
      <c r="E48" s="197"/>
      <c r="F48" s="197"/>
      <c r="G48" s="197"/>
      <c r="H48" s="197"/>
      <c r="I48" s="197"/>
      <c r="J48" s="197"/>
      <c r="K48" s="197"/>
      <c r="L48" s="197"/>
      <c r="M48" s="197"/>
      <c r="N48" s="197"/>
      <c r="O48" s="197"/>
      <c r="P48" s="197"/>
      <c r="Q48" s="197"/>
      <c r="R48" s="197"/>
      <c r="S48" s="199"/>
    </row>
    <row r="49" spans="1:74" x14ac:dyDescent="0.25">
      <c r="A49" s="195" t="s">
        <v>536</v>
      </c>
      <c r="B49" s="198">
        <f>资产资本表!E103/资产资本表!E107</f>
        <v>6.8000389145492328E-3</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537</v>
      </c>
      <c r="B50" s="196">
        <f>B48*(1-B49)</f>
        <v>37836012569.161263</v>
      </c>
      <c r="C50" s="304" t="s">
        <v>543</v>
      </c>
      <c r="D50" s="305"/>
      <c r="E50" s="306"/>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539</v>
      </c>
      <c r="B51" s="210">
        <f>B55</f>
        <v>2210000000</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538</v>
      </c>
      <c r="B52" s="206">
        <f>B50/B51</f>
        <v>17.120367678353514</v>
      </c>
      <c r="C52" s="207">
        <f>$B$52*(1-C51)</f>
        <v>10.272220607012107</v>
      </c>
      <c r="D52" s="207">
        <f>$B$52*(1-D51)</f>
        <v>11.984257374847459</v>
      </c>
      <c r="E52" s="207">
        <f>$B$52*(1-E51)</f>
        <v>13.696294142682811</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600066</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550</v>
      </c>
      <c r="B55" s="100">
        <v>2210000000</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4" t="s">
        <v>740</v>
      </c>
      <c r="B57" s="295"/>
      <c r="C57" s="295"/>
      <c r="D57" s="295"/>
      <c r="E57" s="295"/>
      <c r="F57" s="295"/>
      <c r="G57" s="295"/>
      <c r="H57" s="295"/>
      <c r="I57" s="295"/>
    </row>
    <row r="60" spans="1:74" s="155" customFormat="1" ht="51" customHeight="1" x14ac:dyDescent="0.25">
      <c r="A60" s="292" t="s">
        <v>608</v>
      </c>
      <c r="B60" s="293"/>
      <c r="C60" s="293"/>
      <c r="D60" s="293"/>
      <c r="E60" s="293"/>
      <c r="F60" s="293"/>
      <c r="G60" s="293"/>
      <c r="H60" s="293"/>
      <c r="I60" s="293"/>
    </row>
    <row r="63" spans="1:74" s="4" customFormat="1" x14ac:dyDescent="0.25">
      <c r="A63" s="177" t="s">
        <v>610</v>
      </c>
      <c r="B63" s="176"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8">
        <f>股权价值增加表!M1</f>
        <v>42369</v>
      </c>
      <c r="B64" s="166">
        <v>42366</v>
      </c>
      <c r="C64" s="165">
        <v>17.39</v>
      </c>
      <c r="D64" s="165">
        <v>3.4</v>
      </c>
      <c r="E64" s="167">
        <f>股权价值增加表!M42/100000000</f>
        <v>37.309531815299984</v>
      </c>
      <c r="F64" s="167">
        <v>0</v>
      </c>
      <c r="G64" s="165">
        <v>16.47</v>
      </c>
      <c r="H64" s="167">
        <f>G64*D64</f>
        <v>55.997999999999998</v>
      </c>
      <c r="I64" s="167">
        <f>C64*D64</f>
        <v>59.125999999999998</v>
      </c>
      <c r="J64" s="167">
        <f>H64/E64</f>
        <v>1.5009033154641787</v>
      </c>
      <c r="K64" s="167">
        <f>I64/E64</f>
        <v>1.5847424806267192</v>
      </c>
      <c r="L64" s="262">
        <v>0</v>
      </c>
    </row>
    <row r="65" spans="1:12" s="26" customFormat="1" x14ac:dyDescent="0.25">
      <c r="A65" s="178">
        <f>股权价值增加表!I1</f>
        <v>42735</v>
      </c>
      <c r="B65" s="166">
        <v>42543</v>
      </c>
      <c r="C65" s="165">
        <v>23.13</v>
      </c>
      <c r="D65" s="165">
        <v>3.64</v>
      </c>
      <c r="E65" s="167">
        <f>股权价值增加表!I42/100000000</f>
        <v>39.740786201500036</v>
      </c>
      <c r="F65" s="167">
        <f>(E65-E64)/E64*100</f>
        <v>6.5164430318662898</v>
      </c>
      <c r="G65" s="165">
        <v>23.11</v>
      </c>
      <c r="H65" s="167">
        <f t="shared" ref="H65:H66" si="8">G65*D65</f>
        <v>84.120400000000004</v>
      </c>
      <c r="I65" s="167">
        <f t="shared" ref="I65:I66" si="9">C65*D65</f>
        <v>84.193200000000004</v>
      </c>
      <c r="J65" s="167">
        <f t="shared" ref="J65:J66" si="10">H65/E65</f>
        <v>2.1167271219416599</v>
      </c>
      <c r="K65" s="167">
        <f t="shared" ref="K65:K66" si="11">I65/E65</f>
        <v>2.1185589930986843</v>
      </c>
      <c r="L65" s="262">
        <f>K65/F65</f>
        <v>0.32510972362355411</v>
      </c>
    </row>
    <row r="66" spans="1:12" s="26" customFormat="1" x14ac:dyDescent="0.25">
      <c r="A66" s="178">
        <f>股权价值增加表!E1</f>
        <v>43100</v>
      </c>
      <c r="B66" s="166">
        <v>42872</v>
      </c>
      <c r="C66" s="165">
        <v>16.399999999999999</v>
      </c>
      <c r="D66" s="165">
        <v>9.09</v>
      </c>
      <c r="E66" s="167">
        <f>股权价值增加表!E42/100000000</f>
        <v>28.086248247300006</v>
      </c>
      <c r="F66" s="167">
        <f t="shared" ref="F66" si="12">(E66-E65)/E65*100</f>
        <v>-29.326390009264902</v>
      </c>
      <c r="G66" s="165">
        <v>15.76</v>
      </c>
      <c r="H66" s="167">
        <f t="shared" si="8"/>
        <v>143.25839999999999</v>
      </c>
      <c r="I66" s="167">
        <f t="shared" si="9"/>
        <v>149.07599999999999</v>
      </c>
      <c r="J66" s="167">
        <f t="shared" si="10"/>
        <v>5.100659893717622</v>
      </c>
      <c r="K66" s="167">
        <f t="shared" si="11"/>
        <v>5.3077932904168144</v>
      </c>
      <c r="L66" s="262">
        <f t="shared" ref="L66" si="13">K66/F66</f>
        <v>-0.18099033971586537</v>
      </c>
    </row>
    <row r="67" spans="1:12" s="26" customFormat="1" x14ac:dyDescent="0.25">
      <c r="A67" s="161"/>
      <c r="B67" s="162"/>
      <c r="C67" s="83"/>
      <c r="D67" s="83"/>
      <c r="E67" s="83"/>
      <c r="F67" s="164"/>
      <c r="G67" s="83"/>
      <c r="H67" s="164"/>
      <c r="I67" s="164"/>
      <c r="J67" s="164"/>
      <c r="K67" s="164"/>
      <c r="L67" s="263"/>
    </row>
    <row r="68" spans="1:12" s="156" customFormat="1" ht="15" thickBot="1" x14ac:dyDescent="0.3">
      <c r="A68" s="163" t="s">
        <v>622</v>
      </c>
      <c r="B68" s="44" t="s">
        <v>611</v>
      </c>
      <c r="C68" s="44" t="s">
        <v>612</v>
      </c>
      <c r="D68" s="44" t="s">
        <v>613</v>
      </c>
      <c r="E68" s="44" t="s">
        <v>621</v>
      </c>
      <c r="F68" s="44" t="s">
        <v>614</v>
      </c>
      <c r="G68" s="44" t="s">
        <v>615</v>
      </c>
      <c r="H68" s="44" t="s">
        <v>616</v>
      </c>
      <c r="I68" s="44" t="s">
        <v>617</v>
      </c>
      <c r="J68" s="44" t="s">
        <v>618</v>
      </c>
      <c r="K68" s="44" t="s">
        <v>619</v>
      </c>
      <c r="L68" s="264" t="s">
        <v>620</v>
      </c>
    </row>
    <row r="69" spans="1:12" s="26" customFormat="1" ht="15" thickBot="1" x14ac:dyDescent="0.3">
      <c r="A69" s="168" t="s">
        <v>627</v>
      </c>
      <c r="B69" s="169">
        <v>43305</v>
      </c>
      <c r="C69" s="170">
        <v>11.65</v>
      </c>
      <c r="D69" s="170">
        <v>9.09</v>
      </c>
      <c r="E69" s="170">
        <v>4.33</v>
      </c>
      <c r="F69" s="171">
        <f>(E69-E66)/E66*100</f>
        <v>-84.583202562783541</v>
      </c>
      <c r="G69" s="170">
        <v>10.119999999999999</v>
      </c>
      <c r="H69" s="171">
        <f>G69*D69</f>
        <v>91.990799999999993</v>
      </c>
      <c r="I69" s="171">
        <f>C69*D69</f>
        <v>105.8985</v>
      </c>
      <c r="J69" s="171">
        <f>H69/E69</f>
        <v>21.244988452655885</v>
      </c>
      <c r="K69" s="171">
        <f>I69/E69</f>
        <v>24.456928406466513</v>
      </c>
      <c r="L69" s="265">
        <f>K69/F69</f>
        <v>-0.28914639864000041</v>
      </c>
    </row>
    <row r="70" spans="1:12" s="26" customFormat="1" ht="15" thickBot="1" x14ac:dyDescent="0.3">
      <c r="A70" s="172" t="s">
        <v>626</v>
      </c>
      <c r="B70" s="173">
        <v>43305</v>
      </c>
      <c r="C70" s="174">
        <v>11.65</v>
      </c>
      <c r="D70" s="174">
        <v>9.09</v>
      </c>
      <c r="E70" s="174">
        <v>3.86</v>
      </c>
      <c r="F70" s="175">
        <f>(E70-E66)/E66*100</f>
        <v>-86.25661937467541</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-0.31806074430550024</v>
      </c>
    </row>
    <row r="71" spans="1:12" s="88" customFormat="1" ht="138" customHeight="1" x14ac:dyDescent="0.25">
      <c r="A71" s="290" t="s">
        <v>629</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2019-02-11T06:19:44Z</dcterms:modified>
</cp:coreProperties>
</file>